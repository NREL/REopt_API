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225" windowWidth="10800" windowHeight="8700" tabRatio="591" activeTab="1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45621"/>
</workbook>
</file>

<file path=xl/calcChain.xml><?xml version="1.0" encoding="utf-8"?>
<calcChain xmlns="http://schemas.openxmlformats.org/spreadsheetml/2006/main">
  <c r="B78" i="8" l="1"/>
  <c r="B54" i="8"/>
  <c r="B45" i="8" l="1"/>
  <c r="B44" i="8"/>
  <c r="B46" i="8" s="1"/>
  <c r="B36" i="8"/>
  <c r="B35" i="8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I65" i="8" s="1"/>
  <c r="BJ84" i="7"/>
  <c r="BJ65" i="8" s="1"/>
  <c r="BK84" i="7"/>
  <c r="BL84" i="7"/>
  <c r="BM84" i="7"/>
  <c r="BN84" i="7"/>
  <c r="BN65" i="8" s="1"/>
  <c r="BO84" i="7"/>
  <c r="BP84" i="7"/>
  <c r="BQ84" i="7"/>
  <c r="BR84" i="7"/>
  <c r="BR65" i="8" s="1"/>
  <c r="BS84" i="7"/>
  <c r="BT84" i="7"/>
  <c r="BU84" i="7"/>
  <c r="BV84" i="7"/>
  <c r="BW84" i="7"/>
  <c r="BX84" i="7"/>
  <c r="BY84" i="7"/>
  <c r="BZ84" i="7"/>
  <c r="CA84" i="7"/>
  <c r="CB84" i="7"/>
  <c r="CC84" i="7"/>
  <c r="CD84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4" i="7"/>
  <c r="CR84" i="7"/>
  <c r="CS84" i="7"/>
  <c r="CT84" i="7"/>
  <c r="CU84" i="7"/>
  <c r="CV84" i="7"/>
  <c r="CW84" i="7"/>
  <c r="CX84" i="7"/>
  <c r="C84" i="7"/>
  <c r="C65" i="8" s="1"/>
  <c r="C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CB83" i="7"/>
  <c r="CC83" i="7"/>
  <c r="CD83" i="7"/>
  <c r="CE83" i="7"/>
  <c r="CF83" i="7"/>
  <c r="CG83" i="7"/>
  <c r="CH83" i="7"/>
  <c r="CI83" i="7"/>
  <c r="CJ83" i="7"/>
  <c r="CK83" i="7"/>
  <c r="CL83" i="7"/>
  <c r="CM83" i="7"/>
  <c r="CN83" i="7"/>
  <c r="CO83" i="7"/>
  <c r="CP83" i="7"/>
  <c r="CQ83" i="7"/>
  <c r="CR83" i="7"/>
  <c r="CS83" i="7"/>
  <c r="CT83" i="7"/>
  <c r="CU83" i="7"/>
  <c r="CV83" i="7"/>
  <c r="CW83" i="7"/>
  <c r="CX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K65" i="8"/>
  <c r="BL65" i="8"/>
  <c r="BM65" i="8"/>
  <c r="BO65" i="8"/>
  <c r="BP65" i="8"/>
  <c r="BQ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B50" i="8"/>
  <c r="B49" i="8"/>
  <c r="B48" i="8"/>
  <c r="B41" i="8"/>
  <c r="B40" i="8"/>
  <c r="B39" i="8"/>
  <c r="B73" i="8"/>
  <c r="B66" i="8" s="1"/>
  <c r="C67" i="8" s="1"/>
  <c r="B71" i="8"/>
  <c r="B62" i="8" s="1"/>
  <c r="B51" i="8" l="1"/>
  <c r="B34" i="7"/>
  <c r="D61" i="8" l="1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61" i="8"/>
  <c r="C63" i="8" s="1"/>
  <c r="AB82" i="7" l="1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CW82" i="7"/>
  <c r="CX82" i="7"/>
  <c r="C2" i="8" l="1"/>
  <c r="C78" i="7"/>
  <c r="C74" i="8" l="1"/>
  <c r="C72" i="8"/>
  <c r="C81" i="7"/>
  <c r="C80" i="7"/>
  <c r="C79" i="7"/>
  <c r="D2" i="8"/>
  <c r="B83" i="8"/>
  <c r="D67" i="8" l="1"/>
  <c r="D63" i="8"/>
  <c r="C82" i="7"/>
  <c r="D81" i="7"/>
  <c r="D80" i="7"/>
  <c r="D79" i="7"/>
  <c r="C83" i="8"/>
  <c r="D78" i="7"/>
  <c r="E2" i="8"/>
  <c r="E67" i="8" s="1"/>
  <c r="E81" i="7" l="1"/>
  <c r="E80" i="7"/>
  <c r="E79" i="7"/>
  <c r="F2" i="8"/>
  <c r="F67" i="8" s="1"/>
  <c r="F81" i="7" l="1"/>
  <c r="F79" i="7"/>
  <c r="F80" i="7"/>
  <c r="G2" i="8"/>
  <c r="G67" i="8" s="1"/>
  <c r="B36" i="7"/>
  <c r="G81" i="7" l="1"/>
  <c r="G80" i="7"/>
  <c r="G79" i="7"/>
  <c r="H2" i="8"/>
  <c r="H67" i="8" s="1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H79" i="7" l="1"/>
  <c r="H81" i="7"/>
  <c r="H80" i="7"/>
  <c r="I2" i="8"/>
  <c r="I67" i="8" s="1"/>
  <c r="I81" i="7" l="1"/>
  <c r="I80" i="7"/>
  <c r="I79" i="7"/>
  <c r="J2" i="8"/>
  <c r="J67" i="8" s="1"/>
  <c r="B37" i="8"/>
  <c r="B42" i="8"/>
  <c r="J81" i="7" l="1"/>
  <c r="J80" i="7"/>
  <c r="J79" i="7"/>
  <c r="K2" i="8"/>
  <c r="K67" i="8" s="1"/>
  <c r="B22" i="8"/>
  <c r="K81" i="7" l="1"/>
  <c r="K80" i="7"/>
  <c r="K79" i="7"/>
  <c r="L2" i="8"/>
  <c r="B23" i="8"/>
  <c r="E78" i="7"/>
  <c r="F78" i="7" s="1"/>
  <c r="G78" i="7" s="1"/>
  <c r="H78" i="7" s="1"/>
  <c r="I78" i="7" s="1"/>
  <c r="J78" i="7" s="1"/>
  <c r="K78" i="7" s="1"/>
  <c r="D83" i="8"/>
  <c r="C26" i="8"/>
  <c r="F28" i="8"/>
  <c r="J28" i="8"/>
  <c r="C27" i="8"/>
  <c r="D28" i="8"/>
  <c r="C28" i="8"/>
  <c r="I28" i="8"/>
  <c r="G28" i="8"/>
  <c r="K28" i="8"/>
  <c r="H28" i="8"/>
  <c r="E28" i="8"/>
  <c r="C13" i="8"/>
  <c r="I12" i="8"/>
  <c r="I14" i="8"/>
  <c r="I13" i="8"/>
  <c r="F14" i="8"/>
  <c r="F13" i="8"/>
  <c r="C14" i="8"/>
  <c r="G14" i="8"/>
  <c r="G13" i="8"/>
  <c r="K14" i="8"/>
  <c r="K13" i="8"/>
  <c r="E12" i="8"/>
  <c r="E14" i="8"/>
  <c r="E13" i="8"/>
  <c r="J14" i="8"/>
  <c r="J13" i="8"/>
  <c r="D13" i="8"/>
  <c r="D14" i="8"/>
  <c r="H13" i="8"/>
  <c r="H14" i="8"/>
  <c r="G12" i="8"/>
  <c r="K12" i="8"/>
  <c r="C12" i="8"/>
  <c r="F12" i="8"/>
  <c r="J12" i="8"/>
  <c r="D12" i="8"/>
  <c r="H12" i="8"/>
  <c r="F63" i="8"/>
  <c r="J63" i="8"/>
  <c r="G63" i="8"/>
  <c r="K63" i="8"/>
  <c r="H63" i="8"/>
  <c r="E63" i="8"/>
  <c r="I63" i="8"/>
  <c r="L12" i="8" l="1"/>
  <c r="L67" i="8"/>
  <c r="B84" i="8"/>
  <c r="L28" i="8"/>
  <c r="L80" i="7"/>
  <c r="L81" i="7"/>
  <c r="L79" i="7"/>
  <c r="L63" i="8"/>
  <c r="L78" i="7"/>
  <c r="M2" i="8"/>
  <c r="M67" i="8" s="1"/>
  <c r="L13" i="8"/>
  <c r="L14" i="8"/>
  <c r="B24" i="8"/>
  <c r="B31" i="8" s="1"/>
  <c r="D82" i="7"/>
  <c r="E83" i="8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M81" i="7" l="1"/>
  <c r="M80" i="7"/>
  <c r="M79" i="7"/>
  <c r="L15" i="8"/>
  <c r="L18" i="8" s="1"/>
  <c r="L59" i="8" s="1"/>
  <c r="L68" i="8" s="1"/>
  <c r="N2" i="8"/>
  <c r="N67" i="8" s="1"/>
  <c r="M28" i="8"/>
  <c r="M14" i="8"/>
  <c r="M13" i="8"/>
  <c r="M63" i="8"/>
  <c r="M12" i="8"/>
  <c r="M78" i="7"/>
  <c r="E82" i="7"/>
  <c r="F83" i="8"/>
  <c r="C31" i="8"/>
  <c r="D31" i="8"/>
  <c r="F26" i="8"/>
  <c r="E27" i="8"/>
  <c r="E29" i="8" s="1"/>
  <c r="E31" i="8" s="1"/>
  <c r="J18" i="8"/>
  <c r="J59" i="8" s="1"/>
  <c r="J68" i="8" s="1"/>
  <c r="G18" i="8"/>
  <c r="G59" i="8" s="1"/>
  <c r="G68" i="8" s="1"/>
  <c r="C18" i="8"/>
  <c r="C59" i="8" s="1"/>
  <c r="C68" i="8" s="1"/>
  <c r="F18" i="8"/>
  <c r="F59" i="8" s="1"/>
  <c r="F68" i="8" s="1"/>
  <c r="H18" i="8"/>
  <c r="H59" i="8" s="1"/>
  <c r="H68" i="8" s="1"/>
  <c r="E18" i="8"/>
  <c r="E59" i="8" s="1"/>
  <c r="E68" i="8" s="1"/>
  <c r="I18" i="8"/>
  <c r="I59" i="8" s="1"/>
  <c r="I68" i="8" s="1"/>
  <c r="D18" i="8"/>
  <c r="D59" i="8" s="1"/>
  <c r="D68" i="8" s="1"/>
  <c r="K18" i="8"/>
  <c r="N81" i="7" l="1"/>
  <c r="N79" i="7"/>
  <c r="N80" i="7"/>
  <c r="N78" i="7"/>
  <c r="M15" i="8"/>
  <c r="M18" i="8" s="1"/>
  <c r="M59" i="8" s="1"/>
  <c r="M68" i="8" s="1"/>
  <c r="O2" i="8"/>
  <c r="O67" i="8" s="1"/>
  <c r="N13" i="8"/>
  <c r="N63" i="8"/>
  <c r="N14" i="8"/>
  <c r="N28" i="8"/>
  <c r="N12" i="8"/>
  <c r="F82" i="7"/>
  <c r="G83" i="8"/>
  <c r="G26" i="8"/>
  <c r="F27" i="8"/>
  <c r="F29" i="8" s="1"/>
  <c r="F31" i="8" s="1"/>
  <c r="K59" i="8"/>
  <c r="K68" i="8" s="1"/>
  <c r="O81" i="7" l="1"/>
  <c r="O80" i="7"/>
  <c r="O79" i="7"/>
  <c r="N15" i="8"/>
  <c r="N18" i="8" s="1"/>
  <c r="N59" i="8" s="1"/>
  <c r="N68" i="8" s="1"/>
  <c r="O78" i="7"/>
  <c r="P2" i="8"/>
  <c r="P67" i="8" s="1"/>
  <c r="O28" i="8"/>
  <c r="O14" i="8"/>
  <c r="O13" i="8"/>
  <c r="O12" i="8"/>
  <c r="O63" i="8"/>
  <c r="G82" i="7"/>
  <c r="G27" i="8"/>
  <c r="G29" i="8" s="1"/>
  <c r="G31" i="8" s="1"/>
  <c r="H26" i="8"/>
  <c r="P81" i="7" l="1"/>
  <c r="P79" i="7"/>
  <c r="P80" i="7"/>
  <c r="P78" i="7"/>
  <c r="O15" i="8"/>
  <c r="O18" i="8" s="1"/>
  <c r="O59" i="8" s="1"/>
  <c r="O68" i="8" s="1"/>
  <c r="H82" i="7"/>
  <c r="H83" i="8"/>
  <c r="Q2" i="8"/>
  <c r="Q67" i="8" s="1"/>
  <c r="P14" i="8"/>
  <c r="P13" i="8"/>
  <c r="P28" i="8"/>
  <c r="P12" i="8"/>
  <c r="P63" i="8"/>
  <c r="I26" i="8"/>
  <c r="H27" i="8"/>
  <c r="H29" i="8" s="1"/>
  <c r="H31" i="8" s="1"/>
  <c r="Q81" i="7" l="1"/>
  <c r="Q80" i="7"/>
  <c r="Q79" i="7"/>
  <c r="P15" i="8"/>
  <c r="P18" i="8" s="1"/>
  <c r="P59" i="8" s="1"/>
  <c r="P68" i="8" s="1"/>
  <c r="R2" i="8"/>
  <c r="R67" i="8" s="1"/>
  <c r="Q28" i="8"/>
  <c r="Q14" i="8"/>
  <c r="Q13" i="8"/>
  <c r="Q12" i="8"/>
  <c r="Q63" i="8"/>
  <c r="I82" i="7"/>
  <c r="I83" i="8"/>
  <c r="Q78" i="7"/>
  <c r="R78" i="7" s="1"/>
  <c r="J82" i="7"/>
  <c r="J83" i="8"/>
  <c r="J26" i="8"/>
  <c r="I27" i="8"/>
  <c r="I29" i="8" s="1"/>
  <c r="I31" i="8" s="1"/>
  <c r="R81" i="7" l="1"/>
  <c r="R80" i="7"/>
  <c r="R79" i="7"/>
  <c r="Q15" i="8"/>
  <c r="Q18" i="8" s="1"/>
  <c r="Q59" i="8" s="1"/>
  <c r="Q68" i="8" s="1"/>
  <c r="K82" i="7"/>
  <c r="K83" i="8"/>
  <c r="S2" i="8"/>
  <c r="S67" i="8" s="1"/>
  <c r="R13" i="8"/>
  <c r="R14" i="8"/>
  <c r="R63" i="8"/>
  <c r="R28" i="8"/>
  <c r="R12" i="8"/>
  <c r="K26" i="8"/>
  <c r="J27" i="8"/>
  <c r="J29" i="8" s="1"/>
  <c r="J31" i="8" s="1"/>
  <c r="S81" i="7" l="1"/>
  <c r="S80" i="7"/>
  <c r="S79" i="7"/>
  <c r="S78" i="7"/>
  <c r="R15" i="8"/>
  <c r="R18" i="8" s="1"/>
  <c r="R59" i="8" s="1"/>
  <c r="R68" i="8" s="1"/>
  <c r="L82" i="7"/>
  <c r="L83" i="8"/>
  <c r="T2" i="8"/>
  <c r="T67" i="8" s="1"/>
  <c r="S12" i="8"/>
  <c r="S63" i="8"/>
  <c r="S14" i="8"/>
  <c r="S28" i="8"/>
  <c r="S13" i="8"/>
  <c r="K27" i="8"/>
  <c r="K29" i="8" s="1"/>
  <c r="K31" i="8" s="1"/>
  <c r="L26" i="8"/>
  <c r="T81" i="7" l="1"/>
  <c r="T80" i="7"/>
  <c r="T79" i="7"/>
  <c r="S15" i="8"/>
  <c r="S18" i="8" s="1"/>
  <c r="S59" i="8" s="1"/>
  <c r="S68" i="8" s="1"/>
  <c r="T78" i="7"/>
  <c r="M82" i="7"/>
  <c r="M83" i="8"/>
  <c r="U2" i="8"/>
  <c r="U67" i="8" s="1"/>
  <c r="T63" i="8"/>
  <c r="T14" i="8"/>
  <c r="T12" i="8"/>
  <c r="T28" i="8"/>
  <c r="T13" i="8"/>
  <c r="M26" i="8"/>
  <c r="L27" i="8"/>
  <c r="L29" i="8" s="1"/>
  <c r="L31" i="8" s="1"/>
  <c r="U81" i="7" l="1"/>
  <c r="U80" i="7"/>
  <c r="U79" i="7"/>
  <c r="T15" i="8"/>
  <c r="T18" i="8" s="1"/>
  <c r="T59" i="8" s="1"/>
  <c r="T68" i="8" s="1"/>
  <c r="U78" i="7"/>
  <c r="N82" i="7"/>
  <c r="N83" i="8"/>
  <c r="V2" i="8"/>
  <c r="V67" i="8" s="1"/>
  <c r="U13" i="8"/>
  <c r="U63" i="8"/>
  <c r="U28" i="8"/>
  <c r="U12" i="8"/>
  <c r="U14" i="8"/>
  <c r="N26" i="8"/>
  <c r="M27" i="8"/>
  <c r="M29" i="8" s="1"/>
  <c r="M31" i="8" s="1"/>
  <c r="V81" i="7" l="1"/>
  <c r="V79" i="7"/>
  <c r="V80" i="7"/>
  <c r="U15" i="8"/>
  <c r="U18" i="8" s="1"/>
  <c r="U59" i="8" s="1"/>
  <c r="U68" i="8" s="1"/>
  <c r="O82" i="7"/>
  <c r="O83" i="8"/>
  <c r="W2" i="8"/>
  <c r="W67" i="8" s="1"/>
  <c r="V28" i="8"/>
  <c r="V12" i="8"/>
  <c r="V13" i="8"/>
  <c r="V63" i="8"/>
  <c r="V14" i="8"/>
  <c r="V78" i="7"/>
  <c r="O26" i="8"/>
  <c r="N27" i="8"/>
  <c r="N29" i="8" s="1"/>
  <c r="N31" i="8" s="1"/>
  <c r="W81" i="7" l="1"/>
  <c r="W80" i="7"/>
  <c r="W79" i="7"/>
  <c r="V15" i="8"/>
  <c r="V18" i="8" s="1"/>
  <c r="V59" i="8" s="1"/>
  <c r="V68" i="8" s="1"/>
  <c r="W78" i="7"/>
  <c r="P82" i="7"/>
  <c r="P83" i="8"/>
  <c r="X2" i="8"/>
  <c r="X67" i="8" s="1"/>
  <c r="W14" i="8"/>
  <c r="W13" i="8"/>
  <c r="W12" i="8"/>
  <c r="W63" i="8"/>
  <c r="W28" i="8"/>
  <c r="P26" i="8"/>
  <c r="O27" i="8"/>
  <c r="O29" i="8" s="1"/>
  <c r="O31" i="8" s="1"/>
  <c r="X79" i="7" l="1"/>
  <c r="X81" i="7"/>
  <c r="X80" i="7"/>
  <c r="X78" i="7"/>
  <c r="W15" i="8"/>
  <c r="W18" i="8" s="1"/>
  <c r="W59" i="8" s="1"/>
  <c r="W68" i="8" s="1"/>
  <c r="Q82" i="7"/>
  <c r="Q83" i="8"/>
  <c r="Y2" i="8"/>
  <c r="Y67" i="8" s="1"/>
  <c r="X14" i="8"/>
  <c r="X13" i="8"/>
  <c r="X12" i="8"/>
  <c r="X63" i="8"/>
  <c r="X28" i="8"/>
  <c r="Q26" i="8"/>
  <c r="P27" i="8"/>
  <c r="P29" i="8" s="1"/>
  <c r="P31" i="8" s="1"/>
  <c r="Y81" i="7" l="1"/>
  <c r="Y80" i="7"/>
  <c r="Y79" i="7"/>
  <c r="Y78" i="7"/>
  <c r="X15" i="8"/>
  <c r="X18" i="8" s="1"/>
  <c r="X59" i="8" s="1"/>
  <c r="X68" i="8" s="1"/>
  <c r="R82" i="7"/>
  <c r="R83" i="8"/>
  <c r="Z2" i="8"/>
  <c r="Z67" i="8" s="1"/>
  <c r="Y13" i="8"/>
  <c r="Y12" i="8"/>
  <c r="Y28" i="8"/>
  <c r="Y63" i="8"/>
  <c r="Y14" i="8"/>
  <c r="R26" i="8"/>
  <c r="Q27" i="8"/>
  <c r="Q29" i="8" s="1"/>
  <c r="Q31" i="8" s="1"/>
  <c r="Z81" i="7" l="1"/>
  <c r="Z80" i="7"/>
  <c r="Z79" i="7"/>
  <c r="Z78" i="7"/>
  <c r="Y15" i="8"/>
  <c r="Y18" i="8" s="1"/>
  <c r="Y59" i="8" s="1"/>
  <c r="Y68" i="8" s="1"/>
  <c r="S82" i="7"/>
  <c r="S83" i="8"/>
  <c r="AA2" i="8"/>
  <c r="AA67" i="8" s="1"/>
  <c r="Z28" i="8"/>
  <c r="Z14" i="8"/>
  <c r="Z12" i="8"/>
  <c r="Z13" i="8"/>
  <c r="Z63" i="8"/>
  <c r="S26" i="8"/>
  <c r="R27" i="8"/>
  <c r="R29" i="8" s="1"/>
  <c r="R31" i="8" s="1"/>
  <c r="AA81" i="7" l="1"/>
  <c r="AA80" i="7"/>
  <c r="AA79" i="7"/>
  <c r="Z15" i="8"/>
  <c r="Z18" i="8" s="1"/>
  <c r="Z59" i="8" s="1"/>
  <c r="Z68" i="8" s="1"/>
  <c r="AA78" i="7"/>
  <c r="T82" i="7"/>
  <c r="T83" i="8"/>
  <c r="AB2" i="8"/>
  <c r="AA14" i="8"/>
  <c r="AA13" i="8"/>
  <c r="AA12" i="8"/>
  <c r="AA63" i="8"/>
  <c r="AA28" i="8"/>
  <c r="T26" i="8"/>
  <c r="S27" i="8"/>
  <c r="S29" i="8" s="1"/>
  <c r="S31" i="8" s="1"/>
  <c r="AB68" i="8" l="1"/>
  <c r="AB75" i="8"/>
  <c r="AB67" i="8"/>
  <c r="AB80" i="7"/>
  <c r="AB79" i="7"/>
  <c r="AB81" i="7"/>
  <c r="AA15" i="8"/>
  <c r="AA18" i="8" s="1"/>
  <c r="AA59" i="8" s="1"/>
  <c r="AA68" i="8" s="1"/>
  <c r="AB78" i="8"/>
  <c r="AB84" i="8"/>
  <c r="AB83" i="8"/>
  <c r="AB79" i="8"/>
  <c r="AC2" i="8"/>
  <c r="AB53" i="8"/>
  <c r="AB54" i="8" s="1"/>
  <c r="AB57" i="8"/>
  <c r="AB69" i="8"/>
  <c r="AB15" i="8"/>
  <c r="AB18" i="8"/>
  <c r="AB59" i="8" s="1"/>
  <c r="AB12" i="8"/>
  <c r="AB80" i="8"/>
  <c r="AB70" i="8"/>
  <c r="AB78" i="7"/>
  <c r="AB63" i="8"/>
  <c r="AB31" i="8"/>
  <c r="U82" i="7"/>
  <c r="U83" i="8"/>
  <c r="U26" i="8"/>
  <c r="T27" i="8"/>
  <c r="T29" i="8" s="1"/>
  <c r="T31" i="8" s="1"/>
  <c r="AC68" i="8" l="1"/>
  <c r="AC75" i="8"/>
  <c r="AC67" i="8"/>
  <c r="AC81" i="7"/>
  <c r="AC80" i="7"/>
  <c r="AC79" i="7"/>
  <c r="V82" i="7"/>
  <c r="V83" i="8"/>
  <c r="AC78" i="8"/>
  <c r="AC84" i="8"/>
  <c r="AC83" i="8"/>
  <c r="AC79" i="8"/>
  <c r="AC57" i="8"/>
  <c r="AC53" i="8"/>
  <c r="AC54" i="8" s="1"/>
  <c r="AD2" i="8"/>
  <c r="AC12" i="8"/>
  <c r="AC80" i="8"/>
  <c r="AC69" i="8"/>
  <c r="AC70" i="8"/>
  <c r="AC63" i="8"/>
  <c r="AC18" i="8"/>
  <c r="AC59" i="8" s="1"/>
  <c r="AC78" i="7"/>
  <c r="AC15" i="8"/>
  <c r="AC31" i="8"/>
  <c r="V26" i="8"/>
  <c r="U27" i="8"/>
  <c r="U29" i="8" s="1"/>
  <c r="U31" i="8" s="1"/>
  <c r="AD75" i="8" l="1"/>
  <c r="AD67" i="8"/>
  <c r="AD68" i="8"/>
  <c r="AD81" i="7"/>
  <c r="AD79" i="7"/>
  <c r="AD80" i="7"/>
  <c r="AD78" i="8"/>
  <c r="AD84" i="8"/>
  <c r="AD83" i="8"/>
  <c r="AD79" i="8"/>
  <c r="AD53" i="8"/>
  <c r="AD54" i="8" s="1"/>
  <c r="AE2" i="8"/>
  <c r="AD57" i="8"/>
  <c r="AD80" i="8"/>
  <c r="AD63" i="8"/>
  <c r="AD70" i="8"/>
  <c r="AD18" i="8"/>
  <c r="AD59" i="8" s="1"/>
  <c r="AD15" i="8"/>
  <c r="AD78" i="7"/>
  <c r="AD12" i="8"/>
  <c r="AD69" i="8"/>
  <c r="AD31" i="8"/>
  <c r="W82" i="7"/>
  <c r="W83" i="8"/>
  <c r="W26" i="8"/>
  <c r="V27" i="8"/>
  <c r="V29" i="8" s="1"/>
  <c r="V31" i="8" s="1"/>
  <c r="AE68" i="8" l="1"/>
  <c r="AE75" i="8"/>
  <c r="AE67" i="8"/>
  <c r="AE81" i="7"/>
  <c r="AE80" i="7"/>
  <c r="AE79" i="7"/>
  <c r="AE78" i="8"/>
  <c r="AE83" i="8"/>
  <c r="AE84" i="8"/>
  <c r="AE79" i="8"/>
  <c r="AE53" i="8"/>
  <c r="AE54" i="8" s="1"/>
  <c r="AE57" i="8"/>
  <c r="AF2" i="8"/>
  <c r="AE78" i="7"/>
  <c r="AE12" i="8"/>
  <c r="AE63" i="8"/>
  <c r="AE15" i="8"/>
  <c r="AE80" i="8"/>
  <c r="AE70" i="8"/>
  <c r="AE18" i="8"/>
  <c r="AE59" i="8" s="1"/>
  <c r="AE69" i="8"/>
  <c r="AE31" i="8"/>
  <c r="X82" i="7"/>
  <c r="X83" i="8"/>
  <c r="X26" i="8"/>
  <c r="W27" i="8"/>
  <c r="W29" i="8" s="1"/>
  <c r="W31" i="8" s="1"/>
  <c r="AF68" i="8" l="1"/>
  <c r="AF75" i="8"/>
  <c r="AF67" i="8"/>
  <c r="AF81" i="7"/>
  <c r="AF79" i="7"/>
  <c r="AF80" i="7"/>
  <c r="Y82" i="7"/>
  <c r="Y83" i="8"/>
  <c r="AF78" i="8"/>
  <c r="AF84" i="8"/>
  <c r="AF83" i="8"/>
  <c r="AF79" i="8"/>
  <c r="AF53" i="8"/>
  <c r="AF54" i="8" s="1"/>
  <c r="AF57" i="8"/>
  <c r="AG2" i="8"/>
  <c r="AF78" i="7"/>
  <c r="AF80" i="8"/>
  <c r="AF63" i="8"/>
  <c r="AF70" i="8"/>
  <c r="AF69" i="8"/>
  <c r="AF15" i="8"/>
  <c r="AF18" i="8"/>
  <c r="AF59" i="8" s="1"/>
  <c r="AF12" i="8"/>
  <c r="AF31" i="8"/>
  <c r="X27" i="8"/>
  <c r="X29" i="8" s="1"/>
  <c r="X31" i="8" s="1"/>
  <c r="Y26" i="8"/>
  <c r="AG68" i="8" l="1"/>
  <c r="AG75" i="8"/>
  <c r="AG67" i="8"/>
  <c r="AG81" i="7"/>
  <c r="AG80" i="7"/>
  <c r="AG79" i="7"/>
  <c r="AG78" i="8"/>
  <c r="AG84" i="8"/>
  <c r="AG83" i="8"/>
  <c r="AG79" i="8"/>
  <c r="AG53" i="8"/>
  <c r="AG54" i="8" s="1"/>
  <c r="AG63" i="8"/>
  <c r="AG18" i="8"/>
  <c r="AG59" i="8" s="1"/>
  <c r="AG12" i="8"/>
  <c r="AG80" i="8"/>
  <c r="AG69" i="8"/>
  <c r="AG70" i="8"/>
  <c r="AH2" i="8"/>
  <c r="AG78" i="7"/>
  <c r="AG57" i="8"/>
  <c r="AG15" i="8"/>
  <c r="AG31" i="8"/>
  <c r="Z82" i="7"/>
  <c r="Z83" i="8"/>
  <c r="Z26" i="8"/>
  <c r="Y27" i="8"/>
  <c r="Y29" i="8" s="1"/>
  <c r="Y31" i="8" s="1"/>
  <c r="AH75" i="8" l="1"/>
  <c r="AH67" i="8"/>
  <c r="AH68" i="8"/>
  <c r="AH81" i="7"/>
  <c r="AH80" i="7"/>
  <c r="AH79" i="7"/>
  <c r="AA82" i="7"/>
  <c r="B8" i="8" s="1" a="1"/>
  <c r="AA83" i="8"/>
  <c r="AH84" i="8"/>
  <c r="AH79" i="8"/>
  <c r="AH83" i="8"/>
  <c r="AH31" i="8"/>
  <c r="AH69" i="8"/>
  <c r="AH15" i="8"/>
  <c r="AH53" i="8"/>
  <c r="AH54" i="8" s="1"/>
  <c r="AH78" i="7"/>
  <c r="AH63" i="8"/>
  <c r="AH80" i="8"/>
  <c r="AH78" i="8"/>
  <c r="AH18" i="8"/>
  <c r="AH59" i="8" s="1"/>
  <c r="AH12" i="8"/>
  <c r="AI2" i="8"/>
  <c r="AH70" i="8"/>
  <c r="AH57" i="8"/>
  <c r="AA26" i="8"/>
  <c r="AA27" i="8" s="1"/>
  <c r="AA29" i="8" s="1"/>
  <c r="AA31" i="8" s="1"/>
  <c r="Z27" i="8"/>
  <c r="Z29" i="8" s="1"/>
  <c r="Z31" i="8" s="1"/>
  <c r="AI68" i="8" l="1"/>
  <c r="AI75" i="8"/>
  <c r="AI67" i="8"/>
  <c r="AI81" i="7"/>
  <c r="AI80" i="7"/>
  <c r="AI79" i="7"/>
  <c r="AI78" i="8"/>
  <c r="AI79" i="8"/>
  <c r="AI84" i="8"/>
  <c r="AI83" i="8"/>
  <c r="AI57" i="8"/>
  <c r="AI12" i="8"/>
  <c r="AI69" i="8"/>
  <c r="AI18" i="8"/>
  <c r="AI59" i="8" s="1"/>
  <c r="AI78" i="7"/>
  <c r="AI31" i="8"/>
  <c r="AI80" i="8"/>
  <c r="AI53" i="8"/>
  <c r="AI54" i="8" s="1"/>
  <c r="AI63" i="8"/>
  <c r="AI15" i="8"/>
  <c r="AJ2" i="8"/>
  <c r="AI70" i="8"/>
  <c r="B8" i="8"/>
  <c r="B80" i="8" s="1"/>
  <c r="BI8" i="8"/>
  <c r="AW8" i="8"/>
  <c r="I8" i="8"/>
  <c r="I79" i="8" s="1"/>
  <c r="CS8" i="8"/>
  <c r="H8" i="8"/>
  <c r="H79" i="8" s="1"/>
  <c r="AO8" i="8"/>
  <c r="BA8" i="8"/>
  <c r="E8" i="8"/>
  <c r="E79" i="8" s="1"/>
  <c r="BP8" i="8"/>
  <c r="AJ8" i="8"/>
  <c r="CE8" i="8"/>
  <c r="AY8" i="8"/>
  <c r="CJ8" i="8"/>
  <c r="BL8" i="8"/>
  <c r="AF8" i="8"/>
  <c r="CA8" i="8"/>
  <c r="AU8" i="8"/>
  <c r="AA8" i="8"/>
  <c r="AA79" i="8" s="1"/>
  <c r="G8" i="8"/>
  <c r="G79" i="8" s="1"/>
  <c r="CP8" i="8"/>
  <c r="BZ8" i="8"/>
  <c r="BJ8" i="8"/>
  <c r="AT8" i="8"/>
  <c r="AD8" i="8"/>
  <c r="N8" i="8"/>
  <c r="N79" i="8" s="1"/>
  <c r="Y8" i="8"/>
  <c r="Y79" i="8" s="1"/>
  <c r="CU8" i="8"/>
  <c r="BX8" i="8"/>
  <c r="CQ8" i="8"/>
  <c r="AI8" i="8"/>
  <c r="CX8" i="8"/>
  <c r="BR8" i="8"/>
  <c r="AL8" i="8"/>
  <c r="F8" i="8"/>
  <c r="F79" i="8" s="1"/>
  <c r="BE8" i="8"/>
  <c r="CM8" i="8"/>
  <c r="BT8" i="8"/>
  <c r="CI8" i="8"/>
  <c r="AE8" i="8"/>
  <c r="CT8" i="8"/>
  <c r="BN8" i="8"/>
  <c r="AH8" i="8"/>
  <c r="D8" i="8"/>
  <c r="D79" i="8" s="1"/>
  <c r="P8" i="8"/>
  <c r="P79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9" i="8" s="1"/>
  <c r="BS8" i="8"/>
  <c r="AQ8" i="8"/>
  <c r="W8" i="8"/>
  <c r="W79" i="8" s="1"/>
  <c r="C8" i="8"/>
  <c r="C79" i="8" s="1"/>
  <c r="CL8" i="8"/>
  <c r="BV8" i="8"/>
  <c r="BF8" i="8"/>
  <c r="AP8" i="8"/>
  <c r="Z8" i="8"/>
  <c r="Z79" i="8" s="1"/>
  <c r="J8" i="8"/>
  <c r="J79" i="8" s="1"/>
  <c r="CO8" i="8"/>
  <c r="AC8" i="8"/>
  <c r="AG8" i="8"/>
  <c r="BU8" i="8"/>
  <c r="CG8" i="8"/>
  <c r="U8" i="8"/>
  <c r="U79" i="8" s="1"/>
  <c r="CN8" i="8"/>
  <c r="AZ8" i="8"/>
  <c r="BO8" i="8"/>
  <c r="O8" i="8"/>
  <c r="O79" i="8" s="1"/>
  <c r="AV8" i="8"/>
  <c r="BK8" i="8"/>
  <c r="S8" i="8"/>
  <c r="S79" i="8" s="1"/>
  <c r="CH8" i="8"/>
  <c r="BB8" i="8"/>
  <c r="V8" i="8"/>
  <c r="V79" i="8" s="1"/>
  <c r="CC8" i="8"/>
  <c r="T8" i="8"/>
  <c r="T79" i="8" s="1"/>
  <c r="AS8" i="8"/>
  <c r="L8" i="8"/>
  <c r="L79" i="8" s="1"/>
  <c r="Q8" i="8"/>
  <c r="Q79" i="8" s="1"/>
  <c r="BQ8" i="8"/>
  <c r="M8" i="8"/>
  <c r="M79" i="8" s="1"/>
  <c r="CB8" i="8"/>
  <c r="AR8" i="8"/>
  <c r="BG8" i="8"/>
  <c r="CR8" i="8"/>
  <c r="AN8" i="8"/>
  <c r="BC8" i="8"/>
  <c r="K8" i="8"/>
  <c r="K79" i="8" s="1"/>
  <c r="CD8" i="8"/>
  <c r="AX8" i="8"/>
  <c r="R8" i="8"/>
  <c r="R79" i="8" s="1"/>
  <c r="AJ68" i="8" l="1"/>
  <c r="AJ75" i="8"/>
  <c r="AJ67" i="8"/>
  <c r="AJ81" i="7"/>
  <c r="AJ80" i="7"/>
  <c r="AJ79" i="7"/>
  <c r="AJ78" i="8"/>
  <c r="AJ84" i="8"/>
  <c r="AJ83" i="8"/>
  <c r="AJ79" i="8"/>
  <c r="AK2" i="8"/>
  <c r="AJ12" i="8"/>
  <c r="AJ15" i="8"/>
  <c r="AJ53" i="8"/>
  <c r="AJ54" i="8" s="1"/>
  <c r="AJ70" i="8"/>
  <c r="AJ31" i="8"/>
  <c r="AJ57" i="8"/>
  <c r="AJ80" i="8"/>
  <c r="AJ63" i="8"/>
  <c r="AJ69" i="8"/>
  <c r="AJ78" i="7"/>
  <c r="AJ18" i="8"/>
  <c r="AJ59" i="8" s="1"/>
  <c r="AK68" i="8" l="1"/>
  <c r="AK75" i="8"/>
  <c r="AK67" i="8"/>
  <c r="AK81" i="7"/>
  <c r="AK80" i="7"/>
  <c r="AK79" i="7"/>
  <c r="AK78" i="8"/>
  <c r="AK84" i="8"/>
  <c r="AK83" i="8"/>
  <c r="AK79" i="8"/>
  <c r="AK78" i="7"/>
  <c r="AK12" i="8"/>
  <c r="AK31" i="8"/>
  <c r="AL2" i="8"/>
  <c r="AK63" i="8"/>
  <c r="AK57" i="8"/>
  <c r="AK69" i="8"/>
  <c r="AK80" i="8"/>
  <c r="AK53" i="8"/>
  <c r="AK54" i="8" s="1"/>
  <c r="AK15" i="8"/>
  <c r="AK18" i="8"/>
  <c r="AK59" i="8" s="1"/>
  <c r="AK70" i="8"/>
  <c r="AL75" i="8" l="1"/>
  <c r="AL67" i="8"/>
  <c r="AL68" i="8"/>
  <c r="AL81" i="7"/>
  <c r="AL79" i="7"/>
  <c r="AL80" i="7"/>
  <c r="AL78" i="8"/>
  <c r="AL84" i="8"/>
  <c r="AL83" i="8"/>
  <c r="AL79" i="8"/>
  <c r="AL18" i="8"/>
  <c r="AL59" i="8" s="1"/>
  <c r="AM2" i="8"/>
  <c r="AL78" i="7"/>
  <c r="AL31" i="8"/>
  <c r="AL57" i="8"/>
  <c r="AL12" i="8"/>
  <c r="AL63" i="8"/>
  <c r="AL70" i="8"/>
  <c r="AL53" i="8"/>
  <c r="AL54" i="8" s="1"/>
  <c r="AL15" i="8"/>
  <c r="AL80" i="8"/>
  <c r="AL69" i="8"/>
  <c r="AM68" i="8" l="1"/>
  <c r="AM75" i="8"/>
  <c r="AM67" i="8"/>
  <c r="AM81" i="7"/>
  <c r="AM80" i="7"/>
  <c r="AM79" i="7"/>
  <c r="AM78" i="8"/>
  <c r="AM84" i="8"/>
  <c r="AM83" i="8"/>
  <c r="AM79" i="8"/>
  <c r="AM57" i="8"/>
  <c r="AM80" i="8"/>
  <c r="AM70" i="8"/>
  <c r="AM18" i="8"/>
  <c r="AM59" i="8" s="1"/>
  <c r="AM78" i="7"/>
  <c r="AM12" i="8"/>
  <c r="AM31" i="8"/>
  <c r="AN2" i="8"/>
  <c r="AM69" i="8"/>
  <c r="AM63" i="8"/>
  <c r="AM53" i="8"/>
  <c r="AM54" i="8" s="1"/>
  <c r="AM15" i="8"/>
  <c r="AN68" i="8" l="1"/>
  <c r="AN75" i="8"/>
  <c r="AN67" i="8"/>
  <c r="AN79" i="7"/>
  <c r="AN81" i="7"/>
  <c r="AN80" i="7"/>
  <c r="AN78" i="8"/>
  <c r="AN84" i="8"/>
  <c r="AN83" i="8"/>
  <c r="AN79" i="8"/>
  <c r="AN31" i="8"/>
  <c r="AO2" i="8"/>
  <c r="AN78" i="7"/>
  <c r="AN63" i="8"/>
  <c r="AN12" i="8"/>
  <c r="AN53" i="8"/>
  <c r="AN54" i="8" s="1"/>
  <c r="AN80" i="8"/>
  <c r="AN70" i="8"/>
  <c r="AN57" i="8"/>
  <c r="AN15" i="8"/>
  <c r="AN18" i="8"/>
  <c r="AN59" i="8" s="1"/>
  <c r="AN69" i="8"/>
  <c r="AO68" i="8" l="1"/>
  <c r="AO75" i="8"/>
  <c r="AO67" i="8"/>
  <c r="AO81" i="7"/>
  <c r="AO80" i="7"/>
  <c r="AO79" i="7"/>
  <c r="AO78" i="8"/>
  <c r="AO84" i="8"/>
  <c r="AO83" i="8"/>
  <c r="AO79" i="8"/>
  <c r="AO12" i="8"/>
  <c r="AO15" i="8"/>
  <c r="AO57" i="8"/>
  <c r="AO18" i="8"/>
  <c r="AO59" i="8" s="1"/>
  <c r="AO53" i="8"/>
  <c r="AO54" i="8" s="1"/>
  <c r="AO80" i="8"/>
  <c r="AO31" i="8"/>
  <c r="AO78" i="7"/>
  <c r="AO69" i="8"/>
  <c r="AP2" i="8"/>
  <c r="AO63" i="8"/>
  <c r="AO70" i="8"/>
  <c r="AP75" i="8" l="1"/>
  <c r="AP67" i="8"/>
  <c r="AP68" i="8"/>
  <c r="AP81" i="7"/>
  <c r="AP80" i="7"/>
  <c r="AP79" i="7"/>
  <c r="AP78" i="8"/>
  <c r="AP84" i="8"/>
  <c r="AP83" i="8"/>
  <c r="AP79" i="8"/>
  <c r="AP78" i="7"/>
  <c r="AP70" i="8"/>
  <c r="AP53" i="8"/>
  <c r="AP54" i="8" s="1"/>
  <c r="AP80" i="8"/>
  <c r="AP69" i="8"/>
  <c r="AP31" i="8"/>
  <c r="AP18" i="8"/>
  <c r="AP59" i="8" s="1"/>
  <c r="AQ2" i="8"/>
  <c r="AP12" i="8"/>
  <c r="AP57" i="8"/>
  <c r="AP63" i="8"/>
  <c r="AP15" i="8"/>
  <c r="AQ68" i="8" l="1"/>
  <c r="AQ75" i="8"/>
  <c r="AQ67" i="8"/>
  <c r="AQ81" i="7"/>
  <c r="AQ80" i="7"/>
  <c r="AQ79" i="7"/>
  <c r="AQ78" i="8"/>
  <c r="AQ79" i="8"/>
  <c r="AQ84" i="8"/>
  <c r="AQ83" i="8"/>
  <c r="AQ69" i="8"/>
  <c r="AQ31" i="8"/>
  <c r="AR2" i="8"/>
  <c r="AQ15" i="8"/>
  <c r="AQ18" i="8"/>
  <c r="AQ59" i="8" s="1"/>
  <c r="AQ57" i="8"/>
  <c r="AQ78" i="7"/>
  <c r="AQ70" i="8"/>
  <c r="AQ12" i="8"/>
  <c r="AQ53" i="8"/>
  <c r="AQ54" i="8" s="1"/>
  <c r="AQ63" i="8"/>
  <c r="AQ80" i="8"/>
  <c r="AR68" i="8" l="1"/>
  <c r="AR75" i="8"/>
  <c r="AR67" i="8"/>
  <c r="AR79" i="7"/>
  <c r="AR80" i="7"/>
  <c r="AR81" i="7"/>
  <c r="AR78" i="8"/>
  <c r="AR84" i="8"/>
  <c r="AR83" i="8"/>
  <c r="AR79" i="8"/>
  <c r="AR78" i="7"/>
  <c r="AR15" i="8"/>
  <c r="AR18" i="8"/>
  <c r="AR59" i="8" s="1"/>
  <c r="AS2" i="8"/>
  <c r="AR12" i="8"/>
  <c r="AR63" i="8"/>
  <c r="AR69" i="8"/>
  <c r="AR53" i="8"/>
  <c r="AR54" i="8" s="1"/>
  <c r="AR70" i="8"/>
  <c r="AR31" i="8"/>
  <c r="AR57" i="8"/>
  <c r="AR80" i="8"/>
  <c r="AS68" i="8" l="1"/>
  <c r="AS75" i="8"/>
  <c r="AS67" i="8"/>
  <c r="AS81" i="7"/>
  <c r="AS80" i="7"/>
  <c r="AS79" i="7"/>
  <c r="AS78" i="8"/>
  <c r="AS84" i="8"/>
  <c r="AS83" i="8"/>
  <c r="AS79" i="8"/>
  <c r="AS78" i="7"/>
  <c r="AS80" i="8"/>
  <c r="AS69" i="8"/>
  <c r="AS31" i="8"/>
  <c r="AT2" i="8"/>
  <c r="AS15" i="8"/>
  <c r="AS57" i="8"/>
  <c r="AS12" i="8"/>
  <c r="AS70" i="8"/>
  <c r="AS63" i="8"/>
  <c r="AS53" i="8"/>
  <c r="AS54" i="8" s="1"/>
  <c r="AS18" i="8"/>
  <c r="AS59" i="8" s="1"/>
  <c r="AT75" i="8" l="1"/>
  <c r="AT67" i="8"/>
  <c r="AT68" i="8"/>
  <c r="AT81" i="7"/>
  <c r="AT79" i="7"/>
  <c r="AT80" i="7"/>
  <c r="AT78" i="8"/>
  <c r="AT83" i="8"/>
  <c r="AT84" i="8"/>
  <c r="AT79" i="8"/>
  <c r="AT78" i="7"/>
  <c r="AT12" i="8"/>
  <c r="AT31" i="8"/>
  <c r="AT18" i="8"/>
  <c r="AT59" i="8" s="1"/>
  <c r="AU2" i="8"/>
  <c r="AT63" i="8"/>
  <c r="AT57" i="8"/>
  <c r="AT80" i="8"/>
  <c r="AT69" i="8"/>
  <c r="AT53" i="8"/>
  <c r="AT54" i="8" s="1"/>
  <c r="AT15" i="8"/>
  <c r="AT70" i="8"/>
  <c r="AU68" i="8" l="1"/>
  <c r="AU75" i="8"/>
  <c r="AU67" i="8"/>
  <c r="AU81" i="7"/>
  <c r="AU80" i="7"/>
  <c r="AU79" i="7"/>
  <c r="AU78" i="8"/>
  <c r="AU83" i="8"/>
  <c r="AU84" i="8"/>
  <c r="AU79" i="8"/>
  <c r="AU69" i="8"/>
  <c r="AU80" i="8"/>
  <c r="AU15" i="8"/>
  <c r="AU31" i="8"/>
  <c r="AU53" i="8"/>
  <c r="AU54" i="8" s="1"/>
  <c r="AU12" i="8"/>
  <c r="AU63" i="8"/>
  <c r="AU57" i="8"/>
  <c r="AU78" i="7"/>
  <c r="AV2" i="8"/>
  <c r="AU70" i="8"/>
  <c r="AU18" i="8"/>
  <c r="AU59" i="8" s="1"/>
  <c r="AV68" i="8" l="1"/>
  <c r="AV75" i="8"/>
  <c r="AV67" i="8"/>
  <c r="AV81" i="7"/>
  <c r="AV80" i="7"/>
  <c r="AV79" i="7"/>
  <c r="AV78" i="8"/>
  <c r="AV84" i="8"/>
  <c r="AV83" i="8"/>
  <c r="AV79" i="8"/>
  <c r="AV78" i="7"/>
  <c r="AV69" i="8"/>
  <c r="AW2" i="8"/>
  <c r="AV15" i="8"/>
  <c r="AV80" i="8"/>
  <c r="AV18" i="8"/>
  <c r="AV59" i="8" s="1"/>
  <c r="AV57" i="8"/>
  <c r="AV12" i="8"/>
  <c r="AV31" i="8"/>
  <c r="AV63" i="8"/>
  <c r="AV53" i="8"/>
  <c r="AV54" i="8" s="1"/>
  <c r="AV70" i="8"/>
  <c r="AW68" i="8" l="1"/>
  <c r="AW75" i="8"/>
  <c r="AW67" i="8"/>
  <c r="AW81" i="7"/>
  <c r="AW80" i="7"/>
  <c r="AW79" i="7"/>
  <c r="AW78" i="8"/>
  <c r="AW84" i="8"/>
  <c r="AW83" i="8"/>
  <c r="AW79" i="8"/>
  <c r="AW53" i="8"/>
  <c r="AW54" i="8" s="1"/>
  <c r="AW12" i="8"/>
  <c r="AW69" i="8"/>
  <c r="AW80" i="8"/>
  <c r="AX2" i="8"/>
  <c r="AW63" i="8"/>
  <c r="AW18" i="8"/>
  <c r="AW59" i="8" s="1"/>
  <c r="AW57" i="8"/>
  <c r="AW78" i="7"/>
  <c r="AW15" i="8"/>
  <c r="AW31" i="8"/>
  <c r="AW70" i="8"/>
  <c r="AX75" i="8" l="1"/>
  <c r="AX67" i="8"/>
  <c r="AX68" i="8"/>
  <c r="AX80" i="7"/>
  <c r="AX79" i="7"/>
  <c r="AX81" i="7"/>
  <c r="AX78" i="8"/>
  <c r="AX84" i="8"/>
  <c r="AX79" i="8"/>
  <c r="AX83" i="8"/>
  <c r="AY2" i="8"/>
  <c r="AX15" i="8"/>
  <c r="AX57" i="8"/>
  <c r="AX12" i="8"/>
  <c r="AX18" i="8"/>
  <c r="AX59" i="8" s="1"/>
  <c r="AX69" i="8"/>
  <c r="AX78" i="7"/>
  <c r="AX80" i="8"/>
  <c r="AX70" i="8"/>
  <c r="AX31" i="8"/>
  <c r="AX63" i="8"/>
  <c r="AX53" i="8"/>
  <c r="AX54" i="8" s="1"/>
  <c r="AY68" i="8" l="1"/>
  <c r="AY75" i="8"/>
  <c r="AY67" i="8"/>
  <c r="AY81" i="7"/>
  <c r="AY80" i="7"/>
  <c r="AY79" i="7"/>
  <c r="AY78" i="8"/>
  <c r="AY84" i="8"/>
  <c r="AY79" i="8"/>
  <c r="AY83" i="8"/>
  <c r="AY69" i="8"/>
  <c r="AY57" i="8"/>
  <c r="AY15" i="8"/>
  <c r="AY78" i="7"/>
  <c r="AY12" i="8"/>
  <c r="AY70" i="8"/>
  <c r="AY63" i="8"/>
  <c r="AZ2" i="8"/>
  <c r="AY80" i="8"/>
  <c r="AY53" i="8"/>
  <c r="AY54" i="8" s="1"/>
  <c r="AY31" i="8"/>
  <c r="AY18" i="8"/>
  <c r="AY59" i="8" s="1"/>
  <c r="AZ68" i="8" l="1"/>
  <c r="AZ75" i="8"/>
  <c r="AZ67" i="8"/>
  <c r="AZ80" i="7"/>
  <c r="AZ81" i="7"/>
  <c r="AZ79" i="7"/>
  <c r="AZ78" i="8"/>
  <c r="AZ84" i="8"/>
  <c r="AZ83" i="8"/>
  <c r="AZ79" i="8"/>
  <c r="AZ78" i="7"/>
  <c r="AZ57" i="8"/>
  <c r="AZ18" i="8"/>
  <c r="AZ59" i="8" s="1"/>
  <c r="AZ63" i="8"/>
  <c r="AZ15" i="8"/>
  <c r="BA2" i="8"/>
  <c r="AZ69" i="8"/>
  <c r="AZ12" i="8"/>
  <c r="AZ53" i="8"/>
  <c r="AZ54" i="8" s="1"/>
  <c r="AZ70" i="8"/>
  <c r="AZ31" i="8"/>
  <c r="AZ80" i="8"/>
  <c r="BA68" i="8" l="1"/>
  <c r="BA75" i="8"/>
  <c r="BA67" i="8"/>
  <c r="BA81" i="7"/>
  <c r="BA80" i="7"/>
  <c r="BA79" i="7"/>
  <c r="BA78" i="8"/>
  <c r="BA84" i="8"/>
  <c r="BA83" i="8"/>
  <c r="BA79" i="8"/>
  <c r="BA63" i="8"/>
  <c r="BA70" i="8"/>
  <c r="BA78" i="7"/>
  <c r="BA12" i="8"/>
  <c r="BA31" i="8"/>
  <c r="BA18" i="8"/>
  <c r="BA59" i="8" s="1"/>
  <c r="BB2" i="8"/>
  <c r="BA15" i="8"/>
  <c r="BA80" i="8"/>
  <c r="BA57" i="8"/>
  <c r="BA69" i="8"/>
  <c r="BA53" i="8"/>
  <c r="BA54" i="8" s="1"/>
  <c r="BB75" i="8" l="1"/>
  <c r="BB67" i="8"/>
  <c r="BB68" i="8"/>
  <c r="BB81" i="7"/>
  <c r="BB79" i="7"/>
  <c r="BB80" i="7"/>
  <c r="BB78" i="8"/>
  <c r="BB83" i="8"/>
  <c r="BB79" i="8"/>
  <c r="BB84" i="8"/>
  <c r="BC2" i="8"/>
  <c r="BB15" i="8"/>
  <c r="BB31" i="8"/>
  <c r="BB57" i="8"/>
  <c r="BB78" i="7"/>
  <c r="BB63" i="8"/>
  <c r="BB53" i="8"/>
  <c r="BB54" i="8" s="1"/>
  <c r="BB12" i="8"/>
  <c r="BB70" i="8"/>
  <c r="BB18" i="8"/>
  <c r="BB59" i="8" s="1"/>
  <c r="BB69" i="8"/>
  <c r="BB80" i="8"/>
  <c r="BC68" i="8" l="1"/>
  <c r="BC75" i="8"/>
  <c r="BC67" i="8"/>
  <c r="BC81" i="7"/>
  <c r="BC80" i="7"/>
  <c r="BC79" i="7"/>
  <c r="BC78" i="8"/>
  <c r="BC83" i="8"/>
  <c r="BC79" i="8"/>
  <c r="BC84" i="8"/>
  <c r="BC57" i="8"/>
  <c r="BC12" i="8"/>
  <c r="BC78" i="7"/>
  <c r="BC63" i="8"/>
  <c r="BC18" i="8"/>
  <c r="BC59" i="8" s="1"/>
  <c r="BD2" i="8"/>
  <c r="BC15" i="8"/>
  <c r="BC53" i="8"/>
  <c r="BC54" i="8" s="1"/>
  <c r="BC80" i="8"/>
  <c r="BC70" i="8"/>
  <c r="BC69" i="8"/>
  <c r="BC31" i="8"/>
  <c r="BD68" i="8" l="1"/>
  <c r="BD75" i="8"/>
  <c r="BD67" i="8"/>
  <c r="BD81" i="7"/>
  <c r="BD79" i="7"/>
  <c r="BD80" i="7"/>
  <c r="BD78" i="8"/>
  <c r="BD84" i="8"/>
  <c r="BD83" i="8"/>
  <c r="BD79" i="8"/>
  <c r="BE2" i="8"/>
  <c r="BD78" i="7"/>
  <c r="BD80" i="8"/>
  <c r="BD69" i="8"/>
  <c r="BD63" i="8"/>
  <c r="BD53" i="8"/>
  <c r="BD54" i="8" s="1"/>
  <c r="BD12" i="8"/>
  <c r="BD70" i="8"/>
  <c r="BD15" i="8"/>
  <c r="BD57" i="8"/>
  <c r="BD31" i="8"/>
  <c r="BD18" i="8"/>
  <c r="BD59" i="8" s="1"/>
  <c r="BE68" i="8" l="1"/>
  <c r="BE75" i="8"/>
  <c r="BE67" i="8"/>
  <c r="BE81" i="7"/>
  <c r="BE80" i="7"/>
  <c r="BE79" i="7"/>
  <c r="BE78" i="8"/>
  <c r="BE84" i="8"/>
  <c r="BE83" i="8"/>
  <c r="BE79" i="8"/>
  <c r="BE53" i="8"/>
  <c r="BE54" i="8" s="1"/>
  <c r="BE18" i="8"/>
  <c r="BE59" i="8" s="1"/>
  <c r="BE69" i="8"/>
  <c r="BE57" i="8"/>
  <c r="BE12" i="8"/>
  <c r="BE15" i="8"/>
  <c r="BE63" i="8"/>
  <c r="BE78" i="7"/>
  <c r="BE70" i="8"/>
  <c r="BE31" i="8"/>
  <c r="BF2" i="8"/>
  <c r="BE80" i="8"/>
  <c r="BF75" i="8" l="1"/>
  <c r="BF67" i="8"/>
  <c r="BF68" i="8"/>
  <c r="BF80" i="7"/>
  <c r="BF81" i="7"/>
  <c r="BF79" i="7"/>
  <c r="BF78" i="8"/>
  <c r="BF84" i="8"/>
  <c r="BF83" i="8"/>
  <c r="BF79" i="8"/>
  <c r="BG2" i="8"/>
  <c r="BF80" i="8"/>
  <c r="BF57" i="8"/>
  <c r="BF78" i="7"/>
  <c r="BF70" i="8"/>
  <c r="BF31" i="8"/>
  <c r="BF53" i="8"/>
  <c r="BF54" i="8" s="1"/>
  <c r="BF12" i="8"/>
  <c r="BF15" i="8"/>
  <c r="BF63" i="8"/>
  <c r="BF18" i="8"/>
  <c r="BF59" i="8" s="1"/>
  <c r="BF69" i="8"/>
  <c r="BG68" i="8" l="1"/>
  <c r="BG75" i="8"/>
  <c r="BG67" i="8"/>
  <c r="BG81" i="7"/>
  <c r="BG80" i="7"/>
  <c r="BG79" i="7"/>
  <c r="BG78" i="8"/>
  <c r="BG79" i="8"/>
  <c r="BG84" i="8"/>
  <c r="BG83" i="8"/>
  <c r="BG53" i="8"/>
  <c r="BG54" i="8" s="1"/>
  <c r="BG12" i="8"/>
  <c r="BG70" i="8"/>
  <c r="BG31" i="8"/>
  <c r="BG69" i="8"/>
  <c r="BH2" i="8"/>
  <c r="BG18" i="8"/>
  <c r="BG59" i="8" s="1"/>
  <c r="BG57" i="8"/>
  <c r="BG78" i="7"/>
  <c r="BG15" i="8"/>
  <c r="BG63" i="8"/>
  <c r="BG80" i="8"/>
  <c r="BH68" i="8" l="1"/>
  <c r="BH75" i="8"/>
  <c r="BH67" i="8"/>
  <c r="BH79" i="7"/>
  <c r="BH80" i="7"/>
  <c r="BH81" i="7"/>
  <c r="BH78" i="8"/>
  <c r="BH84" i="8"/>
  <c r="BH83" i="8"/>
  <c r="BH79" i="8"/>
  <c r="BH57" i="8"/>
  <c r="BH70" i="8"/>
  <c r="BH18" i="8"/>
  <c r="BH59" i="8" s="1"/>
  <c r="BH78" i="7"/>
  <c r="BI2" i="8"/>
  <c r="BH63" i="8"/>
  <c r="BH53" i="8"/>
  <c r="BH54" i="8" s="1"/>
  <c r="BH12" i="8"/>
  <c r="BH15" i="8"/>
  <c r="BH69" i="8"/>
  <c r="BH80" i="8"/>
  <c r="BH31" i="8"/>
  <c r="BI68" i="8" l="1"/>
  <c r="BI75" i="8"/>
  <c r="BI67" i="8"/>
  <c r="BI81" i="7"/>
  <c r="BI80" i="7"/>
  <c r="BI79" i="7"/>
  <c r="BI78" i="8"/>
  <c r="BI84" i="8"/>
  <c r="BI83" i="8"/>
  <c r="BI79" i="8"/>
  <c r="BI53" i="8"/>
  <c r="BI54" i="8" s="1"/>
  <c r="BI12" i="8"/>
  <c r="BI15" i="8"/>
  <c r="BI80" i="8"/>
  <c r="BI70" i="8"/>
  <c r="BI18" i="8"/>
  <c r="BI59" i="8" s="1"/>
  <c r="BI57" i="8"/>
  <c r="BI78" i="7"/>
  <c r="BI69" i="8"/>
  <c r="BI31" i="8"/>
  <c r="BJ2" i="8"/>
  <c r="BI63" i="8"/>
  <c r="BJ75" i="8" l="1"/>
  <c r="BJ67" i="8"/>
  <c r="BJ68" i="8"/>
  <c r="BJ81" i="7"/>
  <c r="BJ79" i="7"/>
  <c r="BJ80" i="7"/>
  <c r="BJ78" i="8"/>
  <c r="BJ83" i="8"/>
  <c r="BJ84" i="8"/>
  <c r="BJ79" i="8"/>
  <c r="BJ53" i="8"/>
  <c r="BJ54" i="8" s="1"/>
  <c r="BJ12" i="8"/>
  <c r="BJ31" i="8"/>
  <c r="BJ18" i="8"/>
  <c r="BJ59" i="8" s="1"/>
  <c r="BJ78" i="7"/>
  <c r="BK2" i="8"/>
  <c r="BJ15" i="8"/>
  <c r="BJ57" i="8"/>
  <c r="BJ63" i="8"/>
  <c r="BJ80" i="8"/>
  <c r="BJ70" i="8"/>
  <c r="BJ69" i="8"/>
  <c r="BK68" i="8" l="1"/>
  <c r="BK75" i="8"/>
  <c r="BK67" i="8"/>
  <c r="BK81" i="7"/>
  <c r="BK80" i="7"/>
  <c r="BK79" i="7"/>
  <c r="BK78" i="8"/>
  <c r="BK83" i="8"/>
  <c r="BK84" i="8"/>
  <c r="BK79" i="8"/>
  <c r="BK57" i="8"/>
  <c r="BK31" i="8"/>
  <c r="BK18" i="8"/>
  <c r="BK59" i="8" s="1"/>
  <c r="BK12" i="8"/>
  <c r="BK63" i="8"/>
  <c r="BK53" i="8"/>
  <c r="BK54" i="8" s="1"/>
  <c r="BK78" i="7"/>
  <c r="BK70" i="8"/>
  <c r="BK15" i="8"/>
  <c r="BK80" i="8"/>
  <c r="BL2" i="8"/>
  <c r="BK69" i="8"/>
  <c r="BL68" i="8" l="1"/>
  <c r="BL75" i="8"/>
  <c r="BL67" i="8"/>
  <c r="BL81" i="7"/>
  <c r="BL80" i="7"/>
  <c r="BL79" i="7"/>
  <c r="BL78" i="8"/>
  <c r="BL84" i="8"/>
  <c r="BL83" i="8"/>
  <c r="BL79" i="8"/>
  <c r="BL57" i="8"/>
  <c r="BL63" i="8"/>
  <c r="BL70" i="8"/>
  <c r="BL69" i="8"/>
  <c r="BL15" i="8"/>
  <c r="BL18" i="8"/>
  <c r="BL59" i="8" s="1"/>
  <c r="BL53" i="8"/>
  <c r="BL54" i="8" s="1"/>
  <c r="BL12" i="8"/>
  <c r="BL80" i="8"/>
  <c r="BL31" i="8"/>
  <c r="BL78" i="7"/>
  <c r="BM2" i="8"/>
  <c r="BM68" i="8" l="1"/>
  <c r="BM75" i="8"/>
  <c r="BM67" i="8"/>
  <c r="BM81" i="7"/>
  <c r="BM80" i="7"/>
  <c r="BM79" i="7"/>
  <c r="BM78" i="8"/>
  <c r="BM84" i="8"/>
  <c r="BM83" i="8"/>
  <c r="BM79" i="8"/>
  <c r="BM53" i="8"/>
  <c r="BM54" i="8" s="1"/>
  <c r="BM15" i="8"/>
  <c r="BM70" i="8"/>
  <c r="BM69" i="8"/>
  <c r="BM12" i="8"/>
  <c r="BM57" i="8"/>
  <c r="BM80" i="8"/>
  <c r="BM63" i="8"/>
  <c r="BM31" i="8"/>
  <c r="BN2" i="8"/>
  <c r="BM78" i="7"/>
  <c r="BM18" i="8"/>
  <c r="BM59" i="8" s="1"/>
  <c r="BN75" i="8" l="1"/>
  <c r="BN67" i="8"/>
  <c r="BN68" i="8"/>
  <c r="BN80" i="7"/>
  <c r="BN79" i="7"/>
  <c r="BN81" i="7"/>
  <c r="BN78" i="8"/>
  <c r="BN84" i="8"/>
  <c r="BN79" i="8"/>
  <c r="BN83" i="8"/>
  <c r="BN53" i="8"/>
  <c r="BN54" i="8" s="1"/>
  <c r="BN18" i="8"/>
  <c r="BN59" i="8" s="1"/>
  <c r="BN63" i="8"/>
  <c r="BN78" i="7"/>
  <c r="BO2" i="8"/>
  <c r="BN57" i="8"/>
  <c r="BN12" i="8"/>
  <c r="BN70" i="8"/>
  <c r="BN80" i="8"/>
  <c r="BN31" i="8"/>
  <c r="BN15" i="8"/>
  <c r="BN69" i="8"/>
  <c r="BO68" i="8" l="1"/>
  <c r="BO75" i="8"/>
  <c r="BO67" i="8"/>
  <c r="BO81" i="7"/>
  <c r="BO80" i="7"/>
  <c r="BO79" i="7"/>
  <c r="BO78" i="8"/>
  <c r="BO84" i="8"/>
  <c r="BO79" i="8"/>
  <c r="BO83" i="8"/>
  <c r="BO57" i="8"/>
  <c r="BO15" i="8"/>
  <c r="BO18" i="8"/>
  <c r="BO59" i="8" s="1"/>
  <c r="BO31" i="8"/>
  <c r="BP2" i="8"/>
  <c r="BO70" i="8"/>
  <c r="BO53" i="8"/>
  <c r="BO54" i="8" s="1"/>
  <c r="BO12" i="8"/>
  <c r="BO80" i="8"/>
  <c r="BO78" i="7"/>
  <c r="BO69" i="8"/>
  <c r="BO63" i="8"/>
  <c r="BP68" i="8" l="1"/>
  <c r="BP75" i="8"/>
  <c r="BP67" i="8"/>
  <c r="BP80" i="7"/>
  <c r="BP81" i="7"/>
  <c r="BP79" i="7"/>
  <c r="BP78" i="8"/>
  <c r="BP84" i="8"/>
  <c r="BP83" i="8"/>
  <c r="BP79" i="8"/>
  <c r="BP57" i="8"/>
  <c r="BP78" i="7"/>
  <c r="BP69" i="8"/>
  <c r="BP31" i="8"/>
  <c r="BQ2" i="8"/>
  <c r="BP70" i="8"/>
  <c r="BP80" i="8"/>
  <c r="BP53" i="8"/>
  <c r="BP54" i="8" s="1"/>
  <c r="BP63" i="8"/>
  <c r="BP15" i="8"/>
  <c r="BP12" i="8"/>
  <c r="BP18" i="8"/>
  <c r="BP59" i="8" s="1"/>
  <c r="BQ68" i="8" l="1"/>
  <c r="BQ75" i="8"/>
  <c r="BQ67" i="8"/>
  <c r="BQ81" i="7"/>
  <c r="BQ80" i="7"/>
  <c r="BQ79" i="7"/>
  <c r="BQ78" i="8"/>
  <c r="BQ84" i="8"/>
  <c r="BQ83" i="8"/>
  <c r="BQ79" i="8"/>
  <c r="BQ53" i="8"/>
  <c r="BQ54" i="8" s="1"/>
  <c r="BQ15" i="8"/>
  <c r="BQ18" i="8"/>
  <c r="BQ59" i="8" s="1"/>
  <c r="BQ63" i="8"/>
  <c r="BQ12" i="8"/>
  <c r="BR2" i="8"/>
  <c r="BQ69" i="8"/>
  <c r="BQ57" i="8"/>
  <c r="BQ78" i="7"/>
  <c r="BQ80" i="8"/>
  <c r="BQ31" i="8"/>
  <c r="BQ70" i="8"/>
  <c r="BR75" i="8" l="1"/>
  <c r="BR67" i="8"/>
  <c r="BR68" i="8"/>
  <c r="BR81" i="7"/>
  <c r="BR80" i="7"/>
  <c r="BR79" i="7"/>
  <c r="BR78" i="8"/>
  <c r="BR83" i="8"/>
  <c r="BR79" i="8"/>
  <c r="BR84" i="8"/>
  <c r="BR57" i="8"/>
  <c r="BR78" i="7"/>
  <c r="BR15" i="8"/>
  <c r="BR70" i="8"/>
  <c r="BR69" i="8"/>
  <c r="BR18" i="8"/>
  <c r="BR59" i="8" s="1"/>
  <c r="BS2" i="8"/>
  <c r="BR80" i="8"/>
  <c r="BR53" i="8"/>
  <c r="BR54" i="8" s="1"/>
  <c r="BR12" i="8"/>
  <c r="BR63" i="8"/>
  <c r="BR31" i="8"/>
  <c r="BS68" i="8" l="1"/>
  <c r="BS75" i="8"/>
  <c r="BS67" i="8"/>
  <c r="BS81" i="7"/>
  <c r="BS80" i="7"/>
  <c r="BS79" i="7"/>
  <c r="BS78" i="8"/>
  <c r="BS83" i="8"/>
  <c r="BS79" i="8"/>
  <c r="BS84" i="8"/>
  <c r="BS78" i="7"/>
  <c r="BS69" i="8"/>
  <c r="BS18" i="8"/>
  <c r="BS59" i="8" s="1"/>
  <c r="BT2" i="8"/>
  <c r="BS15" i="8"/>
  <c r="BS63" i="8"/>
  <c r="BS53" i="8"/>
  <c r="BS54" i="8" s="1"/>
  <c r="BS70" i="8"/>
  <c r="BS31" i="8"/>
  <c r="BS57" i="8"/>
  <c r="BS80" i="8"/>
  <c r="BS12" i="8"/>
  <c r="BT68" i="8" l="1"/>
  <c r="BT75" i="8"/>
  <c r="BT67" i="8"/>
  <c r="BT81" i="7"/>
  <c r="BT79" i="7"/>
  <c r="BT80" i="7"/>
  <c r="BT78" i="8"/>
  <c r="BT84" i="8"/>
  <c r="BT83" i="8"/>
  <c r="BT79" i="8"/>
  <c r="BT69" i="8"/>
  <c r="BT15" i="8"/>
  <c r="BU2" i="8"/>
  <c r="BT78" i="7"/>
  <c r="BT63" i="8"/>
  <c r="BT31" i="8"/>
  <c r="BT53" i="8"/>
  <c r="BT54" i="8" s="1"/>
  <c r="BT12" i="8"/>
  <c r="BT70" i="8"/>
  <c r="BT57" i="8"/>
  <c r="BT80" i="8"/>
  <c r="BT18" i="8"/>
  <c r="BT59" i="8" s="1"/>
  <c r="BU68" i="8" l="1"/>
  <c r="BU75" i="8"/>
  <c r="BU67" i="8"/>
  <c r="BU81" i="7"/>
  <c r="BU80" i="7"/>
  <c r="BU79" i="7"/>
  <c r="BU78" i="8"/>
  <c r="BU84" i="8"/>
  <c r="BU83" i="8"/>
  <c r="BU79" i="8"/>
  <c r="BU78" i="7"/>
  <c r="BU63" i="8"/>
  <c r="BU18" i="8"/>
  <c r="BU59" i="8" s="1"/>
  <c r="BU31" i="8"/>
  <c r="BV2" i="8"/>
  <c r="BU15" i="8"/>
  <c r="BU57" i="8"/>
  <c r="BU12" i="8"/>
  <c r="BU80" i="8"/>
  <c r="BU70" i="8"/>
  <c r="BU53" i="8"/>
  <c r="BU54" i="8" s="1"/>
  <c r="BU69" i="8"/>
  <c r="BV75" i="8" l="1"/>
  <c r="BV67" i="8"/>
  <c r="BV68" i="8"/>
  <c r="BV80" i="7"/>
  <c r="BV81" i="7"/>
  <c r="BV79" i="7"/>
  <c r="BV78" i="8"/>
  <c r="BV84" i="8"/>
  <c r="BV83" i="8"/>
  <c r="BV79" i="8"/>
  <c r="BV12" i="8"/>
  <c r="BV63" i="8"/>
  <c r="BW2" i="8"/>
  <c r="BV70" i="8"/>
  <c r="BV18" i="8"/>
  <c r="BV59" i="8" s="1"/>
  <c r="BV53" i="8"/>
  <c r="BV54" i="8" s="1"/>
  <c r="BV80" i="8"/>
  <c r="BV15" i="8"/>
  <c r="BV57" i="8"/>
  <c r="BV78" i="7"/>
  <c r="BV69" i="8"/>
  <c r="BV31" i="8"/>
  <c r="BW68" i="8" l="1"/>
  <c r="BW75" i="8"/>
  <c r="BW67" i="8"/>
  <c r="BW81" i="7"/>
  <c r="BW80" i="7"/>
  <c r="BW79" i="7"/>
  <c r="BW78" i="8"/>
  <c r="BW79" i="8"/>
  <c r="BW84" i="8"/>
  <c r="BW83" i="8"/>
  <c r="BW80" i="8"/>
  <c r="BW18" i="8"/>
  <c r="BW59" i="8" s="1"/>
  <c r="BX2" i="8"/>
  <c r="BW63" i="8"/>
  <c r="BW70" i="8"/>
  <c r="BW53" i="8"/>
  <c r="BW54" i="8" s="1"/>
  <c r="BW12" i="8"/>
  <c r="BW69" i="8"/>
  <c r="BW57" i="8"/>
  <c r="BW78" i="7"/>
  <c r="BW15" i="8"/>
  <c r="BW31" i="8"/>
  <c r="BX68" i="8" l="1"/>
  <c r="BX75" i="8"/>
  <c r="BX67" i="8"/>
  <c r="BX79" i="7"/>
  <c r="BX80" i="7"/>
  <c r="BX81" i="7"/>
  <c r="BX78" i="8"/>
  <c r="BX84" i="8"/>
  <c r="BX83" i="8"/>
  <c r="BX79" i="8"/>
  <c r="BX78" i="7"/>
  <c r="BX15" i="8"/>
  <c r="BX70" i="8"/>
  <c r="BX18" i="8"/>
  <c r="BX59" i="8" s="1"/>
  <c r="BY2" i="8"/>
  <c r="BX12" i="8"/>
  <c r="BX53" i="8"/>
  <c r="BX54" i="8" s="1"/>
  <c r="BX63" i="8"/>
  <c r="BX57" i="8"/>
  <c r="BX80" i="8"/>
  <c r="BX69" i="8"/>
  <c r="BX31" i="8"/>
  <c r="BY68" i="8" l="1"/>
  <c r="BY75" i="8"/>
  <c r="BY67" i="8"/>
  <c r="BY81" i="7"/>
  <c r="BY80" i="7"/>
  <c r="BY79" i="7"/>
  <c r="BY78" i="8"/>
  <c r="BY84" i="8"/>
  <c r="BY83" i="8"/>
  <c r="BY79" i="8"/>
  <c r="BY78" i="7"/>
  <c r="BY63" i="8"/>
  <c r="BY69" i="8"/>
  <c r="BZ2" i="8"/>
  <c r="BY70" i="8"/>
  <c r="BY15" i="8"/>
  <c r="BY57" i="8"/>
  <c r="BY12" i="8"/>
  <c r="BY80" i="8"/>
  <c r="BY53" i="8"/>
  <c r="BY54" i="8" s="1"/>
  <c r="BY31" i="8"/>
  <c r="BY18" i="8"/>
  <c r="BY59" i="8" s="1"/>
  <c r="BZ75" i="8" l="1"/>
  <c r="BZ67" i="8"/>
  <c r="BZ68" i="8"/>
  <c r="BZ81" i="7"/>
  <c r="BZ79" i="7"/>
  <c r="BZ80" i="7"/>
  <c r="BZ78" i="8"/>
  <c r="BZ83" i="8"/>
  <c r="BZ84" i="8"/>
  <c r="BZ79" i="8"/>
  <c r="BZ78" i="7"/>
  <c r="BZ12" i="8"/>
  <c r="BZ31" i="8"/>
  <c r="BZ18" i="8"/>
  <c r="BZ59" i="8" s="1"/>
  <c r="CA2" i="8"/>
  <c r="BZ63" i="8"/>
  <c r="BZ70" i="8"/>
  <c r="BZ53" i="8"/>
  <c r="BZ54" i="8" s="1"/>
  <c r="BZ15" i="8"/>
  <c r="BZ69" i="8"/>
  <c r="BZ57" i="8"/>
  <c r="BZ80" i="8"/>
  <c r="CA68" i="8" l="1"/>
  <c r="CA75" i="8"/>
  <c r="CA67" i="8"/>
  <c r="CA81" i="7"/>
  <c r="CA80" i="7"/>
  <c r="CA79" i="7"/>
  <c r="CA78" i="8"/>
  <c r="CA83" i="8"/>
  <c r="CA84" i="8"/>
  <c r="CA79" i="8"/>
  <c r="CA69" i="8"/>
  <c r="CA63" i="8"/>
  <c r="CB2" i="8"/>
  <c r="CA70" i="8"/>
  <c r="CA31" i="8"/>
  <c r="CA53" i="8"/>
  <c r="CA54" i="8" s="1"/>
  <c r="CA12" i="8"/>
  <c r="CA78" i="7"/>
  <c r="CA15" i="8"/>
  <c r="CA57" i="8"/>
  <c r="CA80" i="8"/>
  <c r="CA18" i="8"/>
  <c r="CA59" i="8" s="1"/>
  <c r="CB68" i="8" l="1"/>
  <c r="CB75" i="8"/>
  <c r="CB67" i="8"/>
  <c r="CB81" i="7"/>
  <c r="CB80" i="7"/>
  <c r="CB79" i="7"/>
  <c r="CB78" i="8"/>
  <c r="CB84" i="8"/>
  <c r="CB83" i="8"/>
  <c r="CB79" i="8"/>
  <c r="CB78" i="7"/>
  <c r="CB69" i="8"/>
  <c r="CB31" i="8"/>
  <c r="CB70" i="8"/>
  <c r="CC2" i="8"/>
  <c r="CB80" i="8"/>
  <c r="CB53" i="8"/>
  <c r="CB54" i="8" s="1"/>
  <c r="CB15" i="8"/>
  <c r="CB63" i="8"/>
  <c r="CB57" i="8"/>
  <c r="CB12" i="8"/>
  <c r="CB18" i="8"/>
  <c r="CB59" i="8" s="1"/>
  <c r="CC68" i="8" l="1"/>
  <c r="CC75" i="8"/>
  <c r="CC67" i="8"/>
  <c r="CC81" i="7"/>
  <c r="CC80" i="7"/>
  <c r="CC79" i="7"/>
  <c r="CC78" i="8"/>
  <c r="CC84" i="8"/>
  <c r="CC83" i="8"/>
  <c r="CC79" i="8"/>
  <c r="CC78" i="7"/>
  <c r="CC69" i="8"/>
  <c r="CC31" i="8"/>
  <c r="CD2" i="8"/>
  <c r="CC70" i="8"/>
  <c r="CC53" i="8"/>
  <c r="CC54" i="8" s="1"/>
  <c r="CC12" i="8"/>
  <c r="CC63" i="8"/>
  <c r="CC18" i="8"/>
  <c r="CC59" i="8" s="1"/>
  <c r="CC57" i="8"/>
  <c r="CC80" i="8"/>
  <c r="CC15" i="8"/>
  <c r="CD75" i="8" l="1"/>
  <c r="CD67" i="8"/>
  <c r="CD68" i="8"/>
  <c r="CD80" i="7"/>
  <c r="CD79" i="7"/>
  <c r="CD81" i="7"/>
  <c r="CD78" i="8"/>
  <c r="CD84" i="8"/>
  <c r="CD79" i="8"/>
  <c r="CD83" i="8"/>
  <c r="CD78" i="7"/>
  <c r="CD80" i="8"/>
  <c r="CD69" i="8"/>
  <c r="CE2" i="8"/>
  <c r="CD15" i="8"/>
  <c r="CD70" i="8"/>
  <c r="CD53" i="8"/>
  <c r="CD54" i="8" s="1"/>
  <c r="CD12" i="8"/>
  <c r="CD31" i="8"/>
  <c r="CD57" i="8"/>
  <c r="CD63" i="8"/>
  <c r="CD18" i="8"/>
  <c r="CD59" i="8" s="1"/>
  <c r="CE68" i="8" l="1"/>
  <c r="CE75" i="8"/>
  <c r="CE67" i="8"/>
  <c r="CE81" i="7"/>
  <c r="CE80" i="7"/>
  <c r="CE79" i="7"/>
  <c r="CE78" i="8"/>
  <c r="CE84" i="8"/>
  <c r="CE79" i="8"/>
  <c r="CE83" i="8"/>
  <c r="CE78" i="7"/>
  <c r="CE69" i="8"/>
  <c r="CE18" i="8"/>
  <c r="CE59" i="8" s="1"/>
  <c r="CE80" i="8"/>
  <c r="CF2" i="8"/>
  <c r="CE15" i="8"/>
  <c r="CE57" i="8"/>
  <c r="CE70" i="8"/>
  <c r="CE63" i="8"/>
  <c r="CE53" i="8"/>
  <c r="CE54" i="8" s="1"/>
  <c r="CE12" i="8"/>
  <c r="CE31" i="8"/>
  <c r="CF68" i="8" l="1"/>
  <c r="CF75" i="8"/>
  <c r="CF67" i="8"/>
  <c r="CF80" i="7"/>
  <c r="CF79" i="7"/>
  <c r="CF81" i="7"/>
  <c r="CF78" i="8"/>
  <c r="CF84" i="8"/>
  <c r="CF83" i="8"/>
  <c r="CF79" i="8"/>
  <c r="CF63" i="8"/>
  <c r="CF12" i="8"/>
  <c r="CF18" i="8"/>
  <c r="CF59" i="8" s="1"/>
  <c r="CG2" i="8"/>
  <c r="CF69" i="8"/>
  <c r="CF53" i="8"/>
  <c r="CF54" i="8" s="1"/>
  <c r="CF78" i="7"/>
  <c r="CF80" i="8"/>
  <c r="CF31" i="8"/>
  <c r="CF57" i="8"/>
  <c r="CF70" i="8"/>
  <c r="CF15" i="8"/>
  <c r="CG68" i="8" l="1"/>
  <c r="CG75" i="8"/>
  <c r="CG67" i="8"/>
  <c r="CG81" i="7"/>
  <c r="CG80" i="7"/>
  <c r="CG79" i="7"/>
  <c r="CG78" i="8"/>
  <c r="CG84" i="8"/>
  <c r="CG83" i="8"/>
  <c r="CG79" i="8"/>
  <c r="CG12" i="8"/>
  <c r="CG70" i="8"/>
  <c r="CG18" i="8"/>
  <c r="CG59" i="8" s="1"/>
  <c r="CH2" i="8"/>
  <c r="CG80" i="8"/>
  <c r="CG69" i="8"/>
  <c r="CG57" i="8"/>
  <c r="CG15" i="8"/>
  <c r="CG53" i="8"/>
  <c r="CG54" i="8" s="1"/>
  <c r="CG78" i="7"/>
  <c r="CG63" i="8"/>
  <c r="CG31" i="8"/>
  <c r="CH75" i="8" l="1"/>
  <c r="CH67" i="8"/>
  <c r="CH68" i="8"/>
  <c r="CH81" i="7"/>
  <c r="CH79" i="7"/>
  <c r="CH80" i="7"/>
  <c r="CH78" i="8"/>
  <c r="CH83" i="8"/>
  <c r="CH79" i="8"/>
  <c r="CH84" i="8"/>
  <c r="CH31" i="8"/>
  <c r="CH18" i="8"/>
  <c r="CH59" i="8" s="1"/>
  <c r="CI2" i="8"/>
  <c r="CH80" i="8"/>
  <c r="CH69" i="8"/>
  <c r="CH53" i="8"/>
  <c r="CH54" i="8" s="1"/>
  <c r="CH78" i="7"/>
  <c r="CH15" i="8"/>
  <c r="CH70" i="8"/>
  <c r="CH57" i="8"/>
  <c r="CH12" i="8"/>
  <c r="CH63" i="8"/>
  <c r="CI68" i="8" l="1"/>
  <c r="CI75" i="8"/>
  <c r="CI67" i="8"/>
  <c r="CI81" i="7"/>
  <c r="CI80" i="7"/>
  <c r="CI79" i="7"/>
  <c r="CI78" i="8"/>
  <c r="CI83" i="8"/>
  <c r="CI79" i="8"/>
  <c r="CI84" i="8"/>
  <c r="CI78" i="7"/>
  <c r="CI12" i="8"/>
  <c r="CI18" i="8"/>
  <c r="CI59" i="8" s="1"/>
  <c r="CJ2" i="8"/>
  <c r="CI63" i="8"/>
  <c r="CI53" i="8"/>
  <c r="CI54" i="8" s="1"/>
  <c r="CI80" i="8"/>
  <c r="CI15" i="8"/>
  <c r="CI31" i="8"/>
  <c r="CI57" i="8"/>
  <c r="CI69" i="8"/>
  <c r="CI70" i="8"/>
  <c r="CJ68" i="8" l="1"/>
  <c r="CJ75" i="8"/>
  <c r="CJ67" i="8"/>
  <c r="CJ81" i="7"/>
  <c r="CJ79" i="7"/>
  <c r="CJ80" i="7"/>
  <c r="CJ78" i="8"/>
  <c r="CJ84" i="8"/>
  <c r="CJ83" i="8"/>
  <c r="CJ79" i="8"/>
  <c r="CJ57" i="8"/>
  <c r="CJ31" i="8"/>
  <c r="CJ69" i="8"/>
  <c r="CJ15" i="8"/>
  <c r="CJ80" i="8"/>
  <c r="CK2" i="8"/>
  <c r="CJ78" i="7"/>
  <c r="CJ63" i="8"/>
  <c r="CJ18" i="8"/>
  <c r="CJ59" i="8" s="1"/>
  <c r="CJ53" i="8"/>
  <c r="CJ54" i="8" s="1"/>
  <c r="CJ12" i="8"/>
  <c r="CJ70" i="8"/>
  <c r="CK68" i="8" l="1"/>
  <c r="CK75" i="8"/>
  <c r="CK67" i="8"/>
  <c r="CK81" i="7"/>
  <c r="CK80" i="7"/>
  <c r="CK79" i="7"/>
  <c r="CK78" i="8"/>
  <c r="CK84" i="8"/>
  <c r="CK83" i="8"/>
  <c r="CK79" i="8"/>
  <c r="CK57" i="8"/>
  <c r="CK18" i="8"/>
  <c r="CK59" i="8" s="1"/>
  <c r="CK78" i="7"/>
  <c r="CK69" i="8"/>
  <c r="CK70" i="8"/>
  <c r="CK63" i="8"/>
  <c r="CL2" i="8"/>
  <c r="CK12" i="8"/>
  <c r="CK80" i="8"/>
  <c r="CK53" i="8"/>
  <c r="CK54" i="8" s="1"/>
  <c r="CK15" i="8"/>
  <c r="CK31" i="8"/>
  <c r="CL75" i="8" l="1"/>
  <c r="CL67" i="8"/>
  <c r="CL68" i="8"/>
  <c r="CL80" i="7"/>
  <c r="CL81" i="7"/>
  <c r="CL79" i="7"/>
  <c r="CL78" i="8"/>
  <c r="CL84" i="8"/>
  <c r="CL83" i="8"/>
  <c r="CL79" i="8"/>
  <c r="CL57" i="8"/>
  <c r="CL70" i="8"/>
  <c r="CL15" i="8"/>
  <c r="CL63" i="8"/>
  <c r="CL18" i="8"/>
  <c r="CL59" i="8" s="1"/>
  <c r="CL31" i="8"/>
  <c r="CM2" i="8"/>
  <c r="CL69" i="8"/>
  <c r="CL12" i="8"/>
  <c r="CL53" i="8"/>
  <c r="CL54" i="8" s="1"/>
  <c r="CL78" i="7"/>
  <c r="CL80" i="8"/>
  <c r="CM68" i="8" l="1"/>
  <c r="CM75" i="8"/>
  <c r="CM67" i="8"/>
  <c r="CM81" i="7"/>
  <c r="CM80" i="7"/>
  <c r="CM79" i="7"/>
  <c r="CM78" i="8"/>
  <c r="CM79" i="8"/>
  <c r="CM84" i="8"/>
  <c r="CM83" i="8"/>
  <c r="CM57" i="8"/>
  <c r="CM12" i="8"/>
  <c r="CM70" i="8"/>
  <c r="CM80" i="8"/>
  <c r="CM69" i="8"/>
  <c r="CN2" i="8"/>
  <c r="CM15" i="8"/>
  <c r="CM31" i="8"/>
  <c r="CM53" i="8"/>
  <c r="CM54" i="8" s="1"/>
  <c r="CM78" i="7"/>
  <c r="CM63" i="8"/>
  <c r="CM18" i="8"/>
  <c r="CM59" i="8" s="1"/>
  <c r="CN68" i="8" l="1"/>
  <c r="CN75" i="8"/>
  <c r="CN67" i="8"/>
  <c r="CN79" i="7"/>
  <c r="CN80" i="7"/>
  <c r="CN81" i="7"/>
  <c r="CN78" i="8"/>
  <c r="CN84" i="8"/>
  <c r="CN83" i="8"/>
  <c r="CN79" i="8"/>
  <c r="CN57" i="8"/>
  <c r="CN70" i="8"/>
  <c r="CN31" i="8"/>
  <c r="CN78" i="7"/>
  <c r="CN80" i="8"/>
  <c r="CN18" i="8"/>
  <c r="CN59" i="8" s="1"/>
  <c r="CO2" i="8"/>
  <c r="CN15" i="8"/>
  <c r="CN69" i="8"/>
  <c r="CN53" i="8"/>
  <c r="CN54" i="8" s="1"/>
  <c r="CN12" i="8"/>
  <c r="CN63" i="8"/>
  <c r="CO68" i="8" l="1"/>
  <c r="CO75" i="8"/>
  <c r="CO67" i="8"/>
  <c r="CO81" i="7"/>
  <c r="CO80" i="7"/>
  <c r="CO79" i="7"/>
  <c r="CO78" i="8"/>
  <c r="CO84" i="8"/>
  <c r="CO83" i="8"/>
  <c r="CO79" i="8"/>
  <c r="CO53" i="8"/>
  <c r="CO54" i="8" s="1"/>
  <c r="CO12" i="8"/>
  <c r="CO15" i="8"/>
  <c r="CO63" i="8"/>
  <c r="CO31" i="8"/>
  <c r="CO18" i="8"/>
  <c r="CO59" i="8" s="1"/>
  <c r="CP2" i="8"/>
  <c r="CO78" i="7"/>
  <c r="CO69" i="8"/>
  <c r="CO57" i="8"/>
  <c r="CO70" i="8"/>
  <c r="CO80" i="8"/>
  <c r="CP75" i="8" l="1"/>
  <c r="CP67" i="8"/>
  <c r="CP68" i="8"/>
  <c r="CP81" i="7"/>
  <c r="CP79" i="7"/>
  <c r="CP80" i="7"/>
  <c r="CP78" i="8"/>
  <c r="CP83" i="8"/>
  <c r="CP84" i="8"/>
  <c r="CP79" i="8"/>
  <c r="CP57" i="8"/>
  <c r="CP69" i="8"/>
  <c r="CP63" i="8"/>
  <c r="CP70" i="8"/>
  <c r="CP78" i="7"/>
  <c r="CP15" i="8"/>
  <c r="CP18" i="8"/>
  <c r="CP59" i="8" s="1"/>
  <c r="CQ2" i="8"/>
  <c r="CP12" i="8"/>
  <c r="CP53" i="8"/>
  <c r="CP54" i="8" s="1"/>
  <c r="CP80" i="8"/>
  <c r="CP31" i="8"/>
  <c r="CQ68" i="8" l="1"/>
  <c r="CQ75" i="8"/>
  <c r="CQ67" i="8"/>
  <c r="CQ81" i="7"/>
  <c r="CQ80" i="7"/>
  <c r="CQ79" i="7"/>
  <c r="CQ78" i="8"/>
  <c r="CQ79" i="8"/>
  <c r="CQ83" i="8"/>
  <c r="CQ84" i="8"/>
  <c r="CQ57" i="8"/>
  <c r="CQ12" i="8"/>
  <c r="CQ70" i="8"/>
  <c r="CQ18" i="8"/>
  <c r="CQ59" i="8" s="1"/>
  <c r="CQ15" i="8"/>
  <c r="CQ63" i="8"/>
  <c r="CR2" i="8"/>
  <c r="CQ78" i="7"/>
  <c r="CQ69" i="8"/>
  <c r="CQ31" i="8"/>
  <c r="CQ53" i="8"/>
  <c r="CQ54" i="8" s="1"/>
  <c r="CQ80" i="8"/>
  <c r="CR68" i="8" l="1"/>
  <c r="CR75" i="8"/>
  <c r="CR67" i="8"/>
  <c r="CR81" i="7"/>
  <c r="CR80" i="7"/>
  <c r="CR79" i="7"/>
  <c r="CR78" i="8"/>
  <c r="CR84" i="8"/>
  <c r="CR83" i="8"/>
  <c r="CR79" i="8"/>
  <c r="CR57" i="8"/>
  <c r="CR31" i="8"/>
  <c r="CR78" i="7"/>
  <c r="CR69" i="8"/>
  <c r="CR70" i="8"/>
  <c r="CS2" i="8"/>
  <c r="CR63" i="8"/>
  <c r="CR18" i="8"/>
  <c r="CR59" i="8" s="1"/>
  <c r="CR53" i="8"/>
  <c r="CR54" i="8" s="1"/>
  <c r="CR12" i="8"/>
  <c r="CR15" i="8"/>
  <c r="CR80" i="8"/>
  <c r="CS68" i="8" l="1"/>
  <c r="CS75" i="8"/>
  <c r="CS67" i="8"/>
  <c r="CS81" i="7"/>
  <c r="CS80" i="7"/>
  <c r="CS79" i="7"/>
  <c r="CS78" i="8"/>
  <c r="CS84" i="8"/>
  <c r="CS83" i="8"/>
  <c r="CS79" i="8"/>
  <c r="CS57" i="8"/>
  <c r="CS15" i="8"/>
  <c r="CS63" i="8"/>
  <c r="CS31" i="8"/>
  <c r="CS78" i="7"/>
  <c r="CS70" i="8"/>
  <c r="CS69" i="8"/>
  <c r="CT2" i="8"/>
  <c r="CS12" i="8"/>
  <c r="CS18" i="8"/>
  <c r="CS59" i="8" s="1"/>
  <c r="CS53" i="8"/>
  <c r="CS54" i="8" s="1"/>
  <c r="CS80" i="8"/>
  <c r="CT75" i="8" l="1"/>
  <c r="CT67" i="8"/>
  <c r="CT68" i="8"/>
  <c r="CT80" i="7"/>
  <c r="CT79" i="7"/>
  <c r="CT81" i="7"/>
  <c r="CT78" i="8"/>
  <c r="CT84" i="8"/>
  <c r="CT79" i="8"/>
  <c r="CT83" i="8"/>
  <c r="CT57" i="8"/>
  <c r="CT31" i="8"/>
  <c r="CT78" i="7"/>
  <c r="CT80" i="8"/>
  <c r="CT18" i="8"/>
  <c r="CT59" i="8" s="1"/>
  <c r="CT69" i="8"/>
  <c r="CU2" i="8"/>
  <c r="CT63" i="8"/>
  <c r="CT53" i="8"/>
  <c r="CT54" i="8" s="1"/>
  <c r="CT12" i="8"/>
  <c r="CT15" i="8"/>
  <c r="CT70" i="8"/>
  <c r="CU68" i="8" l="1"/>
  <c r="CU75" i="8"/>
  <c r="CU67" i="8"/>
  <c r="CU81" i="7"/>
  <c r="CU80" i="7"/>
  <c r="CU79" i="7"/>
  <c r="CU78" i="8"/>
  <c r="CU84" i="8"/>
  <c r="CU79" i="8"/>
  <c r="CU83" i="8"/>
  <c r="CU53" i="8"/>
  <c r="CU54" i="8" s="1"/>
  <c r="CU69" i="8"/>
  <c r="CU31" i="8"/>
  <c r="CU12" i="8"/>
  <c r="CU78" i="7"/>
  <c r="CU80" i="8"/>
  <c r="CU18" i="8"/>
  <c r="CU59" i="8" s="1"/>
  <c r="CV2" i="8"/>
  <c r="CU63" i="8"/>
  <c r="CU70" i="8"/>
  <c r="CU57" i="8"/>
  <c r="CU15" i="8"/>
  <c r="CV68" i="8" l="1"/>
  <c r="CV75" i="8"/>
  <c r="CV67" i="8"/>
  <c r="CV80" i="7"/>
  <c r="CV81" i="7"/>
  <c r="CV79" i="7"/>
  <c r="CV78" i="8"/>
  <c r="CV84" i="8"/>
  <c r="CV83" i="8"/>
  <c r="CV79" i="8"/>
  <c r="CV57" i="8"/>
  <c r="CV80" i="8"/>
  <c r="CV70" i="8"/>
  <c r="CV31" i="8"/>
  <c r="CV69" i="8"/>
  <c r="CV12" i="8"/>
  <c r="CW2" i="8"/>
  <c r="CV78" i="7"/>
  <c r="CV18" i="8"/>
  <c r="CV59" i="8" s="1"/>
  <c r="CV53" i="8"/>
  <c r="CV54" i="8" s="1"/>
  <c r="CV63" i="8"/>
  <c r="CV15" i="8"/>
  <c r="CW68" i="8" l="1"/>
  <c r="CW75" i="8"/>
  <c r="CW67" i="8"/>
  <c r="CW81" i="7"/>
  <c r="CW80" i="7"/>
  <c r="CW79" i="7"/>
  <c r="CW78" i="8"/>
  <c r="CW84" i="8"/>
  <c r="CW83" i="8"/>
  <c r="CW79" i="8"/>
  <c r="CW53" i="8"/>
  <c r="CW54" i="8" s="1"/>
  <c r="CW70" i="8"/>
  <c r="CW18" i="8"/>
  <c r="CW59" i="8" s="1"/>
  <c r="CW78" i="7"/>
  <c r="CW12" i="8"/>
  <c r="CX2" i="8"/>
  <c r="CW15" i="8"/>
  <c r="CW31" i="8"/>
  <c r="CW57" i="8"/>
  <c r="CW63" i="8"/>
  <c r="CW69" i="8"/>
  <c r="CW80" i="8"/>
  <c r="CX75" i="8" l="1"/>
  <c r="CX67" i="8"/>
  <c r="CX68" i="8"/>
  <c r="CX81" i="7"/>
  <c r="CX80" i="7"/>
  <c r="CX79" i="7"/>
  <c r="CX78" i="8"/>
  <c r="CX83" i="8"/>
  <c r="E8" i="7" s="1"/>
  <c r="CX79" i="8"/>
  <c r="CX84" i="8"/>
  <c r="CX78" i="7"/>
  <c r="B5" i="8" s="1" a="1"/>
  <c r="CX70" i="8"/>
  <c r="CX31" i="8"/>
  <c r="CX69" i="8"/>
  <c r="CX53" i="8"/>
  <c r="CX54" i="8" s="1"/>
  <c r="CX63" i="8"/>
  <c r="CX18" i="8"/>
  <c r="CX59" i="8" s="1"/>
  <c r="CX57" i="8"/>
  <c r="CX12" i="8"/>
  <c r="CX15" i="8"/>
  <c r="CX80" i="8"/>
  <c r="BG5" i="8" l="1"/>
  <c r="Q5" i="8"/>
  <c r="Q53" i="8" s="1"/>
  <c r="AP5" i="8"/>
  <c r="CU5" i="8"/>
  <c r="CN5" i="8"/>
  <c r="CT5" i="8"/>
  <c r="H5" i="8"/>
  <c r="H53" i="8" s="1"/>
  <c r="BT5" i="8"/>
  <c r="CL5" i="8"/>
  <c r="AV5" i="8"/>
  <c r="CW5" i="8"/>
  <c r="AU5" i="8"/>
  <c r="BA5" i="8"/>
  <c r="BJ5" i="8"/>
  <c r="D5" i="8"/>
  <c r="D53" i="8" s="1"/>
  <c r="CV5" i="8"/>
  <c r="CX5" i="8"/>
  <c r="BH5" i="8"/>
  <c r="X5" i="8"/>
  <c r="X53" i="8" s="1"/>
  <c r="BW5" i="8"/>
  <c r="AG5" i="8"/>
  <c r="BF5" i="8"/>
  <c r="P5" i="8"/>
  <c r="P53" i="8" s="1"/>
  <c r="BI5" i="8"/>
  <c r="O5" i="8"/>
  <c r="O53" i="8" s="1"/>
  <c r="BM5" i="8"/>
  <c r="CP5" i="8"/>
  <c r="AJ5" i="8"/>
  <c r="CS5" i="8"/>
  <c r="AI5" i="8"/>
  <c r="I5" i="8"/>
  <c r="I53" i="8" s="1"/>
  <c r="AH5" i="8"/>
  <c r="AQ5" i="8"/>
  <c r="CR5" i="8"/>
  <c r="Z5" i="8"/>
  <c r="Z53" i="8" s="1"/>
  <c r="CE5" i="8"/>
  <c r="BE5" i="8"/>
  <c r="CD5" i="8"/>
  <c r="BX5" i="8"/>
  <c r="CK5" i="8"/>
  <c r="AM5" i="8"/>
  <c r="M5" i="8"/>
  <c r="M53" i="8" s="1"/>
  <c r="AL5" i="8"/>
  <c r="CQ5" i="8"/>
  <c r="CG5" i="8"/>
  <c r="K5" i="8"/>
  <c r="K53" i="8" s="1"/>
  <c r="AZ5" i="8"/>
  <c r="BU5" i="8"/>
  <c r="AY5" i="8"/>
  <c r="Y5" i="8"/>
  <c r="Y53" i="8" s="1"/>
  <c r="AX5" i="8"/>
  <c r="U5" i="8"/>
  <c r="U53" i="8" s="1"/>
  <c r="AD5" i="8"/>
  <c r="BS5" i="8"/>
  <c r="AS5" i="8"/>
  <c r="BR5" i="8"/>
  <c r="AB5" i="8"/>
  <c r="CF5" i="8"/>
  <c r="BZ5" i="8"/>
  <c r="T5" i="8"/>
  <c r="T53" i="8" s="1"/>
  <c r="BY5" i="8"/>
  <c r="S5" i="8"/>
  <c r="S53" i="8" s="1"/>
  <c r="CB5" i="8"/>
  <c r="R5" i="8"/>
  <c r="R53" i="8" s="1"/>
  <c r="CM5" i="8"/>
  <c r="AW5" i="8"/>
  <c r="BV5" i="8"/>
  <c r="AF5" i="8"/>
  <c r="CC5" i="8"/>
  <c r="AE5" i="8"/>
  <c r="AK5" i="8"/>
  <c r="AT5" i="8"/>
  <c r="CI5" i="8"/>
  <c r="C5" i="8"/>
  <c r="C53" i="8" s="1"/>
  <c r="CH5" i="8"/>
  <c r="AR5" i="8"/>
  <c r="AN5" i="8"/>
  <c r="CO5" i="8"/>
  <c r="G5" i="8"/>
  <c r="G53" i="8" s="1"/>
  <c r="BL5" i="8"/>
  <c r="F5" i="8"/>
  <c r="F53" i="8" s="1"/>
  <c r="BK5" i="8"/>
  <c r="E5" i="8"/>
  <c r="E53" i="8" s="1"/>
  <c r="N5" i="8"/>
  <c r="N53" i="8" s="1"/>
  <c r="BC5" i="8"/>
  <c r="AC5" i="8"/>
  <c r="BB5" i="8"/>
  <c r="L5" i="8"/>
  <c r="L53" i="8" s="1"/>
  <c r="B5" i="8"/>
  <c r="AA5" i="8"/>
  <c r="AA53" i="8" s="1"/>
  <c r="BP5" i="8"/>
  <c r="J5" i="8"/>
  <c r="J53" i="8" s="1"/>
  <c r="BO5" i="8"/>
  <c r="AO5" i="8"/>
  <c r="BN5" i="8"/>
  <c r="BD5" i="8"/>
  <c r="BQ5" i="8"/>
  <c r="W5" i="8"/>
  <c r="W53" i="8" s="1"/>
  <c r="CJ5" i="8"/>
  <c r="V5" i="8"/>
  <c r="V53" i="8" s="1"/>
  <c r="CA5" i="8"/>
  <c r="G57" i="8" l="1"/>
  <c r="G69" i="8" s="1"/>
  <c r="G70" i="8" s="1"/>
  <c r="G75" i="8" s="1"/>
  <c r="G54" i="8"/>
  <c r="I54" i="8"/>
  <c r="I57" i="8"/>
  <c r="I69" i="8" s="1"/>
  <c r="I70" i="8" s="1"/>
  <c r="I75" i="8" s="1"/>
  <c r="X57" i="8"/>
  <c r="X69" i="8" s="1"/>
  <c r="X70" i="8" s="1"/>
  <c r="X75" i="8" s="1"/>
  <c r="X54" i="8"/>
  <c r="D54" i="8"/>
  <c r="D57" i="8"/>
  <c r="D69" i="8" s="1"/>
  <c r="D70" i="8" s="1"/>
  <c r="D75" i="8" s="1"/>
  <c r="W57" i="8"/>
  <c r="W69" i="8" s="1"/>
  <c r="W70" i="8" s="1"/>
  <c r="W75" i="8" s="1"/>
  <c r="W54" i="8"/>
  <c r="C57" i="8"/>
  <c r="C69" i="8" s="1"/>
  <c r="C70" i="8" s="1"/>
  <c r="C75" i="8" s="1"/>
  <c r="C54" i="8"/>
  <c r="K54" i="8"/>
  <c r="K57" i="8"/>
  <c r="K69" i="8" s="1"/>
  <c r="K70" i="8" s="1"/>
  <c r="K75" i="8" s="1"/>
  <c r="Q57" i="8"/>
  <c r="Q69" i="8" s="1"/>
  <c r="Q70" i="8" s="1"/>
  <c r="Q75" i="8" s="1"/>
  <c r="Q54" i="8"/>
  <c r="V54" i="8"/>
  <c r="V57" i="8"/>
  <c r="V69" i="8" s="1"/>
  <c r="V70" i="8" s="1"/>
  <c r="V75" i="8" s="1"/>
  <c r="J54" i="8"/>
  <c r="J57" i="8"/>
  <c r="J69" i="8" s="1"/>
  <c r="J70" i="8" s="1"/>
  <c r="J75" i="8" s="1"/>
  <c r="L57" i="8"/>
  <c r="L69" i="8" s="1"/>
  <c r="L70" i="8" s="1"/>
  <c r="L75" i="8" s="1"/>
  <c r="L54" i="8"/>
  <c r="N54" i="8"/>
  <c r="N57" i="8"/>
  <c r="N69" i="8" s="1"/>
  <c r="N70" i="8" s="1"/>
  <c r="N75" i="8" s="1"/>
  <c r="R54" i="8"/>
  <c r="R57" i="8"/>
  <c r="R69" i="8" s="1"/>
  <c r="R70" i="8" s="1"/>
  <c r="R75" i="8" s="1"/>
  <c r="T57" i="8"/>
  <c r="T69" i="8" s="1"/>
  <c r="T70" i="8" s="1"/>
  <c r="T75" i="8" s="1"/>
  <c r="T54" i="8"/>
  <c r="U54" i="8"/>
  <c r="U57" i="8"/>
  <c r="U69" i="8" s="1"/>
  <c r="U70" i="8" s="1"/>
  <c r="U75" i="8" s="1"/>
  <c r="E54" i="8"/>
  <c r="E57" i="8"/>
  <c r="E69" i="8" s="1"/>
  <c r="E70" i="8" s="1"/>
  <c r="E75" i="8" s="1"/>
  <c r="Z54" i="8"/>
  <c r="Z57" i="8"/>
  <c r="Z69" i="8" s="1"/>
  <c r="Z70" i="8" s="1"/>
  <c r="Z75" i="8" s="1"/>
  <c r="P54" i="8"/>
  <c r="P57" i="8"/>
  <c r="P69" i="8" s="1"/>
  <c r="P70" i="8" s="1"/>
  <c r="P75" i="8" s="1"/>
  <c r="H57" i="8"/>
  <c r="H69" i="8" s="1"/>
  <c r="H70" i="8" s="1"/>
  <c r="H75" i="8" s="1"/>
  <c r="H54" i="8"/>
  <c r="AA54" i="8"/>
  <c r="AA57" i="8"/>
  <c r="AA69" i="8" s="1"/>
  <c r="AA70" i="8" s="1"/>
  <c r="AA75" i="8" s="1"/>
  <c r="S54" i="8"/>
  <c r="S57" i="8"/>
  <c r="S69" i="8" s="1"/>
  <c r="S70" i="8" s="1"/>
  <c r="S75" i="8" s="1"/>
  <c r="Y57" i="8"/>
  <c r="Y69" i="8" s="1"/>
  <c r="Y70" i="8" s="1"/>
  <c r="Y75" i="8" s="1"/>
  <c r="Y54" i="8"/>
  <c r="M57" i="8"/>
  <c r="M69" i="8" s="1"/>
  <c r="M70" i="8" s="1"/>
  <c r="M75" i="8" s="1"/>
  <c r="M54" i="8"/>
  <c r="F57" i="8"/>
  <c r="F69" i="8" s="1"/>
  <c r="F70" i="8" s="1"/>
  <c r="F75" i="8" s="1"/>
  <c r="F54" i="8"/>
  <c r="O54" i="8"/>
  <c r="O57" i="8"/>
  <c r="O69" i="8" s="1"/>
  <c r="O70" i="8" s="1"/>
  <c r="O75" i="8" s="1"/>
  <c r="F78" i="8" l="1"/>
  <c r="F80" i="8" s="1"/>
  <c r="E78" i="8"/>
  <c r="E80" i="8" s="1"/>
  <c r="T78" i="8"/>
  <c r="T84" i="8" s="1"/>
  <c r="N78" i="8"/>
  <c r="N84" i="8" s="1"/>
  <c r="Q78" i="8"/>
  <c r="Q84" i="8" s="1"/>
  <c r="C78" i="8"/>
  <c r="C80" i="8" s="1"/>
  <c r="D78" i="8"/>
  <c r="D80" i="8" s="1"/>
  <c r="I78" i="8"/>
  <c r="I80" i="8" s="1"/>
  <c r="X78" i="8"/>
  <c r="X80" i="8" s="1"/>
  <c r="Z78" i="8"/>
  <c r="Z80" i="8" s="1"/>
  <c r="R78" i="8"/>
  <c r="R80" i="8" s="1"/>
  <c r="G78" i="8"/>
  <c r="G80" i="8" s="1"/>
  <c r="Y78" i="8"/>
  <c r="AA78" i="8"/>
  <c r="P78" i="8"/>
  <c r="J78" i="8"/>
  <c r="O78" i="8"/>
  <c r="M78" i="8"/>
  <c r="S78" i="8"/>
  <c r="H78" i="8"/>
  <c r="U78" i="8"/>
  <c r="L78" i="8"/>
  <c r="V78" i="8"/>
  <c r="K78" i="8"/>
  <c r="W78" i="8"/>
  <c r="X84" i="8" l="1"/>
  <c r="N80" i="8"/>
  <c r="Z84" i="8"/>
  <c r="I84" i="8"/>
  <c r="E84" i="8"/>
  <c r="F84" i="8"/>
  <c r="G84" i="8"/>
  <c r="Q80" i="8"/>
  <c r="C84" i="8"/>
  <c r="T80" i="8"/>
  <c r="D84" i="8"/>
  <c r="R84" i="8"/>
  <c r="K84" i="8"/>
  <c r="K80" i="8"/>
  <c r="H84" i="8"/>
  <c r="H80" i="8"/>
  <c r="J84" i="8"/>
  <c r="J80" i="8"/>
  <c r="V84" i="8"/>
  <c r="V80" i="8"/>
  <c r="S84" i="8"/>
  <c r="S80" i="8"/>
  <c r="P84" i="8"/>
  <c r="P80" i="8"/>
  <c r="L84" i="8"/>
  <c r="L80" i="8"/>
  <c r="M84" i="8"/>
  <c r="M80" i="8"/>
  <c r="AA84" i="8"/>
  <c r="AA80" i="8"/>
  <c r="W80" i="8"/>
  <c r="W84" i="8"/>
  <c r="U84" i="8"/>
  <c r="U80" i="8"/>
  <c r="O84" i="8"/>
  <c r="O80" i="8"/>
  <c r="Y84" i="8"/>
  <c r="Y80" i="8"/>
  <c r="E10" i="7" l="1"/>
  <c r="E9" i="7"/>
  <c r="E11" i="7"/>
</calcChain>
</file>

<file path=xl/sharedStrings.xml><?xml version="1.0" encoding="utf-8"?>
<sst xmlns="http://schemas.openxmlformats.org/spreadsheetml/2006/main" count="515" uniqueCount="150">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</sst>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2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9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31"/>
  <sheetViews>
    <sheetView zoomScaleNormal="100" workbookViewId="0">
      <selection activeCell="G17" sqref="G17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6" t="s">
        <v>93</v>
      </c>
      <c r="B1" s="115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84</v>
      </c>
      <c r="B3" s="111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5" t="s">
        <v>102</v>
      </c>
      <c r="B4" s="166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147</v>
      </c>
    </row>
    <row r="5" spans="1:100" s="22" customFormat="1" x14ac:dyDescent="0.2">
      <c r="A5" s="103" t="s">
        <v>85</v>
      </c>
      <c r="B5" s="103">
        <v>100</v>
      </c>
      <c r="C5" s="20"/>
      <c r="D5" s="48" t="s">
        <v>83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86</v>
      </c>
      <c r="B6" s="112">
        <v>50</v>
      </c>
      <c r="C6" s="20"/>
      <c r="D6" s="125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5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117</v>
      </c>
      <c r="B8" s="34"/>
      <c r="C8" s="20"/>
      <c r="D8" s="102" t="s">
        <v>97</v>
      </c>
      <c r="E8" s="162">
        <f>-('Cash Flow'!B83+NPV(NominalDiscountRate/100, 'Cash Flow'!C83:CX83))</f>
        <v>6522004.3951677401</v>
      </c>
      <c r="F8" s="20"/>
      <c r="L8" s="21"/>
      <c r="M8" s="19"/>
      <c r="N8" s="19"/>
      <c r="Q8" s="20"/>
    </row>
    <row r="9" spans="1:100" s="22" customFormat="1" x14ac:dyDescent="0.2">
      <c r="A9" s="103" t="s">
        <v>118</v>
      </c>
      <c r="B9" s="183">
        <v>826030</v>
      </c>
      <c r="C9" s="20"/>
      <c r="D9" s="102" t="s">
        <v>96</v>
      </c>
      <c r="E9" s="162">
        <f>-('Cash Flow'!B84+NPV(NominalDiscountRate/100, 'Cash Flow'!C84:CX84))</f>
        <v>6553722.7679760167</v>
      </c>
      <c r="F9" s="20"/>
      <c r="L9" s="21"/>
      <c r="M9" s="19"/>
      <c r="N9" s="19"/>
      <c r="Q9" s="20"/>
    </row>
    <row r="10" spans="1:100" s="22" customFormat="1" x14ac:dyDescent="0.2">
      <c r="A10" s="103" t="s">
        <v>119</v>
      </c>
      <c r="B10" s="183">
        <v>783215</v>
      </c>
      <c r="C10" s="20"/>
      <c r="D10" s="102" t="s">
        <v>104</v>
      </c>
      <c r="E10" s="104">
        <f>'Cash Flow'!B80+NPV(NominalDiscountRate/100,'Cash Flow'!C80:CX80)</f>
        <v>-31718.372808275861</v>
      </c>
      <c r="F10" s="20"/>
      <c r="L10" s="21"/>
      <c r="M10" s="19"/>
      <c r="N10" s="19"/>
      <c r="Q10" s="20"/>
    </row>
    <row r="11" spans="1:100" s="22" customFormat="1" x14ac:dyDescent="0.2">
      <c r="A11" s="103" t="s">
        <v>120</v>
      </c>
      <c r="B11" s="184">
        <v>-10500</v>
      </c>
      <c r="C11" s="20"/>
      <c r="D11" s="103" t="s">
        <v>82</v>
      </c>
      <c r="E11" s="168">
        <f>IF(loan_term=0,IRR('Cash Flow'!B80:CX80, NominalDiscountRate/100),IRR('Cash Flow'!C80:CX80, NominalDiscountRate/100))</f>
        <v>7.2682071429163386E-2</v>
      </c>
      <c r="F11" s="20"/>
      <c r="L11" s="21"/>
      <c r="M11" s="19"/>
      <c r="N11" s="19"/>
      <c r="Q11" s="20"/>
    </row>
    <row r="12" spans="1:100" s="22" customFormat="1" x14ac:dyDescent="0.2">
      <c r="A12" s="103" t="s">
        <v>121</v>
      </c>
      <c r="B12" s="112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61"/>
      <c r="L13" s="21"/>
      <c r="Q13" s="20"/>
    </row>
    <row r="14" spans="1:100" x14ac:dyDescent="0.2">
      <c r="A14" s="33" t="s">
        <v>12</v>
      </c>
      <c r="B14" s="34"/>
      <c r="C14" s="20"/>
      <c r="F14" s="163"/>
      <c r="G14" s="94"/>
      <c r="H14" s="29"/>
      <c r="L14" s="21"/>
      <c r="Q14" s="20"/>
    </row>
    <row r="15" spans="1:100" x14ac:dyDescent="0.2">
      <c r="A15" s="40" t="s">
        <v>57</v>
      </c>
      <c r="B15" s="113">
        <v>542718</v>
      </c>
      <c r="C15" s="20"/>
      <c r="F15" s="163"/>
      <c r="G15" s="164"/>
      <c r="H15" s="95"/>
      <c r="L15" s="21"/>
      <c r="Q15" s="20"/>
    </row>
    <row r="16" spans="1:100" x14ac:dyDescent="0.2">
      <c r="A16" s="191" t="s">
        <v>128</v>
      </c>
      <c r="B16" s="114">
        <v>442718</v>
      </c>
      <c r="C16" s="20"/>
      <c r="F16" s="163"/>
      <c r="G16" s="164"/>
      <c r="H16" s="95"/>
      <c r="L16" s="21"/>
      <c r="Q16" s="20"/>
    </row>
    <row r="17" spans="1:17" x14ac:dyDescent="0.2">
      <c r="A17" s="191" t="s">
        <v>129</v>
      </c>
      <c r="B17" s="114">
        <v>100000</v>
      </c>
      <c r="C17" s="20"/>
      <c r="F17" s="163"/>
      <c r="G17" s="164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4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87</v>
      </c>
      <c r="B20" s="114">
        <v>500</v>
      </c>
      <c r="C20" s="20"/>
      <c r="H20" s="23"/>
      <c r="L20" s="21"/>
      <c r="Q20" s="20"/>
    </row>
    <row r="21" spans="1:17" x14ac:dyDescent="0.2">
      <c r="A21" s="36" t="s">
        <v>91</v>
      </c>
      <c r="B21" s="114">
        <v>10</v>
      </c>
      <c r="C21" s="20"/>
      <c r="F21" s="19"/>
      <c r="I21" s="20"/>
    </row>
    <row r="22" spans="1:17" x14ac:dyDescent="0.2">
      <c r="A22" s="36" t="s">
        <v>88</v>
      </c>
      <c r="B22" s="114">
        <v>500</v>
      </c>
      <c r="C22" s="20"/>
      <c r="F22" s="19"/>
      <c r="I22" s="20"/>
    </row>
    <row r="23" spans="1:17" x14ac:dyDescent="0.2">
      <c r="A23" s="36" t="s">
        <v>92</v>
      </c>
      <c r="B23" s="114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9" t="s">
        <v>14</v>
      </c>
      <c r="B25" s="150"/>
      <c r="C25" s="20"/>
      <c r="D25" s="21"/>
      <c r="F25" s="19"/>
      <c r="I25" s="20"/>
    </row>
    <row r="26" spans="1:17" x14ac:dyDescent="0.2">
      <c r="A26" s="148" t="s">
        <v>50</v>
      </c>
      <c r="B26" s="154">
        <v>0</v>
      </c>
      <c r="C26" s="20"/>
      <c r="D26" s="21"/>
      <c r="F26" s="19"/>
      <c r="I26" s="20"/>
    </row>
    <row r="27" spans="1:17" x14ac:dyDescent="0.2">
      <c r="A27" s="148" t="s">
        <v>51</v>
      </c>
      <c r="B27" s="155">
        <v>0</v>
      </c>
      <c r="C27" s="20"/>
      <c r="D27" s="21"/>
      <c r="F27" s="19"/>
      <c r="I27" s="20"/>
    </row>
    <row r="28" spans="1:17" x14ac:dyDescent="0.2">
      <c r="A28" s="148" t="s">
        <v>52</v>
      </c>
      <c r="B28" s="154">
        <v>0</v>
      </c>
      <c r="C28" s="20"/>
      <c r="D28" s="21"/>
      <c r="F28" s="19"/>
      <c r="I28" s="20"/>
    </row>
    <row r="29" spans="1:17" x14ac:dyDescent="0.2">
      <c r="A29" s="151"/>
      <c r="B29" s="126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54</v>
      </c>
      <c r="B32" s="107">
        <v>2</v>
      </c>
      <c r="L32" s="19"/>
    </row>
    <row r="33" spans="1:15" s="20" customFormat="1" x14ac:dyDescent="0.2">
      <c r="A33" s="128" t="s">
        <v>116</v>
      </c>
      <c r="B33" s="127">
        <v>0</v>
      </c>
      <c r="L33" s="19"/>
    </row>
    <row r="34" spans="1:15" s="20" customFormat="1" x14ac:dyDescent="0.2">
      <c r="A34" s="31" t="s">
        <v>115</v>
      </c>
      <c r="B34" s="110">
        <f>((1+escalation_rate/100)*(1+inflation_rate/100)-1)*100</f>
        <v>2.0000000000000018</v>
      </c>
      <c r="L34" s="19"/>
    </row>
    <row r="35" spans="1:15" s="20" customFormat="1" x14ac:dyDescent="0.2">
      <c r="A35" s="31" t="s">
        <v>55</v>
      </c>
      <c r="B35" s="107">
        <v>6</v>
      </c>
      <c r="L35" s="19"/>
      <c r="O35" s="19"/>
    </row>
    <row r="36" spans="1:15" s="20" customFormat="1" x14ac:dyDescent="0.2">
      <c r="A36" s="31" t="s">
        <v>56</v>
      </c>
      <c r="B36" s="110">
        <f>((inflation_rate/100+1)*(real_discount_rate/100+1)-1)*100</f>
        <v>8.1200000000000152</v>
      </c>
      <c r="L36" s="19"/>
      <c r="M36" s="19"/>
      <c r="N36" s="19"/>
    </row>
    <row r="37" spans="1:15" s="20" customFormat="1" x14ac:dyDescent="0.2">
      <c r="A37" s="43"/>
    </row>
    <row r="38" spans="1:15" s="20" customFormat="1" x14ac:dyDescent="0.2">
      <c r="A38" s="33" t="s">
        <v>13</v>
      </c>
      <c r="B38" s="34"/>
    </row>
    <row r="39" spans="1:15" s="20" customFormat="1" x14ac:dyDescent="0.2">
      <c r="A39" s="31" t="s">
        <v>58</v>
      </c>
      <c r="B39" s="107">
        <v>37</v>
      </c>
    </row>
    <row r="40" spans="1:15" s="20" customFormat="1" x14ac:dyDescent="0.2">
      <c r="C40" s="26"/>
    </row>
    <row r="41" spans="1:15" s="20" customFormat="1" x14ac:dyDescent="0.2">
      <c r="A41" s="122" t="s">
        <v>122</v>
      </c>
      <c r="B41" s="123"/>
      <c r="C41" s="123"/>
      <c r="D41" s="180"/>
    </row>
    <row r="42" spans="1:15" s="20" customFormat="1" x14ac:dyDescent="0.2">
      <c r="A42" s="120" t="s">
        <v>47</v>
      </c>
      <c r="B42" s="121"/>
      <c r="D42" s="182" t="s">
        <v>81</v>
      </c>
      <c r="E42" s="90"/>
    </row>
    <row r="43" spans="1:15" s="20" customFormat="1" x14ac:dyDescent="0.2">
      <c r="A43" s="38" t="s">
        <v>18</v>
      </c>
      <c r="B43" s="89" t="s">
        <v>2</v>
      </c>
      <c r="C43" s="89" t="s">
        <v>6</v>
      </c>
      <c r="D43" s="124" t="s">
        <v>1</v>
      </c>
    </row>
    <row r="44" spans="1:15" s="20" customFormat="1" x14ac:dyDescent="0.2">
      <c r="A44" s="51" t="s">
        <v>1</v>
      </c>
      <c r="B44" s="109">
        <v>30</v>
      </c>
      <c r="C44" s="118">
        <v>9.9999999999999998E+37</v>
      </c>
      <c r="D44" s="92" t="s">
        <v>60</v>
      </c>
      <c r="E44" s="28"/>
    </row>
    <row r="45" spans="1:15" s="20" customFormat="1" x14ac:dyDescent="0.2">
      <c r="A45" s="18"/>
      <c r="B45" s="19"/>
      <c r="C45" s="18"/>
      <c r="D45" s="19"/>
      <c r="E45" s="19"/>
      <c r="F45" s="50"/>
      <c r="G45" s="50"/>
      <c r="M45" s="50"/>
    </row>
    <row r="46" spans="1:15" s="20" customFormat="1" x14ac:dyDescent="0.2">
      <c r="A46" s="45" t="s">
        <v>123</v>
      </c>
      <c r="B46" s="53"/>
      <c r="C46" s="53"/>
      <c r="D46" s="53"/>
      <c r="E46" s="180"/>
    </row>
    <row r="47" spans="1:15" s="20" customFormat="1" x14ac:dyDescent="0.2">
      <c r="A47" s="86" t="s">
        <v>43</v>
      </c>
      <c r="B47" s="55"/>
      <c r="C47" s="56"/>
      <c r="D47" s="119" t="s">
        <v>48</v>
      </c>
      <c r="E47" s="181" t="s">
        <v>81</v>
      </c>
    </row>
    <row r="48" spans="1:15" s="20" customFormat="1" x14ac:dyDescent="0.2">
      <c r="A48" s="36" t="s">
        <v>18</v>
      </c>
      <c r="B48" s="30" t="s">
        <v>2</v>
      </c>
      <c r="C48" s="85" t="s">
        <v>46</v>
      </c>
      <c r="D48" s="88" t="s">
        <v>1</v>
      </c>
      <c r="E48" s="41" t="s">
        <v>1</v>
      </c>
    </row>
    <row r="49" spans="1:15" s="20" customFormat="1" x14ac:dyDescent="0.2">
      <c r="A49" s="37" t="s">
        <v>41</v>
      </c>
      <c r="B49" s="108">
        <v>0</v>
      </c>
      <c r="C49" s="118">
        <v>9.9999999999999998E+37</v>
      </c>
      <c r="D49" s="44" t="s">
        <v>60</v>
      </c>
      <c r="E49" s="92" t="s">
        <v>61</v>
      </c>
    </row>
    <row r="50" spans="1:15" s="20" customFormat="1" ht="13.5" thickBot="1" x14ac:dyDescent="0.25">
      <c r="A50" s="37" t="s">
        <v>42</v>
      </c>
      <c r="B50" s="108">
        <v>0</v>
      </c>
      <c r="C50" s="118">
        <v>9.9999999999999998E+37</v>
      </c>
      <c r="D50" s="44" t="s">
        <v>60</v>
      </c>
      <c r="E50" s="92" t="s">
        <v>61</v>
      </c>
    </row>
    <row r="51" spans="1:15" ht="12.75" customHeight="1" x14ac:dyDescent="0.2">
      <c r="A51" s="87" t="s">
        <v>44</v>
      </c>
      <c r="B51" s="32" t="s">
        <v>45</v>
      </c>
      <c r="C51" s="85" t="s">
        <v>46</v>
      </c>
      <c r="D51" s="106"/>
      <c r="E51" s="106"/>
      <c r="F51" s="24"/>
      <c r="G51" s="26"/>
      <c r="M51" s="24"/>
    </row>
    <row r="52" spans="1:15" ht="12.75" customHeight="1" x14ac:dyDescent="0.2">
      <c r="A52" s="37" t="s">
        <v>19</v>
      </c>
      <c r="B52" s="109">
        <v>0</v>
      </c>
      <c r="C52" s="118">
        <v>9.9999999999999998E+37</v>
      </c>
      <c r="D52" s="44" t="s">
        <v>60</v>
      </c>
      <c r="E52" s="92" t="s">
        <v>61</v>
      </c>
      <c r="F52" s="50"/>
      <c r="G52" s="23"/>
      <c r="M52" s="50"/>
    </row>
    <row r="53" spans="1:15" ht="12.75" customHeight="1" x14ac:dyDescent="0.2">
      <c r="A53" s="37" t="s">
        <v>20</v>
      </c>
      <c r="B53" s="109">
        <v>0</v>
      </c>
      <c r="C53" s="118">
        <v>9.9999999999999998E+37</v>
      </c>
      <c r="D53" s="44" t="s">
        <v>60</v>
      </c>
      <c r="E53" s="92" t="s">
        <v>61</v>
      </c>
      <c r="F53" s="50"/>
      <c r="G53" s="23"/>
      <c r="M53" s="50"/>
    </row>
    <row r="54" spans="1:15" ht="12.75" customHeight="1" x14ac:dyDescent="0.2">
      <c r="A54" s="37" t="s">
        <v>21</v>
      </c>
      <c r="B54" s="109">
        <v>0</v>
      </c>
      <c r="C54" s="171">
        <v>9.9999999999999998E+37</v>
      </c>
      <c r="D54" s="172" t="s">
        <v>60</v>
      </c>
      <c r="E54" s="173" t="s">
        <v>61</v>
      </c>
      <c r="F54" s="50"/>
      <c r="G54" s="23"/>
      <c r="M54" s="50"/>
    </row>
    <row r="55" spans="1:15" ht="12.75" customHeight="1" x14ac:dyDescent="0.2">
      <c r="A55" s="87" t="s">
        <v>105</v>
      </c>
      <c r="B55" s="32" t="s">
        <v>107</v>
      </c>
      <c r="C55" s="174" t="s">
        <v>108</v>
      </c>
      <c r="D55" s="177" t="s">
        <v>109</v>
      </c>
      <c r="E55" s="177" t="s">
        <v>110</v>
      </c>
      <c r="F55" s="178" t="s">
        <v>112</v>
      </c>
      <c r="G55" s="50"/>
    </row>
    <row r="56" spans="1:15" ht="12.75" customHeight="1" x14ac:dyDescent="0.2">
      <c r="A56" s="37" t="s">
        <v>106</v>
      </c>
      <c r="B56" s="109">
        <v>0</v>
      </c>
      <c r="C56" s="175">
        <v>9.9999999999999998E+37</v>
      </c>
      <c r="D56" s="174" t="s">
        <v>60</v>
      </c>
      <c r="E56" s="176">
        <v>10</v>
      </c>
      <c r="F56" s="179">
        <v>9.9999999999999998E+37</v>
      </c>
      <c r="G56" s="50"/>
    </row>
    <row r="57" spans="1:15" ht="12.75" customHeight="1" x14ac:dyDescent="0.2">
      <c r="A57" s="185"/>
      <c r="B57" s="186"/>
      <c r="C57" s="187"/>
      <c r="D57" s="188"/>
      <c r="E57" s="189"/>
      <c r="F57" s="190"/>
      <c r="G57" s="50"/>
    </row>
    <row r="58" spans="1:15" ht="12.75" customHeight="1" x14ac:dyDescent="0.2">
      <c r="A58" s="122" t="s">
        <v>126</v>
      </c>
      <c r="B58" s="123"/>
      <c r="C58" s="123"/>
      <c r="D58" s="180"/>
      <c r="E58" s="20"/>
      <c r="F58" s="190"/>
      <c r="G58" s="50"/>
    </row>
    <row r="59" spans="1:15" ht="12.75" customHeight="1" x14ac:dyDescent="0.2">
      <c r="A59" s="120" t="s">
        <v>47</v>
      </c>
      <c r="B59" s="121"/>
      <c r="C59" s="20"/>
      <c r="D59" s="182" t="s">
        <v>81</v>
      </c>
      <c r="E59" s="90"/>
      <c r="F59" s="190"/>
      <c r="G59" s="50"/>
    </row>
    <row r="60" spans="1:15" ht="12.75" customHeight="1" x14ac:dyDescent="0.2">
      <c r="A60" s="38" t="s">
        <v>18</v>
      </c>
      <c r="B60" s="89" t="s">
        <v>2</v>
      </c>
      <c r="C60" s="89" t="s">
        <v>6</v>
      </c>
      <c r="D60" s="124" t="s">
        <v>1</v>
      </c>
      <c r="E60" s="20"/>
      <c r="F60" s="190"/>
      <c r="G60" s="50"/>
    </row>
    <row r="61" spans="1:15" ht="12.75" customHeight="1" x14ac:dyDescent="0.2">
      <c r="A61" s="51" t="s">
        <v>1</v>
      </c>
      <c r="B61" s="109">
        <v>30</v>
      </c>
      <c r="C61" s="118">
        <v>9.9999999999999998E+37</v>
      </c>
      <c r="D61" s="92" t="s">
        <v>60</v>
      </c>
      <c r="E61" s="28"/>
      <c r="F61" s="190"/>
      <c r="G61" s="50"/>
    </row>
    <row r="62" spans="1:15" ht="12.75" customHeight="1" x14ac:dyDescent="0.2">
      <c r="F62" s="190"/>
      <c r="G62" s="50"/>
    </row>
    <row r="63" spans="1:15" ht="12.75" customHeight="1" x14ac:dyDescent="0.2">
      <c r="A63" s="45" t="s">
        <v>148</v>
      </c>
      <c r="B63" s="53"/>
      <c r="C63" s="53"/>
      <c r="D63" s="53"/>
      <c r="E63" s="180"/>
      <c r="F63" s="190"/>
      <c r="G63" s="192" t="s">
        <v>142</v>
      </c>
      <c r="H63" s="193"/>
      <c r="I63" s="193"/>
      <c r="J63" s="193"/>
      <c r="K63" s="194"/>
      <c r="L63" s="194"/>
      <c r="M63" s="194"/>
      <c r="N63" s="194"/>
      <c r="O63" s="194"/>
    </row>
    <row r="64" spans="1:15" ht="12.75" customHeight="1" x14ac:dyDescent="0.2">
      <c r="A64" s="86" t="s">
        <v>43</v>
      </c>
      <c r="B64" s="55"/>
      <c r="C64" s="56"/>
      <c r="D64" s="119" t="s">
        <v>48</v>
      </c>
      <c r="E64" s="181" t="s">
        <v>81</v>
      </c>
      <c r="F64" s="190"/>
      <c r="G64" s="195" t="s">
        <v>145</v>
      </c>
      <c r="H64" s="196">
        <v>1</v>
      </c>
      <c r="I64" s="196">
        <v>2</v>
      </c>
      <c r="J64" s="196">
        <v>3</v>
      </c>
      <c r="K64" s="196">
        <v>4</v>
      </c>
      <c r="L64" s="196">
        <v>5</v>
      </c>
      <c r="M64" s="196">
        <v>6</v>
      </c>
      <c r="N64" s="196">
        <v>7</v>
      </c>
      <c r="O64" s="196">
        <v>8</v>
      </c>
    </row>
    <row r="65" spans="1:102" ht="12.75" customHeight="1" x14ac:dyDescent="0.2">
      <c r="A65" s="36" t="s">
        <v>18</v>
      </c>
      <c r="B65" s="30" t="s">
        <v>2</v>
      </c>
      <c r="C65" s="85" t="s">
        <v>46</v>
      </c>
      <c r="D65" s="88" t="s">
        <v>1</v>
      </c>
      <c r="E65" s="41" t="s">
        <v>1</v>
      </c>
      <c r="F65" s="190"/>
      <c r="G65" s="197" t="s">
        <v>143</v>
      </c>
      <c r="H65" s="198">
        <v>0.2</v>
      </c>
      <c r="I65" s="198">
        <v>0.32</v>
      </c>
      <c r="J65" s="198">
        <v>0.192</v>
      </c>
      <c r="K65" s="198">
        <v>0.1152</v>
      </c>
      <c r="L65" s="198">
        <v>0.1152</v>
      </c>
      <c r="M65" s="198">
        <v>5.7599999999999998E-2</v>
      </c>
      <c r="N65" s="196">
        <v>0</v>
      </c>
      <c r="O65" s="196">
        <v>0</v>
      </c>
    </row>
    <row r="66" spans="1:102" ht="12.75" customHeight="1" x14ac:dyDescent="0.2">
      <c r="A66" s="37" t="s">
        <v>41</v>
      </c>
      <c r="B66" s="108">
        <v>0</v>
      </c>
      <c r="C66" s="118">
        <v>9.9999999999999998E+37</v>
      </c>
      <c r="D66" s="44" t="s">
        <v>60</v>
      </c>
      <c r="E66" s="92" t="s">
        <v>61</v>
      </c>
      <c r="F66" s="190"/>
      <c r="G66" s="197" t="s">
        <v>144</v>
      </c>
      <c r="H66" s="196">
        <v>0.1429</v>
      </c>
      <c r="I66" s="196">
        <v>0.24490000000000001</v>
      </c>
      <c r="J66" s="196">
        <v>0.1749</v>
      </c>
      <c r="K66" s="196">
        <v>0.1249</v>
      </c>
      <c r="L66" s="196">
        <v>8.9300000000000004E-2</v>
      </c>
      <c r="M66" s="196">
        <v>8.9200000000000002E-2</v>
      </c>
      <c r="N66" s="196">
        <v>8.9300000000000004E-2</v>
      </c>
      <c r="O66" s="196">
        <v>4.4600000000000001E-2</v>
      </c>
    </row>
    <row r="67" spans="1:102" ht="12.75" customHeight="1" thickBot="1" x14ac:dyDescent="0.25">
      <c r="A67" s="37" t="s">
        <v>42</v>
      </c>
      <c r="B67" s="108">
        <v>0</v>
      </c>
      <c r="C67" s="118">
        <v>9.9999999999999998E+37</v>
      </c>
      <c r="D67" s="44" t="s">
        <v>60</v>
      </c>
      <c r="E67" s="92" t="s">
        <v>61</v>
      </c>
      <c r="F67" s="190"/>
      <c r="G67" s="23"/>
      <c r="H67" s="18"/>
      <c r="I67" s="18"/>
      <c r="J67" s="18"/>
      <c r="K67" s="18"/>
      <c r="L67" s="18"/>
      <c r="M67" s="18"/>
      <c r="N67" s="18"/>
      <c r="O67" s="18"/>
    </row>
    <row r="68" spans="1:102" ht="12.75" customHeight="1" x14ac:dyDescent="0.2">
      <c r="A68" s="87" t="s">
        <v>44</v>
      </c>
      <c r="B68" s="32" t="s">
        <v>45</v>
      </c>
      <c r="C68" s="85" t="s">
        <v>46</v>
      </c>
      <c r="D68" s="106"/>
      <c r="E68" s="106"/>
      <c r="F68" s="190"/>
      <c r="G68" s="50"/>
    </row>
    <row r="69" spans="1:102" ht="12.75" customHeight="1" x14ac:dyDescent="0.2">
      <c r="A69" s="37" t="s">
        <v>19</v>
      </c>
      <c r="B69" s="109">
        <v>0</v>
      </c>
      <c r="C69" s="118">
        <v>9.9999999999999998E+37</v>
      </c>
      <c r="D69" s="44" t="s">
        <v>60</v>
      </c>
      <c r="E69" s="92" t="s">
        <v>61</v>
      </c>
      <c r="F69" s="190"/>
      <c r="G69" s="50"/>
    </row>
    <row r="70" spans="1:102" ht="12.75" customHeight="1" x14ac:dyDescent="0.2">
      <c r="A70" s="37" t="s">
        <v>20</v>
      </c>
      <c r="B70" s="109">
        <v>0</v>
      </c>
      <c r="C70" s="118">
        <v>9.9999999999999998E+37</v>
      </c>
      <c r="D70" s="44" t="s">
        <v>60</v>
      </c>
      <c r="E70" s="92" t="s">
        <v>61</v>
      </c>
      <c r="F70" s="190"/>
      <c r="G70" s="50"/>
    </row>
    <row r="71" spans="1:102" ht="12.75" customHeight="1" x14ac:dyDescent="0.2">
      <c r="A71" s="37" t="s">
        <v>21</v>
      </c>
      <c r="B71" s="109">
        <v>0</v>
      </c>
      <c r="C71" s="118">
        <v>9.9999999999999998E+37</v>
      </c>
      <c r="D71" s="44" t="s">
        <v>60</v>
      </c>
      <c r="E71" s="92" t="s">
        <v>61</v>
      </c>
      <c r="H71" s="18"/>
      <c r="J71" s="18"/>
      <c r="M71" s="18"/>
    </row>
    <row r="72" spans="1:102" ht="12.75" customHeight="1" x14ac:dyDescent="0.2">
      <c r="H72" s="18"/>
      <c r="J72" s="18"/>
      <c r="M72" s="18"/>
    </row>
    <row r="73" spans="1:102" ht="12.75" customHeight="1" x14ac:dyDescent="0.2">
      <c r="A73" s="45" t="s">
        <v>28</v>
      </c>
      <c r="B73" s="34" t="s">
        <v>124</v>
      </c>
      <c r="C73" s="34" t="s">
        <v>125</v>
      </c>
      <c r="H73" s="18"/>
      <c r="K73" s="18"/>
    </row>
    <row r="74" spans="1:102" ht="12.75" customHeight="1" x14ac:dyDescent="0.2">
      <c r="A74" s="54" t="s">
        <v>141</v>
      </c>
      <c r="B74" s="52" t="s">
        <v>147</v>
      </c>
      <c r="C74" s="52" t="s">
        <v>147</v>
      </c>
      <c r="H74" s="18"/>
      <c r="K74" s="18"/>
    </row>
    <row r="75" spans="1:102" ht="12.75" customHeight="1" x14ac:dyDescent="0.2">
      <c r="A75" s="169" t="s">
        <v>103</v>
      </c>
      <c r="B75" s="170">
        <v>0</v>
      </c>
      <c r="C75" s="170">
        <v>0</v>
      </c>
      <c r="H75" s="18"/>
      <c r="K75" s="18"/>
    </row>
    <row r="76" spans="1:102" ht="12.75" customHeight="1" x14ac:dyDescent="0.2">
      <c r="H76" s="50"/>
      <c r="I76" s="23"/>
      <c r="J76" s="23"/>
      <c r="K76" s="26"/>
      <c r="L76" s="24"/>
    </row>
    <row r="77" spans="1:102" ht="12.75" customHeight="1" x14ac:dyDescent="0.2">
      <c r="A77" s="130" t="s">
        <v>35</v>
      </c>
      <c r="B77" s="131">
        <v>0</v>
      </c>
      <c r="C77" s="131">
        <v>1</v>
      </c>
      <c r="D77" s="131">
        <v>2</v>
      </c>
      <c r="E77" s="131">
        <v>3</v>
      </c>
      <c r="F77" s="131">
        <v>4</v>
      </c>
      <c r="G77" s="131">
        <v>5</v>
      </c>
      <c r="H77" s="131">
        <v>6</v>
      </c>
      <c r="I77" s="131">
        <v>7</v>
      </c>
      <c r="J77" s="131">
        <v>8</v>
      </c>
      <c r="K77" s="131">
        <v>9</v>
      </c>
      <c r="L77" s="131">
        <v>10</v>
      </c>
      <c r="M77" s="131">
        <v>11</v>
      </c>
      <c r="N77" s="131">
        <v>12</v>
      </c>
      <c r="O77" s="131">
        <v>13</v>
      </c>
      <c r="P77" s="131">
        <v>14</v>
      </c>
      <c r="Q77" s="131">
        <v>15</v>
      </c>
      <c r="R77" s="131">
        <v>16</v>
      </c>
      <c r="S77" s="131">
        <v>17</v>
      </c>
      <c r="T77" s="131">
        <v>18</v>
      </c>
      <c r="U77" s="131">
        <v>19</v>
      </c>
      <c r="V77" s="131">
        <v>20</v>
      </c>
      <c r="W77" s="131">
        <v>21</v>
      </c>
      <c r="X77" s="131">
        <v>22</v>
      </c>
      <c r="Y77" s="131">
        <v>23</v>
      </c>
      <c r="Z77" s="131">
        <v>24</v>
      </c>
      <c r="AA77" s="131">
        <v>25</v>
      </c>
      <c r="AB77" s="131">
        <v>26</v>
      </c>
      <c r="AC77" s="131">
        <v>27</v>
      </c>
      <c r="AD77" s="131">
        <v>28</v>
      </c>
      <c r="AE77" s="131">
        <v>29</v>
      </c>
      <c r="AF77" s="131">
        <v>30</v>
      </c>
      <c r="AG77" s="131">
        <v>31</v>
      </c>
      <c r="AH77" s="131">
        <v>32</v>
      </c>
      <c r="AI77" s="131">
        <v>33</v>
      </c>
      <c r="AJ77" s="131">
        <v>34</v>
      </c>
      <c r="AK77" s="131">
        <v>35</v>
      </c>
      <c r="AL77" s="131">
        <v>36</v>
      </c>
      <c r="AM77" s="131">
        <v>37</v>
      </c>
      <c r="AN77" s="131">
        <v>38</v>
      </c>
      <c r="AO77" s="131">
        <v>39</v>
      </c>
      <c r="AP77" s="131">
        <v>40</v>
      </c>
      <c r="AQ77" s="131">
        <v>41</v>
      </c>
      <c r="AR77" s="131">
        <v>42</v>
      </c>
      <c r="AS77" s="131">
        <v>43</v>
      </c>
      <c r="AT77" s="131">
        <v>44</v>
      </c>
      <c r="AU77" s="131">
        <v>45</v>
      </c>
      <c r="AV77" s="131">
        <v>46</v>
      </c>
      <c r="AW77" s="131">
        <v>47</v>
      </c>
      <c r="AX77" s="131">
        <v>48</v>
      </c>
      <c r="AY77" s="131">
        <v>49</v>
      </c>
      <c r="AZ77" s="131">
        <v>50</v>
      </c>
      <c r="BA77" s="131">
        <v>51</v>
      </c>
      <c r="BB77" s="131">
        <v>52</v>
      </c>
      <c r="BC77" s="131">
        <v>53</v>
      </c>
      <c r="BD77" s="131">
        <v>54</v>
      </c>
      <c r="BE77" s="131">
        <v>55</v>
      </c>
      <c r="BF77" s="131">
        <v>56</v>
      </c>
      <c r="BG77" s="131">
        <v>57</v>
      </c>
      <c r="BH77" s="131">
        <v>58</v>
      </c>
      <c r="BI77" s="131">
        <v>59</v>
      </c>
      <c r="BJ77" s="131">
        <v>60</v>
      </c>
      <c r="BK77" s="131">
        <v>61</v>
      </c>
      <c r="BL77" s="131">
        <v>62</v>
      </c>
      <c r="BM77" s="131">
        <v>63</v>
      </c>
      <c r="BN77" s="131">
        <v>64</v>
      </c>
      <c r="BO77" s="131">
        <v>65</v>
      </c>
      <c r="BP77" s="131">
        <v>66</v>
      </c>
      <c r="BQ77" s="131">
        <v>67</v>
      </c>
      <c r="BR77" s="131">
        <v>68</v>
      </c>
      <c r="BS77" s="131">
        <v>69</v>
      </c>
      <c r="BT77" s="131">
        <v>70</v>
      </c>
      <c r="BU77" s="131">
        <v>71</v>
      </c>
      <c r="BV77" s="131">
        <v>72</v>
      </c>
      <c r="BW77" s="131">
        <v>73</v>
      </c>
      <c r="BX77" s="131">
        <v>74</v>
      </c>
      <c r="BY77" s="131">
        <v>75</v>
      </c>
      <c r="BZ77" s="131">
        <v>76</v>
      </c>
      <c r="CA77" s="131">
        <v>77</v>
      </c>
      <c r="CB77" s="131">
        <v>78</v>
      </c>
      <c r="CC77" s="131">
        <v>79</v>
      </c>
      <c r="CD77" s="131">
        <v>80</v>
      </c>
      <c r="CE77" s="131">
        <v>81</v>
      </c>
      <c r="CF77" s="131">
        <v>82</v>
      </c>
      <c r="CG77" s="131">
        <v>83</v>
      </c>
      <c r="CH77" s="131">
        <v>84</v>
      </c>
      <c r="CI77" s="131">
        <v>85</v>
      </c>
      <c r="CJ77" s="131">
        <v>86</v>
      </c>
      <c r="CK77" s="131">
        <v>87</v>
      </c>
      <c r="CL77" s="131">
        <v>88</v>
      </c>
      <c r="CM77" s="131">
        <v>89</v>
      </c>
      <c r="CN77" s="131">
        <v>90</v>
      </c>
      <c r="CO77" s="131">
        <v>91</v>
      </c>
      <c r="CP77" s="131">
        <v>92</v>
      </c>
      <c r="CQ77" s="131">
        <v>93</v>
      </c>
      <c r="CR77" s="131">
        <v>94</v>
      </c>
      <c r="CS77" s="131">
        <v>95</v>
      </c>
      <c r="CT77" s="131">
        <v>96</v>
      </c>
      <c r="CU77" s="131">
        <v>97</v>
      </c>
      <c r="CV77" s="131">
        <v>98</v>
      </c>
      <c r="CW77" s="131">
        <v>99</v>
      </c>
      <c r="CX77" s="131">
        <v>100</v>
      </c>
    </row>
    <row r="78" spans="1:102" ht="12.75" customHeight="1" x14ac:dyDescent="0.2">
      <c r="A78" s="129" t="s">
        <v>49</v>
      </c>
      <c r="B78" s="132">
        <v>0</v>
      </c>
      <c r="C78" s="159">
        <f>B12</f>
        <v>411626</v>
      </c>
      <c r="D78" s="167">
        <f>IF(ISNUMBER(outYear),C78*(1-pv_degradation_rate/100),"")</f>
        <v>409567.87</v>
      </c>
      <c r="E78" s="167">
        <f t="shared" ref="E78:AI78" si="0">IF(ISNUMBER(outYear),D78*(1-pv_degradation_rate/100),"")</f>
        <v>407520.03064999997</v>
      </c>
      <c r="F78" s="167">
        <f t="shared" si="0"/>
        <v>405482.43049674999</v>
      </c>
      <c r="G78" s="167">
        <f t="shared" si="0"/>
        <v>403455.01834426622</v>
      </c>
      <c r="H78" s="167">
        <f t="shared" si="0"/>
        <v>401437.7432525449</v>
      </c>
      <c r="I78" s="167">
        <f t="shared" si="0"/>
        <v>399430.55453628214</v>
      </c>
      <c r="J78" s="167">
        <f t="shared" si="0"/>
        <v>397433.4017636007</v>
      </c>
      <c r="K78" s="167">
        <f t="shared" si="0"/>
        <v>395446.23475478269</v>
      </c>
      <c r="L78" s="167">
        <f t="shared" si="0"/>
        <v>393469.00358100876</v>
      </c>
      <c r="M78" s="167">
        <f t="shared" si="0"/>
        <v>391501.6585631037</v>
      </c>
      <c r="N78" s="167">
        <f t="shared" si="0"/>
        <v>389544.15027028817</v>
      </c>
      <c r="O78" s="167">
        <f t="shared" si="0"/>
        <v>387596.42951893673</v>
      </c>
      <c r="P78" s="167">
        <f t="shared" si="0"/>
        <v>385658.44737134204</v>
      </c>
      <c r="Q78" s="167">
        <f t="shared" si="0"/>
        <v>383730.15513448534</v>
      </c>
      <c r="R78" s="167">
        <f t="shared" si="0"/>
        <v>381811.50435881293</v>
      </c>
      <c r="S78" s="167">
        <f t="shared" si="0"/>
        <v>379902.44683701888</v>
      </c>
      <c r="T78" s="167">
        <f t="shared" si="0"/>
        <v>378002.93460283376</v>
      </c>
      <c r="U78" s="167">
        <f t="shared" si="0"/>
        <v>376112.91992981959</v>
      </c>
      <c r="V78" s="167">
        <f t="shared" si="0"/>
        <v>374232.35533017048</v>
      </c>
      <c r="W78" s="167">
        <f t="shared" si="0"/>
        <v>372361.19355351961</v>
      </c>
      <c r="X78" s="167">
        <f t="shared" si="0"/>
        <v>370499.387585752</v>
      </c>
      <c r="Y78" s="167">
        <f t="shared" si="0"/>
        <v>368646.89064782322</v>
      </c>
      <c r="Z78" s="167">
        <f t="shared" si="0"/>
        <v>366803.65619458409</v>
      </c>
      <c r="AA78" s="167">
        <f t="shared" si="0"/>
        <v>364969.63791361119</v>
      </c>
      <c r="AB78" s="167" t="str">
        <f t="shared" si="0"/>
        <v/>
      </c>
      <c r="AC78" s="167" t="str">
        <f t="shared" si="0"/>
        <v/>
      </c>
      <c r="AD78" s="167" t="str">
        <f t="shared" si="0"/>
        <v/>
      </c>
      <c r="AE78" s="167" t="str">
        <f t="shared" si="0"/>
        <v/>
      </c>
      <c r="AF78" s="167" t="str">
        <f t="shared" si="0"/>
        <v/>
      </c>
      <c r="AG78" s="167" t="str">
        <f t="shared" si="0"/>
        <v/>
      </c>
      <c r="AH78" s="167" t="str">
        <f t="shared" si="0"/>
        <v/>
      </c>
      <c r="AI78" s="167" t="str">
        <f t="shared" si="0"/>
        <v/>
      </c>
      <c r="AJ78" s="167" t="str">
        <f t="shared" ref="AJ78:BO78" si="1">IF(ISNUMBER(outYear),AI78*(1-pv_degradation_rate/100),"")</f>
        <v/>
      </c>
      <c r="AK78" s="167" t="str">
        <f t="shared" si="1"/>
        <v/>
      </c>
      <c r="AL78" s="167" t="str">
        <f t="shared" si="1"/>
        <v/>
      </c>
      <c r="AM78" s="167" t="str">
        <f t="shared" si="1"/>
        <v/>
      </c>
      <c r="AN78" s="167" t="str">
        <f t="shared" si="1"/>
        <v/>
      </c>
      <c r="AO78" s="167" t="str">
        <f t="shared" si="1"/>
        <v/>
      </c>
      <c r="AP78" s="167" t="str">
        <f t="shared" si="1"/>
        <v/>
      </c>
      <c r="AQ78" s="167" t="str">
        <f t="shared" si="1"/>
        <v/>
      </c>
      <c r="AR78" s="167" t="str">
        <f t="shared" si="1"/>
        <v/>
      </c>
      <c r="AS78" s="167" t="str">
        <f t="shared" si="1"/>
        <v/>
      </c>
      <c r="AT78" s="167" t="str">
        <f t="shared" si="1"/>
        <v/>
      </c>
      <c r="AU78" s="167" t="str">
        <f t="shared" si="1"/>
        <v/>
      </c>
      <c r="AV78" s="167" t="str">
        <f t="shared" si="1"/>
        <v/>
      </c>
      <c r="AW78" s="167" t="str">
        <f t="shared" si="1"/>
        <v/>
      </c>
      <c r="AX78" s="167" t="str">
        <f t="shared" si="1"/>
        <v/>
      </c>
      <c r="AY78" s="167" t="str">
        <f t="shared" si="1"/>
        <v/>
      </c>
      <c r="AZ78" s="167" t="str">
        <f t="shared" si="1"/>
        <v/>
      </c>
      <c r="BA78" s="167" t="str">
        <f t="shared" si="1"/>
        <v/>
      </c>
      <c r="BB78" s="167" t="str">
        <f t="shared" si="1"/>
        <v/>
      </c>
      <c r="BC78" s="167" t="str">
        <f t="shared" si="1"/>
        <v/>
      </c>
      <c r="BD78" s="167" t="str">
        <f t="shared" si="1"/>
        <v/>
      </c>
      <c r="BE78" s="167" t="str">
        <f t="shared" si="1"/>
        <v/>
      </c>
      <c r="BF78" s="167" t="str">
        <f t="shared" si="1"/>
        <v/>
      </c>
      <c r="BG78" s="167" t="str">
        <f t="shared" si="1"/>
        <v/>
      </c>
      <c r="BH78" s="167" t="str">
        <f t="shared" si="1"/>
        <v/>
      </c>
      <c r="BI78" s="167" t="str">
        <f t="shared" si="1"/>
        <v/>
      </c>
      <c r="BJ78" s="167" t="str">
        <f t="shared" si="1"/>
        <v/>
      </c>
      <c r="BK78" s="167" t="str">
        <f t="shared" si="1"/>
        <v/>
      </c>
      <c r="BL78" s="167" t="str">
        <f t="shared" si="1"/>
        <v/>
      </c>
      <c r="BM78" s="167" t="str">
        <f t="shared" si="1"/>
        <v/>
      </c>
      <c r="BN78" s="167" t="str">
        <f t="shared" si="1"/>
        <v/>
      </c>
      <c r="BO78" s="167" t="str">
        <f t="shared" si="1"/>
        <v/>
      </c>
      <c r="BP78" s="167" t="str">
        <f t="shared" ref="BP78:CX78" si="2">IF(ISNUMBER(outYear),BO78*(1-pv_degradation_rate/100),"")</f>
        <v/>
      </c>
      <c r="BQ78" s="167" t="str">
        <f t="shared" si="2"/>
        <v/>
      </c>
      <c r="BR78" s="167" t="str">
        <f t="shared" si="2"/>
        <v/>
      </c>
      <c r="BS78" s="167" t="str">
        <f t="shared" si="2"/>
        <v/>
      </c>
      <c r="BT78" s="167" t="str">
        <f t="shared" si="2"/>
        <v/>
      </c>
      <c r="BU78" s="167" t="str">
        <f t="shared" si="2"/>
        <v/>
      </c>
      <c r="BV78" s="167" t="str">
        <f t="shared" si="2"/>
        <v/>
      </c>
      <c r="BW78" s="167" t="str">
        <f t="shared" si="2"/>
        <v/>
      </c>
      <c r="BX78" s="167" t="str">
        <f t="shared" si="2"/>
        <v/>
      </c>
      <c r="BY78" s="167" t="str">
        <f t="shared" si="2"/>
        <v/>
      </c>
      <c r="BZ78" s="167" t="str">
        <f t="shared" si="2"/>
        <v/>
      </c>
      <c r="CA78" s="167" t="str">
        <f t="shared" si="2"/>
        <v/>
      </c>
      <c r="CB78" s="167" t="str">
        <f t="shared" si="2"/>
        <v/>
      </c>
      <c r="CC78" s="167" t="str">
        <f t="shared" si="2"/>
        <v/>
      </c>
      <c r="CD78" s="167" t="str">
        <f t="shared" si="2"/>
        <v/>
      </c>
      <c r="CE78" s="167" t="str">
        <f t="shared" si="2"/>
        <v/>
      </c>
      <c r="CF78" s="167" t="str">
        <f t="shared" si="2"/>
        <v/>
      </c>
      <c r="CG78" s="167" t="str">
        <f t="shared" si="2"/>
        <v/>
      </c>
      <c r="CH78" s="167" t="str">
        <f t="shared" si="2"/>
        <v/>
      </c>
      <c r="CI78" s="167" t="str">
        <f t="shared" si="2"/>
        <v/>
      </c>
      <c r="CJ78" s="167" t="str">
        <f t="shared" si="2"/>
        <v/>
      </c>
      <c r="CK78" s="167" t="str">
        <f t="shared" si="2"/>
        <v/>
      </c>
      <c r="CL78" s="167" t="str">
        <f t="shared" si="2"/>
        <v/>
      </c>
      <c r="CM78" s="167" t="str">
        <f t="shared" si="2"/>
        <v/>
      </c>
      <c r="CN78" s="167" t="str">
        <f t="shared" si="2"/>
        <v/>
      </c>
      <c r="CO78" s="167" t="str">
        <f t="shared" si="2"/>
        <v/>
      </c>
      <c r="CP78" s="167" t="str">
        <f t="shared" si="2"/>
        <v/>
      </c>
      <c r="CQ78" s="167" t="str">
        <f t="shared" si="2"/>
        <v/>
      </c>
      <c r="CR78" s="167" t="str">
        <f t="shared" si="2"/>
        <v/>
      </c>
      <c r="CS78" s="167" t="str">
        <f t="shared" si="2"/>
        <v/>
      </c>
      <c r="CT78" s="167" t="str">
        <f t="shared" si="2"/>
        <v/>
      </c>
      <c r="CU78" s="167" t="str">
        <f t="shared" si="2"/>
        <v/>
      </c>
      <c r="CV78" s="167" t="str">
        <f t="shared" si="2"/>
        <v/>
      </c>
      <c r="CW78" s="167" t="str">
        <f t="shared" si="2"/>
        <v/>
      </c>
      <c r="CX78" s="167" t="str">
        <f t="shared" si="2"/>
        <v/>
      </c>
    </row>
    <row r="79" spans="1:102" ht="12.75" customHeight="1" x14ac:dyDescent="0.2">
      <c r="A79" s="129" t="s">
        <v>98</v>
      </c>
      <c r="B79" s="132"/>
      <c r="C79" s="159">
        <f t="shared" ref="C79:AH79" si="3">IF(ISNUMBER(outYear),$B$9*(1+escalation_rate_nominal/100)^B77,"")</f>
        <v>826030</v>
      </c>
      <c r="D79" s="167">
        <f t="shared" si="3"/>
        <v>842550.6</v>
      </c>
      <c r="E79" s="167">
        <f t="shared" si="3"/>
        <v>859401.61199999996</v>
      </c>
      <c r="F79" s="167">
        <f t="shared" si="3"/>
        <v>876589.64423999994</v>
      </c>
      <c r="G79" s="167">
        <f t="shared" si="3"/>
        <v>894121.43712479994</v>
      </c>
      <c r="H79" s="167">
        <f t="shared" si="3"/>
        <v>912003.865867296</v>
      </c>
      <c r="I79" s="167">
        <f t="shared" si="3"/>
        <v>930243.943184642</v>
      </c>
      <c r="J79" s="167">
        <f t="shared" si="3"/>
        <v>948848.82204833464</v>
      </c>
      <c r="K79" s="167">
        <f t="shared" si="3"/>
        <v>967825.79848930135</v>
      </c>
      <c r="L79" s="167">
        <f t="shared" si="3"/>
        <v>987182.31445908744</v>
      </c>
      <c r="M79" s="167">
        <f t="shared" si="3"/>
        <v>1006925.9607482692</v>
      </c>
      <c r="N79" s="167">
        <f t="shared" si="3"/>
        <v>1027064.4799632344</v>
      </c>
      <c r="O79" s="167">
        <f t="shared" si="3"/>
        <v>1047605.7695624992</v>
      </c>
      <c r="P79" s="167">
        <f t="shared" si="3"/>
        <v>1068557.8849537491</v>
      </c>
      <c r="Q79" s="167">
        <f t="shared" si="3"/>
        <v>1089929.0426528242</v>
      </c>
      <c r="R79" s="167">
        <f t="shared" si="3"/>
        <v>1111727.6235058804</v>
      </c>
      <c r="S79" s="167">
        <f t="shared" si="3"/>
        <v>1133962.1759759982</v>
      </c>
      <c r="T79" s="167">
        <f t="shared" si="3"/>
        <v>1156641.4194955183</v>
      </c>
      <c r="U79" s="167">
        <f t="shared" si="3"/>
        <v>1179774.2478854286</v>
      </c>
      <c r="V79" s="167">
        <f t="shared" si="3"/>
        <v>1203369.7328431371</v>
      </c>
      <c r="W79" s="167">
        <f t="shared" si="3"/>
        <v>1227437.1274999999</v>
      </c>
      <c r="X79" s="167">
        <f t="shared" si="3"/>
        <v>1251985.8700499998</v>
      </c>
      <c r="Y79" s="167">
        <f t="shared" si="3"/>
        <v>1277025.587451</v>
      </c>
      <c r="Z79" s="167">
        <f t="shared" si="3"/>
        <v>1302566.0992000196</v>
      </c>
      <c r="AA79" s="167">
        <f t="shared" si="3"/>
        <v>1328617.4211840201</v>
      </c>
      <c r="AB79" s="167" t="str">
        <f t="shared" si="3"/>
        <v/>
      </c>
      <c r="AC79" s="167" t="str">
        <f t="shared" si="3"/>
        <v/>
      </c>
      <c r="AD79" s="167" t="str">
        <f t="shared" si="3"/>
        <v/>
      </c>
      <c r="AE79" s="167" t="str">
        <f t="shared" si="3"/>
        <v/>
      </c>
      <c r="AF79" s="167" t="str">
        <f t="shared" si="3"/>
        <v/>
      </c>
      <c r="AG79" s="167" t="str">
        <f t="shared" si="3"/>
        <v/>
      </c>
      <c r="AH79" s="167" t="str">
        <f t="shared" si="3"/>
        <v/>
      </c>
      <c r="AI79" s="167" t="str">
        <f t="shared" ref="AI79:BN79" si="4">IF(ISNUMBER(outYear),$B$9*(1+escalation_rate_nominal/100)^AH77,"")</f>
        <v/>
      </c>
      <c r="AJ79" s="167" t="str">
        <f t="shared" si="4"/>
        <v/>
      </c>
      <c r="AK79" s="167" t="str">
        <f t="shared" si="4"/>
        <v/>
      </c>
      <c r="AL79" s="167" t="str">
        <f t="shared" si="4"/>
        <v/>
      </c>
      <c r="AM79" s="167" t="str">
        <f t="shared" si="4"/>
        <v/>
      </c>
      <c r="AN79" s="167" t="str">
        <f t="shared" si="4"/>
        <v/>
      </c>
      <c r="AO79" s="167" t="str">
        <f t="shared" si="4"/>
        <v/>
      </c>
      <c r="AP79" s="167" t="str">
        <f t="shared" si="4"/>
        <v/>
      </c>
      <c r="AQ79" s="167" t="str">
        <f t="shared" si="4"/>
        <v/>
      </c>
      <c r="AR79" s="167" t="str">
        <f t="shared" si="4"/>
        <v/>
      </c>
      <c r="AS79" s="167" t="str">
        <f t="shared" si="4"/>
        <v/>
      </c>
      <c r="AT79" s="167" t="str">
        <f t="shared" si="4"/>
        <v/>
      </c>
      <c r="AU79" s="167" t="str">
        <f t="shared" si="4"/>
        <v/>
      </c>
      <c r="AV79" s="167" t="str">
        <f t="shared" si="4"/>
        <v/>
      </c>
      <c r="AW79" s="167" t="str">
        <f t="shared" si="4"/>
        <v/>
      </c>
      <c r="AX79" s="167" t="str">
        <f t="shared" si="4"/>
        <v/>
      </c>
      <c r="AY79" s="167" t="str">
        <f t="shared" si="4"/>
        <v/>
      </c>
      <c r="AZ79" s="167" t="str">
        <f t="shared" si="4"/>
        <v/>
      </c>
      <c r="BA79" s="167" t="str">
        <f t="shared" si="4"/>
        <v/>
      </c>
      <c r="BB79" s="167" t="str">
        <f t="shared" si="4"/>
        <v/>
      </c>
      <c r="BC79" s="167" t="str">
        <f t="shared" si="4"/>
        <v/>
      </c>
      <c r="BD79" s="167" t="str">
        <f t="shared" si="4"/>
        <v/>
      </c>
      <c r="BE79" s="167" t="str">
        <f t="shared" si="4"/>
        <v/>
      </c>
      <c r="BF79" s="167" t="str">
        <f t="shared" si="4"/>
        <v/>
      </c>
      <c r="BG79" s="167" t="str">
        <f t="shared" si="4"/>
        <v/>
      </c>
      <c r="BH79" s="167" t="str">
        <f t="shared" si="4"/>
        <v/>
      </c>
      <c r="BI79" s="167" t="str">
        <f t="shared" si="4"/>
        <v/>
      </c>
      <c r="BJ79" s="167" t="str">
        <f t="shared" si="4"/>
        <v/>
      </c>
      <c r="BK79" s="167" t="str">
        <f t="shared" si="4"/>
        <v/>
      </c>
      <c r="BL79" s="167" t="str">
        <f t="shared" si="4"/>
        <v/>
      </c>
      <c r="BM79" s="167" t="str">
        <f t="shared" si="4"/>
        <v/>
      </c>
      <c r="BN79" s="167" t="str">
        <f t="shared" si="4"/>
        <v/>
      </c>
      <c r="BO79" s="167" t="str">
        <f t="shared" ref="BO79:CX79" si="5">IF(ISNUMBER(outYear),$B$9*(1+escalation_rate_nominal/100)^BN77,"")</f>
        <v/>
      </c>
      <c r="BP79" s="167" t="str">
        <f t="shared" si="5"/>
        <v/>
      </c>
      <c r="BQ79" s="167" t="str">
        <f t="shared" si="5"/>
        <v/>
      </c>
      <c r="BR79" s="167" t="str">
        <f t="shared" si="5"/>
        <v/>
      </c>
      <c r="BS79" s="167" t="str">
        <f t="shared" si="5"/>
        <v/>
      </c>
      <c r="BT79" s="167" t="str">
        <f t="shared" si="5"/>
        <v/>
      </c>
      <c r="BU79" s="167" t="str">
        <f t="shared" si="5"/>
        <v/>
      </c>
      <c r="BV79" s="167" t="str">
        <f t="shared" si="5"/>
        <v/>
      </c>
      <c r="BW79" s="167" t="str">
        <f t="shared" si="5"/>
        <v/>
      </c>
      <c r="BX79" s="167" t="str">
        <f t="shared" si="5"/>
        <v/>
      </c>
      <c r="BY79" s="167" t="str">
        <f t="shared" si="5"/>
        <v/>
      </c>
      <c r="BZ79" s="167" t="str">
        <f t="shared" si="5"/>
        <v/>
      </c>
      <c r="CA79" s="167" t="str">
        <f t="shared" si="5"/>
        <v/>
      </c>
      <c r="CB79" s="167" t="str">
        <f t="shared" si="5"/>
        <v/>
      </c>
      <c r="CC79" s="167" t="str">
        <f t="shared" si="5"/>
        <v/>
      </c>
      <c r="CD79" s="167" t="str">
        <f t="shared" si="5"/>
        <v/>
      </c>
      <c r="CE79" s="167" t="str">
        <f t="shared" si="5"/>
        <v/>
      </c>
      <c r="CF79" s="167" t="str">
        <f t="shared" si="5"/>
        <v/>
      </c>
      <c r="CG79" s="167" t="str">
        <f t="shared" si="5"/>
        <v/>
      </c>
      <c r="CH79" s="167" t="str">
        <f t="shared" si="5"/>
        <v/>
      </c>
      <c r="CI79" s="167" t="str">
        <f t="shared" si="5"/>
        <v/>
      </c>
      <c r="CJ79" s="167" t="str">
        <f t="shared" si="5"/>
        <v/>
      </c>
      <c r="CK79" s="167" t="str">
        <f t="shared" si="5"/>
        <v/>
      </c>
      <c r="CL79" s="167" t="str">
        <f t="shared" si="5"/>
        <v/>
      </c>
      <c r="CM79" s="167" t="str">
        <f t="shared" si="5"/>
        <v/>
      </c>
      <c r="CN79" s="167" t="str">
        <f t="shared" si="5"/>
        <v/>
      </c>
      <c r="CO79" s="167" t="str">
        <f t="shared" si="5"/>
        <v/>
      </c>
      <c r="CP79" s="167" t="str">
        <f t="shared" si="5"/>
        <v/>
      </c>
      <c r="CQ79" s="167" t="str">
        <f t="shared" si="5"/>
        <v/>
      </c>
      <c r="CR79" s="167" t="str">
        <f t="shared" si="5"/>
        <v/>
      </c>
      <c r="CS79" s="167" t="str">
        <f t="shared" si="5"/>
        <v/>
      </c>
      <c r="CT79" s="167" t="str">
        <f t="shared" si="5"/>
        <v/>
      </c>
      <c r="CU79" s="167" t="str">
        <f t="shared" si="5"/>
        <v/>
      </c>
      <c r="CV79" s="167" t="str">
        <f t="shared" si="5"/>
        <v/>
      </c>
      <c r="CW79" s="167" t="str">
        <f t="shared" si="5"/>
        <v/>
      </c>
      <c r="CX79" s="167" t="str">
        <f t="shared" si="5"/>
        <v/>
      </c>
    </row>
    <row r="80" spans="1:102" ht="12.75" customHeight="1" x14ac:dyDescent="0.2">
      <c r="A80" s="129" t="s">
        <v>113</v>
      </c>
      <c r="B80" s="132"/>
      <c r="C80" s="159">
        <f t="shared" ref="C80:AH80" si="6">IF(ISNUMBER(outYear),$B$10*(1+escalation_rate_nominal/100)^B77,"")</f>
        <v>783215</v>
      </c>
      <c r="D80" s="167">
        <f t="shared" si="6"/>
        <v>798879.3</v>
      </c>
      <c r="E80" s="167">
        <f t="shared" si="6"/>
        <v>814856.88599999994</v>
      </c>
      <c r="F80" s="167">
        <f t="shared" si="6"/>
        <v>831154.02371999994</v>
      </c>
      <c r="G80" s="167">
        <f t="shared" si="6"/>
        <v>847777.10419440002</v>
      </c>
      <c r="H80" s="167">
        <f t="shared" si="6"/>
        <v>864732.64627828798</v>
      </c>
      <c r="I80" s="167">
        <f t="shared" si="6"/>
        <v>882027.29920385382</v>
      </c>
      <c r="J80" s="167">
        <f t="shared" si="6"/>
        <v>899667.84518793074</v>
      </c>
      <c r="K80" s="167">
        <f t="shared" si="6"/>
        <v>917661.20209168934</v>
      </c>
      <c r="L80" s="167">
        <f t="shared" si="6"/>
        <v>936014.42613352323</v>
      </c>
      <c r="M80" s="167">
        <f t="shared" si="6"/>
        <v>954734.71465619374</v>
      </c>
      <c r="N80" s="167">
        <f t="shared" si="6"/>
        <v>973829.40894931741</v>
      </c>
      <c r="O80" s="167">
        <f t="shared" si="6"/>
        <v>993305.99712830386</v>
      </c>
      <c r="P80" s="167">
        <f t="shared" si="6"/>
        <v>1013172.1170708699</v>
      </c>
      <c r="Q80" s="167">
        <f t="shared" si="6"/>
        <v>1033435.5594122874</v>
      </c>
      <c r="R80" s="167">
        <f t="shared" si="6"/>
        <v>1054104.2706005329</v>
      </c>
      <c r="S80" s="167">
        <f t="shared" si="6"/>
        <v>1075186.3560125437</v>
      </c>
      <c r="T80" s="167">
        <f t="shared" si="6"/>
        <v>1096690.0831327946</v>
      </c>
      <c r="U80" s="167">
        <f t="shared" si="6"/>
        <v>1118623.8847954504</v>
      </c>
      <c r="V80" s="167">
        <f t="shared" si="6"/>
        <v>1140996.3624913595</v>
      </c>
      <c r="W80" s="167">
        <f t="shared" si="6"/>
        <v>1163816.2897411867</v>
      </c>
      <c r="X80" s="167">
        <f t="shared" si="6"/>
        <v>1187092.6155360104</v>
      </c>
      <c r="Y80" s="167">
        <f t="shared" si="6"/>
        <v>1210834.4678467307</v>
      </c>
      <c r="Z80" s="167">
        <f t="shared" si="6"/>
        <v>1235051.157203665</v>
      </c>
      <c r="AA80" s="167">
        <f t="shared" si="6"/>
        <v>1259752.1803477383</v>
      </c>
      <c r="AB80" s="167" t="str">
        <f t="shared" si="6"/>
        <v/>
      </c>
      <c r="AC80" s="167" t="str">
        <f t="shared" si="6"/>
        <v/>
      </c>
      <c r="AD80" s="167" t="str">
        <f t="shared" si="6"/>
        <v/>
      </c>
      <c r="AE80" s="167" t="str">
        <f t="shared" si="6"/>
        <v/>
      </c>
      <c r="AF80" s="167" t="str">
        <f t="shared" si="6"/>
        <v/>
      </c>
      <c r="AG80" s="167" t="str">
        <f t="shared" si="6"/>
        <v/>
      </c>
      <c r="AH80" s="167" t="str">
        <f t="shared" si="6"/>
        <v/>
      </c>
      <c r="AI80" s="167" t="str">
        <f t="shared" ref="AI80:BN80" si="7">IF(ISNUMBER(outYear),$B$10*(1+escalation_rate_nominal/100)^AH77,"")</f>
        <v/>
      </c>
      <c r="AJ80" s="167" t="str">
        <f t="shared" si="7"/>
        <v/>
      </c>
      <c r="AK80" s="167" t="str">
        <f t="shared" si="7"/>
        <v/>
      </c>
      <c r="AL80" s="167" t="str">
        <f t="shared" si="7"/>
        <v/>
      </c>
      <c r="AM80" s="167" t="str">
        <f t="shared" si="7"/>
        <v/>
      </c>
      <c r="AN80" s="167" t="str">
        <f t="shared" si="7"/>
        <v/>
      </c>
      <c r="AO80" s="167" t="str">
        <f t="shared" si="7"/>
        <v/>
      </c>
      <c r="AP80" s="167" t="str">
        <f t="shared" si="7"/>
        <v/>
      </c>
      <c r="AQ80" s="167" t="str">
        <f t="shared" si="7"/>
        <v/>
      </c>
      <c r="AR80" s="167" t="str">
        <f t="shared" si="7"/>
        <v/>
      </c>
      <c r="AS80" s="167" t="str">
        <f t="shared" si="7"/>
        <v/>
      </c>
      <c r="AT80" s="167" t="str">
        <f t="shared" si="7"/>
        <v/>
      </c>
      <c r="AU80" s="167" t="str">
        <f t="shared" si="7"/>
        <v/>
      </c>
      <c r="AV80" s="167" t="str">
        <f t="shared" si="7"/>
        <v/>
      </c>
      <c r="AW80" s="167" t="str">
        <f t="shared" si="7"/>
        <v/>
      </c>
      <c r="AX80" s="167" t="str">
        <f t="shared" si="7"/>
        <v/>
      </c>
      <c r="AY80" s="167" t="str">
        <f t="shared" si="7"/>
        <v/>
      </c>
      <c r="AZ80" s="167" t="str">
        <f t="shared" si="7"/>
        <v/>
      </c>
      <c r="BA80" s="167" t="str">
        <f t="shared" si="7"/>
        <v/>
      </c>
      <c r="BB80" s="167" t="str">
        <f t="shared" si="7"/>
        <v/>
      </c>
      <c r="BC80" s="167" t="str">
        <f t="shared" si="7"/>
        <v/>
      </c>
      <c r="BD80" s="167" t="str">
        <f t="shared" si="7"/>
        <v/>
      </c>
      <c r="BE80" s="167" t="str">
        <f t="shared" si="7"/>
        <v/>
      </c>
      <c r="BF80" s="167" t="str">
        <f t="shared" si="7"/>
        <v/>
      </c>
      <c r="BG80" s="167" t="str">
        <f t="shared" si="7"/>
        <v/>
      </c>
      <c r="BH80" s="167" t="str">
        <f t="shared" si="7"/>
        <v/>
      </c>
      <c r="BI80" s="167" t="str">
        <f t="shared" si="7"/>
        <v/>
      </c>
      <c r="BJ80" s="167" t="str">
        <f t="shared" si="7"/>
        <v/>
      </c>
      <c r="BK80" s="167" t="str">
        <f t="shared" si="7"/>
        <v/>
      </c>
      <c r="BL80" s="167" t="str">
        <f t="shared" si="7"/>
        <v/>
      </c>
      <c r="BM80" s="167" t="str">
        <f t="shared" si="7"/>
        <v/>
      </c>
      <c r="BN80" s="167" t="str">
        <f t="shared" si="7"/>
        <v/>
      </c>
      <c r="BO80" s="167" t="str">
        <f t="shared" ref="BO80:CX80" si="8">IF(ISNUMBER(outYear),$B$10*(1+escalation_rate_nominal/100)^BN77,"")</f>
        <v/>
      </c>
      <c r="BP80" s="167" t="str">
        <f t="shared" si="8"/>
        <v/>
      </c>
      <c r="BQ80" s="167" t="str">
        <f t="shared" si="8"/>
        <v/>
      </c>
      <c r="BR80" s="167" t="str">
        <f t="shared" si="8"/>
        <v/>
      </c>
      <c r="BS80" s="167" t="str">
        <f t="shared" si="8"/>
        <v/>
      </c>
      <c r="BT80" s="167" t="str">
        <f t="shared" si="8"/>
        <v/>
      </c>
      <c r="BU80" s="167" t="str">
        <f t="shared" si="8"/>
        <v/>
      </c>
      <c r="BV80" s="167" t="str">
        <f t="shared" si="8"/>
        <v/>
      </c>
      <c r="BW80" s="167" t="str">
        <f t="shared" si="8"/>
        <v/>
      </c>
      <c r="BX80" s="167" t="str">
        <f t="shared" si="8"/>
        <v/>
      </c>
      <c r="BY80" s="167" t="str">
        <f t="shared" si="8"/>
        <v/>
      </c>
      <c r="BZ80" s="167" t="str">
        <f t="shared" si="8"/>
        <v/>
      </c>
      <c r="CA80" s="167" t="str">
        <f t="shared" si="8"/>
        <v/>
      </c>
      <c r="CB80" s="167" t="str">
        <f t="shared" si="8"/>
        <v/>
      </c>
      <c r="CC80" s="167" t="str">
        <f t="shared" si="8"/>
        <v/>
      </c>
      <c r="CD80" s="167" t="str">
        <f t="shared" si="8"/>
        <v/>
      </c>
      <c r="CE80" s="167" t="str">
        <f t="shared" si="8"/>
        <v/>
      </c>
      <c r="CF80" s="167" t="str">
        <f t="shared" si="8"/>
        <v/>
      </c>
      <c r="CG80" s="167" t="str">
        <f t="shared" si="8"/>
        <v/>
      </c>
      <c r="CH80" s="167" t="str">
        <f t="shared" si="8"/>
        <v/>
      </c>
      <c r="CI80" s="167" t="str">
        <f t="shared" si="8"/>
        <v/>
      </c>
      <c r="CJ80" s="167" t="str">
        <f t="shared" si="8"/>
        <v/>
      </c>
      <c r="CK80" s="167" t="str">
        <f t="shared" si="8"/>
        <v/>
      </c>
      <c r="CL80" s="167" t="str">
        <f t="shared" si="8"/>
        <v/>
      </c>
      <c r="CM80" s="167" t="str">
        <f t="shared" si="8"/>
        <v/>
      </c>
      <c r="CN80" s="167" t="str">
        <f t="shared" si="8"/>
        <v/>
      </c>
      <c r="CO80" s="167" t="str">
        <f t="shared" si="8"/>
        <v/>
      </c>
      <c r="CP80" s="167" t="str">
        <f t="shared" si="8"/>
        <v/>
      </c>
      <c r="CQ80" s="167" t="str">
        <f t="shared" si="8"/>
        <v/>
      </c>
      <c r="CR80" s="167" t="str">
        <f t="shared" si="8"/>
        <v/>
      </c>
      <c r="CS80" s="167" t="str">
        <f t="shared" si="8"/>
        <v/>
      </c>
      <c r="CT80" s="167" t="str">
        <f t="shared" si="8"/>
        <v/>
      </c>
      <c r="CU80" s="167" t="str">
        <f t="shared" si="8"/>
        <v/>
      </c>
      <c r="CV80" s="167" t="str">
        <f t="shared" si="8"/>
        <v/>
      </c>
      <c r="CW80" s="167" t="str">
        <f t="shared" si="8"/>
        <v/>
      </c>
      <c r="CX80" s="167" t="str">
        <f t="shared" si="8"/>
        <v/>
      </c>
    </row>
    <row r="81" spans="1:102" ht="12.75" customHeight="1" x14ac:dyDescent="0.2">
      <c r="A81" s="129" t="s">
        <v>114</v>
      </c>
      <c r="B81" s="132"/>
      <c r="C81" s="159">
        <f t="shared" ref="C81:AH81" si="9">IF(ISNUMBER(outYear),$B$11*(1+escalation_rate_nominal/100)^B77,"")</f>
        <v>-10500</v>
      </c>
      <c r="D81" s="167">
        <f t="shared" si="9"/>
        <v>-10710</v>
      </c>
      <c r="E81" s="167">
        <f t="shared" si="9"/>
        <v>-10924.2</v>
      </c>
      <c r="F81" s="167">
        <f t="shared" si="9"/>
        <v>-11142.683999999999</v>
      </c>
      <c r="G81" s="167">
        <f t="shared" si="9"/>
        <v>-11365.537679999999</v>
      </c>
      <c r="H81" s="167">
        <f t="shared" si="9"/>
        <v>-11592.8484336</v>
      </c>
      <c r="I81" s="167">
        <f t="shared" si="9"/>
        <v>-11824.705402272</v>
      </c>
      <c r="J81" s="167">
        <f t="shared" si="9"/>
        <v>-12061.199510317438</v>
      </c>
      <c r="K81" s="167">
        <f t="shared" si="9"/>
        <v>-12302.423500523788</v>
      </c>
      <c r="L81" s="167">
        <f t="shared" si="9"/>
        <v>-12548.471970534263</v>
      </c>
      <c r="M81" s="167">
        <f t="shared" si="9"/>
        <v>-12799.44140994495</v>
      </c>
      <c r="N81" s="167">
        <f t="shared" si="9"/>
        <v>-13055.430238143847</v>
      </c>
      <c r="O81" s="167">
        <f t="shared" si="9"/>
        <v>-13316.538842906726</v>
      </c>
      <c r="P81" s="167">
        <f t="shared" si="9"/>
        <v>-13582.869619764859</v>
      </c>
      <c r="Q81" s="167">
        <f t="shared" si="9"/>
        <v>-13854.527012160157</v>
      </c>
      <c r="R81" s="167">
        <f t="shared" si="9"/>
        <v>-14131.617552403357</v>
      </c>
      <c r="S81" s="167">
        <f t="shared" si="9"/>
        <v>-14414.249903451426</v>
      </c>
      <c r="T81" s="167">
        <f t="shared" si="9"/>
        <v>-14702.534901520456</v>
      </c>
      <c r="U81" s="167">
        <f t="shared" si="9"/>
        <v>-14996.585599550863</v>
      </c>
      <c r="V81" s="167">
        <f t="shared" si="9"/>
        <v>-15296.51731154188</v>
      </c>
      <c r="W81" s="167">
        <f t="shared" si="9"/>
        <v>-15602.44765777272</v>
      </c>
      <c r="X81" s="167">
        <f t="shared" si="9"/>
        <v>-15914.496610928172</v>
      </c>
      <c r="Y81" s="167">
        <f t="shared" si="9"/>
        <v>-16232.786543146736</v>
      </c>
      <c r="Z81" s="167">
        <f t="shared" si="9"/>
        <v>-16557.442274009671</v>
      </c>
      <c r="AA81" s="167">
        <f t="shared" si="9"/>
        <v>-16888.591119489862</v>
      </c>
      <c r="AB81" s="167" t="str">
        <f t="shared" si="9"/>
        <v/>
      </c>
      <c r="AC81" s="167" t="str">
        <f t="shared" si="9"/>
        <v/>
      </c>
      <c r="AD81" s="167" t="str">
        <f t="shared" si="9"/>
        <v/>
      </c>
      <c r="AE81" s="167" t="str">
        <f t="shared" si="9"/>
        <v/>
      </c>
      <c r="AF81" s="167" t="str">
        <f t="shared" si="9"/>
        <v/>
      </c>
      <c r="AG81" s="167" t="str">
        <f t="shared" si="9"/>
        <v/>
      </c>
      <c r="AH81" s="167" t="str">
        <f t="shared" si="9"/>
        <v/>
      </c>
      <c r="AI81" s="167" t="str">
        <f t="shared" ref="AI81:BN81" si="10">IF(ISNUMBER(outYear),$B$11*(1+escalation_rate_nominal/100)^AH77,"")</f>
        <v/>
      </c>
      <c r="AJ81" s="167" t="str">
        <f t="shared" si="10"/>
        <v/>
      </c>
      <c r="AK81" s="167" t="str">
        <f t="shared" si="10"/>
        <v/>
      </c>
      <c r="AL81" s="167" t="str">
        <f t="shared" si="10"/>
        <v/>
      </c>
      <c r="AM81" s="167" t="str">
        <f t="shared" si="10"/>
        <v/>
      </c>
      <c r="AN81" s="167" t="str">
        <f t="shared" si="10"/>
        <v/>
      </c>
      <c r="AO81" s="167" t="str">
        <f t="shared" si="10"/>
        <v/>
      </c>
      <c r="AP81" s="167" t="str">
        <f t="shared" si="10"/>
        <v/>
      </c>
      <c r="AQ81" s="167" t="str">
        <f t="shared" si="10"/>
        <v/>
      </c>
      <c r="AR81" s="167" t="str">
        <f t="shared" si="10"/>
        <v/>
      </c>
      <c r="AS81" s="167" t="str">
        <f t="shared" si="10"/>
        <v/>
      </c>
      <c r="AT81" s="167" t="str">
        <f t="shared" si="10"/>
        <v/>
      </c>
      <c r="AU81" s="167" t="str">
        <f t="shared" si="10"/>
        <v/>
      </c>
      <c r="AV81" s="167" t="str">
        <f t="shared" si="10"/>
        <v/>
      </c>
      <c r="AW81" s="167" t="str">
        <f t="shared" si="10"/>
        <v/>
      </c>
      <c r="AX81" s="167" t="str">
        <f t="shared" si="10"/>
        <v/>
      </c>
      <c r="AY81" s="167" t="str">
        <f t="shared" si="10"/>
        <v/>
      </c>
      <c r="AZ81" s="167" t="str">
        <f t="shared" si="10"/>
        <v/>
      </c>
      <c r="BA81" s="167" t="str">
        <f t="shared" si="10"/>
        <v/>
      </c>
      <c r="BB81" s="167" t="str">
        <f t="shared" si="10"/>
        <v/>
      </c>
      <c r="BC81" s="167" t="str">
        <f t="shared" si="10"/>
        <v/>
      </c>
      <c r="BD81" s="167" t="str">
        <f t="shared" si="10"/>
        <v/>
      </c>
      <c r="BE81" s="167" t="str">
        <f t="shared" si="10"/>
        <v/>
      </c>
      <c r="BF81" s="167" t="str">
        <f t="shared" si="10"/>
        <v/>
      </c>
      <c r="BG81" s="167" t="str">
        <f t="shared" si="10"/>
        <v/>
      </c>
      <c r="BH81" s="167" t="str">
        <f t="shared" si="10"/>
        <v/>
      </c>
      <c r="BI81" s="167" t="str">
        <f t="shared" si="10"/>
        <v/>
      </c>
      <c r="BJ81" s="167" t="str">
        <f t="shared" si="10"/>
        <v/>
      </c>
      <c r="BK81" s="167" t="str">
        <f t="shared" si="10"/>
        <v/>
      </c>
      <c r="BL81" s="167" t="str">
        <f t="shared" si="10"/>
        <v/>
      </c>
      <c r="BM81" s="167" t="str">
        <f t="shared" si="10"/>
        <v/>
      </c>
      <c r="BN81" s="167" t="str">
        <f t="shared" si="10"/>
        <v/>
      </c>
      <c r="BO81" s="167" t="str">
        <f t="shared" ref="BO81:CX81" si="11">IF(ISNUMBER(outYear),$B$11*(1+escalation_rate_nominal/100)^BN77,"")</f>
        <v/>
      </c>
      <c r="BP81" s="167" t="str">
        <f t="shared" si="11"/>
        <v/>
      </c>
      <c r="BQ81" s="167" t="str">
        <f t="shared" si="11"/>
        <v/>
      </c>
      <c r="BR81" s="167" t="str">
        <f t="shared" si="11"/>
        <v/>
      </c>
      <c r="BS81" s="167" t="str">
        <f t="shared" si="11"/>
        <v/>
      </c>
      <c r="BT81" s="167" t="str">
        <f t="shared" si="11"/>
        <v/>
      </c>
      <c r="BU81" s="167" t="str">
        <f t="shared" si="11"/>
        <v/>
      </c>
      <c r="BV81" s="167" t="str">
        <f t="shared" si="11"/>
        <v/>
      </c>
      <c r="BW81" s="167" t="str">
        <f t="shared" si="11"/>
        <v/>
      </c>
      <c r="BX81" s="167" t="str">
        <f t="shared" si="11"/>
        <v/>
      </c>
      <c r="BY81" s="167" t="str">
        <f t="shared" si="11"/>
        <v/>
      </c>
      <c r="BZ81" s="167" t="str">
        <f t="shared" si="11"/>
        <v/>
      </c>
      <c r="CA81" s="167" t="str">
        <f t="shared" si="11"/>
        <v/>
      </c>
      <c r="CB81" s="167" t="str">
        <f t="shared" si="11"/>
        <v/>
      </c>
      <c r="CC81" s="167" t="str">
        <f t="shared" si="11"/>
        <v/>
      </c>
      <c r="CD81" s="167" t="str">
        <f t="shared" si="11"/>
        <v/>
      </c>
      <c r="CE81" s="167" t="str">
        <f t="shared" si="11"/>
        <v/>
      </c>
      <c r="CF81" s="167" t="str">
        <f t="shared" si="11"/>
        <v/>
      </c>
      <c r="CG81" s="167" t="str">
        <f t="shared" si="11"/>
        <v/>
      </c>
      <c r="CH81" s="167" t="str">
        <f t="shared" si="11"/>
        <v/>
      </c>
      <c r="CI81" s="167" t="str">
        <f t="shared" si="11"/>
        <v/>
      </c>
      <c r="CJ81" s="167" t="str">
        <f t="shared" si="11"/>
        <v/>
      </c>
      <c r="CK81" s="167" t="str">
        <f t="shared" si="11"/>
        <v/>
      </c>
      <c r="CL81" s="167" t="str">
        <f t="shared" si="11"/>
        <v/>
      </c>
      <c r="CM81" s="167" t="str">
        <f t="shared" si="11"/>
        <v/>
      </c>
      <c r="CN81" s="167" t="str">
        <f t="shared" si="11"/>
        <v/>
      </c>
      <c r="CO81" s="167" t="str">
        <f t="shared" si="11"/>
        <v/>
      </c>
      <c r="CP81" s="167" t="str">
        <f t="shared" si="11"/>
        <v/>
      </c>
      <c r="CQ81" s="167" t="str">
        <f t="shared" si="11"/>
        <v/>
      </c>
      <c r="CR81" s="167" t="str">
        <f t="shared" si="11"/>
        <v/>
      </c>
      <c r="CS81" s="167" t="str">
        <f t="shared" si="11"/>
        <v/>
      </c>
      <c r="CT81" s="167" t="str">
        <f t="shared" si="11"/>
        <v/>
      </c>
      <c r="CU81" s="167" t="str">
        <f t="shared" si="11"/>
        <v/>
      </c>
      <c r="CV81" s="167" t="str">
        <f t="shared" si="11"/>
        <v/>
      </c>
      <c r="CW81" s="167" t="str">
        <f t="shared" si="11"/>
        <v/>
      </c>
      <c r="CX81" s="167" t="str">
        <f t="shared" si="11"/>
        <v/>
      </c>
    </row>
    <row r="82" spans="1:102" ht="12.75" customHeight="1" x14ac:dyDescent="0.2">
      <c r="A82" s="129" t="s">
        <v>34</v>
      </c>
      <c r="B82" s="132">
        <v>0</v>
      </c>
      <c r="C82" s="159">
        <f t="shared" ref="C82:AH82" si="12">IF(C77&lt;=analysis_period,C79-(C80 + C81),"")</f>
        <v>53315</v>
      </c>
      <c r="D82" s="167">
        <f t="shared" si="12"/>
        <v>54381.29999999993</v>
      </c>
      <c r="E82" s="167">
        <f t="shared" si="12"/>
        <v>55468.925999999978</v>
      </c>
      <c r="F82" s="167">
        <f t="shared" si="12"/>
        <v>56578.304520000005</v>
      </c>
      <c r="G82" s="167">
        <f t="shared" si="12"/>
        <v>57709.87061039987</v>
      </c>
      <c r="H82" s="167">
        <f t="shared" si="12"/>
        <v>58864.068022608059</v>
      </c>
      <c r="I82" s="167">
        <f t="shared" si="12"/>
        <v>60041.349383060238</v>
      </c>
      <c r="J82" s="167">
        <f t="shared" si="12"/>
        <v>61242.17637072131</v>
      </c>
      <c r="K82" s="167">
        <f t="shared" si="12"/>
        <v>62467.019898135797</v>
      </c>
      <c r="L82" s="167">
        <f t="shared" si="12"/>
        <v>63716.360296098515</v>
      </c>
      <c r="M82" s="167">
        <f t="shared" si="12"/>
        <v>64990.687502020388</v>
      </c>
      <c r="N82" s="167">
        <f t="shared" si="12"/>
        <v>66290.501252060873</v>
      </c>
      <c r="O82" s="167">
        <f t="shared" si="12"/>
        <v>67616.311277102097</v>
      </c>
      <c r="P82" s="167">
        <f t="shared" si="12"/>
        <v>68968.637502644095</v>
      </c>
      <c r="Q82" s="167">
        <f t="shared" si="12"/>
        <v>70348.010252696928</v>
      </c>
      <c r="R82" s="167">
        <f t="shared" si="12"/>
        <v>71754.970457750838</v>
      </c>
      <c r="S82" s="167">
        <f t="shared" si="12"/>
        <v>73190.06986690592</v>
      </c>
      <c r="T82" s="167">
        <f t="shared" si="12"/>
        <v>74653.871264244197</v>
      </c>
      <c r="U82" s="167">
        <f t="shared" si="12"/>
        <v>76146.948689529207</v>
      </c>
      <c r="V82" s="167">
        <f t="shared" si="12"/>
        <v>77669.887663319474</v>
      </c>
      <c r="W82" s="167">
        <f t="shared" si="12"/>
        <v>79223.285416586092</v>
      </c>
      <c r="X82" s="167">
        <f t="shared" si="12"/>
        <v>80807.75112491753</v>
      </c>
      <c r="Y82" s="167">
        <f t="shared" si="12"/>
        <v>82423.906147415983</v>
      </c>
      <c r="Z82" s="167">
        <f t="shared" si="12"/>
        <v>84072.384270364186</v>
      </c>
      <c r="AA82" s="167">
        <f t="shared" si="12"/>
        <v>85753.83195577166</v>
      </c>
      <c r="AB82" s="167" t="str">
        <f t="shared" si="12"/>
        <v/>
      </c>
      <c r="AC82" s="167" t="str">
        <f t="shared" si="12"/>
        <v/>
      </c>
      <c r="AD82" s="167" t="str">
        <f t="shared" si="12"/>
        <v/>
      </c>
      <c r="AE82" s="167" t="str">
        <f t="shared" si="12"/>
        <v/>
      </c>
      <c r="AF82" s="167" t="str">
        <f t="shared" si="12"/>
        <v/>
      </c>
      <c r="AG82" s="167" t="str">
        <f t="shared" si="12"/>
        <v/>
      </c>
      <c r="AH82" s="167" t="str">
        <f t="shared" si="12"/>
        <v/>
      </c>
      <c r="AI82" s="167" t="str">
        <f t="shared" ref="AI82:BN82" si="13">IF(AI77&lt;=analysis_period,AI79-(AI80 + AI81),"")</f>
        <v/>
      </c>
      <c r="AJ82" s="167" t="str">
        <f t="shared" si="13"/>
        <v/>
      </c>
      <c r="AK82" s="167" t="str">
        <f t="shared" si="13"/>
        <v/>
      </c>
      <c r="AL82" s="167" t="str">
        <f t="shared" si="13"/>
        <v/>
      </c>
      <c r="AM82" s="167" t="str">
        <f t="shared" si="13"/>
        <v/>
      </c>
      <c r="AN82" s="167" t="str">
        <f t="shared" si="13"/>
        <v/>
      </c>
      <c r="AO82" s="167" t="str">
        <f t="shared" si="13"/>
        <v/>
      </c>
      <c r="AP82" s="167" t="str">
        <f t="shared" si="13"/>
        <v/>
      </c>
      <c r="AQ82" s="167" t="str">
        <f t="shared" si="13"/>
        <v/>
      </c>
      <c r="AR82" s="167" t="str">
        <f t="shared" si="13"/>
        <v/>
      </c>
      <c r="AS82" s="167" t="str">
        <f t="shared" si="13"/>
        <v/>
      </c>
      <c r="AT82" s="167" t="str">
        <f t="shared" si="13"/>
        <v/>
      </c>
      <c r="AU82" s="167" t="str">
        <f t="shared" si="13"/>
        <v/>
      </c>
      <c r="AV82" s="167" t="str">
        <f t="shared" si="13"/>
        <v/>
      </c>
      <c r="AW82" s="167" t="str">
        <f t="shared" si="13"/>
        <v/>
      </c>
      <c r="AX82" s="167" t="str">
        <f t="shared" si="13"/>
        <v/>
      </c>
      <c r="AY82" s="167" t="str">
        <f t="shared" si="13"/>
        <v/>
      </c>
      <c r="AZ82" s="167" t="str">
        <f t="shared" si="13"/>
        <v/>
      </c>
      <c r="BA82" s="167" t="str">
        <f t="shared" si="13"/>
        <v/>
      </c>
      <c r="BB82" s="167" t="str">
        <f t="shared" si="13"/>
        <v/>
      </c>
      <c r="BC82" s="167" t="str">
        <f t="shared" si="13"/>
        <v/>
      </c>
      <c r="BD82" s="167" t="str">
        <f t="shared" si="13"/>
        <v/>
      </c>
      <c r="BE82" s="167" t="str">
        <f t="shared" si="13"/>
        <v/>
      </c>
      <c r="BF82" s="167" t="str">
        <f t="shared" si="13"/>
        <v/>
      </c>
      <c r="BG82" s="167" t="str">
        <f t="shared" si="13"/>
        <v/>
      </c>
      <c r="BH82" s="167" t="str">
        <f t="shared" si="13"/>
        <v/>
      </c>
      <c r="BI82" s="167" t="str">
        <f t="shared" si="13"/>
        <v/>
      </c>
      <c r="BJ82" s="167" t="str">
        <f t="shared" si="13"/>
        <v/>
      </c>
      <c r="BK82" s="167" t="str">
        <f t="shared" si="13"/>
        <v/>
      </c>
      <c r="BL82" s="167" t="str">
        <f t="shared" si="13"/>
        <v/>
      </c>
      <c r="BM82" s="167" t="str">
        <f t="shared" si="13"/>
        <v/>
      </c>
      <c r="BN82" s="167" t="str">
        <f t="shared" si="13"/>
        <v/>
      </c>
      <c r="BO82" s="167" t="str">
        <f t="shared" ref="BO82:CT82" si="14">IF(BO77&lt;=analysis_period,BO79-(BO80 + BO81),"")</f>
        <v/>
      </c>
      <c r="BP82" s="167" t="str">
        <f t="shared" si="14"/>
        <v/>
      </c>
      <c r="BQ82" s="167" t="str">
        <f t="shared" si="14"/>
        <v/>
      </c>
      <c r="BR82" s="167" t="str">
        <f t="shared" si="14"/>
        <v/>
      </c>
      <c r="BS82" s="167" t="str">
        <f t="shared" si="14"/>
        <v/>
      </c>
      <c r="BT82" s="167" t="str">
        <f t="shared" si="14"/>
        <v/>
      </c>
      <c r="BU82" s="167" t="str">
        <f t="shared" si="14"/>
        <v/>
      </c>
      <c r="BV82" s="167" t="str">
        <f t="shared" si="14"/>
        <v/>
      </c>
      <c r="BW82" s="167" t="str">
        <f t="shared" si="14"/>
        <v/>
      </c>
      <c r="BX82" s="167" t="str">
        <f t="shared" si="14"/>
        <v/>
      </c>
      <c r="BY82" s="167" t="str">
        <f t="shared" si="14"/>
        <v/>
      </c>
      <c r="BZ82" s="167" t="str">
        <f t="shared" si="14"/>
        <v/>
      </c>
      <c r="CA82" s="167" t="str">
        <f t="shared" si="14"/>
        <v/>
      </c>
      <c r="CB82" s="167" t="str">
        <f t="shared" si="14"/>
        <v/>
      </c>
      <c r="CC82" s="167" t="str">
        <f t="shared" si="14"/>
        <v/>
      </c>
      <c r="CD82" s="167" t="str">
        <f t="shared" si="14"/>
        <v/>
      </c>
      <c r="CE82" s="167" t="str">
        <f t="shared" si="14"/>
        <v/>
      </c>
      <c r="CF82" s="167" t="str">
        <f t="shared" si="14"/>
        <v/>
      </c>
      <c r="CG82" s="167" t="str">
        <f t="shared" si="14"/>
        <v/>
      </c>
      <c r="CH82" s="167" t="str">
        <f t="shared" si="14"/>
        <v/>
      </c>
      <c r="CI82" s="167" t="str">
        <f t="shared" si="14"/>
        <v/>
      </c>
      <c r="CJ82" s="167" t="str">
        <f t="shared" si="14"/>
        <v/>
      </c>
      <c r="CK82" s="167" t="str">
        <f t="shared" si="14"/>
        <v/>
      </c>
      <c r="CL82" s="167" t="str">
        <f t="shared" si="14"/>
        <v/>
      </c>
      <c r="CM82" s="167" t="str">
        <f t="shared" si="14"/>
        <v/>
      </c>
      <c r="CN82" s="167" t="str">
        <f t="shared" si="14"/>
        <v/>
      </c>
      <c r="CO82" s="167" t="str">
        <f t="shared" si="14"/>
        <v/>
      </c>
      <c r="CP82" s="167" t="str">
        <f t="shared" si="14"/>
        <v/>
      </c>
      <c r="CQ82" s="167" t="str">
        <f t="shared" si="14"/>
        <v/>
      </c>
      <c r="CR82" s="167" t="str">
        <f t="shared" si="14"/>
        <v/>
      </c>
      <c r="CS82" s="167" t="str">
        <f t="shared" si="14"/>
        <v/>
      </c>
      <c r="CT82" s="167" t="str">
        <f t="shared" si="14"/>
        <v/>
      </c>
      <c r="CU82" s="167" t="str">
        <f t="shared" ref="CU82:CX82" si="15">IF(CU77&lt;=analysis_period,CU79-(CU80 + CU81),"")</f>
        <v/>
      </c>
      <c r="CV82" s="167" t="str">
        <f t="shared" si="15"/>
        <v/>
      </c>
      <c r="CW82" s="167" t="str">
        <f t="shared" si="15"/>
        <v/>
      </c>
      <c r="CX82" s="167" t="str">
        <f t="shared" si="15"/>
        <v/>
      </c>
    </row>
    <row r="83" spans="1:102" ht="12.75" customHeight="1" x14ac:dyDescent="0.2">
      <c r="A83" s="129" t="s">
        <v>146</v>
      </c>
      <c r="B83" s="133">
        <v>0</v>
      </c>
      <c r="C83" s="160">
        <f t="shared" ref="C83:AH83" si="16">IF(ISNUMBER(outYear),IF(FederalDepreciation=5,H65,IF(FederalDepreciation=7,H66,0)),"")</f>
        <v>0</v>
      </c>
      <c r="D83" s="160">
        <f t="shared" si="16"/>
        <v>0</v>
      </c>
      <c r="E83" s="160">
        <f t="shared" si="16"/>
        <v>0</v>
      </c>
      <c r="F83" s="160">
        <f t="shared" si="16"/>
        <v>0</v>
      </c>
      <c r="G83" s="160">
        <f t="shared" si="16"/>
        <v>0</v>
      </c>
      <c r="H83" s="160">
        <f t="shared" si="16"/>
        <v>0</v>
      </c>
      <c r="I83" s="160">
        <f t="shared" si="16"/>
        <v>0</v>
      </c>
      <c r="J83" s="160">
        <f t="shared" si="16"/>
        <v>0</v>
      </c>
      <c r="K83" s="160">
        <f t="shared" si="16"/>
        <v>0</v>
      </c>
      <c r="L83" s="160">
        <f t="shared" si="16"/>
        <v>0</v>
      </c>
      <c r="M83" s="160">
        <f t="shared" si="16"/>
        <v>0</v>
      </c>
      <c r="N83" s="160">
        <f t="shared" si="16"/>
        <v>0</v>
      </c>
      <c r="O83" s="160">
        <f t="shared" si="16"/>
        <v>0</v>
      </c>
      <c r="P83" s="160">
        <f t="shared" si="16"/>
        <v>0</v>
      </c>
      <c r="Q83" s="160">
        <f t="shared" si="16"/>
        <v>0</v>
      </c>
      <c r="R83" s="160">
        <f t="shared" si="16"/>
        <v>0</v>
      </c>
      <c r="S83" s="160">
        <f t="shared" si="16"/>
        <v>0</v>
      </c>
      <c r="T83" s="160">
        <f t="shared" si="16"/>
        <v>0</v>
      </c>
      <c r="U83" s="160">
        <f t="shared" si="16"/>
        <v>0</v>
      </c>
      <c r="V83" s="160">
        <f t="shared" si="16"/>
        <v>0</v>
      </c>
      <c r="W83" s="160">
        <f t="shared" si="16"/>
        <v>0</v>
      </c>
      <c r="X83" s="160">
        <f t="shared" si="16"/>
        <v>0</v>
      </c>
      <c r="Y83" s="160">
        <f t="shared" si="16"/>
        <v>0</v>
      </c>
      <c r="Z83" s="160">
        <f t="shared" si="16"/>
        <v>0</v>
      </c>
      <c r="AA83" s="160">
        <f t="shared" si="16"/>
        <v>0</v>
      </c>
      <c r="AB83" s="160" t="str">
        <f t="shared" si="16"/>
        <v/>
      </c>
      <c r="AC83" s="160" t="str">
        <f t="shared" si="16"/>
        <v/>
      </c>
      <c r="AD83" s="160" t="str">
        <f t="shared" si="16"/>
        <v/>
      </c>
      <c r="AE83" s="160" t="str">
        <f t="shared" si="16"/>
        <v/>
      </c>
      <c r="AF83" s="160" t="str">
        <f t="shared" si="16"/>
        <v/>
      </c>
      <c r="AG83" s="160" t="str">
        <f t="shared" si="16"/>
        <v/>
      </c>
      <c r="AH83" s="160" t="str">
        <f t="shared" si="16"/>
        <v/>
      </c>
      <c r="AI83" s="160" t="str">
        <f t="shared" ref="AI83:BN83" si="17">IF(ISNUMBER(outYear),IF(FederalDepreciation=5,AN65,IF(FederalDepreciation=7,AN66,0)),"")</f>
        <v/>
      </c>
      <c r="AJ83" s="160" t="str">
        <f t="shared" si="17"/>
        <v/>
      </c>
      <c r="AK83" s="160" t="str">
        <f t="shared" si="17"/>
        <v/>
      </c>
      <c r="AL83" s="160" t="str">
        <f t="shared" si="17"/>
        <v/>
      </c>
      <c r="AM83" s="160" t="str">
        <f t="shared" si="17"/>
        <v/>
      </c>
      <c r="AN83" s="160" t="str">
        <f t="shared" si="17"/>
        <v/>
      </c>
      <c r="AO83" s="160" t="str">
        <f t="shared" si="17"/>
        <v/>
      </c>
      <c r="AP83" s="160" t="str">
        <f t="shared" si="17"/>
        <v/>
      </c>
      <c r="AQ83" s="160" t="str">
        <f t="shared" si="17"/>
        <v/>
      </c>
      <c r="AR83" s="160" t="str">
        <f t="shared" si="17"/>
        <v/>
      </c>
      <c r="AS83" s="160" t="str">
        <f t="shared" si="17"/>
        <v/>
      </c>
      <c r="AT83" s="160" t="str">
        <f t="shared" si="17"/>
        <v/>
      </c>
      <c r="AU83" s="160" t="str">
        <f t="shared" si="17"/>
        <v/>
      </c>
      <c r="AV83" s="160" t="str">
        <f t="shared" si="17"/>
        <v/>
      </c>
      <c r="AW83" s="160" t="str">
        <f t="shared" si="17"/>
        <v/>
      </c>
      <c r="AX83" s="160" t="str">
        <f t="shared" si="17"/>
        <v/>
      </c>
      <c r="AY83" s="160" t="str">
        <f t="shared" si="17"/>
        <v/>
      </c>
      <c r="AZ83" s="160" t="str">
        <f t="shared" si="17"/>
        <v/>
      </c>
      <c r="BA83" s="160" t="str">
        <f t="shared" si="17"/>
        <v/>
      </c>
      <c r="BB83" s="160" t="str">
        <f t="shared" si="17"/>
        <v/>
      </c>
      <c r="BC83" s="160" t="str">
        <f t="shared" si="17"/>
        <v/>
      </c>
      <c r="BD83" s="160" t="str">
        <f t="shared" si="17"/>
        <v/>
      </c>
      <c r="BE83" s="160" t="str">
        <f t="shared" si="17"/>
        <v/>
      </c>
      <c r="BF83" s="160" t="str">
        <f t="shared" si="17"/>
        <v/>
      </c>
      <c r="BG83" s="160" t="str">
        <f t="shared" si="17"/>
        <v/>
      </c>
      <c r="BH83" s="160" t="str">
        <f t="shared" si="17"/>
        <v/>
      </c>
      <c r="BI83" s="160" t="str">
        <f t="shared" si="17"/>
        <v/>
      </c>
      <c r="BJ83" s="160" t="str">
        <f t="shared" si="17"/>
        <v/>
      </c>
      <c r="BK83" s="160" t="str">
        <f t="shared" si="17"/>
        <v/>
      </c>
      <c r="BL83" s="160" t="str">
        <f t="shared" si="17"/>
        <v/>
      </c>
      <c r="BM83" s="160" t="str">
        <f t="shared" si="17"/>
        <v/>
      </c>
      <c r="BN83" s="160" t="str">
        <f t="shared" si="17"/>
        <v/>
      </c>
      <c r="BO83" s="160" t="str">
        <f t="shared" ref="BO83:CT83" si="18">IF(ISNUMBER(outYear),IF(FederalDepreciation=5,BT65,IF(FederalDepreciation=7,BT66,0)),"")</f>
        <v/>
      </c>
      <c r="BP83" s="160" t="str">
        <f t="shared" si="18"/>
        <v/>
      </c>
      <c r="BQ83" s="160" t="str">
        <f t="shared" si="18"/>
        <v/>
      </c>
      <c r="BR83" s="160" t="str">
        <f t="shared" si="18"/>
        <v/>
      </c>
      <c r="BS83" s="160" t="str">
        <f t="shared" si="18"/>
        <v/>
      </c>
      <c r="BT83" s="160" t="str">
        <f t="shared" si="18"/>
        <v/>
      </c>
      <c r="BU83" s="160" t="str">
        <f t="shared" si="18"/>
        <v/>
      </c>
      <c r="BV83" s="160" t="str">
        <f t="shared" si="18"/>
        <v/>
      </c>
      <c r="BW83" s="160" t="str">
        <f t="shared" si="18"/>
        <v/>
      </c>
      <c r="BX83" s="160" t="str">
        <f t="shared" si="18"/>
        <v/>
      </c>
      <c r="BY83" s="160" t="str">
        <f t="shared" si="18"/>
        <v/>
      </c>
      <c r="BZ83" s="160" t="str">
        <f t="shared" si="18"/>
        <v/>
      </c>
      <c r="CA83" s="160" t="str">
        <f t="shared" si="18"/>
        <v/>
      </c>
      <c r="CB83" s="160" t="str">
        <f t="shared" si="18"/>
        <v/>
      </c>
      <c r="CC83" s="160" t="str">
        <f t="shared" si="18"/>
        <v/>
      </c>
      <c r="CD83" s="160" t="str">
        <f t="shared" si="18"/>
        <v/>
      </c>
      <c r="CE83" s="160" t="str">
        <f t="shared" si="18"/>
        <v/>
      </c>
      <c r="CF83" s="160" t="str">
        <f t="shared" si="18"/>
        <v/>
      </c>
      <c r="CG83" s="160" t="str">
        <f t="shared" si="18"/>
        <v/>
      </c>
      <c r="CH83" s="160" t="str">
        <f t="shared" si="18"/>
        <v/>
      </c>
      <c r="CI83" s="160" t="str">
        <f t="shared" si="18"/>
        <v/>
      </c>
      <c r="CJ83" s="160" t="str">
        <f t="shared" si="18"/>
        <v/>
      </c>
      <c r="CK83" s="160" t="str">
        <f t="shared" si="18"/>
        <v/>
      </c>
      <c r="CL83" s="160" t="str">
        <f t="shared" si="18"/>
        <v/>
      </c>
      <c r="CM83" s="160" t="str">
        <f t="shared" si="18"/>
        <v/>
      </c>
      <c r="CN83" s="160" t="str">
        <f t="shared" si="18"/>
        <v/>
      </c>
      <c r="CO83" s="160" t="str">
        <f t="shared" si="18"/>
        <v/>
      </c>
      <c r="CP83" s="160" t="str">
        <f t="shared" si="18"/>
        <v/>
      </c>
      <c r="CQ83" s="160" t="str">
        <f t="shared" si="18"/>
        <v/>
      </c>
      <c r="CR83" s="160" t="str">
        <f t="shared" si="18"/>
        <v/>
      </c>
      <c r="CS83" s="160" t="str">
        <f t="shared" si="18"/>
        <v/>
      </c>
      <c r="CT83" s="160" t="str">
        <f t="shared" si="18"/>
        <v/>
      </c>
      <c r="CU83" s="160" t="str">
        <f t="shared" ref="CU83:DZ83" si="19">IF(ISNUMBER(outYear),IF(FederalDepreciation=5,CZ65,IF(FederalDepreciation=7,CZ66,0)),"")</f>
        <v/>
      </c>
      <c r="CV83" s="160" t="str">
        <f t="shared" si="19"/>
        <v/>
      </c>
      <c r="CW83" s="160" t="str">
        <f t="shared" si="19"/>
        <v/>
      </c>
      <c r="CX83" s="160" t="str">
        <f t="shared" si="19"/>
        <v/>
      </c>
    </row>
    <row r="84" spans="1:102" ht="12.75" customHeight="1" x14ac:dyDescent="0.2">
      <c r="A84" s="129" t="s">
        <v>127</v>
      </c>
      <c r="B84" s="133">
        <v>0</v>
      </c>
      <c r="C84" s="160">
        <f t="shared" ref="C84:AH84" si="20">IF(ISNUMBER(outYear),IF(BatteryFederalDepreciation=5,H65,IF(BatteryFederalDepreciation=7,H66,0)),"")</f>
        <v>0</v>
      </c>
      <c r="D84" s="160">
        <f t="shared" si="20"/>
        <v>0</v>
      </c>
      <c r="E84" s="160">
        <f t="shared" si="20"/>
        <v>0</v>
      </c>
      <c r="F84" s="160">
        <f t="shared" si="20"/>
        <v>0</v>
      </c>
      <c r="G84" s="160">
        <f t="shared" si="20"/>
        <v>0</v>
      </c>
      <c r="H84" s="160">
        <f t="shared" si="20"/>
        <v>0</v>
      </c>
      <c r="I84" s="160">
        <f t="shared" si="20"/>
        <v>0</v>
      </c>
      <c r="J84" s="160">
        <f t="shared" si="20"/>
        <v>0</v>
      </c>
      <c r="K84" s="160">
        <f t="shared" si="20"/>
        <v>0</v>
      </c>
      <c r="L84" s="160">
        <f t="shared" si="20"/>
        <v>0</v>
      </c>
      <c r="M84" s="160">
        <f t="shared" si="20"/>
        <v>0</v>
      </c>
      <c r="N84" s="160">
        <f t="shared" si="20"/>
        <v>0</v>
      </c>
      <c r="O84" s="160">
        <f t="shared" si="20"/>
        <v>0</v>
      </c>
      <c r="P84" s="160">
        <f t="shared" si="20"/>
        <v>0</v>
      </c>
      <c r="Q84" s="160">
        <f t="shared" si="20"/>
        <v>0</v>
      </c>
      <c r="R84" s="160">
        <f t="shared" si="20"/>
        <v>0</v>
      </c>
      <c r="S84" s="160">
        <f t="shared" si="20"/>
        <v>0</v>
      </c>
      <c r="T84" s="160">
        <f t="shared" si="20"/>
        <v>0</v>
      </c>
      <c r="U84" s="160">
        <f t="shared" si="20"/>
        <v>0</v>
      </c>
      <c r="V84" s="160">
        <f t="shared" si="20"/>
        <v>0</v>
      </c>
      <c r="W84" s="160">
        <f t="shared" si="20"/>
        <v>0</v>
      </c>
      <c r="X84" s="160">
        <f t="shared" si="20"/>
        <v>0</v>
      </c>
      <c r="Y84" s="160">
        <f t="shared" si="20"/>
        <v>0</v>
      </c>
      <c r="Z84" s="160">
        <f t="shared" si="20"/>
        <v>0</v>
      </c>
      <c r="AA84" s="160">
        <f t="shared" si="20"/>
        <v>0</v>
      </c>
      <c r="AB84" s="160" t="str">
        <f t="shared" si="20"/>
        <v/>
      </c>
      <c r="AC84" s="160" t="str">
        <f t="shared" si="20"/>
        <v/>
      </c>
      <c r="AD84" s="160" t="str">
        <f t="shared" si="20"/>
        <v/>
      </c>
      <c r="AE84" s="160" t="str">
        <f t="shared" si="20"/>
        <v/>
      </c>
      <c r="AF84" s="160" t="str">
        <f t="shared" si="20"/>
        <v/>
      </c>
      <c r="AG84" s="160" t="str">
        <f t="shared" si="20"/>
        <v/>
      </c>
      <c r="AH84" s="160" t="str">
        <f t="shared" si="20"/>
        <v/>
      </c>
      <c r="AI84" s="160" t="str">
        <f t="shared" ref="AI84:BN84" si="21">IF(ISNUMBER(outYear),IF(BatteryFederalDepreciation=5,AN65,IF(BatteryFederalDepreciation=7,AN66,0)),"")</f>
        <v/>
      </c>
      <c r="AJ84" s="160" t="str">
        <f t="shared" si="21"/>
        <v/>
      </c>
      <c r="AK84" s="160" t="str">
        <f t="shared" si="21"/>
        <v/>
      </c>
      <c r="AL84" s="160" t="str">
        <f t="shared" si="21"/>
        <v/>
      </c>
      <c r="AM84" s="160" t="str">
        <f t="shared" si="21"/>
        <v/>
      </c>
      <c r="AN84" s="160" t="str">
        <f t="shared" si="21"/>
        <v/>
      </c>
      <c r="AO84" s="160" t="str">
        <f t="shared" si="21"/>
        <v/>
      </c>
      <c r="AP84" s="160" t="str">
        <f t="shared" si="21"/>
        <v/>
      </c>
      <c r="AQ84" s="160" t="str">
        <f t="shared" si="21"/>
        <v/>
      </c>
      <c r="AR84" s="160" t="str">
        <f t="shared" si="21"/>
        <v/>
      </c>
      <c r="AS84" s="160" t="str">
        <f t="shared" si="21"/>
        <v/>
      </c>
      <c r="AT84" s="160" t="str">
        <f t="shared" si="21"/>
        <v/>
      </c>
      <c r="AU84" s="160" t="str">
        <f t="shared" si="21"/>
        <v/>
      </c>
      <c r="AV84" s="160" t="str">
        <f t="shared" si="21"/>
        <v/>
      </c>
      <c r="AW84" s="160" t="str">
        <f t="shared" si="21"/>
        <v/>
      </c>
      <c r="AX84" s="160" t="str">
        <f t="shared" si="21"/>
        <v/>
      </c>
      <c r="AY84" s="160" t="str">
        <f t="shared" si="21"/>
        <v/>
      </c>
      <c r="AZ84" s="160" t="str">
        <f t="shared" si="21"/>
        <v/>
      </c>
      <c r="BA84" s="160" t="str">
        <f t="shared" si="21"/>
        <v/>
      </c>
      <c r="BB84" s="160" t="str">
        <f t="shared" si="21"/>
        <v/>
      </c>
      <c r="BC84" s="160" t="str">
        <f t="shared" si="21"/>
        <v/>
      </c>
      <c r="BD84" s="160" t="str">
        <f t="shared" si="21"/>
        <v/>
      </c>
      <c r="BE84" s="160" t="str">
        <f t="shared" si="21"/>
        <v/>
      </c>
      <c r="BF84" s="160" t="str">
        <f t="shared" si="21"/>
        <v/>
      </c>
      <c r="BG84" s="160" t="str">
        <f t="shared" si="21"/>
        <v/>
      </c>
      <c r="BH84" s="160" t="str">
        <f t="shared" si="21"/>
        <v/>
      </c>
      <c r="BI84" s="160" t="str">
        <f t="shared" si="21"/>
        <v/>
      </c>
      <c r="BJ84" s="160" t="str">
        <f t="shared" si="21"/>
        <v/>
      </c>
      <c r="BK84" s="160" t="str">
        <f t="shared" si="21"/>
        <v/>
      </c>
      <c r="BL84" s="160" t="str">
        <f t="shared" si="21"/>
        <v/>
      </c>
      <c r="BM84" s="160" t="str">
        <f t="shared" si="21"/>
        <v/>
      </c>
      <c r="BN84" s="160" t="str">
        <f t="shared" si="21"/>
        <v/>
      </c>
      <c r="BO84" s="160" t="str">
        <f t="shared" ref="BO84:CT84" si="22">IF(ISNUMBER(outYear),IF(BatteryFederalDepreciation=5,BT65,IF(BatteryFederalDepreciation=7,BT66,0)),"")</f>
        <v/>
      </c>
      <c r="BP84" s="160" t="str">
        <f t="shared" si="22"/>
        <v/>
      </c>
      <c r="BQ84" s="160" t="str">
        <f t="shared" si="22"/>
        <v/>
      </c>
      <c r="BR84" s="160" t="str">
        <f t="shared" si="22"/>
        <v/>
      </c>
      <c r="BS84" s="160" t="str">
        <f t="shared" si="22"/>
        <v/>
      </c>
      <c r="BT84" s="160" t="str">
        <f t="shared" si="22"/>
        <v/>
      </c>
      <c r="BU84" s="160" t="str">
        <f t="shared" si="22"/>
        <v/>
      </c>
      <c r="BV84" s="160" t="str">
        <f t="shared" si="22"/>
        <v/>
      </c>
      <c r="BW84" s="160" t="str">
        <f t="shared" si="22"/>
        <v/>
      </c>
      <c r="BX84" s="160" t="str">
        <f t="shared" si="22"/>
        <v/>
      </c>
      <c r="BY84" s="160" t="str">
        <f t="shared" si="22"/>
        <v/>
      </c>
      <c r="BZ84" s="160" t="str">
        <f t="shared" si="22"/>
        <v/>
      </c>
      <c r="CA84" s="160" t="str">
        <f t="shared" si="22"/>
        <v/>
      </c>
      <c r="CB84" s="160" t="str">
        <f t="shared" si="22"/>
        <v/>
      </c>
      <c r="CC84" s="160" t="str">
        <f t="shared" si="22"/>
        <v/>
      </c>
      <c r="CD84" s="160" t="str">
        <f t="shared" si="22"/>
        <v/>
      </c>
      <c r="CE84" s="160" t="str">
        <f t="shared" si="22"/>
        <v/>
      </c>
      <c r="CF84" s="160" t="str">
        <f t="shared" si="22"/>
        <v/>
      </c>
      <c r="CG84" s="160" t="str">
        <f t="shared" si="22"/>
        <v/>
      </c>
      <c r="CH84" s="160" t="str">
        <f t="shared" si="22"/>
        <v/>
      </c>
      <c r="CI84" s="160" t="str">
        <f t="shared" si="22"/>
        <v/>
      </c>
      <c r="CJ84" s="160" t="str">
        <f t="shared" si="22"/>
        <v/>
      </c>
      <c r="CK84" s="160" t="str">
        <f t="shared" si="22"/>
        <v/>
      </c>
      <c r="CL84" s="160" t="str">
        <f t="shared" si="22"/>
        <v/>
      </c>
      <c r="CM84" s="160" t="str">
        <f t="shared" si="22"/>
        <v/>
      </c>
      <c r="CN84" s="160" t="str">
        <f t="shared" si="22"/>
        <v/>
      </c>
      <c r="CO84" s="160" t="str">
        <f t="shared" si="22"/>
        <v/>
      </c>
      <c r="CP84" s="160" t="str">
        <f t="shared" si="22"/>
        <v/>
      </c>
      <c r="CQ84" s="160" t="str">
        <f t="shared" si="22"/>
        <v/>
      </c>
      <c r="CR84" s="160" t="str">
        <f t="shared" si="22"/>
        <v/>
      </c>
      <c r="CS84" s="160" t="str">
        <f t="shared" si="22"/>
        <v/>
      </c>
      <c r="CT84" s="160" t="str">
        <f t="shared" si="22"/>
        <v/>
      </c>
      <c r="CU84" s="160" t="str">
        <f t="shared" ref="CU84:DZ84" si="23">IF(ISNUMBER(outYear),IF(BatteryFederalDepreciation=5,CZ65,IF(BatteryFederalDepreciation=7,CZ66,0)),"")</f>
        <v/>
      </c>
      <c r="CV84" s="160" t="str">
        <f t="shared" si="23"/>
        <v/>
      </c>
      <c r="CW84" s="160" t="str">
        <f t="shared" si="23"/>
        <v/>
      </c>
      <c r="CX84" s="160" t="str">
        <f t="shared" si="23"/>
        <v/>
      </c>
    </row>
    <row r="94" spans="1:102" x14ac:dyDescent="0.2">
      <c r="C94" s="157"/>
    </row>
    <row r="95" spans="1:102" x14ac:dyDescent="0.2">
      <c r="C95" s="157"/>
    </row>
    <row r="96" spans="1:102" x14ac:dyDescent="0.2">
      <c r="C96" s="158"/>
      <c r="D96" s="158"/>
      <c r="E96" s="20"/>
      <c r="F96" s="20"/>
    </row>
    <row r="97" spans="3:33" x14ac:dyDescent="0.2">
      <c r="C97" s="158"/>
      <c r="D97" s="158"/>
      <c r="E97" s="20"/>
      <c r="F97" s="20"/>
    </row>
    <row r="98" spans="3:33" x14ac:dyDescent="0.2">
      <c r="C98" s="158"/>
      <c r="D98" s="158"/>
      <c r="E98" s="20"/>
      <c r="F98" s="20"/>
    </row>
    <row r="99" spans="3:33" x14ac:dyDescent="0.2">
      <c r="C99" s="158"/>
      <c r="D99" s="158"/>
      <c r="E99" s="20"/>
      <c r="F99" s="20"/>
    </row>
    <row r="100" spans="3:33" x14ac:dyDescent="0.2">
      <c r="C100" s="158"/>
      <c r="D100" s="158"/>
      <c r="E100" s="20"/>
      <c r="F100" s="20"/>
    </row>
    <row r="101" spans="3:33" x14ac:dyDescent="0.2">
      <c r="C101" s="158"/>
      <c r="D101" s="158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8"/>
      <c r="D102" s="158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8"/>
      <c r="D103" s="158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8"/>
      <c r="D104" s="158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8"/>
      <c r="D105" s="158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8"/>
      <c r="D106" s="158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8"/>
      <c r="D107" s="158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8"/>
      <c r="D108" s="158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158"/>
      <c r="D109" s="158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158"/>
      <c r="D110" s="158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7:33" x14ac:dyDescent="0.2"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7:33" x14ac:dyDescent="0.2"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</sheetData>
  <phoneticPr fontId="0" type="noConversion"/>
  <conditionalFormatting sqref="B44">
    <cfRule type="expression" dxfId="5" priority="31" stopIfTrue="1">
      <formula>#REF!="Fixed"</formula>
    </cfRule>
  </conditionalFormatting>
  <conditionalFormatting sqref="B49">
    <cfRule type="expression" dxfId="4" priority="32" stopIfTrue="1">
      <formula>#REF!="Fixed"</formula>
    </cfRule>
  </conditionalFormatting>
  <conditionalFormatting sqref="B50">
    <cfRule type="expression" dxfId="3" priority="33" stopIfTrue="1">
      <formula>#REF!="Fixed"</formula>
    </cfRule>
  </conditionalFormatting>
  <conditionalFormatting sqref="B61">
    <cfRule type="expression" dxfId="2" priority="1" stopIfTrue="1">
      <formula>#REF!="Fixed"</formula>
    </cfRule>
  </conditionalFormatting>
  <conditionalFormatting sqref="B66">
    <cfRule type="expression" dxfId="1" priority="2" stopIfTrue="1">
      <formula>#REF!="Fixed"</formula>
    </cfRule>
  </conditionalFormatting>
  <conditionalFormatting sqref="B67">
    <cfRule type="expression" dxfId="0" priority="3" stopIfTrue="1">
      <formula>#REF!="Fixed"</formula>
    </cfRule>
  </conditionalFormatting>
  <dataValidations count="1">
    <dataValidation type="list" allowBlank="1" showInputMessage="1" showErrorMessage="1" sqref="B74 C74">
      <formula1>$CV$4:$CV$6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9"/>
  <sheetViews>
    <sheetView tabSelected="1" zoomScaleNormal="100" workbookViewId="0">
      <pane xSplit="1" ySplit="2" topLeftCell="B54" activePane="bottomRight" state="frozen"/>
      <selection activeCell="B6" sqref="B6"/>
      <selection pane="topRight" activeCell="B6" sqref="B6"/>
      <selection pane="bottomLeft" activeCell="B6" sqref="B6"/>
      <selection pane="bottomRight" activeCell="B78" sqref="B78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7" t="s">
        <v>94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70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72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73</v>
      </c>
      <c r="B5" s="93">
        <f t="array" ref="B5:CX5">'Inputs and Outputs'!B78:CX78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71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Outputs'!B82:CX82</f>
        <v>0</v>
      </c>
      <c r="C8" s="77">
        <v>53315</v>
      </c>
      <c r="D8" s="77">
        <v>54381.29999999993</v>
      </c>
      <c r="E8" s="77">
        <v>55468.925999999978</v>
      </c>
      <c r="F8" s="77">
        <v>56578.304520000005</v>
      </c>
      <c r="G8" s="77">
        <v>57709.87061039987</v>
      </c>
      <c r="H8" s="77">
        <v>58864.068022608059</v>
      </c>
      <c r="I8" s="77">
        <v>60041.349383060238</v>
      </c>
      <c r="J8" s="77">
        <v>61242.17637072131</v>
      </c>
      <c r="K8" s="77">
        <v>62467.019898135797</v>
      </c>
      <c r="L8" s="77">
        <v>63716.360296098515</v>
      </c>
      <c r="M8" s="77">
        <v>64990.687502020388</v>
      </c>
      <c r="N8" s="77">
        <v>66290.501252060873</v>
      </c>
      <c r="O8" s="77">
        <v>67616.311277102097</v>
      </c>
      <c r="P8" s="77">
        <v>68968.637502644095</v>
      </c>
      <c r="Q8" s="77">
        <v>70348.010252696928</v>
      </c>
      <c r="R8" s="77">
        <v>71754.970457750838</v>
      </c>
      <c r="S8" s="77">
        <v>73190.06986690592</v>
      </c>
      <c r="T8" s="77">
        <v>74653.871264244197</v>
      </c>
      <c r="U8" s="77">
        <v>76146.948689529207</v>
      </c>
      <c r="V8" s="77">
        <v>77669.887663319474</v>
      </c>
      <c r="W8" s="77">
        <v>79223.285416586092</v>
      </c>
      <c r="X8" s="77">
        <v>80807.75112491753</v>
      </c>
      <c r="Y8" s="77">
        <v>82423.906147415983</v>
      </c>
      <c r="Z8" s="77">
        <v>84072.384270364186</v>
      </c>
      <c r="AA8" s="77">
        <v>85753.83195577166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74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 t="shared" ref="C12:AA12" si="3">IF(AND(ISNUMBER(outYear),ISNUMBER(om_capacity)),om_capacity*(1+inflation_rate/100+escalation_rate/100)^B2*system_capacity,"")</f>
        <v>4391.72</v>
      </c>
      <c r="D12" s="77">
        <f t="shared" si="3"/>
        <v>4479.5544</v>
      </c>
      <c r="E12" s="77">
        <f t="shared" si="3"/>
        <v>4569.1454880000001</v>
      </c>
      <c r="F12" s="77">
        <f t="shared" si="3"/>
        <v>4660.5283977600002</v>
      </c>
      <c r="G12" s="77">
        <f t="shared" si="3"/>
        <v>4753.7389657151998</v>
      </c>
      <c r="H12" s="77">
        <f t="shared" si="3"/>
        <v>4848.8137450295044</v>
      </c>
      <c r="I12" s="77">
        <f t="shared" si="3"/>
        <v>4945.7900199300948</v>
      </c>
      <c r="J12" s="77">
        <f t="shared" si="3"/>
        <v>5044.7058203286961</v>
      </c>
      <c r="K12" s="77">
        <f t="shared" si="3"/>
        <v>5145.5999367352697</v>
      </c>
      <c r="L12" s="77">
        <f t="shared" si="3"/>
        <v>5248.5119354699755</v>
      </c>
      <c r="M12" s="77">
        <f t="shared" si="3"/>
        <v>5353.4821741793758</v>
      </c>
      <c r="N12" s="77">
        <f t="shared" si="3"/>
        <v>5460.5518176629621</v>
      </c>
      <c r="O12" s="77">
        <f t="shared" si="3"/>
        <v>5569.7628540162214</v>
      </c>
      <c r="P12" s="77">
        <f t="shared" si="3"/>
        <v>5681.1581110965462</v>
      </c>
      <c r="Q12" s="77">
        <f t="shared" si="3"/>
        <v>5794.7812733184765</v>
      </c>
      <c r="R12" s="77">
        <f t="shared" si="3"/>
        <v>5910.6768987848445</v>
      </c>
      <c r="S12" s="77">
        <f t="shared" si="3"/>
        <v>6028.8904367605428</v>
      </c>
      <c r="T12" s="77">
        <f t="shared" si="3"/>
        <v>6149.4682454957547</v>
      </c>
      <c r="U12" s="77">
        <f t="shared" si="3"/>
        <v>6272.4576104056687</v>
      </c>
      <c r="V12" s="77">
        <f t="shared" si="3"/>
        <v>6397.9067626137821</v>
      </c>
      <c r="W12" s="77">
        <f t="shared" si="3"/>
        <v>6525.8648978660585</v>
      </c>
      <c r="X12" s="77">
        <f t="shared" si="3"/>
        <v>6656.3821958233793</v>
      </c>
      <c r="Y12" s="77">
        <f t="shared" si="3"/>
        <v>6789.5098397398469</v>
      </c>
      <c r="Z12" s="77">
        <f t="shared" si="3"/>
        <v>6925.3000365346425</v>
      </c>
      <c r="AA12" s="77">
        <f t="shared" si="3"/>
        <v>7063.8060372653363</v>
      </c>
      <c r="AB12" s="77" t="str">
        <f t="shared" ref="AB12:BG12" si="4">IF(AND(ISNUMBER(outYear),ISNUMBER(om_capacity)),om_capacity*(1+inflation_rate/100+om_capacity_escal/100)^AA2*system_capacity,"")</f>
        <v/>
      </c>
      <c r="AC12" s="77" t="str">
        <f t="shared" si="4"/>
        <v/>
      </c>
      <c r="AD12" s="77" t="str">
        <f t="shared" si="4"/>
        <v/>
      </c>
      <c r="AE12" s="77" t="str">
        <f t="shared" si="4"/>
        <v/>
      </c>
      <c r="AF12" s="77" t="str">
        <f t="shared" si="4"/>
        <v/>
      </c>
      <c r="AG12" s="77" t="str">
        <f t="shared" si="4"/>
        <v/>
      </c>
      <c r="AH12" s="77" t="str">
        <f t="shared" si="4"/>
        <v/>
      </c>
      <c r="AI12" s="77" t="str">
        <f t="shared" si="4"/>
        <v/>
      </c>
      <c r="AJ12" s="77" t="str">
        <f t="shared" si="4"/>
        <v/>
      </c>
      <c r="AK12" s="77" t="str">
        <f t="shared" si="4"/>
        <v/>
      </c>
      <c r="AL12" s="77" t="str">
        <f t="shared" si="4"/>
        <v/>
      </c>
      <c r="AM12" s="77" t="str">
        <f t="shared" si="4"/>
        <v/>
      </c>
      <c r="AN12" s="77" t="str">
        <f t="shared" si="4"/>
        <v/>
      </c>
      <c r="AO12" s="77" t="str">
        <f t="shared" si="4"/>
        <v/>
      </c>
      <c r="AP12" s="77" t="str">
        <f t="shared" si="4"/>
        <v/>
      </c>
      <c r="AQ12" s="77" t="str">
        <f t="shared" si="4"/>
        <v/>
      </c>
      <c r="AR12" s="77" t="str">
        <f t="shared" si="4"/>
        <v/>
      </c>
      <c r="AS12" s="77" t="str">
        <f t="shared" si="4"/>
        <v/>
      </c>
      <c r="AT12" s="77" t="str">
        <f t="shared" si="4"/>
        <v/>
      </c>
      <c r="AU12" s="77" t="str">
        <f t="shared" si="4"/>
        <v/>
      </c>
      <c r="AV12" s="77" t="str">
        <f t="shared" si="4"/>
        <v/>
      </c>
      <c r="AW12" s="77" t="str">
        <f t="shared" si="4"/>
        <v/>
      </c>
      <c r="AX12" s="77" t="str">
        <f t="shared" si="4"/>
        <v/>
      </c>
      <c r="AY12" s="77" t="str">
        <f t="shared" si="4"/>
        <v/>
      </c>
      <c r="AZ12" s="77" t="str">
        <f t="shared" si="4"/>
        <v/>
      </c>
      <c r="BA12" s="77" t="str">
        <f t="shared" si="4"/>
        <v/>
      </c>
      <c r="BB12" s="77" t="str">
        <f t="shared" si="4"/>
        <v/>
      </c>
      <c r="BC12" s="77" t="str">
        <f t="shared" si="4"/>
        <v/>
      </c>
      <c r="BD12" s="77" t="str">
        <f t="shared" si="4"/>
        <v/>
      </c>
      <c r="BE12" s="77" t="str">
        <f t="shared" si="4"/>
        <v/>
      </c>
      <c r="BF12" s="77" t="str">
        <f t="shared" si="4"/>
        <v/>
      </c>
      <c r="BG12" s="77" t="str">
        <f t="shared" si="4"/>
        <v/>
      </c>
      <c r="BH12" s="77" t="str">
        <f t="shared" ref="BH12:CM12" si="5">IF(AND(ISNUMBER(outYear),ISNUMBER(om_capacity)),om_capacity*(1+inflation_rate/100+om_capacity_escal/100)^BG2*system_capacity,"")</f>
        <v/>
      </c>
      <c r="BI12" s="77" t="str">
        <f t="shared" si="5"/>
        <v/>
      </c>
      <c r="BJ12" s="77" t="str">
        <f t="shared" si="5"/>
        <v/>
      </c>
      <c r="BK12" s="77" t="str">
        <f t="shared" si="5"/>
        <v/>
      </c>
      <c r="BL12" s="77" t="str">
        <f t="shared" si="5"/>
        <v/>
      </c>
      <c r="BM12" s="77" t="str">
        <f t="shared" si="5"/>
        <v/>
      </c>
      <c r="BN12" s="77" t="str">
        <f t="shared" si="5"/>
        <v/>
      </c>
      <c r="BO12" s="77" t="str">
        <f t="shared" si="5"/>
        <v/>
      </c>
      <c r="BP12" s="77" t="str">
        <f t="shared" si="5"/>
        <v/>
      </c>
      <c r="BQ12" s="77" t="str">
        <f t="shared" si="5"/>
        <v/>
      </c>
      <c r="BR12" s="77" t="str">
        <f t="shared" si="5"/>
        <v/>
      </c>
      <c r="BS12" s="77" t="str">
        <f t="shared" si="5"/>
        <v/>
      </c>
      <c r="BT12" s="77" t="str">
        <f t="shared" si="5"/>
        <v/>
      </c>
      <c r="BU12" s="77" t="str">
        <f t="shared" si="5"/>
        <v/>
      </c>
      <c r="BV12" s="77" t="str">
        <f t="shared" si="5"/>
        <v/>
      </c>
      <c r="BW12" s="77" t="str">
        <f t="shared" si="5"/>
        <v/>
      </c>
      <c r="BX12" s="77" t="str">
        <f t="shared" si="5"/>
        <v/>
      </c>
      <c r="BY12" s="77" t="str">
        <f t="shared" si="5"/>
        <v/>
      </c>
      <c r="BZ12" s="77" t="str">
        <f t="shared" si="5"/>
        <v/>
      </c>
      <c r="CA12" s="77" t="str">
        <f t="shared" si="5"/>
        <v/>
      </c>
      <c r="CB12" s="77" t="str">
        <f t="shared" si="5"/>
        <v/>
      </c>
      <c r="CC12" s="77" t="str">
        <f t="shared" si="5"/>
        <v/>
      </c>
      <c r="CD12" s="77" t="str">
        <f t="shared" si="5"/>
        <v/>
      </c>
      <c r="CE12" s="77" t="str">
        <f t="shared" si="5"/>
        <v/>
      </c>
      <c r="CF12" s="77" t="str">
        <f t="shared" si="5"/>
        <v/>
      </c>
      <c r="CG12" s="77" t="str">
        <f t="shared" si="5"/>
        <v/>
      </c>
      <c r="CH12" s="77" t="str">
        <f t="shared" si="5"/>
        <v/>
      </c>
      <c r="CI12" s="77" t="str">
        <f t="shared" si="5"/>
        <v/>
      </c>
      <c r="CJ12" s="77" t="str">
        <f t="shared" si="5"/>
        <v/>
      </c>
      <c r="CK12" s="77" t="str">
        <f t="shared" si="5"/>
        <v/>
      </c>
      <c r="CL12" s="77" t="str">
        <f t="shared" si="5"/>
        <v/>
      </c>
      <c r="CM12" s="77" t="str">
        <f t="shared" si="5"/>
        <v/>
      </c>
      <c r="CN12" s="77" t="str">
        <f t="shared" ref="CN12:CX12" si="6">IF(AND(ISNUMBER(outYear),ISNUMBER(om_capacity)),om_capacity*(1+inflation_rate/100+om_capacity_escal/100)^CM2*system_capacity,"")</f>
        <v/>
      </c>
      <c r="CO12" s="77" t="str">
        <f t="shared" si="6"/>
        <v/>
      </c>
      <c r="CP12" s="77" t="str">
        <f t="shared" si="6"/>
        <v/>
      </c>
      <c r="CQ12" s="77" t="str">
        <f t="shared" si="6"/>
        <v/>
      </c>
      <c r="CR12" s="77" t="str">
        <f t="shared" si="6"/>
        <v/>
      </c>
      <c r="CS12" s="77" t="str">
        <f t="shared" si="6"/>
        <v/>
      </c>
      <c r="CT12" s="77" t="str">
        <f t="shared" si="6"/>
        <v/>
      </c>
      <c r="CU12" s="77" t="str">
        <f t="shared" si="6"/>
        <v/>
      </c>
      <c r="CV12" s="77" t="str">
        <f t="shared" si="6"/>
        <v/>
      </c>
      <c r="CW12" s="77" t="str">
        <f t="shared" si="6"/>
        <v/>
      </c>
      <c r="CX12" s="77" t="str">
        <f t="shared" si="6"/>
        <v/>
      </c>
    </row>
    <row r="13" spans="1:102" s="2" customFormat="1" x14ac:dyDescent="0.2">
      <c r="A13" s="63" t="s">
        <v>89</v>
      </c>
      <c r="B13" s="16"/>
      <c r="C13" s="77">
        <f t="shared" ref="C13:AA13" si="7">IF(EXACT(batt_repl_kw_year,C2), IF(AND(ISNUMBER(outYear),ISNUMBER(batt_repl_cost_kw)),(batt_kw * batt_repl_cost_kw)*(1+inflation_rate/100+escalation_rate/100)^B2,""), 0)</f>
        <v>0</v>
      </c>
      <c r="D13" s="77">
        <f t="shared" si="7"/>
        <v>0</v>
      </c>
      <c r="E13" s="77">
        <f t="shared" si="7"/>
        <v>0</v>
      </c>
      <c r="F13" s="77">
        <f t="shared" si="7"/>
        <v>0</v>
      </c>
      <c r="G13" s="77">
        <f t="shared" si="7"/>
        <v>0</v>
      </c>
      <c r="H13" s="77">
        <f t="shared" si="7"/>
        <v>0</v>
      </c>
      <c r="I13" s="77">
        <f t="shared" si="7"/>
        <v>0</v>
      </c>
      <c r="J13" s="77">
        <f t="shared" si="7"/>
        <v>0</v>
      </c>
      <c r="K13" s="77">
        <f t="shared" si="7"/>
        <v>0</v>
      </c>
      <c r="L13" s="77">
        <f>IF(EXACT(batt_repl_kw_year,L2), IF(AND(ISNUMBER(outYear),ISNUMBER(batt_repl_cost_kw)),(batt_kw * batt_repl_cost_kw)*(1+inflation_rate/100+escalation_rate/100)^K2,""), 0)</f>
        <v>59754.62843111554</v>
      </c>
      <c r="M13" s="77">
        <f t="shared" si="7"/>
        <v>0</v>
      </c>
      <c r="N13" s="77">
        <f t="shared" si="7"/>
        <v>0</v>
      </c>
      <c r="O13" s="77">
        <f t="shared" si="7"/>
        <v>0</v>
      </c>
      <c r="P13" s="77">
        <f t="shared" si="7"/>
        <v>0</v>
      </c>
      <c r="Q13" s="77">
        <f t="shared" si="7"/>
        <v>0</v>
      </c>
      <c r="R13" s="77">
        <f t="shared" si="7"/>
        <v>0</v>
      </c>
      <c r="S13" s="77">
        <f t="shared" si="7"/>
        <v>0</v>
      </c>
      <c r="T13" s="77">
        <f t="shared" si="7"/>
        <v>0</v>
      </c>
      <c r="U13" s="77">
        <f t="shared" si="7"/>
        <v>0</v>
      </c>
      <c r="V13" s="77">
        <f t="shared" si="7"/>
        <v>0</v>
      </c>
      <c r="W13" s="77">
        <f t="shared" si="7"/>
        <v>0</v>
      </c>
      <c r="X13" s="77">
        <f t="shared" si="7"/>
        <v>0</v>
      </c>
      <c r="Y13" s="77">
        <f t="shared" si="7"/>
        <v>0</v>
      </c>
      <c r="Z13" s="77">
        <f t="shared" si="7"/>
        <v>0</v>
      </c>
      <c r="AA13" s="77">
        <f t="shared" si="7"/>
        <v>0</v>
      </c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</row>
    <row r="14" spans="1:102" s="2" customFormat="1" x14ac:dyDescent="0.2">
      <c r="A14" s="63" t="s">
        <v>90</v>
      </c>
      <c r="B14" s="16"/>
      <c r="C14" s="77">
        <f t="shared" ref="C14:AA14" si="8">IF(EXACT(batt_repl_year_kwh, C2), IF(AND(ISNUMBER(outYear),ISNUMBER(batt_repl_cost_kwh)),(batt_kwh * batt_repl_cost_kwh)*(1+inflation_rate/100+escalation_rate/100)^B3,""), 0)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>IF(EXACT(batt_repl_year_kwh, L2), IF(AND(ISNUMBER(outYear),ISNUMBER(batt_repl_cost_kwh)),(batt_kwh * batt_repl_cost_kwh)*(1+inflation_rate/100+escalation_rate/100)^K2,""), 0)</f>
        <v>29877.31421555777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</row>
    <row r="15" spans="1:102" s="2" customFormat="1" x14ac:dyDescent="0.2">
      <c r="A15" s="68" t="s">
        <v>24</v>
      </c>
      <c r="B15" s="67"/>
      <c r="C15" s="78">
        <f>IF(ISNUMBER(outYear),SUM(C12:C14),"")</f>
        <v>4391.72</v>
      </c>
      <c r="D15" s="78">
        <f t="shared" ref="D15:AA15" si="9">IF(ISNUMBER(outYear),SUM(D12:D14),"")</f>
        <v>4479.5544</v>
      </c>
      <c r="E15" s="78">
        <f t="shared" si="9"/>
        <v>4569.1454880000001</v>
      </c>
      <c r="F15" s="78">
        <f t="shared" si="9"/>
        <v>4660.5283977600002</v>
      </c>
      <c r="G15" s="78">
        <f t="shared" si="9"/>
        <v>4753.7389657151998</v>
      </c>
      <c r="H15" s="78">
        <f t="shared" si="9"/>
        <v>4848.8137450295044</v>
      </c>
      <c r="I15" s="78">
        <f t="shared" si="9"/>
        <v>4945.7900199300948</v>
      </c>
      <c r="J15" s="78">
        <f t="shared" si="9"/>
        <v>5044.7058203286961</v>
      </c>
      <c r="K15" s="78">
        <f t="shared" si="9"/>
        <v>5145.5999367352697</v>
      </c>
      <c r="L15" s="78">
        <f t="shared" si="9"/>
        <v>94880.454582143284</v>
      </c>
      <c r="M15" s="78">
        <f t="shared" si="9"/>
        <v>5353.4821741793758</v>
      </c>
      <c r="N15" s="78">
        <f t="shared" si="9"/>
        <v>5460.5518176629621</v>
      </c>
      <c r="O15" s="78">
        <f t="shared" si="9"/>
        <v>5569.7628540162214</v>
      </c>
      <c r="P15" s="78">
        <f t="shared" si="9"/>
        <v>5681.1581110965462</v>
      </c>
      <c r="Q15" s="78">
        <f t="shared" si="9"/>
        <v>5794.7812733184765</v>
      </c>
      <c r="R15" s="78">
        <f t="shared" si="9"/>
        <v>5910.6768987848445</v>
      </c>
      <c r="S15" s="78">
        <f t="shared" si="9"/>
        <v>6028.8904367605428</v>
      </c>
      <c r="T15" s="78">
        <f t="shared" si="9"/>
        <v>6149.4682454957547</v>
      </c>
      <c r="U15" s="78">
        <f t="shared" si="9"/>
        <v>6272.4576104056687</v>
      </c>
      <c r="V15" s="78">
        <f t="shared" si="9"/>
        <v>6397.9067626137821</v>
      </c>
      <c r="W15" s="78">
        <f t="shared" si="9"/>
        <v>6525.8648978660585</v>
      </c>
      <c r="X15" s="78">
        <f t="shared" si="9"/>
        <v>6656.3821958233793</v>
      </c>
      <c r="Y15" s="78">
        <f t="shared" si="9"/>
        <v>6789.5098397398469</v>
      </c>
      <c r="Z15" s="78">
        <f t="shared" si="9"/>
        <v>6925.3000365346425</v>
      </c>
      <c r="AA15" s="78">
        <f t="shared" si="9"/>
        <v>7063.8060372653363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75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10">IF(ISNUMBER(outYear),IF(FederalDepreciation&lt;&gt;"N/A",C15,0),"")</f>
        <v>4391.72</v>
      </c>
      <c r="D18" s="77">
        <f t="shared" si="10"/>
        <v>4479.5544</v>
      </c>
      <c r="E18" s="77">
        <f t="shared" si="10"/>
        <v>4569.1454880000001</v>
      </c>
      <c r="F18" s="77">
        <f t="shared" si="10"/>
        <v>4660.5283977600002</v>
      </c>
      <c r="G18" s="77">
        <f t="shared" si="10"/>
        <v>4753.7389657151998</v>
      </c>
      <c r="H18" s="77">
        <f t="shared" si="10"/>
        <v>4848.8137450295044</v>
      </c>
      <c r="I18" s="77">
        <f t="shared" si="10"/>
        <v>4945.7900199300948</v>
      </c>
      <c r="J18" s="77">
        <f t="shared" si="10"/>
        <v>5044.7058203286961</v>
      </c>
      <c r="K18" s="77">
        <f t="shared" si="10"/>
        <v>5145.5999367352697</v>
      </c>
      <c r="L18" s="77">
        <f t="shared" si="10"/>
        <v>94880.454582143284</v>
      </c>
      <c r="M18" s="77">
        <f t="shared" si="10"/>
        <v>5353.4821741793758</v>
      </c>
      <c r="N18" s="77">
        <f t="shared" si="10"/>
        <v>5460.5518176629621</v>
      </c>
      <c r="O18" s="77">
        <f t="shared" si="10"/>
        <v>5569.7628540162214</v>
      </c>
      <c r="P18" s="77">
        <f t="shared" si="10"/>
        <v>5681.1581110965462</v>
      </c>
      <c r="Q18" s="77">
        <f t="shared" si="10"/>
        <v>5794.7812733184765</v>
      </c>
      <c r="R18" s="77">
        <f t="shared" si="10"/>
        <v>5910.6768987848445</v>
      </c>
      <c r="S18" s="77">
        <f t="shared" si="10"/>
        <v>6028.8904367605428</v>
      </c>
      <c r="T18" s="77">
        <f t="shared" si="10"/>
        <v>6149.4682454957547</v>
      </c>
      <c r="U18" s="77">
        <f t="shared" si="10"/>
        <v>6272.4576104056687</v>
      </c>
      <c r="V18" s="77">
        <f t="shared" si="10"/>
        <v>6397.9067626137821</v>
      </c>
      <c r="W18" s="77">
        <f t="shared" si="10"/>
        <v>6525.8648978660585</v>
      </c>
      <c r="X18" s="77">
        <f t="shared" si="10"/>
        <v>6656.3821958233793</v>
      </c>
      <c r="Y18" s="77">
        <f t="shared" si="10"/>
        <v>6789.5098397398469</v>
      </c>
      <c r="Z18" s="77">
        <f t="shared" si="10"/>
        <v>6925.3000365346425</v>
      </c>
      <c r="AA18" s="77">
        <f t="shared" si="10"/>
        <v>7063.8060372653363</v>
      </c>
      <c r="AB18" s="77" t="str">
        <f t="shared" si="10"/>
        <v/>
      </c>
      <c r="AC18" s="77" t="str">
        <f t="shared" si="10"/>
        <v/>
      </c>
      <c r="AD18" s="77" t="str">
        <f t="shared" si="10"/>
        <v/>
      </c>
      <c r="AE18" s="77" t="str">
        <f t="shared" si="10"/>
        <v/>
      </c>
      <c r="AF18" s="77" t="str">
        <f t="shared" si="10"/>
        <v/>
      </c>
      <c r="AG18" s="77" t="str">
        <f t="shared" si="10"/>
        <v/>
      </c>
      <c r="AH18" s="77" t="str">
        <f t="shared" si="10"/>
        <v/>
      </c>
      <c r="AI18" s="77" t="str">
        <f t="shared" ref="AI18:BN18" si="11">IF(ISNUMBER(outYear),IF(FederalDepreciation&lt;&gt;"N/A",AI15,0),"")</f>
        <v/>
      </c>
      <c r="AJ18" s="77" t="str">
        <f t="shared" si="11"/>
        <v/>
      </c>
      <c r="AK18" s="77" t="str">
        <f t="shared" si="11"/>
        <v/>
      </c>
      <c r="AL18" s="77" t="str">
        <f t="shared" si="11"/>
        <v/>
      </c>
      <c r="AM18" s="77" t="str">
        <f t="shared" si="11"/>
        <v/>
      </c>
      <c r="AN18" s="77" t="str">
        <f t="shared" si="11"/>
        <v/>
      </c>
      <c r="AO18" s="77" t="str">
        <f t="shared" si="11"/>
        <v/>
      </c>
      <c r="AP18" s="77" t="str">
        <f t="shared" si="11"/>
        <v/>
      </c>
      <c r="AQ18" s="77" t="str">
        <f t="shared" si="11"/>
        <v/>
      </c>
      <c r="AR18" s="77" t="str">
        <f t="shared" si="11"/>
        <v/>
      </c>
      <c r="AS18" s="77" t="str">
        <f t="shared" si="11"/>
        <v/>
      </c>
      <c r="AT18" s="77" t="str">
        <f t="shared" si="11"/>
        <v/>
      </c>
      <c r="AU18" s="77" t="str">
        <f t="shared" si="11"/>
        <v/>
      </c>
      <c r="AV18" s="77" t="str">
        <f t="shared" si="11"/>
        <v/>
      </c>
      <c r="AW18" s="77" t="str">
        <f t="shared" si="11"/>
        <v/>
      </c>
      <c r="AX18" s="77" t="str">
        <f t="shared" si="11"/>
        <v/>
      </c>
      <c r="AY18" s="77" t="str">
        <f t="shared" si="11"/>
        <v/>
      </c>
      <c r="AZ18" s="77" t="str">
        <f t="shared" si="11"/>
        <v/>
      </c>
      <c r="BA18" s="77" t="str">
        <f t="shared" si="11"/>
        <v/>
      </c>
      <c r="BB18" s="77" t="str">
        <f t="shared" si="11"/>
        <v/>
      </c>
      <c r="BC18" s="77" t="str">
        <f t="shared" si="11"/>
        <v/>
      </c>
      <c r="BD18" s="77" t="str">
        <f t="shared" si="11"/>
        <v/>
      </c>
      <c r="BE18" s="77" t="str">
        <f t="shared" si="11"/>
        <v/>
      </c>
      <c r="BF18" s="77" t="str">
        <f t="shared" si="11"/>
        <v/>
      </c>
      <c r="BG18" s="77" t="str">
        <f t="shared" si="11"/>
        <v/>
      </c>
      <c r="BH18" s="77" t="str">
        <f t="shared" si="11"/>
        <v/>
      </c>
      <c r="BI18" s="77" t="str">
        <f t="shared" si="11"/>
        <v/>
      </c>
      <c r="BJ18" s="77" t="str">
        <f t="shared" si="11"/>
        <v/>
      </c>
      <c r="BK18" s="77" t="str">
        <f t="shared" si="11"/>
        <v/>
      </c>
      <c r="BL18" s="77" t="str">
        <f t="shared" si="11"/>
        <v/>
      </c>
      <c r="BM18" s="77" t="str">
        <f t="shared" si="11"/>
        <v/>
      </c>
      <c r="BN18" s="77" t="str">
        <f t="shared" si="11"/>
        <v/>
      </c>
      <c r="BO18" s="77" t="str">
        <f t="shared" ref="BO18:CX18" si="12">IF(ISNUMBER(outYear),IF(FederalDepreciation&lt;&gt;"N/A",BO15,0),"")</f>
        <v/>
      </c>
      <c r="BP18" s="77" t="str">
        <f t="shared" si="12"/>
        <v/>
      </c>
      <c r="BQ18" s="77" t="str">
        <f t="shared" si="12"/>
        <v/>
      </c>
      <c r="BR18" s="77" t="str">
        <f t="shared" si="12"/>
        <v/>
      </c>
      <c r="BS18" s="77" t="str">
        <f t="shared" si="12"/>
        <v/>
      </c>
      <c r="BT18" s="77" t="str">
        <f t="shared" si="12"/>
        <v/>
      </c>
      <c r="BU18" s="77" t="str">
        <f t="shared" si="12"/>
        <v/>
      </c>
      <c r="BV18" s="77" t="str">
        <f t="shared" si="12"/>
        <v/>
      </c>
      <c r="BW18" s="77" t="str">
        <f t="shared" si="12"/>
        <v/>
      </c>
      <c r="BX18" s="77" t="str">
        <f t="shared" si="12"/>
        <v/>
      </c>
      <c r="BY18" s="77" t="str">
        <f t="shared" si="12"/>
        <v/>
      </c>
      <c r="BZ18" s="77" t="str">
        <f t="shared" si="12"/>
        <v/>
      </c>
      <c r="CA18" s="77" t="str">
        <f t="shared" si="12"/>
        <v/>
      </c>
      <c r="CB18" s="77" t="str">
        <f t="shared" si="12"/>
        <v/>
      </c>
      <c r="CC18" s="77" t="str">
        <f t="shared" si="12"/>
        <v/>
      </c>
      <c r="CD18" s="77" t="str">
        <f t="shared" si="12"/>
        <v/>
      </c>
      <c r="CE18" s="77" t="str">
        <f t="shared" si="12"/>
        <v/>
      </c>
      <c r="CF18" s="77" t="str">
        <f t="shared" si="12"/>
        <v/>
      </c>
      <c r="CG18" s="77" t="str">
        <f t="shared" si="12"/>
        <v/>
      </c>
      <c r="CH18" s="77" t="str">
        <f t="shared" si="12"/>
        <v/>
      </c>
      <c r="CI18" s="77" t="str">
        <f t="shared" si="12"/>
        <v/>
      </c>
      <c r="CJ18" s="77" t="str">
        <f t="shared" si="12"/>
        <v/>
      </c>
      <c r="CK18" s="77" t="str">
        <f t="shared" si="12"/>
        <v/>
      </c>
      <c r="CL18" s="77" t="str">
        <f t="shared" si="12"/>
        <v/>
      </c>
      <c r="CM18" s="77" t="str">
        <f t="shared" si="12"/>
        <v/>
      </c>
      <c r="CN18" s="77" t="str">
        <f t="shared" si="12"/>
        <v/>
      </c>
      <c r="CO18" s="77" t="str">
        <f t="shared" si="12"/>
        <v/>
      </c>
      <c r="CP18" s="77" t="str">
        <f t="shared" si="12"/>
        <v/>
      </c>
      <c r="CQ18" s="77" t="str">
        <f t="shared" si="12"/>
        <v/>
      </c>
      <c r="CR18" s="77" t="str">
        <f t="shared" si="12"/>
        <v/>
      </c>
      <c r="CS18" s="77" t="str">
        <f t="shared" si="12"/>
        <v/>
      </c>
      <c r="CT18" s="77" t="str">
        <f t="shared" si="12"/>
        <v/>
      </c>
      <c r="CU18" s="77" t="str">
        <f t="shared" si="12"/>
        <v/>
      </c>
      <c r="CV18" s="77" t="str">
        <f t="shared" si="12"/>
        <v/>
      </c>
      <c r="CW18" s="77" t="str">
        <f t="shared" si="12"/>
        <v/>
      </c>
      <c r="CX18" s="77" t="str">
        <f t="shared" si="12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7" t="s">
        <v>76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40"/>
      <c r="CL20" s="140"/>
      <c r="CM20" s="140"/>
      <c r="CN20" s="140"/>
      <c r="CO20" s="140"/>
      <c r="CP20" s="140"/>
      <c r="CQ20" s="140"/>
      <c r="CR20" s="140"/>
      <c r="CS20" s="140"/>
      <c r="CT20" s="140"/>
      <c r="CU20" s="140"/>
      <c r="CV20" s="140"/>
      <c r="CW20" s="140"/>
      <c r="CX20" s="141"/>
    </row>
    <row r="21" spans="1:102" s="2" customFormat="1" x14ac:dyDescent="0.2">
      <c r="A21" s="134" t="s">
        <v>63</v>
      </c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6"/>
    </row>
    <row r="22" spans="1:102" s="2" customFormat="1" x14ac:dyDescent="0.2">
      <c r="A22" s="138" t="s">
        <v>59</v>
      </c>
      <c r="B22" s="143">
        <f>total_installed_cost-B37-B42</f>
        <v>542718</v>
      </c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6"/>
    </row>
    <row r="23" spans="1:102" s="2" customFormat="1" x14ac:dyDescent="0.2">
      <c r="A23" s="138" t="s">
        <v>62</v>
      </c>
      <c r="B23" s="145">
        <f>B22*debt_fraction/100</f>
        <v>0</v>
      </c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6"/>
    </row>
    <row r="24" spans="1:102" s="2" customFormat="1" x14ac:dyDescent="0.2">
      <c r="A24" s="138" t="s">
        <v>33</v>
      </c>
      <c r="B24" s="143">
        <f>B22-B23</f>
        <v>542718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6"/>
    </row>
    <row r="25" spans="1:102" s="2" customFormat="1" x14ac:dyDescent="0.2">
      <c r="A25" s="134" t="s">
        <v>64</v>
      </c>
      <c r="B25" s="143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6"/>
    </row>
    <row r="26" spans="1:102" s="2" customFormat="1" x14ac:dyDescent="0.2">
      <c r="A26" s="138" t="s">
        <v>65</v>
      </c>
      <c r="B26" s="143"/>
      <c r="C26" s="143">
        <f>IF(loan_term=0, 0, B23)</f>
        <v>0</v>
      </c>
      <c r="D26" s="143">
        <f t="shared" ref="D26:AA26" si="13">IF(ISNUMBER(outYear),C26-C28,"")</f>
        <v>0</v>
      </c>
      <c r="E26" s="152">
        <f t="shared" si="13"/>
        <v>0</v>
      </c>
      <c r="F26" s="152">
        <f t="shared" si="13"/>
        <v>0</v>
      </c>
      <c r="G26" s="152">
        <f t="shared" si="13"/>
        <v>0</v>
      </c>
      <c r="H26" s="152">
        <f t="shared" si="13"/>
        <v>0</v>
      </c>
      <c r="I26" s="152">
        <f t="shared" si="13"/>
        <v>0</v>
      </c>
      <c r="J26" s="152">
        <f t="shared" si="13"/>
        <v>0</v>
      </c>
      <c r="K26" s="152">
        <f t="shared" si="13"/>
        <v>0</v>
      </c>
      <c r="L26" s="152">
        <f t="shared" si="13"/>
        <v>0</v>
      </c>
      <c r="M26" s="152">
        <f t="shared" si="13"/>
        <v>0</v>
      </c>
      <c r="N26" s="152">
        <f t="shared" si="13"/>
        <v>0</v>
      </c>
      <c r="O26" s="152">
        <f t="shared" si="13"/>
        <v>0</v>
      </c>
      <c r="P26" s="152">
        <f t="shared" si="13"/>
        <v>0</v>
      </c>
      <c r="Q26" s="152">
        <f t="shared" si="13"/>
        <v>0</v>
      </c>
      <c r="R26" s="152">
        <f t="shared" si="13"/>
        <v>0</v>
      </c>
      <c r="S26" s="152">
        <f t="shared" si="13"/>
        <v>0</v>
      </c>
      <c r="T26" s="152">
        <f t="shared" si="13"/>
        <v>0</v>
      </c>
      <c r="U26" s="152">
        <f t="shared" si="13"/>
        <v>0</v>
      </c>
      <c r="V26" s="152">
        <f t="shared" si="13"/>
        <v>0</v>
      </c>
      <c r="W26" s="152">
        <f t="shared" si="13"/>
        <v>0</v>
      </c>
      <c r="X26" s="152">
        <f t="shared" si="13"/>
        <v>0</v>
      </c>
      <c r="Y26" s="152">
        <f t="shared" si="13"/>
        <v>0</v>
      </c>
      <c r="Z26" s="152">
        <f t="shared" si="13"/>
        <v>0</v>
      </c>
      <c r="AA26" s="152">
        <f t="shared" si="13"/>
        <v>0</v>
      </c>
      <c r="AB26" s="143" t="s">
        <v>95</v>
      </c>
      <c r="AC26" s="143" t="s">
        <v>95</v>
      </c>
      <c r="AD26" s="143" t="s">
        <v>95</v>
      </c>
      <c r="AE26" s="143" t="s">
        <v>95</v>
      </c>
      <c r="AF26" s="143" t="s">
        <v>95</v>
      </c>
      <c r="AG26" s="143" t="s">
        <v>95</v>
      </c>
      <c r="AH26" s="143" t="s">
        <v>95</v>
      </c>
      <c r="AI26" s="143" t="s">
        <v>95</v>
      </c>
      <c r="AJ26" s="143" t="s">
        <v>95</v>
      </c>
      <c r="AK26" s="143" t="s">
        <v>95</v>
      </c>
      <c r="AL26" s="143" t="s">
        <v>95</v>
      </c>
      <c r="AM26" s="143" t="s">
        <v>95</v>
      </c>
      <c r="AN26" s="143" t="s">
        <v>95</v>
      </c>
      <c r="AO26" s="143" t="s">
        <v>95</v>
      </c>
      <c r="AP26" s="143" t="s">
        <v>95</v>
      </c>
      <c r="AQ26" s="143" t="s">
        <v>95</v>
      </c>
      <c r="AR26" s="143" t="s">
        <v>95</v>
      </c>
      <c r="AS26" s="143" t="s">
        <v>95</v>
      </c>
      <c r="AT26" s="143" t="s">
        <v>95</v>
      </c>
      <c r="AU26" s="143" t="s">
        <v>95</v>
      </c>
      <c r="AV26" s="143" t="s">
        <v>95</v>
      </c>
      <c r="AW26" s="143" t="s">
        <v>95</v>
      </c>
      <c r="AX26" s="143" t="s">
        <v>95</v>
      </c>
      <c r="AY26" s="143" t="s">
        <v>95</v>
      </c>
      <c r="AZ26" s="143" t="s">
        <v>95</v>
      </c>
      <c r="BA26" s="143" t="s">
        <v>95</v>
      </c>
      <c r="BB26" s="143" t="s">
        <v>95</v>
      </c>
      <c r="BC26" s="143" t="s">
        <v>95</v>
      </c>
      <c r="BD26" s="143" t="s">
        <v>95</v>
      </c>
      <c r="BE26" s="143" t="s">
        <v>95</v>
      </c>
      <c r="BF26" s="143" t="s">
        <v>95</v>
      </c>
      <c r="BG26" s="143" t="s">
        <v>95</v>
      </c>
      <c r="BH26" s="143" t="s">
        <v>95</v>
      </c>
      <c r="BI26" s="143" t="s">
        <v>95</v>
      </c>
      <c r="BJ26" s="143" t="s">
        <v>95</v>
      </c>
      <c r="BK26" s="143" t="s">
        <v>95</v>
      </c>
      <c r="BL26" s="143" t="s">
        <v>95</v>
      </c>
      <c r="BM26" s="143" t="s">
        <v>95</v>
      </c>
      <c r="BN26" s="143" t="s">
        <v>95</v>
      </c>
      <c r="BO26" s="143" t="s">
        <v>95</v>
      </c>
      <c r="BP26" s="143" t="s">
        <v>95</v>
      </c>
      <c r="BQ26" s="143" t="s">
        <v>95</v>
      </c>
      <c r="BR26" s="143" t="s">
        <v>95</v>
      </c>
      <c r="BS26" s="143" t="s">
        <v>95</v>
      </c>
      <c r="BT26" s="143" t="s">
        <v>95</v>
      </c>
      <c r="BU26" s="143" t="s">
        <v>95</v>
      </c>
      <c r="BV26" s="143" t="s">
        <v>95</v>
      </c>
      <c r="BW26" s="143" t="s">
        <v>95</v>
      </c>
      <c r="BX26" s="143" t="s">
        <v>95</v>
      </c>
      <c r="BY26" s="143" t="s">
        <v>95</v>
      </c>
      <c r="BZ26" s="143" t="s">
        <v>95</v>
      </c>
      <c r="CA26" s="143" t="s">
        <v>95</v>
      </c>
      <c r="CB26" s="143" t="s">
        <v>95</v>
      </c>
      <c r="CC26" s="143" t="s">
        <v>95</v>
      </c>
      <c r="CD26" s="143" t="s">
        <v>95</v>
      </c>
      <c r="CE26" s="143" t="s">
        <v>95</v>
      </c>
      <c r="CF26" s="143" t="s">
        <v>95</v>
      </c>
      <c r="CG26" s="143" t="s">
        <v>95</v>
      </c>
      <c r="CH26" s="143" t="s">
        <v>95</v>
      </c>
      <c r="CI26" s="143" t="s">
        <v>95</v>
      </c>
      <c r="CJ26" s="143" t="s">
        <v>95</v>
      </c>
      <c r="CK26" s="143" t="s">
        <v>95</v>
      </c>
      <c r="CL26" s="143" t="s">
        <v>95</v>
      </c>
      <c r="CM26" s="143" t="s">
        <v>95</v>
      </c>
      <c r="CN26" s="143" t="s">
        <v>95</v>
      </c>
      <c r="CO26" s="143" t="s">
        <v>95</v>
      </c>
      <c r="CP26" s="143" t="s">
        <v>95</v>
      </c>
      <c r="CQ26" s="143" t="s">
        <v>95</v>
      </c>
      <c r="CR26" s="143" t="s">
        <v>95</v>
      </c>
      <c r="CS26" s="143" t="s">
        <v>95</v>
      </c>
      <c r="CT26" s="143" t="s">
        <v>95</v>
      </c>
      <c r="CU26" s="143" t="s">
        <v>95</v>
      </c>
      <c r="CV26" s="143" t="s">
        <v>95</v>
      </c>
      <c r="CW26" s="143" t="s">
        <v>95</v>
      </c>
      <c r="CX26" s="143" t="s">
        <v>95</v>
      </c>
    </row>
    <row r="27" spans="1:102" s="2" customFormat="1" x14ac:dyDescent="0.2">
      <c r="A27" s="138" t="s">
        <v>66</v>
      </c>
      <c r="B27" s="135"/>
      <c r="C27" s="143">
        <f t="shared" ref="C27:AA27" si="14">IF(ISNUMBER(outYear),IF(outYear&gt;loan_term,0,C26*loan_rate/100),"")</f>
        <v>0</v>
      </c>
      <c r="D27" s="152">
        <f t="shared" si="14"/>
        <v>0</v>
      </c>
      <c r="E27" s="152">
        <f t="shared" si="14"/>
        <v>0</v>
      </c>
      <c r="F27" s="152">
        <f t="shared" si="14"/>
        <v>0</v>
      </c>
      <c r="G27" s="152">
        <f t="shared" si="14"/>
        <v>0</v>
      </c>
      <c r="H27" s="152">
        <f t="shared" si="14"/>
        <v>0</v>
      </c>
      <c r="I27" s="152">
        <f t="shared" si="14"/>
        <v>0</v>
      </c>
      <c r="J27" s="152">
        <f t="shared" si="14"/>
        <v>0</v>
      </c>
      <c r="K27" s="152">
        <f t="shared" si="14"/>
        <v>0</v>
      </c>
      <c r="L27" s="152">
        <f t="shared" si="14"/>
        <v>0</v>
      </c>
      <c r="M27" s="152">
        <f t="shared" si="14"/>
        <v>0</v>
      </c>
      <c r="N27" s="152">
        <f t="shared" si="14"/>
        <v>0</v>
      </c>
      <c r="O27" s="152">
        <f t="shared" si="14"/>
        <v>0</v>
      </c>
      <c r="P27" s="152">
        <f t="shared" si="14"/>
        <v>0</v>
      </c>
      <c r="Q27" s="152">
        <f t="shared" si="14"/>
        <v>0</v>
      </c>
      <c r="R27" s="152">
        <f t="shared" si="14"/>
        <v>0</v>
      </c>
      <c r="S27" s="152">
        <f t="shared" si="14"/>
        <v>0</v>
      </c>
      <c r="T27" s="152">
        <f t="shared" si="14"/>
        <v>0</v>
      </c>
      <c r="U27" s="152">
        <f t="shared" si="14"/>
        <v>0</v>
      </c>
      <c r="V27" s="152">
        <f t="shared" si="14"/>
        <v>0</v>
      </c>
      <c r="W27" s="152">
        <f t="shared" si="14"/>
        <v>0</v>
      </c>
      <c r="X27" s="152">
        <f t="shared" si="14"/>
        <v>0</v>
      </c>
      <c r="Y27" s="152">
        <f t="shared" si="14"/>
        <v>0</v>
      </c>
      <c r="Z27" s="152">
        <f t="shared" si="14"/>
        <v>0</v>
      </c>
      <c r="AA27" s="152">
        <f t="shared" si="14"/>
        <v>0</v>
      </c>
      <c r="AB27" s="143" t="s">
        <v>95</v>
      </c>
      <c r="AC27" s="143" t="s">
        <v>95</v>
      </c>
      <c r="AD27" s="143" t="s">
        <v>95</v>
      </c>
      <c r="AE27" s="143" t="s">
        <v>95</v>
      </c>
      <c r="AF27" s="143" t="s">
        <v>95</v>
      </c>
      <c r="AG27" s="143" t="s">
        <v>95</v>
      </c>
      <c r="AH27" s="143" t="s">
        <v>95</v>
      </c>
      <c r="AI27" s="143" t="s">
        <v>95</v>
      </c>
      <c r="AJ27" s="143" t="s">
        <v>95</v>
      </c>
      <c r="AK27" s="143" t="s">
        <v>95</v>
      </c>
      <c r="AL27" s="143" t="s">
        <v>95</v>
      </c>
      <c r="AM27" s="143" t="s">
        <v>95</v>
      </c>
      <c r="AN27" s="143" t="s">
        <v>95</v>
      </c>
      <c r="AO27" s="143" t="s">
        <v>95</v>
      </c>
      <c r="AP27" s="143" t="s">
        <v>95</v>
      </c>
      <c r="AQ27" s="143" t="s">
        <v>95</v>
      </c>
      <c r="AR27" s="143" t="s">
        <v>95</v>
      </c>
      <c r="AS27" s="143" t="s">
        <v>95</v>
      </c>
      <c r="AT27" s="143" t="s">
        <v>95</v>
      </c>
      <c r="AU27" s="143" t="s">
        <v>95</v>
      </c>
      <c r="AV27" s="143" t="s">
        <v>95</v>
      </c>
      <c r="AW27" s="143" t="s">
        <v>95</v>
      </c>
      <c r="AX27" s="143" t="s">
        <v>95</v>
      </c>
      <c r="AY27" s="143" t="s">
        <v>95</v>
      </c>
      <c r="AZ27" s="143" t="s">
        <v>95</v>
      </c>
      <c r="BA27" s="143" t="s">
        <v>95</v>
      </c>
      <c r="BB27" s="143" t="s">
        <v>95</v>
      </c>
      <c r="BC27" s="143" t="s">
        <v>95</v>
      </c>
      <c r="BD27" s="143" t="s">
        <v>95</v>
      </c>
      <c r="BE27" s="143" t="s">
        <v>95</v>
      </c>
      <c r="BF27" s="143" t="s">
        <v>95</v>
      </c>
      <c r="BG27" s="143" t="s">
        <v>95</v>
      </c>
      <c r="BH27" s="143" t="s">
        <v>95</v>
      </c>
      <c r="BI27" s="143" t="s">
        <v>95</v>
      </c>
      <c r="BJ27" s="143" t="s">
        <v>95</v>
      </c>
      <c r="BK27" s="143" t="s">
        <v>95</v>
      </c>
      <c r="BL27" s="143" t="s">
        <v>95</v>
      </c>
      <c r="BM27" s="143" t="s">
        <v>95</v>
      </c>
      <c r="BN27" s="143" t="s">
        <v>95</v>
      </c>
      <c r="BO27" s="143" t="s">
        <v>95</v>
      </c>
      <c r="BP27" s="143" t="s">
        <v>95</v>
      </c>
      <c r="BQ27" s="143" t="s">
        <v>95</v>
      </c>
      <c r="BR27" s="143" t="s">
        <v>95</v>
      </c>
      <c r="BS27" s="143" t="s">
        <v>95</v>
      </c>
      <c r="BT27" s="143" t="s">
        <v>95</v>
      </c>
      <c r="BU27" s="143" t="s">
        <v>95</v>
      </c>
      <c r="BV27" s="143" t="s">
        <v>95</v>
      </c>
      <c r="BW27" s="143" t="s">
        <v>95</v>
      </c>
      <c r="BX27" s="143" t="s">
        <v>95</v>
      </c>
      <c r="BY27" s="143" t="s">
        <v>95</v>
      </c>
      <c r="BZ27" s="143" t="s">
        <v>95</v>
      </c>
      <c r="CA27" s="143" t="s">
        <v>95</v>
      </c>
      <c r="CB27" s="143" t="s">
        <v>95</v>
      </c>
      <c r="CC27" s="143" t="s">
        <v>95</v>
      </c>
      <c r="CD27" s="143" t="s">
        <v>95</v>
      </c>
      <c r="CE27" s="143" t="s">
        <v>95</v>
      </c>
      <c r="CF27" s="143" t="s">
        <v>95</v>
      </c>
      <c r="CG27" s="143" t="s">
        <v>95</v>
      </c>
      <c r="CH27" s="143" t="s">
        <v>95</v>
      </c>
      <c r="CI27" s="143" t="s">
        <v>95</v>
      </c>
      <c r="CJ27" s="143" t="s">
        <v>95</v>
      </c>
      <c r="CK27" s="143" t="s">
        <v>95</v>
      </c>
      <c r="CL27" s="143" t="s">
        <v>95</v>
      </c>
      <c r="CM27" s="143" t="s">
        <v>95</v>
      </c>
      <c r="CN27" s="143" t="s">
        <v>95</v>
      </c>
      <c r="CO27" s="143" t="s">
        <v>95</v>
      </c>
      <c r="CP27" s="143" t="s">
        <v>95</v>
      </c>
      <c r="CQ27" s="143" t="s">
        <v>95</v>
      </c>
      <c r="CR27" s="143" t="s">
        <v>95</v>
      </c>
      <c r="CS27" s="143" t="s">
        <v>95</v>
      </c>
      <c r="CT27" s="143" t="s">
        <v>95</v>
      </c>
      <c r="CU27" s="143" t="s">
        <v>95</v>
      </c>
      <c r="CV27" s="143" t="s">
        <v>95</v>
      </c>
      <c r="CW27" s="143" t="s">
        <v>95</v>
      </c>
      <c r="CX27" s="143" t="s">
        <v>95</v>
      </c>
    </row>
    <row r="28" spans="1:102" s="2" customFormat="1" x14ac:dyDescent="0.2">
      <c r="A28" s="138" t="s">
        <v>68</v>
      </c>
      <c r="B28" s="135"/>
      <c r="C28" s="143">
        <f t="shared" ref="C28:AA28" si="15">IF(ISNUMBER(outYear),IF(outYear&gt;loan_term,0,-PPMT(loan_rate/100,outYear,loan_term,$B$23,0,0)),"")</f>
        <v>0</v>
      </c>
      <c r="D28" s="152">
        <f t="shared" si="15"/>
        <v>0</v>
      </c>
      <c r="E28" s="152">
        <f t="shared" si="15"/>
        <v>0</v>
      </c>
      <c r="F28" s="152">
        <f t="shared" si="15"/>
        <v>0</v>
      </c>
      <c r="G28" s="152">
        <f t="shared" si="15"/>
        <v>0</v>
      </c>
      <c r="H28" s="152">
        <f t="shared" si="15"/>
        <v>0</v>
      </c>
      <c r="I28" s="152">
        <f t="shared" si="15"/>
        <v>0</v>
      </c>
      <c r="J28" s="152">
        <f t="shared" si="15"/>
        <v>0</v>
      </c>
      <c r="K28" s="152">
        <f t="shared" si="15"/>
        <v>0</v>
      </c>
      <c r="L28" s="152">
        <f t="shared" si="15"/>
        <v>0</v>
      </c>
      <c r="M28" s="152">
        <f t="shared" si="15"/>
        <v>0</v>
      </c>
      <c r="N28" s="152">
        <f t="shared" si="15"/>
        <v>0</v>
      </c>
      <c r="O28" s="152">
        <f t="shared" si="15"/>
        <v>0</v>
      </c>
      <c r="P28" s="152">
        <f t="shared" si="15"/>
        <v>0</v>
      </c>
      <c r="Q28" s="152">
        <f t="shared" si="15"/>
        <v>0</v>
      </c>
      <c r="R28" s="152">
        <f t="shared" si="15"/>
        <v>0</v>
      </c>
      <c r="S28" s="152">
        <f t="shared" si="15"/>
        <v>0</v>
      </c>
      <c r="T28" s="152">
        <f t="shared" si="15"/>
        <v>0</v>
      </c>
      <c r="U28" s="152">
        <f t="shared" si="15"/>
        <v>0</v>
      </c>
      <c r="V28" s="152">
        <f t="shared" si="15"/>
        <v>0</v>
      </c>
      <c r="W28" s="152">
        <f t="shared" si="15"/>
        <v>0</v>
      </c>
      <c r="X28" s="152">
        <f t="shared" si="15"/>
        <v>0</v>
      </c>
      <c r="Y28" s="152">
        <f t="shared" si="15"/>
        <v>0</v>
      </c>
      <c r="Z28" s="152">
        <f t="shared" si="15"/>
        <v>0</v>
      </c>
      <c r="AA28" s="152">
        <f t="shared" si="15"/>
        <v>0</v>
      </c>
      <c r="AB28" s="143" t="s">
        <v>95</v>
      </c>
      <c r="AC28" s="143" t="s">
        <v>95</v>
      </c>
      <c r="AD28" s="143" t="s">
        <v>95</v>
      </c>
      <c r="AE28" s="143" t="s">
        <v>95</v>
      </c>
      <c r="AF28" s="143" t="s">
        <v>95</v>
      </c>
      <c r="AG28" s="143" t="s">
        <v>95</v>
      </c>
      <c r="AH28" s="143" t="s">
        <v>95</v>
      </c>
      <c r="AI28" s="143" t="s">
        <v>95</v>
      </c>
      <c r="AJ28" s="143" t="s">
        <v>95</v>
      </c>
      <c r="AK28" s="143" t="s">
        <v>95</v>
      </c>
      <c r="AL28" s="143" t="s">
        <v>95</v>
      </c>
      <c r="AM28" s="143" t="s">
        <v>95</v>
      </c>
      <c r="AN28" s="143" t="s">
        <v>95</v>
      </c>
      <c r="AO28" s="143" t="s">
        <v>95</v>
      </c>
      <c r="AP28" s="143" t="s">
        <v>95</v>
      </c>
      <c r="AQ28" s="143" t="s">
        <v>95</v>
      </c>
      <c r="AR28" s="143" t="s">
        <v>95</v>
      </c>
      <c r="AS28" s="143" t="s">
        <v>95</v>
      </c>
      <c r="AT28" s="143" t="s">
        <v>95</v>
      </c>
      <c r="AU28" s="143" t="s">
        <v>95</v>
      </c>
      <c r="AV28" s="143" t="s">
        <v>95</v>
      </c>
      <c r="AW28" s="143" t="s">
        <v>95</v>
      </c>
      <c r="AX28" s="143" t="s">
        <v>95</v>
      </c>
      <c r="AY28" s="143" t="s">
        <v>95</v>
      </c>
      <c r="AZ28" s="143" t="s">
        <v>95</v>
      </c>
      <c r="BA28" s="143" t="s">
        <v>95</v>
      </c>
      <c r="BB28" s="143" t="s">
        <v>95</v>
      </c>
      <c r="BC28" s="143" t="s">
        <v>95</v>
      </c>
      <c r="BD28" s="143" t="s">
        <v>95</v>
      </c>
      <c r="BE28" s="143" t="s">
        <v>95</v>
      </c>
      <c r="BF28" s="143" t="s">
        <v>95</v>
      </c>
      <c r="BG28" s="143" t="s">
        <v>95</v>
      </c>
      <c r="BH28" s="143" t="s">
        <v>95</v>
      </c>
      <c r="BI28" s="143" t="s">
        <v>95</v>
      </c>
      <c r="BJ28" s="143" t="s">
        <v>95</v>
      </c>
      <c r="BK28" s="143" t="s">
        <v>95</v>
      </c>
      <c r="BL28" s="143" t="s">
        <v>95</v>
      </c>
      <c r="BM28" s="143" t="s">
        <v>95</v>
      </c>
      <c r="BN28" s="143" t="s">
        <v>95</v>
      </c>
      <c r="BO28" s="143" t="s">
        <v>95</v>
      </c>
      <c r="BP28" s="143" t="s">
        <v>95</v>
      </c>
      <c r="BQ28" s="143" t="s">
        <v>95</v>
      </c>
      <c r="BR28" s="143" t="s">
        <v>95</v>
      </c>
      <c r="BS28" s="143" t="s">
        <v>95</v>
      </c>
      <c r="BT28" s="143" t="s">
        <v>95</v>
      </c>
      <c r="BU28" s="143" t="s">
        <v>95</v>
      </c>
      <c r="BV28" s="143" t="s">
        <v>95</v>
      </c>
      <c r="BW28" s="143" t="s">
        <v>95</v>
      </c>
      <c r="BX28" s="143" t="s">
        <v>95</v>
      </c>
      <c r="BY28" s="143" t="s">
        <v>95</v>
      </c>
      <c r="BZ28" s="143" t="s">
        <v>95</v>
      </c>
      <c r="CA28" s="143" t="s">
        <v>95</v>
      </c>
      <c r="CB28" s="143" t="s">
        <v>95</v>
      </c>
      <c r="CC28" s="143" t="s">
        <v>95</v>
      </c>
      <c r="CD28" s="143" t="s">
        <v>95</v>
      </c>
      <c r="CE28" s="143" t="s">
        <v>95</v>
      </c>
      <c r="CF28" s="143" t="s">
        <v>95</v>
      </c>
      <c r="CG28" s="143" t="s">
        <v>95</v>
      </c>
      <c r="CH28" s="143" t="s">
        <v>95</v>
      </c>
      <c r="CI28" s="143" t="s">
        <v>95</v>
      </c>
      <c r="CJ28" s="143" t="s">
        <v>95</v>
      </c>
      <c r="CK28" s="143" t="s">
        <v>95</v>
      </c>
      <c r="CL28" s="143" t="s">
        <v>95</v>
      </c>
      <c r="CM28" s="143" t="s">
        <v>95</v>
      </c>
      <c r="CN28" s="143" t="s">
        <v>95</v>
      </c>
      <c r="CO28" s="143" t="s">
        <v>95</v>
      </c>
      <c r="CP28" s="143" t="s">
        <v>95</v>
      </c>
      <c r="CQ28" s="143" t="s">
        <v>95</v>
      </c>
      <c r="CR28" s="143" t="s">
        <v>95</v>
      </c>
      <c r="CS28" s="143" t="s">
        <v>95</v>
      </c>
      <c r="CT28" s="143" t="s">
        <v>95</v>
      </c>
      <c r="CU28" s="143" t="s">
        <v>95</v>
      </c>
      <c r="CV28" s="143" t="s">
        <v>95</v>
      </c>
      <c r="CW28" s="143" t="s">
        <v>95</v>
      </c>
      <c r="CX28" s="143" t="s">
        <v>95</v>
      </c>
    </row>
    <row r="29" spans="1:102" s="2" customFormat="1" x14ac:dyDescent="0.2">
      <c r="A29" s="142" t="s">
        <v>67</v>
      </c>
      <c r="B29" s="139"/>
      <c r="C29" s="144">
        <f t="shared" ref="C29:AA29" si="16">IF(ISNUMBER(outYear),+C27+C28,"")</f>
        <v>0</v>
      </c>
      <c r="D29" s="153">
        <f t="shared" si="16"/>
        <v>0</v>
      </c>
      <c r="E29" s="153">
        <f t="shared" si="16"/>
        <v>0</v>
      </c>
      <c r="F29" s="153">
        <f t="shared" si="16"/>
        <v>0</v>
      </c>
      <c r="G29" s="153">
        <f t="shared" si="16"/>
        <v>0</v>
      </c>
      <c r="H29" s="153">
        <f t="shared" si="16"/>
        <v>0</v>
      </c>
      <c r="I29" s="153">
        <f t="shared" si="16"/>
        <v>0</v>
      </c>
      <c r="J29" s="153">
        <f t="shared" si="16"/>
        <v>0</v>
      </c>
      <c r="K29" s="153">
        <f t="shared" si="16"/>
        <v>0</v>
      </c>
      <c r="L29" s="153">
        <f t="shared" si="16"/>
        <v>0</v>
      </c>
      <c r="M29" s="153">
        <f t="shared" si="16"/>
        <v>0</v>
      </c>
      <c r="N29" s="153">
        <f t="shared" si="16"/>
        <v>0</v>
      </c>
      <c r="O29" s="153">
        <f t="shared" si="16"/>
        <v>0</v>
      </c>
      <c r="P29" s="153">
        <f t="shared" si="16"/>
        <v>0</v>
      </c>
      <c r="Q29" s="153">
        <f t="shared" si="16"/>
        <v>0</v>
      </c>
      <c r="R29" s="153">
        <f t="shared" si="16"/>
        <v>0</v>
      </c>
      <c r="S29" s="153">
        <f t="shared" si="16"/>
        <v>0</v>
      </c>
      <c r="T29" s="153">
        <f t="shared" si="16"/>
        <v>0</v>
      </c>
      <c r="U29" s="153">
        <f t="shared" si="16"/>
        <v>0</v>
      </c>
      <c r="V29" s="153">
        <f t="shared" si="16"/>
        <v>0</v>
      </c>
      <c r="W29" s="153">
        <f t="shared" si="16"/>
        <v>0</v>
      </c>
      <c r="X29" s="153">
        <f t="shared" si="16"/>
        <v>0</v>
      </c>
      <c r="Y29" s="153">
        <f t="shared" si="16"/>
        <v>0</v>
      </c>
      <c r="Z29" s="153">
        <f t="shared" si="16"/>
        <v>0</v>
      </c>
      <c r="AA29" s="153">
        <f t="shared" si="16"/>
        <v>0</v>
      </c>
      <c r="AB29" s="144" t="s">
        <v>95</v>
      </c>
      <c r="AC29" s="144" t="s">
        <v>95</v>
      </c>
      <c r="AD29" s="144" t="s">
        <v>95</v>
      </c>
      <c r="AE29" s="144" t="s">
        <v>95</v>
      </c>
      <c r="AF29" s="144" t="s">
        <v>95</v>
      </c>
      <c r="AG29" s="144" t="s">
        <v>95</v>
      </c>
      <c r="AH29" s="144" t="s">
        <v>95</v>
      </c>
      <c r="AI29" s="144" t="s">
        <v>95</v>
      </c>
      <c r="AJ29" s="144" t="s">
        <v>95</v>
      </c>
      <c r="AK29" s="144" t="s">
        <v>95</v>
      </c>
      <c r="AL29" s="144" t="s">
        <v>95</v>
      </c>
      <c r="AM29" s="144" t="s">
        <v>95</v>
      </c>
      <c r="AN29" s="144" t="s">
        <v>95</v>
      </c>
      <c r="AO29" s="144" t="s">
        <v>95</v>
      </c>
      <c r="AP29" s="144" t="s">
        <v>95</v>
      </c>
      <c r="AQ29" s="144" t="s">
        <v>95</v>
      </c>
      <c r="AR29" s="144" t="s">
        <v>95</v>
      </c>
      <c r="AS29" s="144" t="s">
        <v>95</v>
      </c>
      <c r="AT29" s="144" t="s">
        <v>95</v>
      </c>
      <c r="AU29" s="144" t="s">
        <v>95</v>
      </c>
      <c r="AV29" s="144" t="s">
        <v>95</v>
      </c>
      <c r="AW29" s="144" t="s">
        <v>95</v>
      </c>
      <c r="AX29" s="144" t="s">
        <v>95</v>
      </c>
      <c r="AY29" s="144" t="s">
        <v>95</v>
      </c>
      <c r="AZ29" s="144" t="s">
        <v>95</v>
      </c>
      <c r="BA29" s="144" t="s">
        <v>95</v>
      </c>
      <c r="BB29" s="144" t="s">
        <v>95</v>
      </c>
      <c r="BC29" s="144" t="s">
        <v>95</v>
      </c>
      <c r="BD29" s="144" t="s">
        <v>95</v>
      </c>
      <c r="BE29" s="144" t="s">
        <v>95</v>
      </c>
      <c r="BF29" s="144" t="s">
        <v>95</v>
      </c>
      <c r="BG29" s="144" t="s">
        <v>95</v>
      </c>
      <c r="BH29" s="144" t="s">
        <v>95</v>
      </c>
      <c r="BI29" s="144" t="s">
        <v>95</v>
      </c>
      <c r="BJ29" s="144" t="s">
        <v>95</v>
      </c>
      <c r="BK29" s="144" t="s">
        <v>95</v>
      </c>
      <c r="BL29" s="144" t="s">
        <v>95</v>
      </c>
      <c r="BM29" s="144" t="s">
        <v>95</v>
      </c>
      <c r="BN29" s="144" t="s">
        <v>95</v>
      </c>
      <c r="BO29" s="144" t="s">
        <v>95</v>
      </c>
      <c r="BP29" s="144" t="s">
        <v>95</v>
      </c>
      <c r="BQ29" s="144" t="s">
        <v>95</v>
      </c>
      <c r="BR29" s="144" t="s">
        <v>95</v>
      </c>
      <c r="BS29" s="144" t="s">
        <v>95</v>
      </c>
      <c r="BT29" s="144" t="s">
        <v>95</v>
      </c>
      <c r="BU29" s="144" t="s">
        <v>95</v>
      </c>
      <c r="BV29" s="144" t="s">
        <v>95</v>
      </c>
      <c r="BW29" s="144" t="s">
        <v>95</v>
      </c>
      <c r="BX29" s="144" t="s">
        <v>95</v>
      </c>
      <c r="BY29" s="144" t="s">
        <v>95</v>
      </c>
      <c r="BZ29" s="144" t="s">
        <v>95</v>
      </c>
      <c r="CA29" s="144" t="s">
        <v>95</v>
      </c>
      <c r="CB29" s="144" t="s">
        <v>95</v>
      </c>
      <c r="CC29" s="144" t="s">
        <v>95</v>
      </c>
      <c r="CD29" s="144" t="s">
        <v>95</v>
      </c>
      <c r="CE29" s="144" t="s">
        <v>95</v>
      </c>
      <c r="CF29" s="144" t="s">
        <v>95</v>
      </c>
      <c r="CG29" s="144" t="s">
        <v>95</v>
      </c>
      <c r="CH29" s="144" t="s">
        <v>95</v>
      </c>
      <c r="CI29" s="144" t="s">
        <v>95</v>
      </c>
      <c r="CJ29" s="144" t="s">
        <v>95</v>
      </c>
      <c r="CK29" s="144" t="s">
        <v>95</v>
      </c>
      <c r="CL29" s="144" t="s">
        <v>95</v>
      </c>
      <c r="CM29" s="144" t="s">
        <v>95</v>
      </c>
      <c r="CN29" s="144" t="s">
        <v>95</v>
      </c>
      <c r="CO29" s="144" t="s">
        <v>95</v>
      </c>
      <c r="CP29" s="144" t="s">
        <v>95</v>
      </c>
      <c r="CQ29" s="144" t="s">
        <v>95</v>
      </c>
      <c r="CR29" s="144" t="s">
        <v>95</v>
      </c>
      <c r="CS29" s="144" t="s">
        <v>95</v>
      </c>
      <c r="CT29" s="144" t="s">
        <v>95</v>
      </c>
      <c r="CU29" s="144" t="s">
        <v>95</v>
      </c>
      <c r="CV29" s="144" t="s">
        <v>95</v>
      </c>
      <c r="CW29" s="144" t="s">
        <v>95</v>
      </c>
      <c r="CX29" s="144" t="s">
        <v>95</v>
      </c>
    </row>
    <row r="30" spans="1:102" s="2" customFormat="1" x14ac:dyDescent="0.2">
      <c r="A30" s="146"/>
      <c r="B30" s="147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52"/>
      <c r="BM30" s="152"/>
      <c r="BN30" s="152"/>
      <c r="BO30" s="152"/>
      <c r="BP30" s="152"/>
      <c r="BQ30" s="152"/>
      <c r="BR30" s="152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</row>
    <row r="31" spans="1:102" x14ac:dyDescent="0.2">
      <c r="A31" s="80" t="s">
        <v>69</v>
      </c>
      <c r="B31" s="77">
        <f>-B24</f>
        <v>-542718</v>
      </c>
      <c r="C31" s="77">
        <f>IF(ISNUMBER(C2),-(C15+C29),"")</f>
        <v>-4391.72</v>
      </c>
      <c r="D31" s="77">
        <f t="shared" ref="D31:AA31" si="17">IF(ISNUMBER(D2),-(D15+D29),"")</f>
        <v>-4479.5544</v>
      </c>
      <c r="E31" s="77">
        <f t="shared" si="17"/>
        <v>-4569.1454880000001</v>
      </c>
      <c r="F31" s="77">
        <f t="shared" si="17"/>
        <v>-4660.5283977600002</v>
      </c>
      <c r="G31" s="77">
        <f t="shared" si="17"/>
        <v>-4753.7389657151998</v>
      </c>
      <c r="H31" s="77">
        <f t="shared" si="17"/>
        <v>-4848.8137450295044</v>
      </c>
      <c r="I31" s="77">
        <f t="shared" si="17"/>
        <v>-4945.7900199300948</v>
      </c>
      <c r="J31" s="77">
        <f t="shared" si="17"/>
        <v>-5044.7058203286961</v>
      </c>
      <c r="K31" s="77">
        <f t="shared" si="17"/>
        <v>-5145.5999367352697</v>
      </c>
      <c r="L31" s="77">
        <f t="shared" si="17"/>
        <v>-94880.454582143284</v>
      </c>
      <c r="M31" s="77">
        <f t="shared" si="17"/>
        <v>-5353.4821741793758</v>
      </c>
      <c r="N31" s="77">
        <f t="shared" si="17"/>
        <v>-5460.5518176629621</v>
      </c>
      <c r="O31" s="77">
        <f t="shared" si="17"/>
        <v>-5569.7628540162214</v>
      </c>
      <c r="P31" s="77">
        <f t="shared" si="17"/>
        <v>-5681.1581110965462</v>
      </c>
      <c r="Q31" s="77">
        <f t="shared" si="17"/>
        <v>-5794.7812733184765</v>
      </c>
      <c r="R31" s="77">
        <f t="shared" si="17"/>
        <v>-5910.6768987848445</v>
      </c>
      <c r="S31" s="77">
        <f t="shared" si="17"/>
        <v>-6028.8904367605428</v>
      </c>
      <c r="T31" s="77">
        <f t="shared" si="17"/>
        <v>-6149.4682454957547</v>
      </c>
      <c r="U31" s="77">
        <f t="shared" si="17"/>
        <v>-6272.4576104056687</v>
      </c>
      <c r="V31" s="77">
        <f t="shared" si="17"/>
        <v>-6397.9067626137821</v>
      </c>
      <c r="W31" s="77">
        <f t="shared" si="17"/>
        <v>-6525.8648978660585</v>
      </c>
      <c r="X31" s="77">
        <f t="shared" si="17"/>
        <v>-6656.3821958233793</v>
      </c>
      <c r="Y31" s="77">
        <f t="shared" si="17"/>
        <v>-6789.5098397398469</v>
      </c>
      <c r="Z31" s="77">
        <f t="shared" si="17"/>
        <v>-6925.3000365346425</v>
      </c>
      <c r="AA31" s="77">
        <f t="shared" si="17"/>
        <v>-7063.8060372653363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77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136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MIN(ibi_sta_percent/100*pv_installed_cost,ibi_sta_percent_maxvalue)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137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138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139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MIN(cbi_sta_amount*batt_kw*1000,cbi_sta_maxvalue)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MIN(cbi_uti_amount*batt_kw*1000,cbi_uti_maxvalue)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140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111</v>
      </c>
      <c r="B53" s="16"/>
      <c r="C53" s="77">
        <f t="shared" ref="C53:AH53" si="18">IF(ISNUMBER(outYear),IF(outYear&lt;=pbi_combined_term,MIN(pbi_combined_amount*C5,pbi_combined_maxvalue),0),"")</f>
        <v>0</v>
      </c>
      <c r="D53" s="77">
        <f t="shared" si="18"/>
        <v>0</v>
      </c>
      <c r="E53" s="77">
        <f t="shared" si="18"/>
        <v>0</v>
      </c>
      <c r="F53" s="77">
        <f t="shared" si="18"/>
        <v>0</v>
      </c>
      <c r="G53" s="77">
        <f t="shared" si="18"/>
        <v>0</v>
      </c>
      <c r="H53" s="77">
        <f t="shared" si="18"/>
        <v>0</v>
      </c>
      <c r="I53" s="77">
        <f t="shared" si="18"/>
        <v>0</v>
      </c>
      <c r="J53" s="77">
        <f t="shared" si="18"/>
        <v>0</v>
      </c>
      <c r="K53" s="77">
        <f t="shared" si="18"/>
        <v>0</v>
      </c>
      <c r="L53" s="77">
        <f t="shared" si="18"/>
        <v>0</v>
      </c>
      <c r="M53" s="77">
        <f t="shared" si="18"/>
        <v>0</v>
      </c>
      <c r="N53" s="77">
        <f t="shared" si="18"/>
        <v>0</v>
      </c>
      <c r="O53" s="77">
        <f t="shared" si="18"/>
        <v>0</v>
      </c>
      <c r="P53" s="77">
        <f t="shared" si="18"/>
        <v>0</v>
      </c>
      <c r="Q53" s="77">
        <f t="shared" si="18"/>
        <v>0</v>
      </c>
      <c r="R53" s="77">
        <f t="shared" si="18"/>
        <v>0</v>
      </c>
      <c r="S53" s="77">
        <f t="shared" si="18"/>
        <v>0</v>
      </c>
      <c r="T53" s="77">
        <f t="shared" si="18"/>
        <v>0</v>
      </c>
      <c r="U53" s="77">
        <f t="shared" si="18"/>
        <v>0</v>
      </c>
      <c r="V53" s="77">
        <f t="shared" si="18"/>
        <v>0</v>
      </c>
      <c r="W53" s="77">
        <f t="shared" si="18"/>
        <v>0</v>
      </c>
      <c r="X53" s="77">
        <f t="shared" si="18"/>
        <v>0</v>
      </c>
      <c r="Y53" s="77">
        <f t="shared" si="18"/>
        <v>0</v>
      </c>
      <c r="Z53" s="77">
        <f t="shared" si="18"/>
        <v>0</v>
      </c>
      <c r="AA53" s="77">
        <f t="shared" si="18"/>
        <v>0</v>
      </c>
      <c r="AB53" s="77" t="str">
        <f t="shared" si="18"/>
        <v/>
      </c>
      <c r="AC53" s="77" t="str">
        <f t="shared" si="18"/>
        <v/>
      </c>
      <c r="AD53" s="77" t="str">
        <f t="shared" si="18"/>
        <v/>
      </c>
      <c r="AE53" s="77" t="str">
        <f t="shared" si="18"/>
        <v/>
      </c>
      <c r="AF53" s="77" t="str">
        <f t="shared" si="18"/>
        <v/>
      </c>
      <c r="AG53" s="77" t="str">
        <f t="shared" si="18"/>
        <v/>
      </c>
      <c r="AH53" s="77" t="str">
        <f t="shared" si="18"/>
        <v/>
      </c>
      <c r="AI53" s="77" t="str">
        <f t="shared" ref="AI53:BN53" si="19">IF(ISNUMBER(outYear),IF(outYear&lt;=pbi_combined_term,MIN(pbi_combined_amount*AI5,pbi_combined_maxvalue),0),"")</f>
        <v/>
      </c>
      <c r="AJ53" s="77" t="str">
        <f t="shared" si="19"/>
        <v/>
      </c>
      <c r="AK53" s="77" t="str">
        <f t="shared" si="19"/>
        <v/>
      </c>
      <c r="AL53" s="77" t="str">
        <f t="shared" si="19"/>
        <v/>
      </c>
      <c r="AM53" s="77" t="str">
        <f t="shared" si="19"/>
        <v/>
      </c>
      <c r="AN53" s="77" t="str">
        <f t="shared" si="19"/>
        <v/>
      </c>
      <c r="AO53" s="77" t="str">
        <f t="shared" si="19"/>
        <v/>
      </c>
      <c r="AP53" s="77" t="str">
        <f t="shared" si="19"/>
        <v/>
      </c>
      <c r="AQ53" s="77" t="str">
        <f t="shared" si="19"/>
        <v/>
      </c>
      <c r="AR53" s="77" t="str">
        <f t="shared" si="19"/>
        <v/>
      </c>
      <c r="AS53" s="77" t="str">
        <f t="shared" si="19"/>
        <v/>
      </c>
      <c r="AT53" s="77" t="str">
        <f t="shared" si="19"/>
        <v/>
      </c>
      <c r="AU53" s="77" t="str">
        <f t="shared" si="19"/>
        <v/>
      </c>
      <c r="AV53" s="77" t="str">
        <f t="shared" si="19"/>
        <v/>
      </c>
      <c r="AW53" s="77" t="str">
        <f t="shared" si="19"/>
        <v/>
      </c>
      <c r="AX53" s="77" t="str">
        <f t="shared" si="19"/>
        <v/>
      </c>
      <c r="AY53" s="77" t="str">
        <f t="shared" si="19"/>
        <v/>
      </c>
      <c r="AZ53" s="77" t="str">
        <f t="shared" si="19"/>
        <v/>
      </c>
      <c r="BA53" s="77" t="str">
        <f t="shared" si="19"/>
        <v/>
      </c>
      <c r="BB53" s="77" t="str">
        <f t="shared" si="19"/>
        <v/>
      </c>
      <c r="BC53" s="77" t="str">
        <f t="shared" si="19"/>
        <v/>
      </c>
      <c r="BD53" s="77" t="str">
        <f t="shared" si="19"/>
        <v/>
      </c>
      <c r="BE53" s="77" t="str">
        <f t="shared" si="19"/>
        <v/>
      </c>
      <c r="BF53" s="77" t="str">
        <f t="shared" si="19"/>
        <v/>
      </c>
      <c r="BG53" s="77" t="str">
        <f t="shared" si="19"/>
        <v/>
      </c>
      <c r="BH53" s="77" t="str">
        <f t="shared" si="19"/>
        <v/>
      </c>
      <c r="BI53" s="77" t="str">
        <f t="shared" si="19"/>
        <v/>
      </c>
      <c r="BJ53" s="77" t="str">
        <f t="shared" si="19"/>
        <v/>
      </c>
      <c r="BK53" s="77" t="str">
        <f t="shared" si="19"/>
        <v/>
      </c>
      <c r="BL53" s="77" t="str">
        <f t="shared" si="19"/>
        <v/>
      </c>
      <c r="BM53" s="77" t="str">
        <f t="shared" si="19"/>
        <v/>
      </c>
      <c r="BN53" s="77" t="str">
        <f t="shared" si="19"/>
        <v/>
      </c>
      <c r="BO53" s="77" t="str">
        <f t="shared" ref="BO53:CX53" si="20">IF(ISNUMBER(outYear),IF(outYear&lt;=pbi_combined_term,MIN(pbi_combined_amount*BO5,pbi_combined_maxvalue),0),"")</f>
        <v/>
      </c>
      <c r="BP53" s="77" t="str">
        <f t="shared" si="20"/>
        <v/>
      </c>
      <c r="BQ53" s="77" t="str">
        <f t="shared" si="20"/>
        <v/>
      </c>
      <c r="BR53" s="77" t="str">
        <f t="shared" si="20"/>
        <v/>
      </c>
      <c r="BS53" s="77" t="str">
        <f t="shared" si="20"/>
        <v/>
      </c>
      <c r="BT53" s="77" t="str">
        <f t="shared" si="20"/>
        <v/>
      </c>
      <c r="BU53" s="77" t="str">
        <f t="shared" si="20"/>
        <v/>
      </c>
      <c r="BV53" s="77" t="str">
        <f t="shared" si="20"/>
        <v/>
      </c>
      <c r="BW53" s="77" t="str">
        <f t="shared" si="20"/>
        <v/>
      </c>
      <c r="BX53" s="77" t="str">
        <f t="shared" si="20"/>
        <v/>
      </c>
      <c r="BY53" s="77" t="str">
        <f t="shared" si="20"/>
        <v/>
      </c>
      <c r="BZ53" s="77" t="str">
        <f t="shared" si="20"/>
        <v/>
      </c>
      <c r="CA53" s="77" t="str">
        <f t="shared" si="20"/>
        <v/>
      </c>
      <c r="CB53" s="77" t="str">
        <f t="shared" si="20"/>
        <v/>
      </c>
      <c r="CC53" s="77" t="str">
        <f t="shared" si="20"/>
        <v/>
      </c>
      <c r="CD53" s="77" t="str">
        <f t="shared" si="20"/>
        <v/>
      </c>
      <c r="CE53" s="77" t="str">
        <f t="shared" si="20"/>
        <v/>
      </c>
      <c r="CF53" s="77" t="str">
        <f t="shared" si="20"/>
        <v/>
      </c>
      <c r="CG53" s="77" t="str">
        <f t="shared" si="20"/>
        <v/>
      </c>
      <c r="CH53" s="77" t="str">
        <f t="shared" si="20"/>
        <v/>
      </c>
      <c r="CI53" s="77" t="str">
        <f t="shared" si="20"/>
        <v/>
      </c>
      <c r="CJ53" s="77" t="str">
        <f t="shared" si="20"/>
        <v/>
      </c>
      <c r="CK53" s="77" t="str">
        <f t="shared" si="20"/>
        <v/>
      </c>
      <c r="CL53" s="77" t="str">
        <f t="shared" si="20"/>
        <v/>
      </c>
      <c r="CM53" s="77" t="str">
        <f t="shared" si="20"/>
        <v/>
      </c>
      <c r="CN53" s="77" t="str">
        <f t="shared" si="20"/>
        <v/>
      </c>
      <c r="CO53" s="77" t="str">
        <f t="shared" si="20"/>
        <v/>
      </c>
      <c r="CP53" s="77" t="str">
        <f t="shared" si="20"/>
        <v/>
      </c>
      <c r="CQ53" s="77" t="str">
        <f t="shared" si="20"/>
        <v/>
      </c>
      <c r="CR53" s="77" t="str">
        <f t="shared" si="20"/>
        <v/>
      </c>
      <c r="CS53" s="77" t="str">
        <f t="shared" si="20"/>
        <v/>
      </c>
      <c r="CT53" s="77" t="str">
        <f t="shared" si="20"/>
        <v/>
      </c>
      <c r="CU53" s="77" t="str">
        <f t="shared" si="20"/>
        <v/>
      </c>
      <c r="CV53" s="77" t="str">
        <f t="shared" si="20"/>
        <v/>
      </c>
      <c r="CW53" s="77" t="str">
        <f t="shared" si="20"/>
        <v/>
      </c>
      <c r="CX53" s="77" t="str">
        <f t="shared" si="20"/>
        <v/>
      </c>
    </row>
    <row r="54" spans="1:16384" x14ac:dyDescent="0.2">
      <c r="A54" s="58" t="s">
        <v>149</v>
      </c>
      <c r="B54" s="77">
        <f>B37+B42+B46+B51</f>
        <v>0</v>
      </c>
      <c r="C54" s="77">
        <f>C53</f>
        <v>0</v>
      </c>
      <c r="D54" s="77">
        <f t="shared" ref="D54:BO54" si="21">D53</f>
        <v>0</v>
      </c>
      <c r="E54" s="77">
        <f t="shared" si="21"/>
        <v>0</v>
      </c>
      <c r="F54" s="77">
        <f t="shared" si="21"/>
        <v>0</v>
      </c>
      <c r="G54" s="77">
        <f t="shared" si="21"/>
        <v>0</v>
      </c>
      <c r="H54" s="77">
        <f t="shared" si="21"/>
        <v>0</v>
      </c>
      <c r="I54" s="77">
        <f t="shared" si="21"/>
        <v>0</v>
      </c>
      <c r="J54" s="77">
        <f t="shared" si="21"/>
        <v>0</v>
      </c>
      <c r="K54" s="77">
        <f t="shared" si="21"/>
        <v>0</v>
      </c>
      <c r="L54" s="77">
        <f t="shared" si="21"/>
        <v>0</v>
      </c>
      <c r="M54" s="77">
        <f t="shared" si="21"/>
        <v>0</v>
      </c>
      <c r="N54" s="77">
        <f t="shared" si="21"/>
        <v>0</v>
      </c>
      <c r="O54" s="77">
        <f t="shared" si="21"/>
        <v>0</v>
      </c>
      <c r="P54" s="77">
        <f t="shared" si="21"/>
        <v>0</v>
      </c>
      <c r="Q54" s="77">
        <f t="shared" si="21"/>
        <v>0</v>
      </c>
      <c r="R54" s="77">
        <f t="shared" si="21"/>
        <v>0</v>
      </c>
      <c r="S54" s="77">
        <f t="shared" si="21"/>
        <v>0</v>
      </c>
      <c r="T54" s="77">
        <f t="shared" si="21"/>
        <v>0</v>
      </c>
      <c r="U54" s="77">
        <f t="shared" si="21"/>
        <v>0</v>
      </c>
      <c r="V54" s="77">
        <f t="shared" si="21"/>
        <v>0</v>
      </c>
      <c r="W54" s="77">
        <f t="shared" si="21"/>
        <v>0</v>
      </c>
      <c r="X54" s="77">
        <f t="shared" si="21"/>
        <v>0</v>
      </c>
      <c r="Y54" s="77">
        <f t="shared" si="21"/>
        <v>0</v>
      </c>
      <c r="Z54" s="77">
        <f t="shared" si="21"/>
        <v>0</v>
      </c>
      <c r="AA54" s="77">
        <f t="shared" si="21"/>
        <v>0</v>
      </c>
      <c r="AB54" s="77" t="str">
        <f t="shared" si="21"/>
        <v/>
      </c>
      <c r="AC54" s="77" t="str">
        <f t="shared" si="21"/>
        <v/>
      </c>
      <c r="AD54" s="77" t="str">
        <f t="shared" si="21"/>
        <v/>
      </c>
      <c r="AE54" s="77" t="str">
        <f t="shared" si="21"/>
        <v/>
      </c>
      <c r="AF54" s="77" t="str">
        <f t="shared" si="21"/>
        <v/>
      </c>
      <c r="AG54" s="77" t="str">
        <f t="shared" si="21"/>
        <v/>
      </c>
      <c r="AH54" s="77" t="str">
        <f t="shared" si="21"/>
        <v/>
      </c>
      <c r="AI54" s="77" t="str">
        <f t="shared" si="21"/>
        <v/>
      </c>
      <c r="AJ54" s="77" t="str">
        <f t="shared" si="21"/>
        <v/>
      </c>
      <c r="AK54" s="77" t="str">
        <f t="shared" si="21"/>
        <v/>
      </c>
      <c r="AL54" s="77" t="str">
        <f t="shared" si="21"/>
        <v/>
      </c>
      <c r="AM54" s="77" t="str">
        <f t="shared" si="21"/>
        <v/>
      </c>
      <c r="AN54" s="77" t="str">
        <f t="shared" si="21"/>
        <v/>
      </c>
      <c r="AO54" s="77" t="str">
        <f t="shared" si="21"/>
        <v/>
      </c>
      <c r="AP54" s="77" t="str">
        <f t="shared" si="21"/>
        <v/>
      </c>
      <c r="AQ54" s="77" t="str">
        <f t="shared" si="21"/>
        <v/>
      </c>
      <c r="AR54" s="77" t="str">
        <f t="shared" si="21"/>
        <v/>
      </c>
      <c r="AS54" s="77" t="str">
        <f t="shared" si="21"/>
        <v/>
      </c>
      <c r="AT54" s="77" t="str">
        <f t="shared" si="21"/>
        <v/>
      </c>
      <c r="AU54" s="77" t="str">
        <f t="shared" si="21"/>
        <v/>
      </c>
      <c r="AV54" s="77" t="str">
        <f t="shared" si="21"/>
        <v/>
      </c>
      <c r="AW54" s="77" t="str">
        <f t="shared" si="21"/>
        <v/>
      </c>
      <c r="AX54" s="77" t="str">
        <f t="shared" si="21"/>
        <v/>
      </c>
      <c r="AY54" s="77" t="str">
        <f t="shared" si="21"/>
        <v/>
      </c>
      <c r="AZ54" s="77" t="str">
        <f t="shared" si="21"/>
        <v/>
      </c>
      <c r="BA54" s="77" t="str">
        <f t="shared" si="21"/>
        <v/>
      </c>
      <c r="BB54" s="77" t="str">
        <f t="shared" si="21"/>
        <v/>
      </c>
      <c r="BC54" s="77" t="str">
        <f t="shared" si="21"/>
        <v/>
      </c>
      <c r="BD54" s="77" t="str">
        <f t="shared" si="21"/>
        <v/>
      </c>
      <c r="BE54" s="77" t="str">
        <f t="shared" si="21"/>
        <v/>
      </c>
      <c r="BF54" s="77" t="str">
        <f t="shared" si="21"/>
        <v/>
      </c>
      <c r="BG54" s="77" t="str">
        <f t="shared" si="21"/>
        <v/>
      </c>
      <c r="BH54" s="77" t="str">
        <f t="shared" si="21"/>
        <v/>
      </c>
      <c r="BI54" s="77" t="str">
        <f t="shared" si="21"/>
        <v/>
      </c>
      <c r="BJ54" s="77" t="str">
        <f t="shared" si="21"/>
        <v/>
      </c>
      <c r="BK54" s="77" t="str">
        <f t="shared" si="21"/>
        <v/>
      </c>
      <c r="BL54" s="77" t="str">
        <f t="shared" si="21"/>
        <v/>
      </c>
      <c r="BM54" s="77" t="str">
        <f t="shared" si="21"/>
        <v/>
      </c>
      <c r="BN54" s="77" t="str">
        <f t="shared" si="21"/>
        <v/>
      </c>
      <c r="BO54" s="77" t="str">
        <f t="shared" si="21"/>
        <v/>
      </c>
      <c r="BP54" s="77" t="str">
        <f t="shared" ref="BP54:CX54" si="22">BP53</f>
        <v/>
      </c>
      <c r="BQ54" s="77" t="str">
        <f t="shared" si="22"/>
        <v/>
      </c>
      <c r="BR54" s="77" t="str">
        <f t="shared" si="22"/>
        <v/>
      </c>
      <c r="BS54" s="77" t="str">
        <f t="shared" si="22"/>
        <v/>
      </c>
      <c r="BT54" s="77" t="str">
        <f t="shared" si="22"/>
        <v/>
      </c>
      <c r="BU54" s="77" t="str">
        <f t="shared" si="22"/>
        <v/>
      </c>
      <c r="BV54" s="77" t="str">
        <f t="shared" si="22"/>
        <v/>
      </c>
      <c r="BW54" s="77" t="str">
        <f t="shared" si="22"/>
        <v/>
      </c>
      <c r="BX54" s="77" t="str">
        <f t="shared" si="22"/>
        <v/>
      </c>
      <c r="BY54" s="77" t="str">
        <f t="shared" si="22"/>
        <v/>
      </c>
      <c r="BZ54" s="77" t="str">
        <f t="shared" si="22"/>
        <v/>
      </c>
      <c r="CA54" s="77" t="str">
        <f t="shared" si="22"/>
        <v/>
      </c>
      <c r="CB54" s="77" t="str">
        <f t="shared" si="22"/>
        <v/>
      </c>
      <c r="CC54" s="77" t="str">
        <f t="shared" si="22"/>
        <v/>
      </c>
      <c r="CD54" s="77" t="str">
        <f t="shared" si="22"/>
        <v/>
      </c>
      <c r="CE54" s="77" t="str">
        <f t="shared" si="22"/>
        <v/>
      </c>
      <c r="CF54" s="77" t="str">
        <f t="shared" si="22"/>
        <v/>
      </c>
      <c r="CG54" s="77" t="str">
        <f t="shared" si="22"/>
        <v/>
      </c>
      <c r="CH54" s="77" t="str">
        <f t="shared" si="22"/>
        <v/>
      </c>
      <c r="CI54" s="77" t="str">
        <f t="shared" si="22"/>
        <v/>
      </c>
      <c r="CJ54" s="77" t="str">
        <f t="shared" si="22"/>
        <v/>
      </c>
      <c r="CK54" s="77" t="str">
        <f t="shared" si="22"/>
        <v/>
      </c>
      <c r="CL54" s="77" t="str">
        <f t="shared" si="22"/>
        <v/>
      </c>
      <c r="CM54" s="77" t="str">
        <f t="shared" si="22"/>
        <v/>
      </c>
      <c r="CN54" s="77" t="str">
        <f t="shared" si="22"/>
        <v/>
      </c>
      <c r="CO54" s="77" t="str">
        <f t="shared" si="22"/>
        <v/>
      </c>
      <c r="CP54" s="77" t="str">
        <f t="shared" si="22"/>
        <v/>
      </c>
      <c r="CQ54" s="77" t="str">
        <f t="shared" si="22"/>
        <v/>
      </c>
      <c r="CR54" s="77" t="str">
        <f t="shared" si="22"/>
        <v/>
      </c>
      <c r="CS54" s="77" t="str">
        <f t="shared" si="22"/>
        <v/>
      </c>
      <c r="CT54" s="77" t="str">
        <f t="shared" si="22"/>
        <v/>
      </c>
      <c r="CU54" s="77" t="str">
        <f t="shared" si="22"/>
        <v/>
      </c>
      <c r="CV54" s="77" t="str">
        <f t="shared" si="22"/>
        <v/>
      </c>
      <c r="CW54" s="77" t="str">
        <f t="shared" si="22"/>
        <v/>
      </c>
      <c r="CX54" s="77" t="str">
        <f t="shared" si="22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78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>0</v>
      </c>
      <c r="D57" s="82">
        <f t="shared" ref="D57:AI57" si="23">IF(ISNUMBER(outYear),IF(pbi_combined_tax_fed="Yes",D53,0),"")</f>
        <v>0</v>
      </c>
      <c r="E57" s="82">
        <f t="shared" si="23"/>
        <v>0</v>
      </c>
      <c r="F57" s="82">
        <f t="shared" si="23"/>
        <v>0</v>
      </c>
      <c r="G57" s="82">
        <f t="shared" si="23"/>
        <v>0</v>
      </c>
      <c r="H57" s="82">
        <f t="shared" si="23"/>
        <v>0</v>
      </c>
      <c r="I57" s="82">
        <f t="shared" si="23"/>
        <v>0</v>
      </c>
      <c r="J57" s="82">
        <f t="shared" si="23"/>
        <v>0</v>
      </c>
      <c r="K57" s="82">
        <f t="shared" si="23"/>
        <v>0</v>
      </c>
      <c r="L57" s="82">
        <f t="shared" si="23"/>
        <v>0</v>
      </c>
      <c r="M57" s="82">
        <f t="shared" si="23"/>
        <v>0</v>
      </c>
      <c r="N57" s="82">
        <f t="shared" si="23"/>
        <v>0</v>
      </c>
      <c r="O57" s="82">
        <f t="shared" si="23"/>
        <v>0</v>
      </c>
      <c r="P57" s="82">
        <f t="shared" si="23"/>
        <v>0</v>
      </c>
      <c r="Q57" s="82">
        <f t="shared" si="23"/>
        <v>0</v>
      </c>
      <c r="R57" s="82">
        <f t="shared" si="23"/>
        <v>0</v>
      </c>
      <c r="S57" s="82">
        <f t="shared" si="23"/>
        <v>0</v>
      </c>
      <c r="T57" s="82">
        <f t="shared" si="23"/>
        <v>0</v>
      </c>
      <c r="U57" s="82">
        <f t="shared" si="23"/>
        <v>0</v>
      </c>
      <c r="V57" s="82">
        <f t="shared" si="23"/>
        <v>0</v>
      </c>
      <c r="W57" s="82">
        <f t="shared" si="23"/>
        <v>0</v>
      </c>
      <c r="X57" s="82">
        <f t="shared" si="23"/>
        <v>0</v>
      </c>
      <c r="Y57" s="82">
        <f t="shared" si="23"/>
        <v>0</v>
      </c>
      <c r="Z57" s="82">
        <f t="shared" si="23"/>
        <v>0</v>
      </c>
      <c r="AA57" s="82">
        <f t="shared" si="23"/>
        <v>0</v>
      </c>
      <c r="AB57" s="82" t="str">
        <f t="shared" si="23"/>
        <v/>
      </c>
      <c r="AC57" s="82" t="str">
        <f t="shared" si="23"/>
        <v/>
      </c>
      <c r="AD57" s="82" t="str">
        <f t="shared" si="23"/>
        <v/>
      </c>
      <c r="AE57" s="82" t="str">
        <f t="shared" si="23"/>
        <v/>
      </c>
      <c r="AF57" s="82" t="str">
        <f t="shared" si="23"/>
        <v/>
      </c>
      <c r="AG57" s="82" t="str">
        <f t="shared" si="23"/>
        <v/>
      </c>
      <c r="AH57" s="82" t="str">
        <f t="shared" si="23"/>
        <v/>
      </c>
      <c r="AI57" s="82" t="str">
        <f t="shared" si="23"/>
        <v/>
      </c>
      <c r="AJ57" s="82" t="str">
        <f t="shared" ref="AJ57:BO57" si="24">IF(ISNUMBER(outYear),IF(pbi_combined_tax_fed="Yes",AJ53,0),"")</f>
        <v/>
      </c>
      <c r="AK57" s="82" t="str">
        <f t="shared" si="24"/>
        <v/>
      </c>
      <c r="AL57" s="82" t="str">
        <f t="shared" si="24"/>
        <v/>
      </c>
      <c r="AM57" s="82" t="str">
        <f t="shared" si="24"/>
        <v/>
      </c>
      <c r="AN57" s="82" t="str">
        <f t="shared" si="24"/>
        <v/>
      </c>
      <c r="AO57" s="82" t="str">
        <f t="shared" si="24"/>
        <v/>
      </c>
      <c r="AP57" s="82" t="str">
        <f t="shared" si="24"/>
        <v/>
      </c>
      <c r="AQ57" s="82" t="str">
        <f t="shared" si="24"/>
        <v/>
      </c>
      <c r="AR57" s="82" t="str">
        <f t="shared" si="24"/>
        <v/>
      </c>
      <c r="AS57" s="82" t="str">
        <f t="shared" si="24"/>
        <v/>
      </c>
      <c r="AT57" s="82" t="str">
        <f t="shared" si="24"/>
        <v/>
      </c>
      <c r="AU57" s="82" t="str">
        <f t="shared" si="24"/>
        <v/>
      </c>
      <c r="AV57" s="82" t="str">
        <f t="shared" si="24"/>
        <v/>
      </c>
      <c r="AW57" s="82" t="str">
        <f t="shared" si="24"/>
        <v/>
      </c>
      <c r="AX57" s="82" t="str">
        <f t="shared" si="24"/>
        <v/>
      </c>
      <c r="AY57" s="82" t="str">
        <f t="shared" si="24"/>
        <v/>
      </c>
      <c r="AZ57" s="82" t="str">
        <f t="shared" si="24"/>
        <v/>
      </c>
      <c r="BA57" s="82" t="str">
        <f t="shared" si="24"/>
        <v/>
      </c>
      <c r="BB57" s="82" t="str">
        <f t="shared" si="24"/>
        <v/>
      </c>
      <c r="BC57" s="82" t="str">
        <f t="shared" si="24"/>
        <v/>
      </c>
      <c r="BD57" s="82" t="str">
        <f t="shared" si="24"/>
        <v/>
      </c>
      <c r="BE57" s="82" t="str">
        <f t="shared" si="24"/>
        <v/>
      </c>
      <c r="BF57" s="82" t="str">
        <f t="shared" si="24"/>
        <v/>
      </c>
      <c r="BG57" s="82" t="str">
        <f t="shared" si="24"/>
        <v/>
      </c>
      <c r="BH57" s="82" t="str">
        <f t="shared" si="24"/>
        <v/>
      </c>
      <c r="BI57" s="82" t="str">
        <f t="shared" si="24"/>
        <v/>
      </c>
      <c r="BJ57" s="82" t="str">
        <f t="shared" si="24"/>
        <v/>
      </c>
      <c r="BK57" s="82" t="str">
        <f t="shared" si="24"/>
        <v/>
      </c>
      <c r="BL57" s="82" t="str">
        <f t="shared" si="24"/>
        <v/>
      </c>
      <c r="BM57" s="82" t="str">
        <f t="shared" si="24"/>
        <v/>
      </c>
      <c r="BN57" s="82" t="str">
        <f t="shared" si="24"/>
        <v/>
      </c>
      <c r="BO57" s="82" t="str">
        <f t="shared" si="24"/>
        <v/>
      </c>
      <c r="BP57" s="82" t="str">
        <f t="shared" ref="BP57:CX57" si="25">IF(ISNUMBER(outYear),IF(pbi_combined_tax_fed="Yes",BP53,0),"")</f>
        <v/>
      </c>
      <c r="BQ57" s="82" t="str">
        <f t="shared" si="25"/>
        <v/>
      </c>
      <c r="BR57" s="82" t="str">
        <f t="shared" si="25"/>
        <v/>
      </c>
      <c r="BS57" s="82" t="str">
        <f t="shared" si="25"/>
        <v/>
      </c>
      <c r="BT57" s="82" t="str">
        <f t="shared" si="25"/>
        <v/>
      </c>
      <c r="BU57" s="82" t="str">
        <f t="shared" si="25"/>
        <v/>
      </c>
      <c r="BV57" s="82" t="str">
        <f t="shared" si="25"/>
        <v/>
      </c>
      <c r="BW57" s="82" t="str">
        <f t="shared" si="25"/>
        <v/>
      </c>
      <c r="BX57" s="82" t="str">
        <f t="shared" si="25"/>
        <v/>
      </c>
      <c r="BY57" s="82" t="str">
        <f t="shared" si="25"/>
        <v/>
      </c>
      <c r="BZ57" s="82" t="str">
        <f t="shared" si="25"/>
        <v/>
      </c>
      <c r="CA57" s="82" t="str">
        <f t="shared" si="25"/>
        <v/>
      </c>
      <c r="CB57" s="82" t="str">
        <f t="shared" si="25"/>
        <v/>
      </c>
      <c r="CC57" s="82" t="str">
        <f t="shared" si="25"/>
        <v/>
      </c>
      <c r="CD57" s="82" t="str">
        <f t="shared" si="25"/>
        <v/>
      </c>
      <c r="CE57" s="82" t="str">
        <f t="shared" si="25"/>
        <v/>
      </c>
      <c r="CF57" s="82" t="str">
        <f t="shared" si="25"/>
        <v/>
      </c>
      <c r="CG57" s="82" t="str">
        <f t="shared" si="25"/>
        <v/>
      </c>
      <c r="CH57" s="82" t="str">
        <f t="shared" si="25"/>
        <v/>
      </c>
      <c r="CI57" s="82" t="str">
        <f t="shared" si="25"/>
        <v/>
      </c>
      <c r="CJ57" s="82" t="str">
        <f t="shared" si="25"/>
        <v/>
      </c>
      <c r="CK57" s="82" t="str">
        <f t="shared" si="25"/>
        <v/>
      </c>
      <c r="CL57" s="82" t="str">
        <f t="shared" si="25"/>
        <v/>
      </c>
      <c r="CM57" s="82" t="str">
        <f t="shared" si="25"/>
        <v/>
      </c>
      <c r="CN57" s="82" t="str">
        <f t="shared" si="25"/>
        <v/>
      </c>
      <c r="CO57" s="82" t="str">
        <f t="shared" si="25"/>
        <v/>
      </c>
      <c r="CP57" s="82" t="str">
        <f t="shared" si="25"/>
        <v/>
      </c>
      <c r="CQ57" s="82" t="str">
        <f t="shared" si="25"/>
        <v/>
      </c>
      <c r="CR57" s="82" t="str">
        <f t="shared" si="25"/>
        <v/>
      </c>
      <c r="CS57" s="82" t="str">
        <f t="shared" si="25"/>
        <v/>
      </c>
      <c r="CT57" s="82" t="str">
        <f t="shared" si="25"/>
        <v/>
      </c>
      <c r="CU57" s="82" t="str">
        <f t="shared" si="25"/>
        <v/>
      </c>
      <c r="CV57" s="82" t="str">
        <f t="shared" si="25"/>
        <v/>
      </c>
      <c r="CW57" s="82" t="str">
        <f t="shared" si="25"/>
        <v/>
      </c>
      <c r="CX57" s="82" t="str">
        <f t="shared" si="25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 t="shared" ref="C59:AH59" si="26">C18</f>
        <v>4391.72</v>
      </c>
      <c r="D59" s="82">
        <f t="shared" si="26"/>
        <v>4479.5544</v>
      </c>
      <c r="E59" s="82">
        <f t="shared" si="26"/>
        <v>4569.1454880000001</v>
      </c>
      <c r="F59" s="82">
        <f t="shared" si="26"/>
        <v>4660.5283977600002</v>
      </c>
      <c r="G59" s="82">
        <f t="shared" si="26"/>
        <v>4753.7389657151998</v>
      </c>
      <c r="H59" s="82">
        <f t="shared" si="26"/>
        <v>4848.8137450295044</v>
      </c>
      <c r="I59" s="82">
        <f t="shared" si="26"/>
        <v>4945.7900199300948</v>
      </c>
      <c r="J59" s="82">
        <f t="shared" si="26"/>
        <v>5044.7058203286961</v>
      </c>
      <c r="K59" s="82">
        <f t="shared" si="26"/>
        <v>5145.5999367352697</v>
      </c>
      <c r="L59" s="82">
        <f t="shared" si="26"/>
        <v>94880.454582143284</v>
      </c>
      <c r="M59" s="82">
        <f t="shared" si="26"/>
        <v>5353.4821741793758</v>
      </c>
      <c r="N59" s="82">
        <f t="shared" si="26"/>
        <v>5460.5518176629621</v>
      </c>
      <c r="O59" s="82">
        <f t="shared" si="26"/>
        <v>5569.7628540162214</v>
      </c>
      <c r="P59" s="82">
        <f t="shared" si="26"/>
        <v>5681.1581110965462</v>
      </c>
      <c r="Q59" s="82">
        <f t="shared" si="26"/>
        <v>5794.7812733184765</v>
      </c>
      <c r="R59" s="82">
        <f t="shared" si="26"/>
        <v>5910.6768987848445</v>
      </c>
      <c r="S59" s="82">
        <f t="shared" si="26"/>
        <v>6028.8904367605428</v>
      </c>
      <c r="T59" s="82">
        <f t="shared" si="26"/>
        <v>6149.4682454957547</v>
      </c>
      <c r="U59" s="82">
        <f t="shared" si="26"/>
        <v>6272.4576104056687</v>
      </c>
      <c r="V59" s="82">
        <f t="shared" si="26"/>
        <v>6397.9067626137821</v>
      </c>
      <c r="W59" s="82">
        <f t="shared" si="26"/>
        <v>6525.8648978660585</v>
      </c>
      <c r="X59" s="82">
        <f t="shared" si="26"/>
        <v>6656.3821958233793</v>
      </c>
      <c r="Y59" s="82">
        <f t="shared" si="26"/>
        <v>6789.5098397398469</v>
      </c>
      <c r="Z59" s="82">
        <f t="shared" si="26"/>
        <v>6925.3000365346425</v>
      </c>
      <c r="AA59" s="82">
        <f t="shared" si="26"/>
        <v>7063.8060372653363</v>
      </c>
      <c r="AB59" s="82" t="str">
        <f t="shared" si="26"/>
        <v/>
      </c>
      <c r="AC59" s="82" t="str">
        <f t="shared" si="26"/>
        <v/>
      </c>
      <c r="AD59" s="82" t="str">
        <f t="shared" si="26"/>
        <v/>
      </c>
      <c r="AE59" s="82" t="str">
        <f t="shared" si="26"/>
        <v/>
      </c>
      <c r="AF59" s="82" t="str">
        <f t="shared" si="26"/>
        <v/>
      </c>
      <c r="AG59" s="82" t="str">
        <f t="shared" si="26"/>
        <v/>
      </c>
      <c r="AH59" s="82" t="str">
        <f t="shared" si="26"/>
        <v/>
      </c>
      <c r="AI59" s="82" t="str">
        <f t="shared" ref="AI59:BN59" si="27">AI18</f>
        <v/>
      </c>
      <c r="AJ59" s="82" t="str">
        <f t="shared" si="27"/>
        <v/>
      </c>
      <c r="AK59" s="82" t="str">
        <f t="shared" si="27"/>
        <v/>
      </c>
      <c r="AL59" s="82" t="str">
        <f t="shared" si="27"/>
        <v/>
      </c>
      <c r="AM59" s="82" t="str">
        <f t="shared" si="27"/>
        <v/>
      </c>
      <c r="AN59" s="82" t="str">
        <f t="shared" si="27"/>
        <v/>
      </c>
      <c r="AO59" s="82" t="str">
        <f t="shared" si="27"/>
        <v/>
      </c>
      <c r="AP59" s="82" t="str">
        <f t="shared" si="27"/>
        <v/>
      </c>
      <c r="AQ59" s="82" t="str">
        <f t="shared" si="27"/>
        <v/>
      </c>
      <c r="AR59" s="82" t="str">
        <f t="shared" si="27"/>
        <v/>
      </c>
      <c r="AS59" s="82" t="str">
        <f t="shared" si="27"/>
        <v/>
      </c>
      <c r="AT59" s="82" t="str">
        <f t="shared" si="27"/>
        <v/>
      </c>
      <c r="AU59" s="82" t="str">
        <f t="shared" si="27"/>
        <v/>
      </c>
      <c r="AV59" s="82" t="str">
        <f t="shared" si="27"/>
        <v/>
      </c>
      <c r="AW59" s="82" t="str">
        <f t="shared" si="27"/>
        <v/>
      </c>
      <c r="AX59" s="82" t="str">
        <f t="shared" si="27"/>
        <v/>
      </c>
      <c r="AY59" s="82" t="str">
        <f t="shared" si="27"/>
        <v/>
      </c>
      <c r="AZ59" s="82" t="str">
        <f t="shared" si="27"/>
        <v/>
      </c>
      <c r="BA59" s="82" t="str">
        <f t="shared" si="27"/>
        <v/>
      </c>
      <c r="BB59" s="82" t="str">
        <f t="shared" si="27"/>
        <v/>
      </c>
      <c r="BC59" s="82" t="str">
        <f t="shared" si="27"/>
        <v/>
      </c>
      <c r="BD59" s="82" t="str">
        <f t="shared" si="27"/>
        <v/>
      </c>
      <c r="BE59" s="82" t="str">
        <f t="shared" si="27"/>
        <v/>
      </c>
      <c r="BF59" s="82" t="str">
        <f t="shared" si="27"/>
        <v/>
      </c>
      <c r="BG59" s="82" t="str">
        <f t="shared" si="27"/>
        <v/>
      </c>
      <c r="BH59" s="82" t="str">
        <f t="shared" si="27"/>
        <v/>
      </c>
      <c r="BI59" s="82" t="str">
        <f t="shared" si="27"/>
        <v/>
      </c>
      <c r="BJ59" s="82" t="str">
        <f t="shared" si="27"/>
        <v/>
      </c>
      <c r="BK59" s="82" t="str">
        <f t="shared" si="27"/>
        <v/>
      </c>
      <c r="BL59" s="82" t="str">
        <f t="shared" si="27"/>
        <v/>
      </c>
      <c r="BM59" s="82" t="str">
        <f t="shared" si="27"/>
        <v/>
      </c>
      <c r="BN59" s="82" t="str">
        <f t="shared" si="27"/>
        <v/>
      </c>
      <c r="BO59" s="82" t="str">
        <f t="shared" ref="BO59:CX59" si="28">BO18</f>
        <v/>
      </c>
      <c r="BP59" s="82" t="str">
        <f t="shared" si="28"/>
        <v/>
      </c>
      <c r="BQ59" s="82" t="str">
        <f t="shared" si="28"/>
        <v/>
      </c>
      <c r="BR59" s="82" t="str">
        <f t="shared" si="28"/>
        <v/>
      </c>
      <c r="BS59" s="82" t="str">
        <f t="shared" si="28"/>
        <v/>
      </c>
      <c r="BT59" s="82" t="str">
        <f t="shared" si="28"/>
        <v/>
      </c>
      <c r="BU59" s="82" t="str">
        <f t="shared" si="28"/>
        <v/>
      </c>
      <c r="BV59" s="82" t="str">
        <f t="shared" si="28"/>
        <v/>
      </c>
      <c r="BW59" s="82" t="str">
        <f t="shared" si="28"/>
        <v/>
      </c>
      <c r="BX59" s="82" t="str">
        <f t="shared" si="28"/>
        <v/>
      </c>
      <c r="BY59" s="82" t="str">
        <f t="shared" si="28"/>
        <v/>
      </c>
      <c r="BZ59" s="82" t="str">
        <f t="shared" si="28"/>
        <v/>
      </c>
      <c r="CA59" s="82" t="str">
        <f t="shared" si="28"/>
        <v/>
      </c>
      <c r="CB59" s="82" t="str">
        <f t="shared" si="28"/>
        <v/>
      </c>
      <c r="CC59" s="82" t="str">
        <f t="shared" si="28"/>
        <v/>
      </c>
      <c r="CD59" s="82" t="str">
        <f t="shared" si="28"/>
        <v/>
      </c>
      <c r="CE59" s="82" t="str">
        <f t="shared" si="28"/>
        <v/>
      </c>
      <c r="CF59" s="82" t="str">
        <f t="shared" si="28"/>
        <v/>
      </c>
      <c r="CG59" s="82" t="str">
        <f t="shared" si="28"/>
        <v/>
      </c>
      <c r="CH59" s="82" t="str">
        <f t="shared" si="28"/>
        <v/>
      </c>
      <c r="CI59" s="82" t="str">
        <f t="shared" si="28"/>
        <v/>
      </c>
      <c r="CJ59" s="82" t="str">
        <f t="shared" si="28"/>
        <v/>
      </c>
      <c r="CK59" s="82" t="str">
        <f t="shared" si="28"/>
        <v/>
      </c>
      <c r="CL59" s="82" t="str">
        <f t="shared" si="28"/>
        <v/>
      </c>
      <c r="CM59" s="82" t="str">
        <f t="shared" si="28"/>
        <v/>
      </c>
      <c r="CN59" s="82" t="str">
        <f t="shared" si="28"/>
        <v/>
      </c>
      <c r="CO59" s="82" t="str">
        <f t="shared" si="28"/>
        <v/>
      </c>
      <c r="CP59" s="82" t="str">
        <f t="shared" si="28"/>
        <v/>
      </c>
      <c r="CQ59" s="82" t="str">
        <f t="shared" si="28"/>
        <v/>
      </c>
      <c r="CR59" s="82" t="str">
        <f t="shared" si="28"/>
        <v/>
      </c>
      <c r="CS59" s="82" t="str">
        <f t="shared" si="28"/>
        <v/>
      </c>
      <c r="CT59" s="82" t="str">
        <f t="shared" si="28"/>
        <v/>
      </c>
      <c r="CU59" s="82" t="str">
        <f t="shared" si="28"/>
        <v/>
      </c>
      <c r="CV59" s="82" t="str">
        <f t="shared" si="28"/>
        <v/>
      </c>
      <c r="CW59" s="82" t="str">
        <f t="shared" si="28"/>
        <v/>
      </c>
      <c r="CX59" s="82" t="str">
        <f t="shared" si="28"/>
        <v/>
      </c>
    </row>
    <row r="60" spans="1:16384" s="83" customFormat="1" x14ac:dyDescent="0.2">
      <c r="A60" s="63" t="s">
        <v>130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Outputs'!C83</f>
        <v>0</v>
      </c>
      <c r="D61" s="76">
        <f>'Inputs and Outputs'!D83</f>
        <v>0</v>
      </c>
      <c r="E61" s="76">
        <f>'Inputs and Outputs'!E83</f>
        <v>0</v>
      </c>
      <c r="F61" s="76">
        <f>'Inputs and Outputs'!F83</f>
        <v>0</v>
      </c>
      <c r="G61" s="76">
        <f>'Inputs and Outputs'!G83</f>
        <v>0</v>
      </c>
      <c r="H61" s="76">
        <f>'Inputs and Outputs'!H83</f>
        <v>0</v>
      </c>
      <c r="I61" s="76">
        <f>'Inputs and Outputs'!I83</f>
        <v>0</v>
      </c>
      <c r="J61" s="76">
        <f>'Inputs and Outputs'!J83</f>
        <v>0</v>
      </c>
      <c r="K61" s="76">
        <f>'Inputs and Outputs'!K83</f>
        <v>0</v>
      </c>
      <c r="L61" s="76">
        <f>'Inputs and Outputs'!L83</f>
        <v>0</v>
      </c>
      <c r="M61" s="76">
        <f>'Inputs and Outputs'!M83</f>
        <v>0</v>
      </c>
      <c r="N61" s="76">
        <f>'Inputs and Outputs'!N83</f>
        <v>0</v>
      </c>
      <c r="O61" s="76">
        <f>'Inputs and Outputs'!O83</f>
        <v>0</v>
      </c>
      <c r="P61" s="76">
        <f>'Inputs and Outputs'!P83</f>
        <v>0</v>
      </c>
      <c r="Q61" s="76">
        <f>'Inputs and Outputs'!Q83</f>
        <v>0</v>
      </c>
      <c r="R61" s="76">
        <f>'Inputs and Outputs'!R83</f>
        <v>0</v>
      </c>
      <c r="S61" s="76">
        <f>'Inputs and Outputs'!S83</f>
        <v>0</v>
      </c>
      <c r="T61" s="76">
        <f>'Inputs and Outputs'!T83</f>
        <v>0</v>
      </c>
      <c r="U61" s="76">
        <f>'Inputs and Outputs'!U83</f>
        <v>0</v>
      </c>
      <c r="V61" s="76">
        <f>'Inputs and Outputs'!V83</f>
        <v>0</v>
      </c>
      <c r="W61" s="76">
        <f>'Inputs and Outputs'!W83</f>
        <v>0</v>
      </c>
      <c r="X61" s="76">
        <f>'Inputs and Outputs'!X83</f>
        <v>0</v>
      </c>
      <c r="Y61" s="76">
        <f>'Inputs and Outputs'!Y83</f>
        <v>0</v>
      </c>
      <c r="Z61" s="76">
        <f>'Inputs and Outputs'!Z83</f>
        <v>0</v>
      </c>
      <c r="AA61" s="76">
        <f>'Inputs and Outputs'!AA83</f>
        <v>0</v>
      </c>
      <c r="AB61" s="76" t="str">
        <f>'Inputs and Outputs'!AB83</f>
        <v/>
      </c>
      <c r="AC61" s="76" t="str">
        <f>'Inputs and Outputs'!AC83</f>
        <v/>
      </c>
      <c r="AD61" s="76" t="str">
        <f>'Inputs and Outputs'!AD83</f>
        <v/>
      </c>
      <c r="AE61" s="76" t="str">
        <f>'Inputs and Outputs'!AE83</f>
        <v/>
      </c>
      <c r="AF61" s="76" t="str">
        <f>'Inputs and Outputs'!AF83</f>
        <v/>
      </c>
      <c r="AG61" s="76" t="str">
        <f>'Inputs and Outputs'!AG83</f>
        <v/>
      </c>
      <c r="AH61" s="76" t="str">
        <f>'Inputs and Outputs'!AH83</f>
        <v/>
      </c>
      <c r="AI61" s="76" t="str">
        <f>'Inputs and Outputs'!AI83</f>
        <v/>
      </c>
      <c r="AJ61" s="76" t="str">
        <f>'Inputs and Outputs'!AJ83</f>
        <v/>
      </c>
      <c r="AK61" s="76" t="str">
        <f>'Inputs and Outputs'!AK83</f>
        <v/>
      </c>
      <c r="AL61" s="76" t="str">
        <f>'Inputs and Outputs'!AL83</f>
        <v/>
      </c>
      <c r="AM61" s="76" t="str">
        <f>'Inputs and Outputs'!AM83</f>
        <v/>
      </c>
      <c r="AN61" s="76" t="str">
        <f>'Inputs and Outputs'!AN83</f>
        <v/>
      </c>
      <c r="AO61" s="76" t="str">
        <f>'Inputs and Outputs'!AO83</f>
        <v/>
      </c>
      <c r="AP61" s="76" t="str">
        <f>'Inputs and Outputs'!AP83</f>
        <v/>
      </c>
      <c r="AQ61" s="76" t="str">
        <f>'Inputs and Outputs'!AQ83</f>
        <v/>
      </c>
      <c r="AR61" s="76" t="str">
        <f>'Inputs and Outputs'!AR83</f>
        <v/>
      </c>
      <c r="AS61" s="76" t="str">
        <f>'Inputs and Outputs'!AS83</f>
        <v/>
      </c>
      <c r="AT61" s="76" t="str">
        <f>'Inputs and Outputs'!AT83</f>
        <v/>
      </c>
      <c r="AU61" s="76" t="str">
        <f>'Inputs and Outputs'!AU83</f>
        <v/>
      </c>
      <c r="AV61" s="76" t="str">
        <f>'Inputs and Outputs'!AV83</f>
        <v/>
      </c>
      <c r="AW61" s="76" t="str">
        <f>'Inputs and Outputs'!AW83</f>
        <v/>
      </c>
      <c r="AX61" s="76" t="str">
        <f>'Inputs and Outputs'!AX83</f>
        <v/>
      </c>
      <c r="AY61" s="76" t="str">
        <f>'Inputs and Outputs'!AY83</f>
        <v/>
      </c>
      <c r="AZ61" s="76" t="str">
        <f>'Inputs and Outputs'!AZ83</f>
        <v/>
      </c>
      <c r="BA61" s="76" t="str">
        <f>'Inputs and Outputs'!BA83</f>
        <v/>
      </c>
      <c r="BB61" s="76" t="str">
        <f>'Inputs and Outputs'!BB83</f>
        <v/>
      </c>
      <c r="BC61" s="76" t="str">
        <f>'Inputs and Outputs'!BC83</f>
        <v/>
      </c>
      <c r="BD61" s="76" t="str">
        <f>'Inputs and Outputs'!BD83</f>
        <v/>
      </c>
      <c r="BE61" s="76" t="str">
        <f>'Inputs and Outputs'!BE83</f>
        <v/>
      </c>
      <c r="BF61" s="76" t="str">
        <f>'Inputs and Outputs'!BF83</f>
        <v/>
      </c>
      <c r="BG61" s="76" t="str">
        <f>'Inputs and Outputs'!BG83</f>
        <v/>
      </c>
      <c r="BH61" s="76" t="str">
        <f>'Inputs and Outputs'!BH83</f>
        <v/>
      </c>
      <c r="BI61" s="76" t="str">
        <f>'Inputs and Outputs'!BI83</f>
        <v/>
      </c>
      <c r="BJ61" s="76" t="str">
        <f>'Inputs and Outputs'!BJ83</f>
        <v/>
      </c>
      <c r="BK61" s="76" t="str">
        <f>'Inputs and Outputs'!BK83</f>
        <v/>
      </c>
      <c r="BL61" s="76" t="str">
        <f>'Inputs and Outputs'!BL83</f>
        <v/>
      </c>
      <c r="BM61" s="76" t="str">
        <f>'Inputs and Outputs'!BM83</f>
        <v/>
      </c>
      <c r="BN61" s="76" t="str">
        <f>'Inputs and Outputs'!BN83</f>
        <v/>
      </c>
      <c r="BO61" s="76" t="str">
        <f>'Inputs and Outputs'!BO83</f>
        <v/>
      </c>
      <c r="BP61" s="76" t="str">
        <f>'Inputs and Outputs'!BP83</f>
        <v/>
      </c>
      <c r="BQ61" s="76" t="str">
        <f>'Inputs and Outputs'!BQ83</f>
        <v/>
      </c>
      <c r="BR61" s="76" t="str">
        <f>'Inputs and Outputs'!BR83</f>
        <v/>
      </c>
      <c r="BS61" s="76" t="str">
        <f>'Inputs and Outputs'!BS83</f>
        <v/>
      </c>
      <c r="BT61" s="76" t="str">
        <f>'Inputs and Outputs'!BT83</f>
        <v/>
      </c>
      <c r="BU61" s="76" t="str">
        <f>'Inputs and Outputs'!BU83</f>
        <v/>
      </c>
      <c r="BV61" s="76" t="str">
        <f>'Inputs and Outputs'!BV83</f>
        <v/>
      </c>
      <c r="BW61" s="76" t="str">
        <f>'Inputs and Outputs'!BW83</f>
        <v/>
      </c>
      <c r="BX61" s="76" t="str">
        <f>'Inputs and Outputs'!BX83</f>
        <v/>
      </c>
      <c r="BY61" s="76" t="str">
        <f>'Inputs and Outputs'!BY83</f>
        <v/>
      </c>
      <c r="BZ61" s="76" t="str">
        <f>'Inputs and Outputs'!BZ83</f>
        <v/>
      </c>
      <c r="CA61" s="76" t="str">
        <f>'Inputs and Outputs'!CA83</f>
        <v/>
      </c>
      <c r="CB61" s="76" t="str">
        <f>'Inputs and Outputs'!CB83</f>
        <v/>
      </c>
      <c r="CC61" s="76" t="str">
        <f>'Inputs and Outputs'!CC83</f>
        <v/>
      </c>
      <c r="CD61" s="76" t="str">
        <f>'Inputs and Outputs'!CD83</f>
        <v/>
      </c>
      <c r="CE61" s="76" t="str">
        <f>'Inputs and Outputs'!CE83</f>
        <v/>
      </c>
      <c r="CF61" s="76" t="str">
        <f>'Inputs and Outputs'!CF83</f>
        <v/>
      </c>
      <c r="CG61" s="76" t="str">
        <f>'Inputs and Outputs'!CG83</f>
        <v/>
      </c>
      <c r="CH61" s="76" t="str">
        <f>'Inputs and Outputs'!CH83</f>
        <v/>
      </c>
      <c r="CI61" s="76" t="str">
        <f>'Inputs and Outputs'!CI83</f>
        <v/>
      </c>
      <c r="CJ61" s="76" t="str">
        <f>'Inputs and Outputs'!CJ83</f>
        <v/>
      </c>
      <c r="CK61" s="76" t="str">
        <f>'Inputs and Outputs'!CK83</f>
        <v/>
      </c>
      <c r="CL61" s="76" t="str">
        <f>'Inputs and Outputs'!CL83</f>
        <v/>
      </c>
      <c r="CM61" s="76" t="str">
        <f>'Inputs and Outputs'!CM83</f>
        <v/>
      </c>
      <c r="CN61" s="76" t="str">
        <f>'Inputs and Outputs'!CN83</f>
        <v/>
      </c>
      <c r="CO61" s="76" t="str">
        <f>'Inputs and Outputs'!CO83</f>
        <v/>
      </c>
      <c r="CP61" s="76" t="str">
        <f>'Inputs and Outputs'!CP83</f>
        <v/>
      </c>
      <c r="CQ61" s="76" t="str">
        <f>'Inputs and Outputs'!CQ83</f>
        <v/>
      </c>
      <c r="CR61" s="76" t="str">
        <f>'Inputs and Outputs'!CR83</f>
        <v/>
      </c>
      <c r="CS61" s="76" t="str">
        <f>'Inputs and Outputs'!CS83</f>
        <v/>
      </c>
      <c r="CT61" s="76" t="str">
        <f>'Inputs and Outputs'!CT83</f>
        <v/>
      </c>
      <c r="CU61" s="76" t="str">
        <f>'Inputs and Outputs'!CU83</f>
        <v/>
      </c>
      <c r="CV61" s="76" t="str">
        <f>'Inputs and Outputs'!CV83</f>
        <v/>
      </c>
      <c r="CW61" s="76" t="str">
        <f>'Inputs and Outputs'!CW83</f>
        <v/>
      </c>
      <c r="CX61" s="76" t="str">
        <f>'Inputs and Outputs'!CX83</f>
        <v/>
      </c>
    </row>
    <row r="62" spans="1:16384" s="84" customFormat="1" x14ac:dyDescent="0.2">
      <c r="A62" s="64" t="s">
        <v>38</v>
      </c>
      <c r="B62" s="82">
        <f>IF(ISNUMBER(outYear),IF(FederalDepreciation="N/A",0,($B$71-IF(itc_fed_percent_deprbas_fed="Yes",0.5*MIN(itc_fed_percent/100*$B$71,itc_fed_percent_maxvalue),0))),"")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75" customFormat="1" x14ac:dyDescent="0.2">
      <c r="A63" s="64" t="s">
        <v>0</v>
      </c>
      <c r="B63" s="81"/>
      <c r="C63" s="82">
        <f>IF(ISNUMBER(outYear),$B$62*(C61+BonusFraction),"")</f>
        <v>0</v>
      </c>
      <c r="D63" s="82">
        <f t="shared" ref="D63:AI63" si="29">IF(ISNUMBER(outYear),$B$62*D61,"")</f>
        <v>0</v>
      </c>
      <c r="E63" s="82">
        <f t="shared" si="29"/>
        <v>0</v>
      </c>
      <c r="F63" s="82">
        <f t="shared" si="29"/>
        <v>0</v>
      </c>
      <c r="G63" s="82">
        <f t="shared" si="29"/>
        <v>0</v>
      </c>
      <c r="H63" s="82">
        <f t="shared" si="29"/>
        <v>0</v>
      </c>
      <c r="I63" s="82">
        <f t="shared" si="29"/>
        <v>0</v>
      </c>
      <c r="J63" s="82">
        <f t="shared" si="29"/>
        <v>0</v>
      </c>
      <c r="K63" s="82">
        <f t="shared" si="29"/>
        <v>0</v>
      </c>
      <c r="L63" s="82">
        <f t="shared" si="29"/>
        <v>0</v>
      </c>
      <c r="M63" s="82">
        <f t="shared" si="29"/>
        <v>0</v>
      </c>
      <c r="N63" s="82">
        <f t="shared" si="29"/>
        <v>0</v>
      </c>
      <c r="O63" s="82">
        <f t="shared" si="29"/>
        <v>0</v>
      </c>
      <c r="P63" s="82">
        <f t="shared" si="29"/>
        <v>0</v>
      </c>
      <c r="Q63" s="82">
        <f t="shared" si="29"/>
        <v>0</v>
      </c>
      <c r="R63" s="82">
        <f t="shared" si="29"/>
        <v>0</v>
      </c>
      <c r="S63" s="82">
        <f t="shared" si="29"/>
        <v>0</v>
      </c>
      <c r="T63" s="82">
        <f t="shared" si="29"/>
        <v>0</v>
      </c>
      <c r="U63" s="82">
        <f t="shared" si="29"/>
        <v>0</v>
      </c>
      <c r="V63" s="82">
        <f t="shared" si="29"/>
        <v>0</v>
      </c>
      <c r="W63" s="82">
        <f t="shared" si="29"/>
        <v>0</v>
      </c>
      <c r="X63" s="82">
        <f t="shared" si="29"/>
        <v>0</v>
      </c>
      <c r="Y63" s="82">
        <f t="shared" si="29"/>
        <v>0</v>
      </c>
      <c r="Z63" s="82">
        <f t="shared" si="29"/>
        <v>0</v>
      </c>
      <c r="AA63" s="82">
        <f t="shared" si="29"/>
        <v>0</v>
      </c>
      <c r="AB63" s="82" t="str">
        <f t="shared" si="29"/>
        <v/>
      </c>
      <c r="AC63" s="82" t="str">
        <f t="shared" si="29"/>
        <v/>
      </c>
      <c r="AD63" s="82" t="str">
        <f t="shared" si="29"/>
        <v/>
      </c>
      <c r="AE63" s="82" t="str">
        <f t="shared" si="29"/>
        <v/>
      </c>
      <c r="AF63" s="82" t="str">
        <f t="shared" si="29"/>
        <v/>
      </c>
      <c r="AG63" s="82" t="str">
        <f t="shared" si="29"/>
        <v/>
      </c>
      <c r="AH63" s="82" t="str">
        <f t="shared" si="29"/>
        <v/>
      </c>
      <c r="AI63" s="82" t="str">
        <f t="shared" si="29"/>
        <v/>
      </c>
      <c r="AJ63" s="82" t="str">
        <f t="shared" ref="AJ63:BO63" si="30">IF(ISNUMBER(outYear),$B$62*AJ61,"")</f>
        <v/>
      </c>
      <c r="AK63" s="82" t="str">
        <f t="shared" si="30"/>
        <v/>
      </c>
      <c r="AL63" s="82" t="str">
        <f t="shared" si="30"/>
        <v/>
      </c>
      <c r="AM63" s="82" t="str">
        <f t="shared" si="30"/>
        <v/>
      </c>
      <c r="AN63" s="82" t="str">
        <f t="shared" si="30"/>
        <v/>
      </c>
      <c r="AO63" s="82" t="str">
        <f t="shared" si="30"/>
        <v/>
      </c>
      <c r="AP63" s="82" t="str">
        <f t="shared" si="30"/>
        <v/>
      </c>
      <c r="AQ63" s="82" t="str">
        <f t="shared" si="30"/>
        <v/>
      </c>
      <c r="AR63" s="82" t="str">
        <f t="shared" si="30"/>
        <v/>
      </c>
      <c r="AS63" s="82" t="str">
        <f t="shared" si="30"/>
        <v/>
      </c>
      <c r="AT63" s="82" t="str">
        <f t="shared" si="30"/>
        <v/>
      </c>
      <c r="AU63" s="82" t="str">
        <f t="shared" si="30"/>
        <v/>
      </c>
      <c r="AV63" s="82" t="str">
        <f t="shared" si="30"/>
        <v/>
      </c>
      <c r="AW63" s="82" t="str">
        <f t="shared" si="30"/>
        <v/>
      </c>
      <c r="AX63" s="82" t="str">
        <f t="shared" si="30"/>
        <v/>
      </c>
      <c r="AY63" s="82" t="str">
        <f t="shared" si="30"/>
        <v/>
      </c>
      <c r="AZ63" s="82" t="str">
        <f t="shared" si="30"/>
        <v/>
      </c>
      <c r="BA63" s="82" t="str">
        <f t="shared" si="30"/>
        <v/>
      </c>
      <c r="BB63" s="82" t="str">
        <f t="shared" si="30"/>
        <v/>
      </c>
      <c r="BC63" s="82" t="str">
        <f t="shared" si="30"/>
        <v/>
      </c>
      <c r="BD63" s="82" t="str">
        <f t="shared" si="30"/>
        <v/>
      </c>
      <c r="BE63" s="82" t="str">
        <f t="shared" si="30"/>
        <v/>
      </c>
      <c r="BF63" s="82" t="str">
        <f t="shared" si="30"/>
        <v/>
      </c>
      <c r="BG63" s="82" t="str">
        <f t="shared" si="30"/>
        <v/>
      </c>
      <c r="BH63" s="82" t="str">
        <f t="shared" si="30"/>
        <v/>
      </c>
      <c r="BI63" s="82" t="str">
        <f t="shared" si="30"/>
        <v/>
      </c>
      <c r="BJ63" s="82" t="str">
        <f t="shared" si="30"/>
        <v/>
      </c>
      <c r="BK63" s="82" t="str">
        <f t="shared" si="30"/>
        <v/>
      </c>
      <c r="BL63" s="82" t="str">
        <f t="shared" si="30"/>
        <v/>
      </c>
      <c r="BM63" s="82" t="str">
        <f t="shared" si="30"/>
        <v/>
      </c>
      <c r="BN63" s="82" t="str">
        <f t="shared" si="30"/>
        <v/>
      </c>
      <c r="BO63" s="82" t="str">
        <f t="shared" si="30"/>
        <v/>
      </c>
      <c r="BP63" s="82" t="str">
        <f t="shared" ref="BP63:CX63" si="31">IF(ISNUMBER(outYear),$B$62*BP61,"")</f>
        <v/>
      </c>
      <c r="BQ63" s="82" t="str">
        <f t="shared" si="31"/>
        <v/>
      </c>
      <c r="BR63" s="82" t="str">
        <f t="shared" si="31"/>
        <v/>
      </c>
      <c r="BS63" s="82" t="str">
        <f t="shared" si="31"/>
        <v/>
      </c>
      <c r="BT63" s="82" t="str">
        <f t="shared" si="31"/>
        <v/>
      </c>
      <c r="BU63" s="82" t="str">
        <f t="shared" si="31"/>
        <v/>
      </c>
      <c r="BV63" s="82" t="str">
        <f t="shared" si="31"/>
        <v/>
      </c>
      <c r="BW63" s="82" t="str">
        <f t="shared" si="31"/>
        <v/>
      </c>
      <c r="BX63" s="82" t="str">
        <f t="shared" si="31"/>
        <v/>
      </c>
      <c r="BY63" s="82" t="str">
        <f t="shared" si="31"/>
        <v/>
      </c>
      <c r="BZ63" s="82" t="str">
        <f t="shared" si="31"/>
        <v/>
      </c>
      <c r="CA63" s="82" t="str">
        <f t="shared" si="31"/>
        <v/>
      </c>
      <c r="CB63" s="82" t="str">
        <f t="shared" si="31"/>
        <v/>
      </c>
      <c r="CC63" s="82" t="str">
        <f t="shared" si="31"/>
        <v/>
      </c>
      <c r="CD63" s="82" t="str">
        <f t="shared" si="31"/>
        <v/>
      </c>
      <c r="CE63" s="82" t="str">
        <f t="shared" si="31"/>
        <v/>
      </c>
      <c r="CF63" s="82" t="str">
        <f t="shared" si="31"/>
        <v/>
      </c>
      <c r="CG63" s="82" t="str">
        <f t="shared" si="31"/>
        <v/>
      </c>
      <c r="CH63" s="82" t="str">
        <f t="shared" si="31"/>
        <v/>
      </c>
      <c r="CI63" s="82" t="str">
        <f t="shared" si="31"/>
        <v/>
      </c>
      <c r="CJ63" s="82" t="str">
        <f t="shared" si="31"/>
        <v/>
      </c>
      <c r="CK63" s="82" t="str">
        <f t="shared" si="31"/>
        <v/>
      </c>
      <c r="CL63" s="82" t="str">
        <f t="shared" si="31"/>
        <v/>
      </c>
      <c r="CM63" s="82" t="str">
        <f t="shared" si="31"/>
        <v/>
      </c>
      <c r="CN63" s="82" t="str">
        <f t="shared" si="31"/>
        <v/>
      </c>
      <c r="CO63" s="82" t="str">
        <f t="shared" si="31"/>
        <v/>
      </c>
      <c r="CP63" s="82" t="str">
        <f t="shared" si="31"/>
        <v/>
      </c>
      <c r="CQ63" s="82" t="str">
        <f t="shared" si="31"/>
        <v/>
      </c>
      <c r="CR63" s="82" t="str">
        <f t="shared" si="31"/>
        <v/>
      </c>
      <c r="CS63" s="82" t="str">
        <f t="shared" si="31"/>
        <v/>
      </c>
      <c r="CT63" s="82" t="str">
        <f t="shared" si="31"/>
        <v/>
      </c>
      <c r="CU63" s="82" t="str">
        <f t="shared" si="31"/>
        <v/>
      </c>
      <c r="CV63" s="82" t="str">
        <f t="shared" si="31"/>
        <v/>
      </c>
      <c r="CW63" s="82" t="str">
        <f t="shared" si="31"/>
        <v/>
      </c>
      <c r="CX63" s="82" t="str">
        <f t="shared" si="31"/>
        <v/>
      </c>
    </row>
    <row r="64" spans="1:16384" s="75" customFormat="1" x14ac:dyDescent="0.2">
      <c r="A64" s="63" t="s">
        <v>131</v>
      </c>
      <c r="B64" s="81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</row>
    <row r="65" spans="1:255" s="75" customFormat="1" x14ac:dyDescent="0.2">
      <c r="A65" s="64" t="s">
        <v>37</v>
      </c>
      <c r="B65" s="81"/>
      <c r="C65" s="76">
        <f>'Inputs and Outputs'!C84</f>
        <v>0</v>
      </c>
      <c r="D65" s="76">
        <f>'Inputs and Outputs'!D84</f>
        <v>0</v>
      </c>
      <c r="E65" s="76">
        <f>'Inputs and Outputs'!E84</f>
        <v>0</v>
      </c>
      <c r="F65" s="76">
        <f>'Inputs and Outputs'!F84</f>
        <v>0</v>
      </c>
      <c r="G65" s="76">
        <f>'Inputs and Outputs'!G84</f>
        <v>0</v>
      </c>
      <c r="H65" s="76">
        <f>'Inputs and Outputs'!H84</f>
        <v>0</v>
      </c>
      <c r="I65" s="76">
        <f>'Inputs and Outputs'!I84</f>
        <v>0</v>
      </c>
      <c r="J65" s="76">
        <f>'Inputs and Outputs'!J84</f>
        <v>0</v>
      </c>
      <c r="K65" s="76">
        <f>'Inputs and Outputs'!K84</f>
        <v>0</v>
      </c>
      <c r="L65" s="76">
        <f>'Inputs and Outputs'!L84</f>
        <v>0</v>
      </c>
      <c r="M65" s="76">
        <f>'Inputs and Outputs'!M84</f>
        <v>0</v>
      </c>
      <c r="N65" s="76">
        <f>'Inputs and Outputs'!N84</f>
        <v>0</v>
      </c>
      <c r="O65" s="76">
        <f>'Inputs and Outputs'!O84</f>
        <v>0</v>
      </c>
      <c r="P65" s="76">
        <f>'Inputs and Outputs'!P84</f>
        <v>0</v>
      </c>
      <c r="Q65" s="76">
        <f>'Inputs and Outputs'!Q84</f>
        <v>0</v>
      </c>
      <c r="R65" s="76">
        <f>'Inputs and Outputs'!R84</f>
        <v>0</v>
      </c>
      <c r="S65" s="76">
        <f>'Inputs and Outputs'!S84</f>
        <v>0</v>
      </c>
      <c r="T65" s="76">
        <f>'Inputs and Outputs'!T84</f>
        <v>0</v>
      </c>
      <c r="U65" s="76">
        <f>'Inputs and Outputs'!U84</f>
        <v>0</v>
      </c>
      <c r="V65" s="76">
        <f>'Inputs and Outputs'!V84</f>
        <v>0</v>
      </c>
      <c r="W65" s="76">
        <f>'Inputs and Outputs'!W84</f>
        <v>0</v>
      </c>
      <c r="X65" s="76">
        <f>'Inputs and Outputs'!X84</f>
        <v>0</v>
      </c>
      <c r="Y65" s="76">
        <f>'Inputs and Outputs'!Y84</f>
        <v>0</v>
      </c>
      <c r="Z65" s="76">
        <f>'Inputs and Outputs'!Z84</f>
        <v>0</v>
      </c>
      <c r="AA65" s="76">
        <f>'Inputs and Outputs'!AA84</f>
        <v>0</v>
      </c>
      <c r="AB65" s="76" t="str">
        <f>'Inputs and Outputs'!AB84</f>
        <v/>
      </c>
      <c r="AC65" s="76" t="str">
        <f>'Inputs and Outputs'!AC84</f>
        <v/>
      </c>
      <c r="AD65" s="76" t="str">
        <f>'Inputs and Outputs'!AD84</f>
        <v/>
      </c>
      <c r="AE65" s="76" t="str">
        <f>'Inputs and Outputs'!AE84</f>
        <v/>
      </c>
      <c r="AF65" s="76" t="str">
        <f>'Inputs and Outputs'!AF84</f>
        <v/>
      </c>
      <c r="AG65" s="76" t="str">
        <f>'Inputs and Outputs'!AG84</f>
        <v/>
      </c>
      <c r="AH65" s="76" t="str">
        <f>'Inputs and Outputs'!AH84</f>
        <v/>
      </c>
      <c r="AI65" s="76" t="str">
        <f>'Inputs and Outputs'!AI84</f>
        <v/>
      </c>
      <c r="AJ65" s="76" t="str">
        <f>'Inputs and Outputs'!AJ84</f>
        <v/>
      </c>
      <c r="AK65" s="76" t="str">
        <f>'Inputs and Outputs'!AK84</f>
        <v/>
      </c>
      <c r="AL65" s="76" t="str">
        <f>'Inputs and Outputs'!AL84</f>
        <v/>
      </c>
      <c r="AM65" s="76" t="str">
        <f>'Inputs and Outputs'!AM84</f>
        <v/>
      </c>
      <c r="AN65" s="76" t="str">
        <f>'Inputs and Outputs'!AN84</f>
        <v/>
      </c>
      <c r="AO65" s="76" t="str">
        <f>'Inputs and Outputs'!AO84</f>
        <v/>
      </c>
      <c r="AP65" s="76" t="str">
        <f>'Inputs and Outputs'!AP84</f>
        <v/>
      </c>
      <c r="AQ65" s="76" t="str">
        <f>'Inputs and Outputs'!AQ84</f>
        <v/>
      </c>
      <c r="AR65" s="76" t="str">
        <f>'Inputs and Outputs'!AR84</f>
        <v/>
      </c>
      <c r="AS65" s="76" t="str">
        <f>'Inputs and Outputs'!AS84</f>
        <v/>
      </c>
      <c r="AT65" s="76" t="str">
        <f>'Inputs and Outputs'!AT84</f>
        <v/>
      </c>
      <c r="AU65" s="76" t="str">
        <f>'Inputs and Outputs'!AU84</f>
        <v/>
      </c>
      <c r="AV65" s="76" t="str">
        <f>'Inputs and Outputs'!AV84</f>
        <v/>
      </c>
      <c r="AW65" s="76" t="str">
        <f>'Inputs and Outputs'!AW84</f>
        <v/>
      </c>
      <c r="AX65" s="76" t="str">
        <f>'Inputs and Outputs'!AX84</f>
        <v/>
      </c>
      <c r="AY65" s="76" t="str">
        <f>'Inputs and Outputs'!AY84</f>
        <v/>
      </c>
      <c r="AZ65" s="76" t="str">
        <f>'Inputs and Outputs'!AZ84</f>
        <v/>
      </c>
      <c r="BA65" s="76" t="str">
        <f>'Inputs and Outputs'!BA84</f>
        <v/>
      </c>
      <c r="BB65" s="76" t="str">
        <f>'Inputs and Outputs'!BB84</f>
        <v/>
      </c>
      <c r="BC65" s="76" t="str">
        <f>'Inputs and Outputs'!BC84</f>
        <v/>
      </c>
      <c r="BD65" s="76" t="str">
        <f>'Inputs and Outputs'!BD84</f>
        <v/>
      </c>
      <c r="BE65" s="76" t="str">
        <f>'Inputs and Outputs'!BE84</f>
        <v/>
      </c>
      <c r="BF65" s="76" t="str">
        <f>'Inputs and Outputs'!BF84</f>
        <v/>
      </c>
      <c r="BG65" s="76" t="str">
        <f>'Inputs and Outputs'!BG84</f>
        <v/>
      </c>
      <c r="BH65" s="76" t="str">
        <f>'Inputs and Outputs'!BH84</f>
        <v/>
      </c>
      <c r="BI65" s="76" t="str">
        <f>'Inputs and Outputs'!BI84</f>
        <v/>
      </c>
      <c r="BJ65" s="76" t="str">
        <f>'Inputs and Outputs'!BJ84</f>
        <v/>
      </c>
      <c r="BK65" s="76" t="str">
        <f>'Inputs and Outputs'!BK84</f>
        <v/>
      </c>
      <c r="BL65" s="76" t="str">
        <f>'Inputs and Outputs'!BL84</f>
        <v/>
      </c>
      <c r="BM65" s="76" t="str">
        <f>'Inputs and Outputs'!BM84</f>
        <v/>
      </c>
      <c r="BN65" s="76" t="str">
        <f>'Inputs and Outputs'!BN84</f>
        <v/>
      </c>
      <c r="BO65" s="76" t="str">
        <f>'Inputs and Outputs'!BO84</f>
        <v/>
      </c>
      <c r="BP65" s="76" t="str">
        <f>'Inputs and Outputs'!BP84</f>
        <v/>
      </c>
      <c r="BQ65" s="76" t="str">
        <f>'Inputs and Outputs'!BQ84</f>
        <v/>
      </c>
      <c r="BR65" s="76" t="str">
        <f>'Inputs and Outputs'!BR84</f>
        <v/>
      </c>
      <c r="BS65" s="76" t="str">
        <f>'Inputs and Outputs'!BS84</f>
        <v/>
      </c>
      <c r="BT65" s="76" t="str">
        <f>'Inputs and Outputs'!BT84</f>
        <v/>
      </c>
      <c r="BU65" s="76" t="str">
        <f>'Inputs and Outputs'!BU84</f>
        <v/>
      </c>
      <c r="BV65" s="76" t="str">
        <f>'Inputs and Outputs'!BV84</f>
        <v/>
      </c>
      <c r="BW65" s="76" t="str">
        <f>'Inputs and Outputs'!BW84</f>
        <v/>
      </c>
      <c r="BX65" s="76" t="str">
        <f>'Inputs and Outputs'!BX84</f>
        <v/>
      </c>
      <c r="BY65" s="76" t="str">
        <f>'Inputs and Outputs'!BY84</f>
        <v/>
      </c>
      <c r="BZ65" s="76" t="str">
        <f>'Inputs and Outputs'!BZ84</f>
        <v/>
      </c>
      <c r="CA65" s="76" t="str">
        <f>'Inputs and Outputs'!CA84</f>
        <v/>
      </c>
      <c r="CB65" s="76" t="str">
        <f>'Inputs and Outputs'!CB84</f>
        <v/>
      </c>
      <c r="CC65" s="76" t="str">
        <f>'Inputs and Outputs'!CC84</f>
        <v/>
      </c>
      <c r="CD65" s="76" t="str">
        <f>'Inputs and Outputs'!CD84</f>
        <v/>
      </c>
      <c r="CE65" s="76" t="str">
        <f>'Inputs and Outputs'!CE84</f>
        <v/>
      </c>
      <c r="CF65" s="76" t="str">
        <f>'Inputs and Outputs'!CF84</f>
        <v/>
      </c>
      <c r="CG65" s="76" t="str">
        <f>'Inputs and Outputs'!CG84</f>
        <v/>
      </c>
      <c r="CH65" s="76" t="str">
        <f>'Inputs and Outputs'!CH84</f>
        <v/>
      </c>
      <c r="CI65" s="76" t="str">
        <f>'Inputs and Outputs'!CI84</f>
        <v/>
      </c>
      <c r="CJ65" s="76" t="str">
        <f>'Inputs and Outputs'!CJ84</f>
        <v/>
      </c>
      <c r="CK65" s="76" t="str">
        <f>'Inputs and Outputs'!CK84</f>
        <v/>
      </c>
      <c r="CL65" s="76" t="str">
        <f>'Inputs and Outputs'!CL84</f>
        <v/>
      </c>
      <c r="CM65" s="76" t="str">
        <f>'Inputs and Outputs'!CM84</f>
        <v/>
      </c>
      <c r="CN65" s="76" t="str">
        <f>'Inputs and Outputs'!CN84</f>
        <v/>
      </c>
      <c r="CO65" s="76" t="str">
        <f>'Inputs and Outputs'!CO84</f>
        <v/>
      </c>
      <c r="CP65" s="76" t="str">
        <f>'Inputs and Outputs'!CP84</f>
        <v/>
      </c>
      <c r="CQ65" s="76" t="str">
        <f>'Inputs and Outputs'!CQ84</f>
        <v/>
      </c>
      <c r="CR65" s="76" t="str">
        <f>'Inputs and Outputs'!CR84</f>
        <v/>
      </c>
      <c r="CS65" s="76" t="str">
        <f>'Inputs and Outputs'!CS84</f>
        <v/>
      </c>
      <c r="CT65" s="76" t="str">
        <f>'Inputs and Outputs'!CT84</f>
        <v/>
      </c>
      <c r="CU65" s="76" t="str">
        <f>'Inputs and Outputs'!CU84</f>
        <v/>
      </c>
      <c r="CV65" s="76" t="str">
        <f>'Inputs and Outputs'!CV84</f>
        <v/>
      </c>
      <c r="CW65" s="76" t="str">
        <f>'Inputs and Outputs'!CW84</f>
        <v/>
      </c>
      <c r="CX65" s="76" t="str">
        <f>'Inputs and Outputs'!CX84</f>
        <v/>
      </c>
    </row>
    <row r="66" spans="1:255" s="75" customFormat="1" x14ac:dyDescent="0.2">
      <c r="A66" s="64" t="s">
        <v>38</v>
      </c>
      <c r="B66" s="82">
        <f>IF(ISNUMBER(outYear),IF(FederalDepreciation="N/A",0,($B$73-IF(batt_itc_fed_percent_deprbas_fed="Yes",0.5*MIN(batt_itc_fed_percent/100*$B$73,batt_itc_fed_percent_maxvalue),0))),"")</f>
        <v>85000</v>
      </c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2"/>
      <c r="BP66" s="82"/>
      <c r="BQ66" s="82"/>
      <c r="BR66" s="82"/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2"/>
      <c r="CE66" s="82"/>
      <c r="CF66" s="82"/>
      <c r="CG66" s="82"/>
      <c r="CH66" s="82"/>
      <c r="CI66" s="82"/>
      <c r="CJ66" s="82"/>
      <c r="CK66" s="82"/>
      <c r="CL66" s="82"/>
      <c r="CM66" s="82"/>
      <c r="CN66" s="82"/>
      <c r="CO66" s="82"/>
      <c r="CP66" s="82"/>
      <c r="CQ66" s="82"/>
      <c r="CR66" s="82"/>
      <c r="CS66" s="82"/>
      <c r="CT66" s="82"/>
      <c r="CU66" s="82"/>
      <c r="CV66" s="82"/>
      <c r="CW66" s="82"/>
      <c r="CX66" s="82"/>
    </row>
    <row r="67" spans="1:255" s="75" customFormat="1" x14ac:dyDescent="0.2">
      <c r="A67" s="64" t="s">
        <v>0</v>
      </c>
      <c r="B67" s="81"/>
      <c r="C67" s="82">
        <f>IF(ISNUMBER(outYear),$B$66*(C65+BatteryBonusFraction),"")</f>
        <v>0</v>
      </c>
      <c r="D67" s="82">
        <f t="shared" ref="D67:AI67" si="32">IF(ISNUMBER(outYear),$B$66*D65,"")</f>
        <v>0</v>
      </c>
      <c r="E67" s="82">
        <f t="shared" si="32"/>
        <v>0</v>
      </c>
      <c r="F67" s="82">
        <f t="shared" si="32"/>
        <v>0</v>
      </c>
      <c r="G67" s="82">
        <f t="shared" si="32"/>
        <v>0</v>
      </c>
      <c r="H67" s="82">
        <f t="shared" si="32"/>
        <v>0</v>
      </c>
      <c r="I67" s="82">
        <f t="shared" si="32"/>
        <v>0</v>
      </c>
      <c r="J67" s="82">
        <f t="shared" si="32"/>
        <v>0</v>
      </c>
      <c r="K67" s="82">
        <f t="shared" si="32"/>
        <v>0</v>
      </c>
      <c r="L67" s="82">
        <f t="shared" si="32"/>
        <v>0</v>
      </c>
      <c r="M67" s="82">
        <f t="shared" si="32"/>
        <v>0</v>
      </c>
      <c r="N67" s="82">
        <f t="shared" si="32"/>
        <v>0</v>
      </c>
      <c r="O67" s="82">
        <f t="shared" si="32"/>
        <v>0</v>
      </c>
      <c r="P67" s="82">
        <f t="shared" si="32"/>
        <v>0</v>
      </c>
      <c r="Q67" s="82">
        <f t="shared" si="32"/>
        <v>0</v>
      </c>
      <c r="R67" s="82">
        <f t="shared" si="32"/>
        <v>0</v>
      </c>
      <c r="S67" s="82">
        <f t="shared" si="32"/>
        <v>0</v>
      </c>
      <c r="T67" s="82">
        <f t="shared" si="32"/>
        <v>0</v>
      </c>
      <c r="U67" s="82">
        <f t="shared" si="32"/>
        <v>0</v>
      </c>
      <c r="V67" s="82">
        <f t="shared" si="32"/>
        <v>0</v>
      </c>
      <c r="W67" s="82">
        <f t="shared" si="32"/>
        <v>0</v>
      </c>
      <c r="X67" s="82">
        <f t="shared" si="32"/>
        <v>0</v>
      </c>
      <c r="Y67" s="82">
        <f t="shared" si="32"/>
        <v>0</v>
      </c>
      <c r="Z67" s="82">
        <f t="shared" si="32"/>
        <v>0</v>
      </c>
      <c r="AA67" s="82">
        <f t="shared" si="32"/>
        <v>0</v>
      </c>
      <c r="AB67" s="82" t="str">
        <f t="shared" si="32"/>
        <v/>
      </c>
      <c r="AC67" s="82" t="str">
        <f t="shared" si="32"/>
        <v/>
      </c>
      <c r="AD67" s="82" t="str">
        <f t="shared" si="32"/>
        <v/>
      </c>
      <c r="AE67" s="82" t="str">
        <f t="shared" si="32"/>
        <v/>
      </c>
      <c r="AF67" s="82" t="str">
        <f t="shared" si="32"/>
        <v/>
      </c>
      <c r="AG67" s="82" t="str">
        <f t="shared" si="32"/>
        <v/>
      </c>
      <c r="AH67" s="82" t="str">
        <f t="shared" si="32"/>
        <v/>
      </c>
      <c r="AI67" s="82" t="str">
        <f t="shared" si="32"/>
        <v/>
      </c>
      <c r="AJ67" s="82" t="str">
        <f t="shared" ref="AJ67:BO67" si="33">IF(ISNUMBER(outYear),$B$66*AJ65,"")</f>
        <v/>
      </c>
      <c r="AK67" s="82" t="str">
        <f t="shared" si="33"/>
        <v/>
      </c>
      <c r="AL67" s="82" t="str">
        <f t="shared" si="33"/>
        <v/>
      </c>
      <c r="AM67" s="82" t="str">
        <f t="shared" si="33"/>
        <v/>
      </c>
      <c r="AN67" s="82" t="str">
        <f t="shared" si="33"/>
        <v/>
      </c>
      <c r="AO67" s="82" t="str">
        <f t="shared" si="33"/>
        <v/>
      </c>
      <c r="AP67" s="82" t="str">
        <f t="shared" si="33"/>
        <v/>
      </c>
      <c r="AQ67" s="82" t="str">
        <f t="shared" si="33"/>
        <v/>
      </c>
      <c r="AR67" s="82" t="str">
        <f t="shared" si="33"/>
        <v/>
      </c>
      <c r="AS67" s="82" t="str">
        <f t="shared" si="33"/>
        <v/>
      </c>
      <c r="AT67" s="82" t="str">
        <f t="shared" si="33"/>
        <v/>
      </c>
      <c r="AU67" s="82" t="str">
        <f t="shared" si="33"/>
        <v/>
      </c>
      <c r="AV67" s="82" t="str">
        <f t="shared" si="33"/>
        <v/>
      </c>
      <c r="AW67" s="82" t="str">
        <f t="shared" si="33"/>
        <v/>
      </c>
      <c r="AX67" s="82" t="str">
        <f t="shared" si="33"/>
        <v/>
      </c>
      <c r="AY67" s="82" t="str">
        <f t="shared" si="33"/>
        <v/>
      </c>
      <c r="AZ67" s="82" t="str">
        <f t="shared" si="33"/>
        <v/>
      </c>
      <c r="BA67" s="82" t="str">
        <f t="shared" si="33"/>
        <v/>
      </c>
      <c r="BB67" s="82" t="str">
        <f t="shared" si="33"/>
        <v/>
      </c>
      <c r="BC67" s="82" t="str">
        <f t="shared" si="33"/>
        <v/>
      </c>
      <c r="BD67" s="82" t="str">
        <f t="shared" si="33"/>
        <v/>
      </c>
      <c r="BE67" s="82" t="str">
        <f t="shared" si="33"/>
        <v/>
      </c>
      <c r="BF67" s="82" t="str">
        <f t="shared" si="33"/>
        <v/>
      </c>
      <c r="BG67" s="82" t="str">
        <f t="shared" si="33"/>
        <v/>
      </c>
      <c r="BH67" s="82" t="str">
        <f t="shared" si="33"/>
        <v/>
      </c>
      <c r="BI67" s="82" t="str">
        <f t="shared" si="33"/>
        <v/>
      </c>
      <c r="BJ67" s="82" t="str">
        <f t="shared" si="33"/>
        <v/>
      </c>
      <c r="BK67" s="82" t="str">
        <f t="shared" si="33"/>
        <v/>
      </c>
      <c r="BL67" s="82" t="str">
        <f t="shared" si="33"/>
        <v/>
      </c>
      <c r="BM67" s="82" t="str">
        <f t="shared" si="33"/>
        <v/>
      </c>
      <c r="BN67" s="82" t="str">
        <f t="shared" si="33"/>
        <v/>
      </c>
      <c r="BO67" s="82" t="str">
        <f t="shared" si="33"/>
        <v/>
      </c>
      <c r="BP67" s="82" t="str">
        <f t="shared" ref="BP67:CX67" si="34">IF(ISNUMBER(outYear),$B$66*BP65,"")</f>
        <v/>
      </c>
      <c r="BQ67" s="82" t="str">
        <f t="shared" si="34"/>
        <v/>
      </c>
      <c r="BR67" s="82" t="str">
        <f t="shared" si="34"/>
        <v/>
      </c>
      <c r="BS67" s="82" t="str">
        <f t="shared" si="34"/>
        <v/>
      </c>
      <c r="BT67" s="82" t="str">
        <f t="shared" si="34"/>
        <v/>
      </c>
      <c r="BU67" s="82" t="str">
        <f t="shared" si="34"/>
        <v/>
      </c>
      <c r="BV67" s="82" t="str">
        <f t="shared" si="34"/>
        <v/>
      </c>
      <c r="BW67" s="82" t="str">
        <f t="shared" si="34"/>
        <v/>
      </c>
      <c r="BX67" s="82" t="str">
        <f t="shared" si="34"/>
        <v/>
      </c>
      <c r="BY67" s="82" t="str">
        <f t="shared" si="34"/>
        <v/>
      </c>
      <c r="BZ67" s="82" t="str">
        <f t="shared" si="34"/>
        <v/>
      </c>
      <c r="CA67" s="82" t="str">
        <f t="shared" si="34"/>
        <v/>
      </c>
      <c r="CB67" s="82" t="str">
        <f t="shared" si="34"/>
        <v/>
      </c>
      <c r="CC67" s="82" t="str">
        <f t="shared" si="34"/>
        <v/>
      </c>
      <c r="CD67" s="82" t="str">
        <f t="shared" si="34"/>
        <v/>
      </c>
      <c r="CE67" s="82" t="str">
        <f t="shared" si="34"/>
        <v/>
      </c>
      <c r="CF67" s="82" t="str">
        <f t="shared" si="34"/>
        <v/>
      </c>
      <c r="CG67" s="82" t="str">
        <f t="shared" si="34"/>
        <v/>
      </c>
      <c r="CH67" s="82" t="str">
        <f t="shared" si="34"/>
        <v/>
      </c>
      <c r="CI67" s="82" t="str">
        <f t="shared" si="34"/>
        <v/>
      </c>
      <c r="CJ67" s="82" t="str">
        <f t="shared" si="34"/>
        <v/>
      </c>
      <c r="CK67" s="82" t="str">
        <f t="shared" si="34"/>
        <v/>
      </c>
      <c r="CL67" s="82" t="str">
        <f t="shared" si="34"/>
        <v/>
      </c>
      <c r="CM67" s="82" t="str">
        <f t="shared" si="34"/>
        <v/>
      </c>
      <c r="CN67" s="82" t="str">
        <f t="shared" si="34"/>
        <v/>
      </c>
      <c r="CO67" s="82" t="str">
        <f t="shared" si="34"/>
        <v/>
      </c>
      <c r="CP67" s="82" t="str">
        <f t="shared" si="34"/>
        <v/>
      </c>
      <c r="CQ67" s="82" t="str">
        <f t="shared" si="34"/>
        <v/>
      </c>
      <c r="CR67" s="82" t="str">
        <f t="shared" si="34"/>
        <v/>
      </c>
      <c r="CS67" s="82" t="str">
        <f t="shared" si="34"/>
        <v/>
      </c>
      <c r="CT67" s="82" t="str">
        <f t="shared" si="34"/>
        <v/>
      </c>
      <c r="CU67" s="82" t="str">
        <f t="shared" si="34"/>
        <v/>
      </c>
      <c r="CV67" s="82" t="str">
        <f t="shared" si="34"/>
        <v/>
      </c>
      <c r="CW67" s="82" t="str">
        <f t="shared" si="34"/>
        <v/>
      </c>
      <c r="CX67" s="82" t="str">
        <f t="shared" si="34"/>
        <v/>
      </c>
    </row>
    <row r="68" spans="1:255" x14ac:dyDescent="0.2">
      <c r="A68" s="63" t="s">
        <v>32</v>
      </c>
      <c r="B68" s="16"/>
      <c r="C68" s="82">
        <f t="shared" ref="C68:AH68" si="35">IF(ISNUMBER(outYear),SUM(C59,C63,C67),"")</f>
        <v>4391.72</v>
      </c>
      <c r="D68" s="82">
        <f t="shared" si="35"/>
        <v>4479.5544</v>
      </c>
      <c r="E68" s="82">
        <f t="shared" si="35"/>
        <v>4569.1454880000001</v>
      </c>
      <c r="F68" s="82">
        <f t="shared" si="35"/>
        <v>4660.5283977600002</v>
      </c>
      <c r="G68" s="82">
        <f t="shared" si="35"/>
        <v>4753.7389657151998</v>
      </c>
      <c r="H68" s="82">
        <f t="shared" si="35"/>
        <v>4848.8137450295044</v>
      </c>
      <c r="I68" s="82">
        <f t="shared" si="35"/>
        <v>4945.7900199300948</v>
      </c>
      <c r="J68" s="82">
        <f t="shared" si="35"/>
        <v>5044.7058203286961</v>
      </c>
      <c r="K68" s="82">
        <f t="shared" si="35"/>
        <v>5145.5999367352697</v>
      </c>
      <c r="L68" s="82">
        <f t="shared" si="35"/>
        <v>94880.454582143284</v>
      </c>
      <c r="M68" s="82">
        <f t="shared" si="35"/>
        <v>5353.4821741793758</v>
      </c>
      <c r="N68" s="82">
        <f t="shared" si="35"/>
        <v>5460.5518176629621</v>
      </c>
      <c r="O68" s="82">
        <f t="shared" si="35"/>
        <v>5569.7628540162214</v>
      </c>
      <c r="P68" s="82">
        <f t="shared" si="35"/>
        <v>5681.1581110965462</v>
      </c>
      <c r="Q68" s="82">
        <f t="shared" si="35"/>
        <v>5794.7812733184765</v>
      </c>
      <c r="R68" s="82">
        <f t="shared" si="35"/>
        <v>5910.6768987848445</v>
      </c>
      <c r="S68" s="82">
        <f t="shared" si="35"/>
        <v>6028.8904367605428</v>
      </c>
      <c r="T68" s="82">
        <f t="shared" si="35"/>
        <v>6149.4682454957547</v>
      </c>
      <c r="U68" s="82">
        <f t="shared" si="35"/>
        <v>6272.4576104056687</v>
      </c>
      <c r="V68" s="82">
        <f t="shared" si="35"/>
        <v>6397.9067626137821</v>
      </c>
      <c r="W68" s="82">
        <f t="shared" si="35"/>
        <v>6525.8648978660585</v>
      </c>
      <c r="X68" s="82">
        <f t="shared" si="35"/>
        <v>6656.3821958233793</v>
      </c>
      <c r="Y68" s="82">
        <f t="shared" si="35"/>
        <v>6789.5098397398469</v>
      </c>
      <c r="Z68" s="82">
        <f t="shared" si="35"/>
        <v>6925.3000365346425</v>
      </c>
      <c r="AA68" s="82">
        <f t="shared" si="35"/>
        <v>7063.8060372653363</v>
      </c>
      <c r="AB68" s="82" t="str">
        <f t="shared" si="35"/>
        <v/>
      </c>
      <c r="AC68" s="82" t="str">
        <f t="shared" si="35"/>
        <v/>
      </c>
      <c r="AD68" s="82" t="str">
        <f t="shared" si="35"/>
        <v/>
      </c>
      <c r="AE68" s="82" t="str">
        <f t="shared" si="35"/>
        <v/>
      </c>
      <c r="AF68" s="82" t="str">
        <f t="shared" si="35"/>
        <v/>
      </c>
      <c r="AG68" s="82" t="str">
        <f t="shared" si="35"/>
        <v/>
      </c>
      <c r="AH68" s="82" t="str">
        <f t="shared" si="35"/>
        <v/>
      </c>
      <c r="AI68" s="82" t="str">
        <f t="shared" ref="AI68:BN68" si="36">IF(ISNUMBER(outYear),SUM(AI59,AI63,AI67),"")</f>
        <v/>
      </c>
      <c r="AJ68" s="82" t="str">
        <f t="shared" si="36"/>
        <v/>
      </c>
      <c r="AK68" s="82" t="str">
        <f t="shared" si="36"/>
        <v/>
      </c>
      <c r="AL68" s="82" t="str">
        <f t="shared" si="36"/>
        <v/>
      </c>
      <c r="AM68" s="82" t="str">
        <f t="shared" si="36"/>
        <v/>
      </c>
      <c r="AN68" s="82" t="str">
        <f t="shared" si="36"/>
        <v/>
      </c>
      <c r="AO68" s="82" t="str">
        <f t="shared" si="36"/>
        <v/>
      </c>
      <c r="AP68" s="82" t="str">
        <f t="shared" si="36"/>
        <v/>
      </c>
      <c r="AQ68" s="82" t="str">
        <f t="shared" si="36"/>
        <v/>
      </c>
      <c r="AR68" s="82" t="str">
        <f t="shared" si="36"/>
        <v/>
      </c>
      <c r="AS68" s="82" t="str">
        <f t="shared" si="36"/>
        <v/>
      </c>
      <c r="AT68" s="82" t="str">
        <f t="shared" si="36"/>
        <v/>
      </c>
      <c r="AU68" s="82" t="str">
        <f t="shared" si="36"/>
        <v/>
      </c>
      <c r="AV68" s="82" t="str">
        <f t="shared" si="36"/>
        <v/>
      </c>
      <c r="AW68" s="82" t="str">
        <f t="shared" si="36"/>
        <v/>
      </c>
      <c r="AX68" s="82" t="str">
        <f t="shared" si="36"/>
        <v/>
      </c>
      <c r="AY68" s="82" t="str">
        <f t="shared" si="36"/>
        <v/>
      </c>
      <c r="AZ68" s="82" t="str">
        <f t="shared" si="36"/>
        <v/>
      </c>
      <c r="BA68" s="82" t="str">
        <f t="shared" si="36"/>
        <v/>
      </c>
      <c r="BB68" s="82" t="str">
        <f t="shared" si="36"/>
        <v/>
      </c>
      <c r="BC68" s="82" t="str">
        <f t="shared" si="36"/>
        <v/>
      </c>
      <c r="BD68" s="82" t="str">
        <f t="shared" si="36"/>
        <v/>
      </c>
      <c r="BE68" s="82" t="str">
        <f t="shared" si="36"/>
        <v/>
      </c>
      <c r="BF68" s="82" t="str">
        <f t="shared" si="36"/>
        <v/>
      </c>
      <c r="BG68" s="82" t="str">
        <f t="shared" si="36"/>
        <v/>
      </c>
      <c r="BH68" s="82" t="str">
        <f t="shared" si="36"/>
        <v/>
      </c>
      <c r="BI68" s="82" t="str">
        <f t="shared" si="36"/>
        <v/>
      </c>
      <c r="BJ68" s="82" t="str">
        <f t="shared" si="36"/>
        <v/>
      </c>
      <c r="BK68" s="82" t="str">
        <f t="shared" si="36"/>
        <v/>
      </c>
      <c r="BL68" s="82" t="str">
        <f t="shared" si="36"/>
        <v/>
      </c>
      <c r="BM68" s="82" t="str">
        <f t="shared" si="36"/>
        <v/>
      </c>
      <c r="BN68" s="82" t="str">
        <f t="shared" si="36"/>
        <v/>
      </c>
      <c r="BO68" s="82" t="str">
        <f t="shared" ref="BO68:CT68" si="37">IF(ISNUMBER(outYear),SUM(BO59,BO63,BO67),"")</f>
        <v/>
      </c>
      <c r="BP68" s="82" t="str">
        <f t="shared" si="37"/>
        <v/>
      </c>
      <c r="BQ68" s="82" t="str">
        <f t="shared" si="37"/>
        <v/>
      </c>
      <c r="BR68" s="82" t="str">
        <f t="shared" si="37"/>
        <v/>
      </c>
      <c r="BS68" s="82" t="str">
        <f t="shared" si="37"/>
        <v/>
      </c>
      <c r="BT68" s="82" t="str">
        <f t="shared" si="37"/>
        <v/>
      </c>
      <c r="BU68" s="82" t="str">
        <f t="shared" si="37"/>
        <v/>
      </c>
      <c r="BV68" s="82" t="str">
        <f t="shared" si="37"/>
        <v/>
      </c>
      <c r="BW68" s="82" t="str">
        <f t="shared" si="37"/>
        <v/>
      </c>
      <c r="BX68" s="82" t="str">
        <f t="shared" si="37"/>
        <v/>
      </c>
      <c r="BY68" s="82" t="str">
        <f t="shared" si="37"/>
        <v/>
      </c>
      <c r="BZ68" s="82" t="str">
        <f t="shared" si="37"/>
        <v/>
      </c>
      <c r="CA68" s="82" t="str">
        <f t="shared" si="37"/>
        <v/>
      </c>
      <c r="CB68" s="82" t="str">
        <f t="shared" si="37"/>
        <v/>
      </c>
      <c r="CC68" s="82" t="str">
        <f t="shared" si="37"/>
        <v/>
      </c>
      <c r="CD68" s="82" t="str">
        <f t="shared" si="37"/>
        <v/>
      </c>
      <c r="CE68" s="82" t="str">
        <f t="shared" si="37"/>
        <v/>
      </c>
      <c r="CF68" s="82" t="str">
        <f t="shared" si="37"/>
        <v/>
      </c>
      <c r="CG68" s="82" t="str">
        <f t="shared" si="37"/>
        <v/>
      </c>
      <c r="CH68" s="82" t="str">
        <f t="shared" si="37"/>
        <v/>
      </c>
      <c r="CI68" s="82" t="str">
        <f t="shared" si="37"/>
        <v/>
      </c>
      <c r="CJ68" s="82" t="str">
        <f t="shared" si="37"/>
        <v/>
      </c>
      <c r="CK68" s="82" t="str">
        <f t="shared" si="37"/>
        <v/>
      </c>
      <c r="CL68" s="82" t="str">
        <f t="shared" si="37"/>
        <v/>
      </c>
      <c r="CM68" s="82" t="str">
        <f t="shared" si="37"/>
        <v/>
      </c>
      <c r="CN68" s="82" t="str">
        <f t="shared" si="37"/>
        <v/>
      </c>
      <c r="CO68" s="82" t="str">
        <f t="shared" si="37"/>
        <v/>
      </c>
      <c r="CP68" s="82" t="str">
        <f t="shared" si="37"/>
        <v/>
      </c>
      <c r="CQ68" s="82" t="str">
        <f t="shared" si="37"/>
        <v/>
      </c>
      <c r="CR68" s="82" t="str">
        <f t="shared" si="37"/>
        <v/>
      </c>
      <c r="CS68" s="82" t="str">
        <f t="shared" si="37"/>
        <v/>
      </c>
      <c r="CT68" s="82" t="str">
        <f t="shared" si="37"/>
        <v/>
      </c>
      <c r="CU68" s="82" t="str">
        <f t="shared" ref="CU68:DZ68" si="38">IF(ISNUMBER(outYear),SUM(CU59,CU63,CU67),"")</f>
        <v/>
      </c>
      <c r="CV68" s="82" t="str">
        <f t="shared" si="38"/>
        <v/>
      </c>
      <c r="CW68" s="82" t="str">
        <f t="shared" si="38"/>
        <v/>
      </c>
      <c r="CX68" s="82" t="str">
        <f t="shared" si="38"/>
        <v/>
      </c>
    </row>
    <row r="69" spans="1:255" x14ac:dyDescent="0.2">
      <c r="A69" s="58" t="s">
        <v>79</v>
      </c>
      <c r="B69" s="16"/>
      <c r="C69" s="77">
        <f t="shared" ref="C69:AH69" si="39">IF(ISNUMBER(outYear),C57-C68,"")</f>
        <v>-4391.72</v>
      </c>
      <c r="D69" s="77">
        <f t="shared" si="39"/>
        <v>-4479.5544</v>
      </c>
      <c r="E69" s="77">
        <f t="shared" si="39"/>
        <v>-4569.1454880000001</v>
      </c>
      <c r="F69" s="77">
        <f t="shared" si="39"/>
        <v>-4660.5283977600002</v>
      </c>
      <c r="G69" s="77">
        <f t="shared" si="39"/>
        <v>-4753.7389657151998</v>
      </c>
      <c r="H69" s="77">
        <f t="shared" si="39"/>
        <v>-4848.8137450295044</v>
      </c>
      <c r="I69" s="77">
        <f t="shared" si="39"/>
        <v>-4945.7900199300948</v>
      </c>
      <c r="J69" s="77">
        <f t="shared" si="39"/>
        <v>-5044.7058203286961</v>
      </c>
      <c r="K69" s="77">
        <f t="shared" si="39"/>
        <v>-5145.5999367352697</v>
      </c>
      <c r="L69" s="77">
        <f t="shared" si="39"/>
        <v>-94880.454582143284</v>
      </c>
      <c r="M69" s="77">
        <f t="shared" si="39"/>
        <v>-5353.4821741793758</v>
      </c>
      <c r="N69" s="77">
        <f t="shared" si="39"/>
        <v>-5460.5518176629621</v>
      </c>
      <c r="O69" s="77">
        <f t="shared" si="39"/>
        <v>-5569.7628540162214</v>
      </c>
      <c r="P69" s="77">
        <f t="shared" si="39"/>
        <v>-5681.1581110965462</v>
      </c>
      <c r="Q69" s="77">
        <f t="shared" si="39"/>
        <v>-5794.7812733184765</v>
      </c>
      <c r="R69" s="77">
        <f t="shared" si="39"/>
        <v>-5910.6768987848445</v>
      </c>
      <c r="S69" s="77">
        <f t="shared" si="39"/>
        <v>-6028.8904367605428</v>
      </c>
      <c r="T69" s="77">
        <f t="shared" si="39"/>
        <v>-6149.4682454957547</v>
      </c>
      <c r="U69" s="77">
        <f t="shared" si="39"/>
        <v>-6272.4576104056687</v>
      </c>
      <c r="V69" s="77">
        <f t="shared" si="39"/>
        <v>-6397.9067626137821</v>
      </c>
      <c r="W69" s="77">
        <f t="shared" si="39"/>
        <v>-6525.8648978660585</v>
      </c>
      <c r="X69" s="77">
        <f t="shared" si="39"/>
        <v>-6656.3821958233793</v>
      </c>
      <c r="Y69" s="77">
        <f t="shared" si="39"/>
        <v>-6789.5098397398469</v>
      </c>
      <c r="Z69" s="77">
        <f t="shared" si="39"/>
        <v>-6925.3000365346425</v>
      </c>
      <c r="AA69" s="77">
        <f t="shared" si="39"/>
        <v>-7063.8060372653363</v>
      </c>
      <c r="AB69" s="77" t="str">
        <f t="shared" si="39"/>
        <v/>
      </c>
      <c r="AC69" s="77" t="str">
        <f t="shared" si="39"/>
        <v/>
      </c>
      <c r="AD69" s="77" t="str">
        <f t="shared" si="39"/>
        <v/>
      </c>
      <c r="AE69" s="77" t="str">
        <f t="shared" si="39"/>
        <v/>
      </c>
      <c r="AF69" s="77" t="str">
        <f t="shared" si="39"/>
        <v/>
      </c>
      <c r="AG69" s="77" t="str">
        <f t="shared" si="39"/>
        <v/>
      </c>
      <c r="AH69" s="77" t="str">
        <f t="shared" si="39"/>
        <v/>
      </c>
      <c r="AI69" s="77" t="str">
        <f t="shared" ref="AI69:BN69" si="40">IF(ISNUMBER(outYear),AI57-AI68,"")</f>
        <v/>
      </c>
      <c r="AJ69" s="77" t="str">
        <f t="shared" si="40"/>
        <v/>
      </c>
      <c r="AK69" s="77" t="str">
        <f t="shared" si="40"/>
        <v/>
      </c>
      <c r="AL69" s="77" t="str">
        <f t="shared" si="40"/>
        <v/>
      </c>
      <c r="AM69" s="77" t="str">
        <f t="shared" si="40"/>
        <v/>
      </c>
      <c r="AN69" s="77" t="str">
        <f t="shared" si="40"/>
        <v/>
      </c>
      <c r="AO69" s="77" t="str">
        <f t="shared" si="40"/>
        <v/>
      </c>
      <c r="AP69" s="77" t="str">
        <f t="shared" si="40"/>
        <v/>
      </c>
      <c r="AQ69" s="77" t="str">
        <f t="shared" si="40"/>
        <v/>
      </c>
      <c r="AR69" s="77" t="str">
        <f t="shared" si="40"/>
        <v/>
      </c>
      <c r="AS69" s="77" t="str">
        <f t="shared" si="40"/>
        <v/>
      </c>
      <c r="AT69" s="77" t="str">
        <f t="shared" si="40"/>
        <v/>
      </c>
      <c r="AU69" s="77" t="str">
        <f t="shared" si="40"/>
        <v/>
      </c>
      <c r="AV69" s="77" t="str">
        <f t="shared" si="40"/>
        <v/>
      </c>
      <c r="AW69" s="77" t="str">
        <f t="shared" si="40"/>
        <v/>
      </c>
      <c r="AX69" s="77" t="str">
        <f t="shared" si="40"/>
        <v/>
      </c>
      <c r="AY69" s="77" t="str">
        <f t="shared" si="40"/>
        <v/>
      </c>
      <c r="AZ69" s="77" t="str">
        <f t="shared" si="40"/>
        <v/>
      </c>
      <c r="BA69" s="77" t="str">
        <f t="shared" si="40"/>
        <v/>
      </c>
      <c r="BB69" s="77" t="str">
        <f t="shared" si="40"/>
        <v/>
      </c>
      <c r="BC69" s="77" t="str">
        <f t="shared" si="40"/>
        <v/>
      </c>
      <c r="BD69" s="77" t="str">
        <f t="shared" si="40"/>
        <v/>
      </c>
      <c r="BE69" s="77" t="str">
        <f t="shared" si="40"/>
        <v/>
      </c>
      <c r="BF69" s="77" t="str">
        <f t="shared" si="40"/>
        <v/>
      </c>
      <c r="BG69" s="77" t="str">
        <f t="shared" si="40"/>
        <v/>
      </c>
      <c r="BH69" s="77" t="str">
        <f t="shared" si="40"/>
        <v/>
      </c>
      <c r="BI69" s="77" t="str">
        <f t="shared" si="40"/>
        <v/>
      </c>
      <c r="BJ69" s="77" t="str">
        <f t="shared" si="40"/>
        <v/>
      </c>
      <c r="BK69" s="77" t="str">
        <f t="shared" si="40"/>
        <v/>
      </c>
      <c r="BL69" s="77" t="str">
        <f t="shared" si="40"/>
        <v/>
      </c>
      <c r="BM69" s="77" t="str">
        <f t="shared" si="40"/>
        <v/>
      </c>
      <c r="BN69" s="77" t="str">
        <f t="shared" si="40"/>
        <v/>
      </c>
      <c r="BO69" s="77" t="str">
        <f t="shared" ref="BO69:CT69" si="41">IF(ISNUMBER(outYear),BO57-BO68,"")</f>
        <v/>
      </c>
      <c r="BP69" s="77" t="str">
        <f t="shared" si="41"/>
        <v/>
      </c>
      <c r="BQ69" s="77" t="str">
        <f t="shared" si="41"/>
        <v/>
      </c>
      <c r="BR69" s="77" t="str">
        <f t="shared" si="41"/>
        <v/>
      </c>
      <c r="BS69" s="77" t="str">
        <f t="shared" si="41"/>
        <v/>
      </c>
      <c r="BT69" s="77" t="str">
        <f t="shared" si="41"/>
        <v/>
      </c>
      <c r="BU69" s="77" t="str">
        <f t="shared" si="41"/>
        <v/>
      </c>
      <c r="BV69" s="77" t="str">
        <f t="shared" si="41"/>
        <v/>
      </c>
      <c r="BW69" s="77" t="str">
        <f t="shared" si="41"/>
        <v/>
      </c>
      <c r="BX69" s="77" t="str">
        <f t="shared" si="41"/>
        <v/>
      </c>
      <c r="BY69" s="77" t="str">
        <f t="shared" si="41"/>
        <v/>
      </c>
      <c r="BZ69" s="77" t="str">
        <f t="shared" si="41"/>
        <v/>
      </c>
      <c r="CA69" s="77" t="str">
        <f t="shared" si="41"/>
        <v/>
      </c>
      <c r="CB69" s="77" t="str">
        <f t="shared" si="41"/>
        <v/>
      </c>
      <c r="CC69" s="77" t="str">
        <f t="shared" si="41"/>
        <v/>
      </c>
      <c r="CD69" s="77" t="str">
        <f t="shared" si="41"/>
        <v/>
      </c>
      <c r="CE69" s="77" t="str">
        <f t="shared" si="41"/>
        <v/>
      </c>
      <c r="CF69" s="77" t="str">
        <f t="shared" si="41"/>
        <v/>
      </c>
      <c r="CG69" s="77" t="str">
        <f t="shared" si="41"/>
        <v/>
      </c>
      <c r="CH69" s="77" t="str">
        <f t="shared" si="41"/>
        <v/>
      </c>
      <c r="CI69" s="77" t="str">
        <f t="shared" si="41"/>
        <v/>
      </c>
      <c r="CJ69" s="77" t="str">
        <f t="shared" si="41"/>
        <v/>
      </c>
      <c r="CK69" s="77" t="str">
        <f t="shared" si="41"/>
        <v/>
      </c>
      <c r="CL69" s="77" t="str">
        <f t="shared" si="41"/>
        <v/>
      </c>
      <c r="CM69" s="77" t="str">
        <f t="shared" si="41"/>
        <v/>
      </c>
      <c r="CN69" s="77" t="str">
        <f t="shared" si="41"/>
        <v/>
      </c>
      <c r="CO69" s="77" t="str">
        <f t="shared" si="41"/>
        <v/>
      </c>
      <c r="CP69" s="77" t="str">
        <f t="shared" si="41"/>
        <v/>
      </c>
      <c r="CQ69" s="77" t="str">
        <f t="shared" si="41"/>
        <v/>
      </c>
      <c r="CR69" s="77" t="str">
        <f t="shared" si="41"/>
        <v/>
      </c>
      <c r="CS69" s="77" t="str">
        <f t="shared" si="41"/>
        <v/>
      </c>
      <c r="CT69" s="77" t="str">
        <f t="shared" si="41"/>
        <v/>
      </c>
      <c r="CU69" s="77" t="str">
        <f t="shared" ref="CU69:DZ69" si="42">IF(ISNUMBER(outYear),CU57-CU68,"")</f>
        <v/>
      </c>
      <c r="CV69" s="77" t="str">
        <f t="shared" si="42"/>
        <v/>
      </c>
      <c r="CW69" s="77" t="str">
        <f t="shared" si="42"/>
        <v/>
      </c>
      <c r="CX69" s="77" t="str">
        <f t="shared" si="42"/>
        <v/>
      </c>
    </row>
    <row r="70" spans="1:255" x14ac:dyDescent="0.2">
      <c r="A70" s="66" t="s">
        <v>8</v>
      </c>
      <c r="B70" s="16"/>
      <c r="C70" s="77">
        <f t="shared" ref="C70:AH70" si="43">IF(ISNUMBER(outYear),+C69*federal_tax_rate/100,"")</f>
        <v>-1624.9364</v>
      </c>
      <c r="D70" s="77">
        <f t="shared" si="43"/>
        <v>-1657.4351280000001</v>
      </c>
      <c r="E70" s="77">
        <f t="shared" si="43"/>
        <v>-1690.58383056</v>
      </c>
      <c r="F70" s="77">
        <f t="shared" si="43"/>
        <v>-1724.3955071712001</v>
      </c>
      <c r="G70" s="77">
        <f t="shared" si="43"/>
        <v>-1758.883417314624</v>
      </c>
      <c r="H70" s="77">
        <f t="shared" si="43"/>
        <v>-1794.0610856609167</v>
      </c>
      <c r="I70" s="77">
        <f t="shared" si="43"/>
        <v>-1829.9423073741352</v>
      </c>
      <c r="J70" s="77">
        <f t="shared" si="43"/>
        <v>-1866.5411535216176</v>
      </c>
      <c r="K70" s="77">
        <f t="shared" si="43"/>
        <v>-1903.8719765920498</v>
      </c>
      <c r="L70" s="77">
        <f t="shared" si="43"/>
        <v>-35105.768195393015</v>
      </c>
      <c r="M70" s="77">
        <f t="shared" si="43"/>
        <v>-1980.788404446369</v>
      </c>
      <c r="N70" s="77">
        <f t="shared" si="43"/>
        <v>-2020.4041725352959</v>
      </c>
      <c r="O70" s="77">
        <f t="shared" si="43"/>
        <v>-2060.8122559860021</v>
      </c>
      <c r="P70" s="77">
        <f t="shared" si="43"/>
        <v>-2102.0285011057222</v>
      </c>
      <c r="Q70" s="77">
        <f t="shared" si="43"/>
        <v>-2144.0690711278362</v>
      </c>
      <c r="R70" s="77">
        <f t="shared" si="43"/>
        <v>-2186.9504525503926</v>
      </c>
      <c r="S70" s="77">
        <f t="shared" si="43"/>
        <v>-2230.689461601401</v>
      </c>
      <c r="T70" s="77">
        <f t="shared" si="43"/>
        <v>-2275.3032508334295</v>
      </c>
      <c r="U70" s="77">
        <f t="shared" si="43"/>
        <v>-2320.8093158500974</v>
      </c>
      <c r="V70" s="77">
        <f t="shared" si="43"/>
        <v>-2367.2255021670994</v>
      </c>
      <c r="W70" s="77">
        <f t="shared" si="43"/>
        <v>-2414.5700122104417</v>
      </c>
      <c r="X70" s="77">
        <f t="shared" si="43"/>
        <v>-2462.8614124546502</v>
      </c>
      <c r="Y70" s="77">
        <f t="shared" si="43"/>
        <v>-2512.1186407037435</v>
      </c>
      <c r="Z70" s="77">
        <f t="shared" si="43"/>
        <v>-2562.3610135178178</v>
      </c>
      <c r="AA70" s="77">
        <f t="shared" si="43"/>
        <v>-2613.6082337881744</v>
      </c>
      <c r="AB70" s="77" t="str">
        <f t="shared" si="43"/>
        <v/>
      </c>
      <c r="AC70" s="77" t="str">
        <f t="shared" si="43"/>
        <v/>
      </c>
      <c r="AD70" s="77" t="str">
        <f t="shared" si="43"/>
        <v/>
      </c>
      <c r="AE70" s="77" t="str">
        <f t="shared" si="43"/>
        <v/>
      </c>
      <c r="AF70" s="77" t="str">
        <f t="shared" si="43"/>
        <v/>
      </c>
      <c r="AG70" s="77" t="str">
        <f t="shared" si="43"/>
        <v/>
      </c>
      <c r="AH70" s="77" t="str">
        <f t="shared" si="43"/>
        <v/>
      </c>
      <c r="AI70" s="77" t="str">
        <f t="shared" ref="AI70:BN70" si="44">IF(ISNUMBER(outYear),+AI69*federal_tax_rate/100,"")</f>
        <v/>
      </c>
      <c r="AJ70" s="77" t="str">
        <f t="shared" si="44"/>
        <v/>
      </c>
      <c r="AK70" s="77" t="str">
        <f t="shared" si="44"/>
        <v/>
      </c>
      <c r="AL70" s="77" t="str">
        <f t="shared" si="44"/>
        <v/>
      </c>
      <c r="AM70" s="77" t="str">
        <f t="shared" si="44"/>
        <v/>
      </c>
      <c r="AN70" s="77" t="str">
        <f t="shared" si="44"/>
        <v/>
      </c>
      <c r="AO70" s="77" t="str">
        <f t="shared" si="44"/>
        <v/>
      </c>
      <c r="AP70" s="77" t="str">
        <f t="shared" si="44"/>
        <v/>
      </c>
      <c r="AQ70" s="77" t="str">
        <f t="shared" si="44"/>
        <v/>
      </c>
      <c r="AR70" s="77" t="str">
        <f t="shared" si="44"/>
        <v/>
      </c>
      <c r="AS70" s="77" t="str">
        <f t="shared" si="44"/>
        <v/>
      </c>
      <c r="AT70" s="77" t="str">
        <f t="shared" si="44"/>
        <v/>
      </c>
      <c r="AU70" s="77" t="str">
        <f t="shared" si="44"/>
        <v/>
      </c>
      <c r="AV70" s="77" t="str">
        <f t="shared" si="44"/>
        <v/>
      </c>
      <c r="AW70" s="77" t="str">
        <f t="shared" si="44"/>
        <v/>
      </c>
      <c r="AX70" s="77" t="str">
        <f t="shared" si="44"/>
        <v/>
      </c>
      <c r="AY70" s="77" t="str">
        <f t="shared" si="44"/>
        <v/>
      </c>
      <c r="AZ70" s="77" t="str">
        <f t="shared" si="44"/>
        <v/>
      </c>
      <c r="BA70" s="77" t="str">
        <f t="shared" si="44"/>
        <v/>
      </c>
      <c r="BB70" s="77" t="str">
        <f t="shared" si="44"/>
        <v/>
      </c>
      <c r="BC70" s="77" t="str">
        <f t="shared" si="44"/>
        <v/>
      </c>
      <c r="BD70" s="77" t="str">
        <f t="shared" si="44"/>
        <v/>
      </c>
      <c r="BE70" s="77" t="str">
        <f t="shared" si="44"/>
        <v/>
      </c>
      <c r="BF70" s="77" t="str">
        <f t="shared" si="44"/>
        <v/>
      </c>
      <c r="BG70" s="77" t="str">
        <f t="shared" si="44"/>
        <v/>
      </c>
      <c r="BH70" s="77" t="str">
        <f t="shared" si="44"/>
        <v/>
      </c>
      <c r="BI70" s="77" t="str">
        <f t="shared" si="44"/>
        <v/>
      </c>
      <c r="BJ70" s="77" t="str">
        <f t="shared" si="44"/>
        <v/>
      </c>
      <c r="BK70" s="77" t="str">
        <f t="shared" si="44"/>
        <v/>
      </c>
      <c r="BL70" s="77" t="str">
        <f t="shared" si="44"/>
        <v/>
      </c>
      <c r="BM70" s="77" t="str">
        <f t="shared" si="44"/>
        <v/>
      </c>
      <c r="BN70" s="77" t="str">
        <f t="shared" si="44"/>
        <v/>
      </c>
      <c r="BO70" s="77" t="str">
        <f t="shared" ref="BO70:CT70" si="45">IF(ISNUMBER(outYear),+BO69*federal_tax_rate/100,"")</f>
        <v/>
      </c>
      <c r="BP70" s="77" t="str">
        <f t="shared" si="45"/>
        <v/>
      </c>
      <c r="BQ70" s="77" t="str">
        <f t="shared" si="45"/>
        <v/>
      </c>
      <c r="BR70" s="77" t="str">
        <f t="shared" si="45"/>
        <v/>
      </c>
      <c r="BS70" s="77" t="str">
        <f t="shared" si="45"/>
        <v/>
      </c>
      <c r="BT70" s="77" t="str">
        <f t="shared" si="45"/>
        <v/>
      </c>
      <c r="BU70" s="77" t="str">
        <f t="shared" si="45"/>
        <v/>
      </c>
      <c r="BV70" s="77" t="str">
        <f t="shared" si="45"/>
        <v/>
      </c>
      <c r="BW70" s="77" t="str">
        <f t="shared" si="45"/>
        <v/>
      </c>
      <c r="BX70" s="77" t="str">
        <f t="shared" si="45"/>
        <v/>
      </c>
      <c r="BY70" s="77" t="str">
        <f t="shared" si="45"/>
        <v/>
      </c>
      <c r="BZ70" s="77" t="str">
        <f t="shared" si="45"/>
        <v/>
      </c>
      <c r="CA70" s="77" t="str">
        <f t="shared" si="45"/>
        <v/>
      </c>
      <c r="CB70" s="77" t="str">
        <f t="shared" si="45"/>
        <v/>
      </c>
      <c r="CC70" s="77" t="str">
        <f t="shared" si="45"/>
        <v/>
      </c>
      <c r="CD70" s="77" t="str">
        <f t="shared" si="45"/>
        <v/>
      </c>
      <c r="CE70" s="77" t="str">
        <f t="shared" si="45"/>
        <v/>
      </c>
      <c r="CF70" s="77" t="str">
        <f t="shared" si="45"/>
        <v/>
      </c>
      <c r="CG70" s="77" t="str">
        <f t="shared" si="45"/>
        <v/>
      </c>
      <c r="CH70" s="77" t="str">
        <f t="shared" si="45"/>
        <v/>
      </c>
      <c r="CI70" s="77" t="str">
        <f t="shared" si="45"/>
        <v/>
      </c>
      <c r="CJ70" s="77" t="str">
        <f t="shared" si="45"/>
        <v/>
      </c>
      <c r="CK70" s="77" t="str">
        <f t="shared" si="45"/>
        <v/>
      </c>
      <c r="CL70" s="77" t="str">
        <f t="shared" si="45"/>
        <v/>
      </c>
      <c r="CM70" s="77" t="str">
        <f t="shared" si="45"/>
        <v/>
      </c>
      <c r="CN70" s="77" t="str">
        <f t="shared" si="45"/>
        <v/>
      </c>
      <c r="CO70" s="77" t="str">
        <f t="shared" si="45"/>
        <v/>
      </c>
      <c r="CP70" s="77" t="str">
        <f t="shared" si="45"/>
        <v/>
      </c>
      <c r="CQ70" s="77" t="str">
        <f t="shared" si="45"/>
        <v/>
      </c>
      <c r="CR70" s="77" t="str">
        <f t="shared" si="45"/>
        <v/>
      </c>
      <c r="CS70" s="77" t="str">
        <f t="shared" si="45"/>
        <v/>
      </c>
      <c r="CT70" s="77" t="str">
        <f t="shared" si="45"/>
        <v/>
      </c>
      <c r="CU70" s="77" t="str">
        <f t="shared" ref="CU70:CX70" si="46">IF(ISNUMBER(outYear),+CU69*federal_tax_rate/100,"")</f>
        <v/>
      </c>
      <c r="CV70" s="77" t="str">
        <f t="shared" si="46"/>
        <v/>
      </c>
      <c r="CW70" s="77" t="str">
        <f t="shared" si="46"/>
        <v/>
      </c>
      <c r="CX70" s="77" t="str">
        <f t="shared" si="46"/>
        <v/>
      </c>
    </row>
    <row r="71" spans="1:255" x14ac:dyDescent="0.2">
      <c r="A71" s="58" t="s">
        <v>132</v>
      </c>
      <c r="B71" s="77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>442718</v>
      </c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7"/>
      <c r="BZ71" s="77"/>
      <c r="CA71" s="77"/>
      <c r="CB71" s="77"/>
      <c r="CC71" s="77"/>
      <c r="CD71" s="77"/>
      <c r="CE71" s="77"/>
      <c r="CF71" s="77"/>
      <c r="CG71" s="77"/>
      <c r="CH71" s="77"/>
      <c r="CI71" s="77"/>
      <c r="CJ71" s="77"/>
      <c r="CK71" s="77"/>
      <c r="CL71" s="77"/>
      <c r="CM71" s="77"/>
      <c r="CN71" s="77"/>
      <c r="CO71" s="77"/>
      <c r="CP71" s="77"/>
      <c r="CQ71" s="77"/>
      <c r="CR71" s="77"/>
      <c r="CS71" s="77"/>
      <c r="CT71" s="77"/>
      <c r="CU71" s="77"/>
      <c r="CV71" s="77"/>
      <c r="CW71" s="77"/>
      <c r="CX71" s="77"/>
    </row>
    <row r="72" spans="1:255" x14ac:dyDescent="0.2">
      <c r="A72" s="58" t="s">
        <v>133</v>
      </c>
      <c r="B72" s="16"/>
      <c r="C72" s="77">
        <f>IF(ISNUMBER(outYear),MIN(itc_fed_percent/100*$B$71,itc_fed_percent_maxvalue),"")</f>
        <v>132815.4</v>
      </c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7"/>
      <c r="BZ72" s="77"/>
      <c r="CA72" s="77"/>
      <c r="CB72" s="77"/>
      <c r="CC72" s="77"/>
      <c r="CD72" s="77"/>
      <c r="CE72" s="77"/>
      <c r="CF72" s="77"/>
      <c r="CG72" s="77"/>
      <c r="CH72" s="77"/>
      <c r="CI72" s="77"/>
      <c r="CJ72" s="77"/>
      <c r="CK72" s="77"/>
      <c r="CL72" s="77"/>
      <c r="CM72" s="77"/>
      <c r="CN72" s="77"/>
      <c r="CO72" s="77"/>
      <c r="CP72" s="77"/>
      <c r="CQ72" s="77"/>
      <c r="CR72" s="77"/>
      <c r="CS72" s="77"/>
      <c r="CT72" s="77"/>
      <c r="CU72" s="77"/>
      <c r="CV72" s="77"/>
      <c r="CW72" s="77"/>
      <c r="CX72" s="77"/>
    </row>
    <row r="73" spans="1:255" x14ac:dyDescent="0.2">
      <c r="A73" s="58" t="s">
        <v>134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>100000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255" x14ac:dyDescent="0.2">
      <c r="A74" s="58" t="s">
        <v>135</v>
      </c>
      <c r="B74" s="16"/>
      <c r="C74" s="82">
        <f>IF(ISNUMBER(outYear),MIN(batt_itc_fed_percent/100*$B$73,batt_itc_fed_percent_maxvalue),"")</f>
        <v>30000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255" x14ac:dyDescent="0.2">
      <c r="A75" s="68" t="s">
        <v>36</v>
      </c>
      <c r="B75" s="67"/>
      <c r="C75" s="78">
        <f t="shared" ref="C75:AH75" si="47">IF(ISNUMBER(outYear),-C70+C72+C74,"")</f>
        <v>164440.3364</v>
      </c>
      <c r="D75" s="78">
        <f t="shared" si="47"/>
        <v>1657.4351280000001</v>
      </c>
      <c r="E75" s="78">
        <f t="shared" si="47"/>
        <v>1690.58383056</v>
      </c>
      <c r="F75" s="78">
        <f t="shared" si="47"/>
        <v>1724.3955071712001</v>
      </c>
      <c r="G75" s="78">
        <f t="shared" si="47"/>
        <v>1758.883417314624</v>
      </c>
      <c r="H75" s="78">
        <f t="shared" si="47"/>
        <v>1794.0610856609167</v>
      </c>
      <c r="I75" s="78">
        <f t="shared" si="47"/>
        <v>1829.9423073741352</v>
      </c>
      <c r="J75" s="78">
        <f t="shared" si="47"/>
        <v>1866.5411535216176</v>
      </c>
      <c r="K75" s="78">
        <f t="shared" si="47"/>
        <v>1903.8719765920498</v>
      </c>
      <c r="L75" s="78">
        <f t="shared" si="47"/>
        <v>35105.768195393015</v>
      </c>
      <c r="M75" s="78">
        <f t="shared" si="47"/>
        <v>1980.788404446369</v>
      </c>
      <c r="N75" s="78">
        <f t="shared" si="47"/>
        <v>2020.4041725352959</v>
      </c>
      <c r="O75" s="78">
        <f t="shared" si="47"/>
        <v>2060.8122559860021</v>
      </c>
      <c r="P75" s="78">
        <f t="shared" si="47"/>
        <v>2102.0285011057222</v>
      </c>
      <c r="Q75" s="78">
        <f t="shared" si="47"/>
        <v>2144.0690711278362</v>
      </c>
      <c r="R75" s="78">
        <f t="shared" si="47"/>
        <v>2186.9504525503926</v>
      </c>
      <c r="S75" s="78">
        <f t="shared" si="47"/>
        <v>2230.689461601401</v>
      </c>
      <c r="T75" s="78">
        <f t="shared" si="47"/>
        <v>2275.3032508334295</v>
      </c>
      <c r="U75" s="78">
        <f t="shared" si="47"/>
        <v>2320.8093158500974</v>
      </c>
      <c r="V75" s="78">
        <f t="shared" si="47"/>
        <v>2367.2255021670994</v>
      </c>
      <c r="W75" s="78">
        <f t="shared" si="47"/>
        <v>2414.5700122104417</v>
      </c>
      <c r="X75" s="78">
        <f t="shared" si="47"/>
        <v>2462.8614124546502</v>
      </c>
      <c r="Y75" s="78">
        <f t="shared" si="47"/>
        <v>2512.1186407037435</v>
      </c>
      <c r="Z75" s="78">
        <f t="shared" si="47"/>
        <v>2562.3610135178178</v>
      </c>
      <c r="AA75" s="78">
        <f t="shared" si="47"/>
        <v>2613.6082337881744</v>
      </c>
      <c r="AB75" s="78" t="str">
        <f t="shared" si="47"/>
        <v/>
      </c>
      <c r="AC75" s="78" t="str">
        <f t="shared" si="47"/>
        <v/>
      </c>
      <c r="AD75" s="78" t="str">
        <f t="shared" si="47"/>
        <v/>
      </c>
      <c r="AE75" s="78" t="str">
        <f t="shared" si="47"/>
        <v/>
      </c>
      <c r="AF75" s="78" t="str">
        <f t="shared" si="47"/>
        <v/>
      </c>
      <c r="AG75" s="78" t="str">
        <f t="shared" si="47"/>
        <v/>
      </c>
      <c r="AH75" s="78" t="str">
        <f t="shared" si="47"/>
        <v/>
      </c>
      <c r="AI75" s="78" t="str">
        <f t="shared" ref="AI75:BN75" si="48">IF(ISNUMBER(outYear),-AI70+AI72+AI74,"")</f>
        <v/>
      </c>
      <c r="AJ75" s="78" t="str">
        <f t="shared" si="48"/>
        <v/>
      </c>
      <c r="AK75" s="78" t="str">
        <f t="shared" si="48"/>
        <v/>
      </c>
      <c r="AL75" s="78" t="str">
        <f t="shared" si="48"/>
        <v/>
      </c>
      <c r="AM75" s="78" t="str">
        <f t="shared" si="48"/>
        <v/>
      </c>
      <c r="AN75" s="78" t="str">
        <f t="shared" si="48"/>
        <v/>
      </c>
      <c r="AO75" s="78" t="str">
        <f t="shared" si="48"/>
        <v/>
      </c>
      <c r="AP75" s="78" t="str">
        <f t="shared" si="48"/>
        <v/>
      </c>
      <c r="AQ75" s="78" t="str">
        <f t="shared" si="48"/>
        <v/>
      </c>
      <c r="AR75" s="78" t="str">
        <f t="shared" si="48"/>
        <v/>
      </c>
      <c r="AS75" s="78" t="str">
        <f t="shared" si="48"/>
        <v/>
      </c>
      <c r="AT75" s="78" t="str">
        <f t="shared" si="48"/>
        <v/>
      </c>
      <c r="AU75" s="78" t="str">
        <f t="shared" si="48"/>
        <v/>
      </c>
      <c r="AV75" s="78" t="str">
        <f t="shared" si="48"/>
        <v/>
      </c>
      <c r="AW75" s="78" t="str">
        <f t="shared" si="48"/>
        <v/>
      </c>
      <c r="AX75" s="78" t="str">
        <f t="shared" si="48"/>
        <v/>
      </c>
      <c r="AY75" s="78" t="str">
        <f t="shared" si="48"/>
        <v/>
      </c>
      <c r="AZ75" s="78" t="str">
        <f t="shared" si="48"/>
        <v/>
      </c>
      <c r="BA75" s="78" t="str">
        <f t="shared" si="48"/>
        <v/>
      </c>
      <c r="BB75" s="78" t="str">
        <f t="shared" si="48"/>
        <v/>
      </c>
      <c r="BC75" s="78" t="str">
        <f t="shared" si="48"/>
        <v/>
      </c>
      <c r="BD75" s="78" t="str">
        <f t="shared" si="48"/>
        <v/>
      </c>
      <c r="BE75" s="78" t="str">
        <f t="shared" si="48"/>
        <v/>
      </c>
      <c r="BF75" s="78" t="str">
        <f t="shared" si="48"/>
        <v/>
      </c>
      <c r="BG75" s="78" t="str">
        <f t="shared" si="48"/>
        <v/>
      </c>
      <c r="BH75" s="78" t="str">
        <f t="shared" si="48"/>
        <v/>
      </c>
      <c r="BI75" s="78" t="str">
        <f t="shared" si="48"/>
        <v/>
      </c>
      <c r="BJ75" s="78" t="str">
        <f t="shared" si="48"/>
        <v/>
      </c>
      <c r="BK75" s="78" t="str">
        <f t="shared" si="48"/>
        <v/>
      </c>
      <c r="BL75" s="78" t="str">
        <f t="shared" si="48"/>
        <v/>
      </c>
      <c r="BM75" s="78" t="str">
        <f t="shared" si="48"/>
        <v/>
      </c>
      <c r="BN75" s="78" t="str">
        <f t="shared" si="48"/>
        <v/>
      </c>
      <c r="BO75" s="78" t="str">
        <f t="shared" ref="BO75:CT75" si="49">IF(ISNUMBER(outYear),-BO70+BO72+BO74,"")</f>
        <v/>
      </c>
      <c r="BP75" s="78" t="str">
        <f t="shared" si="49"/>
        <v/>
      </c>
      <c r="BQ75" s="78" t="str">
        <f t="shared" si="49"/>
        <v/>
      </c>
      <c r="BR75" s="78" t="str">
        <f t="shared" si="49"/>
        <v/>
      </c>
      <c r="BS75" s="78" t="str">
        <f t="shared" si="49"/>
        <v/>
      </c>
      <c r="BT75" s="78" t="str">
        <f t="shared" si="49"/>
        <v/>
      </c>
      <c r="BU75" s="78" t="str">
        <f t="shared" si="49"/>
        <v/>
      </c>
      <c r="BV75" s="78" t="str">
        <f t="shared" si="49"/>
        <v/>
      </c>
      <c r="BW75" s="78" t="str">
        <f t="shared" si="49"/>
        <v/>
      </c>
      <c r="BX75" s="78" t="str">
        <f t="shared" si="49"/>
        <v/>
      </c>
      <c r="BY75" s="78" t="str">
        <f t="shared" si="49"/>
        <v/>
      </c>
      <c r="BZ75" s="78" t="str">
        <f t="shared" si="49"/>
        <v/>
      </c>
      <c r="CA75" s="78" t="str">
        <f t="shared" si="49"/>
        <v/>
      </c>
      <c r="CB75" s="78" t="str">
        <f t="shared" si="49"/>
        <v/>
      </c>
      <c r="CC75" s="78" t="str">
        <f t="shared" si="49"/>
        <v/>
      </c>
      <c r="CD75" s="78" t="str">
        <f t="shared" si="49"/>
        <v/>
      </c>
      <c r="CE75" s="78" t="str">
        <f t="shared" si="49"/>
        <v/>
      </c>
      <c r="CF75" s="78" t="str">
        <f t="shared" si="49"/>
        <v/>
      </c>
      <c r="CG75" s="78" t="str">
        <f t="shared" si="49"/>
        <v/>
      </c>
      <c r="CH75" s="78" t="str">
        <f t="shared" si="49"/>
        <v/>
      </c>
      <c r="CI75" s="78" t="str">
        <f t="shared" si="49"/>
        <v/>
      </c>
      <c r="CJ75" s="78" t="str">
        <f t="shared" si="49"/>
        <v/>
      </c>
      <c r="CK75" s="78" t="str">
        <f t="shared" si="49"/>
        <v/>
      </c>
      <c r="CL75" s="78" t="str">
        <f t="shared" si="49"/>
        <v/>
      </c>
      <c r="CM75" s="78" t="str">
        <f t="shared" si="49"/>
        <v/>
      </c>
      <c r="CN75" s="78" t="str">
        <f t="shared" si="49"/>
        <v/>
      </c>
      <c r="CO75" s="78" t="str">
        <f t="shared" si="49"/>
        <v/>
      </c>
      <c r="CP75" s="78" t="str">
        <f t="shared" si="49"/>
        <v/>
      </c>
      <c r="CQ75" s="78" t="str">
        <f t="shared" si="49"/>
        <v/>
      </c>
      <c r="CR75" s="78" t="str">
        <f t="shared" si="49"/>
        <v/>
      </c>
      <c r="CS75" s="78" t="str">
        <f t="shared" si="49"/>
        <v/>
      </c>
      <c r="CT75" s="78" t="str">
        <f t="shared" si="49"/>
        <v/>
      </c>
      <c r="CU75" s="78" t="str">
        <f t="shared" ref="CU75:DZ75" si="50">IF(ISNUMBER(outYear),-CU70+CU72+CU74,"")</f>
        <v/>
      </c>
      <c r="CV75" s="78" t="str">
        <f t="shared" si="50"/>
        <v/>
      </c>
      <c r="CW75" s="78" t="str">
        <f t="shared" si="50"/>
        <v/>
      </c>
      <c r="CX75" s="78" t="str">
        <f t="shared" si="50"/>
        <v/>
      </c>
    </row>
    <row r="76" spans="1:255" x14ac:dyDescent="0.2">
      <c r="A76" s="58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255" x14ac:dyDescent="0.2">
      <c r="A77" s="66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255" x14ac:dyDescent="0.2">
      <c r="A78" s="57" t="s">
        <v>39</v>
      </c>
      <c r="B78" s="77">
        <f>B23+B54-total_installed_cost</f>
        <v>-542718</v>
      </c>
      <c r="C78" s="77">
        <f t="shared" ref="C78:AH78" si="51">IF(ISNUMBER(outYear),(C31+C54+C75),"")</f>
        <v>160048.6164</v>
      </c>
      <c r="D78" s="77">
        <f t="shared" si="51"/>
        <v>-2822.1192719999999</v>
      </c>
      <c r="E78" s="77">
        <f t="shared" si="51"/>
        <v>-2878.5616574400001</v>
      </c>
      <c r="F78" s="77">
        <f t="shared" si="51"/>
        <v>-2936.1328905888004</v>
      </c>
      <c r="G78" s="77">
        <f t="shared" si="51"/>
        <v>-2994.8555484005756</v>
      </c>
      <c r="H78" s="77">
        <f t="shared" si="51"/>
        <v>-3054.752659368588</v>
      </c>
      <c r="I78" s="77">
        <f t="shared" si="51"/>
        <v>-3115.8477125559593</v>
      </c>
      <c r="J78" s="77">
        <f t="shared" si="51"/>
        <v>-3178.1646668070784</v>
      </c>
      <c r="K78" s="77">
        <f t="shared" si="51"/>
        <v>-3241.7279601432201</v>
      </c>
      <c r="L78" s="77">
        <f t="shared" si="51"/>
        <v>-59774.686386750269</v>
      </c>
      <c r="M78" s="77">
        <f t="shared" si="51"/>
        <v>-3372.6937697330068</v>
      </c>
      <c r="N78" s="77">
        <f t="shared" si="51"/>
        <v>-3440.1476451276662</v>
      </c>
      <c r="O78" s="77">
        <f t="shared" si="51"/>
        <v>-3508.9505980302192</v>
      </c>
      <c r="P78" s="77">
        <f t="shared" si="51"/>
        <v>-3579.1296099908241</v>
      </c>
      <c r="Q78" s="77">
        <f t="shared" si="51"/>
        <v>-3650.7122021906403</v>
      </c>
      <c r="R78" s="77">
        <f t="shared" si="51"/>
        <v>-3723.7264462344519</v>
      </c>
      <c r="S78" s="77">
        <f t="shared" si="51"/>
        <v>-3798.2009751591418</v>
      </c>
      <c r="T78" s="77">
        <f t="shared" si="51"/>
        <v>-3874.1649946623252</v>
      </c>
      <c r="U78" s="77">
        <f t="shared" si="51"/>
        <v>-3951.6482945555713</v>
      </c>
      <c r="V78" s="77">
        <f t="shared" si="51"/>
        <v>-4030.6812604466827</v>
      </c>
      <c r="W78" s="77">
        <f t="shared" si="51"/>
        <v>-4111.2948856556168</v>
      </c>
      <c r="X78" s="77">
        <f t="shared" si="51"/>
        <v>-4193.5207833687291</v>
      </c>
      <c r="Y78" s="77">
        <f t="shared" si="51"/>
        <v>-4277.391199036103</v>
      </c>
      <c r="Z78" s="77">
        <f t="shared" si="51"/>
        <v>-4362.9390230168246</v>
      </c>
      <c r="AA78" s="77">
        <f t="shared" si="51"/>
        <v>-4450.1978034771619</v>
      </c>
      <c r="AB78" s="77" t="str">
        <f t="shared" si="51"/>
        <v/>
      </c>
      <c r="AC78" s="77" t="str">
        <f t="shared" si="51"/>
        <v/>
      </c>
      <c r="AD78" s="77" t="str">
        <f t="shared" si="51"/>
        <v/>
      </c>
      <c r="AE78" s="77" t="str">
        <f t="shared" si="51"/>
        <v/>
      </c>
      <c r="AF78" s="77" t="str">
        <f t="shared" si="51"/>
        <v/>
      </c>
      <c r="AG78" s="77" t="str">
        <f t="shared" si="51"/>
        <v/>
      </c>
      <c r="AH78" s="77" t="str">
        <f t="shared" si="51"/>
        <v/>
      </c>
      <c r="AI78" s="77" t="str">
        <f t="shared" ref="AI78:BN78" si="52">IF(ISNUMBER(outYear),(AI31+AI54+AI75),"")</f>
        <v/>
      </c>
      <c r="AJ78" s="77" t="str">
        <f t="shared" si="52"/>
        <v/>
      </c>
      <c r="AK78" s="77" t="str">
        <f t="shared" si="52"/>
        <v/>
      </c>
      <c r="AL78" s="77" t="str">
        <f t="shared" si="52"/>
        <v/>
      </c>
      <c r="AM78" s="77" t="str">
        <f t="shared" si="52"/>
        <v/>
      </c>
      <c r="AN78" s="77" t="str">
        <f t="shared" si="52"/>
        <v/>
      </c>
      <c r="AO78" s="77" t="str">
        <f t="shared" si="52"/>
        <v/>
      </c>
      <c r="AP78" s="77" t="str">
        <f t="shared" si="52"/>
        <v/>
      </c>
      <c r="AQ78" s="77" t="str">
        <f t="shared" si="52"/>
        <v/>
      </c>
      <c r="AR78" s="77" t="str">
        <f t="shared" si="52"/>
        <v/>
      </c>
      <c r="AS78" s="77" t="str">
        <f t="shared" si="52"/>
        <v/>
      </c>
      <c r="AT78" s="77" t="str">
        <f t="shared" si="52"/>
        <v/>
      </c>
      <c r="AU78" s="77" t="str">
        <f t="shared" si="52"/>
        <v/>
      </c>
      <c r="AV78" s="77" t="str">
        <f t="shared" si="52"/>
        <v/>
      </c>
      <c r="AW78" s="77" t="str">
        <f t="shared" si="52"/>
        <v/>
      </c>
      <c r="AX78" s="77" t="str">
        <f t="shared" si="52"/>
        <v/>
      </c>
      <c r="AY78" s="77" t="str">
        <f t="shared" si="52"/>
        <v/>
      </c>
      <c r="AZ78" s="77" t="str">
        <f t="shared" si="52"/>
        <v/>
      </c>
      <c r="BA78" s="77" t="str">
        <f t="shared" si="52"/>
        <v/>
      </c>
      <c r="BB78" s="77" t="str">
        <f t="shared" si="52"/>
        <v/>
      </c>
      <c r="BC78" s="77" t="str">
        <f t="shared" si="52"/>
        <v/>
      </c>
      <c r="BD78" s="77" t="str">
        <f t="shared" si="52"/>
        <v/>
      </c>
      <c r="BE78" s="77" t="str">
        <f t="shared" si="52"/>
        <v/>
      </c>
      <c r="BF78" s="77" t="str">
        <f t="shared" si="52"/>
        <v/>
      </c>
      <c r="BG78" s="77" t="str">
        <f t="shared" si="52"/>
        <v/>
      </c>
      <c r="BH78" s="77" t="str">
        <f t="shared" si="52"/>
        <v/>
      </c>
      <c r="BI78" s="77" t="str">
        <f t="shared" si="52"/>
        <v/>
      </c>
      <c r="BJ78" s="77" t="str">
        <f t="shared" si="52"/>
        <v/>
      </c>
      <c r="BK78" s="77" t="str">
        <f t="shared" si="52"/>
        <v/>
      </c>
      <c r="BL78" s="77" t="str">
        <f t="shared" si="52"/>
        <v/>
      </c>
      <c r="BM78" s="77" t="str">
        <f t="shared" si="52"/>
        <v/>
      </c>
      <c r="BN78" s="77" t="str">
        <f t="shared" si="52"/>
        <v/>
      </c>
      <c r="BO78" s="77" t="str">
        <f t="shared" ref="BO78:CX78" si="53">IF(ISNUMBER(outYear),(BO31+BO54+BO75),"")</f>
        <v/>
      </c>
      <c r="BP78" s="77" t="str">
        <f t="shared" si="53"/>
        <v/>
      </c>
      <c r="BQ78" s="77" t="str">
        <f t="shared" si="53"/>
        <v/>
      </c>
      <c r="BR78" s="77" t="str">
        <f t="shared" si="53"/>
        <v/>
      </c>
      <c r="BS78" s="77" t="str">
        <f t="shared" si="53"/>
        <v/>
      </c>
      <c r="BT78" s="77" t="str">
        <f t="shared" si="53"/>
        <v/>
      </c>
      <c r="BU78" s="77" t="str">
        <f t="shared" si="53"/>
        <v/>
      </c>
      <c r="BV78" s="77" t="str">
        <f t="shared" si="53"/>
        <v/>
      </c>
      <c r="BW78" s="77" t="str">
        <f t="shared" si="53"/>
        <v/>
      </c>
      <c r="BX78" s="77" t="str">
        <f t="shared" si="53"/>
        <v/>
      </c>
      <c r="BY78" s="77" t="str">
        <f t="shared" si="53"/>
        <v/>
      </c>
      <c r="BZ78" s="77" t="str">
        <f t="shared" si="53"/>
        <v/>
      </c>
      <c r="CA78" s="77" t="str">
        <f t="shared" si="53"/>
        <v/>
      </c>
      <c r="CB78" s="77" t="str">
        <f t="shared" si="53"/>
        <v/>
      </c>
      <c r="CC78" s="77" t="str">
        <f t="shared" si="53"/>
        <v/>
      </c>
      <c r="CD78" s="77" t="str">
        <f t="shared" si="53"/>
        <v/>
      </c>
      <c r="CE78" s="77" t="str">
        <f t="shared" si="53"/>
        <v/>
      </c>
      <c r="CF78" s="77" t="str">
        <f t="shared" si="53"/>
        <v/>
      </c>
      <c r="CG78" s="77" t="str">
        <f t="shared" si="53"/>
        <v/>
      </c>
      <c r="CH78" s="77" t="str">
        <f t="shared" si="53"/>
        <v/>
      </c>
      <c r="CI78" s="77" t="str">
        <f t="shared" si="53"/>
        <v/>
      </c>
      <c r="CJ78" s="77" t="str">
        <f t="shared" si="53"/>
        <v/>
      </c>
      <c r="CK78" s="77" t="str">
        <f t="shared" si="53"/>
        <v/>
      </c>
      <c r="CL78" s="77" t="str">
        <f t="shared" si="53"/>
        <v/>
      </c>
      <c r="CM78" s="77" t="str">
        <f t="shared" si="53"/>
        <v/>
      </c>
      <c r="CN78" s="77" t="str">
        <f t="shared" si="53"/>
        <v/>
      </c>
      <c r="CO78" s="77" t="str">
        <f t="shared" si="53"/>
        <v/>
      </c>
      <c r="CP78" s="77" t="str">
        <f t="shared" si="53"/>
        <v/>
      </c>
      <c r="CQ78" s="77" t="str">
        <f t="shared" si="53"/>
        <v/>
      </c>
      <c r="CR78" s="77" t="str">
        <f t="shared" si="53"/>
        <v/>
      </c>
      <c r="CS78" s="77" t="str">
        <f t="shared" si="53"/>
        <v/>
      </c>
      <c r="CT78" s="77" t="str">
        <f t="shared" si="53"/>
        <v/>
      </c>
      <c r="CU78" s="77" t="str">
        <f t="shared" si="53"/>
        <v/>
      </c>
      <c r="CV78" s="77" t="str">
        <f t="shared" si="53"/>
        <v/>
      </c>
      <c r="CW78" s="77" t="str">
        <f t="shared" si="53"/>
        <v/>
      </c>
      <c r="CX78" s="77" t="str">
        <f t="shared" si="53"/>
        <v/>
      </c>
    </row>
    <row r="79" spans="1:255" x14ac:dyDescent="0.2">
      <c r="A79" s="57" t="s">
        <v>80</v>
      </c>
      <c r="B79" s="79">
        <v>0</v>
      </c>
      <c r="C79" s="79">
        <f>IF(ISNUMBER(outYear),IF(FederalDepreciation="N/A",'Cash Flow'!C8,'Cash Flow'!C8*(1-federal_tax_rate/100)),"")</f>
        <v>33588.449999999997</v>
      </c>
      <c r="D79" s="79">
        <f>IF(ISNUMBER(outYear),IF(FederalDepreciation="N/A",'Cash Flow'!D8,'Cash Flow'!D8*(1-federal_tax_rate/100)),"")</f>
        <v>34260.218999999954</v>
      </c>
      <c r="E79" s="79">
        <f>IF(ISNUMBER(outYear),IF(FederalDepreciation="N/A",'Cash Flow'!E8,'Cash Flow'!E8*(1-federal_tax_rate/100)),"")</f>
        <v>34945.423379999986</v>
      </c>
      <c r="F79" s="79">
        <f>IF(ISNUMBER(outYear),IF(FederalDepreciation="N/A",'Cash Flow'!F8,'Cash Flow'!F8*(1-federal_tax_rate/100)),"")</f>
        <v>35644.331847600006</v>
      </c>
      <c r="G79" s="79">
        <f>IF(ISNUMBER(outYear),IF(FederalDepreciation="N/A",'Cash Flow'!G8,'Cash Flow'!G8*(1-federal_tax_rate/100)),"")</f>
        <v>36357.218484551915</v>
      </c>
      <c r="H79" s="79">
        <f>IF(ISNUMBER(outYear),IF(FederalDepreciation="N/A",'Cash Flow'!H8,'Cash Flow'!H8*(1-federal_tax_rate/100)),"")</f>
        <v>37084.362854243074</v>
      </c>
      <c r="I79" s="79">
        <f>IF(ISNUMBER(outYear),IF(FederalDepreciation="N/A",'Cash Flow'!I8,'Cash Flow'!I8*(1-federal_tax_rate/100)),"")</f>
        <v>37826.050111327953</v>
      </c>
      <c r="J79" s="79">
        <f>IF(ISNUMBER(outYear),IF(FederalDepreciation="N/A",'Cash Flow'!J8,'Cash Flow'!J8*(1-federal_tax_rate/100)),"")</f>
        <v>38582.571113554426</v>
      </c>
      <c r="K79" s="79">
        <f>IF(ISNUMBER(outYear),IF(FederalDepreciation="N/A",'Cash Flow'!K8,'Cash Flow'!K8*(1-federal_tax_rate/100)),"")</f>
        <v>39354.222535825553</v>
      </c>
      <c r="L79" s="79">
        <f>IF(ISNUMBER(outYear),IF(FederalDepreciation="N/A",'Cash Flow'!L8,'Cash Flow'!L8*(1-federal_tax_rate/100)),"")</f>
        <v>40141.306986542062</v>
      </c>
      <c r="M79" s="79">
        <f>IF(ISNUMBER(outYear),IF(FederalDepreciation="N/A",'Cash Flow'!M8,'Cash Flow'!M8*(1-federal_tax_rate/100)),"")</f>
        <v>40944.133126272842</v>
      </c>
      <c r="N79" s="79">
        <f>IF(ISNUMBER(outYear),IF(FederalDepreciation="N/A",'Cash Flow'!N8,'Cash Flow'!N8*(1-federal_tax_rate/100)),"")</f>
        <v>41763.015788798351</v>
      </c>
      <c r="O79" s="79">
        <f>IF(ISNUMBER(outYear),IF(FederalDepreciation="N/A",'Cash Flow'!O8,'Cash Flow'!O8*(1-federal_tax_rate/100)),"")</f>
        <v>42598.276104574325</v>
      </c>
      <c r="P79" s="79">
        <f>IF(ISNUMBER(outYear),IF(FederalDepreciation="N/A",'Cash Flow'!P8,'Cash Flow'!P8*(1-federal_tax_rate/100)),"")</f>
        <v>43450.241626665782</v>
      </c>
      <c r="Q79" s="79">
        <f>IF(ISNUMBER(outYear),IF(FederalDepreciation="N/A",'Cash Flow'!Q8,'Cash Flow'!Q8*(1-federal_tax_rate/100)),"")</f>
        <v>44319.246459199065</v>
      </c>
      <c r="R79" s="79">
        <f>IF(ISNUMBER(outYear),IF(FederalDepreciation="N/A",'Cash Flow'!R8,'Cash Flow'!R8*(1-federal_tax_rate/100)),"")</f>
        <v>45205.63138838303</v>
      </c>
      <c r="S79" s="79">
        <f>IF(ISNUMBER(outYear),IF(FederalDepreciation="N/A",'Cash Flow'!S8,'Cash Flow'!S8*(1-federal_tax_rate/100)),"")</f>
        <v>46109.744016150733</v>
      </c>
      <c r="T79" s="79">
        <f>IF(ISNUMBER(outYear),IF(FederalDepreciation="N/A",'Cash Flow'!T8,'Cash Flow'!T8*(1-federal_tax_rate/100)),"")</f>
        <v>47031.938896473846</v>
      </c>
      <c r="U79" s="79">
        <f>IF(ISNUMBER(outYear),IF(FederalDepreciation="N/A",'Cash Flow'!U8,'Cash Flow'!U8*(1-federal_tax_rate/100)),"")</f>
        <v>47972.577674403401</v>
      </c>
      <c r="V79" s="79">
        <f>IF(ISNUMBER(outYear),IF(FederalDepreciation="N/A",'Cash Flow'!V8,'Cash Flow'!V8*(1-federal_tax_rate/100)),"")</f>
        <v>48932.029227891268</v>
      </c>
      <c r="W79" s="79">
        <f>IF(ISNUMBER(outYear),IF(FederalDepreciation="N/A",'Cash Flow'!W8,'Cash Flow'!W8*(1-federal_tax_rate/100)),"")</f>
        <v>49910.66981244924</v>
      </c>
      <c r="X79" s="79">
        <f>IF(ISNUMBER(outYear),IF(FederalDepreciation="N/A",'Cash Flow'!X8,'Cash Flow'!X8*(1-federal_tax_rate/100)),"")</f>
        <v>50908.883208698047</v>
      </c>
      <c r="Y79" s="79">
        <f>IF(ISNUMBER(outYear),IF(FederalDepreciation="N/A",'Cash Flow'!Y8,'Cash Flow'!Y8*(1-federal_tax_rate/100)),"")</f>
        <v>51927.060872872069</v>
      </c>
      <c r="Z79" s="79">
        <f>IF(ISNUMBER(outYear),IF(FederalDepreciation="N/A",'Cash Flow'!Z8,'Cash Flow'!Z8*(1-federal_tax_rate/100)),"")</f>
        <v>52965.602090329434</v>
      </c>
      <c r="AA79" s="79">
        <f>IF(ISNUMBER(outYear),IF(FederalDepreciation="N/A",'Cash Flow'!AA8,'Cash Flow'!AA8*(1-federal_tax_rate/100)),"")</f>
        <v>54024.914132136146</v>
      </c>
      <c r="AB79" s="79" t="str">
        <f>IF(ISNUMBER(outYear),IF(FederalDepreciation="N/A",'Cash Flow'!AB8,'Cash Flow'!AB8*(1-federal_tax_rate/100)),"")</f>
        <v/>
      </c>
      <c r="AC79" s="79" t="str">
        <f>IF(ISNUMBER(outYear),IF(FederalDepreciation="N/A",'Cash Flow'!AC8,'Cash Flow'!AC8*(1-federal_tax_rate/100)),"")</f>
        <v/>
      </c>
      <c r="AD79" s="79" t="str">
        <f>IF(ISNUMBER(outYear),IF(FederalDepreciation="N/A",'Cash Flow'!AD8,'Cash Flow'!AD8*(1-federal_tax_rate/100)),"")</f>
        <v/>
      </c>
      <c r="AE79" s="79" t="str">
        <f>IF(ISNUMBER(outYear),IF(FederalDepreciation="N/A",'Cash Flow'!AE8,'Cash Flow'!AE8*(1-federal_tax_rate/100)),"")</f>
        <v/>
      </c>
      <c r="AF79" s="79" t="str">
        <f>IF(ISNUMBER(outYear),IF(FederalDepreciation="N/A",'Cash Flow'!AF8,'Cash Flow'!AF8*(1-federal_tax_rate/100)),"")</f>
        <v/>
      </c>
      <c r="AG79" s="79" t="str">
        <f>IF(ISNUMBER(outYear),IF(FederalDepreciation="N/A",'Cash Flow'!AG8,'Cash Flow'!AG8*(1-federal_tax_rate/100)),"")</f>
        <v/>
      </c>
      <c r="AH79" s="79" t="str">
        <f>IF(ISNUMBER(outYear),IF(FederalDepreciation="N/A",'Cash Flow'!AH8,'Cash Flow'!AH8*(1-federal_tax_rate/100)),"")</f>
        <v/>
      </c>
      <c r="AI79" s="79" t="str">
        <f>IF(ISNUMBER(outYear),IF(FederalDepreciation="N/A",'Cash Flow'!AI8,'Cash Flow'!AI8*(1-federal_tax_rate/100)),"")</f>
        <v/>
      </c>
      <c r="AJ79" s="79" t="str">
        <f>IF(ISNUMBER(outYear),IF(FederalDepreciation="N/A",'Cash Flow'!AJ8,'Cash Flow'!AJ8*(1-federal_tax_rate/100)),"")</f>
        <v/>
      </c>
      <c r="AK79" s="79" t="str">
        <f>IF(ISNUMBER(outYear),IF(FederalDepreciation="N/A",'Cash Flow'!AK8,'Cash Flow'!AK8*(1-federal_tax_rate/100)),"")</f>
        <v/>
      </c>
      <c r="AL79" s="79" t="str">
        <f>IF(ISNUMBER(outYear),IF(FederalDepreciation="N/A",'Cash Flow'!AL8,'Cash Flow'!AL8*(1-federal_tax_rate/100)),"")</f>
        <v/>
      </c>
      <c r="AM79" s="79" t="str">
        <f>IF(ISNUMBER(outYear),IF(FederalDepreciation="N/A",'Cash Flow'!AM8,'Cash Flow'!AM8*(1-federal_tax_rate/100)),"")</f>
        <v/>
      </c>
      <c r="AN79" s="79" t="str">
        <f>IF(ISNUMBER(outYear),IF(FederalDepreciation="N/A",'Cash Flow'!AN8,'Cash Flow'!AN8*(1-federal_tax_rate/100)),"")</f>
        <v/>
      </c>
      <c r="AO79" s="79" t="str">
        <f>IF(ISNUMBER(outYear),IF(FederalDepreciation="N/A",'Cash Flow'!AO8,'Cash Flow'!AO8*(1-federal_tax_rate/100)),"")</f>
        <v/>
      </c>
      <c r="AP79" s="79" t="str">
        <f>IF(ISNUMBER(outYear),IF(FederalDepreciation="N/A",'Cash Flow'!AP8,'Cash Flow'!AP8*(1-federal_tax_rate/100)),"")</f>
        <v/>
      </c>
      <c r="AQ79" s="79" t="str">
        <f>IF(ISNUMBER(outYear),IF(FederalDepreciation="N/A",'Cash Flow'!AQ8,'Cash Flow'!AQ8*(1-federal_tax_rate/100)),"")</f>
        <v/>
      </c>
      <c r="AR79" s="79" t="str">
        <f>IF(ISNUMBER(outYear),IF(FederalDepreciation="N/A",'Cash Flow'!AR8,'Cash Flow'!AR8*(1-federal_tax_rate/100)),"")</f>
        <v/>
      </c>
      <c r="AS79" s="79" t="str">
        <f>IF(ISNUMBER(outYear),IF(FederalDepreciation="N/A",'Cash Flow'!AS8,'Cash Flow'!AS8*(1-federal_tax_rate/100)),"")</f>
        <v/>
      </c>
      <c r="AT79" s="79" t="str">
        <f>IF(ISNUMBER(outYear),IF(FederalDepreciation="N/A",'Cash Flow'!AT8,'Cash Flow'!AT8*(1-federal_tax_rate/100)),"")</f>
        <v/>
      </c>
      <c r="AU79" s="79" t="str">
        <f>IF(ISNUMBER(outYear),IF(FederalDepreciation="N/A",'Cash Flow'!AU8,'Cash Flow'!AU8*(1-federal_tax_rate/100)),"")</f>
        <v/>
      </c>
      <c r="AV79" s="79" t="str">
        <f>IF(ISNUMBER(outYear),IF(FederalDepreciation="N/A",'Cash Flow'!AV8,'Cash Flow'!AV8*(1-federal_tax_rate/100)),"")</f>
        <v/>
      </c>
      <c r="AW79" s="79" t="str">
        <f>IF(ISNUMBER(outYear),IF(FederalDepreciation="N/A",'Cash Flow'!AW8,'Cash Flow'!AW8*(1-federal_tax_rate/100)),"")</f>
        <v/>
      </c>
      <c r="AX79" s="79" t="str">
        <f>IF(ISNUMBER(outYear),IF(FederalDepreciation="N/A",'Cash Flow'!AX8,'Cash Flow'!AX8*(1-federal_tax_rate/100)),"")</f>
        <v/>
      </c>
      <c r="AY79" s="79" t="str">
        <f>IF(ISNUMBER(outYear),IF(FederalDepreciation="N/A",'Cash Flow'!AY8,'Cash Flow'!AY8*(1-federal_tax_rate/100)),"")</f>
        <v/>
      </c>
      <c r="AZ79" s="79" t="str">
        <f>IF(ISNUMBER(outYear),IF(FederalDepreciation="N/A",'Cash Flow'!AZ8,'Cash Flow'!AZ8*(1-federal_tax_rate/100)),"")</f>
        <v/>
      </c>
      <c r="BA79" s="79" t="str">
        <f>IF(ISNUMBER(outYear),IF(FederalDepreciation="N/A",'Cash Flow'!BA8,'Cash Flow'!BA8*(1-federal_tax_rate/100)),"")</f>
        <v/>
      </c>
      <c r="BB79" s="79" t="str">
        <f>IF(ISNUMBER(outYear),IF(FederalDepreciation="N/A",'Cash Flow'!BB8,'Cash Flow'!BB8*(1-federal_tax_rate/100)),"")</f>
        <v/>
      </c>
      <c r="BC79" s="79" t="str">
        <f>IF(ISNUMBER(outYear),IF(FederalDepreciation="N/A",'Cash Flow'!BC8,'Cash Flow'!BC8*(1-federal_tax_rate/100)),"")</f>
        <v/>
      </c>
      <c r="BD79" s="79" t="str">
        <f>IF(ISNUMBER(outYear),IF(FederalDepreciation="N/A",'Cash Flow'!BD8,'Cash Flow'!BD8*(1-federal_tax_rate/100)),"")</f>
        <v/>
      </c>
      <c r="BE79" s="79" t="str">
        <f>IF(ISNUMBER(outYear),IF(FederalDepreciation="N/A",'Cash Flow'!BE8,'Cash Flow'!BE8*(1-federal_tax_rate/100)),"")</f>
        <v/>
      </c>
      <c r="BF79" s="79" t="str">
        <f>IF(ISNUMBER(outYear),IF(FederalDepreciation="N/A",'Cash Flow'!BF8,'Cash Flow'!BF8*(1-federal_tax_rate/100)),"")</f>
        <v/>
      </c>
      <c r="BG79" s="79" t="str">
        <f>IF(ISNUMBER(outYear),IF(FederalDepreciation="N/A",'Cash Flow'!BG8,'Cash Flow'!BG8*(1-federal_tax_rate/100)),"")</f>
        <v/>
      </c>
      <c r="BH79" s="79" t="str">
        <f>IF(ISNUMBER(outYear),IF(FederalDepreciation="N/A",'Cash Flow'!BH8,'Cash Flow'!BH8*(1-federal_tax_rate/100)),"")</f>
        <v/>
      </c>
      <c r="BI79" s="79" t="str">
        <f>IF(ISNUMBER(outYear),IF(FederalDepreciation="N/A",'Cash Flow'!BI8,'Cash Flow'!BI8*(1-federal_tax_rate/100)),"")</f>
        <v/>
      </c>
      <c r="BJ79" s="79" t="str">
        <f>IF(ISNUMBER(outYear),IF(FederalDepreciation="N/A",'Cash Flow'!BJ8,'Cash Flow'!BJ8*(1-federal_tax_rate/100)),"")</f>
        <v/>
      </c>
      <c r="BK79" s="79" t="str">
        <f>IF(ISNUMBER(outYear),IF(FederalDepreciation="N/A",'Cash Flow'!BK8,'Cash Flow'!BK8*(1-federal_tax_rate/100)),"")</f>
        <v/>
      </c>
      <c r="BL79" s="79" t="str">
        <f>IF(ISNUMBER(outYear),IF(FederalDepreciation="N/A",'Cash Flow'!BL8,'Cash Flow'!BL8*(1-federal_tax_rate/100)),"")</f>
        <v/>
      </c>
      <c r="BM79" s="79" t="str">
        <f>IF(ISNUMBER(outYear),IF(FederalDepreciation="N/A",'Cash Flow'!BM8,'Cash Flow'!BM8*(1-federal_tax_rate/100)),"")</f>
        <v/>
      </c>
      <c r="BN79" s="79" t="str">
        <f>IF(ISNUMBER(outYear),IF(FederalDepreciation="N/A",'Cash Flow'!BN8,'Cash Flow'!BN8*(1-federal_tax_rate/100)),"")</f>
        <v/>
      </c>
      <c r="BO79" s="79" t="str">
        <f>IF(ISNUMBER(outYear),IF(FederalDepreciation="N/A",'Cash Flow'!BO8,'Cash Flow'!BO8*(1-federal_tax_rate/100)),"")</f>
        <v/>
      </c>
      <c r="BP79" s="79" t="str">
        <f>IF(ISNUMBER(outYear),IF(FederalDepreciation="N/A",'Cash Flow'!BP8,'Cash Flow'!BP8*(1-federal_tax_rate/100)),"")</f>
        <v/>
      </c>
      <c r="BQ79" s="79" t="str">
        <f>IF(ISNUMBER(outYear),IF(FederalDepreciation="N/A",'Cash Flow'!BQ8,'Cash Flow'!BQ8*(1-federal_tax_rate/100)),"")</f>
        <v/>
      </c>
      <c r="BR79" s="79" t="str">
        <f>IF(ISNUMBER(outYear),IF(FederalDepreciation="N/A",'Cash Flow'!BR8,'Cash Flow'!BR8*(1-federal_tax_rate/100)),"")</f>
        <v/>
      </c>
      <c r="BS79" s="79" t="str">
        <f>IF(ISNUMBER(outYear),IF(FederalDepreciation="N/A",'Cash Flow'!BS8,'Cash Flow'!BS8*(1-federal_tax_rate/100)),"")</f>
        <v/>
      </c>
      <c r="BT79" s="79" t="str">
        <f>IF(ISNUMBER(outYear),IF(FederalDepreciation="N/A",'Cash Flow'!BT8,'Cash Flow'!BT8*(1-federal_tax_rate/100)),"")</f>
        <v/>
      </c>
      <c r="BU79" s="79" t="str">
        <f>IF(ISNUMBER(outYear),IF(FederalDepreciation="N/A",'Cash Flow'!BU8,'Cash Flow'!BU8*(1-federal_tax_rate/100)),"")</f>
        <v/>
      </c>
      <c r="BV79" s="79" t="str">
        <f>IF(ISNUMBER(outYear),IF(FederalDepreciation="N/A",'Cash Flow'!BV8,'Cash Flow'!BV8*(1-federal_tax_rate/100)),"")</f>
        <v/>
      </c>
      <c r="BW79" s="79" t="str">
        <f>IF(ISNUMBER(outYear),IF(FederalDepreciation="N/A",'Cash Flow'!BW8,'Cash Flow'!BW8*(1-federal_tax_rate/100)),"")</f>
        <v/>
      </c>
      <c r="BX79" s="79" t="str">
        <f>IF(ISNUMBER(outYear),IF(FederalDepreciation="N/A",'Cash Flow'!BX8,'Cash Flow'!BX8*(1-federal_tax_rate/100)),"")</f>
        <v/>
      </c>
      <c r="BY79" s="79" t="str">
        <f>IF(ISNUMBER(outYear),IF(FederalDepreciation="N/A",'Cash Flow'!BY8,'Cash Flow'!BY8*(1-federal_tax_rate/100)),"")</f>
        <v/>
      </c>
      <c r="BZ79" s="79" t="str">
        <f>IF(ISNUMBER(outYear),IF(FederalDepreciation="N/A",'Cash Flow'!BZ8,'Cash Flow'!BZ8*(1-federal_tax_rate/100)),"")</f>
        <v/>
      </c>
      <c r="CA79" s="79" t="str">
        <f>IF(ISNUMBER(outYear),IF(FederalDepreciation="N/A",'Cash Flow'!CA8,'Cash Flow'!CA8*(1-federal_tax_rate/100)),"")</f>
        <v/>
      </c>
      <c r="CB79" s="79" t="str">
        <f>IF(ISNUMBER(outYear),IF(FederalDepreciation="N/A",'Cash Flow'!CB8,'Cash Flow'!CB8*(1-federal_tax_rate/100)),"")</f>
        <v/>
      </c>
      <c r="CC79" s="79" t="str">
        <f>IF(ISNUMBER(outYear),IF(FederalDepreciation="N/A",'Cash Flow'!CC8,'Cash Flow'!CC8*(1-federal_tax_rate/100)),"")</f>
        <v/>
      </c>
      <c r="CD79" s="79" t="str">
        <f>IF(ISNUMBER(outYear),IF(FederalDepreciation="N/A",'Cash Flow'!CD8,'Cash Flow'!CD8*(1-federal_tax_rate/100)),"")</f>
        <v/>
      </c>
      <c r="CE79" s="79" t="str">
        <f>IF(ISNUMBER(outYear),IF(FederalDepreciation="N/A",'Cash Flow'!CE8,'Cash Flow'!CE8*(1-federal_tax_rate/100)),"")</f>
        <v/>
      </c>
      <c r="CF79" s="79" t="str">
        <f>IF(ISNUMBER(outYear),IF(FederalDepreciation="N/A",'Cash Flow'!CF8,'Cash Flow'!CF8*(1-federal_tax_rate/100)),"")</f>
        <v/>
      </c>
      <c r="CG79" s="79" t="str">
        <f>IF(ISNUMBER(outYear),IF(FederalDepreciation="N/A",'Cash Flow'!CG8,'Cash Flow'!CG8*(1-federal_tax_rate/100)),"")</f>
        <v/>
      </c>
      <c r="CH79" s="79" t="str">
        <f>IF(ISNUMBER(outYear),IF(FederalDepreciation="N/A",'Cash Flow'!CH8,'Cash Flow'!CH8*(1-federal_tax_rate/100)),"")</f>
        <v/>
      </c>
      <c r="CI79" s="79" t="str">
        <f>IF(ISNUMBER(outYear),IF(FederalDepreciation="N/A",'Cash Flow'!CI8,'Cash Flow'!CI8*(1-federal_tax_rate/100)),"")</f>
        <v/>
      </c>
      <c r="CJ79" s="79" t="str">
        <f>IF(ISNUMBER(outYear),IF(FederalDepreciation="N/A",'Cash Flow'!CJ8,'Cash Flow'!CJ8*(1-federal_tax_rate/100)),"")</f>
        <v/>
      </c>
      <c r="CK79" s="79" t="str">
        <f>IF(ISNUMBER(outYear),IF(FederalDepreciation="N/A",'Cash Flow'!CK8,'Cash Flow'!CK8*(1-federal_tax_rate/100)),"")</f>
        <v/>
      </c>
      <c r="CL79" s="79" t="str">
        <f>IF(ISNUMBER(outYear),IF(FederalDepreciation="N/A",'Cash Flow'!CL8,'Cash Flow'!CL8*(1-federal_tax_rate/100)),"")</f>
        <v/>
      </c>
      <c r="CM79" s="79" t="str">
        <f>IF(ISNUMBER(outYear),IF(FederalDepreciation="N/A",'Cash Flow'!CM8,'Cash Flow'!CM8*(1-federal_tax_rate/100)),"")</f>
        <v/>
      </c>
      <c r="CN79" s="79" t="str">
        <f>IF(ISNUMBER(outYear),IF(FederalDepreciation="N/A",'Cash Flow'!CN8,'Cash Flow'!CN8*(1-federal_tax_rate/100)),"")</f>
        <v/>
      </c>
      <c r="CO79" s="79" t="str">
        <f>IF(ISNUMBER(outYear),IF(FederalDepreciation="N/A",'Cash Flow'!CO8,'Cash Flow'!CO8*(1-federal_tax_rate/100)),"")</f>
        <v/>
      </c>
      <c r="CP79" s="79" t="str">
        <f>IF(ISNUMBER(outYear),IF(FederalDepreciation="N/A",'Cash Flow'!CP8,'Cash Flow'!CP8*(1-federal_tax_rate/100)),"")</f>
        <v/>
      </c>
      <c r="CQ79" s="79" t="str">
        <f>IF(ISNUMBER(outYear),IF(FederalDepreciation="N/A",'Cash Flow'!CQ8,'Cash Flow'!CQ8*(1-federal_tax_rate/100)),"")</f>
        <v/>
      </c>
      <c r="CR79" s="79" t="str">
        <f>IF(ISNUMBER(outYear),IF(FederalDepreciation="N/A",'Cash Flow'!CR8,'Cash Flow'!CR8*(1-federal_tax_rate/100)),"")</f>
        <v/>
      </c>
      <c r="CS79" s="79" t="str">
        <f>IF(ISNUMBER(outYear),IF(FederalDepreciation="N/A",'Cash Flow'!CS8,'Cash Flow'!CS8*(1-federal_tax_rate/100)),"")</f>
        <v/>
      </c>
      <c r="CT79" s="79" t="str">
        <f>IF(ISNUMBER(outYear),IF(FederalDepreciation="N/A",'Cash Flow'!CT8,'Cash Flow'!CT8*(1-federal_tax_rate/100)),"")</f>
        <v/>
      </c>
      <c r="CU79" s="79" t="str">
        <f>IF(ISNUMBER(outYear),IF(FederalDepreciation="N/A",'Cash Flow'!CU8,'Cash Flow'!CU8*(1-federal_tax_rate/100)),"")</f>
        <v/>
      </c>
      <c r="CV79" s="79" t="str">
        <f>IF(ISNUMBER(outYear),IF(FederalDepreciation="N/A",'Cash Flow'!CV8,'Cash Flow'!CV8*(1-federal_tax_rate/100)),"")</f>
        <v/>
      </c>
      <c r="CW79" s="79" t="str">
        <f>IF(ISNUMBER(outYear),IF(FederalDepreciation="N/A",'Cash Flow'!CW8,'Cash Flow'!CW8*(1-federal_tax_rate/100)),"")</f>
        <v/>
      </c>
      <c r="CX79" s="79" t="str">
        <f>IF(ISNUMBER(outYear),IF(FederalDepreciation="N/A",'Cash Flow'!CX8,'Cash Flow'!CX8*(1-federal_tax_rate/100)),"")</f>
        <v/>
      </c>
    </row>
    <row r="80" spans="1:255" s="2" customFormat="1" x14ac:dyDescent="0.2">
      <c r="A80" s="15" t="s">
        <v>40</v>
      </c>
      <c r="B80" s="91">
        <f>IF(ISNUMBER(outYear),+B78+B8,"")</f>
        <v>-542718</v>
      </c>
      <c r="C80" s="91">
        <f t="shared" ref="C80:AH80" si="54">IF(ISNUMBER(outYear),+C78+C79,"")</f>
        <v>193637.06640000001</v>
      </c>
      <c r="D80" s="91">
        <f t="shared" si="54"/>
        <v>31438.099727999954</v>
      </c>
      <c r="E80" s="91">
        <f t="shared" si="54"/>
        <v>32066.861722559985</v>
      </c>
      <c r="F80" s="91">
        <f t="shared" si="54"/>
        <v>32708.198957011205</v>
      </c>
      <c r="G80" s="91">
        <f t="shared" si="54"/>
        <v>33362.362936151338</v>
      </c>
      <c r="H80" s="91">
        <f t="shared" si="54"/>
        <v>34029.610194874484</v>
      </c>
      <c r="I80" s="91">
        <f t="shared" si="54"/>
        <v>34710.202398771995</v>
      </c>
      <c r="J80" s="91">
        <f t="shared" si="54"/>
        <v>35404.406446747351</v>
      </c>
      <c r="K80" s="91">
        <f t="shared" si="54"/>
        <v>36112.494575682329</v>
      </c>
      <c r="L80" s="91">
        <f t="shared" si="54"/>
        <v>-19633.379400208207</v>
      </c>
      <c r="M80" s="91">
        <f t="shared" si="54"/>
        <v>37571.439356539835</v>
      </c>
      <c r="N80" s="91">
        <f t="shared" si="54"/>
        <v>38322.868143670683</v>
      </c>
      <c r="O80" s="91">
        <f t="shared" si="54"/>
        <v>39089.325506544104</v>
      </c>
      <c r="P80" s="91">
        <f t="shared" si="54"/>
        <v>39871.112016674961</v>
      </c>
      <c r="Q80" s="91">
        <f t="shared" si="54"/>
        <v>40668.534257008425</v>
      </c>
      <c r="R80" s="91">
        <f t="shared" si="54"/>
        <v>41481.904942148576</v>
      </c>
      <c r="S80" s="91">
        <f t="shared" si="54"/>
        <v>42311.543040991593</v>
      </c>
      <c r="T80" s="91">
        <f t="shared" si="54"/>
        <v>43157.773901811524</v>
      </c>
      <c r="U80" s="91">
        <f t="shared" si="54"/>
        <v>44020.929379847832</v>
      </c>
      <c r="V80" s="91">
        <f t="shared" si="54"/>
        <v>44901.347967444584</v>
      </c>
      <c r="W80" s="91">
        <f t="shared" si="54"/>
        <v>45799.374926793622</v>
      </c>
      <c r="X80" s="91">
        <f t="shared" si="54"/>
        <v>46715.362425329316</v>
      </c>
      <c r="Y80" s="91">
        <f t="shared" si="54"/>
        <v>47649.669673835968</v>
      </c>
      <c r="Z80" s="91">
        <f t="shared" si="54"/>
        <v>48602.663067312606</v>
      </c>
      <c r="AA80" s="91">
        <f t="shared" si="54"/>
        <v>49574.716328658986</v>
      </c>
      <c r="AB80" s="91" t="str">
        <f t="shared" si="54"/>
        <v/>
      </c>
      <c r="AC80" s="91" t="str">
        <f t="shared" si="54"/>
        <v/>
      </c>
      <c r="AD80" s="91" t="str">
        <f t="shared" si="54"/>
        <v/>
      </c>
      <c r="AE80" s="91" t="str">
        <f t="shared" si="54"/>
        <v/>
      </c>
      <c r="AF80" s="91" t="str">
        <f t="shared" si="54"/>
        <v/>
      </c>
      <c r="AG80" s="91" t="str">
        <f t="shared" si="54"/>
        <v/>
      </c>
      <c r="AH80" s="91" t="str">
        <f t="shared" si="54"/>
        <v/>
      </c>
      <c r="AI80" s="91" t="str">
        <f t="shared" ref="AI80:BN80" si="55">IF(ISNUMBER(outYear),+AI78+AI79,"")</f>
        <v/>
      </c>
      <c r="AJ80" s="91" t="str">
        <f t="shared" si="55"/>
        <v/>
      </c>
      <c r="AK80" s="91" t="str">
        <f t="shared" si="55"/>
        <v/>
      </c>
      <c r="AL80" s="91" t="str">
        <f t="shared" si="55"/>
        <v/>
      </c>
      <c r="AM80" s="91" t="str">
        <f t="shared" si="55"/>
        <v/>
      </c>
      <c r="AN80" s="91" t="str">
        <f t="shared" si="55"/>
        <v/>
      </c>
      <c r="AO80" s="91" t="str">
        <f t="shared" si="55"/>
        <v/>
      </c>
      <c r="AP80" s="91" t="str">
        <f t="shared" si="55"/>
        <v/>
      </c>
      <c r="AQ80" s="91" t="str">
        <f t="shared" si="55"/>
        <v/>
      </c>
      <c r="AR80" s="91" t="str">
        <f t="shared" si="55"/>
        <v/>
      </c>
      <c r="AS80" s="91" t="str">
        <f t="shared" si="55"/>
        <v/>
      </c>
      <c r="AT80" s="91" t="str">
        <f t="shared" si="55"/>
        <v/>
      </c>
      <c r="AU80" s="91" t="str">
        <f t="shared" si="55"/>
        <v/>
      </c>
      <c r="AV80" s="91" t="str">
        <f t="shared" si="55"/>
        <v/>
      </c>
      <c r="AW80" s="91" t="str">
        <f t="shared" si="55"/>
        <v/>
      </c>
      <c r="AX80" s="91" t="str">
        <f t="shared" si="55"/>
        <v/>
      </c>
      <c r="AY80" s="91" t="str">
        <f t="shared" si="55"/>
        <v/>
      </c>
      <c r="AZ80" s="91" t="str">
        <f t="shared" si="55"/>
        <v/>
      </c>
      <c r="BA80" s="91" t="str">
        <f t="shared" si="55"/>
        <v/>
      </c>
      <c r="BB80" s="91" t="str">
        <f t="shared" si="55"/>
        <v/>
      </c>
      <c r="BC80" s="91" t="str">
        <f t="shared" si="55"/>
        <v/>
      </c>
      <c r="BD80" s="91" t="str">
        <f t="shared" si="55"/>
        <v/>
      </c>
      <c r="BE80" s="91" t="str">
        <f t="shared" si="55"/>
        <v/>
      </c>
      <c r="BF80" s="91" t="str">
        <f t="shared" si="55"/>
        <v/>
      </c>
      <c r="BG80" s="91" t="str">
        <f t="shared" si="55"/>
        <v/>
      </c>
      <c r="BH80" s="91" t="str">
        <f t="shared" si="55"/>
        <v/>
      </c>
      <c r="BI80" s="91" t="str">
        <f t="shared" si="55"/>
        <v/>
      </c>
      <c r="BJ80" s="91" t="str">
        <f t="shared" si="55"/>
        <v/>
      </c>
      <c r="BK80" s="91" t="str">
        <f t="shared" si="55"/>
        <v/>
      </c>
      <c r="BL80" s="91" t="str">
        <f t="shared" si="55"/>
        <v/>
      </c>
      <c r="BM80" s="91" t="str">
        <f t="shared" si="55"/>
        <v/>
      </c>
      <c r="BN80" s="91" t="str">
        <f t="shared" si="55"/>
        <v/>
      </c>
      <c r="BO80" s="91" t="str">
        <f t="shared" ref="BO80:CT80" si="56">IF(ISNUMBER(outYear),+BO78+BO79,"")</f>
        <v/>
      </c>
      <c r="BP80" s="91" t="str">
        <f t="shared" si="56"/>
        <v/>
      </c>
      <c r="BQ80" s="91" t="str">
        <f t="shared" si="56"/>
        <v/>
      </c>
      <c r="BR80" s="91" t="str">
        <f t="shared" si="56"/>
        <v/>
      </c>
      <c r="BS80" s="91" t="str">
        <f t="shared" si="56"/>
        <v/>
      </c>
      <c r="BT80" s="91" t="str">
        <f t="shared" si="56"/>
        <v/>
      </c>
      <c r="BU80" s="91" t="str">
        <f t="shared" si="56"/>
        <v/>
      </c>
      <c r="BV80" s="91" t="str">
        <f t="shared" si="56"/>
        <v/>
      </c>
      <c r="BW80" s="91" t="str">
        <f t="shared" si="56"/>
        <v/>
      </c>
      <c r="BX80" s="91" t="str">
        <f t="shared" si="56"/>
        <v/>
      </c>
      <c r="BY80" s="91" t="str">
        <f t="shared" si="56"/>
        <v/>
      </c>
      <c r="BZ80" s="91" t="str">
        <f t="shared" si="56"/>
        <v/>
      </c>
      <c r="CA80" s="91" t="str">
        <f t="shared" si="56"/>
        <v/>
      </c>
      <c r="CB80" s="91" t="str">
        <f t="shared" si="56"/>
        <v/>
      </c>
      <c r="CC80" s="91" t="str">
        <f t="shared" si="56"/>
        <v/>
      </c>
      <c r="CD80" s="91" t="str">
        <f t="shared" si="56"/>
        <v/>
      </c>
      <c r="CE80" s="91" t="str">
        <f t="shared" si="56"/>
        <v/>
      </c>
      <c r="CF80" s="91" t="str">
        <f t="shared" si="56"/>
        <v/>
      </c>
      <c r="CG80" s="91" t="str">
        <f t="shared" si="56"/>
        <v/>
      </c>
      <c r="CH80" s="91" t="str">
        <f t="shared" si="56"/>
        <v/>
      </c>
      <c r="CI80" s="91" t="str">
        <f t="shared" si="56"/>
        <v/>
      </c>
      <c r="CJ80" s="91" t="str">
        <f t="shared" si="56"/>
        <v/>
      </c>
      <c r="CK80" s="91" t="str">
        <f t="shared" si="56"/>
        <v/>
      </c>
      <c r="CL80" s="91" t="str">
        <f t="shared" si="56"/>
        <v/>
      </c>
      <c r="CM80" s="91" t="str">
        <f t="shared" si="56"/>
        <v/>
      </c>
      <c r="CN80" s="91" t="str">
        <f t="shared" si="56"/>
        <v/>
      </c>
      <c r="CO80" s="91" t="str">
        <f t="shared" si="56"/>
        <v/>
      </c>
      <c r="CP80" s="91" t="str">
        <f t="shared" si="56"/>
        <v/>
      </c>
      <c r="CQ80" s="91" t="str">
        <f t="shared" si="56"/>
        <v/>
      </c>
      <c r="CR80" s="91" t="str">
        <f t="shared" si="56"/>
        <v/>
      </c>
      <c r="CS80" s="91" t="str">
        <f t="shared" si="56"/>
        <v/>
      </c>
      <c r="CT80" s="91" t="str">
        <f t="shared" si="56"/>
        <v/>
      </c>
      <c r="CU80" s="91" t="str">
        <f t="shared" ref="CU80:CX80" si="57">IF(ISNUMBER(outYear),+CU78+CU79,"")</f>
        <v/>
      </c>
      <c r="CV80" s="91" t="str">
        <f t="shared" si="57"/>
        <v/>
      </c>
      <c r="CW80" s="91" t="str">
        <f t="shared" si="57"/>
        <v/>
      </c>
      <c r="CX80" s="91" t="str">
        <f t="shared" si="57"/>
        <v/>
      </c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</row>
    <row r="81" spans="1:102" x14ac:dyDescent="0.2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</row>
    <row r="82" spans="1:102" x14ac:dyDescent="0.2">
      <c r="A82" s="62" t="s">
        <v>99</v>
      </c>
      <c r="B82" s="73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1"/>
    </row>
    <row r="83" spans="1:102" x14ac:dyDescent="0.2">
      <c r="A83" t="s">
        <v>101</v>
      </c>
      <c r="B83" s="156">
        <f>IF(ISNUMBER(outYear),-'Inputs and Outputs'!B79,"")</f>
        <v>0</v>
      </c>
      <c r="C83" s="156">
        <f>IF(ISNUMBER(outYear),-'Inputs and Outputs'!C79*(1-federal_tax_rate/100),"")</f>
        <v>-520398.9</v>
      </c>
      <c r="D83" s="156">
        <f>IF(ISNUMBER(outYear),-'Inputs and Outputs'!D79*(1-federal_tax_rate/100),"")</f>
        <v>-530806.87800000003</v>
      </c>
      <c r="E83" s="156">
        <f>IF(ISNUMBER(outYear),-'Inputs and Outputs'!E79*(1-federal_tax_rate/100),"")</f>
        <v>-541423.01555999997</v>
      </c>
      <c r="F83" s="156">
        <f>IF(ISNUMBER(outYear),-'Inputs and Outputs'!F79*(1-federal_tax_rate/100),"")</f>
        <v>-552251.47587119997</v>
      </c>
      <c r="G83" s="156">
        <f>IF(ISNUMBER(outYear),-'Inputs and Outputs'!G79*(1-federal_tax_rate/100),"")</f>
        <v>-563296.50538862392</v>
      </c>
      <c r="H83" s="156">
        <f>IF(ISNUMBER(outYear),-'Inputs and Outputs'!H79*(1-federal_tax_rate/100),"")</f>
        <v>-574562.4354963965</v>
      </c>
      <c r="I83" s="156">
        <f>IF(ISNUMBER(outYear),-'Inputs and Outputs'!I79*(1-federal_tax_rate/100),"")</f>
        <v>-586053.68420632451</v>
      </c>
      <c r="J83" s="156">
        <f>IF(ISNUMBER(outYear),-'Inputs and Outputs'!J79*(1-federal_tax_rate/100),"")</f>
        <v>-597774.75789045077</v>
      </c>
      <c r="K83" s="156">
        <f>IF(ISNUMBER(outYear),-'Inputs and Outputs'!K79*(1-federal_tax_rate/100),"")</f>
        <v>-609730.25304825988</v>
      </c>
      <c r="L83" s="156">
        <f>IF(ISNUMBER(outYear),-'Inputs and Outputs'!L79*(1-federal_tax_rate/100),"")</f>
        <v>-621924.85810922505</v>
      </c>
      <c r="M83" s="156">
        <f>IF(ISNUMBER(outYear),-'Inputs and Outputs'!M79*(1-federal_tax_rate/100),"")</f>
        <v>-634363.35527140961</v>
      </c>
      <c r="N83" s="156">
        <f>IF(ISNUMBER(outYear),-'Inputs and Outputs'!N79*(1-federal_tax_rate/100),"")</f>
        <v>-647050.62237683765</v>
      </c>
      <c r="O83" s="156">
        <f>IF(ISNUMBER(outYear),-'Inputs and Outputs'!O79*(1-federal_tax_rate/100),"")</f>
        <v>-659991.63482437457</v>
      </c>
      <c r="P83" s="156">
        <f>IF(ISNUMBER(outYear),-'Inputs and Outputs'!P79*(1-federal_tax_rate/100),"")</f>
        <v>-673191.467520862</v>
      </c>
      <c r="Q83" s="156">
        <f>IF(ISNUMBER(outYear),-'Inputs and Outputs'!Q79*(1-federal_tax_rate/100),"")</f>
        <v>-686655.29687127925</v>
      </c>
      <c r="R83" s="156">
        <f>IF(ISNUMBER(outYear),-'Inputs and Outputs'!R79*(1-federal_tax_rate/100),"")</f>
        <v>-700388.40280870465</v>
      </c>
      <c r="S83" s="156">
        <f>IF(ISNUMBER(outYear),-'Inputs and Outputs'!S79*(1-federal_tax_rate/100),"")</f>
        <v>-714396.1708648788</v>
      </c>
      <c r="T83" s="156">
        <f>IF(ISNUMBER(outYear),-'Inputs and Outputs'!T79*(1-federal_tax_rate/100),"")</f>
        <v>-728684.09428217658</v>
      </c>
      <c r="U83" s="156">
        <f>IF(ISNUMBER(outYear),-'Inputs and Outputs'!U79*(1-federal_tax_rate/100),"")</f>
        <v>-743257.77616781997</v>
      </c>
      <c r="V83" s="156">
        <f>IF(ISNUMBER(outYear),-'Inputs and Outputs'!V79*(1-federal_tax_rate/100),"")</f>
        <v>-758122.93169117637</v>
      </c>
      <c r="W83" s="156">
        <f>IF(ISNUMBER(outYear),-'Inputs and Outputs'!W79*(1-federal_tax_rate/100),"")</f>
        <v>-773285.39032499993</v>
      </c>
      <c r="X83" s="156">
        <f>IF(ISNUMBER(outYear),-'Inputs and Outputs'!X79*(1-federal_tax_rate/100),"")</f>
        <v>-788751.09813149984</v>
      </c>
      <c r="Y83" s="156">
        <f>IF(ISNUMBER(outYear),-'Inputs and Outputs'!Y79*(1-federal_tax_rate/100),"")</f>
        <v>-804526.12009413005</v>
      </c>
      <c r="Z83" s="156">
        <f>IF(ISNUMBER(outYear),-'Inputs and Outputs'!Z79*(1-federal_tax_rate/100),"")</f>
        <v>-820616.64249601238</v>
      </c>
      <c r="AA83" s="156">
        <f>IF(ISNUMBER(outYear),-'Inputs and Outputs'!AA79*(1-federal_tax_rate/100),"")</f>
        <v>-837028.97534593265</v>
      </c>
      <c r="AB83" s="156" t="str">
        <f>IF(ISNUMBER(outYear),-'Inputs and Outputs'!AB79*(1-federal_tax_rate/100),"")</f>
        <v/>
      </c>
      <c r="AC83" s="156" t="str">
        <f>IF(ISNUMBER(outYear),-'Inputs and Outputs'!AC79*(1-federal_tax_rate/100),"")</f>
        <v/>
      </c>
      <c r="AD83" s="156" t="str">
        <f>IF(ISNUMBER(outYear),-'Inputs and Outputs'!AD79*(1-federal_tax_rate/100),"")</f>
        <v/>
      </c>
      <c r="AE83" s="156" t="str">
        <f>IF(ISNUMBER(outYear),-'Inputs and Outputs'!AE79*(1-federal_tax_rate/100),"")</f>
        <v/>
      </c>
      <c r="AF83" s="156" t="str">
        <f>IF(ISNUMBER(outYear),-'Inputs and Outputs'!AF79*(1-federal_tax_rate/100),"")</f>
        <v/>
      </c>
      <c r="AG83" s="156" t="str">
        <f>IF(ISNUMBER(outYear),-'Inputs and Outputs'!AG79*(1-federal_tax_rate/100),"")</f>
        <v/>
      </c>
      <c r="AH83" s="156" t="str">
        <f>IF(ISNUMBER(outYear),-'Inputs and Outputs'!AH79*(1-federal_tax_rate/100),"")</f>
        <v/>
      </c>
      <c r="AI83" s="156" t="str">
        <f>IF(ISNUMBER(outYear),-'Inputs and Outputs'!AI79*(1-federal_tax_rate/100),"")</f>
        <v/>
      </c>
      <c r="AJ83" s="156" t="str">
        <f>IF(ISNUMBER(outYear),-'Inputs and Outputs'!AJ79*(1-federal_tax_rate/100),"")</f>
        <v/>
      </c>
      <c r="AK83" s="156" t="str">
        <f>IF(ISNUMBER(outYear),-'Inputs and Outputs'!AK79*(1-federal_tax_rate/100),"")</f>
        <v/>
      </c>
      <c r="AL83" s="156" t="str">
        <f>IF(ISNUMBER(outYear),-'Inputs and Outputs'!AL79*(1-federal_tax_rate/100),"")</f>
        <v/>
      </c>
      <c r="AM83" s="156" t="str">
        <f>IF(ISNUMBER(outYear),-'Inputs and Outputs'!AM79*(1-federal_tax_rate/100),"")</f>
        <v/>
      </c>
      <c r="AN83" s="156" t="str">
        <f>IF(ISNUMBER(outYear),-'Inputs and Outputs'!AN79*(1-federal_tax_rate/100),"")</f>
        <v/>
      </c>
      <c r="AO83" s="156" t="str">
        <f>IF(ISNUMBER(outYear),-'Inputs and Outputs'!AO79*(1-federal_tax_rate/100),"")</f>
        <v/>
      </c>
      <c r="AP83" s="156" t="str">
        <f>IF(ISNUMBER(outYear),-'Inputs and Outputs'!AP79*(1-federal_tax_rate/100),"")</f>
        <v/>
      </c>
      <c r="AQ83" s="156" t="str">
        <f>IF(ISNUMBER(outYear),-'Inputs and Outputs'!AQ79*(1-federal_tax_rate/100),"")</f>
        <v/>
      </c>
      <c r="AR83" s="156" t="str">
        <f>IF(ISNUMBER(outYear),-'Inputs and Outputs'!AR79*(1-federal_tax_rate/100),"")</f>
        <v/>
      </c>
      <c r="AS83" s="156" t="str">
        <f>IF(ISNUMBER(outYear),-'Inputs and Outputs'!AS79*(1-federal_tax_rate/100),"")</f>
        <v/>
      </c>
      <c r="AT83" s="156" t="str">
        <f>IF(ISNUMBER(outYear),-'Inputs and Outputs'!AT79*(1-federal_tax_rate/100),"")</f>
        <v/>
      </c>
      <c r="AU83" s="156" t="str">
        <f>IF(ISNUMBER(outYear),-'Inputs and Outputs'!AU79*(1-federal_tax_rate/100),"")</f>
        <v/>
      </c>
      <c r="AV83" s="156" t="str">
        <f>IF(ISNUMBER(outYear),-'Inputs and Outputs'!AV79*(1-federal_tax_rate/100),"")</f>
        <v/>
      </c>
      <c r="AW83" s="156" t="str">
        <f>IF(ISNUMBER(outYear),-'Inputs and Outputs'!AW79*(1-federal_tax_rate/100),"")</f>
        <v/>
      </c>
      <c r="AX83" s="156" t="str">
        <f>IF(ISNUMBER(outYear),-'Inputs and Outputs'!AX79*(1-federal_tax_rate/100),"")</f>
        <v/>
      </c>
      <c r="AY83" s="156" t="str">
        <f>IF(ISNUMBER(outYear),-'Inputs and Outputs'!AY79*(1-federal_tax_rate/100),"")</f>
        <v/>
      </c>
      <c r="AZ83" s="156" t="str">
        <f>IF(ISNUMBER(outYear),-'Inputs and Outputs'!AZ79*(1-federal_tax_rate/100),"")</f>
        <v/>
      </c>
      <c r="BA83" s="156" t="str">
        <f>IF(ISNUMBER(outYear),-'Inputs and Outputs'!BA79*(1-federal_tax_rate/100),"")</f>
        <v/>
      </c>
      <c r="BB83" s="156" t="str">
        <f>IF(ISNUMBER(outYear),-'Inputs and Outputs'!BB79*(1-federal_tax_rate/100),"")</f>
        <v/>
      </c>
      <c r="BC83" s="156" t="str">
        <f>IF(ISNUMBER(outYear),-'Inputs and Outputs'!BC79*(1-federal_tax_rate/100),"")</f>
        <v/>
      </c>
      <c r="BD83" s="156" t="str">
        <f>IF(ISNUMBER(outYear),-'Inputs and Outputs'!BD79*(1-federal_tax_rate/100),"")</f>
        <v/>
      </c>
      <c r="BE83" s="156" t="str">
        <f>IF(ISNUMBER(outYear),-'Inputs and Outputs'!BE79*(1-federal_tax_rate/100),"")</f>
        <v/>
      </c>
      <c r="BF83" s="156" t="str">
        <f>IF(ISNUMBER(outYear),-'Inputs and Outputs'!BF79*(1-federal_tax_rate/100),"")</f>
        <v/>
      </c>
      <c r="BG83" s="156" t="str">
        <f>IF(ISNUMBER(outYear),-'Inputs and Outputs'!BG79*(1-federal_tax_rate/100),"")</f>
        <v/>
      </c>
      <c r="BH83" s="156" t="str">
        <f>IF(ISNUMBER(outYear),-'Inputs and Outputs'!BH79*(1-federal_tax_rate/100),"")</f>
        <v/>
      </c>
      <c r="BI83" s="156" t="str">
        <f>IF(ISNUMBER(outYear),-'Inputs and Outputs'!BI79*(1-federal_tax_rate/100),"")</f>
        <v/>
      </c>
      <c r="BJ83" s="156" t="str">
        <f>IF(ISNUMBER(outYear),-'Inputs and Outputs'!BJ79*(1-federal_tax_rate/100),"")</f>
        <v/>
      </c>
      <c r="BK83" s="156" t="str">
        <f>IF(ISNUMBER(outYear),-'Inputs and Outputs'!BK79*(1-federal_tax_rate/100),"")</f>
        <v/>
      </c>
      <c r="BL83" s="156" t="str">
        <f>IF(ISNUMBER(outYear),-'Inputs and Outputs'!BL79*(1-federal_tax_rate/100),"")</f>
        <v/>
      </c>
      <c r="BM83" s="156" t="str">
        <f>IF(ISNUMBER(outYear),-'Inputs and Outputs'!BM79*(1-federal_tax_rate/100),"")</f>
        <v/>
      </c>
      <c r="BN83" s="156" t="str">
        <f>IF(ISNUMBER(outYear),-'Inputs and Outputs'!BN79*(1-federal_tax_rate/100),"")</f>
        <v/>
      </c>
      <c r="BO83" s="156" t="str">
        <f>IF(ISNUMBER(outYear),-'Inputs and Outputs'!BO79*(1-federal_tax_rate/100),"")</f>
        <v/>
      </c>
      <c r="BP83" s="156" t="str">
        <f>IF(ISNUMBER(outYear),-'Inputs and Outputs'!BP79*(1-federal_tax_rate/100),"")</f>
        <v/>
      </c>
      <c r="BQ83" s="156" t="str">
        <f>IF(ISNUMBER(outYear),-'Inputs and Outputs'!BQ79*(1-federal_tax_rate/100),"")</f>
        <v/>
      </c>
      <c r="BR83" s="156" t="str">
        <f>IF(ISNUMBER(outYear),-'Inputs and Outputs'!BR79*(1-federal_tax_rate/100),"")</f>
        <v/>
      </c>
      <c r="BS83" s="156" t="str">
        <f>IF(ISNUMBER(outYear),-'Inputs and Outputs'!BS79*(1-federal_tax_rate/100),"")</f>
        <v/>
      </c>
      <c r="BT83" s="156" t="str">
        <f>IF(ISNUMBER(outYear),-'Inputs and Outputs'!BT79*(1-federal_tax_rate/100),"")</f>
        <v/>
      </c>
      <c r="BU83" s="156" t="str">
        <f>IF(ISNUMBER(outYear),-'Inputs and Outputs'!BU79*(1-federal_tax_rate/100),"")</f>
        <v/>
      </c>
      <c r="BV83" s="156" t="str">
        <f>IF(ISNUMBER(outYear),-'Inputs and Outputs'!BV79*(1-federal_tax_rate/100),"")</f>
        <v/>
      </c>
      <c r="BW83" s="156" t="str">
        <f>IF(ISNUMBER(outYear),-'Inputs and Outputs'!BW79*(1-federal_tax_rate/100),"")</f>
        <v/>
      </c>
      <c r="BX83" s="156" t="str">
        <f>IF(ISNUMBER(outYear),-'Inputs and Outputs'!BX79*(1-federal_tax_rate/100),"")</f>
        <v/>
      </c>
      <c r="BY83" s="156" t="str">
        <f>IF(ISNUMBER(outYear),-'Inputs and Outputs'!BY79*(1-federal_tax_rate/100),"")</f>
        <v/>
      </c>
      <c r="BZ83" s="156" t="str">
        <f>IF(ISNUMBER(outYear),-'Inputs and Outputs'!BZ79*(1-federal_tax_rate/100),"")</f>
        <v/>
      </c>
      <c r="CA83" s="156" t="str">
        <f>IF(ISNUMBER(outYear),-'Inputs and Outputs'!CA79*(1-federal_tax_rate/100),"")</f>
        <v/>
      </c>
      <c r="CB83" s="156" t="str">
        <f>IF(ISNUMBER(outYear),-'Inputs and Outputs'!CB79*(1-federal_tax_rate/100),"")</f>
        <v/>
      </c>
      <c r="CC83" s="156" t="str">
        <f>IF(ISNUMBER(outYear),-'Inputs and Outputs'!CC79*(1-federal_tax_rate/100),"")</f>
        <v/>
      </c>
      <c r="CD83" s="156" t="str">
        <f>IF(ISNUMBER(outYear),-'Inputs and Outputs'!CD79*(1-federal_tax_rate/100),"")</f>
        <v/>
      </c>
      <c r="CE83" s="156" t="str">
        <f>IF(ISNUMBER(outYear),-'Inputs and Outputs'!CE79*(1-federal_tax_rate/100),"")</f>
        <v/>
      </c>
      <c r="CF83" s="156" t="str">
        <f>IF(ISNUMBER(outYear),-'Inputs and Outputs'!CF79*(1-federal_tax_rate/100),"")</f>
        <v/>
      </c>
      <c r="CG83" s="156" t="str">
        <f>IF(ISNUMBER(outYear),-'Inputs and Outputs'!CG79*(1-federal_tax_rate/100),"")</f>
        <v/>
      </c>
      <c r="CH83" s="156" t="str">
        <f>IF(ISNUMBER(outYear),-'Inputs and Outputs'!CH79*(1-federal_tax_rate/100),"")</f>
        <v/>
      </c>
      <c r="CI83" s="156" t="str">
        <f>IF(ISNUMBER(outYear),-'Inputs and Outputs'!CI79*(1-federal_tax_rate/100),"")</f>
        <v/>
      </c>
      <c r="CJ83" s="156" t="str">
        <f>IF(ISNUMBER(outYear),-'Inputs and Outputs'!CJ79*(1-federal_tax_rate/100),"")</f>
        <v/>
      </c>
      <c r="CK83" s="156" t="str">
        <f>IF(ISNUMBER(outYear),-'Inputs and Outputs'!CK79*(1-federal_tax_rate/100),"")</f>
        <v/>
      </c>
      <c r="CL83" s="156" t="str">
        <f>IF(ISNUMBER(outYear),-'Inputs and Outputs'!CL79*(1-federal_tax_rate/100),"")</f>
        <v/>
      </c>
      <c r="CM83" s="156" t="str">
        <f>IF(ISNUMBER(outYear),-'Inputs and Outputs'!CM79*(1-federal_tax_rate/100),"")</f>
        <v/>
      </c>
      <c r="CN83" s="156" t="str">
        <f>IF(ISNUMBER(outYear),-'Inputs and Outputs'!CN79*(1-federal_tax_rate/100),"")</f>
        <v/>
      </c>
      <c r="CO83" s="156" t="str">
        <f>IF(ISNUMBER(outYear),-'Inputs and Outputs'!CO79*(1-federal_tax_rate/100),"")</f>
        <v/>
      </c>
      <c r="CP83" s="156" t="str">
        <f>IF(ISNUMBER(outYear),-'Inputs and Outputs'!CP79*(1-federal_tax_rate/100),"")</f>
        <v/>
      </c>
      <c r="CQ83" s="156" t="str">
        <f>IF(ISNUMBER(outYear),-'Inputs and Outputs'!CQ79*(1-federal_tax_rate/100),"")</f>
        <v/>
      </c>
      <c r="CR83" s="156" t="str">
        <f>IF(ISNUMBER(outYear),-'Inputs and Outputs'!CR79*(1-federal_tax_rate/100),"")</f>
        <v/>
      </c>
      <c r="CS83" s="156" t="str">
        <f>IF(ISNUMBER(outYear),-'Inputs and Outputs'!CS79*(1-federal_tax_rate/100),"")</f>
        <v/>
      </c>
      <c r="CT83" s="156" t="str">
        <f>IF(ISNUMBER(outYear),-'Inputs and Outputs'!CT79*(1-federal_tax_rate/100),"")</f>
        <v/>
      </c>
      <c r="CU83" s="156" t="str">
        <f>IF(ISNUMBER(outYear),-'Inputs and Outputs'!CU79*(1-federal_tax_rate/100),"")</f>
        <v/>
      </c>
      <c r="CV83" s="156" t="str">
        <f>IF(ISNUMBER(outYear),-'Inputs and Outputs'!CV79*(1-federal_tax_rate/100),"")</f>
        <v/>
      </c>
      <c r="CW83" s="156" t="str">
        <f>IF(ISNUMBER(outYear),-'Inputs and Outputs'!CW79*(1-federal_tax_rate/100),"")</f>
        <v/>
      </c>
      <c r="CX83" s="156" t="str">
        <f>IF(ISNUMBER(outYear),-'Inputs and Outputs'!CX79*(1-federal_tax_rate/100),"")</f>
        <v/>
      </c>
    </row>
    <row r="84" spans="1:102" x14ac:dyDescent="0.2">
      <c r="A84" t="s">
        <v>100</v>
      </c>
      <c r="B84" s="156">
        <f>IF(ISNUMBER(outYear),B78,"")</f>
        <v>-542718</v>
      </c>
      <c r="C84" s="156">
        <f>IF(ISNUMBER(outYear),C78-('Inputs and Outputs'!C80+'Inputs and Outputs'!C81)*(1-federal_tax_rate/100),"")</f>
        <v>-326761.83360000001</v>
      </c>
      <c r="D84" s="156">
        <f>IF(ISNUMBER(outYear),D78-('Inputs and Outputs'!D80+'Inputs and Outputs'!D81)*(1-federal_tax_rate/100),"")</f>
        <v>-499368.77827200003</v>
      </c>
      <c r="E84" s="156">
        <f>IF(ISNUMBER(outYear),E78-('Inputs and Outputs'!E80+'Inputs and Outputs'!E81)*(1-federal_tax_rate/100),"")</f>
        <v>-509356.15383743995</v>
      </c>
      <c r="F84" s="156">
        <f>IF(ISNUMBER(outYear),F78-('Inputs and Outputs'!F80+'Inputs and Outputs'!F81)*(1-federal_tax_rate/100),"")</f>
        <v>-519543.27691418875</v>
      </c>
      <c r="G84" s="156">
        <f>IF(ISNUMBER(outYear),G78-('Inputs and Outputs'!G80+'Inputs and Outputs'!G81)*(1-federal_tax_rate/100),"")</f>
        <v>-529934.14245247259</v>
      </c>
      <c r="H84" s="156">
        <f>IF(ISNUMBER(outYear),H78-('Inputs and Outputs'!H80+'Inputs and Outputs'!H81)*(1-federal_tax_rate/100),"")</f>
        <v>-540532.82530152192</v>
      </c>
      <c r="I84" s="156">
        <f>IF(ISNUMBER(outYear),I78-('Inputs and Outputs'!I80+'Inputs and Outputs'!I81)*(1-federal_tax_rate/100),"")</f>
        <v>-551343.48180755251</v>
      </c>
      <c r="J84" s="156">
        <f>IF(ISNUMBER(outYear),J78-('Inputs and Outputs'!J80+'Inputs and Outputs'!J81)*(1-federal_tax_rate/100),"")</f>
        <v>-562370.3514437034</v>
      </c>
      <c r="K84" s="156">
        <f>IF(ISNUMBER(outYear),K78-('Inputs and Outputs'!K80+'Inputs and Outputs'!K81)*(1-federal_tax_rate/100),"")</f>
        <v>-573617.75847257755</v>
      </c>
      <c r="L84" s="156">
        <f>IF(ISNUMBER(outYear),L78-('Inputs and Outputs'!L80+'Inputs and Outputs'!L81)*(1-federal_tax_rate/100),"")</f>
        <v>-641558.2375094333</v>
      </c>
      <c r="M84" s="156">
        <f>IF(ISNUMBER(outYear),M78-('Inputs and Outputs'!M80+'Inputs and Outputs'!M81)*(1-federal_tax_rate/100),"")</f>
        <v>-596791.91591486975</v>
      </c>
      <c r="N84" s="156">
        <f>IF(ISNUMBER(outYear),N78-('Inputs and Outputs'!N80+'Inputs and Outputs'!N81)*(1-federal_tax_rate/100),"")</f>
        <v>-608727.75423316692</v>
      </c>
      <c r="O84" s="156">
        <f>IF(ISNUMBER(outYear),O78-('Inputs and Outputs'!O80+'Inputs and Outputs'!O81)*(1-federal_tax_rate/100),"")</f>
        <v>-620902.30931783048</v>
      </c>
      <c r="P84" s="156">
        <f>IF(ISNUMBER(outYear),P78-('Inputs and Outputs'!P80+'Inputs and Outputs'!P81)*(1-federal_tax_rate/100),"")</f>
        <v>-633320.35550418706</v>
      </c>
      <c r="Q84" s="156">
        <f>IF(ISNUMBER(outYear),Q78-('Inputs and Outputs'!Q80+'Inputs and Outputs'!Q81)*(1-federal_tax_rate/100),"")</f>
        <v>-645986.76261427079</v>
      </c>
      <c r="R84" s="156">
        <f>IF(ISNUMBER(outYear),R78-('Inputs and Outputs'!R80+'Inputs and Outputs'!R81)*(1-federal_tax_rate/100),"")</f>
        <v>-658906.49786655605</v>
      </c>
      <c r="S84" s="156">
        <f>IF(ISNUMBER(outYear),S78-('Inputs and Outputs'!S80+'Inputs and Outputs'!S81)*(1-federal_tax_rate/100),"")</f>
        <v>-672084.62782388728</v>
      </c>
      <c r="T84" s="156">
        <f>IF(ISNUMBER(outYear),T78-('Inputs and Outputs'!T80+'Inputs and Outputs'!T81)*(1-federal_tax_rate/100),"")</f>
        <v>-685526.32038036501</v>
      </c>
      <c r="U84" s="156">
        <f>IF(ISNUMBER(outYear),U78-('Inputs and Outputs'!U80+'Inputs and Outputs'!U81)*(1-federal_tax_rate/100),"")</f>
        <v>-699236.84678797226</v>
      </c>
      <c r="V84" s="156">
        <f>IF(ISNUMBER(outYear),V78-('Inputs and Outputs'!V80+'Inputs and Outputs'!V81)*(1-federal_tax_rate/100),"")</f>
        <v>-713221.5837237318</v>
      </c>
      <c r="W84" s="156">
        <f>IF(ISNUMBER(outYear),W78-('Inputs and Outputs'!W80+'Inputs and Outputs'!W81)*(1-federal_tax_rate/100),"")</f>
        <v>-727486.01539820642</v>
      </c>
      <c r="X84" s="156">
        <f>IF(ISNUMBER(outYear),X78-('Inputs and Outputs'!X80+'Inputs and Outputs'!X81)*(1-federal_tax_rate/100),"")</f>
        <v>-742035.73570617056</v>
      </c>
      <c r="Y84" s="156">
        <f>IF(ISNUMBER(outYear),Y78-('Inputs and Outputs'!Y80+'Inputs and Outputs'!Y81)*(1-federal_tax_rate/100),"")</f>
        <v>-756876.45042029407</v>
      </c>
      <c r="Z84" s="156">
        <f>IF(ISNUMBER(outYear),Z78-('Inputs and Outputs'!Z80+'Inputs and Outputs'!Z81)*(1-federal_tax_rate/100),"")</f>
        <v>-772013.97942869971</v>
      </c>
      <c r="AA84" s="156">
        <f>IF(ISNUMBER(outYear),AA78-('Inputs and Outputs'!AA80+'Inputs and Outputs'!AA81)*(1-federal_tax_rate/100),"")</f>
        <v>-787454.25901727367</v>
      </c>
      <c r="AB84" s="156" t="str">
        <f>IF(ISNUMBER(outYear),AB78-('Inputs and Outputs'!AB80+'Inputs and Outputs'!AB81)*(1-federal_tax_rate/100),"")</f>
        <v/>
      </c>
      <c r="AC84" s="156" t="str">
        <f>IF(ISNUMBER(outYear),AC78-('Inputs and Outputs'!AC80+'Inputs and Outputs'!AC81)*(1-federal_tax_rate/100),"")</f>
        <v/>
      </c>
      <c r="AD84" s="156" t="str">
        <f>IF(ISNUMBER(outYear),AD78-('Inputs and Outputs'!AD80+'Inputs and Outputs'!AD81)*(1-federal_tax_rate/100),"")</f>
        <v/>
      </c>
      <c r="AE84" s="156" t="str">
        <f>IF(ISNUMBER(outYear),AE78-('Inputs and Outputs'!AE80+'Inputs and Outputs'!AE81)*(1-federal_tax_rate/100),"")</f>
        <v/>
      </c>
      <c r="AF84" s="156" t="str">
        <f>IF(ISNUMBER(outYear),AF78-('Inputs and Outputs'!AF80+'Inputs and Outputs'!AF81)*(1-federal_tax_rate/100),"")</f>
        <v/>
      </c>
      <c r="AG84" s="156" t="str">
        <f>IF(ISNUMBER(outYear),AG78-('Inputs and Outputs'!AG80+'Inputs and Outputs'!AG81)*(1-federal_tax_rate/100),"")</f>
        <v/>
      </c>
      <c r="AH84" s="156" t="str">
        <f>IF(ISNUMBER(outYear),AH78-('Inputs and Outputs'!AH80+'Inputs and Outputs'!AH81)*(1-federal_tax_rate/100),"")</f>
        <v/>
      </c>
      <c r="AI84" s="156" t="str">
        <f>IF(ISNUMBER(outYear),AI78-('Inputs and Outputs'!AI80+'Inputs and Outputs'!AI81)*(1-federal_tax_rate/100),"")</f>
        <v/>
      </c>
      <c r="AJ84" s="156" t="str">
        <f>IF(ISNUMBER(outYear),AJ78-('Inputs and Outputs'!AJ80+'Inputs and Outputs'!AJ81)*(1-federal_tax_rate/100),"")</f>
        <v/>
      </c>
      <c r="AK84" s="156" t="str">
        <f>IF(ISNUMBER(outYear),AK78-('Inputs and Outputs'!AK80+'Inputs and Outputs'!AK81)*(1-federal_tax_rate/100),"")</f>
        <v/>
      </c>
      <c r="AL84" s="156" t="str">
        <f>IF(ISNUMBER(outYear),AL78-('Inputs and Outputs'!AL80+'Inputs and Outputs'!AL81)*(1-federal_tax_rate/100),"")</f>
        <v/>
      </c>
      <c r="AM84" s="156" t="str">
        <f>IF(ISNUMBER(outYear),AM78-('Inputs and Outputs'!AM80+'Inputs and Outputs'!AM81)*(1-federal_tax_rate/100),"")</f>
        <v/>
      </c>
      <c r="AN84" s="156" t="str">
        <f>IF(ISNUMBER(outYear),AN78-('Inputs and Outputs'!AN80+'Inputs and Outputs'!AN81)*(1-federal_tax_rate/100),"")</f>
        <v/>
      </c>
      <c r="AO84" s="156" t="str">
        <f>IF(ISNUMBER(outYear),AO78-('Inputs and Outputs'!AO80+'Inputs and Outputs'!AO81)*(1-federal_tax_rate/100),"")</f>
        <v/>
      </c>
      <c r="AP84" s="156" t="str">
        <f>IF(ISNUMBER(outYear),AP78-('Inputs and Outputs'!AP80+'Inputs and Outputs'!AP81)*(1-federal_tax_rate/100),"")</f>
        <v/>
      </c>
      <c r="AQ84" s="156" t="str">
        <f>IF(ISNUMBER(outYear),AQ78-('Inputs and Outputs'!AQ80+'Inputs and Outputs'!AQ81)*(1-federal_tax_rate/100),"")</f>
        <v/>
      </c>
      <c r="AR84" s="156" t="str">
        <f>IF(ISNUMBER(outYear),AR78-('Inputs and Outputs'!AR80+'Inputs and Outputs'!AR81)*(1-federal_tax_rate/100),"")</f>
        <v/>
      </c>
      <c r="AS84" s="156" t="str">
        <f>IF(ISNUMBER(outYear),AS78-('Inputs and Outputs'!AS80+'Inputs and Outputs'!AS81)*(1-federal_tax_rate/100),"")</f>
        <v/>
      </c>
      <c r="AT84" s="156" t="str">
        <f>IF(ISNUMBER(outYear),AT78-('Inputs and Outputs'!AT80+'Inputs and Outputs'!AT81)*(1-federal_tax_rate/100),"")</f>
        <v/>
      </c>
      <c r="AU84" s="156" t="str">
        <f>IF(ISNUMBER(outYear),AU78-('Inputs and Outputs'!AU80+'Inputs and Outputs'!AU81)*(1-federal_tax_rate/100),"")</f>
        <v/>
      </c>
      <c r="AV84" s="156" t="str">
        <f>IF(ISNUMBER(outYear),AV78-('Inputs and Outputs'!AV80+'Inputs and Outputs'!AV81)*(1-federal_tax_rate/100),"")</f>
        <v/>
      </c>
      <c r="AW84" s="156" t="str">
        <f>IF(ISNUMBER(outYear),AW78-('Inputs and Outputs'!AW80+'Inputs and Outputs'!AW81)*(1-federal_tax_rate/100),"")</f>
        <v/>
      </c>
      <c r="AX84" s="156" t="str">
        <f>IF(ISNUMBER(outYear),AX78-('Inputs and Outputs'!AX80+'Inputs and Outputs'!AX81)*(1-federal_tax_rate/100),"")</f>
        <v/>
      </c>
      <c r="AY84" s="156" t="str">
        <f>IF(ISNUMBER(outYear),AY78-('Inputs and Outputs'!AY80+'Inputs and Outputs'!AY81)*(1-federal_tax_rate/100),"")</f>
        <v/>
      </c>
      <c r="AZ84" s="156" t="str">
        <f>IF(ISNUMBER(outYear),AZ78-('Inputs and Outputs'!AZ80+'Inputs and Outputs'!AZ81)*(1-federal_tax_rate/100),"")</f>
        <v/>
      </c>
      <c r="BA84" s="156" t="str">
        <f>IF(ISNUMBER(outYear),BA78-('Inputs and Outputs'!BA80+'Inputs and Outputs'!BA81)*(1-federal_tax_rate/100),"")</f>
        <v/>
      </c>
      <c r="BB84" s="156" t="str">
        <f>IF(ISNUMBER(outYear),BB78-('Inputs and Outputs'!BB80+'Inputs and Outputs'!BB81)*(1-federal_tax_rate/100),"")</f>
        <v/>
      </c>
      <c r="BC84" s="156" t="str">
        <f>IF(ISNUMBER(outYear),BC78-('Inputs and Outputs'!BC80+'Inputs and Outputs'!BC81)*(1-federal_tax_rate/100),"")</f>
        <v/>
      </c>
      <c r="BD84" s="156" t="str">
        <f>IF(ISNUMBER(outYear),BD78-('Inputs and Outputs'!BD80+'Inputs and Outputs'!BD81)*(1-federal_tax_rate/100),"")</f>
        <v/>
      </c>
      <c r="BE84" s="156" t="str">
        <f>IF(ISNUMBER(outYear),BE78-('Inputs and Outputs'!BE80+'Inputs and Outputs'!BE81)*(1-federal_tax_rate/100),"")</f>
        <v/>
      </c>
      <c r="BF84" s="156" t="str">
        <f>IF(ISNUMBER(outYear),BF78-('Inputs and Outputs'!BF80+'Inputs and Outputs'!BF81)*(1-federal_tax_rate/100),"")</f>
        <v/>
      </c>
      <c r="BG84" s="156" t="str">
        <f>IF(ISNUMBER(outYear),BG78-('Inputs and Outputs'!BG80+'Inputs and Outputs'!BG81)*(1-federal_tax_rate/100),"")</f>
        <v/>
      </c>
      <c r="BH84" s="156" t="str">
        <f>IF(ISNUMBER(outYear),BH78-('Inputs and Outputs'!BH80+'Inputs and Outputs'!BH81)*(1-federal_tax_rate/100),"")</f>
        <v/>
      </c>
      <c r="BI84" s="156" t="str">
        <f>IF(ISNUMBER(outYear),BI78-('Inputs and Outputs'!BI80+'Inputs and Outputs'!BI81)*(1-federal_tax_rate/100),"")</f>
        <v/>
      </c>
      <c r="BJ84" s="156" t="str">
        <f>IF(ISNUMBER(outYear),BJ78-('Inputs and Outputs'!BJ80+'Inputs and Outputs'!BJ81)*(1-federal_tax_rate/100),"")</f>
        <v/>
      </c>
      <c r="BK84" s="156" t="str">
        <f>IF(ISNUMBER(outYear),BK78-('Inputs and Outputs'!BK80+'Inputs and Outputs'!BK81)*(1-federal_tax_rate/100),"")</f>
        <v/>
      </c>
      <c r="BL84" s="156" t="str">
        <f>IF(ISNUMBER(outYear),BL78-('Inputs and Outputs'!BL80+'Inputs and Outputs'!BL81)*(1-federal_tax_rate/100),"")</f>
        <v/>
      </c>
      <c r="BM84" s="156" t="str">
        <f>IF(ISNUMBER(outYear),BM78-('Inputs and Outputs'!BM80+'Inputs and Outputs'!BM81)*(1-federal_tax_rate/100),"")</f>
        <v/>
      </c>
      <c r="BN84" s="156" t="str">
        <f>IF(ISNUMBER(outYear),BN78-('Inputs and Outputs'!BN80+'Inputs and Outputs'!BN81)*(1-federal_tax_rate/100),"")</f>
        <v/>
      </c>
      <c r="BO84" s="156" t="str">
        <f>IF(ISNUMBER(outYear),BO78-('Inputs and Outputs'!BO80+'Inputs and Outputs'!BO81)*(1-federal_tax_rate/100),"")</f>
        <v/>
      </c>
      <c r="BP84" s="156" t="str">
        <f>IF(ISNUMBER(outYear),BP78-('Inputs and Outputs'!BP80+'Inputs and Outputs'!BP81)*(1-federal_tax_rate/100),"")</f>
        <v/>
      </c>
      <c r="BQ84" s="156" t="str">
        <f>IF(ISNUMBER(outYear),BQ78-('Inputs and Outputs'!BQ80+'Inputs and Outputs'!BQ81)*(1-federal_tax_rate/100),"")</f>
        <v/>
      </c>
      <c r="BR84" s="156" t="str">
        <f>IF(ISNUMBER(outYear),BR78-('Inputs and Outputs'!BR80+'Inputs and Outputs'!BR81)*(1-federal_tax_rate/100),"")</f>
        <v/>
      </c>
      <c r="BS84" s="156" t="str">
        <f>IF(ISNUMBER(outYear),BS78-('Inputs and Outputs'!BS80+'Inputs and Outputs'!BS81)*(1-federal_tax_rate/100),"")</f>
        <v/>
      </c>
      <c r="BT84" s="156" t="str">
        <f>IF(ISNUMBER(outYear),BT78-('Inputs and Outputs'!BT80+'Inputs and Outputs'!BT81)*(1-federal_tax_rate/100),"")</f>
        <v/>
      </c>
      <c r="BU84" s="156" t="str">
        <f>IF(ISNUMBER(outYear),BU78-('Inputs and Outputs'!BU80+'Inputs and Outputs'!BU81)*(1-federal_tax_rate/100),"")</f>
        <v/>
      </c>
      <c r="BV84" s="156" t="str">
        <f>IF(ISNUMBER(outYear),BV78-('Inputs and Outputs'!BV80+'Inputs and Outputs'!BV81)*(1-federal_tax_rate/100),"")</f>
        <v/>
      </c>
      <c r="BW84" s="156" t="str">
        <f>IF(ISNUMBER(outYear),BW78-('Inputs and Outputs'!BW80+'Inputs and Outputs'!BW81)*(1-federal_tax_rate/100),"")</f>
        <v/>
      </c>
      <c r="BX84" s="156" t="str">
        <f>IF(ISNUMBER(outYear),BX78-('Inputs and Outputs'!BX80+'Inputs and Outputs'!BX81)*(1-federal_tax_rate/100),"")</f>
        <v/>
      </c>
      <c r="BY84" s="156" t="str">
        <f>IF(ISNUMBER(outYear),BY78-('Inputs and Outputs'!BY80+'Inputs and Outputs'!BY81)*(1-federal_tax_rate/100),"")</f>
        <v/>
      </c>
      <c r="BZ84" s="156" t="str">
        <f>IF(ISNUMBER(outYear),BZ78-('Inputs and Outputs'!BZ80+'Inputs and Outputs'!BZ81)*(1-federal_tax_rate/100),"")</f>
        <v/>
      </c>
      <c r="CA84" s="156" t="str">
        <f>IF(ISNUMBER(outYear),CA78-('Inputs and Outputs'!CA80+'Inputs and Outputs'!CA81)*(1-federal_tax_rate/100),"")</f>
        <v/>
      </c>
      <c r="CB84" s="156" t="str">
        <f>IF(ISNUMBER(outYear),CB78-('Inputs and Outputs'!CB80+'Inputs and Outputs'!CB81)*(1-federal_tax_rate/100),"")</f>
        <v/>
      </c>
      <c r="CC84" s="156" t="str">
        <f>IF(ISNUMBER(outYear),CC78-('Inputs and Outputs'!CC80+'Inputs and Outputs'!CC81)*(1-federal_tax_rate/100),"")</f>
        <v/>
      </c>
      <c r="CD84" s="156" t="str">
        <f>IF(ISNUMBER(outYear),CD78-('Inputs and Outputs'!CD80+'Inputs and Outputs'!CD81)*(1-federal_tax_rate/100),"")</f>
        <v/>
      </c>
      <c r="CE84" s="156" t="str">
        <f>IF(ISNUMBER(outYear),CE78-('Inputs and Outputs'!CE80+'Inputs and Outputs'!CE81)*(1-federal_tax_rate/100),"")</f>
        <v/>
      </c>
      <c r="CF84" s="156" t="str">
        <f>IF(ISNUMBER(outYear),CF78-('Inputs and Outputs'!CF80+'Inputs and Outputs'!CF81)*(1-federal_tax_rate/100),"")</f>
        <v/>
      </c>
      <c r="CG84" s="156" t="str">
        <f>IF(ISNUMBER(outYear),CG78-('Inputs and Outputs'!CG80+'Inputs and Outputs'!CG81)*(1-federal_tax_rate/100),"")</f>
        <v/>
      </c>
      <c r="CH84" s="156" t="str">
        <f>IF(ISNUMBER(outYear),CH78-('Inputs and Outputs'!CH80+'Inputs and Outputs'!CH81)*(1-federal_tax_rate/100),"")</f>
        <v/>
      </c>
      <c r="CI84" s="156" t="str">
        <f>IF(ISNUMBER(outYear),CI78-('Inputs and Outputs'!CI80+'Inputs and Outputs'!CI81)*(1-federal_tax_rate/100),"")</f>
        <v/>
      </c>
      <c r="CJ84" s="156" t="str">
        <f>IF(ISNUMBER(outYear),CJ78-('Inputs and Outputs'!CJ80+'Inputs and Outputs'!CJ81)*(1-federal_tax_rate/100),"")</f>
        <v/>
      </c>
      <c r="CK84" s="156" t="str">
        <f>IF(ISNUMBER(outYear),CK78-('Inputs and Outputs'!CK80+'Inputs and Outputs'!CK81)*(1-federal_tax_rate/100),"")</f>
        <v/>
      </c>
      <c r="CL84" s="156" t="str">
        <f>IF(ISNUMBER(outYear),CL78-('Inputs and Outputs'!CL80+'Inputs and Outputs'!CL81)*(1-federal_tax_rate/100),"")</f>
        <v/>
      </c>
      <c r="CM84" s="156" t="str">
        <f>IF(ISNUMBER(outYear),CM78-('Inputs and Outputs'!CM80+'Inputs and Outputs'!CM81)*(1-federal_tax_rate/100),"")</f>
        <v/>
      </c>
      <c r="CN84" s="156" t="str">
        <f>IF(ISNUMBER(outYear),CN78-('Inputs and Outputs'!CN80+'Inputs and Outputs'!CN81)*(1-federal_tax_rate/100),"")</f>
        <v/>
      </c>
      <c r="CO84" s="156" t="str">
        <f>IF(ISNUMBER(outYear),CO78-('Inputs and Outputs'!CO80+'Inputs and Outputs'!CO81)*(1-federal_tax_rate/100),"")</f>
        <v/>
      </c>
      <c r="CP84" s="156" t="str">
        <f>IF(ISNUMBER(outYear),CP78-('Inputs and Outputs'!CP80+'Inputs and Outputs'!CP81)*(1-federal_tax_rate/100),"")</f>
        <v/>
      </c>
      <c r="CQ84" s="156" t="str">
        <f>IF(ISNUMBER(outYear),CQ78-('Inputs and Outputs'!CQ80+'Inputs and Outputs'!CQ81)*(1-federal_tax_rate/100),"")</f>
        <v/>
      </c>
      <c r="CR84" s="156" t="str">
        <f>IF(ISNUMBER(outYear),CR78-('Inputs and Outputs'!CR80+'Inputs and Outputs'!CR81)*(1-federal_tax_rate/100),"")</f>
        <v/>
      </c>
      <c r="CS84" s="156" t="str">
        <f>IF(ISNUMBER(outYear),CS78-('Inputs and Outputs'!CS80+'Inputs and Outputs'!CS81)*(1-federal_tax_rate/100),"")</f>
        <v/>
      </c>
      <c r="CT84" s="156" t="str">
        <f>IF(ISNUMBER(outYear),CT78-('Inputs and Outputs'!CT80+'Inputs and Outputs'!CT81)*(1-federal_tax_rate/100),"")</f>
        <v/>
      </c>
      <c r="CU84" s="156" t="str">
        <f>IF(ISNUMBER(outYear),CU78-('Inputs and Outputs'!CU80+'Inputs and Outputs'!CU81)*(1-federal_tax_rate/100),"")</f>
        <v/>
      </c>
      <c r="CV84" s="156" t="str">
        <f>IF(ISNUMBER(outYear),CV78-('Inputs and Outputs'!CV80+'Inputs and Outputs'!CV81)*(1-federal_tax_rate/100),"")</f>
        <v/>
      </c>
      <c r="CW84" s="156" t="str">
        <f>IF(ISNUMBER(outYear),CW78-('Inputs and Outputs'!CW80+'Inputs and Outputs'!CW81)*(1-federal_tax_rate/100),"")</f>
        <v/>
      </c>
      <c r="CX84" s="156" t="str">
        <f>IF(ISNUMBER(outYear),CX78-('Inputs and Outputs'!CX80+'Inputs and Outputs'!CX81)*(1-federal_tax_rate/100),"")</f>
        <v/>
      </c>
    </row>
    <row r="86" spans="1:102" x14ac:dyDescent="0.2">
      <c r="C86" s="156"/>
    </row>
    <row r="87" spans="1:102" x14ac:dyDescent="0.2">
      <c r="C87" s="156"/>
      <c r="D87" s="156"/>
    </row>
    <row r="89" spans="1:102" x14ac:dyDescent="0.2">
      <c r="B89" s="156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2017-07-06T16:36:29Z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