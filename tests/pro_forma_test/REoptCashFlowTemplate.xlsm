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65" windowWidth="10800" windowHeight="8760" tabRatio="591"/>
  </bookViews>
  <sheets>
    <sheet name="Inputs and Outputs" sheetId="7" r:id="rId1"/>
    <sheet name="Cash Flow" sheetId="8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Flow'!$C$65:$CX$65</definedName>
    <definedName name="cbi_fed_amount">'Inputs and Outputs'!$B$44</definedName>
    <definedName name="cbi_fed_deprbas_fed">'Inputs and Outputs'!$E$44</definedName>
    <definedName name="cbi_fed_deprbas_sta">'Inputs and Outputs'!#REF!</definedName>
    <definedName name="cbi_fed_maxvalue">'Inputs and Outputs'!$C$44</definedName>
    <definedName name="cbi_fed_tax_fed">'Inputs and Outputs'!$D$44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Outputs'!$B$45</definedName>
    <definedName name="cbi_sta_deprbas_fed">'Inputs and Outputs'!$E$45</definedName>
    <definedName name="cbi_sta_deprbas_sta">'Inputs and Outputs'!#REF!</definedName>
    <definedName name="cbi_sta_maxvalue">'Inputs and Outputs'!$C$45</definedName>
    <definedName name="cbi_sta_tax_fed">'Inputs and Outputs'!$D$45</definedName>
    <definedName name="cbi_sta_tax_sta">'Inputs and Outputs'!#REF!</definedName>
    <definedName name="cbi_uti_amount">'Inputs and Outputs'!$B$46</definedName>
    <definedName name="cbi_uti_deprbas_fed">'Inputs and Outputs'!$E$46</definedName>
    <definedName name="cbi_uti_deprbas_sta">'Inputs and Outputs'!#REF!</definedName>
    <definedName name="cbi_uti_maxvalue">'Inputs and Outputs'!$C$46</definedName>
    <definedName name="cbi_uti_tax_fed">'Inputs and Outputs'!$D$46</definedName>
    <definedName name="cbi_uti_tax_sta">'Inputs and Outputs'!#REF!</definedName>
    <definedName name="CostFlow">'Cash Flow'!$C$63:$CX$63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Outputs'!$B$51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Outputs'!$B$41</definedName>
    <definedName name="ibi_sta_percent_deprbas_fed">'Inputs and Outputs'!$E$41</definedName>
    <definedName name="ibi_sta_percent_deprbas_sta">'Inputs and Outputs'!#REF!</definedName>
    <definedName name="ibi_sta_percent_maxvalue">'Inputs and Outputs'!$C$41</definedName>
    <definedName name="ibi_sta_percent_tax_fed">'Inputs and Outputs'!$D$41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Outputs'!$B$42</definedName>
    <definedName name="ibi_uti_percent_deprbas_fed">'Inputs and Outputs'!$E$42</definedName>
    <definedName name="ibi_uti_percent_deprbas_sta">'Inputs and Outputs'!#REF!</definedName>
    <definedName name="ibi_uti_percent_maxvalue">'Inputs and Outputs'!$C$42</definedName>
    <definedName name="ibi_uti_percent_tax_fed">'Inputs and Outputs'!$D$42</definedName>
    <definedName name="ibi_uti_percent_tax_sta">'Inputs and Outputs'!#REF!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Outputs'!$B$36</definedName>
    <definedName name="itc_fed_percent_deprbas_fed">'Inputs and Outputs'!$D$36</definedName>
    <definedName name="itc_fed_percent_deprbas_sta">'Inputs and Outputs'!#REF!</definedName>
    <definedName name="itc_fed_percent_deprbas_state">'Inputs and Outputs'!#REF!</definedName>
    <definedName name="itc_fed_percent_maxvalue">'Inputs and Outputs'!$C$36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Flow'!$B$65</definedName>
    <definedName name="outYearZeroCostFlow">'Cash Flow'!$B$63</definedName>
    <definedName name="pbi_combined_amount">'Inputs and Outputs'!$B$48</definedName>
    <definedName name="pbi_combined_maxvalue">'Inputs and Outputs'!$C$48</definedName>
    <definedName name="pbi_combined_tax_fed">'Inputs and Outputs'!$D$48</definedName>
    <definedName name="pbi_combined_tax_sta">'Inputs and Outputs'!#REF!</definedName>
    <definedName name="pbi_combined_term">'Inputs and Outputs'!$E$48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Outputs'!#REF!</definedName>
  </definedNames>
  <calcPr calcId="145621"/>
</workbook>
</file>

<file path=xl/calcChain.xml><?xml version="1.0" encoding="utf-8"?>
<calcChain xmlns="http://schemas.openxmlformats.org/spreadsheetml/2006/main">
  <c r="D52" i="8" l="1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CG52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U52" i="8"/>
  <c r="CV52" i="8"/>
  <c r="CW52" i="8"/>
  <c r="CX52" i="8"/>
  <c r="C52" i="8"/>
  <c r="AB59" i="7" l="1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BZ59" i="7"/>
  <c r="CA59" i="7"/>
  <c r="CB59" i="7"/>
  <c r="CC59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59" i="7"/>
  <c r="C2" i="8" l="1"/>
  <c r="C55" i="7"/>
  <c r="C68" i="8" l="1"/>
  <c r="D2" i="8"/>
  <c r="B68" i="8"/>
  <c r="D58" i="7" l="1"/>
  <c r="D55" i="7"/>
  <c r="E2" i="8"/>
  <c r="F2" i="8" l="1"/>
  <c r="E58" i="7"/>
  <c r="B58" i="8"/>
  <c r="B53" i="8" s="1"/>
  <c r="B36" i="8"/>
  <c r="B35" i="8"/>
  <c r="G2" i="8" l="1"/>
  <c r="F58" i="7"/>
  <c r="C54" i="8"/>
  <c r="B28" i="7"/>
  <c r="G58" i="7" l="1"/>
  <c r="H2" i="8"/>
  <c r="XFD48" i="8"/>
  <c r="XFC48" i="8"/>
  <c r="XFB48" i="8"/>
  <c r="XFA48" i="8"/>
  <c r="XEZ48" i="8"/>
  <c r="XEY48" i="8"/>
  <c r="XEX48" i="8"/>
  <c r="XEW48" i="8"/>
  <c r="XEV48" i="8"/>
  <c r="XEU48" i="8"/>
  <c r="XET48" i="8"/>
  <c r="XES48" i="8"/>
  <c r="XER48" i="8"/>
  <c r="XEQ48" i="8"/>
  <c r="XEP48" i="8"/>
  <c r="XEO48" i="8"/>
  <c r="XEN48" i="8"/>
  <c r="XEM48" i="8"/>
  <c r="XEL48" i="8"/>
  <c r="XEK48" i="8"/>
  <c r="XEJ48" i="8"/>
  <c r="XEI48" i="8"/>
  <c r="XEH48" i="8"/>
  <c r="XEG48" i="8"/>
  <c r="XEF48" i="8"/>
  <c r="XEE48" i="8"/>
  <c r="XED48" i="8"/>
  <c r="XEC48" i="8"/>
  <c r="XEB48" i="8"/>
  <c r="XEA48" i="8"/>
  <c r="XDZ48" i="8"/>
  <c r="XDY48" i="8"/>
  <c r="XDX48" i="8"/>
  <c r="XDW48" i="8"/>
  <c r="XDV48" i="8"/>
  <c r="XDU48" i="8"/>
  <c r="XDT48" i="8"/>
  <c r="XDS48" i="8"/>
  <c r="XDR48" i="8"/>
  <c r="XDQ48" i="8"/>
  <c r="XDP48" i="8"/>
  <c r="XDO48" i="8"/>
  <c r="XDN48" i="8"/>
  <c r="XDM48" i="8"/>
  <c r="XDL48" i="8"/>
  <c r="XDK48" i="8"/>
  <c r="XDJ48" i="8"/>
  <c r="XDI48" i="8"/>
  <c r="XDH48" i="8"/>
  <c r="XDG48" i="8"/>
  <c r="XDF48" i="8"/>
  <c r="XDE48" i="8"/>
  <c r="XDD48" i="8"/>
  <c r="XDC48" i="8"/>
  <c r="XDB48" i="8"/>
  <c r="XDA48" i="8"/>
  <c r="XCZ48" i="8"/>
  <c r="XCY48" i="8"/>
  <c r="XCX48" i="8"/>
  <c r="XCW48" i="8"/>
  <c r="XCV48" i="8"/>
  <c r="XCU48" i="8"/>
  <c r="XCT48" i="8"/>
  <c r="XCS48" i="8"/>
  <c r="XCR48" i="8"/>
  <c r="XCQ48" i="8"/>
  <c r="XCP48" i="8"/>
  <c r="XCO48" i="8"/>
  <c r="XCN48" i="8"/>
  <c r="XCM48" i="8"/>
  <c r="XCL48" i="8"/>
  <c r="XCK48" i="8"/>
  <c r="XCJ48" i="8"/>
  <c r="XCI48" i="8"/>
  <c r="XCH48" i="8"/>
  <c r="XCG48" i="8"/>
  <c r="XCF48" i="8"/>
  <c r="XCE48" i="8"/>
  <c r="XCD48" i="8"/>
  <c r="XCC48" i="8"/>
  <c r="XCB48" i="8"/>
  <c r="XCA48" i="8"/>
  <c r="XBZ48" i="8"/>
  <c r="XBY48" i="8"/>
  <c r="XBX48" i="8"/>
  <c r="XBW48" i="8"/>
  <c r="XBV48" i="8"/>
  <c r="XBU48" i="8"/>
  <c r="XBT48" i="8"/>
  <c r="XBS48" i="8"/>
  <c r="XBR48" i="8"/>
  <c r="XBQ48" i="8"/>
  <c r="XBP48" i="8"/>
  <c r="XBO48" i="8"/>
  <c r="XBN48" i="8"/>
  <c r="XBM48" i="8"/>
  <c r="XBL48" i="8"/>
  <c r="XBK48" i="8"/>
  <c r="XBJ48" i="8"/>
  <c r="XBI48" i="8"/>
  <c r="XBH48" i="8"/>
  <c r="XBG48" i="8"/>
  <c r="XBF48" i="8"/>
  <c r="XBE48" i="8"/>
  <c r="XBD48" i="8"/>
  <c r="XBC48" i="8"/>
  <c r="XBB48" i="8"/>
  <c r="XBA48" i="8"/>
  <c r="XAZ48" i="8"/>
  <c r="XAY48" i="8"/>
  <c r="XAX48" i="8"/>
  <c r="XAW48" i="8"/>
  <c r="XAV48" i="8"/>
  <c r="XAU48" i="8"/>
  <c r="XAT48" i="8"/>
  <c r="XAS48" i="8"/>
  <c r="XAR48" i="8"/>
  <c r="XAQ48" i="8"/>
  <c r="XAP48" i="8"/>
  <c r="XAO48" i="8"/>
  <c r="XAN48" i="8"/>
  <c r="XAM48" i="8"/>
  <c r="XAL48" i="8"/>
  <c r="XAK48" i="8"/>
  <c r="XAJ48" i="8"/>
  <c r="XAI48" i="8"/>
  <c r="XAH48" i="8"/>
  <c r="XAG48" i="8"/>
  <c r="XAF48" i="8"/>
  <c r="XAE48" i="8"/>
  <c r="XAD48" i="8"/>
  <c r="XAC48" i="8"/>
  <c r="XAB48" i="8"/>
  <c r="XAA48" i="8"/>
  <c r="WZZ48" i="8"/>
  <c r="WZY48" i="8"/>
  <c r="WZX48" i="8"/>
  <c r="WZW48" i="8"/>
  <c r="WZV48" i="8"/>
  <c r="WZU48" i="8"/>
  <c r="WZT48" i="8"/>
  <c r="WZS48" i="8"/>
  <c r="WZR48" i="8"/>
  <c r="WZQ48" i="8"/>
  <c r="WZP48" i="8"/>
  <c r="WZO48" i="8"/>
  <c r="WZN48" i="8"/>
  <c r="WZM48" i="8"/>
  <c r="WZL48" i="8"/>
  <c r="WZK48" i="8"/>
  <c r="WZJ48" i="8"/>
  <c r="WZI48" i="8"/>
  <c r="WZH48" i="8"/>
  <c r="WZG48" i="8"/>
  <c r="WZF48" i="8"/>
  <c r="WZE48" i="8"/>
  <c r="WZD48" i="8"/>
  <c r="WZC48" i="8"/>
  <c r="WZB48" i="8"/>
  <c r="WZA48" i="8"/>
  <c r="WYZ48" i="8"/>
  <c r="WYY48" i="8"/>
  <c r="WYX48" i="8"/>
  <c r="WYW48" i="8"/>
  <c r="WYV48" i="8"/>
  <c r="WYU48" i="8"/>
  <c r="WYT48" i="8"/>
  <c r="WYS48" i="8"/>
  <c r="WYR48" i="8"/>
  <c r="WYQ48" i="8"/>
  <c r="WYP48" i="8"/>
  <c r="WYO48" i="8"/>
  <c r="WYN48" i="8"/>
  <c r="WYM48" i="8"/>
  <c r="WYL48" i="8"/>
  <c r="WYK48" i="8"/>
  <c r="WYJ48" i="8"/>
  <c r="WYI48" i="8"/>
  <c r="WYH48" i="8"/>
  <c r="WYG48" i="8"/>
  <c r="WYF48" i="8"/>
  <c r="WYE48" i="8"/>
  <c r="WYD48" i="8"/>
  <c r="WYC48" i="8"/>
  <c r="WYB48" i="8"/>
  <c r="WYA48" i="8"/>
  <c r="WXZ48" i="8"/>
  <c r="WXY48" i="8"/>
  <c r="WXX48" i="8"/>
  <c r="WXW48" i="8"/>
  <c r="WXV48" i="8"/>
  <c r="WXU48" i="8"/>
  <c r="WXT48" i="8"/>
  <c r="WXS48" i="8"/>
  <c r="WXR48" i="8"/>
  <c r="WXQ48" i="8"/>
  <c r="WXP48" i="8"/>
  <c r="WXO48" i="8"/>
  <c r="WXN48" i="8"/>
  <c r="WXM48" i="8"/>
  <c r="WXL48" i="8"/>
  <c r="WXK48" i="8"/>
  <c r="WXJ48" i="8"/>
  <c r="WXI48" i="8"/>
  <c r="WXH48" i="8"/>
  <c r="WXG48" i="8"/>
  <c r="WXF48" i="8"/>
  <c r="WXE48" i="8"/>
  <c r="WXD48" i="8"/>
  <c r="WXC48" i="8"/>
  <c r="WXB48" i="8"/>
  <c r="WXA48" i="8"/>
  <c r="WWZ48" i="8"/>
  <c r="WWY48" i="8"/>
  <c r="WWX48" i="8"/>
  <c r="WWW48" i="8"/>
  <c r="WWV48" i="8"/>
  <c r="WWU48" i="8"/>
  <c r="WWT48" i="8"/>
  <c r="WWS48" i="8"/>
  <c r="WWR48" i="8"/>
  <c r="WWQ48" i="8"/>
  <c r="WWP48" i="8"/>
  <c r="WWO48" i="8"/>
  <c r="WWN48" i="8"/>
  <c r="WWM48" i="8"/>
  <c r="WWL48" i="8"/>
  <c r="WWK48" i="8"/>
  <c r="WWJ48" i="8"/>
  <c r="WWI48" i="8"/>
  <c r="WWH48" i="8"/>
  <c r="WWG48" i="8"/>
  <c r="WWF48" i="8"/>
  <c r="WWE48" i="8"/>
  <c r="WWD48" i="8"/>
  <c r="WWC48" i="8"/>
  <c r="WWB48" i="8"/>
  <c r="WWA48" i="8"/>
  <c r="WVZ48" i="8"/>
  <c r="WVY48" i="8"/>
  <c r="WVX48" i="8"/>
  <c r="WVW48" i="8"/>
  <c r="WVV48" i="8"/>
  <c r="WVU48" i="8"/>
  <c r="WVT48" i="8"/>
  <c r="WVS48" i="8"/>
  <c r="WVR48" i="8"/>
  <c r="WVQ48" i="8"/>
  <c r="WVP48" i="8"/>
  <c r="WVO48" i="8"/>
  <c r="WVN48" i="8"/>
  <c r="WVM48" i="8"/>
  <c r="WVL48" i="8"/>
  <c r="WVK48" i="8"/>
  <c r="WVJ48" i="8"/>
  <c r="WVI48" i="8"/>
  <c r="WVH48" i="8"/>
  <c r="WVG48" i="8"/>
  <c r="WVF48" i="8"/>
  <c r="WVE48" i="8"/>
  <c r="WVD48" i="8"/>
  <c r="WVC48" i="8"/>
  <c r="WVB48" i="8"/>
  <c r="WVA48" i="8"/>
  <c r="WUZ48" i="8"/>
  <c r="WUY48" i="8"/>
  <c r="WUX48" i="8"/>
  <c r="WUW48" i="8"/>
  <c r="WUV48" i="8"/>
  <c r="WUU48" i="8"/>
  <c r="WUT48" i="8"/>
  <c r="WUS48" i="8"/>
  <c r="WUR48" i="8"/>
  <c r="WUQ48" i="8"/>
  <c r="WUP48" i="8"/>
  <c r="WUO48" i="8"/>
  <c r="WUN48" i="8"/>
  <c r="WUM48" i="8"/>
  <c r="WUL48" i="8"/>
  <c r="WUK48" i="8"/>
  <c r="WUJ48" i="8"/>
  <c r="WUI48" i="8"/>
  <c r="WUH48" i="8"/>
  <c r="WUG48" i="8"/>
  <c r="WUF48" i="8"/>
  <c r="WUE48" i="8"/>
  <c r="WUD48" i="8"/>
  <c r="WUC48" i="8"/>
  <c r="WUB48" i="8"/>
  <c r="WUA48" i="8"/>
  <c r="WTZ48" i="8"/>
  <c r="WTY48" i="8"/>
  <c r="WTX48" i="8"/>
  <c r="WTW48" i="8"/>
  <c r="WTV48" i="8"/>
  <c r="WTU48" i="8"/>
  <c r="WTT48" i="8"/>
  <c r="WTS48" i="8"/>
  <c r="WTR48" i="8"/>
  <c r="WTQ48" i="8"/>
  <c r="WTP48" i="8"/>
  <c r="WTO48" i="8"/>
  <c r="WTN48" i="8"/>
  <c r="WTM48" i="8"/>
  <c r="WTL48" i="8"/>
  <c r="WTK48" i="8"/>
  <c r="WTJ48" i="8"/>
  <c r="WTI48" i="8"/>
  <c r="WTH48" i="8"/>
  <c r="WTG48" i="8"/>
  <c r="WTF48" i="8"/>
  <c r="WTE48" i="8"/>
  <c r="WTD48" i="8"/>
  <c r="WTC48" i="8"/>
  <c r="WTB48" i="8"/>
  <c r="WTA48" i="8"/>
  <c r="WSZ48" i="8"/>
  <c r="WSY48" i="8"/>
  <c r="WSX48" i="8"/>
  <c r="WSW48" i="8"/>
  <c r="WSV48" i="8"/>
  <c r="WSU48" i="8"/>
  <c r="WST48" i="8"/>
  <c r="WSS48" i="8"/>
  <c r="WSR48" i="8"/>
  <c r="WSQ48" i="8"/>
  <c r="WSP48" i="8"/>
  <c r="WSO48" i="8"/>
  <c r="WSN48" i="8"/>
  <c r="WSM48" i="8"/>
  <c r="WSL48" i="8"/>
  <c r="WSK48" i="8"/>
  <c r="WSJ48" i="8"/>
  <c r="WSI48" i="8"/>
  <c r="WSH48" i="8"/>
  <c r="WSG48" i="8"/>
  <c r="WSF48" i="8"/>
  <c r="WSE48" i="8"/>
  <c r="WSD48" i="8"/>
  <c r="WSC48" i="8"/>
  <c r="WSB48" i="8"/>
  <c r="WSA48" i="8"/>
  <c r="WRZ48" i="8"/>
  <c r="WRY48" i="8"/>
  <c r="WRX48" i="8"/>
  <c r="WRW48" i="8"/>
  <c r="WRV48" i="8"/>
  <c r="WRU48" i="8"/>
  <c r="WRT48" i="8"/>
  <c r="WRS48" i="8"/>
  <c r="WRR48" i="8"/>
  <c r="WRQ48" i="8"/>
  <c r="WRP48" i="8"/>
  <c r="WRO48" i="8"/>
  <c r="WRN48" i="8"/>
  <c r="WRM48" i="8"/>
  <c r="WRL48" i="8"/>
  <c r="WRK48" i="8"/>
  <c r="WRJ48" i="8"/>
  <c r="WRI48" i="8"/>
  <c r="WRH48" i="8"/>
  <c r="WRG48" i="8"/>
  <c r="WRF48" i="8"/>
  <c r="WRE48" i="8"/>
  <c r="WRD48" i="8"/>
  <c r="WRC48" i="8"/>
  <c r="WRB48" i="8"/>
  <c r="WRA48" i="8"/>
  <c r="WQZ48" i="8"/>
  <c r="WQY48" i="8"/>
  <c r="WQX48" i="8"/>
  <c r="WQW48" i="8"/>
  <c r="WQV48" i="8"/>
  <c r="WQU48" i="8"/>
  <c r="WQT48" i="8"/>
  <c r="WQS48" i="8"/>
  <c r="WQR48" i="8"/>
  <c r="WQQ48" i="8"/>
  <c r="WQP48" i="8"/>
  <c r="WQO48" i="8"/>
  <c r="WQN48" i="8"/>
  <c r="WQM48" i="8"/>
  <c r="WQL48" i="8"/>
  <c r="WQK48" i="8"/>
  <c r="WQJ48" i="8"/>
  <c r="WQI48" i="8"/>
  <c r="WQH48" i="8"/>
  <c r="WQG48" i="8"/>
  <c r="WQF48" i="8"/>
  <c r="WQE48" i="8"/>
  <c r="WQD48" i="8"/>
  <c r="WQC48" i="8"/>
  <c r="WQB48" i="8"/>
  <c r="WQA48" i="8"/>
  <c r="WPZ48" i="8"/>
  <c r="WPY48" i="8"/>
  <c r="WPX48" i="8"/>
  <c r="WPW48" i="8"/>
  <c r="WPV48" i="8"/>
  <c r="WPU48" i="8"/>
  <c r="WPT48" i="8"/>
  <c r="WPS48" i="8"/>
  <c r="WPR48" i="8"/>
  <c r="WPQ48" i="8"/>
  <c r="WPP48" i="8"/>
  <c r="WPO48" i="8"/>
  <c r="WPN48" i="8"/>
  <c r="WPM48" i="8"/>
  <c r="WPL48" i="8"/>
  <c r="WPK48" i="8"/>
  <c r="WPJ48" i="8"/>
  <c r="WPI48" i="8"/>
  <c r="WPH48" i="8"/>
  <c r="WPG48" i="8"/>
  <c r="WPF48" i="8"/>
  <c r="WPE48" i="8"/>
  <c r="WPD48" i="8"/>
  <c r="WPC48" i="8"/>
  <c r="WPB48" i="8"/>
  <c r="WPA48" i="8"/>
  <c r="WOZ48" i="8"/>
  <c r="WOY48" i="8"/>
  <c r="WOX48" i="8"/>
  <c r="WOW48" i="8"/>
  <c r="WOV48" i="8"/>
  <c r="WOU48" i="8"/>
  <c r="WOT48" i="8"/>
  <c r="WOS48" i="8"/>
  <c r="WOR48" i="8"/>
  <c r="WOQ48" i="8"/>
  <c r="WOP48" i="8"/>
  <c r="WOO48" i="8"/>
  <c r="WON48" i="8"/>
  <c r="WOM48" i="8"/>
  <c r="WOL48" i="8"/>
  <c r="WOK48" i="8"/>
  <c r="WOJ48" i="8"/>
  <c r="WOI48" i="8"/>
  <c r="WOH48" i="8"/>
  <c r="WOG48" i="8"/>
  <c r="WOF48" i="8"/>
  <c r="WOE48" i="8"/>
  <c r="WOD48" i="8"/>
  <c r="WOC48" i="8"/>
  <c r="WOB48" i="8"/>
  <c r="WOA48" i="8"/>
  <c r="WNZ48" i="8"/>
  <c r="WNY48" i="8"/>
  <c r="WNX48" i="8"/>
  <c r="WNW48" i="8"/>
  <c r="WNV48" i="8"/>
  <c r="WNU48" i="8"/>
  <c r="WNT48" i="8"/>
  <c r="WNS48" i="8"/>
  <c r="WNR48" i="8"/>
  <c r="WNQ48" i="8"/>
  <c r="WNP48" i="8"/>
  <c r="WNO48" i="8"/>
  <c r="WNN48" i="8"/>
  <c r="WNM48" i="8"/>
  <c r="WNL48" i="8"/>
  <c r="WNK48" i="8"/>
  <c r="WNJ48" i="8"/>
  <c r="WNI48" i="8"/>
  <c r="WNH48" i="8"/>
  <c r="WNG48" i="8"/>
  <c r="WNF48" i="8"/>
  <c r="WNE48" i="8"/>
  <c r="WND48" i="8"/>
  <c r="WNC48" i="8"/>
  <c r="WNB48" i="8"/>
  <c r="WNA48" i="8"/>
  <c r="WMZ48" i="8"/>
  <c r="WMY48" i="8"/>
  <c r="WMX48" i="8"/>
  <c r="WMW48" i="8"/>
  <c r="WMV48" i="8"/>
  <c r="WMU48" i="8"/>
  <c r="WMT48" i="8"/>
  <c r="WMS48" i="8"/>
  <c r="WMR48" i="8"/>
  <c r="WMQ48" i="8"/>
  <c r="WMP48" i="8"/>
  <c r="WMO48" i="8"/>
  <c r="WMN48" i="8"/>
  <c r="WMM48" i="8"/>
  <c r="WML48" i="8"/>
  <c r="WMK48" i="8"/>
  <c r="WMJ48" i="8"/>
  <c r="WMI48" i="8"/>
  <c r="WMH48" i="8"/>
  <c r="WMG48" i="8"/>
  <c r="WMF48" i="8"/>
  <c r="WME48" i="8"/>
  <c r="WMD48" i="8"/>
  <c r="WMC48" i="8"/>
  <c r="WMB48" i="8"/>
  <c r="WMA48" i="8"/>
  <c r="WLZ48" i="8"/>
  <c r="WLY48" i="8"/>
  <c r="WLX48" i="8"/>
  <c r="WLW48" i="8"/>
  <c r="WLV48" i="8"/>
  <c r="WLU48" i="8"/>
  <c r="WLT48" i="8"/>
  <c r="WLS48" i="8"/>
  <c r="WLR48" i="8"/>
  <c r="WLQ48" i="8"/>
  <c r="WLP48" i="8"/>
  <c r="WLO48" i="8"/>
  <c r="WLN48" i="8"/>
  <c r="WLM48" i="8"/>
  <c r="WLL48" i="8"/>
  <c r="WLK48" i="8"/>
  <c r="WLJ48" i="8"/>
  <c r="WLI48" i="8"/>
  <c r="WLH48" i="8"/>
  <c r="WLG48" i="8"/>
  <c r="WLF48" i="8"/>
  <c r="WLE48" i="8"/>
  <c r="WLD48" i="8"/>
  <c r="WLC48" i="8"/>
  <c r="WLB48" i="8"/>
  <c r="WLA48" i="8"/>
  <c r="WKZ48" i="8"/>
  <c r="WKY48" i="8"/>
  <c r="WKX48" i="8"/>
  <c r="WKW48" i="8"/>
  <c r="WKV48" i="8"/>
  <c r="WKU48" i="8"/>
  <c r="WKT48" i="8"/>
  <c r="WKS48" i="8"/>
  <c r="WKR48" i="8"/>
  <c r="WKQ48" i="8"/>
  <c r="WKP48" i="8"/>
  <c r="WKO48" i="8"/>
  <c r="WKN48" i="8"/>
  <c r="WKM48" i="8"/>
  <c r="WKL48" i="8"/>
  <c r="WKK48" i="8"/>
  <c r="WKJ48" i="8"/>
  <c r="WKI48" i="8"/>
  <c r="WKH48" i="8"/>
  <c r="WKG48" i="8"/>
  <c r="WKF48" i="8"/>
  <c r="WKE48" i="8"/>
  <c r="WKD48" i="8"/>
  <c r="WKC48" i="8"/>
  <c r="WKB48" i="8"/>
  <c r="WKA48" i="8"/>
  <c r="WJZ48" i="8"/>
  <c r="WJY48" i="8"/>
  <c r="WJX48" i="8"/>
  <c r="WJW48" i="8"/>
  <c r="WJV48" i="8"/>
  <c r="WJU48" i="8"/>
  <c r="WJT48" i="8"/>
  <c r="WJS48" i="8"/>
  <c r="WJR48" i="8"/>
  <c r="WJQ48" i="8"/>
  <c r="WJP48" i="8"/>
  <c r="WJO48" i="8"/>
  <c r="WJN48" i="8"/>
  <c r="WJM48" i="8"/>
  <c r="WJL48" i="8"/>
  <c r="WJK48" i="8"/>
  <c r="WJJ48" i="8"/>
  <c r="WJI48" i="8"/>
  <c r="WJH48" i="8"/>
  <c r="WJG48" i="8"/>
  <c r="WJF48" i="8"/>
  <c r="WJE48" i="8"/>
  <c r="WJD48" i="8"/>
  <c r="WJC48" i="8"/>
  <c r="WJB48" i="8"/>
  <c r="WJA48" i="8"/>
  <c r="WIZ48" i="8"/>
  <c r="WIY48" i="8"/>
  <c r="WIX48" i="8"/>
  <c r="WIW48" i="8"/>
  <c r="WIV48" i="8"/>
  <c r="WIU48" i="8"/>
  <c r="WIT48" i="8"/>
  <c r="WIS48" i="8"/>
  <c r="WIR48" i="8"/>
  <c r="WIQ48" i="8"/>
  <c r="WIP48" i="8"/>
  <c r="WIO48" i="8"/>
  <c r="WIN48" i="8"/>
  <c r="WIM48" i="8"/>
  <c r="WIL48" i="8"/>
  <c r="WIK48" i="8"/>
  <c r="WIJ48" i="8"/>
  <c r="WII48" i="8"/>
  <c r="WIH48" i="8"/>
  <c r="WIG48" i="8"/>
  <c r="WIF48" i="8"/>
  <c r="WIE48" i="8"/>
  <c r="WID48" i="8"/>
  <c r="WIC48" i="8"/>
  <c r="WIB48" i="8"/>
  <c r="WIA48" i="8"/>
  <c r="WHZ48" i="8"/>
  <c r="WHY48" i="8"/>
  <c r="WHX48" i="8"/>
  <c r="WHW48" i="8"/>
  <c r="WHV48" i="8"/>
  <c r="WHU48" i="8"/>
  <c r="WHT48" i="8"/>
  <c r="WHS48" i="8"/>
  <c r="WHR48" i="8"/>
  <c r="WHQ48" i="8"/>
  <c r="WHP48" i="8"/>
  <c r="WHO48" i="8"/>
  <c r="WHN48" i="8"/>
  <c r="WHM48" i="8"/>
  <c r="WHL48" i="8"/>
  <c r="WHK48" i="8"/>
  <c r="WHJ48" i="8"/>
  <c r="WHI48" i="8"/>
  <c r="WHH48" i="8"/>
  <c r="WHG48" i="8"/>
  <c r="WHF48" i="8"/>
  <c r="WHE48" i="8"/>
  <c r="WHD48" i="8"/>
  <c r="WHC48" i="8"/>
  <c r="WHB48" i="8"/>
  <c r="WHA48" i="8"/>
  <c r="WGZ48" i="8"/>
  <c r="WGY48" i="8"/>
  <c r="WGX48" i="8"/>
  <c r="WGW48" i="8"/>
  <c r="WGV48" i="8"/>
  <c r="WGU48" i="8"/>
  <c r="WGT48" i="8"/>
  <c r="WGS48" i="8"/>
  <c r="WGR48" i="8"/>
  <c r="WGQ48" i="8"/>
  <c r="WGP48" i="8"/>
  <c r="WGO48" i="8"/>
  <c r="WGN48" i="8"/>
  <c r="WGM48" i="8"/>
  <c r="WGL48" i="8"/>
  <c r="WGK48" i="8"/>
  <c r="WGJ48" i="8"/>
  <c r="WGI48" i="8"/>
  <c r="WGH48" i="8"/>
  <c r="WGG48" i="8"/>
  <c r="WGF48" i="8"/>
  <c r="WGE48" i="8"/>
  <c r="WGD48" i="8"/>
  <c r="WGC48" i="8"/>
  <c r="WGB48" i="8"/>
  <c r="WGA48" i="8"/>
  <c r="WFZ48" i="8"/>
  <c r="WFY48" i="8"/>
  <c r="WFX48" i="8"/>
  <c r="WFW48" i="8"/>
  <c r="WFV48" i="8"/>
  <c r="WFU48" i="8"/>
  <c r="WFT48" i="8"/>
  <c r="WFS48" i="8"/>
  <c r="WFR48" i="8"/>
  <c r="WFQ48" i="8"/>
  <c r="WFP48" i="8"/>
  <c r="WFO48" i="8"/>
  <c r="WFN48" i="8"/>
  <c r="WFM48" i="8"/>
  <c r="WFL48" i="8"/>
  <c r="WFK48" i="8"/>
  <c r="WFJ48" i="8"/>
  <c r="WFI48" i="8"/>
  <c r="WFH48" i="8"/>
  <c r="WFG48" i="8"/>
  <c r="WFF48" i="8"/>
  <c r="WFE48" i="8"/>
  <c r="WFD48" i="8"/>
  <c r="WFC48" i="8"/>
  <c r="WFB48" i="8"/>
  <c r="WFA48" i="8"/>
  <c r="WEZ48" i="8"/>
  <c r="WEY48" i="8"/>
  <c r="WEX48" i="8"/>
  <c r="WEW48" i="8"/>
  <c r="WEV48" i="8"/>
  <c r="WEU48" i="8"/>
  <c r="WET48" i="8"/>
  <c r="WES48" i="8"/>
  <c r="WER48" i="8"/>
  <c r="WEQ48" i="8"/>
  <c r="WEP48" i="8"/>
  <c r="WEO48" i="8"/>
  <c r="WEN48" i="8"/>
  <c r="WEM48" i="8"/>
  <c r="WEL48" i="8"/>
  <c r="WEK48" i="8"/>
  <c r="WEJ48" i="8"/>
  <c r="WEI48" i="8"/>
  <c r="WEH48" i="8"/>
  <c r="WEG48" i="8"/>
  <c r="WEF48" i="8"/>
  <c r="WEE48" i="8"/>
  <c r="WED48" i="8"/>
  <c r="WEC48" i="8"/>
  <c r="WEB48" i="8"/>
  <c r="WEA48" i="8"/>
  <c r="WDZ48" i="8"/>
  <c r="WDY48" i="8"/>
  <c r="WDX48" i="8"/>
  <c r="WDW48" i="8"/>
  <c r="WDV48" i="8"/>
  <c r="WDU48" i="8"/>
  <c r="WDT48" i="8"/>
  <c r="WDS48" i="8"/>
  <c r="WDR48" i="8"/>
  <c r="WDQ48" i="8"/>
  <c r="WDP48" i="8"/>
  <c r="WDO48" i="8"/>
  <c r="WDN48" i="8"/>
  <c r="WDM48" i="8"/>
  <c r="WDL48" i="8"/>
  <c r="WDK48" i="8"/>
  <c r="WDJ48" i="8"/>
  <c r="WDI48" i="8"/>
  <c r="WDH48" i="8"/>
  <c r="WDG48" i="8"/>
  <c r="WDF48" i="8"/>
  <c r="WDE48" i="8"/>
  <c r="WDD48" i="8"/>
  <c r="WDC48" i="8"/>
  <c r="WDB48" i="8"/>
  <c r="WDA48" i="8"/>
  <c r="WCZ48" i="8"/>
  <c r="WCY48" i="8"/>
  <c r="WCX48" i="8"/>
  <c r="WCW48" i="8"/>
  <c r="WCV48" i="8"/>
  <c r="WCU48" i="8"/>
  <c r="WCT48" i="8"/>
  <c r="WCS48" i="8"/>
  <c r="WCR48" i="8"/>
  <c r="WCQ48" i="8"/>
  <c r="WCP48" i="8"/>
  <c r="WCO48" i="8"/>
  <c r="WCN48" i="8"/>
  <c r="WCM48" i="8"/>
  <c r="WCL48" i="8"/>
  <c r="WCK48" i="8"/>
  <c r="WCJ48" i="8"/>
  <c r="WCI48" i="8"/>
  <c r="WCH48" i="8"/>
  <c r="WCG48" i="8"/>
  <c r="WCF48" i="8"/>
  <c r="WCE48" i="8"/>
  <c r="WCD48" i="8"/>
  <c r="WCC48" i="8"/>
  <c r="WCB48" i="8"/>
  <c r="WCA48" i="8"/>
  <c r="WBZ48" i="8"/>
  <c r="WBY48" i="8"/>
  <c r="WBX48" i="8"/>
  <c r="WBW48" i="8"/>
  <c r="WBV48" i="8"/>
  <c r="WBU48" i="8"/>
  <c r="WBT48" i="8"/>
  <c r="WBS48" i="8"/>
  <c r="WBR48" i="8"/>
  <c r="WBQ48" i="8"/>
  <c r="WBP48" i="8"/>
  <c r="WBO48" i="8"/>
  <c r="WBN48" i="8"/>
  <c r="WBM48" i="8"/>
  <c r="WBL48" i="8"/>
  <c r="WBK48" i="8"/>
  <c r="WBJ48" i="8"/>
  <c r="WBI48" i="8"/>
  <c r="WBH48" i="8"/>
  <c r="WBG48" i="8"/>
  <c r="WBF48" i="8"/>
  <c r="WBE48" i="8"/>
  <c r="WBD48" i="8"/>
  <c r="WBC48" i="8"/>
  <c r="WBB48" i="8"/>
  <c r="WBA48" i="8"/>
  <c r="WAZ48" i="8"/>
  <c r="WAY48" i="8"/>
  <c r="WAX48" i="8"/>
  <c r="WAW48" i="8"/>
  <c r="WAV48" i="8"/>
  <c r="WAU48" i="8"/>
  <c r="WAT48" i="8"/>
  <c r="WAS48" i="8"/>
  <c r="WAR48" i="8"/>
  <c r="WAQ48" i="8"/>
  <c r="WAP48" i="8"/>
  <c r="WAO48" i="8"/>
  <c r="WAN48" i="8"/>
  <c r="WAM48" i="8"/>
  <c r="WAL48" i="8"/>
  <c r="WAK48" i="8"/>
  <c r="WAJ48" i="8"/>
  <c r="WAI48" i="8"/>
  <c r="WAH48" i="8"/>
  <c r="WAG48" i="8"/>
  <c r="WAF48" i="8"/>
  <c r="WAE48" i="8"/>
  <c r="WAD48" i="8"/>
  <c r="WAC48" i="8"/>
  <c r="WAB48" i="8"/>
  <c r="WAA48" i="8"/>
  <c r="VZZ48" i="8"/>
  <c r="VZY48" i="8"/>
  <c r="VZX48" i="8"/>
  <c r="VZW48" i="8"/>
  <c r="VZV48" i="8"/>
  <c r="VZU48" i="8"/>
  <c r="VZT48" i="8"/>
  <c r="VZS48" i="8"/>
  <c r="VZR48" i="8"/>
  <c r="VZQ48" i="8"/>
  <c r="VZP48" i="8"/>
  <c r="VZO48" i="8"/>
  <c r="VZN48" i="8"/>
  <c r="VZM48" i="8"/>
  <c r="VZL48" i="8"/>
  <c r="VZK48" i="8"/>
  <c r="VZJ48" i="8"/>
  <c r="VZI48" i="8"/>
  <c r="VZH48" i="8"/>
  <c r="VZG48" i="8"/>
  <c r="VZF48" i="8"/>
  <c r="VZE48" i="8"/>
  <c r="VZD48" i="8"/>
  <c r="VZC48" i="8"/>
  <c r="VZB48" i="8"/>
  <c r="VZA48" i="8"/>
  <c r="VYZ48" i="8"/>
  <c r="VYY48" i="8"/>
  <c r="VYX48" i="8"/>
  <c r="VYW48" i="8"/>
  <c r="VYV48" i="8"/>
  <c r="VYU48" i="8"/>
  <c r="VYT48" i="8"/>
  <c r="VYS48" i="8"/>
  <c r="VYR48" i="8"/>
  <c r="VYQ48" i="8"/>
  <c r="VYP48" i="8"/>
  <c r="VYO48" i="8"/>
  <c r="VYN48" i="8"/>
  <c r="VYM48" i="8"/>
  <c r="VYL48" i="8"/>
  <c r="VYK48" i="8"/>
  <c r="VYJ48" i="8"/>
  <c r="VYI48" i="8"/>
  <c r="VYH48" i="8"/>
  <c r="VYG48" i="8"/>
  <c r="VYF48" i="8"/>
  <c r="VYE48" i="8"/>
  <c r="VYD48" i="8"/>
  <c r="VYC48" i="8"/>
  <c r="VYB48" i="8"/>
  <c r="VYA48" i="8"/>
  <c r="VXZ48" i="8"/>
  <c r="VXY48" i="8"/>
  <c r="VXX48" i="8"/>
  <c r="VXW48" i="8"/>
  <c r="VXV48" i="8"/>
  <c r="VXU48" i="8"/>
  <c r="VXT48" i="8"/>
  <c r="VXS48" i="8"/>
  <c r="VXR48" i="8"/>
  <c r="VXQ48" i="8"/>
  <c r="VXP48" i="8"/>
  <c r="VXO48" i="8"/>
  <c r="VXN48" i="8"/>
  <c r="VXM48" i="8"/>
  <c r="VXL48" i="8"/>
  <c r="VXK48" i="8"/>
  <c r="VXJ48" i="8"/>
  <c r="VXI48" i="8"/>
  <c r="VXH48" i="8"/>
  <c r="VXG48" i="8"/>
  <c r="VXF48" i="8"/>
  <c r="VXE48" i="8"/>
  <c r="VXD48" i="8"/>
  <c r="VXC48" i="8"/>
  <c r="VXB48" i="8"/>
  <c r="VXA48" i="8"/>
  <c r="VWZ48" i="8"/>
  <c r="VWY48" i="8"/>
  <c r="VWX48" i="8"/>
  <c r="VWW48" i="8"/>
  <c r="VWV48" i="8"/>
  <c r="VWU48" i="8"/>
  <c r="VWT48" i="8"/>
  <c r="VWS48" i="8"/>
  <c r="VWR48" i="8"/>
  <c r="VWQ48" i="8"/>
  <c r="VWP48" i="8"/>
  <c r="VWO48" i="8"/>
  <c r="VWN48" i="8"/>
  <c r="VWM48" i="8"/>
  <c r="VWL48" i="8"/>
  <c r="VWK48" i="8"/>
  <c r="VWJ48" i="8"/>
  <c r="VWI48" i="8"/>
  <c r="VWH48" i="8"/>
  <c r="VWG48" i="8"/>
  <c r="VWF48" i="8"/>
  <c r="VWE48" i="8"/>
  <c r="VWD48" i="8"/>
  <c r="VWC48" i="8"/>
  <c r="VWB48" i="8"/>
  <c r="VWA48" i="8"/>
  <c r="VVZ48" i="8"/>
  <c r="VVY48" i="8"/>
  <c r="VVX48" i="8"/>
  <c r="VVW48" i="8"/>
  <c r="VVV48" i="8"/>
  <c r="VVU48" i="8"/>
  <c r="VVT48" i="8"/>
  <c r="VVS48" i="8"/>
  <c r="VVR48" i="8"/>
  <c r="VVQ48" i="8"/>
  <c r="VVP48" i="8"/>
  <c r="VVO48" i="8"/>
  <c r="VVN48" i="8"/>
  <c r="VVM48" i="8"/>
  <c r="VVL48" i="8"/>
  <c r="VVK48" i="8"/>
  <c r="VVJ48" i="8"/>
  <c r="VVI48" i="8"/>
  <c r="VVH48" i="8"/>
  <c r="VVG48" i="8"/>
  <c r="VVF48" i="8"/>
  <c r="VVE48" i="8"/>
  <c r="VVD48" i="8"/>
  <c r="VVC48" i="8"/>
  <c r="VVB48" i="8"/>
  <c r="VVA48" i="8"/>
  <c r="VUZ48" i="8"/>
  <c r="VUY48" i="8"/>
  <c r="VUX48" i="8"/>
  <c r="VUW48" i="8"/>
  <c r="VUV48" i="8"/>
  <c r="VUU48" i="8"/>
  <c r="VUT48" i="8"/>
  <c r="VUS48" i="8"/>
  <c r="VUR48" i="8"/>
  <c r="VUQ48" i="8"/>
  <c r="VUP48" i="8"/>
  <c r="VUO48" i="8"/>
  <c r="VUN48" i="8"/>
  <c r="VUM48" i="8"/>
  <c r="VUL48" i="8"/>
  <c r="VUK48" i="8"/>
  <c r="VUJ48" i="8"/>
  <c r="VUI48" i="8"/>
  <c r="VUH48" i="8"/>
  <c r="VUG48" i="8"/>
  <c r="VUF48" i="8"/>
  <c r="VUE48" i="8"/>
  <c r="VUD48" i="8"/>
  <c r="VUC48" i="8"/>
  <c r="VUB48" i="8"/>
  <c r="VUA48" i="8"/>
  <c r="VTZ48" i="8"/>
  <c r="VTY48" i="8"/>
  <c r="VTX48" i="8"/>
  <c r="VTW48" i="8"/>
  <c r="VTV48" i="8"/>
  <c r="VTU48" i="8"/>
  <c r="VTT48" i="8"/>
  <c r="VTS48" i="8"/>
  <c r="VTR48" i="8"/>
  <c r="VTQ48" i="8"/>
  <c r="VTP48" i="8"/>
  <c r="VTO48" i="8"/>
  <c r="VTN48" i="8"/>
  <c r="VTM48" i="8"/>
  <c r="VTL48" i="8"/>
  <c r="VTK48" i="8"/>
  <c r="VTJ48" i="8"/>
  <c r="VTI48" i="8"/>
  <c r="VTH48" i="8"/>
  <c r="VTG48" i="8"/>
  <c r="VTF48" i="8"/>
  <c r="VTE48" i="8"/>
  <c r="VTD48" i="8"/>
  <c r="VTC48" i="8"/>
  <c r="VTB48" i="8"/>
  <c r="VTA48" i="8"/>
  <c r="VSZ48" i="8"/>
  <c r="VSY48" i="8"/>
  <c r="VSX48" i="8"/>
  <c r="VSW48" i="8"/>
  <c r="VSV48" i="8"/>
  <c r="VSU48" i="8"/>
  <c r="VST48" i="8"/>
  <c r="VSS48" i="8"/>
  <c r="VSR48" i="8"/>
  <c r="VSQ48" i="8"/>
  <c r="VSP48" i="8"/>
  <c r="VSO48" i="8"/>
  <c r="VSN48" i="8"/>
  <c r="VSM48" i="8"/>
  <c r="VSL48" i="8"/>
  <c r="VSK48" i="8"/>
  <c r="VSJ48" i="8"/>
  <c r="VSI48" i="8"/>
  <c r="VSH48" i="8"/>
  <c r="VSG48" i="8"/>
  <c r="VSF48" i="8"/>
  <c r="VSE48" i="8"/>
  <c r="VSD48" i="8"/>
  <c r="VSC48" i="8"/>
  <c r="VSB48" i="8"/>
  <c r="VSA48" i="8"/>
  <c r="VRZ48" i="8"/>
  <c r="VRY48" i="8"/>
  <c r="VRX48" i="8"/>
  <c r="VRW48" i="8"/>
  <c r="VRV48" i="8"/>
  <c r="VRU48" i="8"/>
  <c r="VRT48" i="8"/>
  <c r="VRS48" i="8"/>
  <c r="VRR48" i="8"/>
  <c r="VRQ48" i="8"/>
  <c r="VRP48" i="8"/>
  <c r="VRO48" i="8"/>
  <c r="VRN48" i="8"/>
  <c r="VRM48" i="8"/>
  <c r="VRL48" i="8"/>
  <c r="VRK48" i="8"/>
  <c r="VRJ48" i="8"/>
  <c r="VRI48" i="8"/>
  <c r="VRH48" i="8"/>
  <c r="VRG48" i="8"/>
  <c r="VRF48" i="8"/>
  <c r="VRE48" i="8"/>
  <c r="VRD48" i="8"/>
  <c r="VRC48" i="8"/>
  <c r="VRB48" i="8"/>
  <c r="VRA48" i="8"/>
  <c r="VQZ48" i="8"/>
  <c r="VQY48" i="8"/>
  <c r="VQX48" i="8"/>
  <c r="VQW48" i="8"/>
  <c r="VQV48" i="8"/>
  <c r="VQU48" i="8"/>
  <c r="VQT48" i="8"/>
  <c r="VQS48" i="8"/>
  <c r="VQR48" i="8"/>
  <c r="VQQ48" i="8"/>
  <c r="VQP48" i="8"/>
  <c r="VQO48" i="8"/>
  <c r="VQN48" i="8"/>
  <c r="VQM48" i="8"/>
  <c r="VQL48" i="8"/>
  <c r="VQK48" i="8"/>
  <c r="VQJ48" i="8"/>
  <c r="VQI48" i="8"/>
  <c r="VQH48" i="8"/>
  <c r="VQG48" i="8"/>
  <c r="VQF48" i="8"/>
  <c r="VQE48" i="8"/>
  <c r="VQD48" i="8"/>
  <c r="VQC48" i="8"/>
  <c r="VQB48" i="8"/>
  <c r="VQA48" i="8"/>
  <c r="VPZ48" i="8"/>
  <c r="VPY48" i="8"/>
  <c r="VPX48" i="8"/>
  <c r="VPW48" i="8"/>
  <c r="VPV48" i="8"/>
  <c r="VPU48" i="8"/>
  <c r="VPT48" i="8"/>
  <c r="VPS48" i="8"/>
  <c r="VPR48" i="8"/>
  <c r="VPQ48" i="8"/>
  <c r="VPP48" i="8"/>
  <c r="VPO48" i="8"/>
  <c r="VPN48" i="8"/>
  <c r="VPM48" i="8"/>
  <c r="VPL48" i="8"/>
  <c r="VPK48" i="8"/>
  <c r="VPJ48" i="8"/>
  <c r="VPI48" i="8"/>
  <c r="VPH48" i="8"/>
  <c r="VPG48" i="8"/>
  <c r="VPF48" i="8"/>
  <c r="VPE48" i="8"/>
  <c r="VPD48" i="8"/>
  <c r="VPC48" i="8"/>
  <c r="VPB48" i="8"/>
  <c r="VPA48" i="8"/>
  <c r="VOZ48" i="8"/>
  <c r="VOY48" i="8"/>
  <c r="VOX48" i="8"/>
  <c r="VOW48" i="8"/>
  <c r="VOV48" i="8"/>
  <c r="VOU48" i="8"/>
  <c r="VOT48" i="8"/>
  <c r="VOS48" i="8"/>
  <c r="VOR48" i="8"/>
  <c r="VOQ48" i="8"/>
  <c r="VOP48" i="8"/>
  <c r="VOO48" i="8"/>
  <c r="VON48" i="8"/>
  <c r="VOM48" i="8"/>
  <c r="VOL48" i="8"/>
  <c r="VOK48" i="8"/>
  <c r="VOJ48" i="8"/>
  <c r="VOI48" i="8"/>
  <c r="VOH48" i="8"/>
  <c r="VOG48" i="8"/>
  <c r="VOF48" i="8"/>
  <c r="VOE48" i="8"/>
  <c r="VOD48" i="8"/>
  <c r="VOC48" i="8"/>
  <c r="VOB48" i="8"/>
  <c r="VOA48" i="8"/>
  <c r="VNZ48" i="8"/>
  <c r="VNY48" i="8"/>
  <c r="VNX48" i="8"/>
  <c r="VNW48" i="8"/>
  <c r="VNV48" i="8"/>
  <c r="VNU48" i="8"/>
  <c r="VNT48" i="8"/>
  <c r="VNS48" i="8"/>
  <c r="VNR48" i="8"/>
  <c r="VNQ48" i="8"/>
  <c r="VNP48" i="8"/>
  <c r="VNO48" i="8"/>
  <c r="VNN48" i="8"/>
  <c r="VNM48" i="8"/>
  <c r="VNL48" i="8"/>
  <c r="VNK48" i="8"/>
  <c r="VNJ48" i="8"/>
  <c r="VNI48" i="8"/>
  <c r="VNH48" i="8"/>
  <c r="VNG48" i="8"/>
  <c r="VNF48" i="8"/>
  <c r="VNE48" i="8"/>
  <c r="VND48" i="8"/>
  <c r="VNC48" i="8"/>
  <c r="VNB48" i="8"/>
  <c r="VNA48" i="8"/>
  <c r="VMZ48" i="8"/>
  <c r="VMY48" i="8"/>
  <c r="VMX48" i="8"/>
  <c r="VMW48" i="8"/>
  <c r="VMV48" i="8"/>
  <c r="VMU48" i="8"/>
  <c r="VMT48" i="8"/>
  <c r="VMS48" i="8"/>
  <c r="VMR48" i="8"/>
  <c r="VMQ48" i="8"/>
  <c r="VMP48" i="8"/>
  <c r="VMO48" i="8"/>
  <c r="VMN48" i="8"/>
  <c r="VMM48" i="8"/>
  <c r="VML48" i="8"/>
  <c r="VMK48" i="8"/>
  <c r="VMJ48" i="8"/>
  <c r="VMI48" i="8"/>
  <c r="VMH48" i="8"/>
  <c r="VMG48" i="8"/>
  <c r="VMF48" i="8"/>
  <c r="VME48" i="8"/>
  <c r="VMD48" i="8"/>
  <c r="VMC48" i="8"/>
  <c r="VMB48" i="8"/>
  <c r="VMA48" i="8"/>
  <c r="VLZ48" i="8"/>
  <c r="VLY48" i="8"/>
  <c r="VLX48" i="8"/>
  <c r="VLW48" i="8"/>
  <c r="VLV48" i="8"/>
  <c r="VLU48" i="8"/>
  <c r="VLT48" i="8"/>
  <c r="VLS48" i="8"/>
  <c r="VLR48" i="8"/>
  <c r="VLQ48" i="8"/>
  <c r="VLP48" i="8"/>
  <c r="VLO48" i="8"/>
  <c r="VLN48" i="8"/>
  <c r="VLM48" i="8"/>
  <c r="VLL48" i="8"/>
  <c r="VLK48" i="8"/>
  <c r="VLJ48" i="8"/>
  <c r="VLI48" i="8"/>
  <c r="VLH48" i="8"/>
  <c r="VLG48" i="8"/>
  <c r="VLF48" i="8"/>
  <c r="VLE48" i="8"/>
  <c r="VLD48" i="8"/>
  <c r="VLC48" i="8"/>
  <c r="VLB48" i="8"/>
  <c r="VLA48" i="8"/>
  <c r="VKZ48" i="8"/>
  <c r="VKY48" i="8"/>
  <c r="VKX48" i="8"/>
  <c r="VKW48" i="8"/>
  <c r="VKV48" i="8"/>
  <c r="VKU48" i="8"/>
  <c r="VKT48" i="8"/>
  <c r="VKS48" i="8"/>
  <c r="VKR48" i="8"/>
  <c r="VKQ48" i="8"/>
  <c r="VKP48" i="8"/>
  <c r="VKO48" i="8"/>
  <c r="VKN48" i="8"/>
  <c r="VKM48" i="8"/>
  <c r="VKL48" i="8"/>
  <c r="VKK48" i="8"/>
  <c r="VKJ48" i="8"/>
  <c r="VKI48" i="8"/>
  <c r="VKH48" i="8"/>
  <c r="VKG48" i="8"/>
  <c r="VKF48" i="8"/>
  <c r="VKE48" i="8"/>
  <c r="VKD48" i="8"/>
  <c r="VKC48" i="8"/>
  <c r="VKB48" i="8"/>
  <c r="VKA48" i="8"/>
  <c r="VJZ48" i="8"/>
  <c r="VJY48" i="8"/>
  <c r="VJX48" i="8"/>
  <c r="VJW48" i="8"/>
  <c r="VJV48" i="8"/>
  <c r="VJU48" i="8"/>
  <c r="VJT48" i="8"/>
  <c r="VJS48" i="8"/>
  <c r="VJR48" i="8"/>
  <c r="VJQ48" i="8"/>
  <c r="VJP48" i="8"/>
  <c r="VJO48" i="8"/>
  <c r="VJN48" i="8"/>
  <c r="VJM48" i="8"/>
  <c r="VJL48" i="8"/>
  <c r="VJK48" i="8"/>
  <c r="VJJ48" i="8"/>
  <c r="VJI48" i="8"/>
  <c r="VJH48" i="8"/>
  <c r="VJG48" i="8"/>
  <c r="VJF48" i="8"/>
  <c r="VJE48" i="8"/>
  <c r="VJD48" i="8"/>
  <c r="VJC48" i="8"/>
  <c r="VJB48" i="8"/>
  <c r="VJA48" i="8"/>
  <c r="VIZ48" i="8"/>
  <c r="VIY48" i="8"/>
  <c r="VIX48" i="8"/>
  <c r="VIW48" i="8"/>
  <c r="VIV48" i="8"/>
  <c r="VIU48" i="8"/>
  <c r="VIT48" i="8"/>
  <c r="VIS48" i="8"/>
  <c r="VIR48" i="8"/>
  <c r="VIQ48" i="8"/>
  <c r="VIP48" i="8"/>
  <c r="VIO48" i="8"/>
  <c r="VIN48" i="8"/>
  <c r="VIM48" i="8"/>
  <c r="VIL48" i="8"/>
  <c r="VIK48" i="8"/>
  <c r="VIJ48" i="8"/>
  <c r="VII48" i="8"/>
  <c r="VIH48" i="8"/>
  <c r="VIG48" i="8"/>
  <c r="VIF48" i="8"/>
  <c r="VIE48" i="8"/>
  <c r="VID48" i="8"/>
  <c r="VIC48" i="8"/>
  <c r="VIB48" i="8"/>
  <c r="VIA48" i="8"/>
  <c r="VHZ48" i="8"/>
  <c r="VHY48" i="8"/>
  <c r="VHX48" i="8"/>
  <c r="VHW48" i="8"/>
  <c r="VHV48" i="8"/>
  <c r="VHU48" i="8"/>
  <c r="VHT48" i="8"/>
  <c r="VHS48" i="8"/>
  <c r="VHR48" i="8"/>
  <c r="VHQ48" i="8"/>
  <c r="VHP48" i="8"/>
  <c r="VHO48" i="8"/>
  <c r="VHN48" i="8"/>
  <c r="VHM48" i="8"/>
  <c r="VHL48" i="8"/>
  <c r="VHK48" i="8"/>
  <c r="VHJ48" i="8"/>
  <c r="VHI48" i="8"/>
  <c r="VHH48" i="8"/>
  <c r="VHG48" i="8"/>
  <c r="VHF48" i="8"/>
  <c r="VHE48" i="8"/>
  <c r="VHD48" i="8"/>
  <c r="VHC48" i="8"/>
  <c r="VHB48" i="8"/>
  <c r="VHA48" i="8"/>
  <c r="VGZ48" i="8"/>
  <c r="VGY48" i="8"/>
  <c r="VGX48" i="8"/>
  <c r="VGW48" i="8"/>
  <c r="VGV48" i="8"/>
  <c r="VGU48" i="8"/>
  <c r="VGT48" i="8"/>
  <c r="VGS48" i="8"/>
  <c r="VGR48" i="8"/>
  <c r="VGQ48" i="8"/>
  <c r="VGP48" i="8"/>
  <c r="VGO48" i="8"/>
  <c r="VGN48" i="8"/>
  <c r="VGM48" i="8"/>
  <c r="VGL48" i="8"/>
  <c r="VGK48" i="8"/>
  <c r="VGJ48" i="8"/>
  <c r="VGI48" i="8"/>
  <c r="VGH48" i="8"/>
  <c r="VGG48" i="8"/>
  <c r="VGF48" i="8"/>
  <c r="VGE48" i="8"/>
  <c r="VGD48" i="8"/>
  <c r="VGC48" i="8"/>
  <c r="VGB48" i="8"/>
  <c r="VGA48" i="8"/>
  <c r="VFZ48" i="8"/>
  <c r="VFY48" i="8"/>
  <c r="VFX48" i="8"/>
  <c r="VFW48" i="8"/>
  <c r="VFV48" i="8"/>
  <c r="VFU48" i="8"/>
  <c r="VFT48" i="8"/>
  <c r="VFS48" i="8"/>
  <c r="VFR48" i="8"/>
  <c r="VFQ48" i="8"/>
  <c r="VFP48" i="8"/>
  <c r="VFO48" i="8"/>
  <c r="VFN48" i="8"/>
  <c r="VFM48" i="8"/>
  <c r="VFL48" i="8"/>
  <c r="VFK48" i="8"/>
  <c r="VFJ48" i="8"/>
  <c r="VFI48" i="8"/>
  <c r="VFH48" i="8"/>
  <c r="VFG48" i="8"/>
  <c r="VFF48" i="8"/>
  <c r="VFE48" i="8"/>
  <c r="VFD48" i="8"/>
  <c r="VFC48" i="8"/>
  <c r="VFB48" i="8"/>
  <c r="VFA48" i="8"/>
  <c r="VEZ48" i="8"/>
  <c r="VEY48" i="8"/>
  <c r="VEX48" i="8"/>
  <c r="VEW48" i="8"/>
  <c r="VEV48" i="8"/>
  <c r="VEU48" i="8"/>
  <c r="VET48" i="8"/>
  <c r="VES48" i="8"/>
  <c r="VER48" i="8"/>
  <c r="VEQ48" i="8"/>
  <c r="VEP48" i="8"/>
  <c r="VEO48" i="8"/>
  <c r="VEN48" i="8"/>
  <c r="VEM48" i="8"/>
  <c r="VEL48" i="8"/>
  <c r="VEK48" i="8"/>
  <c r="VEJ48" i="8"/>
  <c r="VEI48" i="8"/>
  <c r="VEH48" i="8"/>
  <c r="VEG48" i="8"/>
  <c r="VEF48" i="8"/>
  <c r="VEE48" i="8"/>
  <c r="VED48" i="8"/>
  <c r="VEC48" i="8"/>
  <c r="VEB48" i="8"/>
  <c r="VEA48" i="8"/>
  <c r="VDZ48" i="8"/>
  <c r="VDY48" i="8"/>
  <c r="VDX48" i="8"/>
  <c r="VDW48" i="8"/>
  <c r="VDV48" i="8"/>
  <c r="VDU48" i="8"/>
  <c r="VDT48" i="8"/>
  <c r="VDS48" i="8"/>
  <c r="VDR48" i="8"/>
  <c r="VDQ48" i="8"/>
  <c r="VDP48" i="8"/>
  <c r="VDO48" i="8"/>
  <c r="VDN48" i="8"/>
  <c r="VDM48" i="8"/>
  <c r="VDL48" i="8"/>
  <c r="VDK48" i="8"/>
  <c r="VDJ48" i="8"/>
  <c r="VDI48" i="8"/>
  <c r="VDH48" i="8"/>
  <c r="VDG48" i="8"/>
  <c r="VDF48" i="8"/>
  <c r="VDE48" i="8"/>
  <c r="VDD48" i="8"/>
  <c r="VDC48" i="8"/>
  <c r="VDB48" i="8"/>
  <c r="VDA48" i="8"/>
  <c r="VCZ48" i="8"/>
  <c r="VCY48" i="8"/>
  <c r="VCX48" i="8"/>
  <c r="VCW48" i="8"/>
  <c r="VCV48" i="8"/>
  <c r="VCU48" i="8"/>
  <c r="VCT48" i="8"/>
  <c r="VCS48" i="8"/>
  <c r="VCR48" i="8"/>
  <c r="VCQ48" i="8"/>
  <c r="VCP48" i="8"/>
  <c r="VCO48" i="8"/>
  <c r="VCN48" i="8"/>
  <c r="VCM48" i="8"/>
  <c r="VCL48" i="8"/>
  <c r="VCK48" i="8"/>
  <c r="VCJ48" i="8"/>
  <c r="VCI48" i="8"/>
  <c r="VCH48" i="8"/>
  <c r="VCG48" i="8"/>
  <c r="VCF48" i="8"/>
  <c r="VCE48" i="8"/>
  <c r="VCD48" i="8"/>
  <c r="VCC48" i="8"/>
  <c r="VCB48" i="8"/>
  <c r="VCA48" i="8"/>
  <c r="VBZ48" i="8"/>
  <c r="VBY48" i="8"/>
  <c r="VBX48" i="8"/>
  <c r="VBW48" i="8"/>
  <c r="VBV48" i="8"/>
  <c r="VBU48" i="8"/>
  <c r="VBT48" i="8"/>
  <c r="VBS48" i="8"/>
  <c r="VBR48" i="8"/>
  <c r="VBQ48" i="8"/>
  <c r="VBP48" i="8"/>
  <c r="VBO48" i="8"/>
  <c r="VBN48" i="8"/>
  <c r="VBM48" i="8"/>
  <c r="VBL48" i="8"/>
  <c r="VBK48" i="8"/>
  <c r="VBJ48" i="8"/>
  <c r="VBI48" i="8"/>
  <c r="VBH48" i="8"/>
  <c r="VBG48" i="8"/>
  <c r="VBF48" i="8"/>
  <c r="VBE48" i="8"/>
  <c r="VBD48" i="8"/>
  <c r="VBC48" i="8"/>
  <c r="VBB48" i="8"/>
  <c r="VBA48" i="8"/>
  <c r="VAZ48" i="8"/>
  <c r="VAY48" i="8"/>
  <c r="VAX48" i="8"/>
  <c r="VAW48" i="8"/>
  <c r="VAV48" i="8"/>
  <c r="VAU48" i="8"/>
  <c r="VAT48" i="8"/>
  <c r="VAS48" i="8"/>
  <c r="VAR48" i="8"/>
  <c r="VAQ48" i="8"/>
  <c r="VAP48" i="8"/>
  <c r="VAO48" i="8"/>
  <c r="VAN48" i="8"/>
  <c r="VAM48" i="8"/>
  <c r="VAL48" i="8"/>
  <c r="VAK48" i="8"/>
  <c r="VAJ48" i="8"/>
  <c r="VAI48" i="8"/>
  <c r="VAH48" i="8"/>
  <c r="VAG48" i="8"/>
  <c r="VAF48" i="8"/>
  <c r="VAE48" i="8"/>
  <c r="VAD48" i="8"/>
  <c r="VAC48" i="8"/>
  <c r="VAB48" i="8"/>
  <c r="VAA48" i="8"/>
  <c r="UZZ48" i="8"/>
  <c r="UZY48" i="8"/>
  <c r="UZX48" i="8"/>
  <c r="UZW48" i="8"/>
  <c r="UZV48" i="8"/>
  <c r="UZU48" i="8"/>
  <c r="UZT48" i="8"/>
  <c r="UZS48" i="8"/>
  <c r="UZR48" i="8"/>
  <c r="UZQ48" i="8"/>
  <c r="UZP48" i="8"/>
  <c r="UZO48" i="8"/>
  <c r="UZN48" i="8"/>
  <c r="UZM48" i="8"/>
  <c r="UZL48" i="8"/>
  <c r="UZK48" i="8"/>
  <c r="UZJ48" i="8"/>
  <c r="UZI48" i="8"/>
  <c r="UZH48" i="8"/>
  <c r="UZG48" i="8"/>
  <c r="UZF48" i="8"/>
  <c r="UZE48" i="8"/>
  <c r="UZD48" i="8"/>
  <c r="UZC48" i="8"/>
  <c r="UZB48" i="8"/>
  <c r="UZA48" i="8"/>
  <c r="UYZ48" i="8"/>
  <c r="UYY48" i="8"/>
  <c r="UYX48" i="8"/>
  <c r="UYW48" i="8"/>
  <c r="UYV48" i="8"/>
  <c r="UYU48" i="8"/>
  <c r="UYT48" i="8"/>
  <c r="UYS48" i="8"/>
  <c r="UYR48" i="8"/>
  <c r="UYQ48" i="8"/>
  <c r="UYP48" i="8"/>
  <c r="UYO48" i="8"/>
  <c r="UYN48" i="8"/>
  <c r="UYM48" i="8"/>
  <c r="UYL48" i="8"/>
  <c r="UYK48" i="8"/>
  <c r="UYJ48" i="8"/>
  <c r="UYI48" i="8"/>
  <c r="UYH48" i="8"/>
  <c r="UYG48" i="8"/>
  <c r="UYF48" i="8"/>
  <c r="UYE48" i="8"/>
  <c r="UYD48" i="8"/>
  <c r="UYC48" i="8"/>
  <c r="UYB48" i="8"/>
  <c r="UYA48" i="8"/>
  <c r="UXZ48" i="8"/>
  <c r="UXY48" i="8"/>
  <c r="UXX48" i="8"/>
  <c r="UXW48" i="8"/>
  <c r="UXV48" i="8"/>
  <c r="UXU48" i="8"/>
  <c r="UXT48" i="8"/>
  <c r="UXS48" i="8"/>
  <c r="UXR48" i="8"/>
  <c r="UXQ48" i="8"/>
  <c r="UXP48" i="8"/>
  <c r="UXO48" i="8"/>
  <c r="UXN48" i="8"/>
  <c r="UXM48" i="8"/>
  <c r="UXL48" i="8"/>
  <c r="UXK48" i="8"/>
  <c r="UXJ48" i="8"/>
  <c r="UXI48" i="8"/>
  <c r="UXH48" i="8"/>
  <c r="UXG48" i="8"/>
  <c r="UXF48" i="8"/>
  <c r="UXE48" i="8"/>
  <c r="UXD48" i="8"/>
  <c r="UXC48" i="8"/>
  <c r="UXB48" i="8"/>
  <c r="UXA48" i="8"/>
  <c r="UWZ48" i="8"/>
  <c r="UWY48" i="8"/>
  <c r="UWX48" i="8"/>
  <c r="UWW48" i="8"/>
  <c r="UWV48" i="8"/>
  <c r="UWU48" i="8"/>
  <c r="UWT48" i="8"/>
  <c r="UWS48" i="8"/>
  <c r="UWR48" i="8"/>
  <c r="UWQ48" i="8"/>
  <c r="UWP48" i="8"/>
  <c r="UWO48" i="8"/>
  <c r="UWN48" i="8"/>
  <c r="UWM48" i="8"/>
  <c r="UWL48" i="8"/>
  <c r="UWK48" i="8"/>
  <c r="UWJ48" i="8"/>
  <c r="UWI48" i="8"/>
  <c r="UWH48" i="8"/>
  <c r="UWG48" i="8"/>
  <c r="UWF48" i="8"/>
  <c r="UWE48" i="8"/>
  <c r="UWD48" i="8"/>
  <c r="UWC48" i="8"/>
  <c r="UWB48" i="8"/>
  <c r="UWA48" i="8"/>
  <c r="UVZ48" i="8"/>
  <c r="UVY48" i="8"/>
  <c r="UVX48" i="8"/>
  <c r="UVW48" i="8"/>
  <c r="UVV48" i="8"/>
  <c r="UVU48" i="8"/>
  <c r="UVT48" i="8"/>
  <c r="UVS48" i="8"/>
  <c r="UVR48" i="8"/>
  <c r="UVQ48" i="8"/>
  <c r="UVP48" i="8"/>
  <c r="UVO48" i="8"/>
  <c r="UVN48" i="8"/>
  <c r="UVM48" i="8"/>
  <c r="UVL48" i="8"/>
  <c r="UVK48" i="8"/>
  <c r="UVJ48" i="8"/>
  <c r="UVI48" i="8"/>
  <c r="UVH48" i="8"/>
  <c r="UVG48" i="8"/>
  <c r="UVF48" i="8"/>
  <c r="UVE48" i="8"/>
  <c r="UVD48" i="8"/>
  <c r="UVC48" i="8"/>
  <c r="UVB48" i="8"/>
  <c r="UVA48" i="8"/>
  <c r="UUZ48" i="8"/>
  <c r="UUY48" i="8"/>
  <c r="UUX48" i="8"/>
  <c r="UUW48" i="8"/>
  <c r="UUV48" i="8"/>
  <c r="UUU48" i="8"/>
  <c r="UUT48" i="8"/>
  <c r="UUS48" i="8"/>
  <c r="UUR48" i="8"/>
  <c r="UUQ48" i="8"/>
  <c r="UUP48" i="8"/>
  <c r="UUO48" i="8"/>
  <c r="UUN48" i="8"/>
  <c r="UUM48" i="8"/>
  <c r="UUL48" i="8"/>
  <c r="UUK48" i="8"/>
  <c r="UUJ48" i="8"/>
  <c r="UUI48" i="8"/>
  <c r="UUH48" i="8"/>
  <c r="UUG48" i="8"/>
  <c r="UUF48" i="8"/>
  <c r="UUE48" i="8"/>
  <c r="UUD48" i="8"/>
  <c r="UUC48" i="8"/>
  <c r="UUB48" i="8"/>
  <c r="UUA48" i="8"/>
  <c r="UTZ48" i="8"/>
  <c r="UTY48" i="8"/>
  <c r="UTX48" i="8"/>
  <c r="UTW48" i="8"/>
  <c r="UTV48" i="8"/>
  <c r="UTU48" i="8"/>
  <c r="UTT48" i="8"/>
  <c r="UTS48" i="8"/>
  <c r="UTR48" i="8"/>
  <c r="UTQ48" i="8"/>
  <c r="UTP48" i="8"/>
  <c r="UTO48" i="8"/>
  <c r="UTN48" i="8"/>
  <c r="UTM48" i="8"/>
  <c r="UTL48" i="8"/>
  <c r="UTK48" i="8"/>
  <c r="UTJ48" i="8"/>
  <c r="UTI48" i="8"/>
  <c r="UTH48" i="8"/>
  <c r="UTG48" i="8"/>
  <c r="UTF48" i="8"/>
  <c r="UTE48" i="8"/>
  <c r="UTD48" i="8"/>
  <c r="UTC48" i="8"/>
  <c r="UTB48" i="8"/>
  <c r="UTA48" i="8"/>
  <c r="USZ48" i="8"/>
  <c r="USY48" i="8"/>
  <c r="USX48" i="8"/>
  <c r="USW48" i="8"/>
  <c r="USV48" i="8"/>
  <c r="USU48" i="8"/>
  <c r="UST48" i="8"/>
  <c r="USS48" i="8"/>
  <c r="USR48" i="8"/>
  <c r="USQ48" i="8"/>
  <c r="USP48" i="8"/>
  <c r="USO48" i="8"/>
  <c r="USN48" i="8"/>
  <c r="USM48" i="8"/>
  <c r="USL48" i="8"/>
  <c r="USK48" i="8"/>
  <c r="USJ48" i="8"/>
  <c r="USI48" i="8"/>
  <c r="USH48" i="8"/>
  <c r="USG48" i="8"/>
  <c r="USF48" i="8"/>
  <c r="USE48" i="8"/>
  <c r="USD48" i="8"/>
  <c r="USC48" i="8"/>
  <c r="USB48" i="8"/>
  <c r="USA48" i="8"/>
  <c r="URZ48" i="8"/>
  <c r="URY48" i="8"/>
  <c r="URX48" i="8"/>
  <c r="URW48" i="8"/>
  <c r="URV48" i="8"/>
  <c r="URU48" i="8"/>
  <c r="URT48" i="8"/>
  <c r="URS48" i="8"/>
  <c r="URR48" i="8"/>
  <c r="URQ48" i="8"/>
  <c r="URP48" i="8"/>
  <c r="URO48" i="8"/>
  <c r="URN48" i="8"/>
  <c r="URM48" i="8"/>
  <c r="URL48" i="8"/>
  <c r="URK48" i="8"/>
  <c r="URJ48" i="8"/>
  <c r="URI48" i="8"/>
  <c r="URH48" i="8"/>
  <c r="URG48" i="8"/>
  <c r="URF48" i="8"/>
  <c r="URE48" i="8"/>
  <c r="URD48" i="8"/>
  <c r="URC48" i="8"/>
  <c r="URB48" i="8"/>
  <c r="URA48" i="8"/>
  <c r="UQZ48" i="8"/>
  <c r="UQY48" i="8"/>
  <c r="UQX48" i="8"/>
  <c r="UQW48" i="8"/>
  <c r="UQV48" i="8"/>
  <c r="UQU48" i="8"/>
  <c r="UQT48" i="8"/>
  <c r="UQS48" i="8"/>
  <c r="UQR48" i="8"/>
  <c r="UQQ48" i="8"/>
  <c r="UQP48" i="8"/>
  <c r="UQO48" i="8"/>
  <c r="UQN48" i="8"/>
  <c r="UQM48" i="8"/>
  <c r="UQL48" i="8"/>
  <c r="UQK48" i="8"/>
  <c r="UQJ48" i="8"/>
  <c r="UQI48" i="8"/>
  <c r="UQH48" i="8"/>
  <c r="UQG48" i="8"/>
  <c r="UQF48" i="8"/>
  <c r="UQE48" i="8"/>
  <c r="UQD48" i="8"/>
  <c r="UQC48" i="8"/>
  <c r="UQB48" i="8"/>
  <c r="UQA48" i="8"/>
  <c r="UPZ48" i="8"/>
  <c r="UPY48" i="8"/>
  <c r="UPX48" i="8"/>
  <c r="UPW48" i="8"/>
  <c r="UPV48" i="8"/>
  <c r="UPU48" i="8"/>
  <c r="UPT48" i="8"/>
  <c r="UPS48" i="8"/>
  <c r="UPR48" i="8"/>
  <c r="UPQ48" i="8"/>
  <c r="UPP48" i="8"/>
  <c r="UPO48" i="8"/>
  <c r="UPN48" i="8"/>
  <c r="UPM48" i="8"/>
  <c r="UPL48" i="8"/>
  <c r="UPK48" i="8"/>
  <c r="UPJ48" i="8"/>
  <c r="UPI48" i="8"/>
  <c r="UPH48" i="8"/>
  <c r="UPG48" i="8"/>
  <c r="UPF48" i="8"/>
  <c r="UPE48" i="8"/>
  <c r="UPD48" i="8"/>
  <c r="UPC48" i="8"/>
  <c r="UPB48" i="8"/>
  <c r="UPA48" i="8"/>
  <c r="UOZ48" i="8"/>
  <c r="UOY48" i="8"/>
  <c r="UOX48" i="8"/>
  <c r="UOW48" i="8"/>
  <c r="UOV48" i="8"/>
  <c r="UOU48" i="8"/>
  <c r="UOT48" i="8"/>
  <c r="UOS48" i="8"/>
  <c r="UOR48" i="8"/>
  <c r="UOQ48" i="8"/>
  <c r="UOP48" i="8"/>
  <c r="UOO48" i="8"/>
  <c r="UON48" i="8"/>
  <c r="UOM48" i="8"/>
  <c r="UOL48" i="8"/>
  <c r="UOK48" i="8"/>
  <c r="UOJ48" i="8"/>
  <c r="UOI48" i="8"/>
  <c r="UOH48" i="8"/>
  <c r="UOG48" i="8"/>
  <c r="UOF48" i="8"/>
  <c r="UOE48" i="8"/>
  <c r="UOD48" i="8"/>
  <c r="UOC48" i="8"/>
  <c r="UOB48" i="8"/>
  <c r="UOA48" i="8"/>
  <c r="UNZ48" i="8"/>
  <c r="UNY48" i="8"/>
  <c r="UNX48" i="8"/>
  <c r="UNW48" i="8"/>
  <c r="UNV48" i="8"/>
  <c r="UNU48" i="8"/>
  <c r="UNT48" i="8"/>
  <c r="UNS48" i="8"/>
  <c r="UNR48" i="8"/>
  <c r="UNQ48" i="8"/>
  <c r="UNP48" i="8"/>
  <c r="UNO48" i="8"/>
  <c r="UNN48" i="8"/>
  <c r="UNM48" i="8"/>
  <c r="UNL48" i="8"/>
  <c r="UNK48" i="8"/>
  <c r="UNJ48" i="8"/>
  <c r="UNI48" i="8"/>
  <c r="UNH48" i="8"/>
  <c r="UNG48" i="8"/>
  <c r="UNF48" i="8"/>
  <c r="UNE48" i="8"/>
  <c r="UND48" i="8"/>
  <c r="UNC48" i="8"/>
  <c r="UNB48" i="8"/>
  <c r="UNA48" i="8"/>
  <c r="UMZ48" i="8"/>
  <c r="UMY48" i="8"/>
  <c r="UMX48" i="8"/>
  <c r="UMW48" i="8"/>
  <c r="UMV48" i="8"/>
  <c r="UMU48" i="8"/>
  <c r="UMT48" i="8"/>
  <c r="UMS48" i="8"/>
  <c r="UMR48" i="8"/>
  <c r="UMQ48" i="8"/>
  <c r="UMP48" i="8"/>
  <c r="UMO48" i="8"/>
  <c r="UMN48" i="8"/>
  <c r="UMM48" i="8"/>
  <c r="UML48" i="8"/>
  <c r="UMK48" i="8"/>
  <c r="UMJ48" i="8"/>
  <c r="UMI48" i="8"/>
  <c r="UMH48" i="8"/>
  <c r="UMG48" i="8"/>
  <c r="UMF48" i="8"/>
  <c r="UME48" i="8"/>
  <c r="UMD48" i="8"/>
  <c r="UMC48" i="8"/>
  <c r="UMB48" i="8"/>
  <c r="UMA48" i="8"/>
  <c r="ULZ48" i="8"/>
  <c r="ULY48" i="8"/>
  <c r="ULX48" i="8"/>
  <c r="ULW48" i="8"/>
  <c r="ULV48" i="8"/>
  <c r="ULU48" i="8"/>
  <c r="ULT48" i="8"/>
  <c r="ULS48" i="8"/>
  <c r="ULR48" i="8"/>
  <c r="ULQ48" i="8"/>
  <c r="ULP48" i="8"/>
  <c r="ULO48" i="8"/>
  <c r="ULN48" i="8"/>
  <c r="ULM48" i="8"/>
  <c r="ULL48" i="8"/>
  <c r="ULK48" i="8"/>
  <c r="ULJ48" i="8"/>
  <c r="ULI48" i="8"/>
  <c r="ULH48" i="8"/>
  <c r="ULG48" i="8"/>
  <c r="ULF48" i="8"/>
  <c r="ULE48" i="8"/>
  <c r="ULD48" i="8"/>
  <c r="ULC48" i="8"/>
  <c r="ULB48" i="8"/>
  <c r="ULA48" i="8"/>
  <c r="UKZ48" i="8"/>
  <c r="UKY48" i="8"/>
  <c r="UKX48" i="8"/>
  <c r="UKW48" i="8"/>
  <c r="UKV48" i="8"/>
  <c r="UKU48" i="8"/>
  <c r="UKT48" i="8"/>
  <c r="UKS48" i="8"/>
  <c r="UKR48" i="8"/>
  <c r="UKQ48" i="8"/>
  <c r="UKP48" i="8"/>
  <c r="UKO48" i="8"/>
  <c r="UKN48" i="8"/>
  <c r="UKM48" i="8"/>
  <c r="UKL48" i="8"/>
  <c r="UKK48" i="8"/>
  <c r="UKJ48" i="8"/>
  <c r="UKI48" i="8"/>
  <c r="UKH48" i="8"/>
  <c r="UKG48" i="8"/>
  <c r="UKF48" i="8"/>
  <c r="UKE48" i="8"/>
  <c r="UKD48" i="8"/>
  <c r="UKC48" i="8"/>
  <c r="UKB48" i="8"/>
  <c r="UKA48" i="8"/>
  <c r="UJZ48" i="8"/>
  <c r="UJY48" i="8"/>
  <c r="UJX48" i="8"/>
  <c r="UJW48" i="8"/>
  <c r="UJV48" i="8"/>
  <c r="UJU48" i="8"/>
  <c r="UJT48" i="8"/>
  <c r="UJS48" i="8"/>
  <c r="UJR48" i="8"/>
  <c r="UJQ48" i="8"/>
  <c r="UJP48" i="8"/>
  <c r="UJO48" i="8"/>
  <c r="UJN48" i="8"/>
  <c r="UJM48" i="8"/>
  <c r="UJL48" i="8"/>
  <c r="UJK48" i="8"/>
  <c r="UJJ48" i="8"/>
  <c r="UJI48" i="8"/>
  <c r="UJH48" i="8"/>
  <c r="UJG48" i="8"/>
  <c r="UJF48" i="8"/>
  <c r="UJE48" i="8"/>
  <c r="UJD48" i="8"/>
  <c r="UJC48" i="8"/>
  <c r="UJB48" i="8"/>
  <c r="UJA48" i="8"/>
  <c r="UIZ48" i="8"/>
  <c r="UIY48" i="8"/>
  <c r="UIX48" i="8"/>
  <c r="UIW48" i="8"/>
  <c r="UIV48" i="8"/>
  <c r="UIU48" i="8"/>
  <c r="UIT48" i="8"/>
  <c r="UIS48" i="8"/>
  <c r="UIR48" i="8"/>
  <c r="UIQ48" i="8"/>
  <c r="UIP48" i="8"/>
  <c r="UIO48" i="8"/>
  <c r="UIN48" i="8"/>
  <c r="UIM48" i="8"/>
  <c r="UIL48" i="8"/>
  <c r="UIK48" i="8"/>
  <c r="UIJ48" i="8"/>
  <c r="UII48" i="8"/>
  <c r="UIH48" i="8"/>
  <c r="UIG48" i="8"/>
  <c r="UIF48" i="8"/>
  <c r="UIE48" i="8"/>
  <c r="UID48" i="8"/>
  <c r="UIC48" i="8"/>
  <c r="UIB48" i="8"/>
  <c r="UIA48" i="8"/>
  <c r="UHZ48" i="8"/>
  <c r="UHY48" i="8"/>
  <c r="UHX48" i="8"/>
  <c r="UHW48" i="8"/>
  <c r="UHV48" i="8"/>
  <c r="UHU48" i="8"/>
  <c r="UHT48" i="8"/>
  <c r="UHS48" i="8"/>
  <c r="UHR48" i="8"/>
  <c r="UHQ48" i="8"/>
  <c r="UHP48" i="8"/>
  <c r="UHO48" i="8"/>
  <c r="UHN48" i="8"/>
  <c r="UHM48" i="8"/>
  <c r="UHL48" i="8"/>
  <c r="UHK48" i="8"/>
  <c r="UHJ48" i="8"/>
  <c r="UHI48" i="8"/>
  <c r="UHH48" i="8"/>
  <c r="UHG48" i="8"/>
  <c r="UHF48" i="8"/>
  <c r="UHE48" i="8"/>
  <c r="UHD48" i="8"/>
  <c r="UHC48" i="8"/>
  <c r="UHB48" i="8"/>
  <c r="UHA48" i="8"/>
  <c r="UGZ48" i="8"/>
  <c r="UGY48" i="8"/>
  <c r="UGX48" i="8"/>
  <c r="UGW48" i="8"/>
  <c r="UGV48" i="8"/>
  <c r="UGU48" i="8"/>
  <c r="UGT48" i="8"/>
  <c r="UGS48" i="8"/>
  <c r="UGR48" i="8"/>
  <c r="UGQ48" i="8"/>
  <c r="UGP48" i="8"/>
  <c r="UGO48" i="8"/>
  <c r="UGN48" i="8"/>
  <c r="UGM48" i="8"/>
  <c r="UGL48" i="8"/>
  <c r="UGK48" i="8"/>
  <c r="UGJ48" i="8"/>
  <c r="UGI48" i="8"/>
  <c r="UGH48" i="8"/>
  <c r="UGG48" i="8"/>
  <c r="UGF48" i="8"/>
  <c r="UGE48" i="8"/>
  <c r="UGD48" i="8"/>
  <c r="UGC48" i="8"/>
  <c r="UGB48" i="8"/>
  <c r="UGA48" i="8"/>
  <c r="UFZ48" i="8"/>
  <c r="UFY48" i="8"/>
  <c r="UFX48" i="8"/>
  <c r="UFW48" i="8"/>
  <c r="UFV48" i="8"/>
  <c r="UFU48" i="8"/>
  <c r="UFT48" i="8"/>
  <c r="UFS48" i="8"/>
  <c r="UFR48" i="8"/>
  <c r="UFQ48" i="8"/>
  <c r="UFP48" i="8"/>
  <c r="UFO48" i="8"/>
  <c r="UFN48" i="8"/>
  <c r="UFM48" i="8"/>
  <c r="UFL48" i="8"/>
  <c r="UFK48" i="8"/>
  <c r="UFJ48" i="8"/>
  <c r="UFI48" i="8"/>
  <c r="UFH48" i="8"/>
  <c r="UFG48" i="8"/>
  <c r="UFF48" i="8"/>
  <c r="UFE48" i="8"/>
  <c r="UFD48" i="8"/>
  <c r="UFC48" i="8"/>
  <c r="UFB48" i="8"/>
  <c r="UFA48" i="8"/>
  <c r="UEZ48" i="8"/>
  <c r="UEY48" i="8"/>
  <c r="UEX48" i="8"/>
  <c r="UEW48" i="8"/>
  <c r="UEV48" i="8"/>
  <c r="UEU48" i="8"/>
  <c r="UET48" i="8"/>
  <c r="UES48" i="8"/>
  <c r="UER48" i="8"/>
  <c r="UEQ48" i="8"/>
  <c r="UEP48" i="8"/>
  <c r="UEO48" i="8"/>
  <c r="UEN48" i="8"/>
  <c r="UEM48" i="8"/>
  <c r="UEL48" i="8"/>
  <c r="UEK48" i="8"/>
  <c r="UEJ48" i="8"/>
  <c r="UEI48" i="8"/>
  <c r="UEH48" i="8"/>
  <c r="UEG48" i="8"/>
  <c r="UEF48" i="8"/>
  <c r="UEE48" i="8"/>
  <c r="UED48" i="8"/>
  <c r="UEC48" i="8"/>
  <c r="UEB48" i="8"/>
  <c r="UEA48" i="8"/>
  <c r="UDZ48" i="8"/>
  <c r="UDY48" i="8"/>
  <c r="UDX48" i="8"/>
  <c r="UDW48" i="8"/>
  <c r="UDV48" i="8"/>
  <c r="UDU48" i="8"/>
  <c r="UDT48" i="8"/>
  <c r="UDS48" i="8"/>
  <c r="UDR48" i="8"/>
  <c r="UDQ48" i="8"/>
  <c r="UDP48" i="8"/>
  <c r="UDO48" i="8"/>
  <c r="UDN48" i="8"/>
  <c r="UDM48" i="8"/>
  <c r="UDL48" i="8"/>
  <c r="UDK48" i="8"/>
  <c r="UDJ48" i="8"/>
  <c r="UDI48" i="8"/>
  <c r="UDH48" i="8"/>
  <c r="UDG48" i="8"/>
  <c r="UDF48" i="8"/>
  <c r="UDE48" i="8"/>
  <c r="UDD48" i="8"/>
  <c r="UDC48" i="8"/>
  <c r="UDB48" i="8"/>
  <c r="UDA48" i="8"/>
  <c r="UCZ48" i="8"/>
  <c r="UCY48" i="8"/>
  <c r="UCX48" i="8"/>
  <c r="UCW48" i="8"/>
  <c r="UCV48" i="8"/>
  <c r="UCU48" i="8"/>
  <c r="UCT48" i="8"/>
  <c r="UCS48" i="8"/>
  <c r="UCR48" i="8"/>
  <c r="UCQ48" i="8"/>
  <c r="UCP48" i="8"/>
  <c r="UCO48" i="8"/>
  <c r="UCN48" i="8"/>
  <c r="UCM48" i="8"/>
  <c r="UCL48" i="8"/>
  <c r="UCK48" i="8"/>
  <c r="UCJ48" i="8"/>
  <c r="UCI48" i="8"/>
  <c r="UCH48" i="8"/>
  <c r="UCG48" i="8"/>
  <c r="UCF48" i="8"/>
  <c r="UCE48" i="8"/>
  <c r="UCD48" i="8"/>
  <c r="UCC48" i="8"/>
  <c r="UCB48" i="8"/>
  <c r="UCA48" i="8"/>
  <c r="UBZ48" i="8"/>
  <c r="UBY48" i="8"/>
  <c r="UBX48" i="8"/>
  <c r="UBW48" i="8"/>
  <c r="UBV48" i="8"/>
  <c r="UBU48" i="8"/>
  <c r="UBT48" i="8"/>
  <c r="UBS48" i="8"/>
  <c r="UBR48" i="8"/>
  <c r="UBQ48" i="8"/>
  <c r="UBP48" i="8"/>
  <c r="UBO48" i="8"/>
  <c r="UBN48" i="8"/>
  <c r="UBM48" i="8"/>
  <c r="UBL48" i="8"/>
  <c r="UBK48" i="8"/>
  <c r="UBJ48" i="8"/>
  <c r="UBI48" i="8"/>
  <c r="UBH48" i="8"/>
  <c r="UBG48" i="8"/>
  <c r="UBF48" i="8"/>
  <c r="UBE48" i="8"/>
  <c r="UBD48" i="8"/>
  <c r="UBC48" i="8"/>
  <c r="UBB48" i="8"/>
  <c r="UBA48" i="8"/>
  <c r="UAZ48" i="8"/>
  <c r="UAY48" i="8"/>
  <c r="UAX48" i="8"/>
  <c r="UAW48" i="8"/>
  <c r="UAV48" i="8"/>
  <c r="UAU48" i="8"/>
  <c r="UAT48" i="8"/>
  <c r="UAS48" i="8"/>
  <c r="UAR48" i="8"/>
  <c r="UAQ48" i="8"/>
  <c r="UAP48" i="8"/>
  <c r="UAO48" i="8"/>
  <c r="UAN48" i="8"/>
  <c r="UAM48" i="8"/>
  <c r="UAL48" i="8"/>
  <c r="UAK48" i="8"/>
  <c r="UAJ48" i="8"/>
  <c r="UAI48" i="8"/>
  <c r="UAH48" i="8"/>
  <c r="UAG48" i="8"/>
  <c r="UAF48" i="8"/>
  <c r="UAE48" i="8"/>
  <c r="UAD48" i="8"/>
  <c r="UAC48" i="8"/>
  <c r="UAB48" i="8"/>
  <c r="UAA48" i="8"/>
  <c r="TZZ48" i="8"/>
  <c r="TZY48" i="8"/>
  <c r="TZX48" i="8"/>
  <c r="TZW48" i="8"/>
  <c r="TZV48" i="8"/>
  <c r="TZU48" i="8"/>
  <c r="TZT48" i="8"/>
  <c r="TZS48" i="8"/>
  <c r="TZR48" i="8"/>
  <c r="TZQ48" i="8"/>
  <c r="TZP48" i="8"/>
  <c r="TZO48" i="8"/>
  <c r="TZN48" i="8"/>
  <c r="TZM48" i="8"/>
  <c r="TZL48" i="8"/>
  <c r="TZK48" i="8"/>
  <c r="TZJ48" i="8"/>
  <c r="TZI48" i="8"/>
  <c r="TZH48" i="8"/>
  <c r="TZG48" i="8"/>
  <c r="TZF48" i="8"/>
  <c r="TZE48" i="8"/>
  <c r="TZD48" i="8"/>
  <c r="TZC48" i="8"/>
  <c r="TZB48" i="8"/>
  <c r="TZA48" i="8"/>
  <c r="TYZ48" i="8"/>
  <c r="TYY48" i="8"/>
  <c r="TYX48" i="8"/>
  <c r="TYW48" i="8"/>
  <c r="TYV48" i="8"/>
  <c r="TYU48" i="8"/>
  <c r="TYT48" i="8"/>
  <c r="TYS48" i="8"/>
  <c r="TYR48" i="8"/>
  <c r="TYQ48" i="8"/>
  <c r="TYP48" i="8"/>
  <c r="TYO48" i="8"/>
  <c r="TYN48" i="8"/>
  <c r="TYM48" i="8"/>
  <c r="TYL48" i="8"/>
  <c r="TYK48" i="8"/>
  <c r="TYJ48" i="8"/>
  <c r="TYI48" i="8"/>
  <c r="TYH48" i="8"/>
  <c r="TYG48" i="8"/>
  <c r="TYF48" i="8"/>
  <c r="TYE48" i="8"/>
  <c r="TYD48" i="8"/>
  <c r="TYC48" i="8"/>
  <c r="TYB48" i="8"/>
  <c r="TYA48" i="8"/>
  <c r="TXZ48" i="8"/>
  <c r="TXY48" i="8"/>
  <c r="TXX48" i="8"/>
  <c r="TXW48" i="8"/>
  <c r="TXV48" i="8"/>
  <c r="TXU48" i="8"/>
  <c r="TXT48" i="8"/>
  <c r="TXS48" i="8"/>
  <c r="TXR48" i="8"/>
  <c r="TXQ48" i="8"/>
  <c r="TXP48" i="8"/>
  <c r="TXO48" i="8"/>
  <c r="TXN48" i="8"/>
  <c r="TXM48" i="8"/>
  <c r="TXL48" i="8"/>
  <c r="TXK48" i="8"/>
  <c r="TXJ48" i="8"/>
  <c r="TXI48" i="8"/>
  <c r="TXH48" i="8"/>
  <c r="TXG48" i="8"/>
  <c r="TXF48" i="8"/>
  <c r="TXE48" i="8"/>
  <c r="TXD48" i="8"/>
  <c r="TXC48" i="8"/>
  <c r="TXB48" i="8"/>
  <c r="TXA48" i="8"/>
  <c r="TWZ48" i="8"/>
  <c r="TWY48" i="8"/>
  <c r="TWX48" i="8"/>
  <c r="TWW48" i="8"/>
  <c r="TWV48" i="8"/>
  <c r="TWU48" i="8"/>
  <c r="TWT48" i="8"/>
  <c r="TWS48" i="8"/>
  <c r="TWR48" i="8"/>
  <c r="TWQ48" i="8"/>
  <c r="TWP48" i="8"/>
  <c r="TWO48" i="8"/>
  <c r="TWN48" i="8"/>
  <c r="TWM48" i="8"/>
  <c r="TWL48" i="8"/>
  <c r="TWK48" i="8"/>
  <c r="TWJ48" i="8"/>
  <c r="TWI48" i="8"/>
  <c r="TWH48" i="8"/>
  <c r="TWG48" i="8"/>
  <c r="TWF48" i="8"/>
  <c r="TWE48" i="8"/>
  <c r="TWD48" i="8"/>
  <c r="TWC48" i="8"/>
  <c r="TWB48" i="8"/>
  <c r="TWA48" i="8"/>
  <c r="TVZ48" i="8"/>
  <c r="TVY48" i="8"/>
  <c r="TVX48" i="8"/>
  <c r="TVW48" i="8"/>
  <c r="TVV48" i="8"/>
  <c r="TVU48" i="8"/>
  <c r="TVT48" i="8"/>
  <c r="TVS48" i="8"/>
  <c r="TVR48" i="8"/>
  <c r="TVQ48" i="8"/>
  <c r="TVP48" i="8"/>
  <c r="TVO48" i="8"/>
  <c r="TVN48" i="8"/>
  <c r="TVM48" i="8"/>
  <c r="TVL48" i="8"/>
  <c r="TVK48" i="8"/>
  <c r="TVJ48" i="8"/>
  <c r="TVI48" i="8"/>
  <c r="TVH48" i="8"/>
  <c r="TVG48" i="8"/>
  <c r="TVF48" i="8"/>
  <c r="TVE48" i="8"/>
  <c r="TVD48" i="8"/>
  <c r="TVC48" i="8"/>
  <c r="TVB48" i="8"/>
  <c r="TVA48" i="8"/>
  <c r="TUZ48" i="8"/>
  <c r="TUY48" i="8"/>
  <c r="TUX48" i="8"/>
  <c r="TUW48" i="8"/>
  <c r="TUV48" i="8"/>
  <c r="TUU48" i="8"/>
  <c r="TUT48" i="8"/>
  <c r="TUS48" i="8"/>
  <c r="TUR48" i="8"/>
  <c r="TUQ48" i="8"/>
  <c r="TUP48" i="8"/>
  <c r="TUO48" i="8"/>
  <c r="TUN48" i="8"/>
  <c r="TUM48" i="8"/>
  <c r="TUL48" i="8"/>
  <c r="TUK48" i="8"/>
  <c r="TUJ48" i="8"/>
  <c r="TUI48" i="8"/>
  <c r="TUH48" i="8"/>
  <c r="TUG48" i="8"/>
  <c r="TUF48" i="8"/>
  <c r="TUE48" i="8"/>
  <c r="TUD48" i="8"/>
  <c r="TUC48" i="8"/>
  <c r="TUB48" i="8"/>
  <c r="TUA48" i="8"/>
  <c r="TTZ48" i="8"/>
  <c r="TTY48" i="8"/>
  <c r="TTX48" i="8"/>
  <c r="TTW48" i="8"/>
  <c r="TTV48" i="8"/>
  <c r="TTU48" i="8"/>
  <c r="TTT48" i="8"/>
  <c r="TTS48" i="8"/>
  <c r="TTR48" i="8"/>
  <c r="TTQ48" i="8"/>
  <c r="TTP48" i="8"/>
  <c r="TTO48" i="8"/>
  <c r="TTN48" i="8"/>
  <c r="TTM48" i="8"/>
  <c r="TTL48" i="8"/>
  <c r="TTK48" i="8"/>
  <c r="TTJ48" i="8"/>
  <c r="TTI48" i="8"/>
  <c r="TTH48" i="8"/>
  <c r="TTG48" i="8"/>
  <c r="TTF48" i="8"/>
  <c r="TTE48" i="8"/>
  <c r="TTD48" i="8"/>
  <c r="TTC48" i="8"/>
  <c r="TTB48" i="8"/>
  <c r="TTA48" i="8"/>
  <c r="TSZ48" i="8"/>
  <c r="TSY48" i="8"/>
  <c r="TSX48" i="8"/>
  <c r="TSW48" i="8"/>
  <c r="TSV48" i="8"/>
  <c r="TSU48" i="8"/>
  <c r="TST48" i="8"/>
  <c r="TSS48" i="8"/>
  <c r="TSR48" i="8"/>
  <c r="TSQ48" i="8"/>
  <c r="TSP48" i="8"/>
  <c r="TSO48" i="8"/>
  <c r="TSN48" i="8"/>
  <c r="TSM48" i="8"/>
  <c r="TSL48" i="8"/>
  <c r="TSK48" i="8"/>
  <c r="TSJ48" i="8"/>
  <c r="TSI48" i="8"/>
  <c r="TSH48" i="8"/>
  <c r="TSG48" i="8"/>
  <c r="TSF48" i="8"/>
  <c r="TSE48" i="8"/>
  <c r="TSD48" i="8"/>
  <c r="TSC48" i="8"/>
  <c r="TSB48" i="8"/>
  <c r="TSA48" i="8"/>
  <c r="TRZ48" i="8"/>
  <c r="TRY48" i="8"/>
  <c r="TRX48" i="8"/>
  <c r="TRW48" i="8"/>
  <c r="TRV48" i="8"/>
  <c r="TRU48" i="8"/>
  <c r="TRT48" i="8"/>
  <c r="TRS48" i="8"/>
  <c r="TRR48" i="8"/>
  <c r="TRQ48" i="8"/>
  <c r="TRP48" i="8"/>
  <c r="TRO48" i="8"/>
  <c r="TRN48" i="8"/>
  <c r="TRM48" i="8"/>
  <c r="TRL48" i="8"/>
  <c r="TRK48" i="8"/>
  <c r="TRJ48" i="8"/>
  <c r="TRI48" i="8"/>
  <c r="TRH48" i="8"/>
  <c r="TRG48" i="8"/>
  <c r="TRF48" i="8"/>
  <c r="TRE48" i="8"/>
  <c r="TRD48" i="8"/>
  <c r="TRC48" i="8"/>
  <c r="TRB48" i="8"/>
  <c r="TRA48" i="8"/>
  <c r="TQZ48" i="8"/>
  <c r="TQY48" i="8"/>
  <c r="TQX48" i="8"/>
  <c r="TQW48" i="8"/>
  <c r="TQV48" i="8"/>
  <c r="TQU48" i="8"/>
  <c r="TQT48" i="8"/>
  <c r="TQS48" i="8"/>
  <c r="TQR48" i="8"/>
  <c r="TQQ48" i="8"/>
  <c r="TQP48" i="8"/>
  <c r="TQO48" i="8"/>
  <c r="TQN48" i="8"/>
  <c r="TQM48" i="8"/>
  <c r="TQL48" i="8"/>
  <c r="TQK48" i="8"/>
  <c r="TQJ48" i="8"/>
  <c r="TQI48" i="8"/>
  <c r="TQH48" i="8"/>
  <c r="TQG48" i="8"/>
  <c r="TQF48" i="8"/>
  <c r="TQE48" i="8"/>
  <c r="TQD48" i="8"/>
  <c r="TQC48" i="8"/>
  <c r="TQB48" i="8"/>
  <c r="TQA48" i="8"/>
  <c r="TPZ48" i="8"/>
  <c r="TPY48" i="8"/>
  <c r="TPX48" i="8"/>
  <c r="TPW48" i="8"/>
  <c r="TPV48" i="8"/>
  <c r="TPU48" i="8"/>
  <c r="TPT48" i="8"/>
  <c r="TPS48" i="8"/>
  <c r="TPR48" i="8"/>
  <c r="TPQ48" i="8"/>
  <c r="TPP48" i="8"/>
  <c r="TPO48" i="8"/>
  <c r="TPN48" i="8"/>
  <c r="TPM48" i="8"/>
  <c r="TPL48" i="8"/>
  <c r="TPK48" i="8"/>
  <c r="TPJ48" i="8"/>
  <c r="TPI48" i="8"/>
  <c r="TPH48" i="8"/>
  <c r="TPG48" i="8"/>
  <c r="TPF48" i="8"/>
  <c r="TPE48" i="8"/>
  <c r="TPD48" i="8"/>
  <c r="TPC48" i="8"/>
  <c r="TPB48" i="8"/>
  <c r="TPA48" i="8"/>
  <c r="TOZ48" i="8"/>
  <c r="TOY48" i="8"/>
  <c r="TOX48" i="8"/>
  <c r="TOW48" i="8"/>
  <c r="TOV48" i="8"/>
  <c r="TOU48" i="8"/>
  <c r="TOT48" i="8"/>
  <c r="TOS48" i="8"/>
  <c r="TOR48" i="8"/>
  <c r="TOQ48" i="8"/>
  <c r="TOP48" i="8"/>
  <c r="TOO48" i="8"/>
  <c r="TON48" i="8"/>
  <c r="TOM48" i="8"/>
  <c r="TOL48" i="8"/>
  <c r="TOK48" i="8"/>
  <c r="TOJ48" i="8"/>
  <c r="TOI48" i="8"/>
  <c r="TOH48" i="8"/>
  <c r="TOG48" i="8"/>
  <c r="TOF48" i="8"/>
  <c r="TOE48" i="8"/>
  <c r="TOD48" i="8"/>
  <c r="TOC48" i="8"/>
  <c r="TOB48" i="8"/>
  <c r="TOA48" i="8"/>
  <c r="TNZ48" i="8"/>
  <c r="TNY48" i="8"/>
  <c r="TNX48" i="8"/>
  <c r="TNW48" i="8"/>
  <c r="TNV48" i="8"/>
  <c r="TNU48" i="8"/>
  <c r="TNT48" i="8"/>
  <c r="TNS48" i="8"/>
  <c r="TNR48" i="8"/>
  <c r="TNQ48" i="8"/>
  <c r="TNP48" i="8"/>
  <c r="TNO48" i="8"/>
  <c r="TNN48" i="8"/>
  <c r="TNM48" i="8"/>
  <c r="TNL48" i="8"/>
  <c r="TNK48" i="8"/>
  <c r="TNJ48" i="8"/>
  <c r="TNI48" i="8"/>
  <c r="TNH48" i="8"/>
  <c r="TNG48" i="8"/>
  <c r="TNF48" i="8"/>
  <c r="TNE48" i="8"/>
  <c r="TND48" i="8"/>
  <c r="TNC48" i="8"/>
  <c r="TNB48" i="8"/>
  <c r="TNA48" i="8"/>
  <c r="TMZ48" i="8"/>
  <c r="TMY48" i="8"/>
  <c r="TMX48" i="8"/>
  <c r="TMW48" i="8"/>
  <c r="TMV48" i="8"/>
  <c r="TMU48" i="8"/>
  <c r="TMT48" i="8"/>
  <c r="TMS48" i="8"/>
  <c r="TMR48" i="8"/>
  <c r="TMQ48" i="8"/>
  <c r="TMP48" i="8"/>
  <c r="TMO48" i="8"/>
  <c r="TMN48" i="8"/>
  <c r="TMM48" i="8"/>
  <c r="TML48" i="8"/>
  <c r="TMK48" i="8"/>
  <c r="TMJ48" i="8"/>
  <c r="TMI48" i="8"/>
  <c r="TMH48" i="8"/>
  <c r="TMG48" i="8"/>
  <c r="TMF48" i="8"/>
  <c r="TME48" i="8"/>
  <c r="TMD48" i="8"/>
  <c r="TMC48" i="8"/>
  <c r="TMB48" i="8"/>
  <c r="TMA48" i="8"/>
  <c r="TLZ48" i="8"/>
  <c r="TLY48" i="8"/>
  <c r="TLX48" i="8"/>
  <c r="TLW48" i="8"/>
  <c r="TLV48" i="8"/>
  <c r="TLU48" i="8"/>
  <c r="TLT48" i="8"/>
  <c r="TLS48" i="8"/>
  <c r="TLR48" i="8"/>
  <c r="TLQ48" i="8"/>
  <c r="TLP48" i="8"/>
  <c r="TLO48" i="8"/>
  <c r="TLN48" i="8"/>
  <c r="TLM48" i="8"/>
  <c r="TLL48" i="8"/>
  <c r="TLK48" i="8"/>
  <c r="TLJ48" i="8"/>
  <c r="TLI48" i="8"/>
  <c r="TLH48" i="8"/>
  <c r="TLG48" i="8"/>
  <c r="TLF48" i="8"/>
  <c r="TLE48" i="8"/>
  <c r="TLD48" i="8"/>
  <c r="TLC48" i="8"/>
  <c r="TLB48" i="8"/>
  <c r="TLA48" i="8"/>
  <c r="TKZ48" i="8"/>
  <c r="TKY48" i="8"/>
  <c r="TKX48" i="8"/>
  <c r="TKW48" i="8"/>
  <c r="TKV48" i="8"/>
  <c r="TKU48" i="8"/>
  <c r="TKT48" i="8"/>
  <c r="TKS48" i="8"/>
  <c r="TKR48" i="8"/>
  <c r="TKQ48" i="8"/>
  <c r="TKP48" i="8"/>
  <c r="TKO48" i="8"/>
  <c r="TKN48" i="8"/>
  <c r="TKM48" i="8"/>
  <c r="TKL48" i="8"/>
  <c r="TKK48" i="8"/>
  <c r="TKJ48" i="8"/>
  <c r="TKI48" i="8"/>
  <c r="TKH48" i="8"/>
  <c r="TKG48" i="8"/>
  <c r="TKF48" i="8"/>
  <c r="TKE48" i="8"/>
  <c r="TKD48" i="8"/>
  <c r="TKC48" i="8"/>
  <c r="TKB48" i="8"/>
  <c r="TKA48" i="8"/>
  <c r="TJZ48" i="8"/>
  <c r="TJY48" i="8"/>
  <c r="TJX48" i="8"/>
  <c r="TJW48" i="8"/>
  <c r="TJV48" i="8"/>
  <c r="TJU48" i="8"/>
  <c r="TJT48" i="8"/>
  <c r="TJS48" i="8"/>
  <c r="TJR48" i="8"/>
  <c r="TJQ48" i="8"/>
  <c r="TJP48" i="8"/>
  <c r="TJO48" i="8"/>
  <c r="TJN48" i="8"/>
  <c r="TJM48" i="8"/>
  <c r="TJL48" i="8"/>
  <c r="TJK48" i="8"/>
  <c r="TJJ48" i="8"/>
  <c r="TJI48" i="8"/>
  <c r="TJH48" i="8"/>
  <c r="TJG48" i="8"/>
  <c r="TJF48" i="8"/>
  <c r="TJE48" i="8"/>
  <c r="TJD48" i="8"/>
  <c r="TJC48" i="8"/>
  <c r="TJB48" i="8"/>
  <c r="TJA48" i="8"/>
  <c r="TIZ48" i="8"/>
  <c r="TIY48" i="8"/>
  <c r="TIX48" i="8"/>
  <c r="TIW48" i="8"/>
  <c r="TIV48" i="8"/>
  <c r="TIU48" i="8"/>
  <c r="TIT48" i="8"/>
  <c r="TIS48" i="8"/>
  <c r="TIR48" i="8"/>
  <c r="TIQ48" i="8"/>
  <c r="TIP48" i="8"/>
  <c r="TIO48" i="8"/>
  <c r="TIN48" i="8"/>
  <c r="TIM48" i="8"/>
  <c r="TIL48" i="8"/>
  <c r="TIK48" i="8"/>
  <c r="TIJ48" i="8"/>
  <c r="TII48" i="8"/>
  <c r="TIH48" i="8"/>
  <c r="TIG48" i="8"/>
  <c r="TIF48" i="8"/>
  <c r="TIE48" i="8"/>
  <c r="TID48" i="8"/>
  <c r="TIC48" i="8"/>
  <c r="TIB48" i="8"/>
  <c r="TIA48" i="8"/>
  <c r="THZ48" i="8"/>
  <c r="THY48" i="8"/>
  <c r="THX48" i="8"/>
  <c r="THW48" i="8"/>
  <c r="THV48" i="8"/>
  <c r="THU48" i="8"/>
  <c r="THT48" i="8"/>
  <c r="THS48" i="8"/>
  <c r="THR48" i="8"/>
  <c r="THQ48" i="8"/>
  <c r="THP48" i="8"/>
  <c r="THO48" i="8"/>
  <c r="THN48" i="8"/>
  <c r="THM48" i="8"/>
  <c r="THL48" i="8"/>
  <c r="THK48" i="8"/>
  <c r="THJ48" i="8"/>
  <c r="THI48" i="8"/>
  <c r="THH48" i="8"/>
  <c r="THG48" i="8"/>
  <c r="THF48" i="8"/>
  <c r="THE48" i="8"/>
  <c r="THD48" i="8"/>
  <c r="THC48" i="8"/>
  <c r="THB48" i="8"/>
  <c r="THA48" i="8"/>
  <c r="TGZ48" i="8"/>
  <c r="TGY48" i="8"/>
  <c r="TGX48" i="8"/>
  <c r="TGW48" i="8"/>
  <c r="TGV48" i="8"/>
  <c r="TGU48" i="8"/>
  <c r="TGT48" i="8"/>
  <c r="TGS48" i="8"/>
  <c r="TGR48" i="8"/>
  <c r="TGQ48" i="8"/>
  <c r="TGP48" i="8"/>
  <c r="TGO48" i="8"/>
  <c r="TGN48" i="8"/>
  <c r="TGM48" i="8"/>
  <c r="TGL48" i="8"/>
  <c r="TGK48" i="8"/>
  <c r="TGJ48" i="8"/>
  <c r="TGI48" i="8"/>
  <c r="TGH48" i="8"/>
  <c r="TGG48" i="8"/>
  <c r="TGF48" i="8"/>
  <c r="TGE48" i="8"/>
  <c r="TGD48" i="8"/>
  <c r="TGC48" i="8"/>
  <c r="TGB48" i="8"/>
  <c r="TGA48" i="8"/>
  <c r="TFZ48" i="8"/>
  <c r="TFY48" i="8"/>
  <c r="TFX48" i="8"/>
  <c r="TFW48" i="8"/>
  <c r="TFV48" i="8"/>
  <c r="TFU48" i="8"/>
  <c r="TFT48" i="8"/>
  <c r="TFS48" i="8"/>
  <c r="TFR48" i="8"/>
  <c r="TFQ48" i="8"/>
  <c r="TFP48" i="8"/>
  <c r="TFO48" i="8"/>
  <c r="TFN48" i="8"/>
  <c r="TFM48" i="8"/>
  <c r="TFL48" i="8"/>
  <c r="TFK48" i="8"/>
  <c r="TFJ48" i="8"/>
  <c r="TFI48" i="8"/>
  <c r="TFH48" i="8"/>
  <c r="TFG48" i="8"/>
  <c r="TFF48" i="8"/>
  <c r="TFE48" i="8"/>
  <c r="TFD48" i="8"/>
  <c r="TFC48" i="8"/>
  <c r="TFB48" i="8"/>
  <c r="TFA48" i="8"/>
  <c r="TEZ48" i="8"/>
  <c r="TEY48" i="8"/>
  <c r="TEX48" i="8"/>
  <c r="TEW48" i="8"/>
  <c r="TEV48" i="8"/>
  <c r="TEU48" i="8"/>
  <c r="TET48" i="8"/>
  <c r="TES48" i="8"/>
  <c r="TER48" i="8"/>
  <c r="TEQ48" i="8"/>
  <c r="TEP48" i="8"/>
  <c r="TEO48" i="8"/>
  <c r="TEN48" i="8"/>
  <c r="TEM48" i="8"/>
  <c r="TEL48" i="8"/>
  <c r="TEK48" i="8"/>
  <c r="TEJ48" i="8"/>
  <c r="TEI48" i="8"/>
  <c r="TEH48" i="8"/>
  <c r="TEG48" i="8"/>
  <c r="TEF48" i="8"/>
  <c r="TEE48" i="8"/>
  <c r="TED48" i="8"/>
  <c r="TEC48" i="8"/>
  <c r="TEB48" i="8"/>
  <c r="TEA48" i="8"/>
  <c r="TDZ48" i="8"/>
  <c r="TDY48" i="8"/>
  <c r="TDX48" i="8"/>
  <c r="TDW48" i="8"/>
  <c r="TDV48" i="8"/>
  <c r="TDU48" i="8"/>
  <c r="TDT48" i="8"/>
  <c r="TDS48" i="8"/>
  <c r="TDR48" i="8"/>
  <c r="TDQ48" i="8"/>
  <c r="TDP48" i="8"/>
  <c r="TDO48" i="8"/>
  <c r="TDN48" i="8"/>
  <c r="TDM48" i="8"/>
  <c r="TDL48" i="8"/>
  <c r="TDK48" i="8"/>
  <c r="TDJ48" i="8"/>
  <c r="TDI48" i="8"/>
  <c r="TDH48" i="8"/>
  <c r="TDG48" i="8"/>
  <c r="TDF48" i="8"/>
  <c r="TDE48" i="8"/>
  <c r="TDD48" i="8"/>
  <c r="TDC48" i="8"/>
  <c r="TDB48" i="8"/>
  <c r="TDA48" i="8"/>
  <c r="TCZ48" i="8"/>
  <c r="TCY48" i="8"/>
  <c r="TCX48" i="8"/>
  <c r="TCW48" i="8"/>
  <c r="TCV48" i="8"/>
  <c r="TCU48" i="8"/>
  <c r="TCT48" i="8"/>
  <c r="TCS48" i="8"/>
  <c r="TCR48" i="8"/>
  <c r="TCQ48" i="8"/>
  <c r="TCP48" i="8"/>
  <c r="TCO48" i="8"/>
  <c r="TCN48" i="8"/>
  <c r="TCM48" i="8"/>
  <c r="TCL48" i="8"/>
  <c r="TCK48" i="8"/>
  <c r="TCJ48" i="8"/>
  <c r="TCI48" i="8"/>
  <c r="TCH48" i="8"/>
  <c r="TCG48" i="8"/>
  <c r="TCF48" i="8"/>
  <c r="TCE48" i="8"/>
  <c r="TCD48" i="8"/>
  <c r="TCC48" i="8"/>
  <c r="TCB48" i="8"/>
  <c r="TCA48" i="8"/>
  <c r="TBZ48" i="8"/>
  <c r="TBY48" i="8"/>
  <c r="TBX48" i="8"/>
  <c r="TBW48" i="8"/>
  <c r="TBV48" i="8"/>
  <c r="TBU48" i="8"/>
  <c r="TBT48" i="8"/>
  <c r="TBS48" i="8"/>
  <c r="TBR48" i="8"/>
  <c r="TBQ48" i="8"/>
  <c r="TBP48" i="8"/>
  <c r="TBO48" i="8"/>
  <c r="TBN48" i="8"/>
  <c r="TBM48" i="8"/>
  <c r="TBL48" i="8"/>
  <c r="TBK48" i="8"/>
  <c r="TBJ48" i="8"/>
  <c r="TBI48" i="8"/>
  <c r="TBH48" i="8"/>
  <c r="TBG48" i="8"/>
  <c r="TBF48" i="8"/>
  <c r="TBE48" i="8"/>
  <c r="TBD48" i="8"/>
  <c r="TBC48" i="8"/>
  <c r="TBB48" i="8"/>
  <c r="TBA48" i="8"/>
  <c r="TAZ48" i="8"/>
  <c r="TAY48" i="8"/>
  <c r="TAX48" i="8"/>
  <c r="TAW48" i="8"/>
  <c r="TAV48" i="8"/>
  <c r="TAU48" i="8"/>
  <c r="TAT48" i="8"/>
  <c r="TAS48" i="8"/>
  <c r="TAR48" i="8"/>
  <c r="TAQ48" i="8"/>
  <c r="TAP48" i="8"/>
  <c r="TAO48" i="8"/>
  <c r="TAN48" i="8"/>
  <c r="TAM48" i="8"/>
  <c r="TAL48" i="8"/>
  <c r="TAK48" i="8"/>
  <c r="TAJ48" i="8"/>
  <c r="TAI48" i="8"/>
  <c r="TAH48" i="8"/>
  <c r="TAG48" i="8"/>
  <c r="TAF48" i="8"/>
  <c r="TAE48" i="8"/>
  <c r="TAD48" i="8"/>
  <c r="TAC48" i="8"/>
  <c r="TAB48" i="8"/>
  <c r="TAA48" i="8"/>
  <c r="SZZ48" i="8"/>
  <c r="SZY48" i="8"/>
  <c r="SZX48" i="8"/>
  <c r="SZW48" i="8"/>
  <c r="SZV48" i="8"/>
  <c r="SZU48" i="8"/>
  <c r="SZT48" i="8"/>
  <c r="SZS48" i="8"/>
  <c r="SZR48" i="8"/>
  <c r="SZQ48" i="8"/>
  <c r="SZP48" i="8"/>
  <c r="SZO48" i="8"/>
  <c r="SZN48" i="8"/>
  <c r="SZM48" i="8"/>
  <c r="SZL48" i="8"/>
  <c r="SZK48" i="8"/>
  <c r="SZJ48" i="8"/>
  <c r="SZI48" i="8"/>
  <c r="SZH48" i="8"/>
  <c r="SZG48" i="8"/>
  <c r="SZF48" i="8"/>
  <c r="SZE48" i="8"/>
  <c r="SZD48" i="8"/>
  <c r="SZC48" i="8"/>
  <c r="SZB48" i="8"/>
  <c r="SZA48" i="8"/>
  <c r="SYZ48" i="8"/>
  <c r="SYY48" i="8"/>
  <c r="SYX48" i="8"/>
  <c r="SYW48" i="8"/>
  <c r="SYV48" i="8"/>
  <c r="SYU48" i="8"/>
  <c r="SYT48" i="8"/>
  <c r="SYS48" i="8"/>
  <c r="SYR48" i="8"/>
  <c r="SYQ48" i="8"/>
  <c r="SYP48" i="8"/>
  <c r="SYO48" i="8"/>
  <c r="SYN48" i="8"/>
  <c r="SYM48" i="8"/>
  <c r="SYL48" i="8"/>
  <c r="SYK48" i="8"/>
  <c r="SYJ48" i="8"/>
  <c r="SYI48" i="8"/>
  <c r="SYH48" i="8"/>
  <c r="SYG48" i="8"/>
  <c r="SYF48" i="8"/>
  <c r="SYE48" i="8"/>
  <c r="SYD48" i="8"/>
  <c r="SYC48" i="8"/>
  <c r="SYB48" i="8"/>
  <c r="SYA48" i="8"/>
  <c r="SXZ48" i="8"/>
  <c r="SXY48" i="8"/>
  <c r="SXX48" i="8"/>
  <c r="SXW48" i="8"/>
  <c r="SXV48" i="8"/>
  <c r="SXU48" i="8"/>
  <c r="SXT48" i="8"/>
  <c r="SXS48" i="8"/>
  <c r="SXR48" i="8"/>
  <c r="SXQ48" i="8"/>
  <c r="SXP48" i="8"/>
  <c r="SXO48" i="8"/>
  <c r="SXN48" i="8"/>
  <c r="SXM48" i="8"/>
  <c r="SXL48" i="8"/>
  <c r="SXK48" i="8"/>
  <c r="SXJ48" i="8"/>
  <c r="SXI48" i="8"/>
  <c r="SXH48" i="8"/>
  <c r="SXG48" i="8"/>
  <c r="SXF48" i="8"/>
  <c r="SXE48" i="8"/>
  <c r="SXD48" i="8"/>
  <c r="SXC48" i="8"/>
  <c r="SXB48" i="8"/>
  <c r="SXA48" i="8"/>
  <c r="SWZ48" i="8"/>
  <c r="SWY48" i="8"/>
  <c r="SWX48" i="8"/>
  <c r="SWW48" i="8"/>
  <c r="SWV48" i="8"/>
  <c r="SWU48" i="8"/>
  <c r="SWT48" i="8"/>
  <c r="SWS48" i="8"/>
  <c r="SWR48" i="8"/>
  <c r="SWQ48" i="8"/>
  <c r="SWP48" i="8"/>
  <c r="SWO48" i="8"/>
  <c r="SWN48" i="8"/>
  <c r="SWM48" i="8"/>
  <c r="SWL48" i="8"/>
  <c r="SWK48" i="8"/>
  <c r="SWJ48" i="8"/>
  <c r="SWI48" i="8"/>
  <c r="SWH48" i="8"/>
  <c r="SWG48" i="8"/>
  <c r="SWF48" i="8"/>
  <c r="SWE48" i="8"/>
  <c r="SWD48" i="8"/>
  <c r="SWC48" i="8"/>
  <c r="SWB48" i="8"/>
  <c r="SWA48" i="8"/>
  <c r="SVZ48" i="8"/>
  <c r="SVY48" i="8"/>
  <c r="SVX48" i="8"/>
  <c r="SVW48" i="8"/>
  <c r="SVV48" i="8"/>
  <c r="SVU48" i="8"/>
  <c r="SVT48" i="8"/>
  <c r="SVS48" i="8"/>
  <c r="SVR48" i="8"/>
  <c r="SVQ48" i="8"/>
  <c r="SVP48" i="8"/>
  <c r="SVO48" i="8"/>
  <c r="SVN48" i="8"/>
  <c r="SVM48" i="8"/>
  <c r="SVL48" i="8"/>
  <c r="SVK48" i="8"/>
  <c r="SVJ48" i="8"/>
  <c r="SVI48" i="8"/>
  <c r="SVH48" i="8"/>
  <c r="SVG48" i="8"/>
  <c r="SVF48" i="8"/>
  <c r="SVE48" i="8"/>
  <c r="SVD48" i="8"/>
  <c r="SVC48" i="8"/>
  <c r="SVB48" i="8"/>
  <c r="SVA48" i="8"/>
  <c r="SUZ48" i="8"/>
  <c r="SUY48" i="8"/>
  <c r="SUX48" i="8"/>
  <c r="SUW48" i="8"/>
  <c r="SUV48" i="8"/>
  <c r="SUU48" i="8"/>
  <c r="SUT48" i="8"/>
  <c r="SUS48" i="8"/>
  <c r="SUR48" i="8"/>
  <c r="SUQ48" i="8"/>
  <c r="SUP48" i="8"/>
  <c r="SUO48" i="8"/>
  <c r="SUN48" i="8"/>
  <c r="SUM48" i="8"/>
  <c r="SUL48" i="8"/>
  <c r="SUK48" i="8"/>
  <c r="SUJ48" i="8"/>
  <c r="SUI48" i="8"/>
  <c r="SUH48" i="8"/>
  <c r="SUG48" i="8"/>
  <c r="SUF48" i="8"/>
  <c r="SUE48" i="8"/>
  <c r="SUD48" i="8"/>
  <c r="SUC48" i="8"/>
  <c r="SUB48" i="8"/>
  <c r="SUA48" i="8"/>
  <c r="STZ48" i="8"/>
  <c r="STY48" i="8"/>
  <c r="STX48" i="8"/>
  <c r="STW48" i="8"/>
  <c r="STV48" i="8"/>
  <c r="STU48" i="8"/>
  <c r="STT48" i="8"/>
  <c r="STS48" i="8"/>
  <c r="STR48" i="8"/>
  <c r="STQ48" i="8"/>
  <c r="STP48" i="8"/>
  <c r="STO48" i="8"/>
  <c r="STN48" i="8"/>
  <c r="STM48" i="8"/>
  <c r="STL48" i="8"/>
  <c r="STK48" i="8"/>
  <c r="STJ48" i="8"/>
  <c r="STI48" i="8"/>
  <c r="STH48" i="8"/>
  <c r="STG48" i="8"/>
  <c r="STF48" i="8"/>
  <c r="STE48" i="8"/>
  <c r="STD48" i="8"/>
  <c r="STC48" i="8"/>
  <c r="STB48" i="8"/>
  <c r="STA48" i="8"/>
  <c r="SSZ48" i="8"/>
  <c r="SSY48" i="8"/>
  <c r="SSX48" i="8"/>
  <c r="SSW48" i="8"/>
  <c r="SSV48" i="8"/>
  <c r="SSU48" i="8"/>
  <c r="SST48" i="8"/>
  <c r="SSS48" i="8"/>
  <c r="SSR48" i="8"/>
  <c r="SSQ48" i="8"/>
  <c r="SSP48" i="8"/>
  <c r="SSO48" i="8"/>
  <c r="SSN48" i="8"/>
  <c r="SSM48" i="8"/>
  <c r="SSL48" i="8"/>
  <c r="SSK48" i="8"/>
  <c r="SSJ48" i="8"/>
  <c r="SSI48" i="8"/>
  <c r="SSH48" i="8"/>
  <c r="SSG48" i="8"/>
  <c r="SSF48" i="8"/>
  <c r="SSE48" i="8"/>
  <c r="SSD48" i="8"/>
  <c r="SSC48" i="8"/>
  <c r="SSB48" i="8"/>
  <c r="SSA48" i="8"/>
  <c r="SRZ48" i="8"/>
  <c r="SRY48" i="8"/>
  <c r="SRX48" i="8"/>
  <c r="SRW48" i="8"/>
  <c r="SRV48" i="8"/>
  <c r="SRU48" i="8"/>
  <c r="SRT48" i="8"/>
  <c r="SRS48" i="8"/>
  <c r="SRR48" i="8"/>
  <c r="SRQ48" i="8"/>
  <c r="SRP48" i="8"/>
  <c r="SRO48" i="8"/>
  <c r="SRN48" i="8"/>
  <c r="SRM48" i="8"/>
  <c r="SRL48" i="8"/>
  <c r="SRK48" i="8"/>
  <c r="SRJ48" i="8"/>
  <c r="SRI48" i="8"/>
  <c r="SRH48" i="8"/>
  <c r="SRG48" i="8"/>
  <c r="SRF48" i="8"/>
  <c r="SRE48" i="8"/>
  <c r="SRD48" i="8"/>
  <c r="SRC48" i="8"/>
  <c r="SRB48" i="8"/>
  <c r="SRA48" i="8"/>
  <c r="SQZ48" i="8"/>
  <c r="SQY48" i="8"/>
  <c r="SQX48" i="8"/>
  <c r="SQW48" i="8"/>
  <c r="SQV48" i="8"/>
  <c r="SQU48" i="8"/>
  <c r="SQT48" i="8"/>
  <c r="SQS48" i="8"/>
  <c r="SQR48" i="8"/>
  <c r="SQQ48" i="8"/>
  <c r="SQP48" i="8"/>
  <c r="SQO48" i="8"/>
  <c r="SQN48" i="8"/>
  <c r="SQM48" i="8"/>
  <c r="SQL48" i="8"/>
  <c r="SQK48" i="8"/>
  <c r="SQJ48" i="8"/>
  <c r="SQI48" i="8"/>
  <c r="SQH48" i="8"/>
  <c r="SQG48" i="8"/>
  <c r="SQF48" i="8"/>
  <c r="SQE48" i="8"/>
  <c r="SQD48" i="8"/>
  <c r="SQC48" i="8"/>
  <c r="SQB48" i="8"/>
  <c r="SQA48" i="8"/>
  <c r="SPZ48" i="8"/>
  <c r="SPY48" i="8"/>
  <c r="SPX48" i="8"/>
  <c r="SPW48" i="8"/>
  <c r="SPV48" i="8"/>
  <c r="SPU48" i="8"/>
  <c r="SPT48" i="8"/>
  <c r="SPS48" i="8"/>
  <c r="SPR48" i="8"/>
  <c r="SPQ48" i="8"/>
  <c r="SPP48" i="8"/>
  <c r="SPO48" i="8"/>
  <c r="SPN48" i="8"/>
  <c r="SPM48" i="8"/>
  <c r="SPL48" i="8"/>
  <c r="SPK48" i="8"/>
  <c r="SPJ48" i="8"/>
  <c r="SPI48" i="8"/>
  <c r="SPH48" i="8"/>
  <c r="SPG48" i="8"/>
  <c r="SPF48" i="8"/>
  <c r="SPE48" i="8"/>
  <c r="SPD48" i="8"/>
  <c r="SPC48" i="8"/>
  <c r="SPB48" i="8"/>
  <c r="SPA48" i="8"/>
  <c r="SOZ48" i="8"/>
  <c r="SOY48" i="8"/>
  <c r="SOX48" i="8"/>
  <c r="SOW48" i="8"/>
  <c r="SOV48" i="8"/>
  <c r="SOU48" i="8"/>
  <c r="SOT48" i="8"/>
  <c r="SOS48" i="8"/>
  <c r="SOR48" i="8"/>
  <c r="SOQ48" i="8"/>
  <c r="SOP48" i="8"/>
  <c r="SOO48" i="8"/>
  <c r="SON48" i="8"/>
  <c r="SOM48" i="8"/>
  <c r="SOL48" i="8"/>
  <c r="SOK48" i="8"/>
  <c r="SOJ48" i="8"/>
  <c r="SOI48" i="8"/>
  <c r="SOH48" i="8"/>
  <c r="SOG48" i="8"/>
  <c r="SOF48" i="8"/>
  <c r="SOE48" i="8"/>
  <c r="SOD48" i="8"/>
  <c r="SOC48" i="8"/>
  <c r="SOB48" i="8"/>
  <c r="SOA48" i="8"/>
  <c r="SNZ48" i="8"/>
  <c r="SNY48" i="8"/>
  <c r="SNX48" i="8"/>
  <c r="SNW48" i="8"/>
  <c r="SNV48" i="8"/>
  <c r="SNU48" i="8"/>
  <c r="SNT48" i="8"/>
  <c r="SNS48" i="8"/>
  <c r="SNR48" i="8"/>
  <c r="SNQ48" i="8"/>
  <c r="SNP48" i="8"/>
  <c r="SNO48" i="8"/>
  <c r="SNN48" i="8"/>
  <c r="SNM48" i="8"/>
  <c r="SNL48" i="8"/>
  <c r="SNK48" i="8"/>
  <c r="SNJ48" i="8"/>
  <c r="SNI48" i="8"/>
  <c r="SNH48" i="8"/>
  <c r="SNG48" i="8"/>
  <c r="SNF48" i="8"/>
  <c r="SNE48" i="8"/>
  <c r="SND48" i="8"/>
  <c r="SNC48" i="8"/>
  <c r="SNB48" i="8"/>
  <c r="SNA48" i="8"/>
  <c r="SMZ48" i="8"/>
  <c r="SMY48" i="8"/>
  <c r="SMX48" i="8"/>
  <c r="SMW48" i="8"/>
  <c r="SMV48" i="8"/>
  <c r="SMU48" i="8"/>
  <c r="SMT48" i="8"/>
  <c r="SMS48" i="8"/>
  <c r="SMR48" i="8"/>
  <c r="SMQ48" i="8"/>
  <c r="SMP48" i="8"/>
  <c r="SMO48" i="8"/>
  <c r="SMN48" i="8"/>
  <c r="SMM48" i="8"/>
  <c r="SML48" i="8"/>
  <c r="SMK48" i="8"/>
  <c r="SMJ48" i="8"/>
  <c r="SMI48" i="8"/>
  <c r="SMH48" i="8"/>
  <c r="SMG48" i="8"/>
  <c r="SMF48" i="8"/>
  <c r="SME48" i="8"/>
  <c r="SMD48" i="8"/>
  <c r="SMC48" i="8"/>
  <c r="SMB48" i="8"/>
  <c r="SMA48" i="8"/>
  <c r="SLZ48" i="8"/>
  <c r="SLY48" i="8"/>
  <c r="SLX48" i="8"/>
  <c r="SLW48" i="8"/>
  <c r="SLV48" i="8"/>
  <c r="SLU48" i="8"/>
  <c r="SLT48" i="8"/>
  <c r="SLS48" i="8"/>
  <c r="SLR48" i="8"/>
  <c r="SLQ48" i="8"/>
  <c r="SLP48" i="8"/>
  <c r="SLO48" i="8"/>
  <c r="SLN48" i="8"/>
  <c r="SLM48" i="8"/>
  <c r="SLL48" i="8"/>
  <c r="SLK48" i="8"/>
  <c r="SLJ48" i="8"/>
  <c r="SLI48" i="8"/>
  <c r="SLH48" i="8"/>
  <c r="SLG48" i="8"/>
  <c r="SLF48" i="8"/>
  <c r="SLE48" i="8"/>
  <c r="SLD48" i="8"/>
  <c r="SLC48" i="8"/>
  <c r="SLB48" i="8"/>
  <c r="SLA48" i="8"/>
  <c r="SKZ48" i="8"/>
  <c r="SKY48" i="8"/>
  <c r="SKX48" i="8"/>
  <c r="SKW48" i="8"/>
  <c r="SKV48" i="8"/>
  <c r="SKU48" i="8"/>
  <c r="SKT48" i="8"/>
  <c r="SKS48" i="8"/>
  <c r="SKR48" i="8"/>
  <c r="SKQ48" i="8"/>
  <c r="SKP48" i="8"/>
  <c r="SKO48" i="8"/>
  <c r="SKN48" i="8"/>
  <c r="SKM48" i="8"/>
  <c r="SKL48" i="8"/>
  <c r="SKK48" i="8"/>
  <c r="SKJ48" i="8"/>
  <c r="SKI48" i="8"/>
  <c r="SKH48" i="8"/>
  <c r="SKG48" i="8"/>
  <c r="SKF48" i="8"/>
  <c r="SKE48" i="8"/>
  <c r="SKD48" i="8"/>
  <c r="SKC48" i="8"/>
  <c r="SKB48" i="8"/>
  <c r="SKA48" i="8"/>
  <c r="SJZ48" i="8"/>
  <c r="SJY48" i="8"/>
  <c r="SJX48" i="8"/>
  <c r="SJW48" i="8"/>
  <c r="SJV48" i="8"/>
  <c r="SJU48" i="8"/>
  <c r="SJT48" i="8"/>
  <c r="SJS48" i="8"/>
  <c r="SJR48" i="8"/>
  <c r="SJQ48" i="8"/>
  <c r="SJP48" i="8"/>
  <c r="SJO48" i="8"/>
  <c r="SJN48" i="8"/>
  <c r="SJM48" i="8"/>
  <c r="SJL48" i="8"/>
  <c r="SJK48" i="8"/>
  <c r="SJJ48" i="8"/>
  <c r="SJI48" i="8"/>
  <c r="SJH48" i="8"/>
  <c r="SJG48" i="8"/>
  <c r="SJF48" i="8"/>
  <c r="SJE48" i="8"/>
  <c r="SJD48" i="8"/>
  <c r="SJC48" i="8"/>
  <c r="SJB48" i="8"/>
  <c r="SJA48" i="8"/>
  <c r="SIZ48" i="8"/>
  <c r="SIY48" i="8"/>
  <c r="SIX48" i="8"/>
  <c r="SIW48" i="8"/>
  <c r="SIV48" i="8"/>
  <c r="SIU48" i="8"/>
  <c r="SIT48" i="8"/>
  <c r="SIS48" i="8"/>
  <c r="SIR48" i="8"/>
  <c r="SIQ48" i="8"/>
  <c r="SIP48" i="8"/>
  <c r="SIO48" i="8"/>
  <c r="SIN48" i="8"/>
  <c r="SIM48" i="8"/>
  <c r="SIL48" i="8"/>
  <c r="SIK48" i="8"/>
  <c r="SIJ48" i="8"/>
  <c r="SII48" i="8"/>
  <c r="SIH48" i="8"/>
  <c r="SIG48" i="8"/>
  <c r="SIF48" i="8"/>
  <c r="SIE48" i="8"/>
  <c r="SID48" i="8"/>
  <c r="SIC48" i="8"/>
  <c r="SIB48" i="8"/>
  <c r="SIA48" i="8"/>
  <c r="SHZ48" i="8"/>
  <c r="SHY48" i="8"/>
  <c r="SHX48" i="8"/>
  <c r="SHW48" i="8"/>
  <c r="SHV48" i="8"/>
  <c r="SHU48" i="8"/>
  <c r="SHT48" i="8"/>
  <c r="SHS48" i="8"/>
  <c r="SHR48" i="8"/>
  <c r="SHQ48" i="8"/>
  <c r="SHP48" i="8"/>
  <c r="SHO48" i="8"/>
  <c r="SHN48" i="8"/>
  <c r="SHM48" i="8"/>
  <c r="SHL48" i="8"/>
  <c r="SHK48" i="8"/>
  <c r="SHJ48" i="8"/>
  <c r="SHI48" i="8"/>
  <c r="SHH48" i="8"/>
  <c r="SHG48" i="8"/>
  <c r="SHF48" i="8"/>
  <c r="SHE48" i="8"/>
  <c r="SHD48" i="8"/>
  <c r="SHC48" i="8"/>
  <c r="SHB48" i="8"/>
  <c r="SHA48" i="8"/>
  <c r="SGZ48" i="8"/>
  <c r="SGY48" i="8"/>
  <c r="SGX48" i="8"/>
  <c r="SGW48" i="8"/>
  <c r="SGV48" i="8"/>
  <c r="SGU48" i="8"/>
  <c r="SGT48" i="8"/>
  <c r="SGS48" i="8"/>
  <c r="SGR48" i="8"/>
  <c r="SGQ48" i="8"/>
  <c r="SGP48" i="8"/>
  <c r="SGO48" i="8"/>
  <c r="SGN48" i="8"/>
  <c r="SGM48" i="8"/>
  <c r="SGL48" i="8"/>
  <c r="SGK48" i="8"/>
  <c r="SGJ48" i="8"/>
  <c r="SGI48" i="8"/>
  <c r="SGH48" i="8"/>
  <c r="SGG48" i="8"/>
  <c r="SGF48" i="8"/>
  <c r="SGE48" i="8"/>
  <c r="SGD48" i="8"/>
  <c r="SGC48" i="8"/>
  <c r="SGB48" i="8"/>
  <c r="SGA48" i="8"/>
  <c r="SFZ48" i="8"/>
  <c r="SFY48" i="8"/>
  <c r="SFX48" i="8"/>
  <c r="SFW48" i="8"/>
  <c r="SFV48" i="8"/>
  <c r="SFU48" i="8"/>
  <c r="SFT48" i="8"/>
  <c r="SFS48" i="8"/>
  <c r="SFR48" i="8"/>
  <c r="SFQ48" i="8"/>
  <c r="SFP48" i="8"/>
  <c r="SFO48" i="8"/>
  <c r="SFN48" i="8"/>
  <c r="SFM48" i="8"/>
  <c r="SFL48" i="8"/>
  <c r="SFK48" i="8"/>
  <c r="SFJ48" i="8"/>
  <c r="SFI48" i="8"/>
  <c r="SFH48" i="8"/>
  <c r="SFG48" i="8"/>
  <c r="SFF48" i="8"/>
  <c r="SFE48" i="8"/>
  <c r="SFD48" i="8"/>
  <c r="SFC48" i="8"/>
  <c r="SFB48" i="8"/>
  <c r="SFA48" i="8"/>
  <c r="SEZ48" i="8"/>
  <c r="SEY48" i="8"/>
  <c r="SEX48" i="8"/>
  <c r="SEW48" i="8"/>
  <c r="SEV48" i="8"/>
  <c r="SEU48" i="8"/>
  <c r="SET48" i="8"/>
  <c r="SES48" i="8"/>
  <c r="SER48" i="8"/>
  <c r="SEQ48" i="8"/>
  <c r="SEP48" i="8"/>
  <c r="SEO48" i="8"/>
  <c r="SEN48" i="8"/>
  <c r="SEM48" i="8"/>
  <c r="SEL48" i="8"/>
  <c r="SEK48" i="8"/>
  <c r="SEJ48" i="8"/>
  <c r="SEI48" i="8"/>
  <c r="SEH48" i="8"/>
  <c r="SEG48" i="8"/>
  <c r="SEF48" i="8"/>
  <c r="SEE48" i="8"/>
  <c r="SED48" i="8"/>
  <c r="SEC48" i="8"/>
  <c r="SEB48" i="8"/>
  <c r="SEA48" i="8"/>
  <c r="SDZ48" i="8"/>
  <c r="SDY48" i="8"/>
  <c r="SDX48" i="8"/>
  <c r="SDW48" i="8"/>
  <c r="SDV48" i="8"/>
  <c r="SDU48" i="8"/>
  <c r="SDT48" i="8"/>
  <c r="SDS48" i="8"/>
  <c r="SDR48" i="8"/>
  <c r="SDQ48" i="8"/>
  <c r="SDP48" i="8"/>
  <c r="SDO48" i="8"/>
  <c r="SDN48" i="8"/>
  <c r="SDM48" i="8"/>
  <c r="SDL48" i="8"/>
  <c r="SDK48" i="8"/>
  <c r="SDJ48" i="8"/>
  <c r="SDI48" i="8"/>
  <c r="SDH48" i="8"/>
  <c r="SDG48" i="8"/>
  <c r="SDF48" i="8"/>
  <c r="SDE48" i="8"/>
  <c r="SDD48" i="8"/>
  <c r="SDC48" i="8"/>
  <c r="SDB48" i="8"/>
  <c r="SDA48" i="8"/>
  <c r="SCZ48" i="8"/>
  <c r="SCY48" i="8"/>
  <c r="SCX48" i="8"/>
  <c r="SCW48" i="8"/>
  <c r="SCV48" i="8"/>
  <c r="SCU48" i="8"/>
  <c r="SCT48" i="8"/>
  <c r="SCS48" i="8"/>
  <c r="SCR48" i="8"/>
  <c r="SCQ48" i="8"/>
  <c r="SCP48" i="8"/>
  <c r="SCO48" i="8"/>
  <c r="SCN48" i="8"/>
  <c r="SCM48" i="8"/>
  <c r="SCL48" i="8"/>
  <c r="SCK48" i="8"/>
  <c r="SCJ48" i="8"/>
  <c r="SCI48" i="8"/>
  <c r="SCH48" i="8"/>
  <c r="SCG48" i="8"/>
  <c r="SCF48" i="8"/>
  <c r="SCE48" i="8"/>
  <c r="SCD48" i="8"/>
  <c r="SCC48" i="8"/>
  <c r="SCB48" i="8"/>
  <c r="SCA48" i="8"/>
  <c r="SBZ48" i="8"/>
  <c r="SBY48" i="8"/>
  <c r="SBX48" i="8"/>
  <c r="SBW48" i="8"/>
  <c r="SBV48" i="8"/>
  <c r="SBU48" i="8"/>
  <c r="SBT48" i="8"/>
  <c r="SBS48" i="8"/>
  <c r="SBR48" i="8"/>
  <c r="SBQ48" i="8"/>
  <c r="SBP48" i="8"/>
  <c r="SBO48" i="8"/>
  <c r="SBN48" i="8"/>
  <c r="SBM48" i="8"/>
  <c r="SBL48" i="8"/>
  <c r="SBK48" i="8"/>
  <c r="SBJ48" i="8"/>
  <c r="SBI48" i="8"/>
  <c r="SBH48" i="8"/>
  <c r="SBG48" i="8"/>
  <c r="SBF48" i="8"/>
  <c r="SBE48" i="8"/>
  <c r="SBD48" i="8"/>
  <c r="SBC48" i="8"/>
  <c r="SBB48" i="8"/>
  <c r="SBA48" i="8"/>
  <c r="SAZ48" i="8"/>
  <c r="SAY48" i="8"/>
  <c r="SAX48" i="8"/>
  <c r="SAW48" i="8"/>
  <c r="SAV48" i="8"/>
  <c r="SAU48" i="8"/>
  <c r="SAT48" i="8"/>
  <c r="SAS48" i="8"/>
  <c r="SAR48" i="8"/>
  <c r="SAQ48" i="8"/>
  <c r="SAP48" i="8"/>
  <c r="SAO48" i="8"/>
  <c r="SAN48" i="8"/>
  <c r="SAM48" i="8"/>
  <c r="SAL48" i="8"/>
  <c r="SAK48" i="8"/>
  <c r="SAJ48" i="8"/>
  <c r="SAI48" i="8"/>
  <c r="SAH48" i="8"/>
  <c r="SAG48" i="8"/>
  <c r="SAF48" i="8"/>
  <c r="SAE48" i="8"/>
  <c r="SAD48" i="8"/>
  <c r="SAC48" i="8"/>
  <c r="SAB48" i="8"/>
  <c r="SAA48" i="8"/>
  <c r="RZZ48" i="8"/>
  <c r="RZY48" i="8"/>
  <c r="RZX48" i="8"/>
  <c r="RZW48" i="8"/>
  <c r="RZV48" i="8"/>
  <c r="RZU48" i="8"/>
  <c r="RZT48" i="8"/>
  <c r="RZS48" i="8"/>
  <c r="RZR48" i="8"/>
  <c r="RZQ48" i="8"/>
  <c r="RZP48" i="8"/>
  <c r="RZO48" i="8"/>
  <c r="RZN48" i="8"/>
  <c r="RZM48" i="8"/>
  <c r="RZL48" i="8"/>
  <c r="RZK48" i="8"/>
  <c r="RZJ48" i="8"/>
  <c r="RZI48" i="8"/>
  <c r="RZH48" i="8"/>
  <c r="RZG48" i="8"/>
  <c r="RZF48" i="8"/>
  <c r="RZE48" i="8"/>
  <c r="RZD48" i="8"/>
  <c r="RZC48" i="8"/>
  <c r="RZB48" i="8"/>
  <c r="RZA48" i="8"/>
  <c r="RYZ48" i="8"/>
  <c r="RYY48" i="8"/>
  <c r="RYX48" i="8"/>
  <c r="RYW48" i="8"/>
  <c r="RYV48" i="8"/>
  <c r="RYU48" i="8"/>
  <c r="RYT48" i="8"/>
  <c r="RYS48" i="8"/>
  <c r="RYR48" i="8"/>
  <c r="RYQ48" i="8"/>
  <c r="RYP48" i="8"/>
  <c r="RYO48" i="8"/>
  <c r="RYN48" i="8"/>
  <c r="RYM48" i="8"/>
  <c r="RYL48" i="8"/>
  <c r="RYK48" i="8"/>
  <c r="RYJ48" i="8"/>
  <c r="RYI48" i="8"/>
  <c r="RYH48" i="8"/>
  <c r="RYG48" i="8"/>
  <c r="RYF48" i="8"/>
  <c r="RYE48" i="8"/>
  <c r="RYD48" i="8"/>
  <c r="RYC48" i="8"/>
  <c r="RYB48" i="8"/>
  <c r="RYA48" i="8"/>
  <c r="RXZ48" i="8"/>
  <c r="RXY48" i="8"/>
  <c r="RXX48" i="8"/>
  <c r="RXW48" i="8"/>
  <c r="RXV48" i="8"/>
  <c r="RXU48" i="8"/>
  <c r="RXT48" i="8"/>
  <c r="RXS48" i="8"/>
  <c r="RXR48" i="8"/>
  <c r="RXQ48" i="8"/>
  <c r="RXP48" i="8"/>
  <c r="RXO48" i="8"/>
  <c r="RXN48" i="8"/>
  <c r="RXM48" i="8"/>
  <c r="RXL48" i="8"/>
  <c r="RXK48" i="8"/>
  <c r="RXJ48" i="8"/>
  <c r="RXI48" i="8"/>
  <c r="RXH48" i="8"/>
  <c r="RXG48" i="8"/>
  <c r="RXF48" i="8"/>
  <c r="RXE48" i="8"/>
  <c r="RXD48" i="8"/>
  <c r="RXC48" i="8"/>
  <c r="RXB48" i="8"/>
  <c r="RXA48" i="8"/>
  <c r="RWZ48" i="8"/>
  <c r="RWY48" i="8"/>
  <c r="RWX48" i="8"/>
  <c r="RWW48" i="8"/>
  <c r="RWV48" i="8"/>
  <c r="RWU48" i="8"/>
  <c r="RWT48" i="8"/>
  <c r="RWS48" i="8"/>
  <c r="RWR48" i="8"/>
  <c r="RWQ48" i="8"/>
  <c r="RWP48" i="8"/>
  <c r="RWO48" i="8"/>
  <c r="RWN48" i="8"/>
  <c r="RWM48" i="8"/>
  <c r="RWL48" i="8"/>
  <c r="RWK48" i="8"/>
  <c r="RWJ48" i="8"/>
  <c r="RWI48" i="8"/>
  <c r="RWH48" i="8"/>
  <c r="RWG48" i="8"/>
  <c r="RWF48" i="8"/>
  <c r="RWE48" i="8"/>
  <c r="RWD48" i="8"/>
  <c r="RWC48" i="8"/>
  <c r="RWB48" i="8"/>
  <c r="RWA48" i="8"/>
  <c r="RVZ48" i="8"/>
  <c r="RVY48" i="8"/>
  <c r="RVX48" i="8"/>
  <c r="RVW48" i="8"/>
  <c r="RVV48" i="8"/>
  <c r="RVU48" i="8"/>
  <c r="RVT48" i="8"/>
  <c r="RVS48" i="8"/>
  <c r="RVR48" i="8"/>
  <c r="RVQ48" i="8"/>
  <c r="RVP48" i="8"/>
  <c r="RVO48" i="8"/>
  <c r="RVN48" i="8"/>
  <c r="RVM48" i="8"/>
  <c r="RVL48" i="8"/>
  <c r="RVK48" i="8"/>
  <c r="RVJ48" i="8"/>
  <c r="RVI48" i="8"/>
  <c r="RVH48" i="8"/>
  <c r="RVG48" i="8"/>
  <c r="RVF48" i="8"/>
  <c r="RVE48" i="8"/>
  <c r="RVD48" i="8"/>
  <c r="RVC48" i="8"/>
  <c r="RVB48" i="8"/>
  <c r="RVA48" i="8"/>
  <c r="RUZ48" i="8"/>
  <c r="RUY48" i="8"/>
  <c r="RUX48" i="8"/>
  <c r="RUW48" i="8"/>
  <c r="RUV48" i="8"/>
  <c r="RUU48" i="8"/>
  <c r="RUT48" i="8"/>
  <c r="RUS48" i="8"/>
  <c r="RUR48" i="8"/>
  <c r="RUQ48" i="8"/>
  <c r="RUP48" i="8"/>
  <c r="RUO48" i="8"/>
  <c r="RUN48" i="8"/>
  <c r="RUM48" i="8"/>
  <c r="RUL48" i="8"/>
  <c r="RUK48" i="8"/>
  <c r="RUJ48" i="8"/>
  <c r="RUI48" i="8"/>
  <c r="RUH48" i="8"/>
  <c r="RUG48" i="8"/>
  <c r="RUF48" i="8"/>
  <c r="RUE48" i="8"/>
  <c r="RUD48" i="8"/>
  <c r="RUC48" i="8"/>
  <c r="RUB48" i="8"/>
  <c r="RUA48" i="8"/>
  <c r="RTZ48" i="8"/>
  <c r="RTY48" i="8"/>
  <c r="RTX48" i="8"/>
  <c r="RTW48" i="8"/>
  <c r="RTV48" i="8"/>
  <c r="RTU48" i="8"/>
  <c r="RTT48" i="8"/>
  <c r="RTS48" i="8"/>
  <c r="RTR48" i="8"/>
  <c r="RTQ48" i="8"/>
  <c r="RTP48" i="8"/>
  <c r="RTO48" i="8"/>
  <c r="RTN48" i="8"/>
  <c r="RTM48" i="8"/>
  <c r="RTL48" i="8"/>
  <c r="RTK48" i="8"/>
  <c r="RTJ48" i="8"/>
  <c r="RTI48" i="8"/>
  <c r="RTH48" i="8"/>
  <c r="RTG48" i="8"/>
  <c r="RTF48" i="8"/>
  <c r="RTE48" i="8"/>
  <c r="RTD48" i="8"/>
  <c r="RTC48" i="8"/>
  <c r="RTB48" i="8"/>
  <c r="RTA48" i="8"/>
  <c r="RSZ48" i="8"/>
  <c r="RSY48" i="8"/>
  <c r="RSX48" i="8"/>
  <c r="RSW48" i="8"/>
  <c r="RSV48" i="8"/>
  <c r="RSU48" i="8"/>
  <c r="RST48" i="8"/>
  <c r="RSS48" i="8"/>
  <c r="RSR48" i="8"/>
  <c r="RSQ48" i="8"/>
  <c r="RSP48" i="8"/>
  <c r="RSO48" i="8"/>
  <c r="RSN48" i="8"/>
  <c r="RSM48" i="8"/>
  <c r="RSL48" i="8"/>
  <c r="RSK48" i="8"/>
  <c r="RSJ48" i="8"/>
  <c r="RSI48" i="8"/>
  <c r="RSH48" i="8"/>
  <c r="RSG48" i="8"/>
  <c r="RSF48" i="8"/>
  <c r="RSE48" i="8"/>
  <c r="RSD48" i="8"/>
  <c r="RSC48" i="8"/>
  <c r="RSB48" i="8"/>
  <c r="RSA48" i="8"/>
  <c r="RRZ48" i="8"/>
  <c r="RRY48" i="8"/>
  <c r="RRX48" i="8"/>
  <c r="RRW48" i="8"/>
  <c r="RRV48" i="8"/>
  <c r="RRU48" i="8"/>
  <c r="RRT48" i="8"/>
  <c r="RRS48" i="8"/>
  <c r="RRR48" i="8"/>
  <c r="RRQ48" i="8"/>
  <c r="RRP48" i="8"/>
  <c r="RRO48" i="8"/>
  <c r="RRN48" i="8"/>
  <c r="RRM48" i="8"/>
  <c r="RRL48" i="8"/>
  <c r="RRK48" i="8"/>
  <c r="RRJ48" i="8"/>
  <c r="RRI48" i="8"/>
  <c r="RRH48" i="8"/>
  <c r="RRG48" i="8"/>
  <c r="RRF48" i="8"/>
  <c r="RRE48" i="8"/>
  <c r="RRD48" i="8"/>
  <c r="RRC48" i="8"/>
  <c r="RRB48" i="8"/>
  <c r="RRA48" i="8"/>
  <c r="RQZ48" i="8"/>
  <c r="RQY48" i="8"/>
  <c r="RQX48" i="8"/>
  <c r="RQW48" i="8"/>
  <c r="RQV48" i="8"/>
  <c r="RQU48" i="8"/>
  <c r="RQT48" i="8"/>
  <c r="RQS48" i="8"/>
  <c r="RQR48" i="8"/>
  <c r="RQQ48" i="8"/>
  <c r="RQP48" i="8"/>
  <c r="RQO48" i="8"/>
  <c r="RQN48" i="8"/>
  <c r="RQM48" i="8"/>
  <c r="RQL48" i="8"/>
  <c r="RQK48" i="8"/>
  <c r="RQJ48" i="8"/>
  <c r="RQI48" i="8"/>
  <c r="RQH48" i="8"/>
  <c r="RQG48" i="8"/>
  <c r="RQF48" i="8"/>
  <c r="RQE48" i="8"/>
  <c r="RQD48" i="8"/>
  <c r="RQC48" i="8"/>
  <c r="RQB48" i="8"/>
  <c r="RQA48" i="8"/>
  <c r="RPZ48" i="8"/>
  <c r="RPY48" i="8"/>
  <c r="RPX48" i="8"/>
  <c r="RPW48" i="8"/>
  <c r="RPV48" i="8"/>
  <c r="RPU48" i="8"/>
  <c r="RPT48" i="8"/>
  <c r="RPS48" i="8"/>
  <c r="RPR48" i="8"/>
  <c r="RPQ48" i="8"/>
  <c r="RPP48" i="8"/>
  <c r="RPO48" i="8"/>
  <c r="RPN48" i="8"/>
  <c r="RPM48" i="8"/>
  <c r="RPL48" i="8"/>
  <c r="RPK48" i="8"/>
  <c r="RPJ48" i="8"/>
  <c r="RPI48" i="8"/>
  <c r="RPH48" i="8"/>
  <c r="RPG48" i="8"/>
  <c r="RPF48" i="8"/>
  <c r="RPE48" i="8"/>
  <c r="RPD48" i="8"/>
  <c r="RPC48" i="8"/>
  <c r="RPB48" i="8"/>
  <c r="RPA48" i="8"/>
  <c r="ROZ48" i="8"/>
  <c r="ROY48" i="8"/>
  <c r="ROX48" i="8"/>
  <c r="ROW48" i="8"/>
  <c r="ROV48" i="8"/>
  <c r="ROU48" i="8"/>
  <c r="ROT48" i="8"/>
  <c r="ROS48" i="8"/>
  <c r="ROR48" i="8"/>
  <c r="ROQ48" i="8"/>
  <c r="ROP48" i="8"/>
  <c r="ROO48" i="8"/>
  <c r="RON48" i="8"/>
  <c r="ROM48" i="8"/>
  <c r="ROL48" i="8"/>
  <c r="ROK48" i="8"/>
  <c r="ROJ48" i="8"/>
  <c r="ROI48" i="8"/>
  <c r="ROH48" i="8"/>
  <c r="ROG48" i="8"/>
  <c r="ROF48" i="8"/>
  <c r="ROE48" i="8"/>
  <c r="ROD48" i="8"/>
  <c r="ROC48" i="8"/>
  <c r="ROB48" i="8"/>
  <c r="ROA48" i="8"/>
  <c r="RNZ48" i="8"/>
  <c r="RNY48" i="8"/>
  <c r="RNX48" i="8"/>
  <c r="RNW48" i="8"/>
  <c r="RNV48" i="8"/>
  <c r="RNU48" i="8"/>
  <c r="RNT48" i="8"/>
  <c r="RNS48" i="8"/>
  <c r="RNR48" i="8"/>
  <c r="RNQ48" i="8"/>
  <c r="RNP48" i="8"/>
  <c r="RNO48" i="8"/>
  <c r="RNN48" i="8"/>
  <c r="RNM48" i="8"/>
  <c r="RNL48" i="8"/>
  <c r="RNK48" i="8"/>
  <c r="RNJ48" i="8"/>
  <c r="RNI48" i="8"/>
  <c r="RNH48" i="8"/>
  <c r="RNG48" i="8"/>
  <c r="RNF48" i="8"/>
  <c r="RNE48" i="8"/>
  <c r="RND48" i="8"/>
  <c r="RNC48" i="8"/>
  <c r="RNB48" i="8"/>
  <c r="RNA48" i="8"/>
  <c r="RMZ48" i="8"/>
  <c r="RMY48" i="8"/>
  <c r="RMX48" i="8"/>
  <c r="RMW48" i="8"/>
  <c r="RMV48" i="8"/>
  <c r="RMU48" i="8"/>
  <c r="RMT48" i="8"/>
  <c r="RMS48" i="8"/>
  <c r="RMR48" i="8"/>
  <c r="RMQ48" i="8"/>
  <c r="RMP48" i="8"/>
  <c r="RMO48" i="8"/>
  <c r="RMN48" i="8"/>
  <c r="RMM48" i="8"/>
  <c r="RML48" i="8"/>
  <c r="RMK48" i="8"/>
  <c r="RMJ48" i="8"/>
  <c r="RMI48" i="8"/>
  <c r="RMH48" i="8"/>
  <c r="RMG48" i="8"/>
  <c r="RMF48" i="8"/>
  <c r="RME48" i="8"/>
  <c r="RMD48" i="8"/>
  <c r="RMC48" i="8"/>
  <c r="RMB48" i="8"/>
  <c r="RMA48" i="8"/>
  <c r="RLZ48" i="8"/>
  <c r="RLY48" i="8"/>
  <c r="RLX48" i="8"/>
  <c r="RLW48" i="8"/>
  <c r="RLV48" i="8"/>
  <c r="RLU48" i="8"/>
  <c r="RLT48" i="8"/>
  <c r="RLS48" i="8"/>
  <c r="RLR48" i="8"/>
  <c r="RLQ48" i="8"/>
  <c r="RLP48" i="8"/>
  <c r="RLO48" i="8"/>
  <c r="RLN48" i="8"/>
  <c r="RLM48" i="8"/>
  <c r="RLL48" i="8"/>
  <c r="RLK48" i="8"/>
  <c r="RLJ48" i="8"/>
  <c r="RLI48" i="8"/>
  <c r="RLH48" i="8"/>
  <c r="RLG48" i="8"/>
  <c r="RLF48" i="8"/>
  <c r="RLE48" i="8"/>
  <c r="RLD48" i="8"/>
  <c r="RLC48" i="8"/>
  <c r="RLB48" i="8"/>
  <c r="RLA48" i="8"/>
  <c r="RKZ48" i="8"/>
  <c r="RKY48" i="8"/>
  <c r="RKX48" i="8"/>
  <c r="RKW48" i="8"/>
  <c r="RKV48" i="8"/>
  <c r="RKU48" i="8"/>
  <c r="RKT48" i="8"/>
  <c r="RKS48" i="8"/>
  <c r="RKR48" i="8"/>
  <c r="RKQ48" i="8"/>
  <c r="RKP48" i="8"/>
  <c r="RKO48" i="8"/>
  <c r="RKN48" i="8"/>
  <c r="RKM48" i="8"/>
  <c r="RKL48" i="8"/>
  <c r="RKK48" i="8"/>
  <c r="RKJ48" i="8"/>
  <c r="RKI48" i="8"/>
  <c r="RKH48" i="8"/>
  <c r="RKG48" i="8"/>
  <c r="RKF48" i="8"/>
  <c r="RKE48" i="8"/>
  <c r="RKD48" i="8"/>
  <c r="RKC48" i="8"/>
  <c r="RKB48" i="8"/>
  <c r="RKA48" i="8"/>
  <c r="RJZ48" i="8"/>
  <c r="RJY48" i="8"/>
  <c r="RJX48" i="8"/>
  <c r="RJW48" i="8"/>
  <c r="RJV48" i="8"/>
  <c r="RJU48" i="8"/>
  <c r="RJT48" i="8"/>
  <c r="RJS48" i="8"/>
  <c r="RJR48" i="8"/>
  <c r="RJQ48" i="8"/>
  <c r="RJP48" i="8"/>
  <c r="RJO48" i="8"/>
  <c r="RJN48" i="8"/>
  <c r="RJM48" i="8"/>
  <c r="RJL48" i="8"/>
  <c r="RJK48" i="8"/>
  <c r="RJJ48" i="8"/>
  <c r="RJI48" i="8"/>
  <c r="RJH48" i="8"/>
  <c r="RJG48" i="8"/>
  <c r="RJF48" i="8"/>
  <c r="RJE48" i="8"/>
  <c r="RJD48" i="8"/>
  <c r="RJC48" i="8"/>
  <c r="RJB48" i="8"/>
  <c r="RJA48" i="8"/>
  <c r="RIZ48" i="8"/>
  <c r="RIY48" i="8"/>
  <c r="RIX48" i="8"/>
  <c r="RIW48" i="8"/>
  <c r="RIV48" i="8"/>
  <c r="RIU48" i="8"/>
  <c r="RIT48" i="8"/>
  <c r="RIS48" i="8"/>
  <c r="RIR48" i="8"/>
  <c r="RIQ48" i="8"/>
  <c r="RIP48" i="8"/>
  <c r="RIO48" i="8"/>
  <c r="RIN48" i="8"/>
  <c r="RIM48" i="8"/>
  <c r="RIL48" i="8"/>
  <c r="RIK48" i="8"/>
  <c r="RIJ48" i="8"/>
  <c r="RII48" i="8"/>
  <c r="RIH48" i="8"/>
  <c r="RIG48" i="8"/>
  <c r="RIF48" i="8"/>
  <c r="RIE48" i="8"/>
  <c r="RID48" i="8"/>
  <c r="RIC48" i="8"/>
  <c r="RIB48" i="8"/>
  <c r="RIA48" i="8"/>
  <c r="RHZ48" i="8"/>
  <c r="RHY48" i="8"/>
  <c r="RHX48" i="8"/>
  <c r="RHW48" i="8"/>
  <c r="RHV48" i="8"/>
  <c r="RHU48" i="8"/>
  <c r="RHT48" i="8"/>
  <c r="RHS48" i="8"/>
  <c r="RHR48" i="8"/>
  <c r="RHQ48" i="8"/>
  <c r="RHP48" i="8"/>
  <c r="RHO48" i="8"/>
  <c r="RHN48" i="8"/>
  <c r="RHM48" i="8"/>
  <c r="RHL48" i="8"/>
  <c r="RHK48" i="8"/>
  <c r="RHJ48" i="8"/>
  <c r="RHI48" i="8"/>
  <c r="RHH48" i="8"/>
  <c r="RHG48" i="8"/>
  <c r="RHF48" i="8"/>
  <c r="RHE48" i="8"/>
  <c r="RHD48" i="8"/>
  <c r="RHC48" i="8"/>
  <c r="RHB48" i="8"/>
  <c r="RHA48" i="8"/>
  <c r="RGZ48" i="8"/>
  <c r="RGY48" i="8"/>
  <c r="RGX48" i="8"/>
  <c r="RGW48" i="8"/>
  <c r="RGV48" i="8"/>
  <c r="RGU48" i="8"/>
  <c r="RGT48" i="8"/>
  <c r="RGS48" i="8"/>
  <c r="RGR48" i="8"/>
  <c r="RGQ48" i="8"/>
  <c r="RGP48" i="8"/>
  <c r="RGO48" i="8"/>
  <c r="RGN48" i="8"/>
  <c r="RGM48" i="8"/>
  <c r="RGL48" i="8"/>
  <c r="RGK48" i="8"/>
  <c r="RGJ48" i="8"/>
  <c r="RGI48" i="8"/>
  <c r="RGH48" i="8"/>
  <c r="RGG48" i="8"/>
  <c r="RGF48" i="8"/>
  <c r="RGE48" i="8"/>
  <c r="RGD48" i="8"/>
  <c r="RGC48" i="8"/>
  <c r="RGB48" i="8"/>
  <c r="RGA48" i="8"/>
  <c r="RFZ48" i="8"/>
  <c r="RFY48" i="8"/>
  <c r="RFX48" i="8"/>
  <c r="RFW48" i="8"/>
  <c r="RFV48" i="8"/>
  <c r="RFU48" i="8"/>
  <c r="RFT48" i="8"/>
  <c r="RFS48" i="8"/>
  <c r="RFR48" i="8"/>
  <c r="RFQ48" i="8"/>
  <c r="RFP48" i="8"/>
  <c r="RFO48" i="8"/>
  <c r="RFN48" i="8"/>
  <c r="RFM48" i="8"/>
  <c r="RFL48" i="8"/>
  <c r="RFK48" i="8"/>
  <c r="RFJ48" i="8"/>
  <c r="RFI48" i="8"/>
  <c r="RFH48" i="8"/>
  <c r="RFG48" i="8"/>
  <c r="RFF48" i="8"/>
  <c r="RFE48" i="8"/>
  <c r="RFD48" i="8"/>
  <c r="RFC48" i="8"/>
  <c r="RFB48" i="8"/>
  <c r="RFA48" i="8"/>
  <c r="REZ48" i="8"/>
  <c r="REY48" i="8"/>
  <c r="REX48" i="8"/>
  <c r="REW48" i="8"/>
  <c r="REV48" i="8"/>
  <c r="REU48" i="8"/>
  <c r="RET48" i="8"/>
  <c r="RES48" i="8"/>
  <c r="RER48" i="8"/>
  <c r="REQ48" i="8"/>
  <c r="REP48" i="8"/>
  <c r="REO48" i="8"/>
  <c r="REN48" i="8"/>
  <c r="REM48" i="8"/>
  <c r="REL48" i="8"/>
  <c r="REK48" i="8"/>
  <c r="REJ48" i="8"/>
  <c r="REI48" i="8"/>
  <c r="REH48" i="8"/>
  <c r="REG48" i="8"/>
  <c r="REF48" i="8"/>
  <c r="REE48" i="8"/>
  <c r="RED48" i="8"/>
  <c r="REC48" i="8"/>
  <c r="REB48" i="8"/>
  <c r="REA48" i="8"/>
  <c r="RDZ48" i="8"/>
  <c r="RDY48" i="8"/>
  <c r="RDX48" i="8"/>
  <c r="RDW48" i="8"/>
  <c r="RDV48" i="8"/>
  <c r="RDU48" i="8"/>
  <c r="RDT48" i="8"/>
  <c r="RDS48" i="8"/>
  <c r="RDR48" i="8"/>
  <c r="RDQ48" i="8"/>
  <c r="RDP48" i="8"/>
  <c r="RDO48" i="8"/>
  <c r="RDN48" i="8"/>
  <c r="RDM48" i="8"/>
  <c r="RDL48" i="8"/>
  <c r="RDK48" i="8"/>
  <c r="RDJ48" i="8"/>
  <c r="RDI48" i="8"/>
  <c r="RDH48" i="8"/>
  <c r="RDG48" i="8"/>
  <c r="RDF48" i="8"/>
  <c r="RDE48" i="8"/>
  <c r="RDD48" i="8"/>
  <c r="RDC48" i="8"/>
  <c r="RDB48" i="8"/>
  <c r="RDA48" i="8"/>
  <c r="RCZ48" i="8"/>
  <c r="RCY48" i="8"/>
  <c r="RCX48" i="8"/>
  <c r="RCW48" i="8"/>
  <c r="RCV48" i="8"/>
  <c r="RCU48" i="8"/>
  <c r="RCT48" i="8"/>
  <c r="RCS48" i="8"/>
  <c r="RCR48" i="8"/>
  <c r="RCQ48" i="8"/>
  <c r="RCP48" i="8"/>
  <c r="RCO48" i="8"/>
  <c r="RCN48" i="8"/>
  <c r="RCM48" i="8"/>
  <c r="RCL48" i="8"/>
  <c r="RCK48" i="8"/>
  <c r="RCJ48" i="8"/>
  <c r="RCI48" i="8"/>
  <c r="RCH48" i="8"/>
  <c r="RCG48" i="8"/>
  <c r="RCF48" i="8"/>
  <c r="RCE48" i="8"/>
  <c r="RCD48" i="8"/>
  <c r="RCC48" i="8"/>
  <c r="RCB48" i="8"/>
  <c r="RCA48" i="8"/>
  <c r="RBZ48" i="8"/>
  <c r="RBY48" i="8"/>
  <c r="RBX48" i="8"/>
  <c r="RBW48" i="8"/>
  <c r="RBV48" i="8"/>
  <c r="RBU48" i="8"/>
  <c r="RBT48" i="8"/>
  <c r="RBS48" i="8"/>
  <c r="RBR48" i="8"/>
  <c r="RBQ48" i="8"/>
  <c r="RBP48" i="8"/>
  <c r="RBO48" i="8"/>
  <c r="RBN48" i="8"/>
  <c r="RBM48" i="8"/>
  <c r="RBL48" i="8"/>
  <c r="RBK48" i="8"/>
  <c r="RBJ48" i="8"/>
  <c r="RBI48" i="8"/>
  <c r="RBH48" i="8"/>
  <c r="RBG48" i="8"/>
  <c r="RBF48" i="8"/>
  <c r="RBE48" i="8"/>
  <c r="RBD48" i="8"/>
  <c r="RBC48" i="8"/>
  <c r="RBB48" i="8"/>
  <c r="RBA48" i="8"/>
  <c r="RAZ48" i="8"/>
  <c r="RAY48" i="8"/>
  <c r="RAX48" i="8"/>
  <c r="RAW48" i="8"/>
  <c r="RAV48" i="8"/>
  <c r="RAU48" i="8"/>
  <c r="RAT48" i="8"/>
  <c r="RAS48" i="8"/>
  <c r="RAR48" i="8"/>
  <c r="RAQ48" i="8"/>
  <c r="RAP48" i="8"/>
  <c r="RAO48" i="8"/>
  <c r="RAN48" i="8"/>
  <c r="RAM48" i="8"/>
  <c r="RAL48" i="8"/>
  <c r="RAK48" i="8"/>
  <c r="RAJ48" i="8"/>
  <c r="RAI48" i="8"/>
  <c r="RAH48" i="8"/>
  <c r="RAG48" i="8"/>
  <c r="RAF48" i="8"/>
  <c r="RAE48" i="8"/>
  <c r="RAD48" i="8"/>
  <c r="RAC48" i="8"/>
  <c r="RAB48" i="8"/>
  <c r="RAA48" i="8"/>
  <c r="QZZ48" i="8"/>
  <c r="QZY48" i="8"/>
  <c r="QZX48" i="8"/>
  <c r="QZW48" i="8"/>
  <c r="QZV48" i="8"/>
  <c r="QZU48" i="8"/>
  <c r="QZT48" i="8"/>
  <c r="QZS48" i="8"/>
  <c r="QZR48" i="8"/>
  <c r="QZQ48" i="8"/>
  <c r="QZP48" i="8"/>
  <c r="QZO48" i="8"/>
  <c r="QZN48" i="8"/>
  <c r="QZM48" i="8"/>
  <c r="QZL48" i="8"/>
  <c r="QZK48" i="8"/>
  <c r="QZJ48" i="8"/>
  <c r="QZI48" i="8"/>
  <c r="QZH48" i="8"/>
  <c r="QZG48" i="8"/>
  <c r="QZF48" i="8"/>
  <c r="QZE48" i="8"/>
  <c r="QZD48" i="8"/>
  <c r="QZC48" i="8"/>
  <c r="QZB48" i="8"/>
  <c r="QZA48" i="8"/>
  <c r="QYZ48" i="8"/>
  <c r="QYY48" i="8"/>
  <c r="QYX48" i="8"/>
  <c r="QYW48" i="8"/>
  <c r="QYV48" i="8"/>
  <c r="QYU48" i="8"/>
  <c r="QYT48" i="8"/>
  <c r="QYS48" i="8"/>
  <c r="QYR48" i="8"/>
  <c r="QYQ48" i="8"/>
  <c r="QYP48" i="8"/>
  <c r="QYO48" i="8"/>
  <c r="QYN48" i="8"/>
  <c r="QYM48" i="8"/>
  <c r="QYL48" i="8"/>
  <c r="QYK48" i="8"/>
  <c r="QYJ48" i="8"/>
  <c r="QYI48" i="8"/>
  <c r="QYH48" i="8"/>
  <c r="QYG48" i="8"/>
  <c r="QYF48" i="8"/>
  <c r="QYE48" i="8"/>
  <c r="QYD48" i="8"/>
  <c r="QYC48" i="8"/>
  <c r="QYB48" i="8"/>
  <c r="QYA48" i="8"/>
  <c r="QXZ48" i="8"/>
  <c r="QXY48" i="8"/>
  <c r="QXX48" i="8"/>
  <c r="QXW48" i="8"/>
  <c r="QXV48" i="8"/>
  <c r="QXU48" i="8"/>
  <c r="QXT48" i="8"/>
  <c r="QXS48" i="8"/>
  <c r="QXR48" i="8"/>
  <c r="QXQ48" i="8"/>
  <c r="QXP48" i="8"/>
  <c r="QXO48" i="8"/>
  <c r="QXN48" i="8"/>
  <c r="QXM48" i="8"/>
  <c r="QXL48" i="8"/>
  <c r="QXK48" i="8"/>
  <c r="QXJ48" i="8"/>
  <c r="QXI48" i="8"/>
  <c r="QXH48" i="8"/>
  <c r="QXG48" i="8"/>
  <c r="QXF48" i="8"/>
  <c r="QXE48" i="8"/>
  <c r="QXD48" i="8"/>
  <c r="QXC48" i="8"/>
  <c r="QXB48" i="8"/>
  <c r="QXA48" i="8"/>
  <c r="QWZ48" i="8"/>
  <c r="QWY48" i="8"/>
  <c r="QWX48" i="8"/>
  <c r="QWW48" i="8"/>
  <c r="QWV48" i="8"/>
  <c r="QWU48" i="8"/>
  <c r="QWT48" i="8"/>
  <c r="QWS48" i="8"/>
  <c r="QWR48" i="8"/>
  <c r="QWQ48" i="8"/>
  <c r="QWP48" i="8"/>
  <c r="QWO48" i="8"/>
  <c r="QWN48" i="8"/>
  <c r="QWM48" i="8"/>
  <c r="QWL48" i="8"/>
  <c r="QWK48" i="8"/>
  <c r="QWJ48" i="8"/>
  <c r="QWI48" i="8"/>
  <c r="QWH48" i="8"/>
  <c r="QWG48" i="8"/>
  <c r="QWF48" i="8"/>
  <c r="QWE48" i="8"/>
  <c r="QWD48" i="8"/>
  <c r="QWC48" i="8"/>
  <c r="QWB48" i="8"/>
  <c r="QWA48" i="8"/>
  <c r="QVZ48" i="8"/>
  <c r="QVY48" i="8"/>
  <c r="QVX48" i="8"/>
  <c r="QVW48" i="8"/>
  <c r="QVV48" i="8"/>
  <c r="QVU48" i="8"/>
  <c r="QVT48" i="8"/>
  <c r="QVS48" i="8"/>
  <c r="QVR48" i="8"/>
  <c r="QVQ48" i="8"/>
  <c r="QVP48" i="8"/>
  <c r="QVO48" i="8"/>
  <c r="QVN48" i="8"/>
  <c r="QVM48" i="8"/>
  <c r="QVL48" i="8"/>
  <c r="QVK48" i="8"/>
  <c r="QVJ48" i="8"/>
  <c r="QVI48" i="8"/>
  <c r="QVH48" i="8"/>
  <c r="QVG48" i="8"/>
  <c r="QVF48" i="8"/>
  <c r="QVE48" i="8"/>
  <c r="QVD48" i="8"/>
  <c r="QVC48" i="8"/>
  <c r="QVB48" i="8"/>
  <c r="QVA48" i="8"/>
  <c r="QUZ48" i="8"/>
  <c r="QUY48" i="8"/>
  <c r="QUX48" i="8"/>
  <c r="QUW48" i="8"/>
  <c r="QUV48" i="8"/>
  <c r="QUU48" i="8"/>
  <c r="QUT48" i="8"/>
  <c r="QUS48" i="8"/>
  <c r="QUR48" i="8"/>
  <c r="QUQ48" i="8"/>
  <c r="QUP48" i="8"/>
  <c r="QUO48" i="8"/>
  <c r="QUN48" i="8"/>
  <c r="QUM48" i="8"/>
  <c r="QUL48" i="8"/>
  <c r="QUK48" i="8"/>
  <c r="QUJ48" i="8"/>
  <c r="QUI48" i="8"/>
  <c r="QUH48" i="8"/>
  <c r="QUG48" i="8"/>
  <c r="QUF48" i="8"/>
  <c r="QUE48" i="8"/>
  <c r="QUD48" i="8"/>
  <c r="QUC48" i="8"/>
  <c r="QUB48" i="8"/>
  <c r="QUA48" i="8"/>
  <c r="QTZ48" i="8"/>
  <c r="QTY48" i="8"/>
  <c r="QTX48" i="8"/>
  <c r="QTW48" i="8"/>
  <c r="QTV48" i="8"/>
  <c r="QTU48" i="8"/>
  <c r="QTT48" i="8"/>
  <c r="QTS48" i="8"/>
  <c r="QTR48" i="8"/>
  <c r="QTQ48" i="8"/>
  <c r="QTP48" i="8"/>
  <c r="QTO48" i="8"/>
  <c r="QTN48" i="8"/>
  <c r="QTM48" i="8"/>
  <c r="QTL48" i="8"/>
  <c r="QTK48" i="8"/>
  <c r="QTJ48" i="8"/>
  <c r="QTI48" i="8"/>
  <c r="QTH48" i="8"/>
  <c r="QTG48" i="8"/>
  <c r="QTF48" i="8"/>
  <c r="QTE48" i="8"/>
  <c r="QTD48" i="8"/>
  <c r="QTC48" i="8"/>
  <c r="QTB48" i="8"/>
  <c r="QTA48" i="8"/>
  <c r="QSZ48" i="8"/>
  <c r="QSY48" i="8"/>
  <c r="QSX48" i="8"/>
  <c r="QSW48" i="8"/>
  <c r="QSV48" i="8"/>
  <c r="QSU48" i="8"/>
  <c r="QST48" i="8"/>
  <c r="QSS48" i="8"/>
  <c r="QSR48" i="8"/>
  <c r="QSQ48" i="8"/>
  <c r="QSP48" i="8"/>
  <c r="QSO48" i="8"/>
  <c r="QSN48" i="8"/>
  <c r="QSM48" i="8"/>
  <c r="QSL48" i="8"/>
  <c r="QSK48" i="8"/>
  <c r="QSJ48" i="8"/>
  <c r="QSI48" i="8"/>
  <c r="QSH48" i="8"/>
  <c r="QSG48" i="8"/>
  <c r="QSF48" i="8"/>
  <c r="QSE48" i="8"/>
  <c r="QSD48" i="8"/>
  <c r="QSC48" i="8"/>
  <c r="QSB48" i="8"/>
  <c r="QSA48" i="8"/>
  <c r="QRZ48" i="8"/>
  <c r="QRY48" i="8"/>
  <c r="QRX48" i="8"/>
  <c r="QRW48" i="8"/>
  <c r="QRV48" i="8"/>
  <c r="QRU48" i="8"/>
  <c r="QRT48" i="8"/>
  <c r="QRS48" i="8"/>
  <c r="QRR48" i="8"/>
  <c r="QRQ48" i="8"/>
  <c r="QRP48" i="8"/>
  <c r="QRO48" i="8"/>
  <c r="QRN48" i="8"/>
  <c r="QRM48" i="8"/>
  <c r="QRL48" i="8"/>
  <c r="QRK48" i="8"/>
  <c r="QRJ48" i="8"/>
  <c r="QRI48" i="8"/>
  <c r="QRH48" i="8"/>
  <c r="QRG48" i="8"/>
  <c r="QRF48" i="8"/>
  <c r="QRE48" i="8"/>
  <c r="QRD48" i="8"/>
  <c r="QRC48" i="8"/>
  <c r="QRB48" i="8"/>
  <c r="QRA48" i="8"/>
  <c r="QQZ48" i="8"/>
  <c r="QQY48" i="8"/>
  <c r="QQX48" i="8"/>
  <c r="QQW48" i="8"/>
  <c r="QQV48" i="8"/>
  <c r="QQU48" i="8"/>
  <c r="QQT48" i="8"/>
  <c r="QQS48" i="8"/>
  <c r="QQR48" i="8"/>
  <c r="QQQ48" i="8"/>
  <c r="QQP48" i="8"/>
  <c r="QQO48" i="8"/>
  <c r="QQN48" i="8"/>
  <c r="QQM48" i="8"/>
  <c r="QQL48" i="8"/>
  <c r="QQK48" i="8"/>
  <c r="QQJ48" i="8"/>
  <c r="QQI48" i="8"/>
  <c r="QQH48" i="8"/>
  <c r="QQG48" i="8"/>
  <c r="QQF48" i="8"/>
  <c r="QQE48" i="8"/>
  <c r="QQD48" i="8"/>
  <c r="QQC48" i="8"/>
  <c r="QQB48" i="8"/>
  <c r="QQA48" i="8"/>
  <c r="QPZ48" i="8"/>
  <c r="QPY48" i="8"/>
  <c r="QPX48" i="8"/>
  <c r="QPW48" i="8"/>
  <c r="QPV48" i="8"/>
  <c r="QPU48" i="8"/>
  <c r="QPT48" i="8"/>
  <c r="QPS48" i="8"/>
  <c r="QPR48" i="8"/>
  <c r="QPQ48" i="8"/>
  <c r="QPP48" i="8"/>
  <c r="QPO48" i="8"/>
  <c r="QPN48" i="8"/>
  <c r="QPM48" i="8"/>
  <c r="QPL48" i="8"/>
  <c r="QPK48" i="8"/>
  <c r="QPJ48" i="8"/>
  <c r="QPI48" i="8"/>
  <c r="QPH48" i="8"/>
  <c r="QPG48" i="8"/>
  <c r="QPF48" i="8"/>
  <c r="QPE48" i="8"/>
  <c r="QPD48" i="8"/>
  <c r="QPC48" i="8"/>
  <c r="QPB48" i="8"/>
  <c r="QPA48" i="8"/>
  <c r="QOZ48" i="8"/>
  <c r="QOY48" i="8"/>
  <c r="QOX48" i="8"/>
  <c r="QOW48" i="8"/>
  <c r="QOV48" i="8"/>
  <c r="QOU48" i="8"/>
  <c r="QOT48" i="8"/>
  <c r="QOS48" i="8"/>
  <c r="QOR48" i="8"/>
  <c r="QOQ48" i="8"/>
  <c r="QOP48" i="8"/>
  <c r="QOO48" i="8"/>
  <c r="QON48" i="8"/>
  <c r="QOM48" i="8"/>
  <c r="QOL48" i="8"/>
  <c r="QOK48" i="8"/>
  <c r="QOJ48" i="8"/>
  <c r="QOI48" i="8"/>
  <c r="QOH48" i="8"/>
  <c r="QOG48" i="8"/>
  <c r="QOF48" i="8"/>
  <c r="QOE48" i="8"/>
  <c r="QOD48" i="8"/>
  <c r="QOC48" i="8"/>
  <c r="QOB48" i="8"/>
  <c r="QOA48" i="8"/>
  <c r="QNZ48" i="8"/>
  <c r="QNY48" i="8"/>
  <c r="QNX48" i="8"/>
  <c r="QNW48" i="8"/>
  <c r="QNV48" i="8"/>
  <c r="QNU48" i="8"/>
  <c r="QNT48" i="8"/>
  <c r="QNS48" i="8"/>
  <c r="QNR48" i="8"/>
  <c r="QNQ48" i="8"/>
  <c r="QNP48" i="8"/>
  <c r="QNO48" i="8"/>
  <c r="QNN48" i="8"/>
  <c r="QNM48" i="8"/>
  <c r="QNL48" i="8"/>
  <c r="QNK48" i="8"/>
  <c r="QNJ48" i="8"/>
  <c r="QNI48" i="8"/>
  <c r="QNH48" i="8"/>
  <c r="QNG48" i="8"/>
  <c r="QNF48" i="8"/>
  <c r="QNE48" i="8"/>
  <c r="QND48" i="8"/>
  <c r="QNC48" i="8"/>
  <c r="QNB48" i="8"/>
  <c r="QNA48" i="8"/>
  <c r="QMZ48" i="8"/>
  <c r="QMY48" i="8"/>
  <c r="QMX48" i="8"/>
  <c r="QMW48" i="8"/>
  <c r="QMV48" i="8"/>
  <c r="QMU48" i="8"/>
  <c r="QMT48" i="8"/>
  <c r="QMS48" i="8"/>
  <c r="QMR48" i="8"/>
  <c r="QMQ48" i="8"/>
  <c r="QMP48" i="8"/>
  <c r="QMO48" i="8"/>
  <c r="QMN48" i="8"/>
  <c r="QMM48" i="8"/>
  <c r="QML48" i="8"/>
  <c r="QMK48" i="8"/>
  <c r="QMJ48" i="8"/>
  <c r="QMI48" i="8"/>
  <c r="QMH48" i="8"/>
  <c r="QMG48" i="8"/>
  <c r="QMF48" i="8"/>
  <c r="QME48" i="8"/>
  <c r="QMD48" i="8"/>
  <c r="QMC48" i="8"/>
  <c r="QMB48" i="8"/>
  <c r="QMA48" i="8"/>
  <c r="QLZ48" i="8"/>
  <c r="QLY48" i="8"/>
  <c r="QLX48" i="8"/>
  <c r="QLW48" i="8"/>
  <c r="QLV48" i="8"/>
  <c r="QLU48" i="8"/>
  <c r="QLT48" i="8"/>
  <c r="QLS48" i="8"/>
  <c r="QLR48" i="8"/>
  <c r="QLQ48" i="8"/>
  <c r="QLP48" i="8"/>
  <c r="QLO48" i="8"/>
  <c r="QLN48" i="8"/>
  <c r="QLM48" i="8"/>
  <c r="QLL48" i="8"/>
  <c r="QLK48" i="8"/>
  <c r="QLJ48" i="8"/>
  <c r="QLI48" i="8"/>
  <c r="QLH48" i="8"/>
  <c r="QLG48" i="8"/>
  <c r="QLF48" i="8"/>
  <c r="QLE48" i="8"/>
  <c r="QLD48" i="8"/>
  <c r="QLC48" i="8"/>
  <c r="QLB48" i="8"/>
  <c r="QLA48" i="8"/>
  <c r="QKZ48" i="8"/>
  <c r="QKY48" i="8"/>
  <c r="QKX48" i="8"/>
  <c r="QKW48" i="8"/>
  <c r="QKV48" i="8"/>
  <c r="QKU48" i="8"/>
  <c r="QKT48" i="8"/>
  <c r="QKS48" i="8"/>
  <c r="QKR48" i="8"/>
  <c r="QKQ48" i="8"/>
  <c r="QKP48" i="8"/>
  <c r="QKO48" i="8"/>
  <c r="QKN48" i="8"/>
  <c r="QKM48" i="8"/>
  <c r="QKL48" i="8"/>
  <c r="QKK48" i="8"/>
  <c r="QKJ48" i="8"/>
  <c r="QKI48" i="8"/>
  <c r="QKH48" i="8"/>
  <c r="QKG48" i="8"/>
  <c r="QKF48" i="8"/>
  <c r="QKE48" i="8"/>
  <c r="QKD48" i="8"/>
  <c r="QKC48" i="8"/>
  <c r="QKB48" i="8"/>
  <c r="QKA48" i="8"/>
  <c r="QJZ48" i="8"/>
  <c r="QJY48" i="8"/>
  <c r="QJX48" i="8"/>
  <c r="QJW48" i="8"/>
  <c r="QJV48" i="8"/>
  <c r="QJU48" i="8"/>
  <c r="QJT48" i="8"/>
  <c r="QJS48" i="8"/>
  <c r="QJR48" i="8"/>
  <c r="QJQ48" i="8"/>
  <c r="QJP48" i="8"/>
  <c r="QJO48" i="8"/>
  <c r="QJN48" i="8"/>
  <c r="QJM48" i="8"/>
  <c r="QJL48" i="8"/>
  <c r="QJK48" i="8"/>
  <c r="QJJ48" i="8"/>
  <c r="QJI48" i="8"/>
  <c r="QJH48" i="8"/>
  <c r="QJG48" i="8"/>
  <c r="QJF48" i="8"/>
  <c r="QJE48" i="8"/>
  <c r="QJD48" i="8"/>
  <c r="QJC48" i="8"/>
  <c r="QJB48" i="8"/>
  <c r="QJA48" i="8"/>
  <c r="QIZ48" i="8"/>
  <c r="QIY48" i="8"/>
  <c r="QIX48" i="8"/>
  <c r="QIW48" i="8"/>
  <c r="QIV48" i="8"/>
  <c r="QIU48" i="8"/>
  <c r="QIT48" i="8"/>
  <c r="QIS48" i="8"/>
  <c r="QIR48" i="8"/>
  <c r="QIQ48" i="8"/>
  <c r="QIP48" i="8"/>
  <c r="QIO48" i="8"/>
  <c r="QIN48" i="8"/>
  <c r="QIM48" i="8"/>
  <c r="QIL48" i="8"/>
  <c r="QIK48" i="8"/>
  <c r="QIJ48" i="8"/>
  <c r="QII48" i="8"/>
  <c r="QIH48" i="8"/>
  <c r="QIG48" i="8"/>
  <c r="QIF48" i="8"/>
  <c r="QIE48" i="8"/>
  <c r="QID48" i="8"/>
  <c r="QIC48" i="8"/>
  <c r="QIB48" i="8"/>
  <c r="QIA48" i="8"/>
  <c r="QHZ48" i="8"/>
  <c r="QHY48" i="8"/>
  <c r="QHX48" i="8"/>
  <c r="QHW48" i="8"/>
  <c r="QHV48" i="8"/>
  <c r="QHU48" i="8"/>
  <c r="QHT48" i="8"/>
  <c r="QHS48" i="8"/>
  <c r="QHR48" i="8"/>
  <c r="QHQ48" i="8"/>
  <c r="QHP48" i="8"/>
  <c r="QHO48" i="8"/>
  <c r="QHN48" i="8"/>
  <c r="QHM48" i="8"/>
  <c r="QHL48" i="8"/>
  <c r="QHK48" i="8"/>
  <c r="QHJ48" i="8"/>
  <c r="QHI48" i="8"/>
  <c r="QHH48" i="8"/>
  <c r="QHG48" i="8"/>
  <c r="QHF48" i="8"/>
  <c r="QHE48" i="8"/>
  <c r="QHD48" i="8"/>
  <c r="QHC48" i="8"/>
  <c r="QHB48" i="8"/>
  <c r="QHA48" i="8"/>
  <c r="QGZ48" i="8"/>
  <c r="QGY48" i="8"/>
  <c r="QGX48" i="8"/>
  <c r="QGW48" i="8"/>
  <c r="QGV48" i="8"/>
  <c r="QGU48" i="8"/>
  <c r="QGT48" i="8"/>
  <c r="QGS48" i="8"/>
  <c r="QGR48" i="8"/>
  <c r="QGQ48" i="8"/>
  <c r="QGP48" i="8"/>
  <c r="QGO48" i="8"/>
  <c r="QGN48" i="8"/>
  <c r="QGM48" i="8"/>
  <c r="QGL48" i="8"/>
  <c r="QGK48" i="8"/>
  <c r="QGJ48" i="8"/>
  <c r="QGI48" i="8"/>
  <c r="QGH48" i="8"/>
  <c r="QGG48" i="8"/>
  <c r="QGF48" i="8"/>
  <c r="QGE48" i="8"/>
  <c r="QGD48" i="8"/>
  <c r="QGC48" i="8"/>
  <c r="QGB48" i="8"/>
  <c r="QGA48" i="8"/>
  <c r="QFZ48" i="8"/>
  <c r="QFY48" i="8"/>
  <c r="QFX48" i="8"/>
  <c r="QFW48" i="8"/>
  <c r="QFV48" i="8"/>
  <c r="QFU48" i="8"/>
  <c r="QFT48" i="8"/>
  <c r="QFS48" i="8"/>
  <c r="QFR48" i="8"/>
  <c r="QFQ48" i="8"/>
  <c r="QFP48" i="8"/>
  <c r="QFO48" i="8"/>
  <c r="QFN48" i="8"/>
  <c r="QFM48" i="8"/>
  <c r="QFL48" i="8"/>
  <c r="QFK48" i="8"/>
  <c r="QFJ48" i="8"/>
  <c r="QFI48" i="8"/>
  <c r="QFH48" i="8"/>
  <c r="QFG48" i="8"/>
  <c r="QFF48" i="8"/>
  <c r="QFE48" i="8"/>
  <c r="QFD48" i="8"/>
  <c r="QFC48" i="8"/>
  <c r="QFB48" i="8"/>
  <c r="QFA48" i="8"/>
  <c r="QEZ48" i="8"/>
  <c r="QEY48" i="8"/>
  <c r="QEX48" i="8"/>
  <c r="QEW48" i="8"/>
  <c r="QEV48" i="8"/>
  <c r="QEU48" i="8"/>
  <c r="QET48" i="8"/>
  <c r="QES48" i="8"/>
  <c r="QER48" i="8"/>
  <c r="QEQ48" i="8"/>
  <c r="QEP48" i="8"/>
  <c r="QEO48" i="8"/>
  <c r="QEN48" i="8"/>
  <c r="QEM48" i="8"/>
  <c r="QEL48" i="8"/>
  <c r="QEK48" i="8"/>
  <c r="QEJ48" i="8"/>
  <c r="QEI48" i="8"/>
  <c r="QEH48" i="8"/>
  <c r="QEG48" i="8"/>
  <c r="QEF48" i="8"/>
  <c r="QEE48" i="8"/>
  <c r="QED48" i="8"/>
  <c r="QEC48" i="8"/>
  <c r="QEB48" i="8"/>
  <c r="QEA48" i="8"/>
  <c r="QDZ48" i="8"/>
  <c r="QDY48" i="8"/>
  <c r="QDX48" i="8"/>
  <c r="QDW48" i="8"/>
  <c r="QDV48" i="8"/>
  <c r="QDU48" i="8"/>
  <c r="QDT48" i="8"/>
  <c r="QDS48" i="8"/>
  <c r="QDR48" i="8"/>
  <c r="QDQ48" i="8"/>
  <c r="QDP48" i="8"/>
  <c r="QDO48" i="8"/>
  <c r="QDN48" i="8"/>
  <c r="QDM48" i="8"/>
  <c r="QDL48" i="8"/>
  <c r="QDK48" i="8"/>
  <c r="QDJ48" i="8"/>
  <c r="QDI48" i="8"/>
  <c r="QDH48" i="8"/>
  <c r="QDG48" i="8"/>
  <c r="QDF48" i="8"/>
  <c r="QDE48" i="8"/>
  <c r="QDD48" i="8"/>
  <c r="QDC48" i="8"/>
  <c r="QDB48" i="8"/>
  <c r="QDA48" i="8"/>
  <c r="QCZ48" i="8"/>
  <c r="QCY48" i="8"/>
  <c r="QCX48" i="8"/>
  <c r="QCW48" i="8"/>
  <c r="QCV48" i="8"/>
  <c r="QCU48" i="8"/>
  <c r="QCT48" i="8"/>
  <c r="QCS48" i="8"/>
  <c r="QCR48" i="8"/>
  <c r="QCQ48" i="8"/>
  <c r="QCP48" i="8"/>
  <c r="QCO48" i="8"/>
  <c r="QCN48" i="8"/>
  <c r="QCM48" i="8"/>
  <c r="QCL48" i="8"/>
  <c r="QCK48" i="8"/>
  <c r="QCJ48" i="8"/>
  <c r="QCI48" i="8"/>
  <c r="QCH48" i="8"/>
  <c r="QCG48" i="8"/>
  <c r="QCF48" i="8"/>
  <c r="QCE48" i="8"/>
  <c r="QCD48" i="8"/>
  <c r="QCC48" i="8"/>
  <c r="QCB48" i="8"/>
  <c r="QCA48" i="8"/>
  <c r="QBZ48" i="8"/>
  <c r="QBY48" i="8"/>
  <c r="QBX48" i="8"/>
  <c r="QBW48" i="8"/>
  <c r="QBV48" i="8"/>
  <c r="QBU48" i="8"/>
  <c r="QBT48" i="8"/>
  <c r="QBS48" i="8"/>
  <c r="QBR48" i="8"/>
  <c r="QBQ48" i="8"/>
  <c r="QBP48" i="8"/>
  <c r="QBO48" i="8"/>
  <c r="QBN48" i="8"/>
  <c r="QBM48" i="8"/>
  <c r="QBL48" i="8"/>
  <c r="QBK48" i="8"/>
  <c r="QBJ48" i="8"/>
  <c r="QBI48" i="8"/>
  <c r="QBH48" i="8"/>
  <c r="QBG48" i="8"/>
  <c r="QBF48" i="8"/>
  <c r="QBE48" i="8"/>
  <c r="QBD48" i="8"/>
  <c r="QBC48" i="8"/>
  <c r="QBB48" i="8"/>
  <c r="QBA48" i="8"/>
  <c r="QAZ48" i="8"/>
  <c r="QAY48" i="8"/>
  <c r="QAX48" i="8"/>
  <c r="QAW48" i="8"/>
  <c r="QAV48" i="8"/>
  <c r="QAU48" i="8"/>
  <c r="QAT48" i="8"/>
  <c r="QAS48" i="8"/>
  <c r="QAR48" i="8"/>
  <c r="QAQ48" i="8"/>
  <c r="QAP48" i="8"/>
  <c r="QAO48" i="8"/>
  <c r="QAN48" i="8"/>
  <c r="QAM48" i="8"/>
  <c r="QAL48" i="8"/>
  <c r="QAK48" i="8"/>
  <c r="QAJ48" i="8"/>
  <c r="QAI48" i="8"/>
  <c r="QAH48" i="8"/>
  <c r="QAG48" i="8"/>
  <c r="QAF48" i="8"/>
  <c r="QAE48" i="8"/>
  <c r="QAD48" i="8"/>
  <c r="QAC48" i="8"/>
  <c r="QAB48" i="8"/>
  <c r="QAA48" i="8"/>
  <c r="PZZ48" i="8"/>
  <c r="PZY48" i="8"/>
  <c r="PZX48" i="8"/>
  <c r="PZW48" i="8"/>
  <c r="PZV48" i="8"/>
  <c r="PZU48" i="8"/>
  <c r="PZT48" i="8"/>
  <c r="PZS48" i="8"/>
  <c r="PZR48" i="8"/>
  <c r="PZQ48" i="8"/>
  <c r="PZP48" i="8"/>
  <c r="PZO48" i="8"/>
  <c r="PZN48" i="8"/>
  <c r="PZM48" i="8"/>
  <c r="PZL48" i="8"/>
  <c r="PZK48" i="8"/>
  <c r="PZJ48" i="8"/>
  <c r="PZI48" i="8"/>
  <c r="PZH48" i="8"/>
  <c r="PZG48" i="8"/>
  <c r="PZF48" i="8"/>
  <c r="PZE48" i="8"/>
  <c r="PZD48" i="8"/>
  <c r="PZC48" i="8"/>
  <c r="PZB48" i="8"/>
  <c r="PZA48" i="8"/>
  <c r="PYZ48" i="8"/>
  <c r="PYY48" i="8"/>
  <c r="PYX48" i="8"/>
  <c r="PYW48" i="8"/>
  <c r="PYV48" i="8"/>
  <c r="PYU48" i="8"/>
  <c r="PYT48" i="8"/>
  <c r="PYS48" i="8"/>
  <c r="PYR48" i="8"/>
  <c r="PYQ48" i="8"/>
  <c r="PYP48" i="8"/>
  <c r="PYO48" i="8"/>
  <c r="PYN48" i="8"/>
  <c r="PYM48" i="8"/>
  <c r="PYL48" i="8"/>
  <c r="PYK48" i="8"/>
  <c r="PYJ48" i="8"/>
  <c r="PYI48" i="8"/>
  <c r="PYH48" i="8"/>
  <c r="PYG48" i="8"/>
  <c r="PYF48" i="8"/>
  <c r="PYE48" i="8"/>
  <c r="PYD48" i="8"/>
  <c r="PYC48" i="8"/>
  <c r="PYB48" i="8"/>
  <c r="PYA48" i="8"/>
  <c r="PXZ48" i="8"/>
  <c r="PXY48" i="8"/>
  <c r="PXX48" i="8"/>
  <c r="PXW48" i="8"/>
  <c r="PXV48" i="8"/>
  <c r="PXU48" i="8"/>
  <c r="PXT48" i="8"/>
  <c r="PXS48" i="8"/>
  <c r="PXR48" i="8"/>
  <c r="PXQ48" i="8"/>
  <c r="PXP48" i="8"/>
  <c r="PXO48" i="8"/>
  <c r="PXN48" i="8"/>
  <c r="PXM48" i="8"/>
  <c r="PXL48" i="8"/>
  <c r="PXK48" i="8"/>
  <c r="PXJ48" i="8"/>
  <c r="PXI48" i="8"/>
  <c r="PXH48" i="8"/>
  <c r="PXG48" i="8"/>
  <c r="PXF48" i="8"/>
  <c r="PXE48" i="8"/>
  <c r="PXD48" i="8"/>
  <c r="PXC48" i="8"/>
  <c r="PXB48" i="8"/>
  <c r="PXA48" i="8"/>
  <c r="PWZ48" i="8"/>
  <c r="PWY48" i="8"/>
  <c r="PWX48" i="8"/>
  <c r="PWW48" i="8"/>
  <c r="PWV48" i="8"/>
  <c r="PWU48" i="8"/>
  <c r="PWT48" i="8"/>
  <c r="PWS48" i="8"/>
  <c r="PWR48" i="8"/>
  <c r="PWQ48" i="8"/>
  <c r="PWP48" i="8"/>
  <c r="PWO48" i="8"/>
  <c r="PWN48" i="8"/>
  <c r="PWM48" i="8"/>
  <c r="PWL48" i="8"/>
  <c r="PWK48" i="8"/>
  <c r="PWJ48" i="8"/>
  <c r="PWI48" i="8"/>
  <c r="PWH48" i="8"/>
  <c r="PWG48" i="8"/>
  <c r="PWF48" i="8"/>
  <c r="PWE48" i="8"/>
  <c r="PWD48" i="8"/>
  <c r="PWC48" i="8"/>
  <c r="PWB48" i="8"/>
  <c r="PWA48" i="8"/>
  <c r="PVZ48" i="8"/>
  <c r="PVY48" i="8"/>
  <c r="PVX48" i="8"/>
  <c r="PVW48" i="8"/>
  <c r="PVV48" i="8"/>
  <c r="PVU48" i="8"/>
  <c r="PVT48" i="8"/>
  <c r="PVS48" i="8"/>
  <c r="PVR48" i="8"/>
  <c r="PVQ48" i="8"/>
  <c r="PVP48" i="8"/>
  <c r="PVO48" i="8"/>
  <c r="PVN48" i="8"/>
  <c r="PVM48" i="8"/>
  <c r="PVL48" i="8"/>
  <c r="PVK48" i="8"/>
  <c r="PVJ48" i="8"/>
  <c r="PVI48" i="8"/>
  <c r="PVH48" i="8"/>
  <c r="PVG48" i="8"/>
  <c r="PVF48" i="8"/>
  <c r="PVE48" i="8"/>
  <c r="PVD48" i="8"/>
  <c r="PVC48" i="8"/>
  <c r="PVB48" i="8"/>
  <c r="PVA48" i="8"/>
  <c r="PUZ48" i="8"/>
  <c r="PUY48" i="8"/>
  <c r="PUX48" i="8"/>
  <c r="PUW48" i="8"/>
  <c r="PUV48" i="8"/>
  <c r="PUU48" i="8"/>
  <c r="PUT48" i="8"/>
  <c r="PUS48" i="8"/>
  <c r="PUR48" i="8"/>
  <c r="PUQ48" i="8"/>
  <c r="PUP48" i="8"/>
  <c r="PUO48" i="8"/>
  <c r="PUN48" i="8"/>
  <c r="PUM48" i="8"/>
  <c r="PUL48" i="8"/>
  <c r="PUK48" i="8"/>
  <c r="PUJ48" i="8"/>
  <c r="PUI48" i="8"/>
  <c r="PUH48" i="8"/>
  <c r="PUG48" i="8"/>
  <c r="PUF48" i="8"/>
  <c r="PUE48" i="8"/>
  <c r="PUD48" i="8"/>
  <c r="PUC48" i="8"/>
  <c r="PUB48" i="8"/>
  <c r="PUA48" i="8"/>
  <c r="PTZ48" i="8"/>
  <c r="PTY48" i="8"/>
  <c r="PTX48" i="8"/>
  <c r="PTW48" i="8"/>
  <c r="PTV48" i="8"/>
  <c r="PTU48" i="8"/>
  <c r="PTT48" i="8"/>
  <c r="PTS48" i="8"/>
  <c r="PTR48" i="8"/>
  <c r="PTQ48" i="8"/>
  <c r="PTP48" i="8"/>
  <c r="PTO48" i="8"/>
  <c r="PTN48" i="8"/>
  <c r="PTM48" i="8"/>
  <c r="PTL48" i="8"/>
  <c r="PTK48" i="8"/>
  <c r="PTJ48" i="8"/>
  <c r="PTI48" i="8"/>
  <c r="PTH48" i="8"/>
  <c r="PTG48" i="8"/>
  <c r="PTF48" i="8"/>
  <c r="PTE48" i="8"/>
  <c r="PTD48" i="8"/>
  <c r="PTC48" i="8"/>
  <c r="PTB48" i="8"/>
  <c r="PTA48" i="8"/>
  <c r="PSZ48" i="8"/>
  <c r="PSY48" i="8"/>
  <c r="PSX48" i="8"/>
  <c r="PSW48" i="8"/>
  <c r="PSV48" i="8"/>
  <c r="PSU48" i="8"/>
  <c r="PST48" i="8"/>
  <c r="PSS48" i="8"/>
  <c r="PSR48" i="8"/>
  <c r="PSQ48" i="8"/>
  <c r="PSP48" i="8"/>
  <c r="PSO48" i="8"/>
  <c r="PSN48" i="8"/>
  <c r="PSM48" i="8"/>
  <c r="PSL48" i="8"/>
  <c r="PSK48" i="8"/>
  <c r="PSJ48" i="8"/>
  <c r="PSI48" i="8"/>
  <c r="PSH48" i="8"/>
  <c r="PSG48" i="8"/>
  <c r="PSF48" i="8"/>
  <c r="PSE48" i="8"/>
  <c r="PSD48" i="8"/>
  <c r="PSC48" i="8"/>
  <c r="PSB48" i="8"/>
  <c r="PSA48" i="8"/>
  <c r="PRZ48" i="8"/>
  <c r="PRY48" i="8"/>
  <c r="PRX48" i="8"/>
  <c r="PRW48" i="8"/>
  <c r="PRV48" i="8"/>
  <c r="PRU48" i="8"/>
  <c r="PRT48" i="8"/>
  <c r="PRS48" i="8"/>
  <c r="PRR48" i="8"/>
  <c r="PRQ48" i="8"/>
  <c r="PRP48" i="8"/>
  <c r="PRO48" i="8"/>
  <c r="PRN48" i="8"/>
  <c r="PRM48" i="8"/>
  <c r="PRL48" i="8"/>
  <c r="PRK48" i="8"/>
  <c r="PRJ48" i="8"/>
  <c r="PRI48" i="8"/>
  <c r="PRH48" i="8"/>
  <c r="PRG48" i="8"/>
  <c r="PRF48" i="8"/>
  <c r="PRE48" i="8"/>
  <c r="PRD48" i="8"/>
  <c r="PRC48" i="8"/>
  <c r="PRB48" i="8"/>
  <c r="PRA48" i="8"/>
  <c r="PQZ48" i="8"/>
  <c r="PQY48" i="8"/>
  <c r="PQX48" i="8"/>
  <c r="PQW48" i="8"/>
  <c r="PQV48" i="8"/>
  <c r="PQU48" i="8"/>
  <c r="PQT48" i="8"/>
  <c r="PQS48" i="8"/>
  <c r="PQR48" i="8"/>
  <c r="PQQ48" i="8"/>
  <c r="PQP48" i="8"/>
  <c r="PQO48" i="8"/>
  <c r="PQN48" i="8"/>
  <c r="PQM48" i="8"/>
  <c r="PQL48" i="8"/>
  <c r="PQK48" i="8"/>
  <c r="PQJ48" i="8"/>
  <c r="PQI48" i="8"/>
  <c r="PQH48" i="8"/>
  <c r="PQG48" i="8"/>
  <c r="PQF48" i="8"/>
  <c r="PQE48" i="8"/>
  <c r="PQD48" i="8"/>
  <c r="PQC48" i="8"/>
  <c r="PQB48" i="8"/>
  <c r="PQA48" i="8"/>
  <c r="PPZ48" i="8"/>
  <c r="PPY48" i="8"/>
  <c r="PPX48" i="8"/>
  <c r="PPW48" i="8"/>
  <c r="PPV48" i="8"/>
  <c r="PPU48" i="8"/>
  <c r="PPT48" i="8"/>
  <c r="PPS48" i="8"/>
  <c r="PPR48" i="8"/>
  <c r="PPQ48" i="8"/>
  <c r="PPP48" i="8"/>
  <c r="PPO48" i="8"/>
  <c r="PPN48" i="8"/>
  <c r="PPM48" i="8"/>
  <c r="PPL48" i="8"/>
  <c r="PPK48" i="8"/>
  <c r="PPJ48" i="8"/>
  <c r="PPI48" i="8"/>
  <c r="PPH48" i="8"/>
  <c r="PPG48" i="8"/>
  <c r="PPF48" i="8"/>
  <c r="PPE48" i="8"/>
  <c r="PPD48" i="8"/>
  <c r="PPC48" i="8"/>
  <c r="PPB48" i="8"/>
  <c r="PPA48" i="8"/>
  <c r="POZ48" i="8"/>
  <c r="POY48" i="8"/>
  <c r="POX48" i="8"/>
  <c r="POW48" i="8"/>
  <c r="POV48" i="8"/>
  <c r="POU48" i="8"/>
  <c r="POT48" i="8"/>
  <c r="POS48" i="8"/>
  <c r="POR48" i="8"/>
  <c r="POQ48" i="8"/>
  <c r="POP48" i="8"/>
  <c r="POO48" i="8"/>
  <c r="PON48" i="8"/>
  <c r="POM48" i="8"/>
  <c r="POL48" i="8"/>
  <c r="POK48" i="8"/>
  <c r="POJ48" i="8"/>
  <c r="POI48" i="8"/>
  <c r="POH48" i="8"/>
  <c r="POG48" i="8"/>
  <c r="POF48" i="8"/>
  <c r="POE48" i="8"/>
  <c r="POD48" i="8"/>
  <c r="POC48" i="8"/>
  <c r="POB48" i="8"/>
  <c r="POA48" i="8"/>
  <c r="PNZ48" i="8"/>
  <c r="PNY48" i="8"/>
  <c r="PNX48" i="8"/>
  <c r="PNW48" i="8"/>
  <c r="PNV48" i="8"/>
  <c r="PNU48" i="8"/>
  <c r="PNT48" i="8"/>
  <c r="PNS48" i="8"/>
  <c r="PNR48" i="8"/>
  <c r="PNQ48" i="8"/>
  <c r="PNP48" i="8"/>
  <c r="PNO48" i="8"/>
  <c r="PNN48" i="8"/>
  <c r="PNM48" i="8"/>
  <c r="PNL48" i="8"/>
  <c r="PNK48" i="8"/>
  <c r="PNJ48" i="8"/>
  <c r="PNI48" i="8"/>
  <c r="PNH48" i="8"/>
  <c r="PNG48" i="8"/>
  <c r="PNF48" i="8"/>
  <c r="PNE48" i="8"/>
  <c r="PND48" i="8"/>
  <c r="PNC48" i="8"/>
  <c r="PNB48" i="8"/>
  <c r="PNA48" i="8"/>
  <c r="PMZ48" i="8"/>
  <c r="PMY48" i="8"/>
  <c r="PMX48" i="8"/>
  <c r="PMW48" i="8"/>
  <c r="PMV48" i="8"/>
  <c r="PMU48" i="8"/>
  <c r="PMT48" i="8"/>
  <c r="PMS48" i="8"/>
  <c r="PMR48" i="8"/>
  <c r="PMQ48" i="8"/>
  <c r="PMP48" i="8"/>
  <c r="PMO48" i="8"/>
  <c r="PMN48" i="8"/>
  <c r="PMM48" i="8"/>
  <c r="PML48" i="8"/>
  <c r="PMK48" i="8"/>
  <c r="PMJ48" i="8"/>
  <c r="PMI48" i="8"/>
  <c r="PMH48" i="8"/>
  <c r="PMG48" i="8"/>
  <c r="PMF48" i="8"/>
  <c r="PME48" i="8"/>
  <c r="PMD48" i="8"/>
  <c r="PMC48" i="8"/>
  <c r="PMB48" i="8"/>
  <c r="PMA48" i="8"/>
  <c r="PLZ48" i="8"/>
  <c r="PLY48" i="8"/>
  <c r="PLX48" i="8"/>
  <c r="PLW48" i="8"/>
  <c r="PLV48" i="8"/>
  <c r="PLU48" i="8"/>
  <c r="PLT48" i="8"/>
  <c r="PLS48" i="8"/>
  <c r="PLR48" i="8"/>
  <c r="PLQ48" i="8"/>
  <c r="PLP48" i="8"/>
  <c r="PLO48" i="8"/>
  <c r="PLN48" i="8"/>
  <c r="PLM48" i="8"/>
  <c r="PLL48" i="8"/>
  <c r="PLK48" i="8"/>
  <c r="PLJ48" i="8"/>
  <c r="PLI48" i="8"/>
  <c r="PLH48" i="8"/>
  <c r="PLG48" i="8"/>
  <c r="PLF48" i="8"/>
  <c r="PLE48" i="8"/>
  <c r="PLD48" i="8"/>
  <c r="PLC48" i="8"/>
  <c r="PLB48" i="8"/>
  <c r="PLA48" i="8"/>
  <c r="PKZ48" i="8"/>
  <c r="PKY48" i="8"/>
  <c r="PKX48" i="8"/>
  <c r="PKW48" i="8"/>
  <c r="PKV48" i="8"/>
  <c r="PKU48" i="8"/>
  <c r="PKT48" i="8"/>
  <c r="PKS48" i="8"/>
  <c r="PKR48" i="8"/>
  <c r="PKQ48" i="8"/>
  <c r="PKP48" i="8"/>
  <c r="PKO48" i="8"/>
  <c r="PKN48" i="8"/>
  <c r="PKM48" i="8"/>
  <c r="PKL48" i="8"/>
  <c r="PKK48" i="8"/>
  <c r="PKJ48" i="8"/>
  <c r="PKI48" i="8"/>
  <c r="PKH48" i="8"/>
  <c r="PKG48" i="8"/>
  <c r="PKF48" i="8"/>
  <c r="PKE48" i="8"/>
  <c r="PKD48" i="8"/>
  <c r="PKC48" i="8"/>
  <c r="PKB48" i="8"/>
  <c r="PKA48" i="8"/>
  <c r="PJZ48" i="8"/>
  <c r="PJY48" i="8"/>
  <c r="PJX48" i="8"/>
  <c r="PJW48" i="8"/>
  <c r="PJV48" i="8"/>
  <c r="PJU48" i="8"/>
  <c r="PJT48" i="8"/>
  <c r="PJS48" i="8"/>
  <c r="PJR48" i="8"/>
  <c r="PJQ48" i="8"/>
  <c r="PJP48" i="8"/>
  <c r="PJO48" i="8"/>
  <c r="PJN48" i="8"/>
  <c r="PJM48" i="8"/>
  <c r="PJL48" i="8"/>
  <c r="PJK48" i="8"/>
  <c r="PJJ48" i="8"/>
  <c r="PJI48" i="8"/>
  <c r="PJH48" i="8"/>
  <c r="PJG48" i="8"/>
  <c r="PJF48" i="8"/>
  <c r="PJE48" i="8"/>
  <c r="PJD48" i="8"/>
  <c r="PJC48" i="8"/>
  <c r="PJB48" i="8"/>
  <c r="PJA48" i="8"/>
  <c r="PIZ48" i="8"/>
  <c r="PIY48" i="8"/>
  <c r="PIX48" i="8"/>
  <c r="PIW48" i="8"/>
  <c r="PIV48" i="8"/>
  <c r="PIU48" i="8"/>
  <c r="PIT48" i="8"/>
  <c r="PIS48" i="8"/>
  <c r="PIR48" i="8"/>
  <c r="PIQ48" i="8"/>
  <c r="PIP48" i="8"/>
  <c r="PIO48" i="8"/>
  <c r="PIN48" i="8"/>
  <c r="PIM48" i="8"/>
  <c r="PIL48" i="8"/>
  <c r="PIK48" i="8"/>
  <c r="PIJ48" i="8"/>
  <c r="PII48" i="8"/>
  <c r="PIH48" i="8"/>
  <c r="PIG48" i="8"/>
  <c r="PIF48" i="8"/>
  <c r="PIE48" i="8"/>
  <c r="PID48" i="8"/>
  <c r="PIC48" i="8"/>
  <c r="PIB48" i="8"/>
  <c r="PIA48" i="8"/>
  <c r="PHZ48" i="8"/>
  <c r="PHY48" i="8"/>
  <c r="PHX48" i="8"/>
  <c r="PHW48" i="8"/>
  <c r="PHV48" i="8"/>
  <c r="PHU48" i="8"/>
  <c r="PHT48" i="8"/>
  <c r="PHS48" i="8"/>
  <c r="PHR48" i="8"/>
  <c r="PHQ48" i="8"/>
  <c r="PHP48" i="8"/>
  <c r="PHO48" i="8"/>
  <c r="PHN48" i="8"/>
  <c r="PHM48" i="8"/>
  <c r="PHL48" i="8"/>
  <c r="PHK48" i="8"/>
  <c r="PHJ48" i="8"/>
  <c r="PHI48" i="8"/>
  <c r="PHH48" i="8"/>
  <c r="PHG48" i="8"/>
  <c r="PHF48" i="8"/>
  <c r="PHE48" i="8"/>
  <c r="PHD48" i="8"/>
  <c r="PHC48" i="8"/>
  <c r="PHB48" i="8"/>
  <c r="PHA48" i="8"/>
  <c r="PGZ48" i="8"/>
  <c r="PGY48" i="8"/>
  <c r="PGX48" i="8"/>
  <c r="PGW48" i="8"/>
  <c r="PGV48" i="8"/>
  <c r="PGU48" i="8"/>
  <c r="PGT48" i="8"/>
  <c r="PGS48" i="8"/>
  <c r="PGR48" i="8"/>
  <c r="PGQ48" i="8"/>
  <c r="PGP48" i="8"/>
  <c r="PGO48" i="8"/>
  <c r="PGN48" i="8"/>
  <c r="PGM48" i="8"/>
  <c r="PGL48" i="8"/>
  <c r="PGK48" i="8"/>
  <c r="PGJ48" i="8"/>
  <c r="PGI48" i="8"/>
  <c r="PGH48" i="8"/>
  <c r="PGG48" i="8"/>
  <c r="PGF48" i="8"/>
  <c r="PGE48" i="8"/>
  <c r="PGD48" i="8"/>
  <c r="PGC48" i="8"/>
  <c r="PGB48" i="8"/>
  <c r="PGA48" i="8"/>
  <c r="PFZ48" i="8"/>
  <c r="PFY48" i="8"/>
  <c r="PFX48" i="8"/>
  <c r="PFW48" i="8"/>
  <c r="PFV48" i="8"/>
  <c r="PFU48" i="8"/>
  <c r="PFT48" i="8"/>
  <c r="PFS48" i="8"/>
  <c r="PFR48" i="8"/>
  <c r="PFQ48" i="8"/>
  <c r="PFP48" i="8"/>
  <c r="PFO48" i="8"/>
  <c r="PFN48" i="8"/>
  <c r="PFM48" i="8"/>
  <c r="PFL48" i="8"/>
  <c r="PFK48" i="8"/>
  <c r="PFJ48" i="8"/>
  <c r="PFI48" i="8"/>
  <c r="PFH48" i="8"/>
  <c r="PFG48" i="8"/>
  <c r="PFF48" i="8"/>
  <c r="PFE48" i="8"/>
  <c r="PFD48" i="8"/>
  <c r="PFC48" i="8"/>
  <c r="PFB48" i="8"/>
  <c r="PFA48" i="8"/>
  <c r="PEZ48" i="8"/>
  <c r="PEY48" i="8"/>
  <c r="PEX48" i="8"/>
  <c r="PEW48" i="8"/>
  <c r="PEV48" i="8"/>
  <c r="PEU48" i="8"/>
  <c r="PET48" i="8"/>
  <c r="PES48" i="8"/>
  <c r="PER48" i="8"/>
  <c r="PEQ48" i="8"/>
  <c r="PEP48" i="8"/>
  <c r="PEO48" i="8"/>
  <c r="PEN48" i="8"/>
  <c r="PEM48" i="8"/>
  <c r="PEL48" i="8"/>
  <c r="PEK48" i="8"/>
  <c r="PEJ48" i="8"/>
  <c r="PEI48" i="8"/>
  <c r="PEH48" i="8"/>
  <c r="PEG48" i="8"/>
  <c r="PEF48" i="8"/>
  <c r="PEE48" i="8"/>
  <c r="PED48" i="8"/>
  <c r="PEC48" i="8"/>
  <c r="PEB48" i="8"/>
  <c r="PEA48" i="8"/>
  <c r="PDZ48" i="8"/>
  <c r="PDY48" i="8"/>
  <c r="PDX48" i="8"/>
  <c r="PDW48" i="8"/>
  <c r="PDV48" i="8"/>
  <c r="PDU48" i="8"/>
  <c r="PDT48" i="8"/>
  <c r="PDS48" i="8"/>
  <c r="PDR48" i="8"/>
  <c r="PDQ48" i="8"/>
  <c r="PDP48" i="8"/>
  <c r="PDO48" i="8"/>
  <c r="PDN48" i="8"/>
  <c r="PDM48" i="8"/>
  <c r="PDL48" i="8"/>
  <c r="PDK48" i="8"/>
  <c r="PDJ48" i="8"/>
  <c r="PDI48" i="8"/>
  <c r="PDH48" i="8"/>
  <c r="PDG48" i="8"/>
  <c r="PDF48" i="8"/>
  <c r="PDE48" i="8"/>
  <c r="PDD48" i="8"/>
  <c r="PDC48" i="8"/>
  <c r="PDB48" i="8"/>
  <c r="PDA48" i="8"/>
  <c r="PCZ48" i="8"/>
  <c r="PCY48" i="8"/>
  <c r="PCX48" i="8"/>
  <c r="PCW48" i="8"/>
  <c r="PCV48" i="8"/>
  <c r="PCU48" i="8"/>
  <c r="PCT48" i="8"/>
  <c r="PCS48" i="8"/>
  <c r="PCR48" i="8"/>
  <c r="PCQ48" i="8"/>
  <c r="PCP48" i="8"/>
  <c r="PCO48" i="8"/>
  <c r="PCN48" i="8"/>
  <c r="PCM48" i="8"/>
  <c r="PCL48" i="8"/>
  <c r="PCK48" i="8"/>
  <c r="PCJ48" i="8"/>
  <c r="PCI48" i="8"/>
  <c r="PCH48" i="8"/>
  <c r="PCG48" i="8"/>
  <c r="PCF48" i="8"/>
  <c r="PCE48" i="8"/>
  <c r="PCD48" i="8"/>
  <c r="PCC48" i="8"/>
  <c r="PCB48" i="8"/>
  <c r="PCA48" i="8"/>
  <c r="PBZ48" i="8"/>
  <c r="PBY48" i="8"/>
  <c r="PBX48" i="8"/>
  <c r="PBW48" i="8"/>
  <c r="PBV48" i="8"/>
  <c r="PBU48" i="8"/>
  <c r="PBT48" i="8"/>
  <c r="PBS48" i="8"/>
  <c r="PBR48" i="8"/>
  <c r="PBQ48" i="8"/>
  <c r="PBP48" i="8"/>
  <c r="PBO48" i="8"/>
  <c r="PBN48" i="8"/>
  <c r="PBM48" i="8"/>
  <c r="PBL48" i="8"/>
  <c r="PBK48" i="8"/>
  <c r="PBJ48" i="8"/>
  <c r="PBI48" i="8"/>
  <c r="PBH48" i="8"/>
  <c r="PBG48" i="8"/>
  <c r="PBF48" i="8"/>
  <c r="PBE48" i="8"/>
  <c r="PBD48" i="8"/>
  <c r="PBC48" i="8"/>
  <c r="PBB48" i="8"/>
  <c r="PBA48" i="8"/>
  <c r="PAZ48" i="8"/>
  <c r="PAY48" i="8"/>
  <c r="PAX48" i="8"/>
  <c r="PAW48" i="8"/>
  <c r="PAV48" i="8"/>
  <c r="PAU48" i="8"/>
  <c r="PAT48" i="8"/>
  <c r="PAS48" i="8"/>
  <c r="PAR48" i="8"/>
  <c r="PAQ48" i="8"/>
  <c r="PAP48" i="8"/>
  <c r="PAO48" i="8"/>
  <c r="PAN48" i="8"/>
  <c r="PAM48" i="8"/>
  <c r="PAL48" i="8"/>
  <c r="PAK48" i="8"/>
  <c r="PAJ48" i="8"/>
  <c r="PAI48" i="8"/>
  <c r="PAH48" i="8"/>
  <c r="PAG48" i="8"/>
  <c r="PAF48" i="8"/>
  <c r="PAE48" i="8"/>
  <c r="PAD48" i="8"/>
  <c r="PAC48" i="8"/>
  <c r="PAB48" i="8"/>
  <c r="PAA48" i="8"/>
  <c r="OZZ48" i="8"/>
  <c r="OZY48" i="8"/>
  <c r="OZX48" i="8"/>
  <c r="OZW48" i="8"/>
  <c r="OZV48" i="8"/>
  <c r="OZU48" i="8"/>
  <c r="OZT48" i="8"/>
  <c r="OZS48" i="8"/>
  <c r="OZR48" i="8"/>
  <c r="OZQ48" i="8"/>
  <c r="OZP48" i="8"/>
  <c r="OZO48" i="8"/>
  <c r="OZN48" i="8"/>
  <c r="OZM48" i="8"/>
  <c r="OZL48" i="8"/>
  <c r="OZK48" i="8"/>
  <c r="OZJ48" i="8"/>
  <c r="OZI48" i="8"/>
  <c r="OZH48" i="8"/>
  <c r="OZG48" i="8"/>
  <c r="OZF48" i="8"/>
  <c r="OZE48" i="8"/>
  <c r="OZD48" i="8"/>
  <c r="OZC48" i="8"/>
  <c r="OZB48" i="8"/>
  <c r="OZA48" i="8"/>
  <c r="OYZ48" i="8"/>
  <c r="OYY48" i="8"/>
  <c r="OYX48" i="8"/>
  <c r="OYW48" i="8"/>
  <c r="OYV48" i="8"/>
  <c r="OYU48" i="8"/>
  <c r="OYT48" i="8"/>
  <c r="OYS48" i="8"/>
  <c r="OYR48" i="8"/>
  <c r="OYQ48" i="8"/>
  <c r="OYP48" i="8"/>
  <c r="OYO48" i="8"/>
  <c r="OYN48" i="8"/>
  <c r="OYM48" i="8"/>
  <c r="OYL48" i="8"/>
  <c r="OYK48" i="8"/>
  <c r="OYJ48" i="8"/>
  <c r="OYI48" i="8"/>
  <c r="OYH48" i="8"/>
  <c r="OYG48" i="8"/>
  <c r="OYF48" i="8"/>
  <c r="OYE48" i="8"/>
  <c r="OYD48" i="8"/>
  <c r="OYC48" i="8"/>
  <c r="OYB48" i="8"/>
  <c r="OYA48" i="8"/>
  <c r="OXZ48" i="8"/>
  <c r="OXY48" i="8"/>
  <c r="OXX48" i="8"/>
  <c r="OXW48" i="8"/>
  <c r="OXV48" i="8"/>
  <c r="OXU48" i="8"/>
  <c r="OXT48" i="8"/>
  <c r="OXS48" i="8"/>
  <c r="OXR48" i="8"/>
  <c r="OXQ48" i="8"/>
  <c r="OXP48" i="8"/>
  <c r="OXO48" i="8"/>
  <c r="OXN48" i="8"/>
  <c r="OXM48" i="8"/>
  <c r="OXL48" i="8"/>
  <c r="OXK48" i="8"/>
  <c r="OXJ48" i="8"/>
  <c r="OXI48" i="8"/>
  <c r="OXH48" i="8"/>
  <c r="OXG48" i="8"/>
  <c r="OXF48" i="8"/>
  <c r="OXE48" i="8"/>
  <c r="OXD48" i="8"/>
  <c r="OXC48" i="8"/>
  <c r="OXB48" i="8"/>
  <c r="OXA48" i="8"/>
  <c r="OWZ48" i="8"/>
  <c r="OWY48" i="8"/>
  <c r="OWX48" i="8"/>
  <c r="OWW48" i="8"/>
  <c r="OWV48" i="8"/>
  <c r="OWU48" i="8"/>
  <c r="OWT48" i="8"/>
  <c r="OWS48" i="8"/>
  <c r="OWR48" i="8"/>
  <c r="OWQ48" i="8"/>
  <c r="OWP48" i="8"/>
  <c r="OWO48" i="8"/>
  <c r="OWN48" i="8"/>
  <c r="OWM48" i="8"/>
  <c r="OWL48" i="8"/>
  <c r="OWK48" i="8"/>
  <c r="OWJ48" i="8"/>
  <c r="OWI48" i="8"/>
  <c r="OWH48" i="8"/>
  <c r="OWG48" i="8"/>
  <c r="OWF48" i="8"/>
  <c r="OWE48" i="8"/>
  <c r="OWD48" i="8"/>
  <c r="OWC48" i="8"/>
  <c r="OWB48" i="8"/>
  <c r="OWA48" i="8"/>
  <c r="OVZ48" i="8"/>
  <c r="OVY48" i="8"/>
  <c r="OVX48" i="8"/>
  <c r="OVW48" i="8"/>
  <c r="OVV48" i="8"/>
  <c r="OVU48" i="8"/>
  <c r="OVT48" i="8"/>
  <c r="OVS48" i="8"/>
  <c r="OVR48" i="8"/>
  <c r="OVQ48" i="8"/>
  <c r="OVP48" i="8"/>
  <c r="OVO48" i="8"/>
  <c r="OVN48" i="8"/>
  <c r="OVM48" i="8"/>
  <c r="OVL48" i="8"/>
  <c r="OVK48" i="8"/>
  <c r="OVJ48" i="8"/>
  <c r="OVI48" i="8"/>
  <c r="OVH48" i="8"/>
  <c r="OVG48" i="8"/>
  <c r="OVF48" i="8"/>
  <c r="OVE48" i="8"/>
  <c r="OVD48" i="8"/>
  <c r="OVC48" i="8"/>
  <c r="OVB48" i="8"/>
  <c r="OVA48" i="8"/>
  <c r="OUZ48" i="8"/>
  <c r="OUY48" i="8"/>
  <c r="OUX48" i="8"/>
  <c r="OUW48" i="8"/>
  <c r="OUV48" i="8"/>
  <c r="OUU48" i="8"/>
  <c r="OUT48" i="8"/>
  <c r="OUS48" i="8"/>
  <c r="OUR48" i="8"/>
  <c r="OUQ48" i="8"/>
  <c r="OUP48" i="8"/>
  <c r="OUO48" i="8"/>
  <c r="OUN48" i="8"/>
  <c r="OUM48" i="8"/>
  <c r="OUL48" i="8"/>
  <c r="OUK48" i="8"/>
  <c r="OUJ48" i="8"/>
  <c r="OUI48" i="8"/>
  <c r="OUH48" i="8"/>
  <c r="OUG48" i="8"/>
  <c r="OUF48" i="8"/>
  <c r="OUE48" i="8"/>
  <c r="OUD48" i="8"/>
  <c r="OUC48" i="8"/>
  <c r="OUB48" i="8"/>
  <c r="OUA48" i="8"/>
  <c r="OTZ48" i="8"/>
  <c r="OTY48" i="8"/>
  <c r="OTX48" i="8"/>
  <c r="OTW48" i="8"/>
  <c r="OTV48" i="8"/>
  <c r="OTU48" i="8"/>
  <c r="OTT48" i="8"/>
  <c r="OTS48" i="8"/>
  <c r="OTR48" i="8"/>
  <c r="OTQ48" i="8"/>
  <c r="OTP48" i="8"/>
  <c r="OTO48" i="8"/>
  <c r="OTN48" i="8"/>
  <c r="OTM48" i="8"/>
  <c r="OTL48" i="8"/>
  <c r="OTK48" i="8"/>
  <c r="OTJ48" i="8"/>
  <c r="OTI48" i="8"/>
  <c r="OTH48" i="8"/>
  <c r="OTG48" i="8"/>
  <c r="OTF48" i="8"/>
  <c r="OTE48" i="8"/>
  <c r="OTD48" i="8"/>
  <c r="OTC48" i="8"/>
  <c r="OTB48" i="8"/>
  <c r="OTA48" i="8"/>
  <c r="OSZ48" i="8"/>
  <c r="OSY48" i="8"/>
  <c r="OSX48" i="8"/>
  <c r="OSW48" i="8"/>
  <c r="OSV48" i="8"/>
  <c r="OSU48" i="8"/>
  <c r="OST48" i="8"/>
  <c r="OSS48" i="8"/>
  <c r="OSR48" i="8"/>
  <c r="OSQ48" i="8"/>
  <c r="OSP48" i="8"/>
  <c r="OSO48" i="8"/>
  <c r="OSN48" i="8"/>
  <c r="OSM48" i="8"/>
  <c r="OSL48" i="8"/>
  <c r="OSK48" i="8"/>
  <c r="OSJ48" i="8"/>
  <c r="OSI48" i="8"/>
  <c r="OSH48" i="8"/>
  <c r="OSG48" i="8"/>
  <c r="OSF48" i="8"/>
  <c r="OSE48" i="8"/>
  <c r="OSD48" i="8"/>
  <c r="OSC48" i="8"/>
  <c r="OSB48" i="8"/>
  <c r="OSA48" i="8"/>
  <c r="ORZ48" i="8"/>
  <c r="ORY48" i="8"/>
  <c r="ORX48" i="8"/>
  <c r="ORW48" i="8"/>
  <c r="ORV48" i="8"/>
  <c r="ORU48" i="8"/>
  <c r="ORT48" i="8"/>
  <c r="ORS48" i="8"/>
  <c r="ORR48" i="8"/>
  <c r="ORQ48" i="8"/>
  <c r="ORP48" i="8"/>
  <c r="ORO48" i="8"/>
  <c r="ORN48" i="8"/>
  <c r="ORM48" i="8"/>
  <c r="ORL48" i="8"/>
  <c r="ORK48" i="8"/>
  <c r="ORJ48" i="8"/>
  <c r="ORI48" i="8"/>
  <c r="ORH48" i="8"/>
  <c r="ORG48" i="8"/>
  <c r="ORF48" i="8"/>
  <c r="ORE48" i="8"/>
  <c r="ORD48" i="8"/>
  <c r="ORC48" i="8"/>
  <c r="ORB48" i="8"/>
  <c r="ORA48" i="8"/>
  <c r="OQZ48" i="8"/>
  <c r="OQY48" i="8"/>
  <c r="OQX48" i="8"/>
  <c r="OQW48" i="8"/>
  <c r="OQV48" i="8"/>
  <c r="OQU48" i="8"/>
  <c r="OQT48" i="8"/>
  <c r="OQS48" i="8"/>
  <c r="OQR48" i="8"/>
  <c r="OQQ48" i="8"/>
  <c r="OQP48" i="8"/>
  <c r="OQO48" i="8"/>
  <c r="OQN48" i="8"/>
  <c r="OQM48" i="8"/>
  <c r="OQL48" i="8"/>
  <c r="OQK48" i="8"/>
  <c r="OQJ48" i="8"/>
  <c r="OQI48" i="8"/>
  <c r="OQH48" i="8"/>
  <c r="OQG48" i="8"/>
  <c r="OQF48" i="8"/>
  <c r="OQE48" i="8"/>
  <c r="OQD48" i="8"/>
  <c r="OQC48" i="8"/>
  <c r="OQB48" i="8"/>
  <c r="OQA48" i="8"/>
  <c r="OPZ48" i="8"/>
  <c r="OPY48" i="8"/>
  <c r="OPX48" i="8"/>
  <c r="OPW48" i="8"/>
  <c r="OPV48" i="8"/>
  <c r="OPU48" i="8"/>
  <c r="OPT48" i="8"/>
  <c r="OPS48" i="8"/>
  <c r="OPR48" i="8"/>
  <c r="OPQ48" i="8"/>
  <c r="OPP48" i="8"/>
  <c r="OPO48" i="8"/>
  <c r="OPN48" i="8"/>
  <c r="OPM48" i="8"/>
  <c r="OPL48" i="8"/>
  <c r="OPK48" i="8"/>
  <c r="OPJ48" i="8"/>
  <c r="OPI48" i="8"/>
  <c r="OPH48" i="8"/>
  <c r="OPG48" i="8"/>
  <c r="OPF48" i="8"/>
  <c r="OPE48" i="8"/>
  <c r="OPD48" i="8"/>
  <c r="OPC48" i="8"/>
  <c r="OPB48" i="8"/>
  <c r="OPA48" i="8"/>
  <c r="OOZ48" i="8"/>
  <c r="OOY48" i="8"/>
  <c r="OOX48" i="8"/>
  <c r="OOW48" i="8"/>
  <c r="OOV48" i="8"/>
  <c r="OOU48" i="8"/>
  <c r="OOT48" i="8"/>
  <c r="OOS48" i="8"/>
  <c r="OOR48" i="8"/>
  <c r="OOQ48" i="8"/>
  <c r="OOP48" i="8"/>
  <c r="OOO48" i="8"/>
  <c r="OON48" i="8"/>
  <c r="OOM48" i="8"/>
  <c r="OOL48" i="8"/>
  <c r="OOK48" i="8"/>
  <c r="OOJ48" i="8"/>
  <c r="OOI48" i="8"/>
  <c r="OOH48" i="8"/>
  <c r="OOG48" i="8"/>
  <c r="OOF48" i="8"/>
  <c r="OOE48" i="8"/>
  <c r="OOD48" i="8"/>
  <c r="OOC48" i="8"/>
  <c r="OOB48" i="8"/>
  <c r="OOA48" i="8"/>
  <c r="ONZ48" i="8"/>
  <c r="ONY48" i="8"/>
  <c r="ONX48" i="8"/>
  <c r="ONW48" i="8"/>
  <c r="ONV48" i="8"/>
  <c r="ONU48" i="8"/>
  <c r="ONT48" i="8"/>
  <c r="ONS48" i="8"/>
  <c r="ONR48" i="8"/>
  <c r="ONQ48" i="8"/>
  <c r="ONP48" i="8"/>
  <c r="ONO48" i="8"/>
  <c r="ONN48" i="8"/>
  <c r="ONM48" i="8"/>
  <c r="ONL48" i="8"/>
  <c r="ONK48" i="8"/>
  <c r="ONJ48" i="8"/>
  <c r="ONI48" i="8"/>
  <c r="ONH48" i="8"/>
  <c r="ONG48" i="8"/>
  <c r="ONF48" i="8"/>
  <c r="ONE48" i="8"/>
  <c r="OND48" i="8"/>
  <c r="ONC48" i="8"/>
  <c r="ONB48" i="8"/>
  <c r="ONA48" i="8"/>
  <c r="OMZ48" i="8"/>
  <c r="OMY48" i="8"/>
  <c r="OMX48" i="8"/>
  <c r="OMW48" i="8"/>
  <c r="OMV48" i="8"/>
  <c r="OMU48" i="8"/>
  <c r="OMT48" i="8"/>
  <c r="OMS48" i="8"/>
  <c r="OMR48" i="8"/>
  <c r="OMQ48" i="8"/>
  <c r="OMP48" i="8"/>
  <c r="OMO48" i="8"/>
  <c r="OMN48" i="8"/>
  <c r="OMM48" i="8"/>
  <c r="OML48" i="8"/>
  <c r="OMK48" i="8"/>
  <c r="OMJ48" i="8"/>
  <c r="OMI48" i="8"/>
  <c r="OMH48" i="8"/>
  <c r="OMG48" i="8"/>
  <c r="OMF48" i="8"/>
  <c r="OME48" i="8"/>
  <c r="OMD48" i="8"/>
  <c r="OMC48" i="8"/>
  <c r="OMB48" i="8"/>
  <c r="OMA48" i="8"/>
  <c r="OLZ48" i="8"/>
  <c r="OLY48" i="8"/>
  <c r="OLX48" i="8"/>
  <c r="OLW48" i="8"/>
  <c r="OLV48" i="8"/>
  <c r="OLU48" i="8"/>
  <c r="OLT48" i="8"/>
  <c r="OLS48" i="8"/>
  <c r="OLR48" i="8"/>
  <c r="OLQ48" i="8"/>
  <c r="OLP48" i="8"/>
  <c r="OLO48" i="8"/>
  <c r="OLN48" i="8"/>
  <c r="OLM48" i="8"/>
  <c r="OLL48" i="8"/>
  <c r="OLK48" i="8"/>
  <c r="OLJ48" i="8"/>
  <c r="OLI48" i="8"/>
  <c r="OLH48" i="8"/>
  <c r="OLG48" i="8"/>
  <c r="OLF48" i="8"/>
  <c r="OLE48" i="8"/>
  <c r="OLD48" i="8"/>
  <c r="OLC48" i="8"/>
  <c r="OLB48" i="8"/>
  <c r="OLA48" i="8"/>
  <c r="OKZ48" i="8"/>
  <c r="OKY48" i="8"/>
  <c r="OKX48" i="8"/>
  <c r="OKW48" i="8"/>
  <c r="OKV48" i="8"/>
  <c r="OKU48" i="8"/>
  <c r="OKT48" i="8"/>
  <c r="OKS48" i="8"/>
  <c r="OKR48" i="8"/>
  <c r="OKQ48" i="8"/>
  <c r="OKP48" i="8"/>
  <c r="OKO48" i="8"/>
  <c r="OKN48" i="8"/>
  <c r="OKM48" i="8"/>
  <c r="OKL48" i="8"/>
  <c r="OKK48" i="8"/>
  <c r="OKJ48" i="8"/>
  <c r="OKI48" i="8"/>
  <c r="OKH48" i="8"/>
  <c r="OKG48" i="8"/>
  <c r="OKF48" i="8"/>
  <c r="OKE48" i="8"/>
  <c r="OKD48" i="8"/>
  <c r="OKC48" i="8"/>
  <c r="OKB48" i="8"/>
  <c r="OKA48" i="8"/>
  <c r="OJZ48" i="8"/>
  <c r="OJY48" i="8"/>
  <c r="OJX48" i="8"/>
  <c r="OJW48" i="8"/>
  <c r="OJV48" i="8"/>
  <c r="OJU48" i="8"/>
  <c r="OJT48" i="8"/>
  <c r="OJS48" i="8"/>
  <c r="OJR48" i="8"/>
  <c r="OJQ48" i="8"/>
  <c r="OJP48" i="8"/>
  <c r="OJO48" i="8"/>
  <c r="OJN48" i="8"/>
  <c r="OJM48" i="8"/>
  <c r="OJL48" i="8"/>
  <c r="OJK48" i="8"/>
  <c r="OJJ48" i="8"/>
  <c r="OJI48" i="8"/>
  <c r="OJH48" i="8"/>
  <c r="OJG48" i="8"/>
  <c r="OJF48" i="8"/>
  <c r="OJE48" i="8"/>
  <c r="OJD48" i="8"/>
  <c r="OJC48" i="8"/>
  <c r="OJB48" i="8"/>
  <c r="OJA48" i="8"/>
  <c r="OIZ48" i="8"/>
  <c r="OIY48" i="8"/>
  <c r="OIX48" i="8"/>
  <c r="OIW48" i="8"/>
  <c r="OIV48" i="8"/>
  <c r="OIU48" i="8"/>
  <c r="OIT48" i="8"/>
  <c r="OIS48" i="8"/>
  <c r="OIR48" i="8"/>
  <c r="OIQ48" i="8"/>
  <c r="OIP48" i="8"/>
  <c r="OIO48" i="8"/>
  <c r="OIN48" i="8"/>
  <c r="OIM48" i="8"/>
  <c r="OIL48" i="8"/>
  <c r="OIK48" i="8"/>
  <c r="OIJ48" i="8"/>
  <c r="OII48" i="8"/>
  <c r="OIH48" i="8"/>
  <c r="OIG48" i="8"/>
  <c r="OIF48" i="8"/>
  <c r="OIE48" i="8"/>
  <c r="OID48" i="8"/>
  <c r="OIC48" i="8"/>
  <c r="OIB48" i="8"/>
  <c r="OIA48" i="8"/>
  <c r="OHZ48" i="8"/>
  <c r="OHY48" i="8"/>
  <c r="OHX48" i="8"/>
  <c r="OHW48" i="8"/>
  <c r="OHV48" i="8"/>
  <c r="OHU48" i="8"/>
  <c r="OHT48" i="8"/>
  <c r="OHS48" i="8"/>
  <c r="OHR48" i="8"/>
  <c r="OHQ48" i="8"/>
  <c r="OHP48" i="8"/>
  <c r="OHO48" i="8"/>
  <c r="OHN48" i="8"/>
  <c r="OHM48" i="8"/>
  <c r="OHL48" i="8"/>
  <c r="OHK48" i="8"/>
  <c r="OHJ48" i="8"/>
  <c r="OHI48" i="8"/>
  <c r="OHH48" i="8"/>
  <c r="OHG48" i="8"/>
  <c r="OHF48" i="8"/>
  <c r="OHE48" i="8"/>
  <c r="OHD48" i="8"/>
  <c r="OHC48" i="8"/>
  <c r="OHB48" i="8"/>
  <c r="OHA48" i="8"/>
  <c r="OGZ48" i="8"/>
  <c r="OGY48" i="8"/>
  <c r="OGX48" i="8"/>
  <c r="OGW48" i="8"/>
  <c r="OGV48" i="8"/>
  <c r="OGU48" i="8"/>
  <c r="OGT48" i="8"/>
  <c r="OGS48" i="8"/>
  <c r="OGR48" i="8"/>
  <c r="OGQ48" i="8"/>
  <c r="OGP48" i="8"/>
  <c r="OGO48" i="8"/>
  <c r="OGN48" i="8"/>
  <c r="OGM48" i="8"/>
  <c r="OGL48" i="8"/>
  <c r="OGK48" i="8"/>
  <c r="OGJ48" i="8"/>
  <c r="OGI48" i="8"/>
  <c r="OGH48" i="8"/>
  <c r="OGG48" i="8"/>
  <c r="OGF48" i="8"/>
  <c r="OGE48" i="8"/>
  <c r="OGD48" i="8"/>
  <c r="OGC48" i="8"/>
  <c r="OGB48" i="8"/>
  <c r="OGA48" i="8"/>
  <c r="OFZ48" i="8"/>
  <c r="OFY48" i="8"/>
  <c r="OFX48" i="8"/>
  <c r="OFW48" i="8"/>
  <c r="OFV48" i="8"/>
  <c r="OFU48" i="8"/>
  <c r="OFT48" i="8"/>
  <c r="OFS48" i="8"/>
  <c r="OFR48" i="8"/>
  <c r="OFQ48" i="8"/>
  <c r="OFP48" i="8"/>
  <c r="OFO48" i="8"/>
  <c r="OFN48" i="8"/>
  <c r="OFM48" i="8"/>
  <c r="OFL48" i="8"/>
  <c r="OFK48" i="8"/>
  <c r="OFJ48" i="8"/>
  <c r="OFI48" i="8"/>
  <c r="OFH48" i="8"/>
  <c r="OFG48" i="8"/>
  <c r="OFF48" i="8"/>
  <c r="OFE48" i="8"/>
  <c r="OFD48" i="8"/>
  <c r="OFC48" i="8"/>
  <c r="OFB48" i="8"/>
  <c r="OFA48" i="8"/>
  <c r="OEZ48" i="8"/>
  <c r="OEY48" i="8"/>
  <c r="OEX48" i="8"/>
  <c r="OEW48" i="8"/>
  <c r="OEV48" i="8"/>
  <c r="OEU48" i="8"/>
  <c r="OET48" i="8"/>
  <c r="OES48" i="8"/>
  <c r="OER48" i="8"/>
  <c r="OEQ48" i="8"/>
  <c r="OEP48" i="8"/>
  <c r="OEO48" i="8"/>
  <c r="OEN48" i="8"/>
  <c r="OEM48" i="8"/>
  <c r="OEL48" i="8"/>
  <c r="OEK48" i="8"/>
  <c r="OEJ48" i="8"/>
  <c r="OEI48" i="8"/>
  <c r="OEH48" i="8"/>
  <c r="OEG48" i="8"/>
  <c r="OEF48" i="8"/>
  <c r="OEE48" i="8"/>
  <c r="OED48" i="8"/>
  <c r="OEC48" i="8"/>
  <c r="OEB48" i="8"/>
  <c r="OEA48" i="8"/>
  <c r="ODZ48" i="8"/>
  <c r="ODY48" i="8"/>
  <c r="ODX48" i="8"/>
  <c r="ODW48" i="8"/>
  <c r="ODV48" i="8"/>
  <c r="ODU48" i="8"/>
  <c r="ODT48" i="8"/>
  <c r="ODS48" i="8"/>
  <c r="ODR48" i="8"/>
  <c r="ODQ48" i="8"/>
  <c r="ODP48" i="8"/>
  <c r="ODO48" i="8"/>
  <c r="ODN48" i="8"/>
  <c r="ODM48" i="8"/>
  <c r="ODL48" i="8"/>
  <c r="ODK48" i="8"/>
  <c r="ODJ48" i="8"/>
  <c r="ODI48" i="8"/>
  <c r="ODH48" i="8"/>
  <c r="ODG48" i="8"/>
  <c r="ODF48" i="8"/>
  <c r="ODE48" i="8"/>
  <c r="ODD48" i="8"/>
  <c r="ODC48" i="8"/>
  <c r="ODB48" i="8"/>
  <c r="ODA48" i="8"/>
  <c r="OCZ48" i="8"/>
  <c r="OCY48" i="8"/>
  <c r="OCX48" i="8"/>
  <c r="OCW48" i="8"/>
  <c r="OCV48" i="8"/>
  <c r="OCU48" i="8"/>
  <c r="OCT48" i="8"/>
  <c r="OCS48" i="8"/>
  <c r="OCR48" i="8"/>
  <c r="OCQ48" i="8"/>
  <c r="OCP48" i="8"/>
  <c r="OCO48" i="8"/>
  <c r="OCN48" i="8"/>
  <c r="OCM48" i="8"/>
  <c r="OCL48" i="8"/>
  <c r="OCK48" i="8"/>
  <c r="OCJ48" i="8"/>
  <c r="OCI48" i="8"/>
  <c r="OCH48" i="8"/>
  <c r="OCG48" i="8"/>
  <c r="OCF48" i="8"/>
  <c r="OCE48" i="8"/>
  <c r="OCD48" i="8"/>
  <c r="OCC48" i="8"/>
  <c r="OCB48" i="8"/>
  <c r="OCA48" i="8"/>
  <c r="OBZ48" i="8"/>
  <c r="OBY48" i="8"/>
  <c r="OBX48" i="8"/>
  <c r="OBW48" i="8"/>
  <c r="OBV48" i="8"/>
  <c r="OBU48" i="8"/>
  <c r="OBT48" i="8"/>
  <c r="OBS48" i="8"/>
  <c r="OBR48" i="8"/>
  <c r="OBQ48" i="8"/>
  <c r="OBP48" i="8"/>
  <c r="OBO48" i="8"/>
  <c r="OBN48" i="8"/>
  <c r="OBM48" i="8"/>
  <c r="OBL48" i="8"/>
  <c r="OBK48" i="8"/>
  <c r="OBJ48" i="8"/>
  <c r="OBI48" i="8"/>
  <c r="OBH48" i="8"/>
  <c r="OBG48" i="8"/>
  <c r="OBF48" i="8"/>
  <c r="OBE48" i="8"/>
  <c r="OBD48" i="8"/>
  <c r="OBC48" i="8"/>
  <c r="OBB48" i="8"/>
  <c r="OBA48" i="8"/>
  <c r="OAZ48" i="8"/>
  <c r="OAY48" i="8"/>
  <c r="OAX48" i="8"/>
  <c r="OAW48" i="8"/>
  <c r="OAV48" i="8"/>
  <c r="OAU48" i="8"/>
  <c r="OAT48" i="8"/>
  <c r="OAS48" i="8"/>
  <c r="OAR48" i="8"/>
  <c r="OAQ48" i="8"/>
  <c r="OAP48" i="8"/>
  <c r="OAO48" i="8"/>
  <c r="OAN48" i="8"/>
  <c r="OAM48" i="8"/>
  <c r="OAL48" i="8"/>
  <c r="OAK48" i="8"/>
  <c r="OAJ48" i="8"/>
  <c r="OAI48" i="8"/>
  <c r="OAH48" i="8"/>
  <c r="OAG48" i="8"/>
  <c r="OAF48" i="8"/>
  <c r="OAE48" i="8"/>
  <c r="OAD48" i="8"/>
  <c r="OAC48" i="8"/>
  <c r="OAB48" i="8"/>
  <c r="OAA48" i="8"/>
  <c r="NZZ48" i="8"/>
  <c r="NZY48" i="8"/>
  <c r="NZX48" i="8"/>
  <c r="NZW48" i="8"/>
  <c r="NZV48" i="8"/>
  <c r="NZU48" i="8"/>
  <c r="NZT48" i="8"/>
  <c r="NZS48" i="8"/>
  <c r="NZR48" i="8"/>
  <c r="NZQ48" i="8"/>
  <c r="NZP48" i="8"/>
  <c r="NZO48" i="8"/>
  <c r="NZN48" i="8"/>
  <c r="NZM48" i="8"/>
  <c r="NZL48" i="8"/>
  <c r="NZK48" i="8"/>
  <c r="NZJ48" i="8"/>
  <c r="NZI48" i="8"/>
  <c r="NZH48" i="8"/>
  <c r="NZG48" i="8"/>
  <c r="NZF48" i="8"/>
  <c r="NZE48" i="8"/>
  <c r="NZD48" i="8"/>
  <c r="NZC48" i="8"/>
  <c r="NZB48" i="8"/>
  <c r="NZA48" i="8"/>
  <c r="NYZ48" i="8"/>
  <c r="NYY48" i="8"/>
  <c r="NYX48" i="8"/>
  <c r="NYW48" i="8"/>
  <c r="NYV48" i="8"/>
  <c r="NYU48" i="8"/>
  <c r="NYT48" i="8"/>
  <c r="NYS48" i="8"/>
  <c r="NYR48" i="8"/>
  <c r="NYQ48" i="8"/>
  <c r="NYP48" i="8"/>
  <c r="NYO48" i="8"/>
  <c r="NYN48" i="8"/>
  <c r="NYM48" i="8"/>
  <c r="NYL48" i="8"/>
  <c r="NYK48" i="8"/>
  <c r="NYJ48" i="8"/>
  <c r="NYI48" i="8"/>
  <c r="NYH48" i="8"/>
  <c r="NYG48" i="8"/>
  <c r="NYF48" i="8"/>
  <c r="NYE48" i="8"/>
  <c r="NYD48" i="8"/>
  <c r="NYC48" i="8"/>
  <c r="NYB48" i="8"/>
  <c r="NYA48" i="8"/>
  <c r="NXZ48" i="8"/>
  <c r="NXY48" i="8"/>
  <c r="NXX48" i="8"/>
  <c r="NXW48" i="8"/>
  <c r="NXV48" i="8"/>
  <c r="NXU48" i="8"/>
  <c r="NXT48" i="8"/>
  <c r="NXS48" i="8"/>
  <c r="NXR48" i="8"/>
  <c r="NXQ48" i="8"/>
  <c r="NXP48" i="8"/>
  <c r="NXO48" i="8"/>
  <c r="NXN48" i="8"/>
  <c r="NXM48" i="8"/>
  <c r="NXL48" i="8"/>
  <c r="NXK48" i="8"/>
  <c r="NXJ48" i="8"/>
  <c r="NXI48" i="8"/>
  <c r="NXH48" i="8"/>
  <c r="NXG48" i="8"/>
  <c r="NXF48" i="8"/>
  <c r="NXE48" i="8"/>
  <c r="NXD48" i="8"/>
  <c r="NXC48" i="8"/>
  <c r="NXB48" i="8"/>
  <c r="NXA48" i="8"/>
  <c r="NWZ48" i="8"/>
  <c r="NWY48" i="8"/>
  <c r="NWX48" i="8"/>
  <c r="NWW48" i="8"/>
  <c r="NWV48" i="8"/>
  <c r="NWU48" i="8"/>
  <c r="NWT48" i="8"/>
  <c r="NWS48" i="8"/>
  <c r="NWR48" i="8"/>
  <c r="NWQ48" i="8"/>
  <c r="NWP48" i="8"/>
  <c r="NWO48" i="8"/>
  <c r="NWN48" i="8"/>
  <c r="NWM48" i="8"/>
  <c r="NWL48" i="8"/>
  <c r="NWK48" i="8"/>
  <c r="NWJ48" i="8"/>
  <c r="NWI48" i="8"/>
  <c r="NWH48" i="8"/>
  <c r="NWG48" i="8"/>
  <c r="NWF48" i="8"/>
  <c r="NWE48" i="8"/>
  <c r="NWD48" i="8"/>
  <c r="NWC48" i="8"/>
  <c r="NWB48" i="8"/>
  <c r="NWA48" i="8"/>
  <c r="NVZ48" i="8"/>
  <c r="NVY48" i="8"/>
  <c r="NVX48" i="8"/>
  <c r="NVW48" i="8"/>
  <c r="NVV48" i="8"/>
  <c r="NVU48" i="8"/>
  <c r="NVT48" i="8"/>
  <c r="NVS48" i="8"/>
  <c r="NVR48" i="8"/>
  <c r="NVQ48" i="8"/>
  <c r="NVP48" i="8"/>
  <c r="NVO48" i="8"/>
  <c r="NVN48" i="8"/>
  <c r="NVM48" i="8"/>
  <c r="NVL48" i="8"/>
  <c r="NVK48" i="8"/>
  <c r="NVJ48" i="8"/>
  <c r="NVI48" i="8"/>
  <c r="NVH48" i="8"/>
  <c r="NVG48" i="8"/>
  <c r="NVF48" i="8"/>
  <c r="NVE48" i="8"/>
  <c r="NVD48" i="8"/>
  <c r="NVC48" i="8"/>
  <c r="NVB48" i="8"/>
  <c r="NVA48" i="8"/>
  <c r="NUZ48" i="8"/>
  <c r="NUY48" i="8"/>
  <c r="NUX48" i="8"/>
  <c r="NUW48" i="8"/>
  <c r="NUV48" i="8"/>
  <c r="NUU48" i="8"/>
  <c r="NUT48" i="8"/>
  <c r="NUS48" i="8"/>
  <c r="NUR48" i="8"/>
  <c r="NUQ48" i="8"/>
  <c r="NUP48" i="8"/>
  <c r="NUO48" i="8"/>
  <c r="NUN48" i="8"/>
  <c r="NUM48" i="8"/>
  <c r="NUL48" i="8"/>
  <c r="NUK48" i="8"/>
  <c r="NUJ48" i="8"/>
  <c r="NUI48" i="8"/>
  <c r="NUH48" i="8"/>
  <c r="NUG48" i="8"/>
  <c r="NUF48" i="8"/>
  <c r="NUE48" i="8"/>
  <c r="NUD48" i="8"/>
  <c r="NUC48" i="8"/>
  <c r="NUB48" i="8"/>
  <c r="NUA48" i="8"/>
  <c r="NTZ48" i="8"/>
  <c r="NTY48" i="8"/>
  <c r="NTX48" i="8"/>
  <c r="NTW48" i="8"/>
  <c r="NTV48" i="8"/>
  <c r="NTU48" i="8"/>
  <c r="NTT48" i="8"/>
  <c r="NTS48" i="8"/>
  <c r="NTR48" i="8"/>
  <c r="NTQ48" i="8"/>
  <c r="NTP48" i="8"/>
  <c r="NTO48" i="8"/>
  <c r="NTN48" i="8"/>
  <c r="NTM48" i="8"/>
  <c r="NTL48" i="8"/>
  <c r="NTK48" i="8"/>
  <c r="NTJ48" i="8"/>
  <c r="NTI48" i="8"/>
  <c r="NTH48" i="8"/>
  <c r="NTG48" i="8"/>
  <c r="NTF48" i="8"/>
  <c r="NTE48" i="8"/>
  <c r="NTD48" i="8"/>
  <c r="NTC48" i="8"/>
  <c r="NTB48" i="8"/>
  <c r="NTA48" i="8"/>
  <c r="NSZ48" i="8"/>
  <c r="NSY48" i="8"/>
  <c r="NSX48" i="8"/>
  <c r="NSW48" i="8"/>
  <c r="NSV48" i="8"/>
  <c r="NSU48" i="8"/>
  <c r="NST48" i="8"/>
  <c r="NSS48" i="8"/>
  <c r="NSR48" i="8"/>
  <c r="NSQ48" i="8"/>
  <c r="NSP48" i="8"/>
  <c r="NSO48" i="8"/>
  <c r="NSN48" i="8"/>
  <c r="NSM48" i="8"/>
  <c r="NSL48" i="8"/>
  <c r="NSK48" i="8"/>
  <c r="NSJ48" i="8"/>
  <c r="NSI48" i="8"/>
  <c r="NSH48" i="8"/>
  <c r="NSG48" i="8"/>
  <c r="NSF48" i="8"/>
  <c r="NSE48" i="8"/>
  <c r="NSD48" i="8"/>
  <c r="NSC48" i="8"/>
  <c r="NSB48" i="8"/>
  <c r="NSA48" i="8"/>
  <c r="NRZ48" i="8"/>
  <c r="NRY48" i="8"/>
  <c r="NRX48" i="8"/>
  <c r="NRW48" i="8"/>
  <c r="NRV48" i="8"/>
  <c r="NRU48" i="8"/>
  <c r="NRT48" i="8"/>
  <c r="NRS48" i="8"/>
  <c r="NRR48" i="8"/>
  <c r="NRQ48" i="8"/>
  <c r="NRP48" i="8"/>
  <c r="NRO48" i="8"/>
  <c r="NRN48" i="8"/>
  <c r="NRM48" i="8"/>
  <c r="NRL48" i="8"/>
  <c r="NRK48" i="8"/>
  <c r="NRJ48" i="8"/>
  <c r="NRI48" i="8"/>
  <c r="NRH48" i="8"/>
  <c r="NRG48" i="8"/>
  <c r="NRF48" i="8"/>
  <c r="NRE48" i="8"/>
  <c r="NRD48" i="8"/>
  <c r="NRC48" i="8"/>
  <c r="NRB48" i="8"/>
  <c r="NRA48" i="8"/>
  <c r="NQZ48" i="8"/>
  <c r="NQY48" i="8"/>
  <c r="NQX48" i="8"/>
  <c r="NQW48" i="8"/>
  <c r="NQV48" i="8"/>
  <c r="NQU48" i="8"/>
  <c r="NQT48" i="8"/>
  <c r="NQS48" i="8"/>
  <c r="NQR48" i="8"/>
  <c r="NQQ48" i="8"/>
  <c r="NQP48" i="8"/>
  <c r="NQO48" i="8"/>
  <c r="NQN48" i="8"/>
  <c r="NQM48" i="8"/>
  <c r="NQL48" i="8"/>
  <c r="NQK48" i="8"/>
  <c r="NQJ48" i="8"/>
  <c r="NQI48" i="8"/>
  <c r="NQH48" i="8"/>
  <c r="NQG48" i="8"/>
  <c r="NQF48" i="8"/>
  <c r="NQE48" i="8"/>
  <c r="NQD48" i="8"/>
  <c r="NQC48" i="8"/>
  <c r="NQB48" i="8"/>
  <c r="NQA48" i="8"/>
  <c r="NPZ48" i="8"/>
  <c r="NPY48" i="8"/>
  <c r="NPX48" i="8"/>
  <c r="NPW48" i="8"/>
  <c r="NPV48" i="8"/>
  <c r="NPU48" i="8"/>
  <c r="NPT48" i="8"/>
  <c r="NPS48" i="8"/>
  <c r="NPR48" i="8"/>
  <c r="NPQ48" i="8"/>
  <c r="NPP48" i="8"/>
  <c r="NPO48" i="8"/>
  <c r="NPN48" i="8"/>
  <c r="NPM48" i="8"/>
  <c r="NPL48" i="8"/>
  <c r="NPK48" i="8"/>
  <c r="NPJ48" i="8"/>
  <c r="NPI48" i="8"/>
  <c r="NPH48" i="8"/>
  <c r="NPG48" i="8"/>
  <c r="NPF48" i="8"/>
  <c r="NPE48" i="8"/>
  <c r="NPD48" i="8"/>
  <c r="NPC48" i="8"/>
  <c r="NPB48" i="8"/>
  <c r="NPA48" i="8"/>
  <c r="NOZ48" i="8"/>
  <c r="NOY48" i="8"/>
  <c r="NOX48" i="8"/>
  <c r="NOW48" i="8"/>
  <c r="NOV48" i="8"/>
  <c r="NOU48" i="8"/>
  <c r="NOT48" i="8"/>
  <c r="NOS48" i="8"/>
  <c r="NOR48" i="8"/>
  <c r="NOQ48" i="8"/>
  <c r="NOP48" i="8"/>
  <c r="NOO48" i="8"/>
  <c r="NON48" i="8"/>
  <c r="NOM48" i="8"/>
  <c r="NOL48" i="8"/>
  <c r="NOK48" i="8"/>
  <c r="NOJ48" i="8"/>
  <c r="NOI48" i="8"/>
  <c r="NOH48" i="8"/>
  <c r="NOG48" i="8"/>
  <c r="NOF48" i="8"/>
  <c r="NOE48" i="8"/>
  <c r="NOD48" i="8"/>
  <c r="NOC48" i="8"/>
  <c r="NOB48" i="8"/>
  <c r="NOA48" i="8"/>
  <c r="NNZ48" i="8"/>
  <c r="NNY48" i="8"/>
  <c r="NNX48" i="8"/>
  <c r="NNW48" i="8"/>
  <c r="NNV48" i="8"/>
  <c r="NNU48" i="8"/>
  <c r="NNT48" i="8"/>
  <c r="NNS48" i="8"/>
  <c r="NNR48" i="8"/>
  <c r="NNQ48" i="8"/>
  <c r="NNP48" i="8"/>
  <c r="NNO48" i="8"/>
  <c r="NNN48" i="8"/>
  <c r="NNM48" i="8"/>
  <c r="NNL48" i="8"/>
  <c r="NNK48" i="8"/>
  <c r="NNJ48" i="8"/>
  <c r="NNI48" i="8"/>
  <c r="NNH48" i="8"/>
  <c r="NNG48" i="8"/>
  <c r="NNF48" i="8"/>
  <c r="NNE48" i="8"/>
  <c r="NND48" i="8"/>
  <c r="NNC48" i="8"/>
  <c r="NNB48" i="8"/>
  <c r="NNA48" i="8"/>
  <c r="NMZ48" i="8"/>
  <c r="NMY48" i="8"/>
  <c r="NMX48" i="8"/>
  <c r="NMW48" i="8"/>
  <c r="NMV48" i="8"/>
  <c r="NMU48" i="8"/>
  <c r="NMT48" i="8"/>
  <c r="NMS48" i="8"/>
  <c r="NMR48" i="8"/>
  <c r="NMQ48" i="8"/>
  <c r="NMP48" i="8"/>
  <c r="NMO48" i="8"/>
  <c r="NMN48" i="8"/>
  <c r="NMM48" i="8"/>
  <c r="NML48" i="8"/>
  <c r="NMK48" i="8"/>
  <c r="NMJ48" i="8"/>
  <c r="NMI48" i="8"/>
  <c r="NMH48" i="8"/>
  <c r="NMG48" i="8"/>
  <c r="NMF48" i="8"/>
  <c r="NME48" i="8"/>
  <c r="NMD48" i="8"/>
  <c r="NMC48" i="8"/>
  <c r="NMB48" i="8"/>
  <c r="NMA48" i="8"/>
  <c r="NLZ48" i="8"/>
  <c r="NLY48" i="8"/>
  <c r="NLX48" i="8"/>
  <c r="NLW48" i="8"/>
  <c r="NLV48" i="8"/>
  <c r="NLU48" i="8"/>
  <c r="NLT48" i="8"/>
  <c r="NLS48" i="8"/>
  <c r="NLR48" i="8"/>
  <c r="NLQ48" i="8"/>
  <c r="NLP48" i="8"/>
  <c r="NLO48" i="8"/>
  <c r="NLN48" i="8"/>
  <c r="NLM48" i="8"/>
  <c r="NLL48" i="8"/>
  <c r="NLK48" i="8"/>
  <c r="NLJ48" i="8"/>
  <c r="NLI48" i="8"/>
  <c r="NLH48" i="8"/>
  <c r="NLG48" i="8"/>
  <c r="NLF48" i="8"/>
  <c r="NLE48" i="8"/>
  <c r="NLD48" i="8"/>
  <c r="NLC48" i="8"/>
  <c r="NLB48" i="8"/>
  <c r="NLA48" i="8"/>
  <c r="NKZ48" i="8"/>
  <c r="NKY48" i="8"/>
  <c r="NKX48" i="8"/>
  <c r="NKW48" i="8"/>
  <c r="NKV48" i="8"/>
  <c r="NKU48" i="8"/>
  <c r="NKT48" i="8"/>
  <c r="NKS48" i="8"/>
  <c r="NKR48" i="8"/>
  <c r="NKQ48" i="8"/>
  <c r="NKP48" i="8"/>
  <c r="NKO48" i="8"/>
  <c r="NKN48" i="8"/>
  <c r="NKM48" i="8"/>
  <c r="NKL48" i="8"/>
  <c r="NKK48" i="8"/>
  <c r="NKJ48" i="8"/>
  <c r="NKI48" i="8"/>
  <c r="NKH48" i="8"/>
  <c r="NKG48" i="8"/>
  <c r="NKF48" i="8"/>
  <c r="NKE48" i="8"/>
  <c r="NKD48" i="8"/>
  <c r="NKC48" i="8"/>
  <c r="NKB48" i="8"/>
  <c r="NKA48" i="8"/>
  <c r="NJZ48" i="8"/>
  <c r="NJY48" i="8"/>
  <c r="NJX48" i="8"/>
  <c r="NJW48" i="8"/>
  <c r="NJV48" i="8"/>
  <c r="NJU48" i="8"/>
  <c r="NJT48" i="8"/>
  <c r="NJS48" i="8"/>
  <c r="NJR48" i="8"/>
  <c r="NJQ48" i="8"/>
  <c r="NJP48" i="8"/>
  <c r="NJO48" i="8"/>
  <c r="NJN48" i="8"/>
  <c r="NJM48" i="8"/>
  <c r="NJL48" i="8"/>
  <c r="NJK48" i="8"/>
  <c r="NJJ48" i="8"/>
  <c r="NJI48" i="8"/>
  <c r="NJH48" i="8"/>
  <c r="NJG48" i="8"/>
  <c r="NJF48" i="8"/>
  <c r="NJE48" i="8"/>
  <c r="NJD48" i="8"/>
  <c r="NJC48" i="8"/>
  <c r="NJB48" i="8"/>
  <c r="NJA48" i="8"/>
  <c r="NIZ48" i="8"/>
  <c r="NIY48" i="8"/>
  <c r="NIX48" i="8"/>
  <c r="NIW48" i="8"/>
  <c r="NIV48" i="8"/>
  <c r="NIU48" i="8"/>
  <c r="NIT48" i="8"/>
  <c r="NIS48" i="8"/>
  <c r="NIR48" i="8"/>
  <c r="NIQ48" i="8"/>
  <c r="NIP48" i="8"/>
  <c r="NIO48" i="8"/>
  <c r="NIN48" i="8"/>
  <c r="NIM48" i="8"/>
  <c r="NIL48" i="8"/>
  <c r="NIK48" i="8"/>
  <c r="NIJ48" i="8"/>
  <c r="NII48" i="8"/>
  <c r="NIH48" i="8"/>
  <c r="NIG48" i="8"/>
  <c r="NIF48" i="8"/>
  <c r="NIE48" i="8"/>
  <c r="NID48" i="8"/>
  <c r="NIC48" i="8"/>
  <c r="NIB48" i="8"/>
  <c r="NIA48" i="8"/>
  <c r="NHZ48" i="8"/>
  <c r="NHY48" i="8"/>
  <c r="NHX48" i="8"/>
  <c r="NHW48" i="8"/>
  <c r="NHV48" i="8"/>
  <c r="NHU48" i="8"/>
  <c r="NHT48" i="8"/>
  <c r="NHS48" i="8"/>
  <c r="NHR48" i="8"/>
  <c r="NHQ48" i="8"/>
  <c r="NHP48" i="8"/>
  <c r="NHO48" i="8"/>
  <c r="NHN48" i="8"/>
  <c r="NHM48" i="8"/>
  <c r="NHL48" i="8"/>
  <c r="NHK48" i="8"/>
  <c r="NHJ48" i="8"/>
  <c r="NHI48" i="8"/>
  <c r="NHH48" i="8"/>
  <c r="NHG48" i="8"/>
  <c r="NHF48" i="8"/>
  <c r="NHE48" i="8"/>
  <c r="NHD48" i="8"/>
  <c r="NHC48" i="8"/>
  <c r="NHB48" i="8"/>
  <c r="NHA48" i="8"/>
  <c r="NGZ48" i="8"/>
  <c r="NGY48" i="8"/>
  <c r="NGX48" i="8"/>
  <c r="NGW48" i="8"/>
  <c r="NGV48" i="8"/>
  <c r="NGU48" i="8"/>
  <c r="NGT48" i="8"/>
  <c r="NGS48" i="8"/>
  <c r="NGR48" i="8"/>
  <c r="NGQ48" i="8"/>
  <c r="NGP48" i="8"/>
  <c r="NGO48" i="8"/>
  <c r="NGN48" i="8"/>
  <c r="NGM48" i="8"/>
  <c r="NGL48" i="8"/>
  <c r="NGK48" i="8"/>
  <c r="NGJ48" i="8"/>
  <c r="NGI48" i="8"/>
  <c r="NGH48" i="8"/>
  <c r="NGG48" i="8"/>
  <c r="NGF48" i="8"/>
  <c r="NGE48" i="8"/>
  <c r="NGD48" i="8"/>
  <c r="NGC48" i="8"/>
  <c r="NGB48" i="8"/>
  <c r="NGA48" i="8"/>
  <c r="NFZ48" i="8"/>
  <c r="NFY48" i="8"/>
  <c r="NFX48" i="8"/>
  <c r="NFW48" i="8"/>
  <c r="NFV48" i="8"/>
  <c r="NFU48" i="8"/>
  <c r="NFT48" i="8"/>
  <c r="NFS48" i="8"/>
  <c r="NFR48" i="8"/>
  <c r="NFQ48" i="8"/>
  <c r="NFP48" i="8"/>
  <c r="NFO48" i="8"/>
  <c r="NFN48" i="8"/>
  <c r="NFM48" i="8"/>
  <c r="NFL48" i="8"/>
  <c r="NFK48" i="8"/>
  <c r="NFJ48" i="8"/>
  <c r="NFI48" i="8"/>
  <c r="NFH48" i="8"/>
  <c r="NFG48" i="8"/>
  <c r="NFF48" i="8"/>
  <c r="NFE48" i="8"/>
  <c r="NFD48" i="8"/>
  <c r="NFC48" i="8"/>
  <c r="NFB48" i="8"/>
  <c r="NFA48" i="8"/>
  <c r="NEZ48" i="8"/>
  <c r="NEY48" i="8"/>
  <c r="NEX48" i="8"/>
  <c r="NEW48" i="8"/>
  <c r="NEV48" i="8"/>
  <c r="NEU48" i="8"/>
  <c r="NET48" i="8"/>
  <c r="NES48" i="8"/>
  <c r="NER48" i="8"/>
  <c r="NEQ48" i="8"/>
  <c r="NEP48" i="8"/>
  <c r="NEO48" i="8"/>
  <c r="NEN48" i="8"/>
  <c r="NEM48" i="8"/>
  <c r="NEL48" i="8"/>
  <c r="NEK48" i="8"/>
  <c r="NEJ48" i="8"/>
  <c r="NEI48" i="8"/>
  <c r="NEH48" i="8"/>
  <c r="NEG48" i="8"/>
  <c r="NEF48" i="8"/>
  <c r="NEE48" i="8"/>
  <c r="NED48" i="8"/>
  <c r="NEC48" i="8"/>
  <c r="NEB48" i="8"/>
  <c r="NEA48" i="8"/>
  <c r="NDZ48" i="8"/>
  <c r="NDY48" i="8"/>
  <c r="NDX48" i="8"/>
  <c r="NDW48" i="8"/>
  <c r="NDV48" i="8"/>
  <c r="NDU48" i="8"/>
  <c r="NDT48" i="8"/>
  <c r="NDS48" i="8"/>
  <c r="NDR48" i="8"/>
  <c r="NDQ48" i="8"/>
  <c r="NDP48" i="8"/>
  <c r="NDO48" i="8"/>
  <c r="NDN48" i="8"/>
  <c r="NDM48" i="8"/>
  <c r="NDL48" i="8"/>
  <c r="NDK48" i="8"/>
  <c r="NDJ48" i="8"/>
  <c r="NDI48" i="8"/>
  <c r="NDH48" i="8"/>
  <c r="NDG48" i="8"/>
  <c r="NDF48" i="8"/>
  <c r="NDE48" i="8"/>
  <c r="NDD48" i="8"/>
  <c r="NDC48" i="8"/>
  <c r="NDB48" i="8"/>
  <c r="NDA48" i="8"/>
  <c r="NCZ48" i="8"/>
  <c r="NCY48" i="8"/>
  <c r="NCX48" i="8"/>
  <c r="NCW48" i="8"/>
  <c r="NCV48" i="8"/>
  <c r="NCU48" i="8"/>
  <c r="NCT48" i="8"/>
  <c r="NCS48" i="8"/>
  <c r="NCR48" i="8"/>
  <c r="NCQ48" i="8"/>
  <c r="NCP48" i="8"/>
  <c r="NCO48" i="8"/>
  <c r="NCN48" i="8"/>
  <c r="NCM48" i="8"/>
  <c r="NCL48" i="8"/>
  <c r="NCK48" i="8"/>
  <c r="NCJ48" i="8"/>
  <c r="NCI48" i="8"/>
  <c r="NCH48" i="8"/>
  <c r="NCG48" i="8"/>
  <c r="NCF48" i="8"/>
  <c r="NCE48" i="8"/>
  <c r="NCD48" i="8"/>
  <c r="NCC48" i="8"/>
  <c r="NCB48" i="8"/>
  <c r="NCA48" i="8"/>
  <c r="NBZ48" i="8"/>
  <c r="NBY48" i="8"/>
  <c r="NBX48" i="8"/>
  <c r="NBW48" i="8"/>
  <c r="NBV48" i="8"/>
  <c r="NBU48" i="8"/>
  <c r="NBT48" i="8"/>
  <c r="NBS48" i="8"/>
  <c r="NBR48" i="8"/>
  <c r="NBQ48" i="8"/>
  <c r="NBP48" i="8"/>
  <c r="NBO48" i="8"/>
  <c r="NBN48" i="8"/>
  <c r="NBM48" i="8"/>
  <c r="NBL48" i="8"/>
  <c r="NBK48" i="8"/>
  <c r="NBJ48" i="8"/>
  <c r="NBI48" i="8"/>
  <c r="NBH48" i="8"/>
  <c r="NBG48" i="8"/>
  <c r="NBF48" i="8"/>
  <c r="NBE48" i="8"/>
  <c r="NBD48" i="8"/>
  <c r="NBC48" i="8"/>
  <c r="NBB48" i="8"/>
  <c r="NBA48" i="8"/>
  <c r="NAZ48" i="8"/>
  <c r="NAY48" i="8"/>
  <c r="NAX48" i="8"/>
  <c r="NAW48" i="8"/>
  <c r="NAV48" i="8"/>
  <c r="NAU48" i="8"/>
  <c r="NAT48" i="8"/>
  <c r="NAS48" i="8"/>
  <c r="NAR48" i="8"/>
  <c r="NAQ48" i="8"/>
  <c r="NAP48" i="8"/>
  <c r="NAO48" i="8"/>
  <c r="NAN48" i="8"/>
  <c r="NAM48" i="8"/>
  <c r="NAL48" i="8"/>
  <c r="NAK48" i="8"/>
  <c r="NAJ48" i="8"/>
  <c r="NAI48" i="8"/>
  <c r="NAH48" i="8"/>
  <c r="NAG48" i="8"/>
  <c r="NAF48" i="8"/>
  <c r="NAE48" i="8"/>
  <c r="NAD48" i="8"/>
  <c r="NAC48" i="8"/>
  <c r="NAB48" i="8"/>
  <c r="NAA48" i="8"/>
  <c r="MZZ48" i="8"/>
  <c r="MZY48" i="8"/>
  <c r="MZX48" i="8"/>
  <c r="MZW48" i="8"/>
  <c r="MZV48" i="8"/>
  <c r="MZU48" i="8"/>
  <c r="MZT48" i="8"/>
  <c r="MZS48" i="8"/>
  <c r="MZR48" i="8"/>
  <c r="MZQ48" i="8"/>
  <c r="MZP48" i="8"/>
  <c r="MZO48" i="8"/>
  <c r="MZN48" i="8"/>
  <c r="MZM48" i="8"/>
  <c r="MZL48" i="8"/>
  <c r="MZK48" i="8"/>
  <c r="MZJ48" i="8"/>
  <c r="MZI48" i="8"/>
  <c r="MZH48" i="8"/>
  <c r="MZG48" i="8"/>
  <c r="MZF48" i="8"/>
  <c r="MZE48" i="8"/>
  <c r="MZD48" i="8"/>
  <c r="MZC48" i="8"/>
  <c r="MZB48" i="8"/>
  <c r="MZA48" i="8"/>
  <c r="MYZ48" i="8"/>
  <c r="MYY48" i="8"/>
  <c r="MYX48" i="8"/>
  <c r="MYW48" i="8"/>
  <c r="MYV48" i="8"/>
  <c r="MYU48" i="8"/>
  <c r="MYT48" i="8"/>
  <c r="MYS48" i="8"/>
  <c r="MYR48" i="8"/>
  <c r="MYQ48" i="8"/>
  <c r="MYP48" i="8"/>
  <c r="MYO48" i="8"/>
  <c r="MYN48" i="8"/>
  <c r="MYM48" i="8"/>
  <c r="MYL48" i="8"/>
  <c r="MYK48" i="8"/>
  <c r="MYJ48" i="8"/>
  <c r="MYI48" i="8"/>
  <c r="MYH48" i="8"/>
  <c r="MYG48" i="8"/>
  <c r="MYF48" i="8"/>
  <c r="MYE48" i="8"/>
  <c r="MYD48" i="8"/>
  <c r="MYC48" i="8"/>
  <c r="MYB48" i="8"/>
  <c r="MYA48" i="8"/>
  <c r="MXZ48" i="8"/>
  <c r="MXY48" i="8"/>
  <c r="MXX48" i="8"/>
  <c r="MXW48" i="8"/>
  <c r="MXV48" i="8"/>
  <c r="MXU48" i="8"/>
  <c r="MXT48" i="8"/>
  <c r="MXS48" i="8"/>
  <c r="MXR48" i="8"/>
  <c r="MXQ48" i="8"/>
  <c r="MXP48" i="8"/>
  <c r="MXO48" i="8"/>
  <c r="MXN48" i="8"/>
  <c r="MXM48" i="8"/>
  <c r="MXL48" i="8"/>
  <c r="MXK48" i="8"/>
  <c r="MXJ48" i="8"/>
  <c r="MXI48" i="8"/>
  <c r="MXH48" i="8"/>
  <c r="MXG48" i="8"/>
  <c r="MXF48" i="8"/>
  <c r="MXE48" i="8"/>
  <c r="MXD48" i="8"/>
  <c r="MXC48" i="8"/>
  <c r="MXB48" i="8"/>
  <c r="MXA48" i="8"/>
  <c r="MWZ48" i="8"/>
  <c r="MWY48" i="8"/>
  <c r="MWX48" i="8"/>
  <c r="MWW48" i="8"/>
  <c r="MWV48" i="8"/>
  <c r="MWU48" i="8"/>
  <c r="MWT48" i="8"/>
  <c r="MWS48" i="8"/>
  <c r="MWR48" i="8"/>
  <c r="MWQ48" i="8"/>
  <c r="MWP48" i="8"/>
  <c r="MWO48" i="8"/>
  <c r="MWN48" i="8"/>
  <c r="MWM48" i="8"/>
  <c r="MWL48" i="8"/>
  <c r="MWK48" i="8"/>
  <c r="MWJ48" i="8"/>
  <c r="MWI48" i="8"/>
  <c r="MWH48" i="8"/>
  <c r="MWG48" i="8"/>
  <c r="MWF48" i="8"/>
  <c r="MWE48" i="8"/>
  <c r="MWD48" i="8"/>
  <c r="MWC48" i="8"/>
  <c r="MWB48" i="8"/>
  <c r="MWA48" i="8"/>
  <c r="MVZ48" i="8"/>
  <c r="MVY48" i="8"/>
  <c r="MVX48" i="8"/>
  <c r="MVW48" i="8"/>
  <c r="MVV48" i="8"/>
  <c r="MVU48" i="8"/>
  <c r="MVT48" i="8"/>
  <c r="MVS48" i="8"/>
  <c r="MVR48" i="8"/>
  <c r="MVQ48" i="8"/>
  <c r="MVP48" i="8"/>
  <c r="MVO48" i="8"/>
  <c r="MVN48" i="8"/>
  <c r="MVM48" i="8"/>
  <c r="MVL48" i="8"/>
  <c r="MVK48" i="8"/>
  <c r="MVJ48" i="8"/>
  <c r="MVI48" i="8"/>
  <c r="MVH48" i="8"/>
  <c r="MVG48" i="8"/>
  <c r="MVF48" i="8"/>
  <c r="MVE48" i="8"/>
  <c r="MVD48" i="8"/>
  <c r="MVC48" i="8"/>
  <c r="MVB48" i="8"/>
  <c r="MVA48" i="8"/>
  <c r="MUZ48" i="8"/>
  <c r="MUY48" i="8"/>
  <c r="MUX48" i="8"/>
  <c r="MUW48" i="8"/>
  <c r="MUV48" i="8"/>
  <c r="MUU48" i="8"/>
  <c r="MUT48" i="8"/>
  <c r="MUS48" i="8"/>
  <c r="MUR48" i="8"/>
  <c r="MUQ48" i="8"/>
  <c r="MUP48" i="8"/>
  <c r="MUO48" i="8"/>
  <c r="MUN48" i="8"/>
  <c r="MUM48" i="8"/>
  <c r="MUL48" i="8"/>
  <c r="MUK48" i="8"/>
  <c r="MUJ48" i="8"/>
  <c r="MUI48" i="8"/>
  <c r="MUH48" i="8"/>
  <c r="MUG48" i="8"/>
  <c r="MUF48" i="8"/>
  <c r="MUE48" i="8"/>
  <c r="MUD48" i="8"/>
  <c r="MUC48" i="8"/>
  <c r="MUB48" i="8"/>
  <c r="MUA48" i="8"/>
  <c r="MTZ48" i="8"/>
  <c r="MTY48" i="8"/>
  <c r="MTX48" i="8"/>
  <c r="MTW48" i="8"/>
  <c r="MTV48" i="8"/>
  <c r="MTU48" i="8"/>
  <c r="MTT48" i="8"/>
  <c r="MTS48" i="8"/>
  <c r="MTR48" i="8"/>
  <c r="MTQ48" i="8"/>
  <c r="MTP48" i="8"/>
  <c r="MTO48" i="8"/>
  <c r="MTN48" i="8"/>
  <c r="MTM48" i="8"/>
  <c r="MTL48" i="8"/>
  <c r="MTK48" i="8"/>
  <c r="MTJ48" i="8"/>
  <c r="MTI48" i="8"/>
  <c r="MTH48" i="8"/>
  <c r="MTG48" i="8"/>
  <c r="MTF48" i="8"/>
  <c r="MTE48" i="8"/>
  <c r="MTD48" i="8"/>
  <c r="MTC48" i="8"/>
  <c r="MTB48" i="8"/>
  <c r="MTA48" i="8"/>
  <c r="MSZ48" i="8"/>
  <c r="MSY48" i="8"/>
  <c r="MSX48" i="8"/>
  <c r="MSW48" i="8"/>
  <c r="MSV48" i="8"/>
  <c r="MSU48" i="8"/>
  <c r="MST48" i="8"/>
  <c r="MSS48" i="8"/>
  <c r="MSR48" i="8"/>
  <c r="MSQ48" i="8"/>
  <c r="MSP48" i="8"/>
  <c r="MSO48" i="8"/>
  <c r="MSN48" i="8"/>
  <c r="MSM48" i="8"/>
  <c r="MSL48" i="8"/>
  <c r="MSK48" i="8"/>
  <c r="MSJ48" i="8"/>
  <c r="MSI48" i="8"/>
  <c r="MSH48" i="8"/>
  <c r="MSG48" i="8"/>
  <c r="MSF48" i="8"/>
  <c r="MSE48" i="8"/>
  <c r="MSD48" i="8"/>
  <c r="MSC48" i="8"/>
  <c r="MSB48" i="8"/>
  <c r="MSA48" i="8"/>
  <c r="MRZ48" i="8"/>
  <c r="MRY48" i="8"/>
  <c r="MRX48" i="8"/>
  <c r="MRW48" i="8"/>
  <c r="MRV48" i="8"/>
  <c r="MRU48" i="8"/>
  <c r="MRT48" i="8"/>
  <c r="MRS48" i="8"/>
  <c r="MRR48" i="8"/>
  <c r="MRQ48" i="8"/>
  <c r="MRP48" i="8"/>
  <c r="MRO48" i="8"/>
  <c r="MRN48" i="8"/>
  <c r="MRM48" i="8"/>
  <c r="MRL48" i="8"/>
  <c r="MRK48" i="8"/>
  <c r="MRJ48" i="8"/>
  <c r="MRI48" i="8"/>
  <c r="MRH48" i="8"/>
  <c r="MRG48" i="8"/>
  <c r="MRF48" i="8"/>
  <c r="MRE48" i="8"/>
  <c r="MRD48" i="8"/>
  <c r="MRC48" i="8"/>
  <c r="MRB48" i="8"/>
  <c r="MRA48" i="8"/>
  <c r="MQZ48" i="8"/>
  <c r="MQY48" i="8"/>
  <c r="MQX48" i="8"/>
  <c r="MQW48" i="8"/>
  <c r="MQV48" i="8"/>
  <c r="MQU48" i="8"/>
  <c r="MQT48" i="8"/>
  <c r="MQS48" i="8"/>
  <c r="MQR48" i="8"/>
  <c r="MQQ48" i="8"/>
  <c r="MQP48" i="8"/>
  <c r="MQO48" i="8"/>
  <c r="MQN48" i="8"/>
  <c r="MQM48" i="8"/>
  <c r="MQL48" i="8"/>
  <c r="MQK48" i="8"/>
  <c r="MQJ48" i="8"/>
  <c r="MQI48" i="8"/>
  <c r="MQH48" i="8"/>
  <c r="MQG48" i="8"/>
  <c r="MQF48" i="8"/>
  <c r="MQE48" i="8"/>
  <c r="MQD48" i="8"/>
  <c r="MQC48" i="8"/>
  <c r="MQB48" i="8"/>
  <c r="MQA48" i="8"/>
  <c r="MPZ48" i="8"/>
  <c r="MPY48" i="8"/>
  <c r="MPX48" i="8"/>
  <c r="MPW48" i="8"/>
  <c r="MPV48" i="8"/>
  <c r="MPU48" i="8"/>
  <c r="MPT48" i="8"/>
  <c r="MPS48" i="8"/>
  <c r="MPR48" i="8"/>
  <c r="MPQ48" i="8"/>
  <c r="MPP48" i="8"/>
  <c r="MPO48" i="8"/>
  <c r="MPN48" i="8"/>
  <c r="MPM48" i="8"/>
  <c r="MPL48" i="8"/>
  <c r="MPK48" i="8"/>
  <c r="MPJ48" i="8"/>
  <c r="MPI48" i="8"/>
  <c r="MPH48" i="8"/>
  <c r="MPG48" i="8"/>
  <c r="MPF48" i="8"/>
  <c r="MPE48" i="8"/>
  <c r="MPD48" i="8"/>
  <c r="MPC48" i="8"/>
  <c r="MPB48" i="8"/>
  <c r="MPA48" i="8"/>
  <c r="MOZ48" i="8"/>
  <c r="MOY48" i="8"/>
  <c r="MOX48" i="8"/>
  <c r="MOW48" i="8"/>
  <c r="MOV48" i="8"/>
  <c r="MOU48" i="8"/>
  <c r="MOT48" i="8"/>
  <c r="MOS48" i="8"/>
  <c r="MOR48" i="8"/>
  <c r="MOQ48" i="8"/>
  <c r="MOP48" i="8"/>
  <c r="MOO48" i="8"/>
  <c r="MON48" i="8"/>
  <c r="MOM48" i="8"/>
  <c r="MOL48" i="8"/>
  <c r="MOK48" i="8"/>
  <c r="MOJ48" i="8"/>
  <c r="MOI48" i="8"/>
  <c r="MOH48" i="8"/>
  <c r="MOG48" i="8"/>
  <c r="MOF48" i="8"/>
  <c r="MOE48" i="8"/>
  <c r="MOD48" i="8"/>
  <c r="MOC48" i="8"/>
  <c r="MOB48" i="8"/>
  <c r="MOA48" i="8"/>
  <c r="MNZ48" i="8"/>
  <c r="MNY48" i="8"/>
  <c r="MNX48" i="8"/>
  <c r="MNW48" i="8"/>
  <c r="MNV48" i="8"/>
  <c r="MNU48" i="8"/>
  <c r="MNT48" i="8"/>
  <c r="MNS48" i="8"/>
  <c r="MNR48" i="8"/>
  <c r="MNQ48" i="8"/>
  <c r="MNP48" i="8"/>
  <c r="MNO48" i="8"/>
  <c r="MNN48" i="8"/>
  <c r="MNM48" i="8"/>
  <c r="MNL48" i="8"/>
  <c r="MNK48" i="8"/>
  <c r="MNJ48" i="8"/>
  <c r="MNI48" i="8"/>
  <c r="MNH48" i="8"/>
  <c r="MNG48" i="8"/>
  <c r="MNF48" i="8"/>
  <c r="MNE48" i="8"/>
  <c r="MND48" i="8"/>
  <c r="MNC48" i="8"/>
  <c r="MNB48" i="8"/>
  <c r="MNA48" i="8"/>
  <c r="MMZ48" i="8"/>
  <c r="MMY48" i="8"/>
  <c r="MMX48" i="8"/>
  <c r="MMW48" i="8"/>
  <c r="MMV48" i="8"/>
  <c r="MMU48" i="8"/>
  <c r="MMT48" i="8"/>
  <c r="MMS48" i="8"/>
  <c r="MMR48" i="8"/>
  <c r="MMQ48" i="8"/>
  <c r="MMP48" i="8"/>
  <c r="MMO48" i="8"/>
  <c r="MMN48" i="8"/>
  <c r="MMM48" i="8"/>
  <c r="MML48" i="8"/>
  <c r="MMK48" i="8"/>
  <c r="MMJ48" i="8"/>
  <c r="MMI48" i="8"/>
  <c r="MMH48" i="8"/>
  <c r="MMG48" i="8"/>
  <c r="MMF48" i="8"/>
  <c r="MME48" i="8"/>
  <c r="MMD48" i="8"/>
  <c r="MMC48" i="8"/>
  <c r="MMB48" i="8"/>
  <c r="MMA48" i="8"/>
  <c r="MLZ48" i="8"/>
  <c r="MLY48" i="8"/>
  <c r="MLX48" i="8"/>
  <c r="MLW48" i="8"/>
  <c r="MLV48" i="8"/>
  <c r="MLU48" i="8"/>
  <c r="MLT48" i="8"/>
  <c r="MLS48" i="8"/>
  <c r="MLR48" i="8"/>
  <c r="MLQ48" i="8"/>
  <c r="MLP48" i="8"/>
  <c r="MLO48" i="8"/>
  <c r="MLN48" i="8"/>
  <c r="MLM48" i="8"/>
  <c r="MLL48" i="8"/>
  <c r="MLK48" i="8"/>
  <c r="MLJ48" i="8"/>
  <c r="MLI48" i="8"/>
  <c r="MLH48" i="8"/>
  <c r="MLG48" i="8"/>
  <c r="MLF48" i="8"/>
  <c r="MLE48" i="8"/>
  <c r="MLD48" i="8"/>
  <c r="MLC48" i="8"/>
  <c r="MLB48" i="8"/>
  <c r="MLA48" i="8"/>
  <c r="MKZ48" i="8"/>
  <c r="MKY48" i="8"/>
  <c r="MKX48" i="8"/>
  <c r="MKW48" i="8"/>
  <c r="MKV48" i="8"/>
  <c r="MKU48" i="8"/>
  <c r="MKT48" i="8"/>
  <c r="MKS48" i="8"/>
  <c r="MKR48" i="8"/>
  <c r="MKQ48" i="8"/>
  <c r="MKP48" i="8"/>
  <c r="MKO48" i="8"/>
  <c r="MKN48" i="8"/>
  <c r="MKM48" i="8"/>
  <c r="MKL48" i="8"/>
  <c r="MKK48" i="8"/>
  <c r="MKJ48" i="8"/>
  <c r="MKI48" i="8"/>
  <c r="MKH48" i="8"/>
  <c r="MKG48" i="8"/>
  <c r="MKF48" i="8"/>
  <c r="MKE48" i="8"/>
  <c r="MKD48" i="8"/>
  <c r="MKC48" i="8"/>
  <c r="MKB48" i="8"/>
  <c r="MKA48" i="8"/>
  <c r="MJZ48" i="8"/>
  <c r="MJY48" i="8"/>
  <c r="MJX48" i="8"/>
  <c r="MJW48" i="8"/>
  <c r="MJV48" i="8"/>
  <c r="MJU48" i="8"/>
  <c r="MJT48" i="8"/>
  <c r="MJS48" i="8"/>
  <c r="MJR48" i="8"/>
  <c r="MJQ48" i="8"/>
  <c r="MJP48" i="8"/>
  <c r="MJO48" i="8"/>
  <c r="MJN48" i="8"/>
  <c r="MJM48" i="8"/>
  <c r="MJL48" i="8"/>
  <c r="MJK48" i="8"/>
  <c r="MJJ48" i="8"/>
  <c r="MJI48" i="8"/>
  <c r="MJH48" i="8"/>
  <c r="MJG48" i="8"/>
  <c r="MJF48" i="8"/>
  <c r="MJE48" i="8"/>
  <c r="MJD48" i="8"/>
  <c r="MJC48" i="8"/>
  <c r="MJB48" i="8"/>
  <c r="MJA48" i="8"/>
  <c r="MIZ48" i="8"/>
  <c r="MIY48" i="8"/>
  <c r="MIX48" i="8"/>
  <c r="MIW48" i="8"/>
  <c r="MIV48" i="8"/>
  <c r="MIU48" i="8"/>
  <c r="MIT48" i="8"/>
  <c r="MIS48" i="8"/>
  <c r="MIR48" i="8"/>
  <c r="MIQ48" i="8"/>
  <c r="MIP48" i="8"/>
  <c r="MIO48" i="8"/>
  <c r="MIN48" i="8"/>
  <c r="MIM48" i="8"/>
  <c r="MIL48" i="8"/>
  <c r="MIK48" i="8"/>
  <c r="MIJ48" i="8"/>
  <c r="MII48" i="8"/>
  <c r="MIH48" i="8"/>
  <c r="MIG48" i="8"/>
  <c r="MIF48" i="8"/>
  <c r="MIE48" i="8"/>
  <c r="MID48" i="8"/>
  <c r="MIC48" i="8"/>
  <c r="MIB48" i="8"/>
  <c r="MIA48" i="8"/>
  <c r="MHZ48" i="8"/>
  <c r="MHY48" i="8"/>
  <c r="MHX48" i="8"/>
  <c r="MHW48" i="8"/>
  <c r="MHV48" i="8"/>
  <c r="MHU48" i="8"/>
  <c r="MHT48" i="8"/>
  <c r="MHS48" i="8"/>
  <c r="MHR48" i="8"/>
  <c r="MHQ48" i="8"/>
  <c r="MHP48" i="8"/>
  <c r="MHO48" i="8"/>
  <c r="MHN48" i="8"/>
  <c r="MHM48" i="8"/>
  <c r="MHL48" i="8"/>
  <c r="MHK48" i="8"/>
  <c r="MHJ48" i="8"/>
  <c r="MHI48" i="8"/>
  <c r="MHH48" i="8"/>
  <c r="MHG48" i="8"/>
  <c r="MHF48" i="8"/>
  <c r="MHE48" i="8"/>
  <c r="MHD48" i="8"/>
  <c r="MHC48" i="8"/>
  <c r="MHB48" i="8"/>
  <c r="MHA48" i="8"/>
  <c r="MGZ48" i="8"/>
  <c r="MGY48" i="8"/>
  <c r="MGX48" i="8"/>
  <c r="MGW48" i="8"/>
  <c r="MGV48" i="8"/>
  <c r="MGU48" i="8"/>
  <c r="MGT48" i="8"/>
  <c r="MGS48" i="8"/>
  <c r="MGR48" i="8"/>
  <c r="MGQ48" i="8"/>
  <c r="MGP48" i="8"/>
  <c r="MGO48" i="8"/>
  <c r="MGN48" i="8"/>
  <c r="MGM48" i="8"/>
  <c r="MGL48" i="8"/>
  <c r="MGK48" i="8"/>
  <c r="MGJ48" i="8"/>
  <c r="MGI48" i="8"/>
  <c r="MGH48" i="8"/>
  <c r="MGG48" i="8"/>
  <c r="MGF48" i="8"/>
  <c r="MGE48" i="8"/>
  <c r="MGD48" i="8"/>
  <c r="MGC48" i="8"/>
  <c r="MGB48" i="8"/>
  <c r="MGA48" i="8"/>
  <c r="MFZ48" i="8"/>
  <c r="MFY48" i="8"/>
  <c r="MFX48" i="8"/>
  <c r="MFW48" i="8"/>
  <c r="MFV48" i="8"/>
  <c r="MFU48" i="8"/>
  <c r="MFT48" i="8"/>
  <c r="MFS48" i="8"/>
  <c r="MFR48" i="8"/>
  <c r="MFQ48" i="8"/>
  <c r="MFP48" i="8"/>
  <c r="MFO48" i="8"/>
  <c r="MFN48" i="8"/>
  <c r="MFM48" i="8"/>
  <c r="MFL48" i="8"/>
  <c r="MFK48" i="8"/>
  <c r="MFJ48" i="8"/>
  <c r="MFI48" i="8"/>
  <c r="MFH48" i="8"/>
  <c r="MFG48" i="8"/>
  <c r="MFF48" i="8"/>
  <c r="MFE48" i="8"/>
  <c r="MFD48" i="8"/>
  <c r="MFC48" i="8"/>
  <c r="MFB48" i="8"/>
  <c r="MFA48" i="8"/>
  <c r="MEZ48" i="8"/>
  <c r="MEY48" i="8"/>
  <c r="MEX48" i="8"/>
  <c r="MEW48" i="8"/>
  <c r="MEV48" i="8"/>
  <c r="MEU48" i="8"/>
  <c r="MET48" i="8"/>
  <c r="MES48" i="8"/>
  <c r="MER48" i="8"/>
  <c r="MEQ48" i="8"/>
  <c r="MEP48" i="8"/>
  <c r="MEO48" i="8"/>
  <c r="MEN48" i="8"/>
  <c r="MEM48" i="8"/>
  <c r="MEL48" i="8"/>
  <c r="MEK48" i="8"/>
  <c r="MEJ48" i="8"/>
  <c r="MEI48" i="8"/>
  <c r="MEH48" i="8"/>
  <c r="MEG48" i="8"/>
  <c r="MEF48" i="8"/>
  <c r="MEE48" i="8"/>
  <c r="MED48" i="8"/>
  <c r="MEC48" i="8"/>
  <c r="MEB48" i="8"/>
  <c r="MEA48" i="8"/>
  <c r="MDZ48" i="8"/>
  <c r="MDY48" i="8"/>
  <c r="MDX48" i="8"/>
  <c r="MDW48" i="8"/>
  <c r="MDV48" i="8"/>
  <c r="MDU48" i="8"/>
  <c r="MDT48" i="8"/>
  <c r="MDS48" i="8"/>
  <c r="MDR48" i="8"/>
  <c r="MDQ48" i="8"/>
  <c r="MDP48" i="8"/>
  <c r="MDO48" i="8"/>
  <c r="MDN48" i="8"/>
  <c r="MDM48" i="8"/>
  <c r="MDL48" i="8"/>
  <c r="MDK48" i="8"/>
  <c r="MDJ48" i="8"/>
  <c r="MDI48" i="8"/>
  <c r="MDH48" i="8"/>
  <c r="MDG48" i="8"/>
  <c r="MDF48" i="8"/>
  <c r="MDE48" i="8"/>
  <c r="MDD48" i="8"/>
  <c r="MDC48" i="8"/>
  <c r="MDB48" i="8"/>
  <c r="MDA48" i="8"/>
  <c r="MCZ48" i="8"/>
  <c r="MCY48" i="8"/>
  <c r="MCX48" i="8"/>
  <c r="MCW48" i="8"/>
  <c r="MCV48" i="8"/>
  <c r="MCU48" i="8"/>
  <c r="MCT48" i="8"/>
  <c r="MCS48" i="8"/>
  <c r="MCR48" i="8"/>
  <c r="MCQ48" i="8"/>
  <c r="MCP48" i="8"/>
  <c r="MCO48" i="8"/>
  <c r="MCN48" i="8"/>
  <c r="MCM48" i="8"/>
  <c r="MCL48" i="8"/>
  <c r="MCK48" i="8"/>
  <c r="MCJ48" i="8"/>
  <c r="MCI48" i="8"/>
  <c r="MCH48" i="8"/>
  <c r="MCG48" i="8"/>
  <c r="MCF48" i="8"/>
  <c r="MCE48" i="8"/>
  <c r="MCD48" i="8"/>
  <c r="MCC48" i="8"/>
  <c r="MCB48" i="8"/>
  <c r="MCA48" i="8"/>
  <c r="MBZ48" i="8"/>
  <c r="MBY48" i="8"/>
  <c r="MBX48" i="8"/>
  <c r="MBW48" i="8"/>
  <c r="MBV48" i="8"/>
  <c r="MBU48" i="8"/>
  <c r="MBT48" i="8"/>
  <c r="MBS48" i="8"/>
  <c r="MBR48" i="8"/>
  <c r="MBQ48" i="8"/>
  <c r="MBP48" i="8"/>
  <c r="MBO48" i="8"/>
  <c r="MBN48" i="8"/>
  <c r="MBM48" i="8"/>
  <c r="MBL48" i="8"/>
  <c r="MBK48" i="8"/>
  <c r="MBJ48" i="8"/>
  <c r="MBI48" i="8"/>
  <c r="MBH48" i="8"/>
  <c r="MBG48" i="8"/>
  <c r="MBF48" i="8"/>
  <c r="MBE48" i="8"/>
  <c r="MBD48" i="8"/>
  <c r="MBC48" i="8"/>
  <c r="MBB48" i="8"/>
  <c r="MBA48" i="8"/>
  <c r="MAZ48" i="8"/>
  <c r="MAY48" i="8"/>
  <c r="MAX48" i="8"/>
  <c r="MAW48" i="8"/>
  <c r="MAV48" i="8"/>
  <c r="MAU48" i="8"/>
  <c r="MAT48" i="8"/>
  <c r="MAS48" i="8"/>
  <c r="MAR48" i="8"/>
  <c r="MAQ48" i="8"/>
  <c r="MAP48" i="8"/>
  <c r="MAO48" i="8"/>
  <c r="MAN48" i="8"/>
  <c r="MAM48" i="8"/>
  <c r="MAL48" i="8"/>
  <c r="MAK48" i="8"/>
  <c r="MAJ48" i="8"/>
  <c r="MAI48" i="8"/>
  <c r="MAH48" i="8"/>
  <c r="MAG48" i="8"/>
  <c r="MAF48" i="8"/>
  <c r="MAE48" i="8"/>
  <c r="MAD48" i="8"/>
  <c r="MAC48" i="8"/>
  <c r="MAB48" i="8"/>
  <c r="MAA48" i="8"/>
  <c r="LZZ48" i="8"/>
  <c r="LZY48" i="8"/>
  <c r="LZX48" i="8"/>
  <c r="LZW48" i="8"/>
  <c r="LZV48" i="8"/>
  <c r="LZU48" i="8"/>
  <c r="LZT48" i="8"/>
  <c r="LZS48" i="8"/>
  <c r="LZR48" i="8"/>
  <c r="LZQ48" i="8"/>
  <c r="LZP48" i="8"/>
  <c r="LZO48" i="8"/>
  <c r="LZN48" i="8"/>
  <c r="LZM48" i="8"/>
  <c r="LZL48" i="8"/>
  <c r="LZK48" i="8"/>
  <c r="LZJ48" i="8"/>
  <c r="LZI48" i="8"/>
  <c r="LZH48" i="8"/>
  <c r="LZG48" i="8"/>
  <c r="LZF48" i="8"/>
  <c r="LZE48" i="8"/>
  <c r="LZD48" i="8"/>
  <c r="LZC48" i="8"/>
  <c r="LZB48" i="8"/>
  <c r="LZA48" i="8"/>
  <c r="LYZ48" i="8"/>
  <c r="LYY48" i="8"/>
  <c r="LYX48" i="8"/>
  <c r="LYW48" i="8"/>
  <c r="LYV48" i="8"/>
  <c r="LYU48" i="8"/>
  <c r="LYT48" i="8"/>
  <c r="LYS48" i="8"/>
  <c r="LYR48" i="8"/>
  <c r="LYQ48" i="8"/>
  <c r="LYP48" i="8"/>
  <c r="LYO48" i="8"/>
  <c r="LYN48" i="8"/>
  <c r="LYM48" i="8"/>
  <c r="LYL48" i="8"/>
  <c r="LYK48" i="8"/>
  <c r="LYJ48" i="8"/>
  <c r="LYI48" i="8"/>
  <c r="LYH48" i="8"/>
  <c r="LYG48" i="8"/>
  <c r="LYF48" i="8"/>
  <c r="LYE48" i="8"/>
  <c r="LYD48" i="8"/>
  <c r="LYC48" i="8"/>
  <c r="LYB48" i="8"/>
  <c r="LYA48" i="8"/>
  <c r="LXZ48" i="8"/>
  <c r="LXY48" i="8"/>
  <c r="LXX48" i="8"/>
  <c r="LXW48" i="8"/>
  <c r="LXV48" i="8"/>
  <c r="LXU48" i="8"/>
  <c r="LXT48" i="8"/>
  <c r="LXS48" i="8"/>
  <c r="LXR48" i="8"/>
  <c r="LXQ48" i="8"/>
  <c r="LXP48" i="8"/>
  <c r="LXO48" i="8"/>
  <c r="LXN48" i="8"/>
  <c r="LXM48" i="8"/>
  <c r="LXL48" i="8"/>
  <c r="LXK48" i="8"/>
  <c r="LXJ48" i="8"/>
  <c r="LXI48" i="8"/>
  <c r="LXH48" i="8"/>
  <c r="LXG48" i="8"/>
  <c r="LXF48" i="8"/>
  <c r="LXE48" i="8"/>
  <c r="LXD48" i="8"/>
  <c r="LXC48" i="8"/>
  <c r="LXB48" i="8"/>
  <c r="LXA48" i="8"/>
  <c r="LWZ48" i="8"/>
  <c r="LWY48" i="8"/>
  <c r="LWX48" i="8"/>
  <c r="LWW48" i="8"/>
  <c r="LWV48" i="8"/>
  <c r="LWU48" i="8"/>
  <c r="LWT48" i="8"/>
  <c r="LWS48" i="8"/>
  <c r="LWR48" i="8"/>
  <c r="LWQ48" i="8"/>
  <c r="LWP48" i="8"/>
  <c r="LWO48" i="8"/>
  <c r="LWN48" i="8"/>
  <c r="LWM48" i="8"/>
  <c r="LWL48" i="8"/>
  <c r="LWK48" i="8"/>
  <c r="LWJ48" i="8"/>
  <c r="LWI48" i="8"/>
  <c r="LWH48" i="8"/>
  <c r="LWG48" i="8"/>
  <c r="LWF48" i="8"/>
  <c r="LWE48" i="8"/>
  <c r="LWD48" i="8"/>
  <c r="LWC48" i="8"/>
  <c r="LWB48" i="8"/>
  <c r="LWA48" i="8"/>
  <c r="LVZ48" i="8"/>
  <c r="LVY48" i="8"/>
  <c r="LVX48" i="8"/>
  <c r="LVW48" i="8"/>
  <c r="LVV48" i="8"/>
  <c r="LVU48" i="8"/>
  <c r="LVT48" i="8"/>
  <c r="LVS48" i="8"/>
  <c r="LVR48" i="8"/>
  <c r="LVQ48" i="8"/>
  <c r="LVP48" i="8"/>
  <c r="LVO48" i="8"/>
  <c r="LVN48" i="8"/>
  <c r="LVM48" i="8"/>
  <c r="LVL48" i="8"/>
  <c r="LVK48" i="8"/>
  <c r="LVJ48" i="8"/>
  <c r="LVI48" i="8"/>
  <c r="LVH48" i="8"/>
  <c r="LVG48" i="8"/>
  <c r="LVF48" i="8"/>
  <c r="LVE48" i="8"/>
  <c r="LVD48" i="8"/>
  <c r="LVC48" i="8"/>
  <c r="LVB48" i="8"/>
  <c r="LVA48" i="8"/>
  <c r="LUZ48" i="8"/>
  <c r="LUY48" i="8"/>
  <c r="LUX48" i="8"/>
  <c r="LUW48" i="8"/>
  <c r="LUV48" i="8"/>
  <c r="LUU48" i="8"/>
  <c r="LUT48" i="8"/>
  <c r="LUS48" i="8"/>
  <c r="LUR48" i="8"/>
  <c r="LUQ48" i="8"/>
  <c r="LUP48" i="8"/>
  <c r="LUO48" i="8"/>
  <c r="LUN48" i="8"/>
  <c r="LUM48" i="8"/>
  <c r="LUL48" i="8"/>
  <c r="LUK48" i="8"/>
  <c r="LUJ48" i="8"/>
  <c r="LUI48" i="8"/>
  <c r="LUH48" i="8"/>
  <c r="LUG48" i="8"/>
  <c r="LUF48" i="8"/>
  <c r="LUE48" i="8"/>
  <c r="LUD48" i="8"/>
  <c r="LUC48" i="8"/>
  <c r="LUB48" i="8"/>
  <c r="LUA48" i="8"/>
  <c r="LTZ48" i="8"/>
  <c r="LTY48" i="8"/>
  <c r="LTX48" i="8"/>
  <c r="LTW48" i="8"/>
  <c r="LTV48" i="8"/>
  <c r="LTU48" i="8"/>
  <c r="LTT48" i="8"/>
  <c r="LTS48" i="8"/>
  <c r="LTR48" i="8"/>
  <c r="LTQ48" i="8"/>
  <c r="LTP48" i="8"/>
  <c r="LTO48" i="8"/>
  <c r="LTN48" i="8"/>
  <c r="LTM48" i="8"/>
  <c r="LTL48" i="8"/>
  <c r="LTK48" i="8"/>
  <c r="LTJ48" i="8"/>
  <c r="LTI48" i="8"/>
  <c r="LTH48" i="8"/>
  <c r="LTG48" i="8"/>
  <c r="LTF48" i="8"/>
  <c r="LTE48" i="8"/>
  <c r="LTD48" i="8"/>
  <c r="LTC48" i="8"/>
  <c r="LTB48" i="8"/>
  <c r="LTA48" i="8"/>
  <c r="LSZ48" i="8"/>
  <c r="LSY48" i="8"/>
  <c r="LSX48" i="8"/>
  <c r="LSW48" i="8"/>
  <c r="LSV48" i="8"/>
  <c r="LSU48" i="8"/>
  <c r="LST48" i="8"/>
  <c r="LSS48" i="8"/>
  <c r="LSR48" i="8"/>
  <c r="LSQ48" i="8"/>
  <c r="LSP48" i="8"/>
  <c r="LSO48" i="8"/>
  <c r="LSN48" i="8"/>
  <c r="LSM48" i="8"/>
  <c r="LSL48" i="8"/>
  <c r="LSK48" i="8"/>
  <c r="LSJ48" i="8"/>
  <c r="LSI48" i="8"/>
  <c r="LSH48" i="8"/>
  <c r="LSG48" i="8"/>
  <c r="LSF48" i="8"/>
  <c r="LSE48" i="8"/>
  <c r="LSD48" i="8"/>
  <c r="LSC48" i="8"/>
  <c r="LSB48" i="8"/>
  <c r="LSA48" i="8"/>
  <c r="LRZ48" i="8"/>
  <c r="LRY48" i="8"/>
  <c r="LRX48" i="8"/>
  <c r="LRW48" i="8"/>
  <c r="LRV48" i="8"/>
  <c r="LRU48" i="8"/>
  <c r="LRT48" i="8"/>
  <c r="LRS48" i="8"/>
  <c r="LRR48" i="8"/>
  <c r="LRQ48" i="8"/>
  <c r="LRP48" i="8"/>
  <c r="LRO48" i="8"/>
  <c r="LRN48" i="8"/>
  <c r="LRM48" i="8"/>
  <c r="LRL48" i="8"/>
  <c r="LRK48" i="8"/>
  <c r="LRJ48" i="8"/>
  <c r="LRI48" i="8"/>
  <c r="LRH48" i="8"/>
  <c r="LRG48" i="8"/>
  <c r="LRF48" i="8"/>
  <c r="LRE48" i="8"/>
  <c r="LRD48" i="8"/>
  <c r="LRC48" i="8"/>
  <c r="LRB48" i="8"/>
  <c r="LRA48" i="8"/>
  <c r="LQZ48" i="8"/>
  <c r="LQY48" i="8"/>
  <c r="LQX48" i="8"/>
  <c r="LQW48" i="8"/>
  <c r="LQV48" i="8"/>
  <c r="LQU48" i="8"/>
  <c r="LQT48" i="8"/>
  <c r="LQS48" i="8"/>
  <c r="LQR48" i="8"/>
  <c r="LQQ48" i="8"/>
  <c r="LQP48" i="8"/>
  <c r="LQO48" i="8"/>
  <c r="LQN48" i="8"/>
  <c r="LQM48" i="8"/>
  <c r="LQL48" i="8"/>
  <c r="LQK48" i="8"/>
  <c r="LQJ48" i="8"/>
  <c r="LQI48" i="8"/>
  <c r="LQH48" i="8"/>
  <c r="LQG48" i="8"/>
  <c r="LQF48" i="8"/>
  <c r="LQE48" i="8"/>
  <c r="LQD48" i="8"/>
  <c r="LQC48" i="8"/>
  <c r="LQB48" i="8"/>
  <c r="LQA48" i="8"/>
  <c r="LPZ48" i="8"/>
  <c r="LPY48" i="8"/>
  <c r="LPX48" i="8"/>
  <c r="LPW48" i="8"/>
  <c r="LPV48" i="8"/>
  <c r="LPU48" i="8"/>
  <c r="LPT48" i="8"/>
  <c r="LPS48" i="8"/>
  <c r="LPR48" i="8"/>
  <c r="LPQ48" i="8"/>
  <c r="LPP48" i="8"/>
  <c r="LPO48" i="8"/>
  <c r="LPN48" i="8"/>
  <c r="LPM48" i="8"/>
  <c r="LPL48" i="8"/>
  <c r="LPK48" i="8"/>
  <c r="LPJ48" i="8"/>
  <c r="LPI48" i="8"/>
  <c r="LPH48" i="8"/>
  <c r="LPG48" i="8"/>
  <c r="LPF48" i="8"/>
  <c r="LPE48" i="8"/>
  <c r="LPD48" i="8"/>
  <c r="LPC48" i="8"/>
  <c r="LPB48" i="8"/>
  <c r="LPA48" i="8"/>
  <c r="LOZ48" i="8"/>
  <c r="LOY48" i="8"/>
  <c r="LOX48" i="8"/>
  <c r="LOW48" i="8"/>
  <c r="LOV48" i="8"/>
  <c r="LOU48" i="8"/>
  <c r="LOT48" i="8"/>
  <c r="LOS48" i="8"/>
  <c r="LOR48" i="8"/>
  <c r="LOQ48" i="8"/>
  <c r="LOP48" i="8"/>
  <c r="LOO48" i="8"/>
  <c r="LON48" i="8"/>
  <c r="LOM48" i="8"/>
  <c r="LOL48" i="8"/>
  <c r="LOK48" i="8"/>
  <c r="LOJ48" i="8"/>
  <c r="LOI48" i="8"/>
  <c r="LOH48" i="8"/>
  <c r="LOG48" i="8"/>
  <c r="LOF48" i="8"/>
  <c r="LOE48" i="8"/>
  <c r="LOD48" i="8"/>
  <c r="LOC48" i="8"/>
  <c r="LOB48" i="8"/>
  <c r="LOA48" i="8"/>
  <c r="LNZ48" i="8"/>
  <c r="LNY48" i="8"/>
  <c r="LNX48" i="8"/>
  <c r="LNW48" i="8"/>
  <c r="LNV48" i="8"/>
  <c r="LNU48" i="8"/>
  <c r="LNT48" i="8"/>
  <c r="LNS48" i="8"/>
  <c r="LNR48" i="8"/>
  <c r="LNQ48" i="8"/>
  <c r="LNP48" i="8"/>
  <c r="LNO48" i="8"/>
  <c r="LNN48" i="8"/>
  <c r="LNM48" i="8"/>
  <c r="LNL48" i="8"/>
  <c r="LNK48" i="8"/>
  <c r="LNJ48" i="8"/>
  <c r="LNI48" i="8"/>
  <c r="LNH48" i="8"/>
  <c r="LNG48" i="8"/>
  <c r="LNF48" i="8"/>
  <c r="LNE48" i="8"/>
  <c r="LND48" i="8"/>
  <c r="LNC48" i="8"/>
  <c r="LNB48" i="8"/>
  <c r="LNA48" i="8"/>
  <c r="LMZ48" i="8"/>
  <c r="LMY48" i="8"/>
  <c r="LMX48" i="8"/>
  <c r="LMW48" i="8"/>
  <c r="LMV48" i="8"/>
  <c r="LMU48" i="8"/>
  <c r="LMT48" i="8"/>
  <c r="LMS48" i="8"/>
  <c r="LMR48" i="8"/>
  <c r="LMQ48" i="8"/>
  <c r="LMP48" i="8"/>
  <c r="LMO48" i="8"/>
  <c r="LMN48" i="8"/>
  <c r="LMM48" i="8"/>
  <c r="LML48" i="8"/>
  <c r="LMK48" i="8"/>
  <c r="LMJ48" i="8"/>
  <c r="LMI48" i="8"/>
  <c r="LMH48" i="8"/>
  <c r="LMG48" i="8"/>
  <c r="LMF48" i="8"/>
  <c r="LME48" i="8"/>
  <c r="LMD48" i="8"/>
  <c r="LMC48" i="8"/>
  <c r="LMB48" i="8"/>
  <c r="LMA48" i="8"/>
  <c r="LLZ48" i="8"/>
  <c r="LLY48" i="8"/>
  <c r="LLX48" i="8"/>
  <c r="LLW48" i="8"/>
  <c r="LLV48" i="8"/>
  <c r="LLU48" i="8"/>
  <c r="LLT48" i="8"/>
  <c r="LLS48" i="8"/>
  <c r="LLR48" i="8"/>
  <c r="LLQ48" i="8"/>
  <c r="LLP48" i="8"/>
  <c r="LLO48" i="8"/>
  <c r="LLN48" i="8"/>
  <c r="LLM48" i="8"/>
  <c r="LLL48" i="8"/>
  <c r="LLK48" i="8"/>
  <c r="LLJ48" i="8"/>
  <c r="LLI48" i="8"/>
  <c r="LLH48" i="8"/>
  <c r="LLG48" i="8"/>
  <c r="LLF48" i="8"/>
  <c r="LLE48" i="8"/>
  <c r="LLD48" i="8"/>
  <c r="LLC48" i="8"/>
  <c r="LLB48" i="8"/>
  <c r="LLA48" i="8"/>
  <c r="LKZ48" i="8"/>
  <c r="LKY48" i="8"/>
  <c r="LKX48" i="8"/>
  <c r="LKW48" i="8"/>
  <c r="LKV48" i="8"/>
  <c r="LKU48" i="8"/>
  <c r="LKT48" i="8"/>
  <c r="LKS48" i="8"/>
  <c r="LKR48" i="8"/>
  <c r="LKQ48" i="8"/>
  <c r="LKP48" i="8"/>
  <c r="LKO48" i="8"/>
  <c r="LKN48" i="8"/>
  <c r="LKM48" i="8"/>
  <c r="LKL48" i="8"/>
  <c r="LKK48" i="8"/>
  <c r="LKJ48" i="8"/>
  <c r="LKI48" i="8"/>
  <c r="LKH48" i="8"/>
  <c r="LKG48" i="8"/>
  <c r="LKF48" i="8"/>
  <c r="LKE48" i="8"/>
  <c r="LKD48" i="8"/>
  <c r="LKC48" i="8"/>
  <c r="LKB48" i="8"/>
  <c r="LKA48" i="8"/>
  <c r="LJZ48" i="8"/>
  <c r="LJY48" i="8"/>
  <c r="LJX48" i="8"/>
  <c r="LJW48" i="8"/>
  <c r="LJV48" i="8"/>
  <c r="LJU48" i="8"/>
  <c r="LJT48" i="8"/>
  <c r="LJS48" i="8"/>
  <c r="LJR48" i="8"/>
  <c r="LJQ48" i="8"/>
  <c r="LJP48" i="8"/>
  <c r="LJO48" i="8"/>
  <c r="LJN48" i="8"/>
  <c r="LJM48" i="8"/>
  <c r="LJL48" i="8"/>
  <c r="LJK48" i="8"/>
  <c r="LJJ48" i="8"/>
  <c r="LJI48" i="8"/>
  <c r="LJH48" i="8"/>
  <c r="LJG48" i="8"/>
  <c r="LJF48" i="8"/>
  <c r="LJE48" i="8"/>
  <c r="LJD48" i="8"/>
  <c r="LJC48" i="8"/>
  <c r="LJB48" i="8"/>
  <c r="LJA48" i="8"/>
  <c r="LIZ48" i="8"/>
  <c r="LIY48" i="8"/>
  <c r="LIX48" i="8"/>
  <c r="LIW48" i="8"/>
  <c r="LIV48" i="8"/>
  <c r="LIU48" i="8"/>
  <c r="LIT48" i="8"/>
  <c r="LIS48" i="8"/>
  <c r="LIR48" i="8"/>
  <c r="LIQ48" i="8"/>
  <c r="LIP48" i="8"/>
  <c r="LIO48" i="8"/>
  <c r="LIN48" i="8"/>
  <c r="LIM48" i="8"/>
  <c r="LIL48" i="8"/>
  <c r="LIK48" i="8"/>
  <c r="LIJ48" i="8"/>
  <c r="LII48" i="8"/>
  <c r="LIH48" i="8"/>
  <c r="LIG48" i="8"/>
  <c r="LIF48" i="8"/>
  <c r="LIE48" i="8"/>
  <c r="LID48" i="8"/>
  <c r="LIC48" i="8"/>
  <c r="LIB48" i="8"/>
  <c r="LIA48" i="8"/>
  <c r="LHZ48" i="8"/>
  <c r="LHY48" i="8"/>
  <c r="LHX48" i="8"/>
  <c r="LHW48" i="8"/>
  <c r="LHV48" i="8"/>
  <c r="LHU48" i="8"/>
  <c r="LHT48" i="8"/>
  <c r="LHS48" i="8"/>
  <c r="LHR48" i="8"/>
  <c r="LHQ48" i="8"/>
  <c r="LHP48" i="8"/>
  <c r="LHO48" i="8"/>
  <c r="LHN48" i="8"/>
  <c r="LHM48" i="8"/>
  <c r="LHL48" i="8"/>
  <c r="LHK48" i="8"/>
  <c r="LHJ48" i="8"/>
  <c r="LHI48" i="8"/>
  <c r="LHH48" i="8"/>
  <c r="LHG48" i="8"/>
  <c r="LHF48" i="8"/>
  <c r="LHE48" i="8"/>
  <c r="LHD48" i="8"/>
  <c r="LHC48" i="8"/>
  <c r="LHB48" i="8"/>
  <c r="LHA48" i="8"/>
  <c r="LGZ48" i="8"/>
  <c r="LGY48" i="8"/>
  <c r="LGX48" i="8"/>
  <c r="LGW48" i="8"/>
  <c r="LGV48" i="8"/>
  <c r="LGU48" i="8"/>
  <c r="LGT48" i="8"/>
  <c r="LGS48" i="8"/>
  <c r="LGR48" i="8"/>
  <c r="LGQ48" i="8"/>
  <c r="LGP48" i="8"/>
  <c r="LGO48" i="8"/>
  <c r="LGN48" i="8"/>
  <c r="LGM48" i="8"/>
  <c r="LGL48" i="8"/>
  <c r="LGK48" i="8"/>
  <c r="LGJ48" i="8"/>
  <c r="LGI48" i="8"/>
  <c r="LGH48" i="8"/>
  <c r="LGG48" i="8"/>
  <c r="LGF48" i="8"/>
  <c r="LGE48" i="8"/>
  <c r="LGD48" i="8"/>
  <c r="LGC48" i="8"/>
  <c r="LGB48" i="8"/>
  <c r="LGA48" i="8"/>
  <c r="LFZ48" i="8"/>
  <c r="LFY48" i="8"/>
  <c r="LFX48" i="8"/>
  <c r="LFW48" i="8"/>
  <c r="LFV48" i="8"/>
  <c r="LFU48" i="8"/>
  <c r="LFT48" i="8"/>
  <c r="LFS48" i="8"/>
  <c r="LFR48" i="8"/>
  <c r="LFQ48" i="8"/>
  <c r="LFP48" i="8"/>
  <c r="LFO48" i="8"/>
  <c r="LFN48" i="8"/>
  <c r="LFM48" i="8"/>
  <c r="LFL48" i="8"/>
  <c r="LFK48" i="8"/>
  <c r="LFJ48" i="8"/>
  <c r="LFI48" i="8"/>
  <c r="LFH48" i="8"/>
  <c r="LFG48" i="8"/>
  <c r="LFF48" i="8"/>
  <c r="LFE48" i="8"/>
  <c r="LFD48" i="8"/>
  <c r="LFC48" i="8"/>
  <c r="LFB48" i="8"/>
  <c r="LFA48" i="8"/>
  <c r="LEZ48" i="8"/>
  <c r="LEY48" i="8"/>
  <c r="LEX48" i="8"/>
  <c r="LEW48" i="8"/>
  <c r="LEV48" i="8"/>
  <c r="LEU48" i="8"/>
  <c r="LET48" i="8"/>
  <c r="LES48" i="8"/>
  <c r="LER48" i="8"/>
  <c r="LEQ48" i="8"/>
  <c r="LEP48" i="8"/>
  <c r="LEO48" i="8"/>
  <c r="LEN48" i="8"/>
  <c r="LEM48" i="8"/>
  <c r="LEL48" i="8"/>
  <c r="LEK48" i="8"/>
  <c r="LEJ48" i="8"/>
  <c r="LEI48" i="8"/>
  <c r="LEH48" i="8"/>
  <c r="LEG48" i="8"/>
  <c r="LEF48" i="8"/>
  <c r="LEE48" i="8"/>
  <c r="LED48" i="8"/>
  <c r="LEC48" i="8"/>
  <c r="LEB48" i="8"/>
  <c r="LEA48" i="8"/>
  <c r="LDZ48" i="8"/>
  <c r="LDY48" i="8"/>
  <c r="LDX48" i="8"/>
  <c r="LDW48" i="8"/>
  <c r="LDV48" i="8"/>
  <c r="LDU48" i="8"/>
  <c r="LDT48" i="8"/>
  <c r="LDS48" i="8"/>
  <c r="LDR48" i="8"/>
  <c r="LDQ48" i="8"/>
  <c r="LDP48" i="8"/>
  <c r="LDO48" i="8"/>
  <c r="LDN48" i="8"/>
  <c r="LDM48" i="8"/>
  <c r="LDL48" i="8"/>
  <c r="LDK48" i="8"/>
  <c r="LDJ48" i="8"/>
  <c r="LDI48" i="8"/>
  <c r="LDH48" i="8"/>
  <c r="LDG48" i="8"/>
  <c r="LDF48" i="8"/>
  <c r="LDE48" i="8"/>
  <c r="LDD48" i="8"/>
  <c r="LDC48" i="8"/>
  <c r="LDB48" i="8"/>
  <c r="LDA48" i="8"/>
  <c r="LCZ48" i="8"/>
  <c r="LCY48" i="8"/>
  <c r="LCX48" i="8"/>
  <c r="LCW48" i="8"/>
  <c r="LCV48" i="8"/>
  <c r="LCU48" i="8"/>
  <c r="LCT48" i="8"/>
  <c r="LCS48" i="8"/>
  <c r="LCR48" i="8"/>
  <c r="LCQ48" i="8"/>
  <c r="LCP48" i="8"/>
  <c r="LCO48" i="8"/>
  <c r="LCN48" i="8"/>
  <c r="LCM48" i="8"/>
  <c r="LCL48" i="8"/>
  <c r="LCK48" i="8"/>
  <c r="LCJ48" i="8"/>
  <c r="LCI48" i="8"/>
  <c r="LCH48" i="8"/>
  <c r="LCG48" i="8"/>
  <c r="LCF48" i="8"/>
  <c r="LCE48" i="8"/>
  <c r="LCD48" i="8"/>
  <c r="LCC48" i="8"/>
  <c r="LCB48" i="8"/>
  <c r="LCA48" i="8"/>
  <c r="LBZ48" i="8"/>
  <c r="LBY48" i="8"/>
  <c r="LBX48" i="8"/>
  <c r="LBW48" i="8"/>
  <c r="LBV48" i="8"/>
  <c r="LBU48" i="8"/>
  <c r="LBT48" i="8"/>
  <c r="LBS48" i="8"/>
  <c r="LBR48" i="8"/>
  <c r="LBQ48" i="8"/>
  <c r="LBP48" i="8"/>
  <c r="LBO48" i="8"/>
  <c r="LBN48" i="8"/>
  <c r="LBM48" i="8"/>
  <c r="LBL48" i="8"/>
  <c r="LBK48" i="8"/>
  <c r="LBJ48" i="8"/>
  <c r="LBI48" i="8"/>
  <c r="LBH48" i="8"/>
  <c r="LBG48" i="8"/>
  <c r="LBF48" i="8"/>
  <c r="LBE48" i="8"/>
  <c r="LBD48" i="8"/>
  <c r="LBC48" i="8"/>
  <c r="LBB48" i="8"/>
  <c r="LBA48" i="8"/>
  <c r="LAZ48" i="8"/>
  <c r="LAY48" i="8"/>
  <c r="LAX48" i="8"/>
  <c r="LAW48" i="8"/>
  <c r="LAV48" i="8"/>
  <c r="LAU48" i="8"/>
  <c r="LAT48" i="8"/>
  <c r="LAS48" i="8"/>
  <c r="LAR48" i="8"/>
  <c r="LAQ48" i="8"/>
  <c r="LAP48" i="8"/>
  <c r="LAO48" i="8"/>
  <c r="LAN48" i="8"/>
  <c r="LAM48" i="8"/>
  <c r="LAL48" i="8"/>
  <c r="LAK48" i="8"/>
  <c r="LAJ48" i="8"/>
  <c r="LAI48" i="8"/>
  <c r="LAH48" i="8"/>
  <c r="LAG48" i="8"/>
  <c r="LAF48" i="8"/>
  <c r="LAE48" i="8"/>
  <c r="LAD48" i="8"/>
  <c r="LAC48" i="8"/>
  <c r="LAB48" i="8"/>
  <c r="LAA48" i="8"/>
  <c r="KZZ48" i="8"/>
  <c r="KZY48" i="8"/>
  <c r="KZX48" i="8"/>
  <c r="KZW48" i="8"/>
  <c r="KZV48" i="8"/>
  <c r="KZU48" i="8"/>
  <c r="KZT48" i="8"/>
  <c r="KZS48" i="8"/>
  <c r="KZR48" i="8"/>
  <c r="KZQ48" i="8"/>
  <c r="KZP48" i="8"/>
  <c r="KZO48" i="8"/>
  <c r="KZN48" i="8"/>
  <c r="KZM48" i="8"/>
  <c r="KZL48" i="8"/>
  <c r="KZK48" i="8"/>
  <c r="KZJ48" i="8"/>
  <c r="KZI48" i="8"/>
  <c r="KZH48" i="8"/>
  <c r="KZG48" i="8"/>
  <c r="KZF48" i="8"/>
  <c r="KZE48" i="8"/>
  <c r="KZD48" i="8"/>
  <c r="KZC48" i="8"/>
  <c r="KZB48" i="8"/>
  <c r="KZA48" i="8"/>
  <c r="KYZ48" i="8"/>
  <c r="KYY48" i="8"/>
  <c r="KYX48" i="8"/>
  <c r="KYW48" i="8"/>
  <c r="KYV48" i="8"/>
  <c r="KYU48" i="8"/>
  <c r="KYT48" i="8"/>
  <c r="KYS48" i="8"/>
  <c r="KYR48" i="8"/>
  <c r="KYQ48" i="8"/>
  <c r="KYP48" i="8"/>
  <c r="KYO48" i="8"/>
  <c r="KYN48" i="8"/>
  <c r="KYM48" i="8"/>
  <c r="KYL48" i="8"/>
  <c r="KYK48" i="8"/>
  <c r="KYJ48" i="8"/>
  <c r="KYI48" i="8"/>
  <c r="KYH48" i="8"/>
  <c r="KYG48" i="8"/>
  <c r="KYF48" i="8"/>
  <c r="KYE48" i="8"/>
  <c r="KYD48" i="8"/>
  <c r="KYC48" i="8"/>
  <c r="KYB48" i="8"/>
  <c r="KYA48" i="8"/>
  <c r="KXZ48" i="8"/>
  <c r="KXY48" i="8"/>
  <c r="KXX48" i="8"/>
  <c r="KXW48" i="8"/>
  <c r="KXV48" i="8"/>
  <c r="KXU48" i="8"/>
  <c r="KXT48" i="8"/>
  <c r="KXS48" i="8"/>
  <c r="KXR48" i="8"/>
  <c r="KXQ48" i="8"/>
  <c r="KXP48" i="8"/>
  <c r="KXO48" i="8"/>
  <c r="KXN48" i="8"/>
  <c r="KXM48" i="8"/>
  <c r="KXL48" i="8"/>
  <c r="KXK48" i="8"/>
  <c r="KXJ48" i="8"/>
  <c r="KXI48" i="8"/>
  <c r="KXH48" i="8"/>
  <c r="KXG48" i="8"/>
  <c r="KXF48" i="8"/>
  <c r="KXE48" i="8"/>
  <c r="KXD48" i="8"/>
  <c r="KXC48" i="8"/>
  <c r="KXB48" i="8"/>
  <c r="KXA48" i="8"/>
  <c r="KWZ48" i="8"/>
  <c r="KWY48" i="8"/>
  <c r="KWX48" i="8"/>
  <c r="KWW48" i="8"/>
  <c r="KWV48" i="8"/>
  <c r="KWU48" i="8"/>
  <c r="KWT48" i="8"/>
  <c r="KWS48" i="8"/>
  <c r="KWR48" i="8"/>
  <c r="KWQ48" i="8"/>
  <c r="KWP48" i="8"/>
  <c r="KWO48" i="8"/>
  <c r="KWN48" i="8"/>
  <c r="KWM48" i="8"/>
  <c r="KWL48" i="8"/>
  <c r="KWK48" i="8"/>
  <c r="KWJ48" i="8"/>
  <c r="KWI48" i="8"/>
  <c r="KWH48" i="8"/>
  <c r="KWG48" i="8"/>
  <c r="KWF48" i="8"/>
  <c r="KWE48" i="8"/>
  <c r="KWD48" i="8"/>
  <c r="KWC48" i="8"/>
  <c r="KWB48" i="8"/>
  <c r="KWA48" i="8"/>
  <c r="KVZ48" i="8"/>
  <c r="KVY48" i="8"/>
  <c r="KVX48" i="8"/>
  <c r="KVW48" i="8"/>
  <c r="KVV48" i="8"/>
  <c r="KVU48" i="8"/>
  <c r="KVT48" i="8"/>
  <c r="KVS48" i="8"/>
  <c r="KVR48" i="8"/>
  <c r="KVQ48" i="8"/>
  <c r="KVP48" i="8"/>
  <c r="KVO48" i="8"/>
  <c r="KVN48" i="8"/>
  <c r="KVM48" i="8"/>
  <c r="KVL48" i="8"/>
  <c r="KVK48" i="8"/>
  <c r="KVJ48" i="8"/>
  <c r="KVI48" i="8"/>
  <c r="KVH48" i="8"/>
  <c r="KVG48" i="8"/>
  <c r="KVF48" i="8"/>
  <c r="KVE48" i="8"/>
  <c r="KVD48" i="8"/>
  <c r="KVC48" i="8"/>
  <c r="KVB48" i="8"/>
  <c r="KVA48" i="8"/>
  <c r="KUZ48" i="8"/>
  <c r="KUY48" i="8"/>
  <c r="KUX48" i="8"/>
  <c r="KUW48" i="8"/>
  <c r="KUV48" i="8"/>
  <c r="KUU48" i="8"/>
  <c r="KUT48" i="8"/>
  <c r="KUS48" i="8"/>
  <c r="KUR48" i="8"/>
  <c r="KUQ48" i="8"/>
  <c r="KUP48" i="8"/>
  <c r="KUO48" i="8"/>
  <c r="KUN48" i="8"/>
  <c r="KUM48" i="8"/>
  <c r="KUL48" i="8"/>
  <c r="KUK48" i="8"/>
  <c r="KUJ48" i="8"/>
  <c r="KUI48" i="8"/>
  <c r="KUH48" i="8"/>
  <c r="KUG48" i="8"/>
  <c r="KUF48" i="8"/>
  <c r="KUE48" i="8"/>
  <c r="KUD48" i="8"/>
  <c r="KUC48" i="8"/>
  <c r="KUB48" i="8"/>
  <c r="KUA48" i="8"/>
  <c r="KTZ48" i="8"/>
  <c r="KTY48" i="8"/>
  <c r="KTX48" i="8"/>
  <c r="KTW48" i="8"/>
  <c r="KTV48" i="8"/>
  <c r="KTU48" i="8"/>
  <c r="KTT48" i="8"/>
  <c r="KTS48" i="8"/>
  <c r="KTR48" i="8"/>
  <c r="KTQ48" i="8"/>
  <c r="KTP48" i="8"/>
  <c r="KTO48" i="8"/>
  <c r="KTN48" i="8"/>
  <c r="KTM48" i="8"/>
  <c r="KTL48" i="8"/>
  <c r="KTK48" i="8"/>
  <c r="KTJ48" i="8"/>
  <c r="KTI48" i="8"/>
  <c r="KTH48" i="8"/>
  <c r="KTG48" i="8"/>
  <c r="KTF48" i="8"/>
  <c r="KTE48" i="8"/>
  <c r="KTD48" i="8"/>
  <c r="KTC48" i="8"/>
  <c r="KTB48" i="8"/>
  <c r="KTA48" i="8"/>
  <c r="KSZ48" i="8"/>
  <c r="KSY48" i="8"/>
  <c r="KSX48" i="8"/>
  <c r="KSW48" i="8"/>
  <c r="KSV48" i="8"/>
  <c r="KSU48" i="8"/>
  <c r="KST48" i="8"/>
  <c r="KSS48" i="8"/>
  <c r="KSR48" i="8"/>
  <c r="KSQ48" i="8"/>
  <c r="KSP48" i="8"/>
  <c r="KSO48" i="8"/>
  <c r="KSN48" i="8"/>
  <c r="KSM48" i="8"/>
  <c r="KSL48" i="8"/>
  <c r="KSK48" i="8"/>
  <c r="KSJ48" i="8"/>
  <c r="KSI48" i="8"/>
  <c r="KSH48" i="8"/>
  <c r="KSG48" i="8"/>
  <c r="KSF48" i="8"/>
  <c r="KSE48" i="8"/>
  <c r="KSD48" i="8"/>
  <c r="KSC48" i="8"/>
  <c r="KSB48" i="8"/>
  <c r="KSA48" i="8"/>
  <c r="KRZ48" i="8"/>
  <c r="KRY48" i="8"/>
  <c r="KRX48" i="8"/>
  <c r="KRW48" i="8"/>
  <c r="KRV48" i="8"/>
  <c r="KRU48" i="8"/>
  <c r="KRT48" i="8"/>
  <c r="KRS48" i="8"/>
  <c r="KRR48" i="8"/>
  <c r="KRQ48" i="8"/>
  <c r="KRP48" i="8"/>
  <c r="KRO48" i="8"/>
  <c r="KRN48" i="8"/>
  <c r="KRM48" i="8"/>
  <c r="KRL48" i="8"/>
  <c r="KRK48" i="8"/>
  <c r="KRJ48" i="8"/>
  <c r="KRI48" i="8"/>
  <c r="KRH48" i="8"/>
  <c r="KRG48" i="8"/>
  <c r="KRF48" i="8"/>
  <c r="KRE48" i="8"/>
  <c r="KRD48" i="8"/>
  <c r="KRC48" i="8"/>
  <c r="KRB48" i="8"/>
  <c r="KRA48" i="8"/>
  <c r="KQZ48" i="8"/>
  <c r="KQY48" i="8"/>
  <c r="KQX48" i="8"/>
  <c r="KQW48" i="8"/>
  <c r="KQV48" i="8"/>
  <c r="KQU48" i="8"/>
  <c r="KQT48" i="8"/>
  <c r="KQS48" i="8"/>
  <c r="KQR48" i="8"/>
  <c r="KQQ48" i="8"/>
  <c r="KQP48" i="8"/>
  <c r="KQO48" i="8"/>
  <c r="KQN48" i="8"/>
  <c r="KQM48" i="8"/>
  <c r="KQL48" i="8"/>
  <c r="KQK48" i="8"/>
  <c r="KQJ48" i="8"/>
  <c r="KQI48" i="8"/>
  <c r="KQH48" i="8"/>
  <c r="KQG48" i="8"/>
  <c r="KQF48" i="8"/>
  <c r="KQE48" i="8"/>
  <c r="KQD48" i="8"/>
  <c r="KQC48" i="8"/>
  <c r="KQB48" i="8"/>
  <c r="KQA48" i="8"/>
  <c r="KPZ48" i="8"/>
  <c r="KPY48" i="8"/>
  <c r="KPX48" i="8"/>
  <c r="KPW48" i="8"/>
  <c r="KPV48" i="8"/>
  <c r="KPU48" i="8"/>
  <c r="KPT48" i="8"/>
  <c r="KPS48" i="8"/>
  <c r="KPR48" i="8"/>
  <c r="KPQ48" i="8"/>
  <c r="KPP48" i="8"/>
  <c r="KPO48" i="8"/>
  <c r="KPN48" i="8"/>
  <c r="KPM48" i="8"/>
  <c r="KPL48" i="8"/>
  <c r="KPK48" i="8"/>
  <c r="KPJ48" i="8"/>
  <c r="KPI48" i="8"/>
  <c r="KPH48" i="8"/>
  <c r="KPG48" i="8"/>
  <c r="KPF48" i="8"/>
  <c r="KPE48" i="8"/>
  <c r="KPD48" i="8"/>
  <c r="KPC48" i="8"/>
  <c r="KPB48" i="8"/>
  <c r="KPA48" i="8"/>
  <c r="KOZ48" i="8"/>
  <c r="KOY48" i="8"/>
  <c r="KOX48" i="8"/>
  <c r="KOW48" i="8"/>
  <c r="KOV48" i="8"/>
  <c r="KOU48" i="8"/>
  <c r="KOT48" i="8"/>
  <c r="KOS48" i="8"/>
  <c r="KOR48" i="8"/>
  <c r="KOQ48" i="8"/>
  <c r="KOP48" i="8"/>
  <c r="KOO48" i="8"/>
  <c r="KON48" i="8"/>
  <c r="KOM48" i="8"/>
  <c r="KOL48" i="8"/>
  <c r="KOK48" i="8"/>
  <c r="KOJ48" i="8"/>
  <c r="KOI48" i="8"/>
  <c r="KOH48" i="8"/>
  <c r="KOG48" i="8"/>
  <c r="KOF48" i="8"/>
  <c r="KOE48" i="8"/>
  <c r="KOD48" i="8"/>
  <c r="KOC48" i="8"/>
  <c r="KOB48" i="8"/>
  <c r="KOA48" i="8"/>
  <c r="KNZ48" i="8"/>
  <c r="KNY48" i="8"/>
  <c r="KNX48" i="8"/>
  <c r="KNW48" i="8"/>
  <c r="KNV48" i="8"/>
  <c r="KNU48" i="8"/>
  <c r="KNT48" i="8"/>
  <c r="KNS48" i="8"/>
  <c r="KNR48" i="8"/>
  <c r="KNQ48" i="8"/>
  <c r="KNP48" i="8"/>
  <c r="KNO48" i="8"/>
  <c r="KNN48" i="8"/>
  <c r="KNM48" i="8"/>
  <c r="KNL48" i="8"/>
  <c r="KNK48" i="8"/>
  <c r="KNJ48" i="8"/>
  <c r="KNI48" i="8"/>
  <c r="KNH48" i="8"/>
  <c r="KNG48" i="8"/>
  <c r="KNF48" i="8"/>
  <c r="KNE48" i="8"/>
  <c r="KND48" i="8"/>
  <c r="KNC48" i="8"/>
  <c r="KNB48" i="8"/>
  <c r="KNA48" i="8"/>
  <c r="KMZ48" i="8"/>
  <c r="KMY48" i="8"/>
  <c r="KMX48" i="8"/>
  <c r="KMW48" i="8"/>
  <c r="KMV48" i="8"/>
  <c r="KMU48" i="8"/>
  <c r="KMT48" i="8"/>
  <c r="KMS48" i="8"/>
  <c r="KMR48" i="8"/>
  <c r="KMQ48" i="8"/>
  <c r="KMP48" i="8"/>
  <c r="KMO48" i="8"/>
  <c r="KMN48" i="8"/>
  <c r="KMM48" i="8"/>
  <c r="KML48" i="8"/>
  <c r="KMK48" i="8"/>
  <c r="KMJ48" i="8"/>
  <c r="KMI48" i="8"/>
  <c r="KMH48" i="8"/>
  <c r="KMG48" i="8"/>
  <c r="KMF48" i="8"/>
  <c r="KME48" i="8"/>
  <c r="KMD48" i="8"/>
  <c r="KMC48" i="8"/>
  <c r="KMB48" i="8"/>
  <c r="KMA48" i="8"/>
  <c r="KLZ48" i="8"/>
  <c r="KLY48" i="8"/>
  <c r="KLX48" i="8"/>
  <c r="KLW48" i="8"/>
  <c r="KLV48" i="8"/>
  <c r="KLU48" i="8"/>
  <c r="KLT48" i="8"/>
  <c r="KLS48" i="8"/>
  <c r="KLR48" i="8"/>
  <c r="KLQ48" i="8"/>
  <c r="KLP48" i="8"/>
  <c r="KLO48" i="8"/>
  <c r="KLN48" i="8"/>
  <c r="KLM48" i="8"/>
  <c r="KLL48" i="8"/>
  <c r="KLK48" i="8"/>
  <c r="KLJ48" i="8"/>
  <c r="KLI48" i="8"/>
  <c r="KLH48" i="8"/>
  <c r="KLG48" i="8"/>
  <c r="KLF48" i="8"/>
  <c r="KLE48" i="8"/>
  <c r="KLD48" i="8"/>
  <c r="KLC48" i="8"/>
  <c r="KLB48" i="8"/>
  <c r="KLA48" i="8"/>
  <c r="KKZ48" i="8"/>
  <c r="KKY48" i="8"/>
  <c r="KKX48" i="8"/>
  <c r="KKW48" i="8"/>
  <c r="KKV48" i="8"/>
  <c r="KKU48" i="8"/>
  <c r="KKT48" i="8"/>
  <c r="KKS48" i="8"/>
  <c r="KKR48" i="8"/>
  <c r="KKQ48" i="8"/>
  <c r="KKP48" i="8"/>
  <c r="KKO48" i="8"/>
  <c r="KKN48" i="8"/>
  <c r="KKM48" i="8"/>
  <c r="KKL48" i="8"/>
  <c r="KKK48" i="8"/>
  <c r="KKJ48" i="8"/>
  <c r="KKI48" i="8"/>
  <c r="KKH48" i="8"/>
  <c r="KKG48" i="8"/>
  <c r="KKF48" i="8"/>
  <c r="KKE48" i="8"/>
  <c r="KKD48" i="8"/>
  <c r="KKC48" i="8"/>
  <c r="KKB48" i="8"/>
  <c r="KKA48" i="8"/>
  <c r="KJZ48" i="8"/>
  <c r="KJY48" i="8"/>
  <c r="KJX48" i="8"/>
  <c r="KJW48" i="8"/>
  <c r="KJV48" i="8"/>
  <c r="KJU48" i="8"/>
  <c r="KJT48" i="8"/>
  <c r="KJS48" i="8"/>
  <c r="KJR48" i="8"/>
  <c r="KJQ48" i="8"/>
  <c r="KJP48" i="8"/>
  <c r="KJO48" i="8"/>
  <c r="KJN48" i="8"/>
  <c r="KJM48" i="8"/>
  <c r="KJL48" i="8"/>
  <c r="KJK48" i="8"/>
  <c r="KJJ48" i="8"/>
  <c r="KJI48" i="8"/>
  <c r="KJH48" i="8"/>
  <c r="KJG48" i="8"/>
  <c r="KJF48" i="8"/>
  <c r="KJE48" i="8"/>
  <c r="KJD48" i="8"/>
  <c r="KJC48" i="8"/>
  <c r="KJB48" i="8"/>
  <c r="KJA48" i="8"/>
  <c r="KIZ48" i="8"/>
  <c r="KIY48" i="8"/>
  <c r="KIX48" i="8"/>
  <c r="KIW48" i="8"/>
  <c r="KIV48" i="8"/>
  <c r="KIU48" i="8"/>
  <c r="KIT48" i="8"/>
  <c r="KIS48" i="8"/>
  <c r="KIR48" i="8"/>
  <c r="KIQ48" i="8"/>
  <c r="KIP48" i="8"/>
  <c r="KIO48" i="8"/>
  <c r="KIN48" i="8"/>
  <c r="KIM48" i="8"/>
  <c r="KIL48" i="8"/>
  <c r="KIK48" i="8"/>
  <c r="KIJ48" i="8"/>
  <c r="KII48" i="8"/>
  <c r="KIH48" i="8"/>
  <c r="KIG48" i="8"/>
  <c r="KIF48" i="8"/>
  <c r="KIE48" i="8"/>
  <c r="KID48" i="8"/>
  <c r="KIC48" i="8"/>
  <c r="KIB48" i="8"/>
  <c r="KIA48" i="8"/>
  <c r="KHZ48" i="8"/>
  <c r="KHY48" i="8"/>
  <c r="KHX48" i="8"/>
  <c r="KHW48" i="8"/>
  <c r="KHV48" i="8"/>
  <c r="KHU48" i="8"/>
  <c r="KHT48" i="8"/>
  <c r="KHS48" i="8"/>
  <c r="KHR48" i="8"/>
  <c r="KHQ48" i="8"/>
  <c r="KHP48" i="8"/>
  <c r="KHO48" i="8"/>
  <c r="KHN48" i="8"/>
  <c r="KHM48" i="8"/>
  <c r="KHL48" i="8"/>
  <c r="KHK48" i="8"/>
  <c r="KHJ48" i="8"/>
  <c r="KHI48" i="8"/>
  <c r="KHH48" i="8"/>
  <c r="KHG48" i="8"/>
  <c r="KHF48" i="8"/>
  <c r="KHE48" i="8"/>
  <c r="KHD48" i="8"/>
  <c r="KHC48" i="8"/>
  <c r="KHB48" i="8"/>
  <c r="KHA48" i="8"/>
  <c r="KGZ48" i="8"/>
  <c r="KGY48" i="8"/>
  <c r="KGX48" i="8"/>
  <c r="KGW48" i="8"/>
  <c r="KGV48" i="8"/>
  <c r="KGU48" i="8"/>
  <c r="KGT48" i="8"/>
  <c r="KGS48" i="8"/>
  <c r="KGR48" i="8"/>
  <c r="KGQ48" i="8"/>
  <c r="KGP48" i="8"/>
  <c r="KGO48" i="8"/>
  <c r="KGN48" i="8"/>
  <c r="KGM48" i="8"/>
  <c r="KGL48" i="8"/>
  <c r="KGK48" i="8"/>
  <c r="KGJ48" i="8"/>
  <c r="KGI48" i="8"/>
  <c r="KGH48" i="8"/>
  <c r="KGG48" i="8"/>
  <c r="KGF48" i="8"/>
  <c r="KGE48" i="8"/>
  <c r="KGD48" i="8"/>
  <c r="KGC48" i="8"/>
  <c r="KGB48" i="8"/>
  <c r="KGA48" i="8"/>
  <c r="KFZ48" i="8"/>
  <c r="KFY48" i="8"/>
  <c r="KFX48" i="8"/>
  <c r="KFW48" i="8"/>
  <c r="KFV48" i="8"/>
  <c r="KFU48" i="8"/>
  <c r="KFT48" i="8"/>
  <c r="KFS48" i="8"/>
  <c r="KFR48" i="8"/>
  <c r="KFQ48" i="8"/>
  <c r="KFP48" i="8"/>
  <c r="KFO48" i="8"/>
  <c r="KFN48" i="8"/>
  <c r="KFM48" i="8"/>
  <c r="KFL48" i="8"/>
  <c r="KFK48" i="8"/>
  <c r="KFJ48" i="8"/>
  <c r="KFI48" i="8"/>
  <c r="KFH48" i="8"/>
  <c r="KFG48" i="8"/>
  <c r="KFF48" i="8"/>
  <c r="KFE48" i="8"/>
  <c r="KFD48" i="8"/>
  <c r="KFC48" i="8"/>
  <c r="KFB48" i="8"/>
  <c r="KFA48" i="8"/>
  <c r="KEZ48" i="8"/>
  <c r="KEY48" i="8"/>
  <c r="KEX48" i="8"/>
  <c r="KEW48" i="8"/>
  <c r="KEV48" i="8"/>
  <c r="KEU48" i="8"/>
  <c r="KET48" i="8"/>
  <c r="KES48" i="8"/>
  <c r="KER48" i="8"/>
  <c r="KEQ48" i="8"/>
  <c r="KEP48" i="8"/>
  <c r="KEO48" i="8"/>
  <c r="KEN48" i="8"/>
  <c r="KEM48" i="8"/>
  <c r="KEL48" i="8"/>
  <c r="KEK48" i="8"/>
  <c r="KEJ48" i="8"/>
  <c r="KEI48" i="8"/>
  <c r="KEH48" i="8"/>
  <c r="KEG48" i="8"/>
  <c r="KEF48" i="8"/>
  <c r="KEE48" i="8"/>
  <c r="KED48" i="8"/>
  <c r="KEC48" i="8"/>
  <c r="KEB48" i="8"/>
  <c r="KEA48" i="8"/>
  <c r="KDZ48" i="8"/>
  <c r="KDY48" i="8"/>
  <c r="KDX48" i="8"/>
  <c r="KDW48" i="8"/>
  <c r="KDV48" i="8"/>
  <c r="KDU48" i="8"/>
  <c r="KDT48" i="8"/>
  <c r="KDS48" i="8"/>
  <c r="KDR48" i="8"/>
  <c r="KDQ48" i="8"/>
  <c r="KDP48" i="8"/>
  <c r="KDO48" i="8"/>
  <c r="KDN48" i="8"/>
  <c r="KDM48" i="8"/>
  <c r="KDL48" i="8"/>
  <c r="KDK48" i="8"/>
  <c r="KDJ48" i="8"/>
  <c r="KDI48" i="8"/>
  <c r="KDH48" i="8"/>
  <c r="KDG48" i="8"/>
  <c r="KDF48" i="8"/>
  <c r="KDE48" i="8"/>
  <c r="KDD48" i="8"/>
  <c r="KDC48" i="8"/>
  <c r="KDB48" i="8"/>
  <c r="KDA48" i="8"/>
  <c r="KCZ48" i="8"/>
  <c r="KCY48" i="8"/>
  <c r="KCX48" i="8"/>
  <c r="KCW48" i="8"/>
  <c r="KCV48" i="8"/>
  <c r="KCU48" i="8"/>
  <c r="KCT48" i="8"/>
  <c r="KCS48" i="8"/>
  <c r="KCR48" i="8"/>
  <c r="KCQ48" i="8"/>
  <c r="KCP48" i="8"/>
  <c r="KCO48" i="8"/>
  <c r="KCN48" i="8"/>
  <c r="KCM48" i="8"/>
  <c r="KCL48" i="8"/>
  <c r="KCK48" i="8"/>
  <c r="KCJ48" i="8"/>
  <c r="KCI48" i="8"/>
  <c r="KCH48" i="8"/>
  <c r="KCG48" i="8"/>
  <c r="KCF48" i="8"/>
  <c r="KCE48" i="8"/>
  <c r="KCD48" i="8"/>
  <c r="KCC48" i="8"/>
  <c r="KCB48" i="8"/>
  <c r="KCA48" i="8"/>
  <c r="KBZ48" i="8"/>
  <c r="KBY48" i="8"/>
  <c r="KBX48" i="8"/>
  <c r="KBW48" i="8"/>
  <c r="KBV48" i="8"/>
  <c r="KBU48" i="8"/>
  <c r="KBT48" i="8"/>
  <c r="KBS48" i="8"/>
  <c r="KBR48" i="8"/>
  <c r="KBQ48" i="8"/>
  <c r="KBP48" i="8"/>
  <c r="KBO48" i="8"/>
  <c r="KBN48" i="8"/>
  <c r="KBM48" i="8"/>
  <c r="KBL48" i="8"/>
  <c r="KBK48" i="8"/>
  <c r="KBJ48" i="8"/>
  <c r="KBI48" i="8"/>
  <c r="KBH48" i="8"/>
  <c r="KBG48" i="8"/>
  <c r="KBF48" i="8"/>
  <c r="KBE48" i="8"/>
  <c r="KBD48" i="8"/>
  <c r="KBC48" i="8"/>
  <c r="KBB48" i="8"/>
  <c r="KBA48" i="8"/>
  <c r="KAZ48" i="8"/>
  <c r="KAY48" i="8"/>
  <c r="KAX48" i="8"/>
  <c r="KAW48" i="8"/>
  <c r="KAV48" i="8"/>
  <c r="KAU48" i="8"/>
  <c r="KAT48" i="8"/>
  <c r="KAS48" i="8"/>
  <c r="KAR48" i="8"/>
  <c r="KAQ48" i="8"/>
  <c r="KAP48" i="8"/>
  <c r="KAO48" i="8"/>
  <c r="KAN48" i="8"/>
  <c r="KAM48" i="8"/>
  <c r="KAL48" i="8"/>
  <c r="KAK48" i="8"/>
  <c r="KAJ48" i="8"/>
  <c r="KAI48" i="8"/>
  <c r="KAH48" i="8"/>
  <c r="KAG48" i="8"/>
  <c r="KAF48" i="8"/>
  <c r="KAE48" i="8"/>
  <c r="KAD48" i="8"/>
  <c r="KAC48" i="8"/>
  <c r="KAB48" i="8"/>
  <c r="KAA48" i="8"/>
  <c r="JZZ48" i="8"/>
  <c r="JZY48" i="8"/>
  <c r="JZX48" i="8"/>
  <c r="JZW48" i="8"/>
  <c r="JZV48" i="8"/>
  <c r="JZU48" i="8"/>
  <c r="JZT48" i="8"/>
  <c r="JZS48" i="8"/>
  <c r="JZR48" i="8"/>
  <c r="JZQ48" i="8"/>
  <c r="JZP48" i="8"/>
  <c r="JZO48" i="8"/>
  <c r="JZN48" i="8"/>
  <c r="JZM48" i="8"/>
  <c r="JZL48" i="8"/>
  <c r="JZK48" i="8"/>
  <c r="JZJ48" i="8"/>
  <c r="JZI48" i="8"/>
  <c r="JZH48" i="8"/>
  <c r="JZG48" i="8"/>
  <c r="JZF48" i="8"/>
  <c r="JZE48" i="8"/>
  <c r="JZD48" i="8"/>
  <c r="JZC48" i="8"/>
  <c r="JZB48" i="8"/>
  <c r="JZA48" i="8"/>
  <c r="JYZ48" i="8"/>
  <c r="JYY48" i="8"/>
  <c r="JYX48" i="8"/>
  <c r="JYW48" i="8"/>
  <c r="JYV48" i="8"/>
  <c r="JYU48" i="8"/>
  <c r="JYT48" i="8"/>
  <c r="JYS48" i="8"/>
  <c r="JYR48" i="8"/>
  <c r="JYQ48" i="8"/>
  <c r="JYP48" i="8"/>
  <c r="JYO48" i="8"/>
  <c r="JYN48" i="8"/>
  <c r="JYM48" i="8"/>
  <c r="JYL48" i="8"/>
  <c r="JYK48" i="8"/>
  <c r="JYJ48" i="8"/>
  <c r="JYI48" i="8"/>
  <c r="JYH48" i="8"/>
  <c r="JYG48" i="8"/>
  <c r="JYF48" i="8"/>
  <c r="JYE48" i="8"/>
  <c r="JYD48" i="8"/>
  <c r="JYC48" i="8"/>
  <c r="JYB48" i="8"/>
  <c r="JYA48" i="8"/>
  <c r="JXZ48" i="8"/>
  <c r="JXY48" i="8"/>
  <c r="JXX48" i="8"/>
  <c r="JXW48" i="8"/>
  <c r="JXV48" i="8"/>
  <c r="JXU48" i="8"/>
  <c r="JXT48" i="8"/>
  <c r="JXS48" i="8"/>
  <c r="JXR48" i="8"/>
  <c r="JXQ48" i="8"/>
  <c r="JXP48" i="8"/>
  <c r="JXO48" i="8"/>
  <c r="JXN48" i="8"/>
  <c r="JXM48" i="8"/>
  <c r="JXL48" i="8"/>
  <c r="JXK48" i="8"/>
  <c r="JXJ48" i="8"/>
  <c r="JXI48" i="8"/>
  <c r="JXH48" i="8"/>
  <c r="JXG48" i="8"/>
  <c r="JXF48" i="8"/>
  <c r="JXE48" i="8"/>
  <c r="JXD48" i="8"/>
  <c r="JXC48" i="8"/>
  <c r="JXB48" i="8"/>
  <c r="JXA48" i="8"/>
  <c r="JWZ48" i="8"/>
  <c r="JWY48" i="8"/>
  <c r="JWX48" i="8"/>
  <c r="JWW48" i="8"/>
  <c r="JWV48" i="8"/>
  <c r="JWU48" i="8"/>
  <c r="JWT48" i="8"/>
  <c r="JWS48" i="8"/>
  <c r="JWR48" i="8"/>
  <c r="JWQ48" i="8"/>
  <c r="JWP48" i="8"/>
  <c r="JWO48" i="8"/>
  <c r="JWN48" i="8"/>
  <c r="JWM48" i="8"/>
  <c r="JWL48" i="8"/>
  <c r="JWK48" i="8"/>
  <c r="JWJ48" i="8"/>
  <c r="JWI48" i="8"/>
  <c r="JWH48" i="8"/>
  <c r="JWG48" i="8"/>
  <c r="JWF48" i="8"/>
  <c r="JWE48" i="8"/>
  <c r="JWD48" i="8"/>
  <c r="JWC48" i="8"/>
  <c r="JWB48" i="8"/>
  <c r="JWA48" i="8"/>
  <c r="JVZ48" i="8"/>
  <c r="JVY48" i="8"/>
  <c r="JVX48" i="8"/>
  <c r="JVW48" i="8"/>
  <c r="JVV48" i="8"/>
  <c r="JVU48" i="8"/>
  <c r="JVT48" i="8"/>
  <c r="JVS48" i="8"/>
  <c r="JVR48" i="8"/>
  <c r="JVQ48" i="8"/>
  <c r="JVP48" i="8"/>
  <c r="JVO48" i="8"/>
  <c r="JVN48" i="8"/>
  <c r="JVM48" i="8"/>
  <c r="JVL48" i="8"/>
  <c r="JVK48" i="8"/>
  <c r="JVJ48" i="8"/>
  <c r="JVI48" i="8"/>
  <c r="JVH48" i="8"/>
  <c r="JVG48" i="8"/>
  <c r="JVF48" i="8"/>
  <c r="JVE48" i="8"/>
  <c r="JVD48" i="8"/>
  <c r="JVC48" i="8"/>
  <c r="JVB48" i="8"/>
  <c r="JVA48" i="8"/>
  <c r="JUZ48" i="8"/>
  <c r="JUY48" i="8"/>
  <c r="JUX48" i="8"/>
  <c r="JUW48" i="8"/>
  <c r="JUV48" i="8"/>
  <c r="JUU48" i="8"/>
  <c r="JUT48" i="8"/>
  <c r="JUS48" i="8"/>
  <c r="JUR48" i="8"/>
  <c r="JUQ48" i="8"/>
  <c r="JUP48" i="8"/>
  <c r="JUO48" i="8"/>
  <c r="JUN48" i="8"/>
  <c r="JUM48" i="8"/>
  <c r="JUL48" i="8"/>
  <c r="JUK48" i="8"/>
  <c r="JUJ48" i="8"/>
  <c r="JUI48" i="8"/>
  <c r="JUH48" i="8"/>
  <c r="JUG48" i="8"/>
  <c r="JUF48" i="8"/>
  <c r="JUE48" i="8"/>
  <c r="JUD48" i="8"/>
  <c r="JUC48" i="8"/>
  <c r="JUB48" i="8"/>
  <c r="JUA48" i="8"/>
  <c r="JTZ48" i="8"/>
  <c r="JTY48" i="8"/>
  <c r="JTX48" i="8"/>
  <c r="JTW48" i="8"/>
  <c r="JTV48" i="8"/>
  <c r="JTU48" i="8"/>
  <c r="JTT48" i="8"/>
  <c r="JTS48" i="8"/>
  <c r="JTR48" i="8"/>
  <c r="JTQ48" i="8"/>
  <c r="JTP48" i="8"/>
  <c r="JTO48" i="8"/>
  <c r="JTN48" i="8"/>
  <c r="JTM48" i="8"/>
  <c r="JTL48" i="8"/>
  <c r="JTK48" i="8"/>
  <c r="JTJ48" i="8"/>
  <c r="JTI48" i="8"/>
  <c r="JTH48" i="8"/>
  <c r="JTG48" i="8"/>
  <c r="JTF48" i="8"/>
  <c r="JTE48" i="8"/>
  <c r="JTD48" i="8"/>
  <c r="JTC48" i="8"/>
  <c r="JTB48" i="8"/>
  <c r="JTA48" i="8"/>
  <c r="JSZ48" i="8"/>
  <c r="JSY48" i="8"/>
  <c r="JSX48" i="8"/>
  <c r="JSW48" i="8"/>
  <c r="JSV48" i="8"/>
  <c r="JSU48" i="8"/>
  <c r="JST48" i="8"/>
  <c r="JSS48" i="8"/>
  <c r="JSR48" i="8"/>
  <c r="JSQ48" i="8"/>
  <c r="JSP48" i="8"/>
  <c r="JSO48" i="8"/>
  <c r="JSN48" i="8"/>
  <c r="JSM48" i="8"/>
  <c r="JSL48" i="8"/>
  <c r="JSK48" i="8"/>
  <c r="JSJ48" i="8"/>
  <c r="JSI48" i="8"/>
  <c r="JSH48" i="8"/>
  <c r="JSG48" i="8"/>
  <c r="JSF48" i="8"/>
  <c r="JSE48" i="8"/>
  <c r="JSD48" i="8"/>
  <c r="JSC48" i="8"/>
  <c r="JSB48" i="8"/>
  <c r="JSA48" i="8"/>
  <c r="JRZ48" i="8"/>
  <c r="JRY48" i="8"/>
  <c r="JRX48" i="8"/>
  <c r="JRW48" i="8"/>
  <c r="JRV48" i="8"/>
  <c r="JRU48" i="8"/>
  <c r="JRT48" i="8"/>
  <c r="JRS48" i="8"/>
  <c r="JRR48" i="8"/>
  <c r="JRQ48" i="8"/>
  <c r="JRP48" i="8"/>
  <c r="JRO48" i="8"/>
  <c r="JRN48" i="8"/>
  <c r="JRM48" i="8"/>
  <c r="JRL48" i="8"/>
  <c r="JRK48" i="8"/>
  <c r="JRJ48" i="8"/>
  <c r="JRI48" i="8"/>
  <c r="JRH48" i="8"/>
  <c r="JRG48" i="8"/>
  <c r="JRF48" i="8"/>
  <c r="JRE48" i="8"/>
  <c r="JRD48" i="8"/>
  <c r="JRC48" i="8"/>
  <c r="JRB48" i="8"/>
  <c r="JRA48" i="8"/>
  <c r="JQZ48" i="8"/>
  <c r="JQY48" i="8"/>
  <c r="JQX48" i="8"/>
  <c r="JQW48" i="8"/>
  <c r="JQV48" i="8"/>
  <c r="JQU48" i="8"/>
  <c r="JQT48" i="8"/>
  <c r="JQS48" i="8"/>
  <c r="JQR48" i="8"/>
  <c r="JQQ48" i="8"/>
  <c r="JQP48" i="8"/>
  <c r="JQO48" i="8"/>
  <c r="JQN48" i="8"/>
  <c r="JQM48" i="8"/>
  <c r="JQL48" i="8"/>
  <c r="JQK48" i="8"/>
  <c r="JQJ48" i="8"/>
  <c r="JQI48" i="8"/>
  <c r="JQH48" i="8"/>
  <c r="JQG48" i="8"/>
  <c r="JQF48" i="8"/>
  <c r="JQE48" i="8"/>
  <c r="JQD48" i="8"/>
  <c r="JQC48" i="8"/>
  <c r="JQB48" i="8"/>
  <c r="JQA48" i="8"/>
  <c r="JPZ48" i="8"/>
  <c r="JPY48" i="8"/>
  <c r="JPX48" i="8"/>
  <c r="JPW48" i="8"/>
  <c r="JPV48" i="8"/>
  <c r="JPU48" i="8"/>
  <c r="JPT48" i="8"/>
  <c r="JPS48" i="8"/>
  <c r="JPR48" i="8"/>
  <c r="JPQ48" i="8"/>
  <c r="JPP48" i="8"/>
  <c r="JPO48" i="8"/>
  <c r="JPN48" i="8"/>
  <c r="JPM48" i="8"/>
  <c r="JPL48" i="8"/>
  <c r="JPK48" i="8"/>
  <c r="JPJ48" i="8"/>
  <c r="JPI48" i="8"/>
  <c r="JPH48" i="8"/>
  <c r="JPG48" i="8"/>
  <c r="JPF48" i="8"/>
  <c r="JPE48" i="8"/>
  <c r="JPD48" i="8"/>
  <c r="JPC48" i="8"/>
  <c r="JPB48" i="8"/>
  <c r="JPA48" i="8"/>
  <c r="JOZ48" i="8"/>
  <c r="JOY48" i="8"/>
  <c r="JOX48" i="8"/>
  <c r="JOW48" i="8"/>
  <c r="JOV48" i="8"/>
  <c r="JOU48" i="8"/>
  <c r="JOT48" i="8"/>
  <c r="JOS48" i="8"/>
  <c r="JOR48" i="8"/>
  <c r="JOQ48" i="8"/>
  <c r="JOP48" i="8"/>
  <c r="JOO48" i="8"/>
  <c r="JON48" i="8"/>
  <c r="JOM48" i="8"/>
  <c r="JOL48" i="8"/>
  <c r="JOK48" i="8"/>
  <c r="JOJ48" i="8"/>
  <c r="JOI48" i="8"/>
  <c r="JOH48" i="8"/>
  <c r="JOG48" i="8"/>
  <c r="JOF48" i="8"/>
  <c r="JOE48" i="8"/>
  <c r="JOD48" i="8"/>
  <c r="JOC48" i="8"/>
  <c r="JOB48" i="8"/>
  <c r="JOA48" i="8"/>
  <c r="JNZ48" i="8"/>
  <c r="JNY48" i="8"/>
  <c r="JNX48" i="8"/>
  <c r="JNW48" i="8"/>
  <c r="JNV48" i="8"/>
  <c r="JNU48" i="8"/>
  <c r="JNT48" i="8"/>
  <c r="JNS48" i="8"/>
  <c r="JNR48" i="8"/>
  <c r="JNQ48" i="8"/>
  <c r="JNP48" i="8"/>
  <c r="JNO48" i="8"/>
  <c r="JNN48" i="8"/>
  <c r="JNM48" i="8"/>
  <c r="JNL48" i="8"/>
  <c r="JNK48" i="8"/>
  <c r="JNJ48" i="8"/>
  <c r="JNI48" i="8"/>
  <c r="JNH48" i="8"/>
  <c r="JNG48" i="8"/>
  <c r="JNF48" i="8"/>
  <c r="JNE48" i="8"/>
  <c r="JND48" i="8"/>
  <c r="JNC48" i="8"/>
  <c r="JNB48" i="8"/>
  <c r="JNA48" i="8"/>
  <c r="JMZ48" i="8"/>
  <c r="JMY48" i="8"/>
  <c r="JMX48" i="8"/>
  <c r="JMW48" i="8"/>
  <c r="JMV48" i="8"/>
  <c r="JMU48" i="8"/>
  <c r="JMT48" i="8"/>
  <c r="JMS48" i="8"/>
  <c r="JMR48" i="8"/>
  <c r="JMQ48" i="8"/>
  <c r="JMP48" i="8"/>
  <c r="JMO48" i="8"/>
  <c r="JMN48" i="8"/>
  <c r="JMM48" i="8"/>
  <c r="JML48" i="8"/>
  <c r="JMK48" i="8"/>
  <c r="JMJ48" i="8"/>
  <c r="JMI48" i="8"/>
  <c r="JMH48" i="8"/>
  <c r="JMG48" i="8"/>
  <c r="JMF48" i="8"/>
  <c r="JME48" i="8"/>
  <c r="JMD48" i="8"/>
  <c r="JMC48" i="8"/>
  <c r="JMB48" i="8"/>
  <c r="JMA48" i="8"/>
  <c r="JLZ48" i="8"/>
  <c r="JLY48" i="8"/>
  <c r="JLX48" i="8"/>
  <c r="JLW48" i="8"/>
  <c r="JLV48" i="8"/>
  <c r="JLU48" i="8"/>
  <c r="JLT48" i="8"/>
  <c r="JLS48" i="8"/>
  <c r="JLR48" i="8"/>
  <c r="JLQ48" i="8"/>
  <c r="JLP48" i="8"/>
  <c r="JLO48" i="8"/>
  <c r="JLN48" i="8"/>
  <c r="JLM48" i="8"/>
  <c r="JLL48" i="8"/>
  <c r="JLK48" i="8"/>
  <c r="JLJ48" i="8"/>
  <c r="JLI48" i="8"/>
  <c r="JLH48" i="8"/>
  <c r="JLG48" i="8"/>
  <c r="JLF48" i="8"/>
  <c r="JLE48" i="8"/>
  <c r="JLD48" i="8"/>
  <c r="JLC48" i="8"/>
  <c r="JLB48" i="8"/>
  <c r="JLA48" i="8"/>
  <c r="JKZ48" i="8"/>
  <c r="JKY48" i="8"/>
  <c r="JKX48" i="8"/>
  <c r="JKW48" i="8"/>
  <c r="JKV48" i="8"/>
  <c r="JKU48" i="8"/>
  <c r="JKT48" i="8"/>
  <c r="JKS48" i="8"/>
  <c r="JKR48" i="8"/>
  <c r="JKQ48" i="8"/>
  <c r="JKP48" i="8"/>
  <c r="JKO48" i="8"/>
  <c r="JKN48" i="8"/>
  <c r="JKM48" i="8"/>
  <c r="JKL48" i="8"/>
  <c r="JKK48" i="8"/>
  <c r="JKJ48" i="8"/>
  <c r="JKI48" i="8"/>
  <c r="JKH48" i="8"/>
  <c r="JKG48" i="8"/>
  <c r="JKF48" i="8"/>
  <c r="JKE48" i="8"/>
  <c r="JKD48" i="8"/>
  <c r="JKC48" i="8"/>
  <c r="JKB48" i="8"/>
  <c r="JKA48" i="8"/>
  <c r="JJZ48" i="8"/>
  <c r="JJY48" i="8"/>
  <c r="JJX48" i="8"/>
  <c r="JJW48" i="8"/>
  <c r="JJV48" i="8"/>
  <c r="JJU48" i="8"/>
  <c r="JJT48" i="8"/>
  <c r="JJS48" i="8"/>
  <c r="JJR48" i="8"/>
  <c r="JJQ48" i="8"/>
  <c r="JJP48" i="8"/>
  <c r="JJO48" i="8"/>
  <c r="JJN48" i="8"/>
  <c r="JJM48" i="8"/>
  <c r="JJL48" i="8"/>
  <c r="JJK48" i="8"/>
  <c r="JJJ48" i="8"/>
  <c r="JJI48" i="8"/>
  <c r="JJH48" i="8"/>
  <c r="JJG48" i="8"/>
  <c r="JJF48" i="8"/>
  <c r="JJE48" i="8"/>
  <c r="JJD48" i="8"/>
  <c r="JJC48" i="8"/>
  <c r="JJB48" i="8"/>
  <c r="JJA48" i="8"/>
  <c r="JIZ48" i="8"/>
  <c r="JIY48" i="8"/>
  <c r="JIX48" i="8"/>
  <c r="JIW48" i="8"/>
  <c r="JIV48" i="8"/>
  <c r="JIU48" i="8"/>
  <c r="JIT48" i="8"/>
  <c r="JIS48" i="8"/>
  <c r="JIR48" i="8"/>
  <c r="JIQ48" i="8"/>
  <c r="JIP48" i="8"/>
  <c r="JIO48" i="8"/>
  <c r="JIN48" i="8"/>
  <c r="JIM48" i="8"/>
  <c r="JIL48" i="8"/>
  <c r="JIK48" i="8"/>
  <c r="JIJ48" i="8"/>
  <c r="JII48" i="8"/>
  <c r="JIH48" i="8"/>
  <c r="JIG48" i="8"/>
  <c r="JIF48" i="8"/>
  <c r="JIE48" i="8"/>
  <c r="JID48" i="8"/>
  <c r="JIC48" i="8"/>
  <c r="JIB48" i="8"/>
  <c r="JIA48" i="8"/>
  <c r="JHZ48" i="8"/>
  <c r="JHY48" i="8"/>
  <c r="JHX48" i="8"/>
  <c r="JHW48" i="8"/>
  <c r="JHV48" i="8"/>
  <c r="JHU48" i="8"/>
  <c r="JHT48" i="8"/>
  <c r="JHS48" i="8"/>
  <c r="JHR48" i="8"/>
  <c r="JHQ48" i="8"/>
  <c r="JHP48" i="8"/>
  <c r="JHO48" i="8"/>
  <c r="JHN48" i="8"/>
  <c r="JHM48" i="8"/>
  <c r="JHL48" i="8"/>
  <c r="JHK48" i="8"/>
  <c r="JHJ48" i="8"/>
  <c r="JHI48" i="8"/>
  <c r="JHH48" i="8"/>
  <c r="JHG48" i="8"/>
  <c r="JHF48" i="8"/>
  <c r="JHE48" i="8"/>
  <c r="JHD48" i="8"/>
  <c r="JHC48" i="8"/>
  <c r="JHB48" i="8"/>
  <c r="JHA48" i="8"/>
  <c r="JGZ48" i="8"/>
  <c r="JGY48" i="8"/>
  <c r="JGX48" i="8"/>
  <c r="JGW48" i="8"/>
  <c r="JGV48" i="8"/>
  <c r="JGU48" i="8"/>
  <c r="JGT48" i="8"/>
  <c r="JGS48" i="8"/>
  <c r="JGR48" i="8"/>
  <c r="JGQ48" i="8"/>
  <c r="JGP48" i="8"/>
  <c r="JGO48" i="8"/>
  <c r="JGN48" i="8"/>
  <c r="JGM48" i="8"/>
  <c r="JGL48" i="8"/>
  <c r="JGK48" i="8"/>
  <c r="JGJ48" i="8"/>
  <c r="JGI48" i="8"/>
  <c r="JGH48" i="8"/>
  <c r="JGG48" i="8"/>
  <c r="JGF48" i="8"/>
  <c r="JGE48" i="8"/>
  <c r="JGD48" i="8"/>
  <c r="JGC48" i="8"/>
  <c r="JGB48" i="8"/>
  <c r="JGA48" i="8"/>
  <c r="JFZ48" i="8"/>
  <c r="JFY48" i="8"/>
  <c r="JFX48" i="8"/>
  <c r="JFW48" i="8"/>
  <c r="JFV48" i="8"/>
  <c r="JFU48" i="8"/>
  <c r="JFT48" i="8"/>
  <c r="JFS48" i="8"/>
  <c r="JFR48" i="8"/>
  <c r="JFQ48" i="8"/>
  <c r="JFP48" i="8"/>
  <c r="JFO48" i="8"/>
  <c r="JFN48" i="8"/>
  <c r="JFM48" i="8"/>
  <c r="JFL48" i="8"/>
  <c r="JFK48" i="8"/>
  <c r="JFJ48" i="8"/>
  <c r="JFI48" i="8"/>
  <c r="JFH48" i="8"/>
  <c r="JFG48" i="8"/>
  <c r="JFF48" i="8"/>
  <c r="JFE48" i="8"/>
  <c r="JFD48" i="8"/>
  <c r="JFC48" i="8"/>
  <c r="JFB48" i="8"/>
  <c r="JFA48" i="8"/>
  <c r="JEZ48" i="8"/>
  <c r="JEY48" i="8"/>
  <c r="JEX48" i="8"/>
  <c r="JEW48" i="8"/>
  <c r="JEV48" i="8"/>
  <c r="JEU48" i="8"/>
  <c r="JET48" i="8"/>
  <c r="JES48" i="8"/>
  <c r="JER48" i="8"/>
  <c r="JEQ48" i="8"/>
  <c r="JEP48" i="8"/>
  <c r="JEO48" i="8"/>
  <c r="JEN48" i="8"/>
  <c r="JEM48" i="8"/>
  <c r="JEL48" i="8"/>
  <c r="JEK48" i="8"/>
  <c r="JEJ48" i="8"/>
  <c r="JEI48" i="8"/>
  <c r="JEH48" i="8"/>
  <c r="JEG48" i="8"/>
  <c r="JEF48" i="8"/>
  <c r="JEE48" i="8"/>
  <c r="JED48" i="8"/>
  <c r="JEC48" i="8"/>
  <c r="JEB48" i="8"/>
  <c r="JEA48" i="8"/>
  <c r="JDZ48" i="8"/>
  <c r="JDY48" i="8"/>
  <c r="JDX48" i="8"/>
  <c r="JDW48" i="8"/>
  <c r="JDV48" i="8"/>
  <c r="JDU48" i="8"/>
  <c r="JDT48" i="8"/>
  <c r="JDS48" i="8"/>
  <c r="JDR48" i="8"/>
  <c r="JDQ48" i="8"/>
  <c r="JDP48" i="8"/>
  <c r="JDO48" i="8"/>
  <c r="JDN48" i="8"/>
  <c r="JDM48" i="8"/>
  <c r="JDL48" i="8"/>
  <c r="JDK48" i="8"/>
  <c r="JDJ48" i="8"/>
  <c r="JDI48" i="8"/>
  <c r="JDH48" i="8"/>
  <c r="JDG48" i="8"/>
  <c r="JDF48" i="8"/>
  <c r="JDE48" i="8"/>
  <c r="JDD48" i="8"/>
  <c r="JDC48" i="8"/>
  <c r="JDB48" i="8"/>
  <c r="JDA48" i="8"/>
  <c r="JCZ48" i="8"/>
  <c r="JCY48" i="8"/>
  <c r="JCX48" i="8"/>
  <c r="JCW48" i="8"/>
  <c r="JCV48" i="8"/>
  <c r="JCU48" i="8"/>
  <c r="JCT48" i="8"/>
  <c r="JCS48" i="8"/>
  <c r="JCR48" i="8"/>
  <c r="JCQ48" i="8"/>
  <c r="JCP48" i="8"/>
  <c r="JCO48" i="8"/>
  <c r="JCN48" i="8"/>
  <c r="JCM48" i="8"/>
  <c r="JCL48" i="8"/>
  <c r="JCK48" i="8"/>
  <c r="JCJ48" i="8"/>
  <c r="JCI48" i="8"/>
  <c r="JCH48" i="8"/>
  <c r="JCG48" i="8"/>
  <c r="JCF48" i="8"/>
  <c r="JCE48" i="8"/>
  <c r="JCD48" i="8"/>
  <c r="JCC48" i="8"/>
  <c r="JCB48" i="8"/>
  <c r="JCA48" i="8"/>
  <c r="JBZ48" i="8"/>
  <c r="JBY48" i="8"/>
  <c r="JBX48" i="8"/>
  <c r="JBW48" i="8"/>
  <c r="JBV48" i="8"/>
  <c r="JBU48" i="8"/>
  <c r="JBT48" i="8"/>
  <c r="JBS48" i="8"/>
  <c r="JBR48" i="8"/>
  <c r="JBQ48" i="8"/>
  <c r="JBP48" i="8"/>
  <c r="JBO48" i="8"/>
  <c r="JBN48" i="8"/>
  <c r="JBM48" i="8"/>
  <c r="JBL48" i="8"/>
  <c r="JBK48" i="8"/>
  <c r="JBJ48" i="8"/>
  <c r="JBI48" i="8"/>
  <c r="JBH48" i="8"/>
  <c r="JBG48" i="8"/>
  <c r="JBF48" i="8"/>
  <c r="JBE48" i="8"/>
  <c r="JBD48" i="8"/>
  <c r="JBC48" i="8"/>
  <c r="JBB48" i="8"/>
  <c r="JBA48" i="8"/>
  <c r="JAZ48" i="8"/>
  <c r="JAY48" i="8"/>
  <c r="JAX48" i="8"/>
  <c r="JAW48" i="8"/>
  <c r="JAV48" i="8"/>
  <c r="JAU48" i="8"/>
  <c r="JAT48" i="8"/>
  <c r="JAS48" i="8"/>
  <c r="JAR48" i="8"/>
  <c r="JAQ48" i="8"/>
  <c r="JAP48" i="8"/>
  <c r="JAO48" i="8"/>
  <c r="JAN48" i="8"/>
  <c r="JAM48" i="8"/>
  <c r="JAL48" i="8"/>
  <c r="JAK48" i="8"/>
  <c r="JAJ48" i="8"/>
  <c r="JAI48" i="8"/>
  <c r="JAH48" i="8"/>
  <c r="JAG48" i="8"/>
  <c r="JAF48" i="8"/>
  <c r="JAE48" i="8"/>
  <c r="JAD48" i="8"/>
  <c r="JAC48" i="8"/>
  <c r="JAB48" i="8"/>
  <c r="JAA48" i="8"/>
  <c r="IZZ48" i="8"/>
  <c r="IZY48" i="8"/>
  <c r="IZX48" i="8"/>
  <c r="IZW48" i="8"/>
  <c r="IZV48" i="8"/>
  <c r="IZU48" i="8"/>
  <c r="IZT48" i="8"/>
  <c r="IZS48" i="8"/>
  <c r="IZR48" i="8"/>
  <c r="IZQ48" i="8"/>
  <c r="IZP48" i="8"/>
  <c r="IZO48" i="8"/>
  <c r="IZN48" i="8"/>
  <c r="IZM48" i="8"/>
  <c r="IZL48" i="8"/>
  <c r="IZK48" i="8"/>
  <c r="IZJ48" i="8"/>
  <c r="IZI48" i="8"/>
  <c r="IZH48" i="8"/>
  <c r="IZG48" i="8"/>
  <c r="IZF48" i="8"/>
  <c r="IZE48" i="8"/>
  <c r="IZD48" i="8"/>
  <c r="IZC48" i="8"/>
  <c r="IZB48" i="8"/>
  <c r="IZA48" i="8"/>
  <c r="IYZ48" i="8"/>
  <c r="IYY48" i="8"/>
  <c r="IYX48" i="8"/>
  <c r="IYW48" i="8"/>
  <c r="IYV48" i="8"/>
  <c r="IYU48" i="8"/>
  <c r="IYT48" i="8"/>
  <c r="IYS48" i="8"/>
  <c r="IYR48" i="8"/>
  <c r="IYQ48" i="8"/>
  <c r="IYP48" i="8"/>
  <c r="IYO48" i="8"/>
  <c r="IYN48" i="8"/>
  <c r="IYM48" i="8"/>
  <c r="IYL48" i="8"/>
  <c r="IYK48" i="8"/>
  <c r="IYJ48" i="8"/>
  <c r="IYI48" i="8"/>
  <c r="IYH48" i="8"/>
  <c r="IYG48" i="8"/>
  <c r="IYF48" i="8"/>
  <c r="IYE48" i="8"/>
  <c r="IYD48" i="8"/>
  <c r="IYC48" i="8"/>
  <c r="IYB48" i="8"/>
  <c r="IYA48" i="8"/>
  <c r="IXZ48" i="8"/>
  <c r="IXY48" i="8"/>
  <c r="IXX48" i="8"/>
  <c r="IXW48" i="8"/>
  <c r="IXV48" i="8"/>
  <c r="IXU48" i="8"/>
  <c r="IXT48" i="8"/>
  <c r="IXS48" i="8"/>
  <c r="IXR48" i="8"/>
  <c r="IXQ48" i="8"/>
  <c r="IXP48" i="8"/>
  <c r="IXO48" i="8"/>
  <c r="IXN48" i="8"/>
  <c r="IXM48" i="8"/>
  <c r="IXL48" i="8"/>
  <c r="IXK48" i="8"/>
  <c r="IXJ48" i="8"/>
  <c r="IXI48" i="8"/>
  <c r="IXH48" i="8"/>
  <c r="IXG48" i="8"/>
  <c r="IXF48" i="8"/>
  <c r="IXE48" i="8"/>
  <c r="IXD48" i="8"/>
  <c r="IXC48" i="8"/>
  <c r="IXB48" i="8"/>
  <c r="IXA48" i="8"/>
  <c r="IWZ48" i="8"/>
  <c r="IWY48" i="8"/>
  <c r="IWX48" i="8"/>
  <c r="IWW48" i="8"/>
  <c r="IWV48" i="8"/>
  <c r="IWU48" i="8"/>
  <c r="IWT48" i="8"/>
  <c r="IWS48" i="8"/>
  <c r="IWR48" i="8"/>
  <c r="IWQ48" i="8"/>
  <c r="IWP48" i="8"/>
  <c r="IWO48" i="8"/>
  <c r="IWN48" i="8"/>
  <c r="IWM48" i="8"/>
  <c r="IWL48" i="8"/>
  <c r="IWK48" i="8"/>
  <c r="IWJ48" i="8"/>
  <c r="IWI48" i="8"/>
  <c r="IWH48" i="8"/>
  <c r="IWG48" i="8"/>
  <c r="IWF48" i="8"/>
  <c r="IWE48" i="8"/>
  <c r="IWD48" i="8"/>
  <c r="IWC48" i="8"/>
  <c r="IWB48" i="8"/>
  <c r="IWA48" i="8"/>
  <c r="IVZ48" i="8"/>
  <c r="IVY48" i="8"/>
  <c r="IVX48" i="8"/>
  <c r="IVW48" i="8"/>
  <c r="IVV48" i="8"/>
  <c r="IVU48" i="8"/>
  <c r="IVT48" i="8"/>
  <c r="IVS48" i="8"/>
  <c r="IVR48" i="8"/>
  <c r="IVQ48" i="8"/>
  <c r="IVP48" i="8"/>
  <c r="IVO48" i="8"/>
  <c r="IVN48" i="8"/>
  <c r="IVM48" i="8"/>
  <c r="IVL48" i="8"/>
  <c r="IVK48" i="8"/>
  <c r="IVJ48" i="8"/>
  <c r="IVI48" i="8"/>
  <c r="IVH48" i="8"/>
  <c r="IVG48" i="8"/>
  <c r="IVF48" i="8"/>
  <c r="IVE48" i="8"/>
  <c r="IVD48" i="8"/>
  <c r="IVC48" i="8"/>
  <c r="IVB48" i="8"/>
  <c r="IVA48" i="8"/>
  <c r="IUZ48" i="8"/>
  <c r="IUY48" i="8"/>
  <c r="IUX48" i="8"/>
  <c r="IUW48" i="8"/>
  <c r="IUV48" i="8"/>
  <c r="IUU48" i="8"/>
  <c r="IUT48" i="8"/>
  <c r="IUS48" i="8"/>
  <c r="IUR48" i="8"/>
  <c r="IUQ48" i="8"/>
  <c r="IUP48" i="8"/>
  <c r="IUO48" i="8"/>
  <c r="IUN48" i="8"/>
  <c r="IUM48" i="8"/>
  <c r="IUL48" i="8"/>
  <c r="IUK48" i="8"/>
  <c r="IUJ48" i="8"/>
  <c r="IUI48" i="8"/>
  <c r="IUH48" i="8"/>
  <c r="IUG48" i="8"/>
  <c r="IUF48" i="8"/>
  <c r="IUE48" i="8"/>
  <c r="IUD48" i="8"/>
  <c r="IUC48" i="8"/>
  <c r="IUB48" i="8"/>
  <c r="IUA48" i="8"/>
  <c r="ITZ48" i="8"/>
  <c r="ITY48" i="8"/>
  <c r="ITX48" i="8"/>
  <c r="ITW48" i="8"/>
  <c r="ITV48" i="8"/>
  <c r="ITU48" i="8"/>
  <c r="ITT48" i="8"/>
  <c r="ITS48" i="8"/>
  <c r="ITR48" i="8"/>
  <c r="ITQ48" i="8"/>
  <c r="ITP48" i="8"/>
  <c r="ITO48" i="8"/>
  <c r="ITN48" i="8"/>
  <c r="ITM48" i="8"/>
  <c r="ITL48" i="8"/>
  <c r="ITK48" i="8"/>
  <c r="ITJ48" i="8"/>
  <c r="ITI48" i="8"/>
  <c r="ITH48" i="8"/>
  <c r="ITG48" i="8"/>
  <c r="ITF48" i="8"/>
  <c r="ITE48" i="8"/>
  <c r="ITD48" i="8"/>
  <c r="ITC48" i="8"/>
  <c r="ITB48" i="8"/>
  <c r="ITA48" i="8"/>
  <c r="ISZ48" i="8"/>
  <c r="ISY48" i="8"/>
  <c r="ISX48" i="8"/>
  <c r="ISW48" i="8"/>
  <c r="ISV48" i="8"/>
  <c r="ISU48" i="8"/>
  <c r="IST48" i="8"/>
  <c r="ISS48" i="8"/>
  <c r="ISR48" i="8"/>
  <c r="ISQ48" i="8"/>
  <c r="ISP48" i="8"/>
  <c r="ISO48" i="8"/>
  <c r="ISN48" i="8"/>
  <c r="ISM48" i="8"/>
  <c r="ISL48" i="8"/>
  <c r="ISK48" i="8"/>
  <c r="ISJ48" i="8"/>
  <c r="ISI48" i="8"/>
  <c r="ISH48" i="8"/>
  <c r="ISG48" i="8"/>
  <c r="ISF48" i="8"/>
  <c r="ISE48" i="8"/>
  <c r="ISD48" i="8"/>
  <c r="ISC48" i="8"/>
  <c r="ISB48" i="8"/>
  <c r="ISA48" i="8"/>
  <c r="IRZ48" i="8"/>
  <c r="IRY48" i="8"/>
  <c r="IRX48" i="8"/>
  <c r="IRW48" i="8"/>
  <c r="IRV48" i="8"/>
  <c r="IRU48" i="8"/>
  <c r="IRT48" i="8"/>
  <c r="IRS48" i="8"/>
  <c r="IRR48" i="8"/>
  <c r="IRQ48" i="8"/>
  <c r="IRP48" i="8"/>
  <c r="IRO48" i="8"/>
  <c r="IRN48" i="8"/>
  <c r="IRM48" i="8"/>
  <c r="IRL48" i="8"/>
  <c r="IRK48" i="8"/>
  <c r="IRJ48" i="8"/>
  <c r="IRI48" i="8"/>
  <c r="IRH48" i="8"/>
  <c r="IRG48" i="8"/>
  <c r="IRF48" i="8"/>
  <c r="IRE48" i="8"/>
  <c r="IRD48" i="8"/>
  <c r="IRC48" i="8"/>
  <c r="IRB48" i="8"/>
  <c r="IRA48" i="8"/>
  <c r="IQZ48" i="8"/>
  <c r="IQY48" i="8"/>
  <c r="IQX48" i="8"/>
  <c r="IQW48" i="8"/>
  <c r="IQV48" i="8"/>
  <c r="IQU48" i="8"/>
  <c r="IQT48" i="8"/>
  <c r="IQS48" i="8"/>
  <c r="IQR48" i="8"/>
  <c r="IQQ48" i="8"/>
  <c r="IQP48" i="8"/>
  <c r="IQO48" i="8"/>
  <c r="IQN48" i="8"/>
  <c r="IQM48" i="8"/>
  <c r="IQL48" i="8"/>
  <c r="IQK48" i="8"/>
  <c r="IQJ48" i="8"/>
  <c r="IQI48" i="8"/>
  <c r="IQH48" i="8"/>
  <c r="IQG48" i="8"/>
  <c r="IQF48" i="8"/>
  <c r="IQE48" i="8"/>
  <c r="IQD48" i="8"/>
  <c r="IQC48" i="8"/>
  <c r="IQB48" i="8"/>
  <c r="IQA48" i="8"/>
  <c r="IPZ48" i="8"/>
  <c r="IPY48" i="8"/>
  <c r="IPX48" i="8"/>
  <c r="IPW48" i="8"/>
  <c r="IPV48" i="8"/>
  <c r="IPU48" i="8"/>
  <c r="IPT48" i="8"/>
  <c r="IPS48" i="8"/>
  <c r="IPR48" i="8"/>
  <c r="IPQ48" i="8"/>
  <c r="IPP48" i="8"/>
  <c r="IPO48" i="8"/>
  <c r="IPN48" i="8"/>
  <c r="IPM48" i="8"/>
  <c r="IPL48" i="8"/>
  <c r="IPK48" i="8"/>
  <c r="IPJ48" i="8"/>
  <c r="IPI48" i="8"/>
  <c r="IPH48" i="8"/>
  <c r="IPG48" i="8"/>
  <c r="IPF48" i="8"/>
  <c r="IPE48" i="8"/>
  <c r="IPD48" i="8"/>
  <c r="IPC48" i="8"/>
  <c r="IPB48" i="8"/>
  <c r="IPA48" i="8"/>
  <c r="IOZ48" i="8"/>
  <c r="IOY48" i="8"/>
  <c r="IOX48" i="8"/>
  <c r="IOW48" i="8"/>
  <c r="IOV48" i="8"/>
  <c r="IOU48" i="8"/>
  <c r="IOT48" i="8"/>
  <c r="IOS48" i="8"/>
  <c r="IOR48" i="8"/>
  <c r="IOQ48" i="8"/>
  <c r="IOP48" i="8"/>
  <c r="IOO48" i="8"/>
  <c r="ION48" i="8"/>
  <c r="IOM48" i="8"/>
  <c r="IOL48" i="8"/>
  <c r="IOK48" i="8"/>
  <c r="IOJ48" i="8"/>
  <c r="IOI48" i="8"/>
  <c r="IOH48" i="8"/>
  <c r="IOG48" i="8"/>
  <c r="IOF48" i="8"/>
  <c r="IOE48" i="8"/>
  <c r="IOD48" i="8"/>
  <c r="IOC48" i="8"/>
  <c r="IOB48" i="8"/>
  <c r="IOA48" i="8"/>
  <c r="INZ48" i="8"/>
  <c r="INY48" i="8"/>
  <c r="INX48" i="8"/>
  <c r="INW48" i="8"/>
  <c r="INV48" i="8"/>
  <c r="INU48" i="8"/>
  <c r="INT48" i="8"/>
  <c r="INS48" i="8"/>
  <c r="INR48" i="8"/>
  <c r="INQ48" i="8"/>
  <c r="INP48" i="8"/>
  <c r="INO48" i="8"/>
  <c r="INN48" i="8"/>
  <c r="INM48" i="8"/>
  <c r="INL48" i="8"/>
  <c r="INK48" i="8"/>
  <c r="INJ48" i="8"/>
  <c r="INI48" i="8"/>
  <c r="INH48" i="8"/>
  <c r="ING48" i="8"/>
  <c r="INF48" i="8"/>
  <c r="INE48" i="8"/>
  <c r="IND48" i="8"/>
  <c r="INC48" i="8"/>
  <c r="INB48" i="8"/>
  <c r="INA48" i="8"/>
  <c r="IMZ48" i="8"/>
  <c r="IMY48" i="8"/>
  <c r="IMX48" i="8"/>
  <c r="IMW48" i="8"/>
  <c r="IMV48" i="8"/>
  <c r="IMU48" i="8"/>
  <c r="IMT48" i="8"/>
  <c r="IMS48" i="8"/>
  <c r="IMR48" i="8"/>
  <c r="IMQ48" i="8"/>
  <c r="IMP48" i="8"/>
  <c r="IMO48" i="8"/>
  <c r="IMN48" i="8"/>
  <c r="IMM48" i="8"/>
  <c r="IML48" i="8"/>
  <c r="IMK48" i="8"/>
  <c r="IMJ48" i="8"/>
  <c r="IMI48" i="8"/>
  <c r="IMH48" i="8"/>
  <c r="IMG48" i="8"/>
  <c r="IMF48" i="8"/>
  <c r="IME48" i="8"/>
  <c r="IMD48" i="8"/>
  <c r="IMC48" i="8"/>
  <c r="IMB48" i="8"/>
  <c r="IMA48" i="8"/>
  <c r="ILZ48" i="8"/>
  <c r="ILY48" i="8"/>
  <c r="ILX48" i="8"/>
  <c r="ILW48" i="8"/>
  <c r="ILV48" i="8"/>
  <c r="ILU48" i="8"/>
  <c r="ILT48" i="8"/>
  <c r="ILS48" i="8"/>
  <c r="ILR48" i="8"/>
  <c r="ILQ48" i="8"/>
  <c r="ILP48" i="8"/>
  <c r="ILO48" i="8"/>
  <c r="ILN48" i="8"/>
  <c r="ILM48" i="8"/>
  <c r="ILL48" i="8"/>
  <c r="ILK48" i="8"/>
  <c r="ILJ48" i="8"/>
  <c r="ILI48" i="8"/>
  <c r="ILH48" i="8"/>
  <c r="ILG48" i="8"/>
  <c r="ILF48" i="8"/>
  <c r="ILE48" i="8"/>
  <c r="ILD48" i="8"/>
  <c r="ILC48" i="8"/>
  <c r="ILB48" i="8"/>
  <c r="ILA48" i="8"/>
  <c r="IKZ48" i="8"/>
  <c r="IKY48" i="8"/>
  <c r="IKX48" i="8"/>
  <c r="IKW48" i="8"/>
  <c r="IKV48" i="8"/>
  <c r="IKU48" i="8"/>
  <c r="IKT48" i="8"/>
  <c r="IKS48" i="8"/>
  <c r="IKR48" i="8"/>
  <c r="IKQ48" i="8"/>
  <c r="IKP48" i="8"/>
  <c r="IKO48" i="8"/>
  <c r="IKN48" i="8"/>
  <c r="IKM48" i="8"/>
  <c r="IKL48" i="8"/>
  <c r="IKK48" i="8"/>
  <c r="IKJ48" i="8"/>
  <c r="IKI48" i="8"/>
  <c r="IKH48" i="8"/>
  <c r="IKG48" i="8"/>
  <c r="IKF48" i="8"/>
  <c r="IKE48" i="8"/>
  <c r="IKD48" i="8"/>
  <c r="IKC48" i="8"/>
  <c r="IKB48" i="8"/>
  <c r="IKA48" i="8"/>
  <c r="IJZ48" i="8"/>
  <c r="IJY48" i="8"/>
  <c r="IJX48" i="8"/>
  <c r="IJW48" i="8"/>
  <c r="IJV48" i="8"/>
  <c r="IJU48" i="8"/>
  <c r="IJT48" i="8"/>
  <c r="IJS48" i="8"/>
  <c r="IJR48" i="8"/>
  <c r="IJQ48" i="8"/>
  <c r="IJP48" i="8"/>
  <c r="IJO48" i="8"/>
  <c r="IJN48" i="8"/>
  <c r="IJM48" i="8"/>
  <c r="IJL48" i="8"/>
  <c r="IJK48" i="8"/>
  <c r="IJJ48" i="8"/>
  <c r="IJI48" i="8"/>
  <c r="IJH48" i="8"/>
  <c r="IJG48" i="8"/>
  <c r="IJF48" i="8"/>
  <c r="IJE48" i="8"/>
  <c r="IJD48" i="8"/>
  <c r="IJC48" i="8"/>
  <c r="IJB48" i="8"/>
  <c r="IJA48" i="8"/>
  <c r="IIZ48" i="8"/>
  <c r="IIY48" i="8"/>
  <c r="IIX48" i="8"/>
  <c r="IIW48" i="8"/>
  <c r="IIV48" i="8"/>
  <c r="IIU48" i="8"/>
  <c r="IIT48" i="8"/>
  <c r="IIS48" i="8"/>
  <c r="IIR48" i="8"/>
  <c r="IIQ48" i="8"/>
  <c r="IIP48" i="8"/>
  <c r="IIO48" i="8"/>
  <c r="IIN48" i="8"/>
  <c r="IIM48" i="8"/>
  <c r="IIL48" i="8"/>
  <c r="IIK48" i="8"/>
  <c r="IIJ48" i="8"/>
  <c r="III48" i="8"/>
  <c r="IIH48" i="8"/>
  <c r="IIG48" i="8"/>
  <c r="IIF48" i="8"/>
  <c r="IIE48" i="8"/>
  <c r="IID48" i="8"/>
  <c r="IIC48" i="8"/>
  <c r="IIB48" i="8"/>
  <c r="IIA48" i="8"/>
  <c r="IHZ48" i="8"/>
  <c r="IHY48" i="8"/>
  <c r="IHX48" i="8"/>
  <c r="IHW48" i="8"/>
  <c r="IHV48" i="8"/>
  <c r="IHU48" i="8"/>
  <c r="IHT48" i="8"/>
  <c r="IHS48" i="8"/>
  <c r="IHR48" i="8"/>
  <c r="IHQ48" i="8"/>
  <c r="IHP48" i="8"/>
  <c r="IHO48" i="8"/>
  <c r="IHN48" i="8"/>
  <c r="IHM48" i="8"/>
  <c r="IHL48" i="8"/>
  <c r="IHK48" i="8"/>
  <c r="IHJ48" i="8"/>
  <c r="IHI48" i="8"/>
  <c r="IHH48" i="8"/>
  <c r="IHG48" i="8"/>
  <c r="IHF48" i="8"/>
  <c r="IHE48" i="8"/>
  <c r="IHD48" i="8"/>
  <c r="IHC48" i="8"/>
  <c r="IHB48" i="8"/>
  <c r="IHA48" i="8"/>
  <c r="IGZ48" i="8"/>
  <c r="IGY48" i="8"/>
  <c r="IGX48" i="8"/>
  <c r="IGW48" i="8"/>
  <c r="IGV48" i="8"/>
  <c r="IGU48" i="8"/>
  <c r="IGT48" i="8"/>
  <c r="IGS48" i="8"/>
  <c r="IGR48" i="8"/>
  <c r="IGQ48" i="8"/>
  <c r="IGP48" i="8"/>
  <c r="IGO48" i="8"/>
  <c r="IGN48" i="8"/>
  <c r="IGM48" i="8"/>
  <c r="IGL48" i="8"/>
  <c r="IGK48" i="8"/>
  <c r="IGJ48" i="8"/>
  <c r="IGI48" i="8"/>
  <c r="IGH48" i="8"/>
  <c r="IGG48" i="8"/>
  <c r="IGF48" i="8"/>
  <c r="IGE48" i="8"/>
  <c r="IGD48" i="8"/>
  <c r="IGC48" i="8"/>
  <c r="IGB48" i="8"/>
  <c r="IGA48" i="8"/>
  <c r="IFZ48" i="8"/>
  <c r="IFY48" i="8"/>
  <c r="IFX48" i="8"/>
  <c r="IFW48" i="8"/>
  <c r="IFV48" i="8"/>
  <c r="IFU48" i="8"/>
  <c r="IFT48" i="8"/>
  <c r="IFS48" i="8"/>
  <c r="IFR48" i="8"/>
  <c r="IFQ48" i="8"/>
  <c r="IFP48" i="8"/>
  <c r="IFO48" i="8"/>
  <c r="IFN48" i="8"/>
  <c r="IFM48" i="8"/>
  <c r="IFL48" i="8"/>
  <c r="IFK48" i="8"/>
  <c r="IFJ48" i="8"/>
  <c r="IFI48" i="8"/>
  <c r="IFH48" i="8"/>
  <c r="IFG48" i="8"/>
  <c r="IFF48" i="8"/>
  <c r="IFE48" i="8"/>
  <c r="IFD48" i="8"/>
  <c r="IFC48" i="8"/>
  <c r="IFB48" i="8"/>
  <c r="IFA48" i="8"/>
  <c r="IEZ48" i="8"/>
  <c r="IEY48" i="8"/>
  <c r="IEX48" i="8"/>
  <c r="IEW48" i="8"/>
  <c r="IEV48" i="8"/>
  <c r="IEU48" i="8"/>
  <c r="IET48" i="8"/>
  <c r="IES48" i="8"/>
  <c r="IER48" i="8"/>
  <c r="IEQ48" i="8"/>
  <c r="IEP48" i="8"/>
  <c r="IEO48" i="8"/>
  <c r="IEN48" i="8"/>
  <c r="IEM48" i="8"/>
  <c r="IEL48" i="8"/>
  <c r="IEK48" i="8"/>
  <c r="IEJ48" i="8"/>
  <c r="IEI48" i="8"/>
  <c r="IEH48" i="8"/>
  <c r="IEG48" i="8"/>
  <c r="IEF48" i="8"/>
  <c r="IEE48" i="8"/>
  <c r="IED48" i="8"/>
  <c r="IEC48" i="8"/>
  <c r="IEB48" i="8"/>
  <c r="IEA48" i="8"/>
  <c r="IDZ48" i="8"/>
  <c r="IDY48" i="8"/>
  <c r="IDX48" i="8"/>
  <c r="IDW48" i="8"/>
  <c r="IDV48" i="8"/>
  <c r="IDU48" i="8"/>
  <c r="IDT48" i="8"/>
  <c r="IDS48" i="8"/>
  <c r="IDR48" i="8"/>
  <c r="IDQ48" i="8"/>
  <c r="IDP48" i="8"/>
  <c r="IDO48" i="8"/>
  <c r="IDN48" i="8"/>
  <c r="IDM48" i="8"/>
  <c r="IDL48" i="8"/>
  <c r="IDK48" i="8"/>
  <c r="IDJ48" i="8"/>
  <c r="IDI48" i="8"/>
  <c r="IDH48" i="8"/>
  <c r="IDG48" i="8"/>
  <c r="IDF48" i="8"/>
  <c r="IDE48" i="8"/>
  <c r="IDD48" i="8"/>
  <c r="IDC48" i="8"/>
  <c r="IDB48" i="8"/>
  <c r="IDA48" i="8"/>
  <c r="ICZ48" i="8"/>
  <c r="ICY48" i="8"/>
  <c r="ICX48" i="8"/>
  <c r="ICW48" i="8"/>
  <c r="ICV48" i="8"/>
  <c r="ICU48" i="8"/>
  <c r="ICT48" i="8"/>
  <c r="ICS48" i="8"/>
  <c r="ICR48" i="8"/>
  <c r="ICQ48" i="8"/>
  <c r="ICP48" i="8"/>
  <c r="ICO48" i="8"/>
  <c r="ICN48" i="8"/>
  <c r="ICM48" i="8"/>
  <c r="ICL48" i="8"/>
  <c r="ICK48" i="8"/>
  <c r="ICJ48" i="8"/>
  <c r="ICI48" i="8"/>
  <c r="ICH48" i="8"/>
  <c r="ICG48" i="8"/>
  <c r="ICF48" i="8"/>
  <c r="ICE48" i="8"/>
  <c r="ICD48" i="8"/>
  <c r="ICC48" i="8"/>
  <c r="ICB48" i="8"/>
  <c r="ICA48" i="8"/>
  <c r="IBZ48" i="8"/>
  <c r="IBY48" i="8"/>
  <c r="IBX48" i="8"/>
  <c r="IBW48" i="8"/>
  <c r="IBV48" i="8"/>
  <c r="IBU48" i="8"/>
  <c r="IBT48" i="8"/>
  <c r="IBS48" i="8"/>
  <c r="IBR48" i="8"/>
  <c r="IBQ48" i="8"/>
  <c r="IBP48" i="8"/>
  <c r="IBO48" i="8"/>
  <c r="IBN48" i="8"/>
  <c r="IBM48" i="8"/>
  <c r="IBL48" i="8"/>
  <c r="IBK48" i="8"/>
  <c r="IBJ48" i="8"/>
  <c r="IBI48" i="8"/>
  <c r="IBH48" i="8"/>
  <c r="IBG48" i="8"/>
  <c r="IBF48" i="8"/>
  <c r="IBE48" i="8"/>
  <c r="IBD48" i="8"/>
  <c r="IBC48" i="8"/>
  <c r="IBB48" i="8"/>
  <c r="IBA48" i="8"/>
  <c r="IAZ48" i="8"/>
  <c r="IAY48" i="8"/>
  <c r="IAX48" i="8"/>
  <c r="IAW48" i="8"/>
  <c r="IAV48" i="8"/>
  <c r="IAU48" i="8"/>
  <c r="IAT48" i="8"/>
  <c r="IAS48" i="8"/>
  <c r="IAR48" i="8"/>
  <c r="IAQ48" i="8"/>
  <c r="IAP48" i="8"/>
  <c r="IAO48" i="8"/>
  <c r="IAN48" i="8"/>
  <c r="IAM48" i="8"/>
  <c r="IAL48" i="8"/>
  <c r="IAK48" i="8"/>
  <c r="IAJ48" i="8"/>
  <c r="IAI48" i="8"/>
  <c r="IAH48" i="8"/>
  <c r="IAG48" i="8"/>
  <c r="IAF48" i="8"/>
  <c r="IAE48" i="8"/>
  <c r="IAD48" i="8"/>
  <c r="IAC48" i="8"/>
  <c r="IAB48" i="8"/>
  <c r="IAA48" i="8"/>
  <c r="HZZ48" i="8"/>
  <c r="HZY48" i="8"/>
  <c r="HZX48" i="8"/>
  <c r="HZW48" i="8"/>
  <c r="HZV48" i="8"/>
  <c r="HZU48" i="8"/>
  <c r="HZT48" i="8"/>
  <c r="HZS48" i="8"/>
  <c r="HZR48" i="8"/>
  <c r="HZQ48" i="8"/>
  <c r="HZP48" i="8"/>
  <c r="HZO48" i="8"/>
  <c r="HZN48" i="8"/>
  <c r="HZM48" i="8"/>
  <c r="HZL48" i="8"/>
  <c r="HZK48" i="8"/>
  <c r="HZJ48" i="8"/>
  <c r="HZI48" i="8"/>
  <c r="HZH48" i="8"/>
  <c r="HZG48" i="8"/>
  <c r="HZF48" i="8"/>
  <c r="HZE48" i="8"/>
  <c r="HZD48" i="8"/>
  <c r="HZC48" i="8"/>
  <c r="HZB48" i="8"/>
  <c r="HZA48" i="8"/>
  <c r="HYZ48" i="8"/>
  <c r="HYY48" i="8"/>
  <c r="HYX48" i="8"/>
  <c r="HYW48" i="8"/>
  <c r="HYV48" i="8"/>
  <c r="HYU48" i="8"/>
  <c r="HYT48" i="8"/>
  <c r="HYS48" i="8"/>
  <c r="HYR48" i="8"/>
  <c r="HYQ48" i="8"/>
  <c r="HYP48" i="8"/>
  <c r="HYO48" i="8"/>
  <c r="HYN48" i="8"/>
  <c r="HYM48" i="8"/>
  <c r="HYL48" i="8"/>
  <c r="HYK48" i="8"/>
  <c r="HYJ48" i="8"/>
  <c r="HYI48" i="8"/>
  <c r="HYH48" i="8"/>
  <c r="HYG48" i="8"/>
  <c r="HYF48" i="8"/>
  <c r="HYE48" i="8"/>
  <c r="HYD48" i="8"/>
  <c r="HYC48" i="8"/>
  <c r="HYB48" i="8"/>
  <c r="HYA48" i="8"/>
  <c r="HXZ48" i="8"/>
  <c r="HXY48" i="8"/>
  <c r="HXX48" i="8"/>
  <c r="HXW48" i="8"/>
  <c r="HXV48" i="8"/>
  <c r="HXU48" i="8"/>
  <c r="HXT48" i="8"/>
  <c r="HXS48" i="8"/>
  <c r="HXR48" i="8"/>
  <c r="HXQ48" i="8"/>
  <c r="HXP48" i="8"/>
  <c r="HXO48" i="8"/>
  <c r="HXN48" i="8"/>
  <c r="HXM48" i="8"/>
  <c r="HXL48" i="8"/>
  <c r="HXK48" i="8"/>
  <c r="HXJ48" i="8"/>
  <c r="HXI48" i="8"/>
  <c r="HXH48" i="8"/>
  <c r="HXG48" i="8"/>
  <c r="HXF48" i="8"/>
  <c r="HXE48" i="8"/>
  <c r="HXD48" i="8"/>
  <c r="HXC48" i="8"/>
  <c r="HXB48" i="8"/>
  <c r="HXA48" i="8"/>
  <c r="HWZ48" i="8"/>
  <c r="HWY48" i="8"/>
  <c r="HWX48" i="8"/>
  <c r="HWW48" i="8"/>
  <c r="HWV48" i="8"/>
  <c r="HWU48" i="8"/>
  <c r="HWT48" i="8"/>
  <c r="HWS48" i="8"/>
  <c r="HWR48" i="8"/>
  <c r="HWQ48" i="8"/>
  <c r="HWP48" i="8"/>
  <c r="HWO48" i="8"/>
  <c r="HWN48" i="8"/>
  <c r="HWM48" i="8"/>
  <c r="HWL48" i="8"/>
  <c r="HWK48" i="8"/>
  <c r="HWJ48" i="8"/>
  <c r="HWI48" i="8"/>
  <c r="HWH48" i="8"/>
  <c r="HWG48" i="8"/>
  <c r="HWF48" i="8"/>
  <c r="HWE48" i="8"/>
  <c r="HWD48" i="8"/>
  <c r="HWC48" i="8"/>
  <c r="HWB48" i="8"/>
  <c r="HWA48" i="8"/>
  <c r="HVZ48" i="8"/>
  <c r="HVY48" i="8"/>
  <c r="HVX48" i="8"/>
  <c r="HVW48" i="8"/>
  <c r="HVV48" i="8"/>
  <c r="HVU48" i="8"/>
  <c r="HVT48" i="8"/>
  <c r="HVS48" i="8"/>
  <c r="HVR48" i="8"/>
  <c r="HVQ48" i="8"/>
  <c r="HVP48" i="8"/>
  <c r="HVO48" i="8"/>
  <c r="HVN48" i="8"/>
  <c r="HVM48" i="8"/>
  <c r="HVL48" i="8"/>
  <c r="HVK48" i="8"/>
  <c r="HVJ48" i="8"/>
  <c r="HVI48" i="8"/>
  <c r="HVH48" i="8"/>
  <c r="HVG48" i="8"/>
  <c r="HVF48" i="8"/>
  <c r="HVE48" i="8"/>
  <c r="HVD48" i="8"/>
  <c r="HVC48" i="8"/>
  <c r="HVB48" i="8"/>
  <c r="HVA48" i="8"/>
  <c r="HUZ48" i="8"/>
  <c r="HUY48" i="8"/>
  <c r="HUX48" i="8"/>
  <c r="HUW48" i="8"/>
  <c r="HUV48" i="8"/>
  <c r="HUU48" i="8"/>
  <c r="HUT48" i="8"/>
  <c r="HUS48" i="8"/>
  <c r="HUR48" i="8"/>
  <c r="HUQ48" i="8"/>
  <c r="HUP48" i="8"/>
  <c r="HUO48" i="8"/>
  <c r="HUN48" i="8"/>
  <c r="HUM48" i="8"/>
  <c r="HUL48" i="8"/>
  <c r="HUK48" i="8"/>
  <c r="HUJ48" i="8"/>
  <c r="HUI48" i="8"/>
  <c r="HUH48" i="8"/>
  <c r="HUG48" i="8"/>
  <c r="HUF48" i="8"/>
  <c r="HUE48" i="8"/>
  <c r="HUD48" i="8"/>
  <c r="HUC48" i="8"/>
  <c r="HUB48" i="8"/>
  <c r="HUA48" i="8"/>
  <c r="HTZ48" i="8"/>
  <c r="HTY48" i="8"/>
  <c r="HTX48" i="8"/>
  <c r="HTW48" i="8"/>
  <c r="HTV48" i="8"/>
  <c r="HTU48" i="8"/>
  <c r="HTT48" i="8"/>
  <c r="HTS48" i="8"/>
  <c r="HTR48" i="8"/>
  <c r="HTQ48" i="8"/>
  <c r="HTP48" i="8"/>
  <c r="HTO48" i="8"/>
  <c r="HTN48" i="8"/>
  <c r="HTM48" i="8"/>
  <c r="HTL48" i="8"/>
  <c r="HTK48" i="8"/>
  <c r="HTJ48" i="8"/>
  <c r="HTI48" i="8"/>
  <c r="HTH48" i="8"/>
  <c r="HTG48" i="8"/>
  <c r="HTF48" i="8"/>
  <c r="HTE48" i="8"/>
  <c r="HTD48" i="8"/>
  <c r="HTC48" i="8"/>
  <c r="HTB48" i="8"/>
  <c r="HTA48" i="8"/>
  <c r="HSZ48" i="8"/>
  <c r="HSY48" i="8"/>
  <c r="HSX48" i="8"/>
  <c r="HSW48" i="8"/>
  <c r="HSV48" i="8"/>
  <c r="HSU48" i="8"/>
  <c r="HST48" i="8"/>
  <c r="HSS48" i="8"/>
  <c r="HSR48" i="8"/>
  <c r="HSQ48" i="8"/>
  <c r="HSP48" i="8"/>
  <c r="HSO48" i="8"/>
  <c r="HSN48" i="8"/>
  <c r="HSM48" i="8"/>
  <c r="HSL48" i="8"/>
  <c r="HSK48" i="8"/>
  <c r="HSJ48" i="8"/>
  <c r="HSI48" i="8"/>
  <c r="HSH48" i="8"/>
  <c r="HSG48" i="8"/>
  <c r="HSF48" i="8"/>
  <c r="HSE48" i="8"/>
  <c r="HSD48" i="8"/>
  <c r="HSC48" i="8"/>
  <c r="HSB48" i="8"/>
  <c r="HSA48" i="8"/>
  <c r="HRZ48" i="8"/>
  <c r="HRY48" i="8"/>
  <c r="HRX48" i="8"/>
  <c r="HRW48" i="8"/>
  <c r="HRV48" i="8"/>
  <c r="HRU48" i="8"/>
  <c r="HRT48" i="8"/>
  <c r="HRS48" i="8"/>
  <c r="HRR48" i="8"/>
  <c r="HRQ48" i="8"/>
  <c r="HRP48" i="8"/>
  <c r="HRO48" i="8"/>
  <c r="HRN48" i="8"/>
  <c r="HRM48" i="8"/>
  <c r="HRL48" i="8"/>
  <c r="HRK48" i="8"/>
  <c r="HRJ48" i="8"/>
  <c r="HRI48" i="8"/>
  <c r="HRH48" i="8"/>
  <c r="HRG48" i="8"/>
  <c r="HRF48" i="8"/>
  <c r="HRE48" i="8"/>
  <c r="HRD48" i="8"/>
  <c r="HRC48" i="8"/>
  <c r="HRB48" i="8"/>
  <c r="HRA48" i="8"/>
  <c r="HQZ48" i="8"/>
  <c r="HQY48" i="8"/>
  <c r="HQX48" i="8"/>
  <c r="HQW48" i="8"/>
  <c r="HQV48" i="8"/>
  <c r="HQU48" i="8"/>
  <c r="HQT48" i="8"/>
  <c r="HQS48" i="8"/>
  <c r="HQR48" i="8"/>
  <c r="HQQ48" i="8"/>
  <c r="HQP48" i="8"/>
  <c r="HQO48" i="8"/>
  <c r="HQN48" i="8"/>
  <c r="HQM48" i="8"/>
  <c r="HQL48" i="8"/>
  <c r="HQK48" i="8"/>
  <c r="HQJ48" i="8"/>
  <c r="HQI48" i="8"/>
  <c r="HQH48" i="8"/>
  <c r="HQG48" i="8"/>
  <c r="HQF48" i="8"/>
  <c r="HQE48" i="8"/>
  <c r="HQD48" i="8"/>
  <c r="HQC48" i="8"/>
  <c r="HQB48" i="8"/>
  <c r="HQA48" i="8"/>
  <c r="HPZ48" i="8"/>
  <c r="HPY48" i="8"/>
  <c r="HPX48" i="8"/>
  <c r="HPW48" i="8"/>
  <c r="HPV48" i="8"/>
  <c r="HPU48" i="8"/>
  <c r="HPT48" i="8"/>
  <c r="HPS48" i="8"/>
  <c r="HPR48" i="8"/>
  <c r="HPQ48" i="8"/>
  <c r="HPP48" i="8"/>
  <c r="HPO48" i="8"/>
  <c r="HPN48" i="8"/>
  <c r="HPM48" i="8"/>
  <c r="HPL48" i="8"/>
  <c r="HPK48" i="8"/>
  <c r="HPJ48" i="8"/>
  <c r="HPI48" i="8"/>
  <c r="HPH48" i="8"/>
  <c r="HPG48" i="8"/>
  <c r="HPF48" i="8"/>
  <c r="HPE48" i="8"/>
  <c r="HPD48" i="8"/>
  <c r="HPC48" i="8"/>
  <c r="HPB48" i="8"/>
  <c r="HPA48" i="8"/>
  <c r="HOZ48" i="8"/>
  <c r="HOY48" i="8"/>
  <c r="HOX48" i="8"/>
  <c r="HOW48" i="8"/>
  <c r="HOV48" i="8"/>
  <c r="HOU48" i="8"/>
  <c r="HOT48" i="8"/>
  <c r="HOS48" i="8"/>
  <c r="HOR48" i="8"/>
  <c r="HOQ48" i="8"/>
  <c r="HOP48" i="8"/>
  <c r="HOO48" i="8"/>
  <c r="HON48" i="8"/>
  <c r="HOM48" i="8"/>
  <c r="HOL48" i="8"/>
  <c r="HOK48" i="8"/>
  <c r="HOJ48" i="8"/>
  <c r="HOI48" i="8"/>
  <c r="HOH48" i="8"/>
  <c r="HOG48" i="8"/>
  <c r="HOF48" i="8"/>
  <c r="HOE48" i="8"/>
  <c r="HOD48" i="8"/>
  <c r="HOC48" i="8"/>
  <c r="HOB48" i="8"/>
  <c r="HOA48" i="8"/>
  <c r="HNZ48" i="8"/>
  <c r="HNY48" i="8"/>
  <c r="HNX48" i="8"/>
  <c r="HNW48" i="8"/>
  <c r="HNV48" i="8"/>
  <c r="HNU48" i="8"/>
  <c r="HNT48" i="8"/>
  <c r="HNS48" i="8"/>
  <c r="HNR48" i="8"/>
  <c r="HNQ48" i="8"/>
  <c r="HNP48" i="8"/>
  <c r="HNO48" i="8"/>
  <c r="HNN48" i="8"/>
  <c r="HNM48" i="8"/>
  <c r="HNL48" i="8"/>
  <c r="HNK48" i="8"/>
  <c r="HNJ48" i="8"/>
  <c r="HNI48" i="8"/>
  <c r="HNH48" i="8"/>
  <c r="HNG48" i="8"/>
  <c r="HNF48" i="8"/>
  <c r="HNE48" i="8"/>
  <c r="HND48" i="8"/>
  <c r="HNC48" i="8"/>
  <c r="HNB48" i="8"/>
  <c r="HNA48" i="8"/>
  <c r="HMZ48" i="8"/>
  <c r="HMY48" i="8"/>
  <c r="HMX48" i="8"/>
  <c r="HMW48" i="8"/>
  <c r="HMV48" i="8"/>
  <c r="HMU48" i="8"/>
  <c r="HMT48" i="8"/>
  <c r="HMS48" i="8"/>
  <c r="HMR48" i="8"/>
  <c r="HMQ48" i="8"/>
  <c r="HMP48" i="8"/>
  <c r="HMO48" i="8"/>
  <c r="HMN48" i="8"/>
  <c r="HMM48" i="8"/>
  <c r="HML48" i="8"/>
  <c r="HMK48" i="8"/>
  <c r="HMJ48" i="8"/>
  <c r="HMI48" i="8"/>
  <c r="HMH48" i="8"/>
  <c r="HMG48" i="8"/>
  <c r="HMF48" i="8"/>
  <c r="HME48" i="8"/>
  <c r="HMD48" i="8"/>
  <c r="HMC48" i="8"/>
  <c r="HMB48" i="8"/>
  <c r="HMA48" i="8"/>
  <c r="HLZ48" i="8"/>
  <c r="HLY48" i="8"/>
  <c r="HLX48" i="8"/>
  <c r="HLW48" i="8"/>
  <c r="HLV48" i="8"/>
  <c r="HLU48" i="8"/>
  <c r="HLT48" i="8"/>
  <c r="HLS48" i="8"/>
  <c r="HLR48" i="8"/>
  <c r="HLQ48" i="8"/>
  <c r="HLP48" i="8"/>
  <c r="HLO48" i="8"/>
  <c r="HLN48" i="8"/>
  <c r="HLM48" i="8"/>
  <c r="HLL48" i="8"/>
  <c r="HLK48" i="8"/>
  <c r="HLJ48" i="8"/>
  <c r="HLI48" i="8"/>
  <c r="HLH48" i="8"/>
  <c r="HLG48" i="8"/>
  <c r="HLF48" i="8"/>
  <c r="HLE48" i="8"/>
  <c r="HLD48" i="8"/>
  <c r="HLC48" i="8"/>
  <c r="HLB48" i="8"/>
  <c r="HLA48" i="8"/>
  <c r="HKZ48" i="8"/>
  <c r="HKY48" i="8"/>
  <c r="HKX48" i="8"/>
  <c r="HKW48" i="8"/>
  <c r="HKV48" i="8"/>
  <c r="HKU48" i="8"/>
  <c r="HKT48" i="8"/>
  <c r="HKS48" i="8"/>
  <c r="HKR48" i="8"/>
  <c r="HKQ48" i="8"/>
  <c r="HKP48" i="8"/>
  <c r="HKO48" i="8"/>
  <c r="HKN48" i="8"/>
  <c r="HKM48" i="8"/>
  <c r="HKL48" i="8"/>
  <c r="HKK48" i="8"/>
  <c r="HKJ48" i="8"/>
  <c r="HKI48" i="8"/>
  <c r="HKH48" i="8"/>
  <c r="HKG48" i="8"/>
  <c r="HKF48" i="8"/>
  <c r="HKE48" i="8"/>
  <c r="HKD48" i="8"/>
  <c r="HKC48" i="8"/>
  <c r="HKB48" i="8"/>
  <c r="HKA48" i="8"/>
  <c r="HJZ48" i="8"/>
  <c r="HJY48" i="8"/>
  <c r="HJX48" i="8"/>
  <c r="HJW48" i="8"/>
  <c r="HJV48" i="8"/>
  <c r="HJU48" i="8"/>
  <c r="HJT48" i="8"/>
  <c r="HJS48" i="8"/>
  <c r="HJR48" i="8"/>
  <c r="HJQ48" i="8"/>
  <c r="HJP48" i="8"/>
  <c r="HJO48" i="8"/>
  <c r="HJN48" i="8"/>
  <c r="HJM48" i="8"/>
  <c r="HJL48" i="8"/>
  <c r="HJK48" i="8"/>
  <c r="HJJ48" i="8"/>
  <c r="HJI48" i="8"/>
  <c r="HJH48" i="8"/>
  <c r="HJG48" i="8"/>
  <c r="HJF48" i="8"/>
  <c r="HJE48" i="8"/>
  <c r="HJD48" i="8"/>
  <c r="HJC48" i="8"/>
  <c r="HJB48" i="8"/>
  <c r="HJA48" i="8"/>
  <c r="HIZ48" i="8"/>
  <c r="HIY48" i="8"/>
  <c r="HIX48" i="8"/>
  <c r="HIW48" i="8"/>
  <c r="HIV48" i="8"/>
  <c r="HIU48" i="8"/>
  <c r="HIT48" i="8"/>
  <c r="HIS48" i="8"/>
  <c r="HIR48" i="8"/>
  <c r="HIQ48" i="8"/>
  <c r="HIP48" i="8"/>
  <c r="HIO48" i="8"/>
  <c r="HIN48" i="8"/>
  <c r="HIM48" i="8"/>
  <c r="HIL48" i="8"/>
  <c r="HIK48" i="8"/>
  <c r="HIJ48" i="8"/>
  <c r="HII48" i="8"/>
  <c r="HIH48" i="8"/>
  <c r="HIG48" i="8"/>
  <c r="HIF48" i="8"/>
  <c r="HIE48" i="8"/>
  <c r="HID48" i="8"/>
  <c r="HIC48" i="8"/>
  <c r="HIB48" i="8"/>
  <c r="HIA48" i="8"/>
  <c r="HHZ48" i="8"/>
  <c r="HHY48" i="8"/>
  <c r="HHX48" i="8"/>
  <c r="HHW48" i="8"/>
  <c r="HHV48" i="8"/>
  <c r="HHU48" i="8"/>
  <c r="HHT48" i="8"/>
  <c r="HHS48" i="8"/>
  <c r="HHR48" i="8"/>
  <c r="HHQ48" i="8"/>
  <c r="HHP48" i="8"/>
  <c r="HHO48" i="8"/>
  <c r="HHN48" i="8"/>
  <c r="HHM48" i="8"/>
  <c r="HHL48" i="8"/>
  <c r="HHK48" i="8"/>
  <c r="HHJ48" i="8"/>
  <c r="HHI48" i="8"/>
  <c r="HHH48" i="8"/>
  <c r="HHG48" i="8"/>
  <c r="HHF48" i="8"/>
  <c r="HHE48" i="8"/>
  <c r="HHD48" i="8"/>
  <c r="HHC48" i="8"/>
  <c r="HHB48" i="8"/>
  <c r="HHA48" i="8"/>
  <c r="HGZ48" i="8"/>
  <c r="HGY48" i="8"/>
  <c r="HGX48" i="8"/>
  <c r="HGW48" i="8"/>
  <c r="HGV48" i="8"/>
  <c r="HGU48" i="8"/>
  <c r="HGT48" i="8"/>
  <c r="HGS48" i="8"/>
  <c r="HGR48" i="8"/>
  <c r="HGQ48" i="8"/>
  <c r="HGP48" i="8"/>
  <c r="HGO48" i="8"/>
  <c r="HGN48" i="8"/>
  <c r="HGM48" i="8"/>
  <c r="HGL48" i="8"/>
  <c r="HGK48" i="8"/>
  <c r="HGJ48" i="8"/>
  <c r="HGI48" i="8"/>
  <c r="HGH48" i="8"/>
  <c r="HGG48" i="8"/>
  <c r="HGF48" i="8"/>
  <c r="HGE48" i="8"/>
  <c r="HGD48" i="8"/>
  <c r="HGC48" i="8"/>
  <c r="HGB48" i="8"/>
  <c r="HGA48" i="8"/>
  <c r="HFZ48" i="8"/>
  <c r="HFY48" i="8"/>
  <c r="HFX48" i="8"/>
  <c r="HFW48" i="8"/>
  <c r="HFV48" i="8"/>
  <c r="HFU48" i="8"/>
  <c r="HFT48" i="8"/>
  <c r="HFS48" i="8"/>
  <c r="HFR48" i="8"/>
  <c r="HFQ48" i="8"/>
  <c r="HFP48" i="8"/>
  <c r="HFO48" i="8"/>
  <c r="HFN48" i="8"/>
  <c r="HFM48" i="8"/>
  <c r="HFL48" i="8"/>
  <c r="HFK48" i="8"/>
  <c r="HFJ48" i="8"/>
  <c r="HFI48" i="8"/>
  <c r="HFH48" i="8"/>
  <c r="HFG48" i="8"/>
  <c r="HFF48" i="8"/>
  <c r="HFE48" i="8"/>
  <c r="HFD48" i="8"/>
  <c r="HFC48" i="8"/>
  <c r="HFB48" i="8"/>
  <c r="HFA48" i="8"/>
  <c r="HEZ48" i="8"/>
  <c r="HEY48" i="8"/>
  <c r="HEX48" i="8"/>
  <c r="HEW48" i="8"/>
  <c r="HEV48" i="8"/>
  <c r="HEU48" i="8"/>
  <c r="HET48" i="8"/>
  <c r="HES48" i="8"/>
  <c r="HER48" i="8"/>
  <c r="HEQ48" i="8"/>
  <c r="HEP48" i="8"/>
  <c r="HEO48" i="8"/>
  <c r="HEN48" i="8"/>
  <c r="HEM48" i="8"/>
  <c r="HEL48" i="8"/>
  <c r="HEK48" i="8"/>
  <c r="HEJ48" i="8"/>
  <c r="HEI48" i="8"/>
  <c r="HEH48" i="8"/>
  <c r="HEG48" i="8"/>
  <c r="HEF48" i="8"/>
  <c r="HEE48" i="8"/>
  <c r="HED48" i="8"/>
  <c r="HEC48" i="8"/>
  <c r="HEB48" i="8"/>
  <c r="HEA48" i="8"/>
  <c r="HDZ48" i="8"/>
  <c r="HDY48" i="8"/>
  <c r="HDX48" i="8"/>
  <c r="HDW48" i="8"/>
  <c r="HDV48" i="8"/>
  <c r="HDU48" i="8"/>
  <c r="HDT48" i="8"/>
  <c r="HDS48" i="8"/>
  <c r="HDR48" i="8"/>
  <c r="HDQ48" i="8"/>
  <c r="HDP48" i="8"/>
  <c r="HDO48" i="8"/>
  <c r="HDN48" i="8"/>
  <c r="HDM48" i="8"/>
  <c r="HDL48" i="8"/>
  <c r="HDK48" i="8"/>
  <c r="HDJ48" i="8"/>
  <c r="HDI48" i="8"/>
  <c r="HDH48" i="8"/>
  <c r="HDG48" i="8"/>
  <c r="HDF48" i="8"/>
  <c r="HDE48" i="8"/>
  <c r="HDD48" i="8"/>
  <c r="HDC48" i="8"/>
  <c r="HDB48" i="8"/>
  <c r="HDA48" i="8"/>
  <c r="HCZ48" i="8"/>
  <c r="HCY48" i="8"/>
  <c r="HCX48" i="8"/>
  <c r="HCW48" i="8"/>
  <c r="HCV48" i="8"/>
  <c r="HCU48" i="8"/>
  <c r="HCT48" i="8"/>
  <c r="HCS48" i="8"/>
  <c r="HCR48" i="8"/>
  <c r="HCQ48" i="8"/>
  <c r="HCP48" i="8"/>
  <c r="HCO48" i="8"/>
  <c r="HCN48" i="8"/>
  <c r="HCM48" i="8"/>
  <c r="HCL48" i="8"/>
  <c r="HCK48" i="8"/>
  <c r="HCJ48" i="8"/>
  <c r="HCI48" i="8"/>
  <c r="HCH48" i="8"/>
  <c r="HCG48" i="8"/>
  <c r="HCF48" i="8"/>
  <c r="HCE48" i="8"/>
  <c r="HCD48" i="8"/>
  <c r="HCC48" i="8"/>
  <c r="HCB48" i="8"/>
  <c r="HCA48" i="8"/>
  <c r="HBZ48" i="8"/>
  <c r="HBY48" i="8"/>
  <c r="HBX48" i="8"/>
  <c r="HBW48" i="8"/>
  <c r="HBV48" i="8"/>
  <c r="HBU48" i="8"/>
  <c r="HBT48" i="8"/>
  <c r="HBS48" i="8"/>
  <c r="HBR48" i="8"/>
  <c r="HBQ48" i="8"/>
  <c r="HBP48" i="8"/>
  <c r="HBO48" i="8"/>
  <c r="HBN48" i="8"/>
  <c r="HBM48" i="8"/>
  <c r="HBL48" i="8"/>
  <c r="HBK48" i="8"/>
  <c r="HBJ48" i="8"/>
  <c r="HBI48" i="8"/>
  <c r="HBH48" i="8"/>
  <c r="HBG48" i="8"/>
  <c r="HBF48" i="8"/>
  <c r="HBE48" i="8"/>
  <c r="HBD48" i="8"/>
  <c r="HBC48" i="8"/>
  <c r="HBB48" i="8"/>
  <c r="HBA48" i="8"/>
  <c r="HAZ48" i="8"/>
  <c r="HAY48" i="8"/>
  <c r="HAX48" i="8"/>
  <c r="HAW48" i="8"/>
  <c r="HAV48" i="8"/>
  <c r="HAU48" i="8"/>
  <c r="HAT48" i="8"/>
  <c r="HAS48" i="8"/>
  <c r="HAR48" i="8"/>
  <c r="HAQ48" i="8"/>
  <c r="HAP48" i="8"/>
  <c r="HAO48" i="8"/>
  <c r="HAN48" i="8"/>
  <c r="HAM48" i="8"/>
  <c r="HAL48" i="8"/>
  <c r="HAK48" i="8"/>
  <c r="HAJ48" i="8"/>
  <c r="HAI48" i="8"/>
  <c r="HAH48" i="8"/>
  <c r="HAG48" i="8"/>
  <c r="HAF48" i="8"/>
  <c r="HAE48" i="8"/>
  <c r="HAD48" i="8"/>
  <c r="HAC48" i="8"/>
  <c r="HAB48" i="8"/>
  <c r="HAA48" i="8"/>
  <c r="GZZ48" i="8"/>
  <c r="GZY48" i="8"/>
  <c r="GZX48" i="8"/>
  <c r="GZW48" i="8"/>
  <c r="GZV48" i="8"/>
  <c r="GZU48" i="8"/>
  <c r="GZT48" i="8"/>
  <c r="GZS48" i="8"/>
  <c r="GZR48" i="8"/>
  <c r="GZQ48" i="8"/>
  <c r="GZP48" i="8"/>
  <c r="GZO48" i="8"/>
  <c r="GZN48" i="8"/>
  <c r="GZM48" i="8"/>
  <c r="GZL48" i="8"/>
  <c r="GZK48" i="8"/>
  <c r="GZJ48" i="8"/>
  <c r="GZI48" i="8"/>
  <c r="GZH48" i="8"/>
  <c r="GZG48" i="8"/>
  <c r="GZF48" i="8"/>
  <c r="GZE48" i="8"/>
  <c r="GZD48" i="8"/>
  <c r="GZC48" i="8"/>
  <c r="GZB48" i="8"/>
  <c r="GZA48" i="8"/>
  <c r="GYZ48" i="8"/>
  <c r="GYY48" i="8"/>
  <c r="GYX48" i="8"/>
  <c r="GYW48" i="8"/>
  <c r="GYV48" i="8"/>
  <c r="GYU48" i="8"/>
  <c r="GYT48" i="8"/>
  <c r="GYS48" i="8"/>
  <c r="GYR48" i="8"/>
  <c r="GYQ48" i="8"/>
  <c r="GYP48" i="8"/>
  <c r="GYO48" i="8"/>
  <c r="GYN48" i="8"/>
  <c r="GYM48" i="8"/>
  <c r="GYL48" i="8"/>
  <c r="GYK48" i="8"/>
  <c r="GYJ48" i="8"/>
  <c r="GYI48" i="8"/>
  <c r="GYH48" i="8"/>
  <c r="GYG48" i="8"/>
  <c r="GYF48" i="8"/>
  <c r="GYE48" i="8"/>
  <c r="GYD48" i="8"/>
  <c r="GYC48" i="8"/>
  <c r="GYB48" i="8"/>
  <c r="GYA48" i="8"/>
  <c r="GXZ48" i="8"/>
  <c r="GXY48" i="8"/>
  <c r="GXX48" i="8"/>
  <c r="GXW48" i="8"/>
  <c r="GXV48" i="8"/>
  <c r="GXU48" i="8"/>
  <c r="GXT48" i="8"/>
  <c r="GXS48" i="8"/>
  <c r="GXR48" i="8"/>
  <c r="GXQ48" i="8"/>
  <c r="GXP48" i="8"/>
  <c r="GXO48" i="8"/>
  <c r="GXN48" i="8"/>
  <c r="GXM48" i="8"/>
  <c r="GXL48" i="8"/>
  <c r="GXK48" i="8"/>
  <c r="GXJ48" i="8"/>
  <c r="GXI48" i="8"/>
  <c r="GXH48" i="8"/>
  <c r="GXG48" i="8"/>
  <c r="GXF48" i="8"/>
  <c r="GXE48" i="8"/>
  <c r="GXD48" i="8"/>
  <c r="GXC48" i="8"/>
  <c r="GXB48" i="8"/>
  <c r="GXA48" i="8"/>
  <c r="GWZ48" i="8"/>
  <c r="GWY48" i="8"/>
  <c r="GWX48" i="8"/>
  <c r="GWW48" i="8"/>
  <c r="GWV48" i="8"/>
  <c r="GWU48" i="8"/>
  <c r="GWT48" i="8"/>
  <c r="GWS48" i="8"/>
  <c r="GWR48" i="8"/>
  <c r="GWQ48" i="8"/>
  <c r="GWP48" i="8"/>
  <c r="GWO48" i="8"/>
  <c r="GWN48" i="8"/>
  <c r="GWM48" i="8"/>
  <c r="GWL48" i="8"/>
  <c r="GWK48" i="8"/>
  <c r="GWJ48" i="8"/>
  <c r="GWI48" i="8"/>
  <c r="GWH48" i="8"/>
  <c r="GWG48" i="8"/>
  <c r="GWF48" i="8"/>
  <c r="GWE48" i="8"/>
  <c r="GWD48" i="8"/>
  <c r="GWC48" i="8"/>
  <c r="GWB48" i="8"/>
  <c r="GWA48" i="8"/>
  <c r="GVZ48" i="8"/>
  <c r="GVY48" i="8"/>
  <c r="GVX48" i="8"/>
  <c r="GVW48" i="8"/>
  <c r="GVV48" i="8"/>
  <c r="GVU48" i="8"/>
  <c r="GVT48" i="8"/>
  <c r="GVS48" i="8"/>
  <c r="GVR48" i="8"/>
  <c r="GVQ48" i="8"/>
  <c r="GVP48" i="8"/>
  <c r="GVO48" i="8"/>
  <c r="GVN48" i="8"/>
  <c r="GVM48" i="8"/>
  <c r="GVL48" i="8"/>
  <c r="GVK48" i="8"/>
  <c r="GVJ48" i="8"/>
  <c r="GVI48" i="8"/>
  <c r="GVH48" i="8"/>
  <c r="GVG48" i="8"/>
  <c r="GVF48" i="8"/>
  <c r="GVE48" i="8"/>
  <c r="GVD48" i="8"/>
  <c r="GVC48" i="8"/>
  <c r="GVB48" i="8"/>
  <c r="GVA48" i="8"/>
  <c r="GUZ48" i="8"/>
  <c r="GUY48" i="8"/>
  <c r="GUX48" i="8"/>
  <c r="GUW48" i="8"/>
  <c r="GUV48" i="8"/>
  <c r="GUU48" i="8"/>
  <c r="GUT48" i="8"/>
  <c r="GUS48" i="8"/>
  <c r="GUR48" i="8"/>
  <c r="GUQ48" i="8"/>
  <c r="GUP48" i="8"/>
  <c r="GUO48" i="8"/>
  <c r="GUN48" i="8"/>
  <c r="GUM48" i="8"/>
  <c r="GUL48" i="8"/>
  <c r="GUK48" i="8"/>
  <c r="GUJ48" i="8"/>
  <c r="GUI48" i="8"/>
  <c r="GUH48" i="8"/>
  <c r="GUG48" i="8"/>
  <c r="GUF48" i="8"/>
  <c r="GUE48" i="8"/>
  <c r="GUD48" i="8"/>
  <c r="GUC48" i="8"/>
  <c r="GUB48" i="8"/>
  <c r="GUA48" i="8"/>
  <c r="GTZ48" i="8"/>
  <c r="GTY48" i="8"/>
  <c r="GTX48" i="8"/>
  <c r="GTW48" i="8"/>
  <c r="GTV48" i="8"/>
  <c r="GTU48" i="8"/>
  <c r="GTT48" i="8"/>
  <c r="GTS48" i="8"/>
  <c r="GTR48" i="8"/>
  <c r="GTQ48" i="8"/>
  <c r="GTP48" i="8"/>
  <c r="GTO48" i="8"/>
  <c r="GTN48" i="8"/>
  <c r="GTM48" i="8"/>
  <c r="GTL48" i="8"/>
  <c r="GTK48" i="8"/>
  <c r="GTJ48" i="8"/>
  <c r="GTI48" i="8"/>
  <c r="GTH48" i="8"/>
  <c r="GTG48" i="8"/>
  <c r="GTF48" i="8"/>
  <c r="GTE48" i="8"/>
  <c r="GTD48" i="8"/>
  <c r="GTC48" i="8"/>
  <c r="GTB48" i="8"/>
  <c r="GTA48" i="8"/>
  <c r="GSZ48" i="8"/>
  <c r="GSY48" i="8"/>
  <c r="GSX48" i="8"/>
  <c r="GSW48" i="8"/>
  <c r="GSV48" i="8"/>
  <c r="GSU48" i="8"/>
  <c r="GST48" i="8"/>
  <c r="GSS48" i="8"/>
  <c r="GSR48" i="8"/>
  <c r="GSQ48" i="8"/>
  <c r="GSP48" i="8"/>
  <c r="GSO48" i="8"/>
  <c r="GSN48" i="8"/>
  <c r="GSM48" i="8"/>
  <c r="GSL48" i="8"/>
  <c r="GSK48" i="8"/>
  <c r="GSJ48" i="8"/>
  <c r="GSI48" i="8"/>
  <c r="GSH48" i="8"/>
  <c r="GSG48" i="8"/>
  <c r="GSF48" i="8"/>
  <c r="GSE48" i="8"/>
  <c r="GSD48" i="8"/>
  <c r="GSC48" i="8"/>
  <c r="GSB48" i="8"/>
  <c r="GSA48" i="8"/>
  <c r="GRZ48" i="8"/>
  <c r="GRY48" i="8"/>
  <c r="GRX48" i="8"/>
  <c r="GRW48" i="8"/>
  <c r="GRV48" i="8"/>
  <c r="GRU48" i="8"/>
  <c r="GRT48" i="8"/>
  <c r="GRS48" i="8"/>
  <c r="GRR48" i="8"/>
  <c r="GRQ48" i="8"/>
  <c r="GRP48" i="8"/>
  <c r="GRO48" i="8"/>
  <c r="GRN48" i="8"/>
  <c r="GRM48" i="8"/>
  <c r="GRL48" i="8"/>
  <c r="GRK48" i="8"/>
  <c r="GRJ48" i="8"/>
  <c r="GRI48" i="8"/>
  <c r="GRH48" i="8"/>
  <c r="GRG48" i="8"/>
  <c r="GRF48" i="8"/>
  <c r="GRE48" i="8"/>
  <c r="GRD48" i="8"/>
  <c r="GRC48" i="8"/>
  <c r="GRB48" i="8"/>
  <c r="GRA48" i="8"/>
  <c r="GQZ48" i="8"/>
  <c r="GQY48" i="8"/>
  <c r="GQX48" i="8"/>
  <c r="GQW48" i="8"/>
  <c r="GQV48" i="8"/>
  <c r="GQU48" i="8"/>
  <c r="GQT48" i="8"/>
  <c r="GQS48" i="8"/>
  <c r="GQR48" i="8"/>
  <c r="GQQ48" i="8"/>
  <c r="GQP48" i="8"/>
  <c r="GQO48" i="8"/>
  <c r="GQN48" i="8"/>
  <c r="GQM48" i="8"/>
  <c r="GQL48" i="8"/>
  <c r="GQK48" i="8"/>
  <c r="GQJ48" i="8"/>
  <c r="GQI48" i="8"/>
  <c r="GQH48" i="8"/>
  <c r="GQG48" i="8"/>
  <c r="GQF48" i="8"/>
  <c r="GQE48" i="8"/>
  <c r="GQD48" i="8"/>
  <c r="GQC48" i="8"/>
  <c r="GQB48" i="8"/>
  <c r="GQA48" i="8"/>
  <c r="GPZ48" i="8"/>
  <c r="GPY48" i="8"/>
  <c r="GPX48" i="8"/>
  <c r="GPW48" i="8"/>
  <c r="GPV48" i="8"/>
  <c r="GPU48" i="8"/>
  <c r="GPT48" i="8"/>
  <c r="GPS48" i="8"/>
  <c r="GPR48" i="8"/>
  <c r="GPQ48" i="8"/>
  <c r="GPP48" i="8"/>
  <c r="GPO48" i="8"/>
  <c r="GPN48" i="8"/>
  <c r="GPM48" i="8"/>
  <c r="GPL48" i="8"/>
  <c r="GPK48" i="8"/>
  <c r="GPJ48" i="8"/>
  <c r="GPI48" i="8"/>
  <c r="GPH48" i="8"/>
  <c r="GPG48" i="8"/>
  <c r="GPF48" i="8"/>
  <c r="GPE48" i="8"/>
  <c r="GPD48" i="8"/>
  <c r="GPC48" i="8"/>
  <c r="GPB48" i="8"/>
  <c r="GPA48" i="8"/>
  <c r="GOZ48" i="8"/>
  <c r="GOY48" i="8"/>
  <c r="GOX48" i="8"/>
  <c r="GOW48" i="8"/>
  <c r="GOV48" i="8"/>
  <c r="GOU48" i="8"/>
  <c r="GOT48" i="8"/>
  <c r="GOS48" i="8"/>
  <c r="GOR48" i="8"/>
  <c r="GOQ48" i="8"/>
  <c r="GOP48" i="8"/>
  <c r="GOO48" i="8"/>
  <c r="GON48" i="8"/>
  <c r="GOM48" i="8"/>
  <c r="GOL48" i="8"/>
  <c r="GOK48" i="8"/>
  <c r="GOJ48" i="8"/>
  <c r="GOI48" i="8"/>
  <c r="GOH48" i="8"/>
  <c r="GOG48" i="8"/>
  <c r="GOF48" i="8"/>
  <c r="GOE48" i="8"/>
  <c r="GOD48" i="8"/>
  <c r="GOC48" i="8"/>
  <c r="GOB48" i="8"/>
  <c r="GOA48" i="8"/>
  <c r="GNZ48" i="8"/>
  <c r="GNY48" i="8"/>
  <c r="GNX48" i="8"/>
  <c r="GNW48" i="8"/>
  <c r="GNV48" i="8"/>
  <c r="GNU48" i="8"/>
  <c r="GNT48" i="8"/>
  <c r="GNS48" i="8"/>
  <c r="GNR48" i="8"/>
  <c r="GNQ48" i="8"/>
  <c r="GNP48" i="8"/>
  <c r="GNO48" i="8"/>
  <c r="GNN48" i="8"/>
  <c r="GNM48" i="8"/>
  <c r="GNL48" i="8"/>
  <c r="GNK48" i="8"/>
  <c r="GNJ48" i="8"/>
  <c r="GNI48" i="8"/>
  <c r="GNH48" i="8"/>
  <c r="GNG48" i="8"/>
  <c r="GNF48" i="8"/>
  <c r="GNE48" i="8"/>
  <c r="GND48" i="8"/>
  <c r="GNC48" i="8"/>
  <c r="GNB48" i="8"/>
  <c r="GNA48" i="8"/>
  <c r="GMZ48" i="8"/>
  <c r="GMY48" i="8"/>
  <c r="GMX48" i="8"/>
  <c r="GMW48" i="8"/>
  <c r="GMV48" i="8"/>
  <c r="GMU48" i="8"/>
  <c r="GMT48" i="8"/>
  <c r="GMS48" i="8"/>
  <c r="GMR48" i="8"/>
  <c r="GMQ48" i="8"/>
  <c r="GMP48" i="8"/>
  <c r="GMO48" i="8"/>
  <c r="GMN48" i="8"/>
  <c r="GMM48" i="8"/>
  <c r="GML48" i="8"/>
  <c r="GMK48" i="8"/>
  <c r="GMJ48" i="8"/>
  <c r="GMI48" i="8"/>
  <c r="GMH48" i="8"/>
  <c r="GMG48" i="8"/>
  <c r="GMF48" i="8"/>
  <c r="GME48" i="8"/>
  <c r="GMD48" i="8"/>
  <c r="GMC48" i="8"/>
  <c r="GMB48" i="8"/>
  <c r="GMA48" i="8"/>
  <c r="GLZ48" i="8"/>
  <c r="GLY48" i="8"/>
  <c r="GLX48" i="8"/>
  <c r="GLW48" i="8"/>
  <c r="GLV48" i="8"/>
  <c r="GLU48" i="8"/>
  <c r="GLT48" i="8"/>
  <c r="GLS48" i="8"/>
  <c r="GLR48" i="8"/>
  <c r="GLQ48" i="8"/>
  <c r="GLP48" i="8"/>
  <c r="GLO48" i="8"/>
  <c r="GLN48" i="8"/>
  <c r="GLM48" i="8"/>
  <c r="GLL48" i="8"/>
  <c r="GLK48" i="8"/>
  <c r="GLJ48" i="8"/>
  <c r="GLI48" i="8"/>
  <c r="GLH48" i="8"/>
  <c r="GLG48" i="8"/>
  <c r="GLF48" i="8"/>
  <c r="GLE48" i="8"/>
  <c r="GLD48" i="8"/>
  <c r="GLC48" i="8"/>
  <c r="GLB48" i="8"/>
  <c r="GLA48" i="8"/>
  <c r="GKZ48" i="8"/>
  <c r="GKY48" i="8"/>
  <c r="GKX48" i="8"/>
  <c r="GKW48" i="8"/>
  <c r="GKV48" i="8"/>
  <c r="GKU48" i="8"/>
  <c r="GKT48" i="8"/>
  <c r="GKS48" i="8"/>
  <c r="GKR48" i="8"/>
  <c r="GKQ48" i="8"/>
  <c r="GKP48" i="8"/>
  <c r="GKO48" i="8"/>
  <c r="GKN48" i="8"/>
  <c r="GKM48" i="8"/>
  <c r="GKL48" i="8"/>
  <c r="GKK48" i="8"/>
  <c r="GKJ48" i="8"/>
  <c r="GKI48" i="8"/>
  <c r="GKH48" i="8"/>
  <c r="GKG48" i="8"/>
  <c r="GKF48" i="8"/>
  <c r="GKE48" i="8"/>
  <c r="GKD48" i="8"/>
  <c r="GKC48" i="8"/>
  <c r="GKB48" i="8"/>
  <c r="GKA48" i="8"/>
  <c r="GJZ48" i="8"/>
  <c r="GJY48" i="8"/>
  <c r="GJX48" i="8"/>
  <c r="GJW48" i="8"/>
  <c r="GJV48" i="8"/>
  <c r="GJU48" i="8"/>
  <c r="GJT48" i="8"/>
  <c r="GJS48" i="8"/>
  <c r="GJR48" i="8"/>
  <c r="GJQ48" i="8"/>
  <c r="GJP48" i="8"/>
  <c r="GJO48" i="8"/>
  <c r="GJN48" i="8"/>
  <c r="GJM48" i="8"/>
  <c r="GJL48" i="8"/>
  <c r="GJK48" i="8"/>
  <c r="GJJ48" i="8"/>
  <c r="GJI48" i="8"/>
  <c r="GJH48" i="8"/>
  <c r="GJG48" i="8"/>
  <c r="GJF48" i="8"/>
  <c r="GJE48" i="8"/>
  <c r="GJD48" i="8"/>
  <c r="GJC48" i="8"/>
  <c r="GJB48" i="8"/>
  <c r="GJA48" i="8"/>
  <c r="GIZ48" i="8"/>
  <c r="GIY48" i="8"/>
  <c r="GIX48" i="8"/>
  <c r="GIW48" i="8"/>
  <c r="GIV48" i="8"/>
  <c r="GIU48" i="8"/>
  <c r="GIT48" i="8"/>
  <c r="GIS48" i="8"/>
  <c r="GIR48" i="8"/>
  <c r="GIQ48" i="8"/>
  <c r="GIP48" i="8"/>
  <c r="GIO48" i="8"/>
  <c r="GIN48" i="8"/>
  <c r="GIM48" i="8"/>
  <c r="GIL48" i="8"/>
  <c r="GIK48" i="8"/>
  <c r="GIJ48" i="8"/>
  <c r="GII48" i="8"/>
  <c r="GIH48" i="8"/>
  <c r="GIG48" i="8"/>
  <c r="GIF48" i="8"/>
  <c r="GIE48" i="8"/>
  <c r="GID48" i="8"/>
  <c r="GIC48" i="8"/>
  <c r="GIB48" i="8"/>
  <c r="GIA48" i="8"/>
  <c r="GHZ48" i="8"/>
  <c r="GHY48" i="8"/>
  <c r="GHX48" i="8"/>
  <c r="GHW48" i="8"/>
  <c r="GHV48" i="8"/>
  <c r="GHU48" i="8"/>
  <c r="GHT48" i="8"/>
  <c r="GHS48" i="8"/>
  <c r="GHR48" i="8"/>
  <c r="GHQ48" i="8"/>
  <c r="GHP48" i="8"/>
  <c r="GHO48" i="8"/>
  <c r="GHN48" i="8"/>
  <c r="GHM48" i="8"/>
  <c r="GHL48" i="8"/>
  <c r="GHK48" i="8"/>
  <c r="GHJ48" i="8"/>
  <c r="GHI48" i="8"/>
  <c r="GHH48" i="8"/>
  <c r="GHG48" i="8"/>
  <c r="GHF48" i="8"/>
  <c r="GHE48" i="8"/>
  <c r="GHD48" i="8"/>
  <c r="GHC48" i="8"/>
  <c r="GHB48" i="8"/>
  <c r="GHA48" i="8"/>
  <c r="GGZ48" i="8"/>
  <c r="GGY48" i="8"/>
  <c r="GGX48" i="8"/>
  <c r="GGW48" i="8"/>
  <c r="GGV48" i="8"/>
  <c r="GGU48" i="8"/>
  <c r="GGT48" i="8"/>
  <c r="GGS48" i="8"/>
  <c r="GGR48" i="8"/>
  <c r="GGQ48" i="8"/>
  <c r="GGP48" i="8"/>
  <c r="GGO48" i="8"/>
  <c r="GGN48" i="8"/>
  <c r="GGM48" i="8"/>
  <c r="GGL48" i="8"/>
  <c r="GGK48" i="8"/>
  <c r="GGJ48" i="8"/>
  <c r="GGI48" i="8"/>
  <c r="GGH48" i="8"/>
  <c r="GGG48" i="8"/>
  <c r="GGF48" i="8"/>
  <c r="GGE48" i="8"/>
  <c r="GGD48" i="8"/>
  <c r="GGC48" i="8"/>
  <c r="GGB48" i="8"/>
  <c r="GGA48" i="8"/>
  <c r="GFZ48" i="8"/>
  <c r="GFY48" i="8"/>
  <c r="GFX48" i="8"/>
  <c r="GFW48" i="8"/>
  <c r="GFV48" i="8"/>
  <c r="GFU48" i="8"/>
  <c r="GFT48" i="8"/>
  <c r="GFS48" i="8"/>
  <c r="GFR48" i="8"/>
  <c r="GFQ48" i="8"/>
  <c r="GFP48" i="8"/>
  <c r="GFO48" i="8"/>
  <c r="GFN48" i="8"/>
  <c r="GFM48" i="8"/>
  <c r="GFL48" i="8"/>
  <c r="GFK48" i="8"/>
  <c r="GFJ48" i="8"/>
  <c r="GFI48" i="8"/>
  <c r="GFH48" i="8"/>
  <c r="GFG48" i="8"/>
  <c r="GFF48" i="8"/>
  <c r="GFE48" i="8"/>
  <c r="GFD48" i="8"/>
  <c r="GFC48" i="8"/>
  <c r="GFB48" i="8"/>
  <c r="GFA48" i="8"/>
  <c r="GEZ48" i="8"/>
  <c r="GEY48" i="8"/>
  <c r="GEX48" i="8"/>
  <c r="GEW48" i="8"/>
  <c r="GEV48" i="8"/>
  <c r="GEU48" i="8"/>
  <c r="GET48" i="8"/>
  <c r="GES48" i="8"/>
  <c r="GER48" i="8"/>
  <c r="GEQ48" i="8"/>
  <c r="GEP48" i="8"/>
  <c r="GEO48" i="8"/>
  <c r="GEN48" i="8"/>
  <c r="GEM48" i="8"/>
  <c r="GEL48" i="8"/>
  <c r="GEK48" i="8"/>
  <c r="GEJ48" i="8"/>
  <c r="GEI48" i="8"/>
  <c r="GEH48" i="8"/>
  <c r="GEG48" i="8"/>
  <c r="GEF48" i="8"/>
  <c r="GEE48" i="8"/>
  <c r="GED48" i="8"/>
  <c r="GEC48" i="8"/>
  <c r="GEB48" i="8"/>
  <c r="GEA48" i="8"/>
  <c r="GDZ48" i="8"/>
  <c r="GDY48" i="8"/>
  <c r="GDX48" i="8"/>
  <c r="GDW48" i="8"/>
  <c r="GDV48" i="8"/>
  <c r="GDU48" i="8"/>
  <c r="GDT48" i="8"/>
  <c r="GDS48" i="8"/>
  <c r="GDR48" i="8"/>
  <c r="GDQ48" i="8"/>
  <c r="GDP48" i="8"/>
  <c r="GDO48" i="8"/>
  <c r="GDN48" i="8"/>
  <c r="GDM48" i="8"/>
  <c r="GDL48" i="8"/>
  <c r="GDK48" i="8"/>
  <c r="GDJ48" i="8"/>
  <c r="GDI48" i="8"/>
  <c r="GDH48" i="8"/>
  <c r="GDG48" i="8"/>
  <c r="GDF48" i="8"/>
  <c r="GDE48" i="8"/>
  <c r="GDD48" i="8"/>
  <c r="GDC48" i="8"/>
  <c r="GDB48" i="8"/>
  <c r="GDA48" i="8"/>
  <c r="GCZ48" i="8"/>
  <c r="GCY48" i="8"/>
  <c r="GCX48" i="8"/>
  <c r="GCW48" i="8"/>
  <c r="GCV48" i="8"/>
  <c r="GCU48" i="8"/>
  <c r="GCT48" i="8"/>
  <c r="GCS48" i="8"/>
  <c r="GCR48" i="8"/>
  <c r="GCQ48" i="8"/>
  <c r="GCP48" i="8"/>
  <c r="GCO48" i="8"/>
  <c r="GCN48" i="8"/>
  <c r="GCM48" i="8"/>
  <c r="GCL48" i="8"/>
  <c r="GCK48" i="8"/>
  <c r="GCJ48" i="8"/>
  <c r="GCI48" i="8"/>
  <c r="GCH48" i="8"/>
  <c r="GCG48" i="8"/>
  <c r="GCF48" i="8"/>
  <c r="GCE48" i="8"/>
  <c r="GCD48" i="8"/>
  <c r="GCC48" i="8"/>
  <c r="GCB48" i="8"/>
  <c r="GCA48" i="8"/>
  <c r="GBZ48" i="8"/>
  <c r="GBY48" i="8"/>
  <c r="GBX48" i="8"/>
  <c r="GBW48" i="8"/>
  <c r="GBV48" i="8"/>
  <c r="GBU48" i="8"/>
  <c r="GBT48" i="8"/>
  <c r="GBS48" i="8"/>
  <c r="GBR48" i="8"/>
  <c r="GBQ48" i="8"/>
  <c r="GBP48" i="8"/>
  <c r="GBO48" i="8"/>
  <c r="GBN48" i="8"/>
  <c r="GBM48" i="8"/>
  <c r="GBL48" i="8"/>
  <c r="GBK48" i="8"/>
  <c r="GBJ48" i="8"/>
  <c r="GBI48" i="8"/>
  <c r="GBH48" i="8"/>
  <c r="GBG48" i="8"/>
  <c r="GBF48" i="8"/>
  <c r="GBE48" i="8"/>
  <c r="GBD48" i="8"/>
  <c r="GBC48" i="8"/>
  <c r="GBB48" i="8"/>
  <c r="GBA48" i="8"/>
  <c r="GAZ48" i="8"/>
  <c r="GAY48" i="8"/>
  <c r="GAX48" i="8"/>
  <c r="GAW48" i="8"/>
  <c r="GAV48" i="8"/>
  <c r="GAU48" i="8"/>
  <c r="GAT48" i="8"/>
  <c r="GAS48" i="8"/>
  <c r="GAR48" i="8"/>
  <c r="GAQ48" i="8"/>
  <c r="GAP48" i="8"/>
  <c r="GAO48" i="8"/>
  <c r="GAN48" i="8"/>
  <c r="GAM48" i="8"/>
  <c r="GAL48" i="8"/>
  <c r="GAK48" i="8"/>
  <c r="GAJ48" i="8"/>
  <c r="GAI48" i="8"/>
  <c r="GAH48" i="8"/>
  <c r="GAG48" i="8"/>
  <c r="GAF48" i="8"/>
  <c r="GAE48" i="8"/>
  <c r="GAD48" i="8"/>
  <c r="GAC48" i="8"/>
  <c r="GAB48" i="8"/>
  <c r="GAA48" i="8"/>
  <c r="FZZ48" i="8"/>
  <c r="FZY48" i="8"/>
  <c r="FZX48" i="8"/>
  <c r="FZW48" i="8"/>
  <c r="FZV48" i="8"/>
  <c r="FZU48" i="8"/>
  <c r="FZT48" i="8"/>
  <c r="FZS48" i="8"/>
  <c r="FZR48" i="8"/>
  <c r="FZQ48" i="8"/>
  <c r="FZP48" i="8"/>
  <c r="FZO48" i="8"/>
  <c r="FZN48" i="8"/>
  <c r="FZM48" i="8"/>
  <c r="FZL48" i="8"/>
  <c r="FZK48" i="8"/>
  <c r="FZJ48" i="8"/>
  <c r="FZI48" i="8"/>
  <c r="FZH48" i="8"/>
  <c r="FZG48" i="8"/>
  <c r="FZF48" i="8"/>
  <c r="FZE48" i="8"/>
  <c r="FZD48" i="8"/>
  <c r="FZC48" i="8"/>
  <c r="FZB48" i="8"/>
  <c r="FZA48" i="8"/>
  <c r="FYZ48" i="8"/>
  <c r="FYY48" i="8"/>
  <c r="FYX48" i="8"/>
  <c r="FYW48" i="8"/>
  <c r="FYV48" i="8"/>
  <c r="FYU48" i="8"/>
  <c r="FYT48" i="8"/>
  <c r="FYS48" i="8"/>
  <c r="FYR48" i="8"/>
  <c r="FYQ48" i="8"/>
  <c r="FYP48" i="8"/>
  <c r="FYO48" i="8"/>
  <c r="FYN48" i="8"/>
  <c r="FYM48" i="8"/>
  <c r="FYL48" i="8"/>
  <c r="FYK48" i="8"/>
  <c r="FYJ48" i="8"/>
  <c r="FYI48" i="8"/>
  <c r="FYH48" i="8"/>
  <c r="FYG48" i="8"/>
  <c r="FYF48" i="8"/>
  <c r="FYE48" i="8"/>
  <c r="FYD48" i="8"/>
  <c r="FYC48" i="8"/>
  <c r="FYB48" i="8"/>
  <c r="FYA48" i="8"/>
  <c r="FXZ48" i="8"/>
  <c r="FXY48" i="8"/>
  <c r="FXX48" i="8"/>
  <c r="FXW48" i="8"/>
  <c r="FXV48" i="8"/>
  <c r="FXU48" i="8"/>
  <c r="FXT48" i="8"/>
  <c r="FXS48" i="8"/>
  <c r="FXR48" i="8"/>
  <c r="FXQ48" i="8"/>
  <c r="FXP48" i="8"/>
  <c r="FXO48" i="8"/>
  <c r="FXN48" i="8"/>
  <c r="FXM48" i="8"/>
  <c r="FXL48" i="8"/>
  <c r="FXK48" i="8"/>
  <c r="FXJ48" i="8"/>
  <c r="FXI48" i="8"/>
  <c r="FXH48" i="8"/>
  <c r="FXG48" i="8"/>
  <c r="FXF48" i="8"/>
  <c r="FXE48" i="8"/>
  <c r="FXD48" i="8"/>
  <c r="FXC48" i="8"/>
  <c r="FXB48" i="8"/>
  <c r="FXA48" i="8"/>
  <c r="FWZ48" i="8"/>
  <c r="FWY48" i="8"/>
  <c r="FWX48" i="8"/>
  <c r="FWW48" i="8"/>
  <c r="FWV48" i="8"/>
  <c r="FWU48" i="8"/>
  <c r="FWT48" i="8"/>
  <c r="FWS48" i="8"/>
  <c r="FWR48" i="8"/>
  <c r="FWQ48" i="8"/>
  <c r="FWP48" i="8"/>
  <c r="FWO48" i="8"/>
  <c r="FWN48" i="8"/>
  <c r="FWM48" i="8"/>
  <c r="FWL48" i="8"/>
  <c r="FWK48" i="8"/>
  <c r="FWJ48" i="8"/>
  <c r="FWI48" i="8"/>
  <c r="FWH48" i="8"/>
  <c r="FWG48" i="8"/>
  <c r="FWF48" i="8"/>
  <c r="FWE48" i="8"/>
  <c r="FWD48" i="8"/>
  <c r="FWC48" i="8"/>
  <c r="FWB48" i="8"/>
  <c r="FWA48" i="8"/>
  <c r="FVZ48" i="8"/>
  <c r="FVY48" i="8"/>
  <c r="FVX48" i="8"/>
  <c r="FVW48" i="8"/>
  <c r="FVV48" i="8"/>
  <c r="FVU48" i="8"/>
  <c r="FVT48" i="8"/>
  <c r="FVS48" i="8"/>
  <c r="FVR48" i="8"/>
  <c r="FVQ48" i="8"/>
  <c r="FVP48" i="8"/>
  <c r="FVO48" i="8"/>
  <c r="FVN48" i="8"/>
  <c r="FVM48" i="8"/>
  <c r="FVL48" i="8"/>
  <c r="FVK48" i="8"/>
  <c r="FVJ48" i="8"/>
  <c r="FVI48" i="8"/>
  <c r="FVH48" i="8"/>
  <c r="FVG48" i="8"/>
  <c r="FVF48" i="8"/>
  <c r="FVE48" i="8"/>
  <c r="FVD48" i="8"/>
  <c r="FVC48" i="8"/>
  <c r="FVB48" i="8"/>
  <c r="FVA48" i="8"/>
  <c r="FUZ48" i="8"/>
  <c r="FUY48" i="8"/>
  <c r="FUX48" i="8"/>
  <c r="FUW48" i="8"/>
  <c r="FUV48" i="8"/>
  <c r="FUU48" i="8"/>
  <c r="FUT48" i="8"/>
  <c r="FUS48" i="8"/>
  <c r="FUR48" i="8"/>
  <c r="FUQ48" i="8"/>
  <c r="FUP48" i="8"/>
  <c r="FUO48" i="8"/>
  <c r="FUN48" i="8"/>
  <c r="FUM48" i="8"/>
  <c r="FUL48" i="8"/>
  <c r="FUK48" i="8"/>
  <c r="FUJ48" i="8"/>
  <c r="FUI48" i="8"/>
  <c r="FUH48" i="8"/>
  <c r="FUG48" i="8"/>
  <c r="FUF48" i="8"/>
  <c r="FUE48" i="8"/>
  <c r="FUD48" i="8"/>
  <c r="FUC48" i="8"/>
  <c r="FUB48" i="8"/>
  <c r="FUA48" i="8"/>
  <c r="FTZ48" i="8"/>
  <c r="FTY48" i="8"/>
  <c r="FTX48" i="8"/>
  <c r="FTW48" i="8"/>
  <c r="FTV48" i="8"/>
  <c r="FTU48" i="8"/>
  <c r="FTT48" i="8"/>
  <c r="FTS48" i="8"/>
  <c r="FTR48" i="8"/>
  <c r="FTQ48" i="8"/>
  <c r="FTP48" i="8"/>
  <c r="FTO48" i="8"/>
  <c r="FTN48" i="8"/>
  <c r="FTM48" i="8"/>
  <c r="FTL48" i="8"/>
  <c r="FTK48" i="8"/>
  <c r="FTJ48" i="8"/>
  <c r="FTI48" i="8"/>
  <c r="FTH48" i="8"/>
  <c r="FTG48" i="8"/>
  <c r="FTF48" i="8"/>
  <c r="FTE48" i="8"/>
  <c r="FTD48" i="8"/>
  <c r="FTC48" i="8"/>
  <c r="FTB48" i="8"/>
  <c r="FTA48" i="8"/>
  <c r="FSZ48" i="8"/>
  <c r="FSY48" i="8"/>
  <c r="FSX48" i="8"/>
  <c r="FSW48" i="8"/>
  <c r="FSV48" i="8"/>
  <c r="FSU48" i="8"/>
  <c r="FST48" i="8"/>
  <c r="FSS48" i="8"/>
  <c r="FSR48" i="8"/>
  <c r="FSQ48" i="8"/>
  <c r="FSP48" i="8"/>
  <c r="FSO48" i="8"/>
  <c r="FSN48" i="8"/>
  <c r="FSM48" i="8"/>
  <c r="FSL48" i="8"/>
  <c r="FSK48" i="8"/>
  <c r="FSJ48" i="8"/>
  <c r="FSI48" i="8"/>
  <c r="FSH48" i="8"/>
  <c r="FSG48" i="8"/>
  <c r="FSF48" i="8"/>
  <c r="FSE48" i="8"/>
  <c r="FSD48" i="8"/>
  <c r="FSC48" i="8"/>
  <c r="FSB48" i="8"/>
  <c r="FSA48" i="8"/>
  <c r="FRZ48" i="8"/>
  <c r="FRY48" i="8"/>
  <c r="FRX48" i="8"/>
  <c r="FRW48" i="8"/>
  <c r="FRV48" i="8"/>
  <c r="FRU48" i="8"/>
  <c r="FRT48" i="8"/>
  <c r="FRS48" i="8"/>
  <c r="FRR48" i="8"/>
  <c r="FRQ48" i="8"/>
  <c r="FRP48" i="8"/>
  <c r="FRO48" i="8"/>
  <c r="FRN48" i="8"/>
  <c r="FRM48" i="8"/>
  <c r="FRL48" i="8"/>
  <c r="FRK48" i="8"/>
  <c r="FRJ48" i="8"/>
  <c r="FRI48" i="8"/>
  <c r="FRH48" i="8"/>
  <c r="FRG48" i="8"/>
  <c r="FRF48" i="8"/>
  <c r="FRE48" i="8"/>
  <c r="FRD48" i="8"/>
  <c r="FRC48" i="8"/>
  <c r="FRB48" i="8"/>
  <c r="FRA48" i="8"/>
  <c r="FQZ48" i="8"/>
  <c r="FQY48" i="8"/>
  <c r="FQX48" i="8"/>
  <c r="FQW48" i="8"/>
  <c r="FQV48" i="8"/>
  <c r="FQU48" i="8"/>
  <c r="FQT48" i="8"/>
  <c r="FQS48" i="8"/>
  <c r="FQR48" i="8"/>
  <c r="FQQ48" i="8"/>
  <c r="FQP48" i="8"/>
  <c r="FQO48" i="8"/>
  <c r="FQN48" i="8"/>
  <c r="FQM48" i="8"/>
  <c r="FQL48" i="8"/>
  <c r="FQK48" i="8"/>
  <c r="FQJ48" i="8"/>
  <c r="FQI48" i="8"/>
  <c r="FQH48" i="8"/>
  <c r="FQG48" i="8"/>
  <c r="FQF48" i="8"/>
  <c r="FQE48" i="8"/>
  <c r="FQD48" i="8"/>
  <c r="FQC48" i="8"/>
  <c r="FQB48" i="8"/>
  <c r="FQA48" i="8"/>
  <c r="FPZ48" i="8"/>
  <c r="FPY48" i="8"/>
  <c r="FPX48" i="8"/>
  <c r="FPW48" i="8"/>
  <c r="FPV48" i="8"/>
  <c r="FPU48" i="8"/>
  <c r="FPT48" i="8"/>
  <c r="FPS48" i="8"/>
  <c r="FPR48" i="8"/>
  <c r="FPQ48" i="8"/>
  <c r="FPP48" i="8"/>
  <c r="FPO48" i="8"/>
  <c r="FPN48" i="8"/>
  <c r="FPM48" i="8"/>
  <c r="FPL48" i="8"/>
  <c r="FPK48" i="8"/>
  <c r="FPJ48" i="8"/>
  <c r="FPI48" i="8"/>
  <c r="FPH48" i="8"/>
  <c r="FPG48" i="8"/>
  <c r="FPF48" i="8"/>
  <c r="FPE48" i="8"/>
  <c r="FPD48" i="8"/>
  <c r="FPC48" i="8"/>
  <c r="FPB48" i="8"/>
  <c r="FPA48" i="8"/>
  <c r="FOZ48" i="8"/>
  <c r="FOY48" i="8"/>
  <c r="FOX48" i="8"/>
  <c r="FOW48" i="8"/>
  <c r="FOV48" i="8"/>
  <c r="FOU48" i="8"/>
  <c r="FOT48" i="8"/>
  <c r="FOS48" i="8"/>
  <c r="FOR48" i="8"/>
  <c r="FOQ48" i="8"/>
  <c r="FOP48" i="8"/>
  <c r="FOO48" i="8"/>
  <c r="FON48" i="8"/>
  <c r="FOM48" i="8"/>
  <c r="FOL48" i="8"/>
  <c r="FOK48" i="8"/>
  <c r="FOJ48" i="8"/>
  <c r="FOI48" i="8"/>
  <c r="FOH48" i="8"/>
  <c r="FOG48" i="8"/>
  <c r="FOF48" i="8"/>
  <c r="FOE48" i="8"/>
  <c r="FOD48" i="8"/>
  <c r="FOC48" i="8"/>
  <c r="FOB48" i="8"/>
  <c r="FOA48" i="8"/>
  <c r="FNZ48" i="8"/>
  <c r="FNY48" i="8"/>
  <c r="FNX48" i="8"/>
  <c r="FNW48" i="8"/>
  <c r="FNV48" i="8"/>
  <c r="FNU48" i="8"/>
  <c r="FNT48" i="8"/>
  <c r="FNS48" i="8"/>
  <c r="FNR48" i="8"/>
  <c r="FNQ48" i="8"/>
  <c r="FNP48" i="8"/>
  <c r="FNO48" i="8"/>
  <c r="FNN48" i="8"/>
  <c r="FNM48" i="8"/>
  <c r="FNL48" i="8"/>
  <c r="FNK48" i="8"/>
  <c r="FNJ48" i="8"/>
  <c r="FNI48" i="8"/>
  <c r="FNH48" i="8"/>
  <c r="FNG48" i="8"/>
  <c r="FNF48" i="8"/>
  <c r="FNE48" i="8"/>
  <c r="FND48" i="8"/>
  <c r="FNC48" i="8"/>
  <c r="FNB48" i="8"/>
  <c r="FNA48" i="8"/>
  <c r="FMZ48" i="8"/>
  <c r="FMY48" i="8"/>
  <c r="FMX48" i="8"/>
  <c r="FMW48" i="8"/>
  <c r="FMV48" i="8"/>
  <c r="FMU48" i="8"/>
  <c r="FMT48" i="8"/>
  <c r="FMS48" i="8"/>
  <c r="FMR48" i="8"/>
  <c r="FMQ48" i="8"/>
  <c r="FMP48" i="8"/>
  <c r="FMO48" i="8"/>
  <c r="FMN48" i="8"/>
  <c r="FMM48" i="8"/>
  <c r="FML48" i="8"/>
  <c r="FMK48" i="8"/>
  <c r="FMJ48" i="8"/>
  <c r="FMI48" i="8"/>
  <c r="FMH48" i="8"/>
  <c r="FMG48" i="8"/>
  <c r="FMF48" i="8"/>
  <c r="FME48" i="8"/>
  <c r="FMD48" i="8"/>
  <c r="FMC48" i="8"/>
  <c r="FMB48" i="8"/>
  <c r="FMA48" i="8"/>
  <c r="FLZ48" i="8"/>
  <c r="FLY48" i="8"/>
  <c r="FLX48" i="8"/>
  <c r="FLW48" i="8"/>
  <c r="FLV48" i="8"/>
  <c r="FLU48" i="8"/>
  <c r="FLT48" i="8"/>
  <c r="FLS48" i="8"/>
  <c r="FLR48" i="8"/>
  <c r="FLQ48" i="8"/>
  <c r="FLP48" i="8"/>
  <c r="FLO48" i="8"/>
  <c r="FLN48" i="8"/>
  <c r="FLM48" i="8"/>
  <c r="FLL48" i="8"/>
  <c r="FLK48" i="8"/>
  <c r="FLJ48" i="8"/>
  <c r="FLI48" i="8"/>
  <c r="FLH48" i="8"/>
  <c r="FLG48" i="8"/>
  <c r="FLF48" i="8"/>
  <c r="FLE48" i="8"/>
  <c r="FLD48" i="8"/>
  <c r="FLC48" i="8"/>
  <c r="FLB48" i="8"/>
  <c r="FLA48" i="8"/>
  <c r="FKZ48" i="8"/>
  <c r="FKY48" i="8"/>
  <c r="FKX48" i="8"/>
  <c r="FKW48" i="8"/>
  <c r="FKV48" i="8"/>
  <c r="FKU48" i="8"/>
  <c r="FKT48" i="8"/>
  <c r="FKS48" i="8"/>
  <c r="FKR48" i="8"/>
  <c r="FKQ48" i="8"/>
  <c r="FKP48" i="8"/>
  <c r="FKO48" i="8"/>
  <c r="FKN48" i="8"/>
  <c r="FKM48" i="8"/>
  <c r="FKL48" i="8"/>
  <c r="FKK48" i="8"/>
  <c r="FKJ48" i="8"/>
  <c r="FKI48" i="8"/>
  <c r="FKH48" i="8"/>
  <c r="FKG48" i="8"/>
  <c r="FKF48" i="8"/>
  <c r="FKE48" i="8"/>
  <c r="FKD48" i="8"/>
  <c r="FKC48" i="8"/>
  <c r="FKB48" i="8"/>
  <c r="FKA48" i="8"/>
  <c r="FJZ48" i="8"/>
  <c r="FJY48" i="8"/>
  <c r="FJX48" i="8"/>
  <c r="FJW48" i="8"/>
  <c r="FJV48" i="8"/>
  <c r="FJU48" i="8"/>
  <c r="FJT48" i="8"/>
  <c r="FJS48" i="8"/>
  <c r="FJR48" i="8"/>
  <c r="FJQ48" i="8"/>
  <c r="FJP48" i="8"/>
  <c r="FJO48" i="8"/>
  <c r="FJN48" i="8"/>
  <c r="FJM48" i="8"/>
  <c r="FJL48" i="8"/>
  <c r="FJK48" i="8"/>
  <c r="FJJ48" i="8"/>
  <c r="FJI48" i="8"/>
  <c r="FJH48" i="8"/>
  <c r="FJG48" i="8"/>
  <c r="FJF48" i="8"/>
  <c r="FJE48" i="8"/>
  <c r="FJD48" i="8"/>
  <c r="FJC48" i="8"/>
  <c r="FJB48" i="8"/>
  <c r="FJA48" i="8"/>
  <c r="FIZ48" i="8"/>
  <c r="FIY48" i="8"/>
  <c r="FIX48" i="8"/>
  <c r="FIW48" i="8"/>
  <c r="FIV48" i="8"/>
  <c r="FIU48" i="8"/>
  <c r="FIT48" i="8"/>
  <c r="FIS48" i="8"/>
  <c r="FIR48" i="8"/>
  <c r="FIQ48" i="8"/>
  <c r="FIP48" i="8"/>
  <c r="FIO48" i="8"/>
  <c r="FIN48" i="8"/>
  <c r="FIM48" i="8"/>
  <c r="FIL48" i="8"/>
  <c r="FIK48" i="8"/>
  <c r="FIJ48" i="8"/>
  <c r="FII48" i="8"/>
  <c r="FIH48" i="8"/>
  <c r="FIG48" i="8"/>
  <c r="FIF48" i="8"/>
  <c r="FIE48" i="8"/>
  <c r="FID48" i="8"/>
  <c r="FIC48" i="8"/>
  <c r="FIB48" i="8"/>
  <c r="FIA48" i="8"/>
  <c r="FHZ48" i="8"/>
  <c r="FHY48" i="8"/>
  <c r="FHX48" i="8"/>
  <c r="FHW48" i="8"/>
  <c r="FHV48" i="8"/>
  <c r="FHU48" i="8"/>
  <c r="FHT48" i="8"/>
  <c r="FHS48" i="8"/>
  <c r="FHR48" i="8"/>
  <c r="FHQ48" i="8"/>
  <c r="FHP48" i="8"/>
  <c r="FHO48" i="8"/>
  <c r="FHN48" i="8"/>
  <c r="FHM48" i="8"/>
  <c r="FHL48" i="8"/>
  <c r="FHK48" i="8"/>
  <c r="FHJ48" i="8"/>
  <c r="FHI48" i="8"/>
  <c r="FHH48" i="8"/>
  <c r="FHG48" i="8"/>
  <c r="FHF48" i="8"/>
  <c r="FHE48" i="8"/>
  <c r="FHD48" i="8"/>
  <c r="FHC48" i="8"/>
  <c r="FHB48" i="8"/>
  <c r="FHA48" i="8"/>
  <c r="FGZ48" i="8"/>
  <c r="FGY48" i="8"/>
  <c r="FGX48" i="8"/>
  <c r="FGW48" i="8"/>
  <c r="FGV48" i="8"/>
  <c r="FGU48" i="8"/>
  <c r="FGT48" i="8"/>
  <c r="FGS48" i="8"/>
  <c r="FGR48" i="8"/>
  <c r="FGQ48" i="8"/>
  <c r="FGP48" i="8"/>
  <c r="FGO48" i="8"/>
  <c r="FGN48" i="8"/>
  <c r="FGM48" i="8"/>
  <c r="FGL48" i="8"/>
  <c r="FGK48" i="8"/>
  <c r="FGJ48" i="8"/>
  <c r="FGI48" i="8"/>
  <c r="FGH48" i="8"/>
  <c r="FGG48" i="8"/>
  <c r="FGF48" i="8"/>
  <c r="FGE48" i="8"/>
  <c r="FGD48" i="8"/>
  <c r="FGC48" i="8"/>
  <c r="FGB48" i="8"/>
  <c r="FGA48" i="8"/>
  <c r="FFZ48" i="8"/>
  <c r="FFY48" i="8"/>
  <c r="FFX48" i="8"/>
  <c r="FFW48" i="8"/>
  <c r="FFV48" i="8"/>
  <c r="FFU48" i="8"/>
  <c r="FFT48" i="8"/>
  <c r="FFS48" i="8"/>
  <c r="FFR48" i="8"/>
  <c r="FFQ48" i="8"/>
  <c r="FFP48" i="8"/>
  <c r="FFO48" i="8"/>
  <c r="FFN48" i="8"/>
  <c r="FFM48" i="8"/>
  <c r="FFL48" i="8"/>
  <c r="FFK48" i="8"/>
  <c r="FFJ48" i="8"/>
  <c r="FFI48" i="8"/>
  <c r="FFH48" i="8"/>
  <c r="FFG48" i="8"/>
  <c r="FFF48" i="8"/>
  <c r="FFE48" i="8"/>
  <c r="FFD48" i="8"/>
  <c r="FFC48" i="8"/>
  <c r="FFB48" i="8"/>
  <c r="FFA48" i="8"/>
  <c r="FEZ48" i="8"/>
  <c r="FEY48" i="8"/>
  <c r="FEX48" i="8"/>
  <c r="FEW48" i="8"/>
  <c r="FEV48" i="8"/>
  <c r="FEU48" i="8"/>
  <c r="FET48" i="8"/>
  <c r="FES48" i="8"/>
  <c r="FER48" i="8"/>
  <c r="FEQ48" i="8"/>
  <c r="FEP48" i="8"/>
  <c r="FEO48" i="8"/>
  <c r="FEN48" i="8"/>
  <c r="FEM48" i="8"/>
  <c r="FEL48" i="8"/>
  <c r="FEK48" i="8"/>
  <c r="FEJ48" i="8"/>
  <c r="FEI48" i="8"/>
  <c r="FEH48" i="8"/>
  <c r="FEG48" i="8"/>
  <c r="FEF48" i="8"/>
  <c r="FEE48" i="8"/>
  <c r="FED48" i="8"/>
  <c r="FEC48" i="8"/>
  <c r="FEB48" i="8"/>
  <c r="FEA48" i="8"/>
  <c r="FDZ48" i="8"/>
  <c r="FDY48" i="8"/>
  <c r="FDX48" i="8"/>
  <c r="FDW48" i="8"/>
  <c r="FDV48" i="8"/>
  <c r="FDU48" i="8"/>
  <c r="FDT48" i="8"/>
  <c r="FDS48" i="8"/>
  <c r="FDR48" i="8"/>
  <c r="FDQ48" i="8"/>
  <c r="FDP48" i="8"/>
  <c r="FDO48" i="8"/>
  <c r="FDN48" i="8"/>
  <c r="FDM48" i="8"/>
  <c r="FDL48" i="8"/>
  <c r="FDK48" i="8"/>
  <c r="FDJ48" i="8"/>
  <c r="FDI48" i="8"/>
  <c r="FDH48" i="8"/>
  <c r="FDG48" i="8"/>
  <c r="FDF48" i="8"/>
  <c r="FDE48" i="8"/>
  <c r="FDD48" i="8"/>
  <c r="FDC48" i="8"/>
  <c r="FDB48" i="8"/>
  <c r="FDA48" i="8"/>
  <c r="FCZ48" i="8"/>
  <c r="FCY48" i="8"/>
  <c r="FCX48" i="8"/>
  <c r="FCW48" i="8"/>
  <c r="FCV48" i="8"/>
  <c r="FCU48" i="8"/>
  <c r="FCT48" i="8"/>
  <c r="FCS48" i="8"/>
  <c r="FCR48" i="8"/>
  <c r="FCQ48" i="8"/>
  <c r="FCP48" i="8"/>
  <c r="FCO48" i="8"/>
  <c r="FCN48" i="8"/>
  <c r="FCM48" i="8"/>
  <c r="FCL48" i="8"/>
  <c r="FCK48" i="8"/>
  <c r="FCJ48" i="8"/>
  <c r="FCI48" i="8"/>
  <c r="FCH48" i="8"/>
  <c r="FCG48" i="8"/>
  <c r="FCF48" i="8"/>
  <c r="FCE48" i="8"/>
  <c r="FCD48" i="8"/>
  <c r="FCC48" i="8"/>
  <c r="FCB48" i="8"/>
  <c r="FCA48" i="8"/>
  <c r="FBZ48" i="8"/>
  <c r="FBY48" i="8"/>
  <c r="FBX48" i="8"/>
  <c r="FBW48" i="8"/>
  <c r="FBV48" i="8"/>
  <c r="FBU48" i="8"/>
  <c r="FBT48" i="8"/>
  <c r="FBS48" i="8"/>
  <c r="FBR48" i="8"/>
  <c r="FBQ48" i="8"/>
  <c r="FBP48" i="8"/>
  <c r="FBO48" i="8"/>
  <c r="FBN48" i="8"/>
  <c r="FBM48" i="8"/>
  <c r="FBL48" i="8"/>
  <c r="FBK48" i="8"/>
  <c r="FBJ48" i="8"/>
  <c r="FBI48" i="8"/>
  <c r="FBH48" i="8"/>
  <c r="FBG48" i="8"/>
  <c r="FBF48" i="8"/>
  <c r="FBE48" i="8"/>
  <c r="FBD48" i="8"/>
  <c r="FBC48" i="8"/>
  <c r="FBB48" i="8"/>
  <c r="FBA48" i="8"/>
  <c r="FAZ48" i="8"/>
  <c r="FAY48" i="8"/>
  <c r="FAX48" i="8"/>
  <c r="FAW48" i="8"/>
  <c r="FAV48" i="8"/>
  <c r="FAU48" i="8"/>
  <c r="FAT48" i="8"/>
  <c r="FAS48" i="8"/>
  <c r="FAR48" i="8"/>
  <c r="FAQ48" i="8"/>
  <c r="FAP48" i="8"/>
  <c r="FAO48" i="8"/>
  <c r="FAN48" i="8"/>
  <c r="FAM48" i="8"/>
  <c r="FAL48" i="8"/>
  <c r="FAK48" i="8"/>
  <c r="FAJ48" i="8"/>
  <c r="FAI48" i="8"/>
  <c r="FAH48" i="8"/>
  <c r="FAG48" i="8"/>
  <c r="FAF48" i="8"/>
  <c r="FAE48" i="8"/>
  <c r="FAD48" i="8"/>
  <c r="FAC48" i="8"/>
  <c r="FAB48" i="8"/>
  <c r="FAA48" i="8"/>
  <c r="EZZ48" i="8"/>
  <c r="EZY48" i="8"/>
  <c r="EZX48" i="8"/>
  <c r="EZW48" i="8"/>
  <c r="EZV48" i="8"/>
  <c r="EZU48" i="8"/>
  <c r="EZT48" i="8"/>
  <c r="EZS48" i="8"/>
  <c r="EZR48" i="8"/>
  <c r="EZQ48" i="8"/>
  <c r="EZP48" i="8"/>
  <c r="EZO48" i="8"/>
  <c r="EZN48" i="8"/>
  <c r="EZM48" i="8"/>
  <c r="EZL48" i="8"/>
  <c r="EZK48" i="8"/>
  <c r="EZJ48" i="8"/>
  <c r="EZI48" i="8"/>
  <c r="EZH48" i="8"/>
  <c r="EZG48" i="8"/>
  <c r="EZF48" i="8"/>
  <c r="EZE48" i="8"/>
  <c r="EZD48" i="8"/>
  <c r="EZC48" i="8"/>
  <c r="EZB48" i="8"/>
  <c r="EZA48" i="8"/>
  <c r="EYZ48" i="8"/>
  <c r="EYY48" i="8"/>
  <c r="EYX48" i="8"/>
  <c r="EYW48" i="8"/>
  <c r="EYV48" i="8"/>
  <c r="EYU48" i="8"/>
  <c r="EYT48" i="8"/>
  <c r="EYS48" i="8"/>
  <c r="EYR48" i="8"/>
  <c r="EYQ48" i="8"/>
  <c r="EYP48" i="8"/>
  <c r="EYO48" i="8"/>
  <c r="EYN48" i="8"/>
  <c r="EYM48" i="8"/>
  <c r="EYL48" i="8"/>
  <c r="EYK48" i="8"/>
  <c r="EYJ48" i="8"/>
  <c r="EYI48" i="8"/>
  <c r="EYH48" i="8"/>
  <c r="EYG48" i="8"/>
  <c r="EYF48" i="8"/>
  <c r="EYE48" i="8"/>
  <c r="EYD48" i="8"/>
  <c r="EYC48" i="8"/>
  <c r="EYB48" i="8"/>
  <c r="EYA48" i="8"/>
  <c r="EXZ48" i="8"/>
  <c r="EXY48" i="8"/>
  <c r="EXX48" i="8"/>
  <c r="EXW48" i="8"/>
  <c r="EXV48" i="8"/>
  <c r="EXU48" i="8"/>
  <c r="EXT48" i="8"/>
  <c r="EXS48" i="8"/>
  <c r="EXR48" i="8"/>
  <c r="EXQ48" i="8"/>
  <c r="EXP48" i="8"/>
  <c r="EXO48" i="8"/>
  <c r="EXN48" i="8"/>
  <c r="EXM48" i="8"/>
  <c r="EXL48" i="8"/>
  <c r="EXK48" i="8"/>
  <c r="EXJ48" i="8"/>
  <c r="EXI48" i="8"/>
  <c r="EXH48" i="8"/>
  <c r="EXG48" i="8"/>
  <c r="EXF48" i="8"/>
  <c r="EXE48" i="8"/>
  <c r="EXD48" i="8"/>
  <c r="EXC48" i="8"/>
  <c r="EXB48" i="8"/>
  <c r="EXA48" i="8"/>
  <c r="EWZ48" i="8"/>
  <c r="EWY48" i="8"/>
  <c r="EWX48" i="8"/>
  <c r="EWW48" i="8"/>
  <c r="EWV48" i="8"/>
  <c r="EWU48" i="8"/>
  <c r="EWT48" i="8"/>
  <c r="EWS48" i="8"/>
  <c r="EWR48" i="8"/>
  <c r="EWQ48" i="8"/>
  <c r="EWP48" i="8"/>
  <c r="EWO48" i="8"/>
  <c r="EWN48" i="8"/>
  <c r="EWM48" i="8"/>
  <c r="EWL48" i="8"/>
  <c r="EWK48" i="8"/>
  <c r="EWJ48" i="8"/>
  <c r="EWI48" i="8"/>
  <c r="EWH48" i="8"/>
  <c r="EWG48" i="8"/>
  <c r="EWF48" i="8"/>
  <c r="EWE48" i="8"/>
  <c r="EWD48" i="8"/>
  <c r="EWC48" i="8"/>
  <c r="EWB48" i="8"/>
  <c r="EWA48" i="8"/>
  <c r="EVZ48" i="8"/>
  <c r="EVY48" i="8"/>
  <c r="EVX48" i="8"/>
  <c r="EVW48" i="8"/>
  <c r="EVV48" i="8"/>
  <c r="EVU48" i="8"/>
  <c r="EVT48" i="8"/>
  <c r="EVS48" i="8"/>
  <c r="EVR48" i="8"/>
  <c r="EVQ48" i="8"/>
  <c r="EVP48" i="8"/>
  <c r="EVO48" i="8"/>
  <c r="EVN48" i="8"/>
  <c r="EVM48" i="8"/>
  <c r="EVL48" i="8"/>
  <c r="EVK48" i="8"/>
  <c r="EVJ48" i="8"/>
  <c r="EVI48" i="8"/>
  <c r="EVH48" i="8"/>
  <c r="EVG48" i="8"/>
  <c r="EVF48" i="8"/>
  <c r="EVE48" i="8"/>
  <c r="EVD48" i="8"/>
  <c r="EVC48" i="8"/>
  <c r="EVB48" i="8"/>
  <c r="EVA48" i="8"/>
  <c r="EUZ48" i="8"/>
  <c r="EUY48" i="8"/>
  <c r="EUX48" i="8"/>
  <c r="EUW48" i="8"/>
  <c r="EUV48" i="8"/>
  <c r="EUU48" i="8"/>
  <c r="EUT48" i="8"/>
  <c r="EUS48" i="8"/>
  <c r="EUR48" i="8"/>
  <c r="EUQ48" i="8"/>
  <c r="EUP48" i="8"/>
  <c r="EUO48" i="8"/>
  <c r="EUN48" i="8"/>
  <c r="EUM48" i="8"/>
  <c r="EUL48" i="8"/>
  <c r="EUK48" i="8"/>
  <c r="EUJ48" i="8"/>
  <c r="EUI48" i="8"/>
  <c r="EUH48" i="8"/>
  <c r="EUG48" i="8"/>
  <c r="EUF48" i="8"/>
  <c r="EUE48" i="8"/>
  <c r="EUD48" i="8"/>
  <c r="EUC48" i="8"/>
  <c r="EUB48" i="8"/>
  <c r="EUA48" i="8"/>
  <c r="ETZ48" i="8"/>
  <c r="ETY48" i="8"/>
  <c r="ETX48" i="8"/>
  <c r="ETW48" i="8"/>
  <c r="ETV48" i="8"/>
  <c r="ETU48" i="8"/>
  <c r="ETT48" i="8"/>
  <c r="ETS48" i="8"/>
  <c r="ETR48" i="8"/>
  <c r="ETQ48" i="8"/>
  <c r="ETP48" i="8"/>
  <c r="ETO48" i="8"/>
  <c r="ETN48" i="8"/>
  <c r="ETM48" i="8"/>
  <c r="ETL48" i="8"/>
  <c r="ETK48" i="8"/>
  <c r="ETJ48" i="8"/>
  <c r="ETI48" i="8"/>
  <c r="ETH48" i="8"/>
  <c r="ETG48" i="8"/>
  <c r="ETF48" i="8"/>
  <c r="ETE48" i="8"/>
  <c r="ETD48" i="8"/>
  <c r="ETC48" i="8"/>
  <c r="ETB48" i="8"/>
  <c r="ETA48" i="8"/>
  <c r="ESZ48" i="8"/>
  <c r="ESY48" i="8"/>
  <c r="ESX48" i="8"/>
  <c r="ESW48" i="8"/>
  <c r="ESV48" i="8"/>
  <c r="ESU48" i="8"/>
  <c r="EST48" i="8"/>
  <c r="ESS48" i="8"/>
  <c r="ESR48" i="8"/>
  <c r="ESQ48" i="8"/>
  <c r="ESP48" i="8"/>
  <c r="ESO48" i="8"/>
  <c r="ESN48" i="8"/>
  <c r="ESM48" i="8"/>
  <c r="ESL48" i="8"/>
  <c r="ESK48" i="8"/>
  <c r="ESJ48" i="8"/>
  <c r="ESI48" i="8"/>
  <c r="ESH48" i="8"/>
  <c r="ESG48" i="8"/>
  <c r="ESF48" i="8"/>
  <c r="ESE48" i="8"/>
  <c r="ESD48" i="8"/>
  <c r="ESC48" i="8"/>
  <c r="ESB48" i="8"/>
  <c r="ESA48" i="8"/>
  <c r="ERZ48" i="8"/>
  <c r="ERY48" i="8"/>
  <c r="ERX48" i="8"/>
  <c r="ERW48" i="8"/>
  <c r="ERV48" i="8"/>
  <c r="ERU48" i="8"/>
  <c r="ERT48" i="8"/>
  <c r="ERS48" i="8"/>
  <c r="ERR48" i="8"/>
  <c r="ERQ48" i="8"/>
  <c r="ERP48" i="8"/>
  <c r="ERO48" i="8"/>
  <c r="ERN48" i="8"/>
  <c r="ERM48" i="8"/>
  <c r="ERL48" i="8"/>
  <c r="ERK48" i="8"/>
  <c r="ERJ48" i="8"/>
  <c r="ERI48" i="8"/>
  <c r="ERH48" i="8"/>
  <c r="ERG48" i="8"/>
  <c r="ERF48" i="8"/>
  <c r="ERE48" i="8"/>
  <c r="ERD48" i="8"/>
  <c r="ERC48" i="8"/>
  <c r="ERB48" i="8"/>
  <c r="ERA48" i="8"/>
  <c r="EQZ48" i="8"/>
  <c r="EQY48" i="8"/>
  <c r="EQX48" i="8"/>
  <c r="EQW48" i="8"/>
  <c r="EQV48" i="8"/>
  <c r="EQU48" i="8"/>
  <c r="EQT48" i="8"/>
  <c r="EQS48" i="8"/>
  <c r="EQR48" i="8"/>
  <c r="EQQ48" i="8"/>
  <c r="EQP48" i="8"/>
  <c r="EQO48" i="8"/>
  <c r="EQN48" i="8"/>
  <c r="EQM48" i="8"/>
  <c r="EQL48" i="8"/>
  <c r="EQK48" i="8"/>
  <c r="EQJ48" i="8"/>
  <c r="EQI48" i="8"/>
  <c r="EQH48" i="8"/>
  <c r="EQG48" i="8"/>
  <c r="EQF48" i="8"/>
  <c r="EQE48" i="8"/>
  <c r="EQD48" i="8"/>
  <c r="EQC48" i="8"/>
  <c r="EQB48" i="8"/>
  <c r="EQA48" i="8"/>
  <c r="EPZ48" i="8"/>
  <c r="EPY48" i="8"/>
  <c r="EPX48" i="8"/>
  <c r="EPW48" i="8"/>
  <c r="EPV48" i="8"/>
  <c r="EPU48" i="8"/>
  <c r="EPT48" i="8"/>
  <c r="EPS48" i="8"/>
  <c r="EPR48" i="8"/>
  <c r="EPQ48" i="8"/>
  <c r="EPP48" i="8"/>
  <c r="EPO48" i="8"/>
  <c r="EPN48" i="8"/>
  <c r="EPM48" i="8"/>
  <c r="EPL48" i="8"/>
  <c r="EPK48" i="8"/>
  <c r="EPJ48" i="8"/>
  <c r="EPI48" i="8"/>
  <c r="EPH48" i="8"/>
  <c r="EPG48" i="8"/>
  <c r="EPF48" i="8"/>
  <c r="EPE48" i="8"/>
  <c r="EPD48" i="8"/>
  <c r="EPC48" i="8"/>
  <c r="EPB48" i="8"/>
  <c r="EPA48" i="8"/>
  <c r="EOZ48" i="8"/>
  <c r="EOY48" i="8"/>
  <c r="EOX48" i="8"/>
  <c r="EOW48" i="8"/>
  <c r="EOV48" i="8"/>
  <c r="EOU48" i="8"/>
  <c r="EOT48" i="8"/>
  <c r="EOS48" i="8"/>
  <c r="EOR48" i="8"/>
  <c r="EOQ48" i="8"/>
  <c r="EOP48" i="8"/>
  <c r="EOO48" i="8"/>
  <c r="EON48" i="8"/>
  <c r="EOM48" i="8"/>
  <c r="EOL48" i="8"/>
  <c r="EOK48" i="8"/>
  <c r="EOJ48" i="8"/>
  <c r="EOI48" i="8"/>
  <c r="EOH48" i="8"/>
  <c r="EOG48" i="8"/>
  <c r="EOF48" i="8"/>
  <c r="EOE48" i="8"/>
  <c r="EOD48" i="8"/>
  <c r="EOC48" i="8"/>
  <c r="EOB48" i="8"/>
  <c r="EOA48" i="8"/>
  <c r="ENZ48" i="8"/>
  <c r="ENY48" i="8"/>
  <c r="ENX48" i="8"/>
  <c r="ENW48" i="8"/>
  <c r="ENV48" i="8"/>
  <c r="ENU48" i="8"/>
  <c r="ENT48" i="8"/>
  <c r="ENS48" i="8"/>
  <c r="ENR48" i="8"/>
  <c r="ENQ48" i="8"/>
  <c r="ENP48" i="8"/>
  <c r="ENO48" i="8"/>
  <c r="ENN48" i="8"/>
  <c r="ENM48" i="8"/>
  <c r="ENL48" i="8"/>
  <c r="ENK48" i="8"/>
  <c r="ENJ48" i="8"/>
  <c r="ENI48" i="8"/>
  <c r="ENH48" i="8"/>
  <c r="ENG48" i="8"/>
  <c r="ENF48" i="8"/>
  <c r="ENE48" i="8"/>
  <c r="END48" i="8"/>
  <c r="ENC48" i="8"/>
  <c r="ENB48" i="8"/>
  <c r="ENA48" i="8"/>
  <c r="EMZ48" i="8"/>
  <c r="EMY48" i="8"/>
  <c r="EMX48" i="8"/>
  <c r="EMW48" i="8"/>
  <c r="EMV48" i="8"/>
  <c r="EMU48" i="8"/>
  <c r="EMT48" i="8"/>
  <c r="EMS48" i="8"/>
  <c r="EMR48" i="8"/>
  <c r="EMQ48" i="8"/>
  <c r="EMP48" i="8"/>
  <c r="EMO48" i="8"/>
  <c r="EMN48" i="8"/>
  <c r="EMM48" i="8"/>
  <c r="EML48" i="8"/>
  <c r="EMK48" i="8"/>
  <c r="EMJ48" i="8"/>
  <c r="EMI48" i="8"/>
  <c r="EMH48" i="8"/>
  <c r="EMG48" i="8"/>
  <c r="EMF48" i="8"/>
  <c r="EME48" i="8"/>
  <c r="EMD48" i="8"/>
  <c r="EMC48" i="8"/>
  <c r="EMB48" i="8"/>
  <c r="EMA48" i="8"/>
  <c r="ELZ48" i="8"/>
  <c r="ELY48" i="8"/>
  <c r="ELX48" i="8"/>
  <c r="ELW48" i="8"/>
  <c r="ELV48" i="8"/>
  <c r="ELU48" i="8"/>
  <c r="ELT48" i="8"/>
  <c r="ELS48" i="8"/>
  <c r="ELR48" i="8"/>
  <c r="ELQ48" i="8"/>
  <c r="ELP48" i="8"/>
  <c r="ELO48" i="8"/>
  <c r="ELN48" i="8"/>
  <c r="ELM48" i="8"/>
  <c r="ELL48" i="8"/>
  <c r="ELK48" i="8"/>
  <c r="ELJ48" i="8"/>
  <c r="ELI48" i="8"/>
  <c r="ELH48" i="8"/>
  <c r="ELG48" i="8"/>
  <c r="ELF48" i="8"/>
  <c r="ELE48" i="8"/>
  <c r="ELD48" i="8"/>
  <c r="ELC48" i="8"/>
  <c r="ELB48" i="8"/>
  <c r="ELA48" i="8"/>
  <c r="EKZ48" i="8"/>
  <c r="EKY48" i="8"/>
  <c r="EKX48" i="8"/>
  <c r="EKW48" i="8"/>
  <c r="EKV48" i="8"/>
  <c r="EKU48" i="8"/>
  <c r="EKT48" i="8"/>
  <c r="EKS48" i="8"/>
  <c r="EKR48" i="8"/>
  <c r="EKQ48" i="8"/>
  <c r="EKP48" i="8"/>
  <c r="EKO48" i="8"/>
  <c r="EKN48" i="8"/>
  <c r="EKM48" i="8"/>
  <c r="EKL48" i="8"/>
  <c r="EKK48" i="8"/>
  <c r="EKJ48" i="8"/>
  <c r="EKI48" i="8"/>
  <c r="EKH48" i="8"/>
  <c r="EKG48" i="8"/>
  <c r="EKF48" i="8"/>
  <c r="EKE48" i="8"/>
  <c r="EKD48" i="8"/>
  <c r="EKC48" i="8"/>
  <c r="EKB48" i="8"/>
  <c r="EKA48" i="8"/>
  <c r="EJZ48" i="8"/>
  <c r="EJY48" i="8"/>
  <c r="EJX48" i="8"/>
  <c r="EJW48" i="8"/>
  <c r="EJV48" i="8"/>
  <c r="EJU48" i="8"/>
  <c r="EJT48" i="8"/>
  <c r="EJS48" i="8"/>
  <c r="EJR48" i="8"/>
  <c r="EJQ48" i="8"/>
  <c r="EJP48" i="8"/>
  <c r="EJO48" i="8"/>
  <c r="EJN48" i="8"/>
  <c r="EJM48" i="8"/>
  <c r="EJL48" i="8"/>
  <c r="EJK48" i="8"/>
  <c r="EJJ48" i="8"/>
  <c r="EJI48" i="8"/>
  <c r="EJH48" i="8"/>
  <c r="EJG48" i="8"/>
  <c r="EJF48" i="8"/>
  <c r="EJE48" i="8"/>
  <c r="EJD48" i="8"/>
  <c r="EJC48" i="8"/>
  <c r="EJB48" i="8"/>
  <c r="EJA48" i="8"/>
  <c r="EIZ48" i="8"/>
  <c r="EIY48" i="8"/>
  <c r="EIX48" i="8"/>
  <c r="EIW48" i="8"/>
  <c r="EIV48" i="8"/>
  <c r="EIU48" i="8"/>
  <c r="EIT48" i="8"/>
  <c r="EIS48" i="8"/>
  <c r="EIR48" i="8"/>
  <c r="EIQ48" i="8"/>
  <c r="EIP48" i="8"/>
  <c r="EIO48" i="8"/>
  <c r="EIN48" i="8"/>
  <c r="EIM48" i="8"/>
  <c r="EIL48" i="8"/>
  <c r="EIK48" i="8"/>
  <c r="EIJ48" i="8"/>
  <c r="EII48" i="8"/>
  <c r="EIH48" i="8"/>
  <c r="EIG48" i="8"/>
  <c r="EIF48" i="8"/>
  <c r="EIE48" i="8"/>
  <c r="EID48" i="8"/>
  <c r="EIC48" i="8"/>
  <c r="EIB48" i="8"/>
  <c r="EIA48" i="8"/>
  <c r="EHZ48" i="8"/>
  <c r="EHY48" i="8"/>
  <c r="EHX48" i="8"/>
  <c r="EHW48" i="8"/>
  <c r="EHV48" i="8"/>
  <c r="EHU48" i="8"/>
  <c r="EHT48" i="8"/>
  <c r="EHS48" i="8"/>
  <c r="EHR48" i="8"/>
  <c r="EHQ48" i="8"/>
  <c r="EHP48" i="8"/>
  <c r="EHO48" i="8"/>
  <c r="EHN48" i="8"/>
  <c r="EHM48" i="8"/>
  <c r="EHL48" i="8"/>
  <c r="EHK48" i="8"/>
  <c r="EHJ48" i="8"/>
  <c r="EHI48" i="8"/>
  <c r="EHH48" i="8"/>
  <c r="EHG48" i="8"/>
  <c r="EHF48" i="8"/>
  <c r="EHE48" i="8"/>
  <c r="EHD48" i="8"/>
  <c r="EHC48" i="8"/>
  <c r="EHB48" i="8"/>
  <c r="EHA48" i="8"/>
  <c r="EGZ48" i="8"/>
  <c r="EGY48" i="8"/>
  <c r="EGX48" i="8"/>
  <c r="EGW48" i="8"/>
  <c r="EGV48" i="8"/>
  <c r="EGU48" i="8"/>
  <c r="EGT48" i="8"/>
  <c r="EGS48" i="8"/>
  <c r="EGR48" i="8"/>
  <c r="EGQ48" i="8"/>
  <c r="EGP48" i="8"/>
  <c r="EGO48" i="8"/>
  <c r="EGN48" i="8"/>
  <c r="EGM48" i="8"/>
  <c r="EGL48" i="8"/>
  <c r="EGK48" i="8"/>
  <c r="EGJ48" i="8"/>
  <c r="EGI48" i="8"/>
  <c r="EGH48" i="8"/>
  <c r="EGG48" i="8"/>
  <c r="EGF48" i="8"/>
  <c r="EGE48" i="8"/>
  <c r="EGD48" i="8"/>
  <c r="EGC48" i="8"/>
  <c r="EGB48" i="8"/>
  <c r="EGA48" i="8"/>
  <c r="EFZ48" i="8"/>
  <c r="EFY48" i="8"/>
  <c r="EFX48" i="8"/>
  <c r="EFW48" i="8"/>
  <c r="EFV48" i="8"/>
  <c r="EFU48" i="8"/>
  <c r="EFT48" i="8"/>
  <c r="EFS48" i="8"/>
  <c r="EFR48" i="8"/>
  <c r="EFQ48" i="8"/>
  <c r="EFP48" i="8"/>
  <c r="EFO48" i="8"/>
  <c r="EFN48" i="8"/>
  <c r="EFM48" i="8"/>
  <c r="EFL48" i="8"/>
  <c r="EFK48" i="8"/>
  <c r="EFJ48" i="8"/>
  <c r="EFI48" i="8"/>
  <c r="EFH48" i="8"/>
  <c r="EFG48" i="8"/>
  <c r="EFF48" i="8"/>
  <c r="EFE48" i="8"/>
  <c r="EFD48" i="8"/>
  <c r="EFC48" i="8"/>
  <c r="EFB48" i="8"/>
  <c r="EFA48" i="8"/>
  <c r="EEZ48" i="8"/>
  <c r="EEY48" i="8"/>
  <c r="EEX48" i="8"/>
  <c r="EEW48" i="8"/>
  <c r="EEV48" i="8"/>
  <c r="EEU48" i="8"/>
  <c r="EET48" i="8"/>
  <c r="EES48" i="8"/>
  <c r="EER48" i="8"/>
  <c r="EEQ48" i="8"/>
  <c r="EEP48" i="8"/>
  <c r="EEO48" i="8"/>
  <c r="EEN48" i="8"/>
  <c r="EEM48" i="8"/>
  <c r="EEL48" i="8"/>
  <c r="EEK48" i="8"/>
  <c r="EEJ48" i="8"/>
  <c r="EEI48" i="8"/>
  <c r="EEH48" i="8"/>
  <c r="EEG48" i="8"/>
  <c r="EEF48" i="8"/>
  <c r="EEE48" i="8"/>
  <c r="EED48" i="8"/>
  <c r="EEC48" i="8"/>
  <c r="EEB48" i="8"/>
  <c r="EEA48" i="8"/>
  <c r="EDZ48" i="8"/>
  <c r="EDY48" i="8"/>
  <c r="EDX48" i="8"/>
  <c r="EDW48" i="8"/>
  <c r="EDV48" i="8"/>
  <c r="EDU48" i="8"/>
  <c r="EDT48" i="8"/>
  <c r="EDS48" i="8"/>
  <c r="EDR48" i="8"/>
  <c r="EDQ48" i="8"/>
  <c r="EDP48" i="8"/>
  <c r="EDO48" i="8"/>
  <c r="EDN48" i="8"/>
  <c r="EDM48" i="8"/>
  <c r="EDL48" i="8"/>
  <c r="EDK48" i="8"/>
  <c r="EDJ48" i="8"/>
  <c r="EDI48" i="8"/>
  <c r="EDH48" i="8"/>
  <c r="EDG48" i="8"/>
  <c r="EDF48" i="8"/>
  <c r="EDE48" i="8"/>
  <c r="EDD48" i="8"/>
  <c r="EDC48" i="8"/>
  <c r="EDB48" i="8"/>
  <c r="EDA48" i="8"/>
  <c r="ECZ48" i="8"/>
  <c r="ECY48" i="8"/>
  <c r="ECX48" i="8"/>
  <c r="ECW48" i="8"/>
  <c r="ECV48" i="8"/>
  <c r="ECU48" i="8"/>
  <c r="ECT48" i="8"/>
  <c r="ECS48" i="8"/>
  <c r="ECR48" i="8"/>
  <c r="ECQ48" i="8"/>
  <c r="ECP48" i="8"/>
  <c r="ECO48" i="8"/>
  <c r="ECN48" i="8"/>
  <c r="ECM48" i="8"/>
  <c r="ECL48" i="8"/>
  <c r="ECK48" i="8"/>
  <c r="ECJ48" i="8"/>
  <c r="ECI48" i="8"/>
  <c r="ECH48" i="8"/>
  <c r="ECG48" i="8"/>
  <c r="ECF48" i="8"/>
  <c r="ECE48" i="8"/>
  <c r="ECD48" i="8"/>
  <c r="ECC48" i="8"/>
  <c r="ECB48" i="8"/>
  <c r="ECA48" i="8"/>
  <c r="EBZ48" i="8"/>
  <c r="EBY48" i="8"/>
  <c r="EBX48" i="8"/>
  <c r="EBW48" i="8"/>
  <c r="EBV48" i="8"/>
  <c r="EBU48" i="8"/>
  <c r="EBT48" i="8"/>
  <c r="EBS48" i="8"/>
  <c r="EBR48" i="8"/>
  <c r="EBQ48" i="8"/>
  <c r="EBP48" i="8"/>
  <c r="EBO48" i="8"/>
  <c r="EBN48" i="8"/>
  <c r="EBM48" i="8"/>
  <c r="EBL48" i="8"/>
  <c r="EBK48" i="8"/>
  <c r="EBJ48" i="8"/>
  <c r="EBI48" i="8"/>
  <c r="EBH48" i="8"/>
  <c r="EBG48" i="8"/>
  <c r="EBF48" i="8"/>
  <c r="EBE48" i="8"/>
  <c r="EBD48" i="8"/>
  <c r="EBC48" i="8"/>
  <c r="EBB48" i="8"/>
  <c r="EBA48" i="8"/>
  <c r="EAZ48" i="8"/>
  <c r="EAY48" i="8"/>
  <c r="EAX48" i="8"/>
  <c r="EAW48" i="8"/>
  <c r="EAV48" i="8"/>
  <c r="EAU48" i="8"/>
  <c r="EAT48" i="8"/>
  <c r="EAS48" i="8"/>
  <c r="EAR48" i="8"/>
  <c r="EAQ48" i="8"/>
  <c r="EAP48" i="8"/>
  <c r="EAO48" i="8"/>
  <c r="EAN48" i="8"/>
  <c r="EAM48" i="8"/>
  <c r="EAL48" i="8"/>
  <c r="EAK48" i="8"/>
  <c r="EAJ48" i="8"/>
  <c r="EAI48" i="8"/>
  <c r="EAH48" i="8"/>
  <c r="EAG48" i="8"/>
  <c r="EAF48" i="8"/>
  <c r="EAE48" i="8"/>
  <c r="EAD48" i="8"/>
  <c r="EAC48" i="8"/>
  <c r="EAB48" i="8"/>
  <c r="EAA48" i="8"/>
  <c r="DZZ48" i="8"/>
  <c r="DZY48" i="8"/>
  <c r="DZX48" i="8"/>
  <c r="DZW48" i="8"/>
  <c r="DZV48" i="8"/>
  <c r="DZU48" i="8"/>
  <c r="DZT48" i="8"/>
  <c r="DZS48" i="8"/>
  <c r="DZR48" i="8"/>
  <c r="DZQ48" i="8"/>
  <c r="DZP48" i="8"/>
  <c r="DZO48" i="8"/>
  <c r="DZN48" i="8"/>
  <c r="DZM48" i="8"/>
  <c r="DZL48" i="8"/>
  <c r="DZK48" i="8"/>
  <c r="DZJ48" i="8"/>
  <c r="DZI48" i="8"/>
  <c r="DZH48" i="8"/>
  <c r="DZG48" i="8"/>
  <c r="DZF48" i="8"/>
  <c r="DZE48" i="8"/>
  <c r="DZD48" i="8"/>
  <c r="DZC48" i="8"/>
  <c r="DZB48" i="8"/>
  <c r="DZA48" i="8"/>
  <c r="DYZ48" i="8"/>
  <c r="DYY48" i="8"/>
  <c r="DYX48" i="8"/>
  <c r="DYW48" i="8"/>
  <c r="DYV48" i="8"/>
  <c r="DYU48" i="8"/>
  <c r="DYT48" i="8"/>
  <c r="DYS48" i="8"/>
  <c r="DYR48" i="8"/>
  <c r="DYQ48" i="8"/>
  <c r="DYP48" i="8"/>
  <c r="DYO48" i="8"/>
  <c r="DYN48" i="8"/>
  <c r="DYM48" i="8"/>
  <c r="DYL48" i="8"/>
  <c r="DYK48" i="8"/>
  <c r="DYJ48" i="8"/>
  <c r="DYI48" i="8"/>
  <c r="DYH48" i="8"/>
  <c r="DYG48" i="8"/>
  <c r="DYF48" i="8"/>
  <c r="DYE48" i="8"/>
  <c r="DYD48" i="8"/>
  <c r="DYC48" i="8"/>
  <c r="DYB48" i="8"/>
  <c r="DYA48" i="8"/>
  <c r="DXZ48" i="8"/>
  <c r="DXY48" i="8"/>
  <c r="DXX48" i="8"/>
  <c r="DXW48" i="8"/>
  <c r="DXV48" i="8"/>
  <c r="DXU48" i="8"/>
  <c r="DXT48" i="8"/>
  <c r="DXS48" i="8"/>
  <c r="DXR48" i="8"/>
  <c r="DXQ48" i="8"/>
  <c r="DXP48" i="8"/>
  <c r="DXO48" i="8"/>
  <c r="DXN48" i="8"/>
  <c r="DXM48" i="8"/>
  <c r="DXL48" i="8"/>
  <c r="DXK48" i="8"/>
  <c r="DXJ48" i="8"/>
  <c r="DXI48" i="8"/>
  <c r="DXH48" i="8"/>
  <c r="DXG48" i="8"/>
  <c r="DXF48" i="8"/>
  <c r="DXE48" i="8"/>
  <c r="DXD48" i="8"/>
  <c r="DXC48" i="8"/>
  <c r="DXB48" i="8"/>
  <c r="DXA48" i="8"/>
  <c r="DWZ48" i="8"/>
  <c r="DWY48" i="8"/>
  <c r="DWX48" i="8"/>
  <c r="DWW48" i="8"/>
  <c r="DWV48" i="8"/>
  <c r="DWU48" i="8"/>
  <c r="DWT48" i="8"/>
  <c r="DWS48" i="8"/>
  <c r="DWR48" i="8"/>
  <c r="DWQ48" i="8"/>
  <c r="DWP48" i="8"/>
  <c r="DWO48" i="8"/>
  <c r="DWN48" i="8"/>
  <c r="DWM48" i="8"/>
  <c r="DWL48" i="8"/>
  <c r="DWK48" i="8"/>
  <c r="DWJ48" i="8"/>
  <c r="DWI48" i="8"/>
  <c r="DWH48" i="8"/>
  <c r="DWG48" i="8"/>
  <c r="DWF48" i="8"/>
  <c r="DWE48" i="8"/>
  <c r="DWD48" i="8"/>
  <c r="DWC48" i="8"/>
  <c r="DWB48" i="8"/>
  <c r="DWA48" i="8"/>
  <c r="DVZ48" i="8"/>
  <c r="DVY48" i="8"/>
  <c r="DVX48" i="8"/>
  <c r="DVW48" i="8"/>
  <c r="DVV48" i="8"/>
  <c r="DVU48" i="8"/>
  <c r="DVT48" i="8"/>
  <c r="DVS48" i="8"/>
  <c r="DVR48" i="8"/>
  <c r="DVQ48" i="8"/>
  <c r="DVP48" i="8"/>
  <c r="DVO48" i="8"/>
  <c r="DVN48" i="8"/>
  <c r="DVM48" i="8"/>
  <c r="DVL48" i="8"/>
  <c r="DVK48" i="8"/>
  <c r="DVJ48" i="8"/>
  <c r="DVI48" i="8"/>
  <c r="DVH48" i="8"/>
  <c r="DVG48" i="8"/>
  <c r="DVF48" i="8"/>
  <c r="DVE48" i="8"/>
  <c r="DVD48" i="8"/>
  <c r="DVC48" i="8"/>
  <c r="DVB48" i="8"/>
  <c r="DVA48" i="8"/>
  <c r="DUZ48" i="8"/>
  <c r="DUY48" i="8"/>
  <c r="DUX48" i="8"/>
  <c r="DUW48" i="8"/>
  <c r="DUV48" i="8"/>
  <c r="DUU48" i="8"/>
  <c r="DUT48" i="8"/>
  <c r="DUS48" i="8"/>
  <c r="DUR48" i="8"/>
  <c r="DUQ48" i="8"/>
  <c r="DUP48" i="8"/>
  <c r="DUO48" i="8"/>
  <c r="DUN48" i="8"/>
  <c r="DUM48" i="8"/>
  <c r="DUL48" i="8"/>
  <c r="DUK48" i="8"/>
  <c r="DUJ48" i="8"/>
  <c r="DUI48" i="8"/>
  <c r="DUH48" i="8"/>
  <c r="DUG48" i="8"/>
  <c r="DUF48" i="8"/>
  <c r="DUE48" i="8"/>
  <c r="DUD48" i="8"/>
  <c r="DUC48" i="8"/>
  <c r="DUB48" i="8"/>
  <c r="DUA48" i="8"/>
  <c r="DTZ48" i="8"/>
  <c r="DTY48" i="8"/>
  <c r="DTX48" i="8"/>
  <c r="DTW48" i="8"/>
  <c r="DTV48" i="8"/>
  <c r="DTU48" i="8"/>
  <c r="DTT48" i="8"/>
  <c r="DTS48" i="8"/>
  <c r="DTR48" i="8"/>
  <c r="DTQ48" i="8"/>
  <c r="DTP48" i="8"/>
  <c r="DTO48" i="8"/>
  <c r="DTN48" i="8"/>
  <c r="DTM48" i="8"/>
  <c r="DTL48" i="8"/>
  <c r="DTK48" i="8"/>
  <c r="DTJ48" i="8"/>
  <c r="DTI48" i="8"/>
  <c r="DTH48" i="8"/>
  <c r="DTG48" i="8"/>
  <c r="DTF48" i="8"/>
  <c r="DTE48" i="8"/>
  <c r="DTD48" i="8"/>
  <c r="DTC48" i="8"/>
  <c r="DTB48" i="8"/>
  <c r="DTA48" i="8"/>
  <c r="DSZ48" i="8"/>
  <c r="DSY48" i="8"/>
  <c r="DSX48" i="8"/>
  <c r="DSW48" i="8"/>
  <c r="DSV48" i="8"/>
  <c r="DSU48" i="8"/>
  <c r="DST48" i="8"/>
  <c r="DSS48" i="8"/>
  <c r="DSR48" i="8"/>
  <c r="DSQ48" i="8"/>
  <c r="DSP48" i="8"/>
  <c r="DSO48" i="8"/>
  <c r="DSN48" i="8"/>
  <c r="DSM48" i="8"/>
  <c r="DSL48" i="8"/>
  <c r="DSK48" i="8"/>
  <c r="DSJ48" i="8"/>
  <c r="DSI48" i="8"/>
  <c r="DSH48" i="8"/>
  <c r="DSG48" i="8"/>
  <c r="DSF48" i="8"/>
  <c r="DSE48" i="8"/>
  <c r="DSD48" i="8"/>
  <c r="DSC48" i="8"/>
  <c r="DSB48" i="8"/>
  <c r="DSA48" i="8"/>
  <c r="DRZ48" i="8"/>
  <c r="DRY48" i="8"/>
  <c r="DRX48" i="8"/>
  <c r="DRW48" i="8"/>
  <c r="DRV48" i="8"/>
  <c r="DRU48" i="8"/>
  <c r="DRT48" i="8"/>
  <c r="DRS48" i="8"/>
  <c r="DRR48" i="8"/>
  <c r="DRQ48" i="8"/>
  <c r="DRP48" i="8"/>
  <c r="DRO48" i="8"/>
  <c r="DRN48" i="8"/>
  <c r="DRM48" i="8"/>
  <c r="DRL48" i="8"/>
  <c r="DRK48" i="8"/>
  <c r="DRJ48" i="8"/>
  <c r="DRI48" i="8"/>
  <c r="DRH48" i="8"/>
  <c r="DRG48" i="8"/>
  <c r="DRF48" i="8"/>
  <c r="DRE48" i="8"/>
  <c r="DRD48" i="8"/>
  <c r="DRC48" i="8"/>
  <c r="DRB48" i="8"/>
  <c r="DRA48" i="8"/>
  <c r="DQZ48" i="8"/>
  <c r="DQY48" i="8"/>
  <c r="DQX48" i="8"/>
  <c r="DQW48" i="8"/>
  <c r="DQV48" i="8"/>
  <c r="DQU48" i="8"/>
  <c r="DQT48" i="8"/>
  <c r="DQS48" i="8"/>
  <c r="DQR48" i="8"/>
  <c r="DQQ48" i="8"/>
  <c r="DQP48" i="8"/>
  <c r="DQO48" i="8"/>
  <c r="DQN48" i="8"/>
  <c r="DQM48" i="8"/>
  <c r="DQL48" i="8"/>
  <c r="DQK48" i="8"/>
  <c r="DQJ48" i="8"/>
  <c r="DQI48" i="8"/>
  <c r="DQH48" i="8"/>
  <c r="DQG48" i="8"/>
  <c r="DQF48" i="8"/>
  <c r="DQE48" i="8"/>
  <c r="DQD48" i="8"/>
  <c r="DQC48" i="8"/>
  <c r="DQB48" i="8"/>
  <c r="DQA48" i="8"/>
  <c r="DPZ48" i="8"/>
  <c r="DPY48" i="8"/>
  <c r="DPX48" i="8"/>
  <c r="DPW48" i="8"/>
  <c r="DPV48" i="8"/>
  <c r="DPU48" i="8"/>
  <c r="DPT48" i="8"/>
  <c r="DPS48" i="8"/>
  <c r="DPR48" i="8"/>
  <c r="DPQ48" i="8"/>
  <c r="DPP48" i="8"/>
  <c r="DPO48" i="8"/>
  <c r="DPN48" i="8"/>
  <c r="DPM48" i="8"/>
  <c r="DPL48" i="8"/>
  <c r="DPK48" i="8"/>
  <c r="DPJ48" i="8"/>
  <c r="DPI48" i="8"/>
  <c r="DPH48" i="8"/>
  <c r="DPG48" i="8"/>
  <c r="DPF48" i="8"/>
  <c r="DPE48" i="8"/>
  <c r="DPD48" i="8"/>
  <c r="DPC48" i="8"/>
  <c r="DPB48" i="8"/>
  <c r="DPA48" i="8"/>
  <c r="DOZ48" i="8"/>
  <c r="DOY48" i="8"/>
  <c r="DOX48" i="8"/>
  <c r="DOW48" i="8"/>
  <c r="DOV48" i="8"/>
  <c r="DOU48" i="8"/>
  <c r="DOT48" i="8"/>
  <c r="DOS48" i="8"/>
  <c r="DOR48" i="8"/>
  <c r="DOQ48" i="8"/>
  <c r="DOP48" i="8"/>
  <c r="DOO48" i="8"/>
  <c r="DON48" i="8"/>
  <c r="DOM48" i="8"/>
  <c r="DOL48" i="8"/>
  <c r="DOK48" i="8"/>
  <c r="DOJ48" i="8"/>
  <c r="DOI48" i="8"/>
  <c r="DOH48" i="8"/>
  <c r="DOG48" i="8"/>
  <c r="DOF48" i="8"/>
  <c r="DOE48" i="8"/>
  <c r="DOD48" i="8"/>
  <c r="DOC48" i="8"/>
  <c r="DOB48" i="8"/>
  <c r="DOA48" i="8"/>
  <c r="DNZ48" i="8"/>
  <c r="DNY48" i="8"/>
  <c r="DNX48" i="8"/>
  <c r="DNW48" i="8"/>
  <c r="DNV48" i="8"/>
  <c r="DNU48" i="8"/>
  <c r="DNT48" i="8"/>
  <c r="DNS48" i="8"/>
  <c r="DNR48" i="8"/>
  <c r="DNQ48" i="8"/>
  <c r="DNP48" i="8"/>
  <c r="DNO48" i="8"/>
  <c r="DNN48" i="8"/>
  <c r="DNM48" i="8"/>
  <c r="DNL48" i="8"/>
  <c r="DNK48" i="8"/>
  <c r="DNJ48" i="8"/>
  <c r="DNI48" i="8"/>
  <c r="DNH48" i="8"/>
  <c r="DNG48" i="8"/>
  <c r="DNF48" i="8"/>
  <c r="DNE48" i="8"/>
  <c r="DND48" i="8"/>
  <c r="DNC48" i="8"/>
  <c r="DNB48" i="8"/>
  <c r="DNA48" i="8"/>
  <c r="DMZ48" i="8"/>
  <c r="DMY48" i="8"/>
  <c r="DMX48" i="8"/>
  <c r="DMW48" i="8"/>
  <c r="DMV48" i="8"/>
  <c r="DMU48" i="8"/>
  <c r="DMT48" i="8"/>
  <c r="DMS48" i="8"/>
  <c r="DMR48" i="8"/>
  <c r="DMQ48" i="8"/>
  <c r="DMP48" i="8"/>
  <c r="DMO48" i="8"/>
  <c r="DMN48" i="8"/>
  <c r="DMM48" i="8"/>
  <c r="DML48" i="8"/>
  <c r="DMK48" i="8"/>
  <c r="DMJ48" i="8"/>
  <c r="DMI48" i="8"/>
  <c r="DMH48" i="8"/>
  <c r="DMG48" i="8"/>
  <c r="DMF48" i="8"/>
  <c r="DME48" i="8"/>
  <c r="DMD48" i="8"/>
  <c r="DMC48" i="8"/>
  <c r="DMB48" i="8"/>
  <c r="DMA48" i="8"/>
  <c r="DLZ48" i="8"/>
  <c r="DLY48" i="8"/>
  <c r="DLX48" i="8"/>
  <c r="DLW48" i="8"/>
  <c r="DLV48" i="8"/>
  <c r="DLU48" i="8"/>
  <c r="DLT48" i="8"/>
  <c r="DLS48" i="8"/>
  <c r="DLR48" i="8"/>
  <c r="DLQ48" i="8"/>
  <c r="DLP48" i="8"/>
  <c r="DLO48" i="8"/>
  <c r="DLN48" i="8"/>
  <c r="DLM48" i="8"/>
  <c r="DLL48" i="8"/>
  <c r="DLK48" i="8"/>
  <c r="DLJ48" i="8"/>
  <c r="DLI48" i="8"/>
  <c r="DLH48" i="8"/>
  <c r="DLG48" i="8"/>
  <c r="DLF48" i="8"/>
  <c r="DLE48" i="8"/>
  <c r="DLD48" i="8"/>
  <c r="DLC48" i="8"/>
  <c r="DLB48" i="8"/>
  <c r="DLA48" i="8"/>
  <c r="DKZ48" i="8"/>
  <c r="DKY48" i="8"/>
  <c r="DKX48" i="8"/>
  <c r="DKW48" i="8"/>
  <c r="DKV48" i="8"/>
  <c r="DKU48" i="8"/>
  <c r="DKT48" i="8"/>
  <c r="DKS48" i="8"/>
  <c r="DKR48" i="8"/>
  <c r="DKQ48" i="8"/>
  <c r="DKP48" i="8"/>
  <c r="DKO48" i="8"/>
  <c r="DKN48" i="8"/>
  <c r="DKM48" i="8"/>
  <c r="DKL48" i="8"/>
  <c r="DKK48" i="8"/>
  <c r="DKJ48" i="8"/>
  <c r="DKI48" i="8"/>
  <c r="DKH48" i="8"/>
  <c r="DKG48" i="8"/>
  <c r="DKF48" i="8"/>
  <c r="DKE48" i="8"/>
  <c r="DKD48" i="8"/>
  <c r="DKC48" i="8"/>
  <c r="DKB48" i="8"/>
  <c r="DKA48" i="8"/>
  <c r="DJZ48" i="8"/>
  <c r="DJY48" i="8"/>
  <c r="DJX48" i="8"/>
  <c r="DJW48" i="8"/>
  <c r="DJV48" i="8"/>
  <c r="DJU48" i="8"/>
  <c r="DJT48" i="8"/>
  <c r="DJS48" i="8"/>
  <c r="DJR48" i="8"/>
  <c r="DJQ48" i="8"/>
  <c r="DJP48" i="8"/>
  <c r="DJO48" i="8"/>
  <c r="DJN48" i="8"/>
  <c r="DJM48" i="8"/>
  <c r="DJL48" i="8"/>
  <c r="DJK48" i="8"/>
  <c r="DJJ48" i="8"/>
  <c r="DJI48" i="8"/>
  <c r="DJH48" i="8"/>
  <c r="DJG48" i="8"/>
  <c r="DJF48" i="8"/>
  <c r="DJE48" i="8"/>
  <c r="DJD48" i="8"/>
  <c r="DJC48" i="8"/>
  <c r="DJB48" i="8"/>
  <c r="DJA48" i="8"/>
  <c r="DIZ48" i="8"/>
  <c r="DIY48" i="8"/>
  <c r="DIX48" i="8"/>
  <c r="DIW48" i="8"/>
  <c r="DIV48" i="8"/>
  <c r="DIU48" i="8"/>
  <c r="DIT48" i="8"/>
  <c r="DIS48" i="8"/>
  <c r="DIR48" i="8"/>
  <c r="DIQ48" i="8"/>
  <c r="DIP48" i="8"/>
  <c r="DIO48" i="8"/>
  <c r="DIN48" i="8"/>
  <c r="DIM48" i="8"/>
  <c r="DIL48" i="8"/>
  <c r="DIK48" i="8"/>
  <c r="DIJ48" i="8"/>
  <c r="DII48" i="8"/>
  <c r="DIH48" i="8"/>
  <c r="DIG48" i="8"/>
  <c r="DIF48" i="8"/>
  <c r="DIE48" i="8"/>
  <c r="DID48" i="8"/>
  <c r="DIC48" i="8"/>
  <c r="DIB48" i="8"/>
  <c r="DIA48" i="8"/>
  <c r="DHZ48" i="8"/>
  <c r="DHY48" i="8"/>
  <c r="DHX48" i="8"/>
  <c r="DHW48" i="8"/>
  <c r="DHV48" i="8"/>
  <c r="DHU48" i="8"/>
  <c r="DHT48" i="8"/>
  <c r="DHS48" i="8"/>
  <c r="DHR48" i="8"/>
  <c r="DHQ48" i="8"/>
  <c r="DHP48" i="8"/>
  <c r="DHO48" i="8"/>
  <c r="DHN48" i="8"/>
  <c r="DHM48" i="8"/>
  <c r="DHL48" i="8"/>
  <c r="DHK48" i="8"/>
  <c r="DHJ48" i="8"/>
  <c r="DHI48" i="8"/>
  <c r="DHH48" i="8"/>
  <c r="DHG48" i="8"/>
  <c r="DHF48" i="8"/>
  <c r="DHE48" i="8"/>
  <c r="DHD48" i="8"/>
  <c r="DHC48" i="8"/>
  <c r="DHB48" i="8"/>
  <c r="DHA48" i="8"/>
  <c r="DGZ48" i="8"/>
  <c r="DGY48" i="8"/>
  <c r="DGX48" i="8"/>
  <c r="DGW48" i="8"/>
  <c r="DGV48" i="8"/>
  <c r="DGU48" i="8"/>
  <c r="DGT48" i="8"/>
  <c r="DGS48" i="8"/>
  <c r="DGR48" i="8"/>
  <c r="DGQ48" i="8"/>
  <c r="DGP48" i="8"/>
  <c r="DGO48" i="8"/>
  <c r="DGN48" i="8"/>
  <c r="DGM48" i="8"/>
  <c r="DGL48" i="8"/>
  <c r="DGK48" i="8"/>
  <c r="DGJ48" i="8"/>
  <c r="DGI48" i="8"/>
  <c r="DGH48" i="8"/>
  <c r="DGG48" i="8"/>
  <c r="DGF48" i="8"/>
  <c r="DGE48" i="8"/>
  <c r="DGD48" i="8"/>
  <c r="DGC48" i="8"/>
  <c r="DGB48" i="8"/>
  <c r="DGA48" i="8"/>
  <c r="DFZ48" i="8"/>
  <c r="DFY48" i="8"/>
  <c r="DFX48" i="8"/>
  <c r="DFW48" i="8"/>
  <c r="DFV48" i="8"/>
  <c r="DFU48" i="8"/>
  <c r="DFT48" i="8"/>
  <c r="DFS48" i="8"/>
  <c r="DFR48" i="8"/>
  <c r="DFQ48" i="8"/>
  <c r="DFP48" i="8"/>
  <c r="DFO48" i="8"/>
  <c r="DFN48" i="8"/>
  <c r="DFM48" i="8"/>
  <c r="DFL48" i="8"/>
  <c r="DFK48" i="8"/>
  <c r="DFJ48" i="8"/>
  <c r="DFI48" i="8"/>
  <c r="DFH48" i="8"/>
  <c r="DFG48" i="8"/>
  <c r="DFF48" i="8"/>
  <c r="DFE48" i="8"/>
  <c r="DFD48" i="8"/>
  <c r="DFC48" i="8"/>
  <c r="DFB48" i="8"/>
  <c r="DFA48" i="8"/>
  <c r="DEZ48" i="8"/>
  <c r="DEY48" i="8"/>
  <c r="DEX48" i="8"/>
  <c r="DEW48" i="8"/>
  <c r="DEV48" i="8"/>
  <c r="DEU48" i="8"/>
  <c r="DET48" i="8"/>
  <c r="DES48" i="8"/>
  <c r="DER48" i="8"/>
  <c r="DEQ48" i="8"/>
  <c r="DEP48" i="8"/>
  <c r="DEO48" i="8"/>
  <c r="DEN48" i="8"/>
  <c r="DEM48" i="8"/>
  <c r="DEL48" i="8"/>
  <c r="DEK48" i="8"/>
  <c r="DEJ48" i="8"/>
  <c r="DEI48" i="8"/>
  <c r="DEH48" i="8"/>
  <c r="DEG48" i="8"/>
  <c r="DEF48" i="8"/>
  <c r="DEE48" i="8"/>
  <c r="DED48" i="8"/>
  <c r="DEC48" i="8"/>
  <c r="DEB48" i="8"/>
  <c r="DEA48" i="8"/>
  <c r="DDZ48" i="8"/>
  <c r="DDY48" i="8"/>
  <c r="DDX48" i="8"/>
  <c r="DDW48" i="8"/>
  <c r="DDV48" i="8"/>
  <c r="DDU48" i="8"/>
  <c r="DDT48" i="8"/>
  <c r="DDS48" i="8"/>
  <c r="DDR48" i="8"/>
  <c r="DDQ48" i="8"/>
  <c r="DDP48" i="8"/>
  <c r="DDO48" i="8"/>
  <c r="DDN48" i="8"/>
  <c r="DDM48" i="8"/>
  <c r="DDL48" i="8"/>
  <c r="DDK48" i="8"/>
  <c r="DDJ48" i="8"/>
  <c r="DDI48" i="8"/>
  <c r="DDH48" i="8"/>
  <c r="DDG48" i="8"/>
  <c r="DDF48" i="8"/>
  <c r="DDE48" i="8"/>
  <c r="DDD48" i="8"/>
  <c r="DDC48" i="8"/>
  <c r="DDB48" i="8"/>
  <c r="DDA48" i="8"/>
  <c r="DCZ48" i="8"/>
  <c r="DCY48" i="8"/>
  <c r="DCX48" i="8"/>
  <c r="DCW48" i="8"/>
  <c r="DCV48" i="8"/>
  <c r="DCU48" i="8"/>
  <c r="DCT48" i="8"/>
  <c r="DCS48" i="8"/>
  <c r="DCR48" i="8"/>
  <c r="DCQ48" i="8"/>
  <c r="DCP48" i="8"/>
  <c r="DCO48" i="8"/>
  <c r="DCN48" i="8"/>
  <c r="DCM48" i="8"/>
  <c r="DCL48" i="8"/>
  <c r="DCK48" i="8"/>
  <c r="DCJ48" i="8"/>
  <c r="DCI48" i="8"/>
  <c r="DCH48" i="8"/>
  <c r="DCG48" i="8"/>
  <c r="DCF48" i="8"/>
  <c r="DCE48" i="8"/>
  <c r="DCD48" i="8"/>
  <c r="DCC48" i="8"/>
  <c r="DCB48" i="8"/>
  <c r="DCA48" i="8"/>
  <c r="DBZ48" i="8"/>
  <c r="DBY48" i="8"/>
  <c r="DBX48" i="8"/>
  <c r="DBW48" i="8"/>
  <c r="DBV48" i="8"/>
  <c r="DBU48" i="8"/>
  <c r="DBT48" i="8"/>
  <c r="DBS48" i="8"/>
  <c r="DBR48" i="8"/>
  <c r="DBQ48" i="8"/>
  <c r="DBP48" i="8"/>
  <c r="DBO48" i="8"/>
  <c r="DBN48" i="8"/>
  <c r="DBM48" i="8"/>
  <c r="DBL48" i="8"/>
  <c r="DBK48" i="8"/>
  <c r="DBJ48" i="8"/>
  <c r="DBI48" i="8"/>
  <c r="DBH48" i="8"/>
  <c r="DBG48" i="8"/>
  <c r="DBF48" i="8"/>
  <c r="DBE48" i="8"/>
  <c r="DBD48" i="8"/>
  <c r="DBC48" i="8"/>
  <c r="DBB48" i="8"/>
  <c r="DBA48" i="8"/>
  <c r="DAZ48" i="8"/>
  <c r="DAY48" i="8"/>
  <c r="DAX48" i="8"/>
  <c r="DAW48" i="8"/>
  <c r="DAV48" i="8"/>
  <c r="DAU48" i="8"/>
  <c r="DAT48" i="8"/>
  <c r="DAS48" i="8"/>
  <c r="DAR48" i="8"/>
  <c r="DAQ48" i="8"/>
  <c r="DAP48" i="8"/>
  <c r="DAO48" i="8"/>
  <c r="DAN48" i="8"/>
  <c r="DAM48" i="8"/>
  <c r="DAL48" i="8"/>
  <c r="DAK48" i="8"/>
  <c r="DAJ48" i="8"/>
  <c r="DAI48" i="8"/>
  <c r="DAH48" i="8"/>
  <c r="DAG48" i="8"/>
  <c r="DAF48" i="8"/>
  <c r="DAE48" i="8"/>
  <c r="DAD48" i="8"/>
  <c r="DAC48" i="8"/>
  <c r="DAB48" i="8"/>
  <c r="DAA48" i="8"/>
  <c r="CZZ48" i="8"/>
  <c r="CZY48" i="8"/>
  <c r="CZX48" i="8"/>
  <c r="CZW48" i="8"/>
  <c r="CZV48" i="8"/>
  <c r="CZU48" i="8"/>
  <c r="CZT48" i="8"/>
  <c r="CZS48" i="8"/>
  <c r="CZR48" i="8"/>
  <c r="CZQ48" i="8"/>
  <c r="CZP48" i="8"/>
  <c r="CZO48" i="8"/>
  <c r="CZN48" i="8"/>
  <c r="CZM48" i="8"/>
  <c r="CZL48" i="8"/>
  <c r="CZK48" i="8"/>
  <c r="CZJ48" i="8"/>
  <c r="CZI48" i="8"/>
  <c r="CZH48" i="8"/>
  <c r="CZG48" i="8"/>
  <c r="CZF48" i="8"/>
  <c r="CZE48" i="8"/>
  <c r="CZD48" i="8"/>
  <c r="CZC48" i="8"/>
  <c r="CZB48" i="8"/>
  <c r="CZA48" i="8"/>
  <c r="CYZ48" i="8"/>
  <c r="CYY48" i="8"/>
  <c r="CYX48" i="8"/>
  <c r="CYW48" i="8"/>
  <c r="CYV48" i="8"/>
  <c r="CYU48" i="8"/>
  <c r="CYT48" i="8"/>
  <c r="CYS48" i="8"/>
  <c r="CYR48" i="8"/>
  <c r="CYQ48" i="8"/>
  <c r="CYP48" i="8"/>
  <c r="CYO48" i="8"/>
  <c r="CYN48" i="8"/>
  <c r="CYM48" i="8"/>
  <c r="CYL48" i="8"/>
  <c r="CYK48" i="8"/>
  <c r="CYJ48" i="8"/>
  <c r="CYI48" i="8"/>
  <c r="CYH48" i="8"/>
  <c r="CYG48" i="8"/>
  <c r="CYF48" i="8"/>
  <c r="CYE48" i="8"/>
  <c r="CYD48" i="8"/>
  <c r="CYC48" i="8"/>
  <c r="CYB48" i="8"/>
  <c r="CYA48" i="8"/>
  <c r="CXZ48" i="8"/>
  <c r="CXY48" i="8"/>
  <c r="CXX48" i="8"/>
  <c r="CXW48" i="8"/>
  <c r="CXV48" i="8"/>
  <c r="CXU48" i="8"/>
  <c r="CXT48" i="8"/>
  <c r="CXS48" i="8"/>
  <c r="CXR48" i="8"/>
  <c r="CXQ48" i="8"/>
  <c r="CXP48" i="8"/>
  <c r="CXO48" i="8"/>
  <c r="CXN48" i="8"/>
  <c r="CXM48" i="8"/>
  <c r="CXL48" i="8"/>
  <c r="CXK48" i="8"/>
  <c r="CXJ48" i="8"/>
  <c r="CXI48" i="8"/>
  <c r="CXH48" i="8"/>
  <c r="CXG48" i="8"/>
  <c r="CXF48" i="8"/>
  <c r="CXE48" i="8"/>
  <c r="CXD48" i="8"/>
  <c r="CXC48" i="8"/>
  <c r="CXB48" i="8"/>
  <c r="CXA48" i="8"/>
  <c r="CWZ48" i="8"/>
  <c r="CWY48" i="8"/>
  <c r="CWX48" i="8"/>
  <c r="CWW48" i="8"/>
  <c r="CWV48" i="8"/>
  <c r="CWU48" i="8"/>
  <c r="CWT48" i="8"/>
  <c r="CWS48" i="8"/>
  <c r="CWR48" i="8"/>
  <c r="CWQ48" i="8"/>
  <c r="CWP48" i="8"/>
  <c r="CWO48" i="8"/>
  <c r="CWN48" i="8"/>
  <c r="CWM48" i="8"/>
  <c r="CWL48" i="8"/>
  <c r="CWK48" i="8"/>
  <c r="CWJ48" i="8"/>
  <c r="CWI48" i="8"/>
  <c r="CWH48" i="8"/>
  <c r="CWG48" i="8"/>
  <c r="CWF48" i="8"/>
  <c r="CWE48" i="8"/>
  <c r="CWD48" i="8"/>
  <c r="CWC48" i="8"/>
  <c r="CWB48" i="8"/>
  <c r="CWA48" i="8"/>
  <c r="CVZ48" i="8"/>
  <c r="CVY48" i="8"/>
  <c r="CVX48" i="8"/>
  <c r="CVW48" i="8"/>
  <c r="CVV48" i="8"/>
  <c r="CVU48" i="8"/>
  <c r="CVT48" i="8"/>
  <c r="CVS48" i="8"/>
  <c r="CVR48" i="8"/>
  <c r="CVQ48" i="8"/>
  <c r="CVP48" i="8"/>
  <c r="CVO48" i="8"/>
  <c r="CVN48" i="8"/>
  <c r="CVM48" i="8"/>
  <c r="CVL48" i="8"/>
  <c r="CVK48" i="8"/>
  <c r="CVJ48" i="8"/>
  <c r="CVI48" i="8"/>
  <c r="CVH48" i="8"/>
  <c r="CVG48" i="8"/>
  <c r="CVF48" i="8"/>
  <c r="CVE48" i="8"/>
  <c r="CVD48" i="8"/>
  <c r="CVC48" i="8"/>
  <c r="CVB48" i="8"/>
  <c r="CVA48" i="8"/>
  <c r="CUZ48" i="8"/>
  <c r="CUY48" i="8"/>
  <c r="CUX48" i="8"/>
  <c r="CUW48" i="8"/>
  <c r="CUV48" i="8"/>
  <c r="CUU48" i="8"/>
  <c r="CUT48" i="8"/>
  <c r="CUS48" i="8"/>
  <c r="CUR48" i="8"/>
  <c r="CUQ48" i="8"/>
  <c r="CUP48" i="8"/>
  <c r="CUO48" i="8"/>
  <c r="CUN48" i="8"/>
  <c r="CUM48" i="8"/>
  <c r="CUL48" i="8"/>
  <c r="CUK48" i="8"/>
  <c r="CUJ48" i="8"/>
  <c r="CUI48" i="8"/>
  <c r="CUH48" i="8"/>
  <c r="CUG48" i="8"/>
  <c r="CUF48" i="8"/>
  <c r="CUE48" i="8"/>
  <c r="CUD48" i="8"/>
  <c r="CUC48" i="8"/>
  <c r="CUB48" i="8"/>
  <c r="CUA48" i="8"/>
  <c r="CTZ48" i="8"/>
  <c r="CTY48" i="8"/>
  <c r="CTX48" i="8"/>
  <c r="CTW48" i="8"/>
  <c r="CTV48" i="8"/>
  <c r="CTU48" i="8"/>
  <c r="CTT48" i="8"/>
  <c r="CTS48" i="8"/>
  <c r="CTR48" i="8"/>
  <c r="CTQ48" i="8"/>
  <c r="CTP48" i="8"/>
  <c r="CTO48" i="8"/>
  <c r="CTN48" i="8"/>
  <c r="CTM48" i="8"/>
  <c r="CTL48" i="8"/>
  <c r="CTK48" i="8"/>
  <c r="CTJ48" i="8"/>
  <c r="CTI48" i="8"/>
  <c r="CTH48" i="8"/>
  <c r="CTG48" i="8"/>
  <c r="CTF48" i="8"/>
  <c r="CTE48" i="8"/>
  <c r="CTD48" i="8"/>
  <c r="CTC48" i="8"/>
  <c r="CTB48" i="8"/>
  <c r="CTA48" i="8"/>
  <c r="CSZ48" i="8"/>
  <c r="CSY48" i="8"/>
  <c r="CSX48" i="8"/>
  <c r="CSW48" i="8"/>
  <c r="CSV48" i="8"/>
  <c r="CSU48" i="8"/>
  <c r="CST48" i="8"/>
  <c r="CSS48" i="8"/>
  <c r="CSR48" i="8"/>
  <c r="CSQ48" i="8"/>
  <c r="CSP48" i="8"/>
  <c r="CSO48" i="8"/>
  <c r="CSN48" i="8"/>
  <c r="CSM48" i="8"/>
  <c r="CSL48" i="8"/>
  <c r="CSK48" i="8"/>
  <c r="CSJ48" i="8"/>
  <c r="CSI48" i="8"/>
  <c r="CSH48" i="8"/>
  <c r="CSG48" i="8"/>
  <c r="CSF48" i="8"/>
  <c r="CSE48" i="8"/>
  <c r="CSD48" i="8"/>
  <c r="CSC48" i="8"/>
  <c r="CSB48" i="8"/>
  <c r="CSA48" i="8"/>
  <c r="CRZ48" i="8"/>
  <c r="CRY48" i="8"/>
  <c r="CRX48" i="8"/>
  <c r="CRW48" i="8"/>
  <c r="CRV48" i="8"/>
  <c r="CRU48" i="8"/>
  <c r="CRT48" i="8"/>
  <c r="CRS48" i="8"/>
  <c r="CRR48" i="8"/>
  <c r="CRQ48" i="8"/>
  <c r="CRP48" i="8"/>
  <c r="CRO48" i="8"/>
  <c r="CRN48" i="8"/>
  <c r="CRM48" i="8"/>
  <c r="CRL48" i="8"/>
  <c r="CRK48" i="8"/>
  <c r="CRJ48" i="8"/>
  <c r="CRI48" i="8"/>
  <c r="CRH48" i="8"/>
  <c r="CRG48" i="8"/>
  <c r="CRF48" i="8"/>
  <c r="CRE48" i="8"/>
  <c r="CRD48" i="8"/>
  <c r="CRC48" i="8"/>
  <c r="CRB48" i="8"/>
  <c r="CRA48" i="8"/>
  <c r="CQZ48" i="8"/>
  <c r="CQY48" i="8"/>
  <c r="CQX48" i="8"/>
  <c r="CQW48" i="8"/>
  <c r="CQV48" i="8"/>
  <c r="CQU48" i="8"/>
  <c r="CQT48" i="8"/>
  <c r="CQS48" i="8"/>
  <c r="CQR48" i="8"/>
  <c r="CQQ48" i="8"/>
  <c r="CQP48" i="8"/>
  <c r="CQO48" i="8"/>
  <c r="CQN48" i="8"/>
  <c r="CQM48" i="8"/>
  <c r="CQL48" i="8"/>
  <c r="CQK48" i="8"/>
  <c r="CQJ48" i="8"/>
  <c r="CQI48" i="8"/>
  <c r="CQH48" i="8"/>
  <c r="CQG48" i="8"/>
  <c r="CQF48" i="8"/>
  <c r="CQE48" i="8"/>
  <c r="CQD48" i="8"/>
  <c r="CQC48" i="8"/>
  <c r="CQB48" i="8"/>
  <c r="CQA48" i="8"/>
  <c r="CPZ48" i="8"/>
  <c r="CPY48" i="8"/>
  <c r="CPX48" i="8"/>
  <c r="CPW48" i="8"/>
  <c r="CPV48" i="8"/>
  <c r="CPU48" i="8"/>
  <c r="CPT48" i="8"/>
  <c r="CPS48" i="8"/>
  <c r="CPR48" i="8"/>
  <c r="CPQ48" i="8"/>
  <c r="CPP48" i="8"/>
  <c r="CPO48" i="8"/>
  <c r="CPN48" i="8"/>
  <c r="CPM48" i="8"/>
  <c r="CPL48" i="8"/>
  <c r="CPK48" i="8"/>
  <c r="CPJ48" i="8"/>
  <c r="CPI48" i="8"/>
  <c r="CPH48" i="8"/>
  <c r="CPG48" i="8"/>
  <c r="CPF48" i="8"/>
  <c r="CPE48" i="8"/>
  <c r="CPD48" i="8"/>
  <c r="CPC48" i="8"/>
  <c r="CPB48" i="8"/>
  <c r="CPA48" i="8"/>
  <c r="COZ48" i="8"/>
  <c r="COY48" i="8"/>
  <c r="COX48" i="8"/>
  <c r="COW48" i="8"/>
  <c r="COV48" i="8"/>
  <c r="COU48" i="8"/>
  <c r="COT48" i="8"/>
  <c r="COS48" i="8"/>
  <c r="COR48" i="8"/>
  <c r="COQ48" i="8"/>
  <c r="COP48" i="8"/>
  <c r="COO48" i="8"/>
  <c r="CON48" i="8"/>
  <c r="COM48" i="8"/>
  <c r="COL48" i="8"/>
  <c r="COK48" i="8"/>
  <c r="COJ48" i="8"/>
  <c r="COI48" i="8"/>
  <c r="COH48" i="8"/>
  <c r="COG48" i="8"/>
  <c r="COF48" i="8"/>
  <c r="COE48" i="8"/>
  <c r="COD48" i="8"/>
  <c r="COC48" i="8"/>
  <c r="COB48" i="8"/>
  <c r="COA48" i="8"/>
  <c r="CNZ48" i="8"/>
  <c r="CNY48" i="8"/>
  <c r="CNX48" i="8"/>
  <c r="CNW48" i="8"/>
  <c r="CNV48" i="8"/>
  <c r="CNU48" i="8"/>
  <c r="CNT48" i="8"/>
  <c r="CNS48" i="8"/>
  <c r="CNR48" i="8"/>
  <c r="CNQ48" i="8"/>
  <c r="CNP48" i="8"/>
  <c r="CNO48" i="8"/>
  <c r="CNN48" i="8"/>
  <c r="CNM48" i="8"/>
  <c r="CNL48" i="8"/>
  <c r="CNK48" i="8"/>
  <c r="CNJ48" i="8"/>
  <c r="CNI48" i="8"/>
  <c r="CNH48" i="8"/>
  <c r="CNG48" i="8"/>
  <c r="CNF48" i="8"/>
  <c r="CNE48" i="8"/>
  <c r="CND48" i="8"/>
  <c r="CNC48" i="8"/>
  <c r="CNB48" i="8"/>
  <c r="CNA48" i="8"/>
  <c r="CMZ48" i="8"/>
  <c r="CMY48" i="8"/>
  <c r="CMX48" i="8"/>
  <c r="CMW48" i="8"/>
  <c r="CMV48" i="8"/>
  <c r="CMU48" i="8"/>
  <c r="CMT48" i="8"/>
  <c r="CMS48" i="8"/>
  <c r="CMR48" i="8"/>
  <c r="CMQ48" i="8"/>
  <c r="CMP48" i="8"/>
  <c r="CMO48" i="8"/>
  <c r="CMN48" i="8"/>
  <c r="CMM48" i="8"/>
  <c r="CML48" i="8"/>
  <c r="CMK48" i="8"/>
  <c r="CMJ48" i="8"/>
  <c r="CMI48" i="8"/>
  <c r="CMH48" i="8"/>
  <c r="CMG48" i="8"/>
  <c r="CMF48" i="8"/>
  <c r="CME48" i="8"/>
  <c r="CMD48" i="8"/>
  <c r="CMC48" i="8"/>
  <c r="CMB48" i="8"/>
  <c r="CMA48" i="8"/>
  <c r="CLZ48" i="8"/>
  <c r="CLY48" i="8"/>
  <c r="CLX48" i="8"/>
  <c r="CLW48" i="8"/>
  <c r="CLV48" i="8"/>
  <c r="CLU48" i="8"/>
  <c r="CLT48" i="8"/>
  <c r="CLS48" i="8"/>
  <c r="CLR48" i="8"/>
  <c r="CLQ48" i="8"/>
  <c r="CLP48" i="8"/>
  <c r="CLO48" i="8"/>
  <c r="CLN48" i="8"/>
  <c r="CLM48" i="8"/>
  <c r="CLL48" i="8"/>
  <c r="CLK48" i="8"/>
  <c r="CLJ48" i="8"/>
  <c r="CLI48" i="8"/>
  <c r="CLH48" i="8"/>
  <c r="CLG48" i="8"/>
  <c r="CLF48" i="8"/>
  <c r="CLE48" i="8"/>
  <c r="CLD48" i="8"/>
  <c r="CLC48" i="8"/>
  <c r="CLB48" i="8"/>
  <c r="CLA48" i="8"/>
  <c r="CKZ48" i="8"/>
  <c r="CKY48" i="8"/>
  <c r="CKX48" i="8"/>
  <c r="CKW48" i="8"/>
  <c r="CKV48" i="8"/>
  <c r="CKU48" i="8"/>
  <c r="CKT48" i="8"/>
  <c r="CKS48" i="8"/>
  <c r="CKR48" i="8"/>
  <c r="CKQ48" i="8"/>
  <c r="CKP48" i="8"/>
  <c r="CKO48" i="8"/>
  <c r="CKN48" i="8"/>
  <c r="CKM48" i="8"/>
  <c r="CKL48" i="8"/>
  <c r="CKK48" i="8"/>
  <c r="CKJ48" i="8"/>
  <c r="CKI48" i="8"/>
  <c r="CKH48" i="8"/>
  <c r="CKG48" i="8"/>
  <c r="CKF48" i="8"/>
  <c r="CKE48" i="8"/>
  <c r="CKD48" i="8"/>
  <c r="CKC48" i="8"/>
  <c r="CKB48" i="8"/>
  <c r="CKA48" i="8"/>
  <c r="CJZ48" i="8"/>
  <c r="CJY48" i="8"/>
  <c r="CJX48" i="8"/>
  <c r="CJW48" i="8"/>
  <c r="CJV48" i="8"/>
  <c r="CJU48" i="8"/>
  <c r="CJT48" i="8"/>
  <c r="CJS48" i="8"/>
  <c r="CJR48" i="8"/>
  <c r="CJQ48" i="8"/>
  <c r="CJP48" i="8"/>
  <c r="CJO48" i="8"/>
  <c r="CJN48" i="8"/>
  <c r="CJM48" i="8"/>
  <c r="CJL48" i="8"/>
  <c r="CJK48" i="8"/>
  <c r="CJJ48" i="8"/>
  <c r="CJI48" i="8"/>
  <c r="CJH48" i="8"/>
  <c r="CJG48" i="8"/>
  <c r="CJF48" i="8"/>
  <c r="CJE48" i="8"/>
  <c r="CJD48" i="8"/>
  <c r="CJC48" i="8"/>
  <c r="CJB48" i="8"/>
  <c r="CJA48" i="8"/>
  <c r="CIZ48" i="8"/>
  <c r="CIY48" i="8"/>
  <c r="CIX48" i="8"/>
  <c r="CIW48" i="8"/>
  <c r="CIV48" i="8"/>
  <c r="CIU48" i="8"/>
  <c r="CIT48" i="8"/>
  <c r="CIS48" i="8"/>
  <c r="CIR48" i="8"/>
  <c r="CIQ48" i="8"/>
  <c r="CIP48" i="8"/>
  <c r="CIO48" i="8"/>
  <c r="CIN48" i="8"/>
  <c r="CIM48" i="8"/>
  <c r="CIL48" i="8"/>
  <c r="CIK48" i="8"/>
  <c r="CIJ48" i="8"/>
  <c r="CII48" i="8"/>
  <c r="CIH48" i="8"/>
  <c r="CIG48" i="8"/>
  <c r="CIF48" i="8"/>
  <c r="CIE48" i="8"/>
  <c r="CID48" i="8"/>
  <c r="CIC48" i="8"/>
  <c r="CIB48" i="8"/>
  <c r="CIA48" i="8"/>
  <c r="CHZ48" i="8"/>
  <c r="CHY48" i="8"/>
  <c r="CHX48" i="8"/>
  <c r="CHW48" i="8"/>
  <c r="CHV48" i="8"/>
  <c r="CHU48" i="8"/>
  <c r="CHT48" i="8"/>
  <c r="CHS48" i="8"/>
  <c r="CHR48" i="8"/>
  <c r="CHQ48" i="8"/>
  <c r="CHP48" i="8"/>
  <c r="CHO48" i="8"/>
  <c r="CHN48" i="8"/>
  <c r="CHM48" i="8"/>
  <c r="CHL48" i="8"/>
  <c r="CHK48" i="8"/>
  <c r="CHJ48" i="8"/>
  <c r="CHI48" i="8"/>
  <c r="CHH48" i="8"/>
  <c r="CHG48" i="8"/>
  <c r="CHF48" i="8"/>
  <c r="CHE48" i="8"/>
  <c r="CHD48" i="8"/>
  <c r="CHC48" i="8"/>
  <c r="CHB48" i="8"/>
  <c r="CHA48" i="8"/>
  <c r="CGZ48" i="8"/>
  <c r="CGY48" i="8"/>
  <c r="CGX48" i="8"/>
  <c r="CGW48" i="8"/>
  <c r="CGV48" i="8"/>
  <c r="CGU48" i="8"/>
  <c r="CGT48" i="8"/>
  <c r="CGS48" i="8"/>
  <c r="CGR48" i="8"/>
  <c r="CGQ48" i="8"/>
  <c r="CGP48" i="8"/>
  <c r="CGO48" i="8"/>
  <c r="CGN48" i="8"/>
  <c r="CGM48" i="8"/>
  <c r="CGL48" i="8"/>
  <c r="CGK48" i="8"/>
  <c r="CGJ48" i="8"/>
  <c r="CGI48" i="8"/>
  <c r="CGH48" i="8"/>
  <c r="CGG48" i="8"/>
  <c r="CGF48" i="8"/>
  <c r="CGE48" i="8"/>
  <c r="CGD48" i="8"/>
  <c r="CGC48" i="8"/>
  <c r="CGB48" i="8"/>
  <c r="CGA48" i="8"/>
  <c r="CFZ48" i="8"/>
  <c r="CFY48" i="8"/>
  <c r="CFX48" i="8"/>
  <c r="CFW48" i="8"/>
  <c r="CFV48" i="8"/>
  <c r="CFU48" i="8"/>
  <c r="CFT48" i="8"/>
  <c r="CFS48" i="8"/>
  <c r="CFR48" i="8"/>
  <c r="CFQ48" i="8"/>
  <c r="CFP48" i="8"/>
  <c r="CFO48" i="8"/>
  <c r="CFN48" i="8"/>
  <c r="CFM48" i="8"/>
  <c r="CFL48" i="8"/>
  <c r="CFK48" i="8"/>
  <c r="CFJ48" i="8"/>
  <c r="CFI48" i="8"/>
  <c r="CFH48" i="8"/>
  <c r="CFG48" i="8"/>
  <c r="CFF48" i="8"/>
  <c r="CFE48" i="8"/>
  <c r="CFD48" i="8"/>
  <c r="CFC48" i="8"/>
  <c r="CFB48" i="8"/>
  <c r="CFA48" i="8"/>
  <c r="CEZ48" i="8"/>
  <c r="CEY48" i="8"/>
  <c r="CEX48" i="8"/>
  <c r="CEW48" i="8"/>
  <c r="CEV48" i="8"/>
  <c r="CEU48" i="8"/>
  <c r="CET48" i="8"/>
  <c r="CES48" i="8"/>
  <c r="CER48" i="8"/>
  <c r="CEQ48" i="8"/>
  <c r="CEP48" i="8"/>
  <c r="CEO48" i="8"/>
  <c r="CEN48" i="8"/>
  <c r="CEM48" i="8"/>
  <c r="CEL48" i="8"/>
  <c r="CEK48" i="8"/>
  <c r="CEJ48" i="8"/>
  <c r="CEI48" i="8"/>
  <c r="CEH48" i="8"/>
  <c r="CEG48" i="8"/>
  <c r="CEF48" i="8"/>
  <c r="CEE48" i="8"/>
  <c r="CED48" i="8"/>
  <c r="CEC48" i="8"/>
  <c r="CEB48" i="8"/>
  <c r="CEA48" i="8"/>
  <c r="CDZ48" i="8"/>
  <c r="CDY48" i="8"/>
  <c r="CDX48" i="8"/>
  <c r="CDW48" i="8"/>
  <c r="CDV48" i="8"/>
  <c r="CDU48" i="8"/>
  <c r="CDT48" i="8"/>
  <c r="CDS48" i="8"/>
  <c r="CDR48" i="8"/>
  <c r="CDQ48" i="8"/>
  <c r="CDP48" i="8"/>
  <c r="CDO48" i="8"/>
  <c r="CDN48" i="8"/>
  <c r="CDM48" i="8"/>
  <c r="CDL48" i="8"/>
  <c r="CDK48" i="8"/>
  <c r="CDJ48" i="8"/>
  <c r="CDI48" i="8"/>
  <c r="CDH48" i="8"/>
  <c r="CDG48" i="8"/>
  <c r="CDF48" i="8"/>
  <c r="CDE48" i="8"/>
  <c r="CDD48" i="8"/>
  <c r="CDC48" i="8"/>
  <c r="CDB48" i="8"/>
  <c r="CDA48" i="8"/>
  <c r="CCZ48" i="8"/>
  <c r="CCY48" i="8"/>
  <c r="CCX48" i="8"/>
  <c r="CCW48" i="8"/>
  <c r="CCV48" i="8"/>
  <c r="CCU48" i="8"/>
  <c r="CCT48" i="8"/>
  <c r="CCS48" i="8"/>
  <c r="CCR48" i="8"/>
  <c r="CCQ48" i="8"/>
  <c r="CCP48" i="8"/>
  <c r="CCO48" i="8"/>
  <c r="CCN48" i="8"/>
  <c r="CCM48" i="8"/>
  <c r="CCL48" i="8"/>
  <c r="CCK48" i="8"/>
  <c r="CCJ48" i="8"/>
  <c r="CCI48" i="8"/>
  <c r="CCH48" i="8"/>
  <c r="CCG48" i="8"/>
  <c r="CCF48" i="8"/>
  <c r="CCE48" i="8"/>
  <c r="CCD48" i="8"/>
  <c r="CCC48" i="8"/>
  <c r="CCB48" i="8"/>
  <c r="CCA48" i="8"/>
  <c r="CBZ48" i="8"/>
  <c r="CBY48" i="8"/>
  <c r="CBX48" i="8"/>
  <c r="CBW48" i="8"/>
  <c r="CBV48" i="8"/>
  <c r="CBU48" i="8"/>
  <c r="CBT48" i="8"/>
  <c r="CBS48" i="8"/>
  <c r="CBR48" i="8"/>
  <c r="CBQ48" i="8"/>
  <c r="CBP48" i="8"/>
  <c r="CBO48" i="8"/>
  <c r="CBN48" i="8"/>
  <c r="CBM48" i="8"/>
  <c r="CBL48" i="8"/>
  <c r="CBK48" i="8"/>
  <c r="CBJ48" i="8"/>
  <c r="CBI48" i="8"/>
  <c r="CBH48" i="8"/>
  <c r="CBG48" i="8"/>
  <c r="CBF48" i="8"/>
  <c r="CBE48" i="8"/>
  <c r="CBD48" i="8"/>
  <c r="CBC48" i="8"/>
  <c r="CBB48" i="8"/>
  <c r="CBA48" i="8"/>
  <c r="CAZ48" i="8"/>
  <c r="CAY48" i="8"/>
  <c r="CAX48" i="8"/>
  <c r="CAW48" i="8"/>
  <c r="CAV48" i="8"/>
  <c r="CAU48" i="8"/>
  <c r="CAT48" i="8"/>
  <c r="CAS48" i="8"/>
  <c r="CAR48" i="8"/>
  <c r="CAQ48" i="8"/>
  <c r="CAP48" i="8"/>
  <c r="CAO48" i="8"/>
  <c r="CAN48" i="8"/>
  <c r="CAM48" i="8"/>
  <c r="CAL48" i="8"/>
  <c r="CAK48" i="8"/>
  <c r="CAJ48" i="8"/>
  <c r="CAI48" i="8"/>
  <c r="CAH48" i="8"/>
  <c r="CAG48" i="8"/>
  <c r="CAF48" i="8"/>
  <c r="CAE48" i="8"/>
  <c r="CAD48" i="8"/>
  <c r="CAC48" i="8"/>
  <c r="CAB48" i="8"/>
  <c r="CAA48" i="8"/>
  <c r="BZZ48" i="8"/>
  <c r="BZY48" i="8"/>
  <c r="BZX48" i="8"/>
  <c r="BZW48" i="8"/>
  <c r="BZV48" i="8"/>
  <c r="BZU48" i="8"/>
  <c r="BZT48" i="8"/>
  <c r="BZS48" i="8"/>
  <c r="BZR48" i="8"/>
  <c r="BZQ48" i="8"/>
  <c r="BZP48" i="8"/>
  <c r="BZO48" i="8"/>
  <c r="BZN48" i="8"/>
  <c r="BZM48" i="8"/>
  <c r="BZL48" i="8"/>
  <c r="BZK48" i="8"/>
  <c r="BZJ48" i="8"/>
  <c r="BZI48" i="8"/>
  <c r="BZH48" i="8"/>
  <c r="BZG48" i="8"/>
  <c r="BZF48" i="8"/>
  <c r="BZE48" i="8"/>
  <c r="BZD48" i="8"/>
  <c r="BZC48" i="8"/>
  <c r="BZB48" i="8"/>
  <c r="BZA48" i="8"/>
  <c r="BYZ48" i="8"/>
  <c r="BYY48" i="8"/>
  <c r="BYX48" i="8"/>
  <c r="BYW48" i="8"/>
  <c r="BYV48" i="8"/>
  <c r="BYU48" i="8"/>
  <c r="BYT48" i="8"/>
  <c r="BYS48" i="8"/>
  <c r="BYR48" i="8"/>
  <c r="BYQ48" i="8"/>
  <c r="BYP48" i="8"/>
  <c r="BYO48" i="8"/>
  <c r="BYN48" i="8"/>
  <c r="BYM48" i="8"/>
  <c r="BYL48" i="8"/>
  <c r="BYK48" i="8"/>
  <c r="BYJ48" i="8"/>
  <c r="BYI48" i="8"/>
  <c r="BYH48" i="8"/>
  <c r="BYG48" i="8"/>
  <c r="BYF48" i="8"/>
  <c r="BYE48" i="8"/>
  <c r="BYD48" i="8"/>
  <c r="BYC48" i="8"/>
  <c r="BYB48" i="8"/>
  <c r="BYA48" i="8"/>
  <c r="BXZ48" i="8"/>
  <c r="BXY48" i="8"/>
  <c r="BXX48" i="8"/>
  <c r="BXW48" i="8"/>
  <c r="BXV48" i="8"/>
  <c r="BXU48" i="8"/>
  <c r="BXT48" i="8"/>
  <c r="BXS48" i="8"/>
  <c r="BXR48" i="8"/>
  <c r="BXQ48" i="8"/>
  <c r="BXP48" i="8"/>
  <c r="BXO48" i="8"/>
  <c r="BXN48" i="8"/>
  <c r="BXM48" i="8"/>
  <c r="BXL48" i="8"/>
  <c r="BXK48" i="8"/>
  <c r="BXJ48" i="8"/>
  <c r="BXI48" i="8"/>
  <c r="BXH48" i="8"/>
  <c r="BXG48" i="8"/>
  <c r="BXF48" i="8"/>
  <c r="BXE48" i="8"/>
  <c r="BXD48" i="8"/>
  <c r="BXC48" i="8"/>
  <c r="BXB48" i="8"/>
  <c r="BXA48" i="8"/>
  <c r="BWZ48" i="8"/>
  <c r="BWY48" i="8"/>
  <c r="BWX48" i="8"/>
  <c r="BWW48" i="8"/>
  <c r="BWV48" i="8"/>
  <c r="BWU48" i="8"/>
  <c r="BWT48" i="8"/>
  <c r="BWS48" i="8"/>
  <c r="BWR48" i="8"/>
  <c r="BWQ48" i="8"/>
  <c r="BWP48" i="8"/>
  <c r="BWO48" i="8"/>
  <c r="BWN48" i="8"/>
  <c r="BWM48" i="8"/>
  <c r="BWL48" i="8"/>
  <c r="BWK48" i="8"/>
  <c r="BWJ48" i="8"/>
  <c r="BWI48" i="8"/>
  <c r="BWH48" i="8"/>
  <c r="BWG48" i="8"/>
  <c r="BWF48" i="8"/>
  <c r="BWE48" i="8"/>
  <c r="BWD48" i="8"/>
  <c r="BWC48" i="8"/>
  <c r="BWB48" i="8"/>
  <c r="BWA48" i="8"/>
  <c r="BVZ48" i="8"/>
  <c r="BVY48" i="8"/>
  <c r="BVX48" i="8"/>
  <c r="BVW48" i="8"/>
  <c r="BVV48" i="8"/>
  <c r="BVU48" i="8"/>
  <c r="BVT48" i="8"/>
  <c r="BVS48" i="8"/>
  <c r="BVR48" i="8"/>
  <c r="BVQ48" i="8"/>
  <c r="BVP48" i="8"/>
  <c r="BVO48" i="8"/>
  <c r="BVN48" i="8"/>
  <c r="BVM48" i="8"/>
  <c r="BVL48" i="8"/>
  <c r="BVK48" i="8"/>
  <c r="BVJ48" i="8"/>
  <c r="BVI48" i="8"/>
  <c r="BVH48" i="8"/>
  <c r="BVG48" i="8"/>
  <c r="BVF48" i="8"/>
  <c r="BVE48" i="8"/>
  <c r="BVD48" i="8"/>
  <c r="BVC48" i="8"/>
  <c r="BVB48" i="8"/>
  <c r="BVA48" i="8"/>
  <c r="BUZ48" i="8"/>
  <c r="BUY48" i="8"/>
  <c r="BUX48" i="8"/>
  <c r="BUW48" i="8"/>
  <c r="BUV48" i="8"/>
  <c r="BUU48" i="8"/>
  <c r="BUT48" i="8"/>
  <c r="BUS48" i="8"/>
  <c r="BUR48" i="8"/>
  <c r="BUQ48" i="8"/>
  <c r="BUP48" i="8"/>
  <c r="BUO48" i="8"/>
  <c r="BUN48" i="8"/>
  <c r="BUM48" i="8"/>
  <c r="BUL48" i="8"/>
  <c r="BUK48" i="8"/>
  <c r="BUJ48" i="8"/>
  <c r="BUI48" i="8"/>
  <c r="BUH48" i="8"/>
  <c r="BUG48" i="8"/>
  <c r="BUF48" i="8"/>
  <c r="BUE48" i="8"/>
  <c r="BUD48" i="8"/>
  <c r="BUC48" i="8"/>
  <c r="BUB48" i="8"/>
  <c r="BUA48" i="8"/>
  <c r="BTZ48" i="8"/>
  <c r="BTY48" i="8"/>
  <c r="BTX48" i="8"/>
  <c r="BTW48" i="8"/>
  <c r="BTV48" i="8"/>
  <c r="BTU48" i="8"/>
  <c r="BTT48" i="8"/>
  <c r="BTS48" i="8"/>
  <c r="BTR48" i="8"/>
  <c r="BTQ48" i="8"/>
  <c r="BTP48" i="8"/>
  <c r="BTO48" i="8"/>
  <c r="BTN48" i="8"/>
  <c r="BTM48" i="8"/>
  <c r="BTL48" i="8"/>
  <c r="BTK48" i="8"/>
  <c r="BTJ48" i="8"/>
  <c r="BTI48" i="8"/>
  <c r="BTH48" i="8"/>
  <c r="BTG48" i="8"/>
  <c r="BTF48" i="8"/>
  <c r="BTE48" i="8"/>
  <c r="BTD48" i="8"/>
  <c r="BTC48" i="8"/>
  <c r="BTB48" i="8"/>
  <c r="BTA48" i="8"/>
  <c r="BSZ48" i="8"/>
  <c r="BSY48" i="8"/>
  <c r="BSX48" i="8"/>
  <c r="BSW48" i="8"/>
  <c r="BSV48" i="8"/>
  <c r="BSU48" i="8"/>
  <c r="BST48" i="8"/>
  <c r="BSS48" i="8"/>
  <c r="BSR48" i="8"/>
  <c r="BSQ48" i="8"/>
  <c r="BSP48" i="8"/>
  <c r="BSO48" i="8"/>
  <c r="BSN48" i="8"/>
  <c r="BSM48" i="8"/>
  <c r="BSL48" i="8"/>
  <c r="BSK48" i="8"/>
  <c r="BSJ48" i="8"/>
  <c r="BSI48" i="8"/>
  <c r="BSH48" i="8"/>
  <c r="BSG48" i="8"/>
  <c r="BSF48" i="8"/>
  <c r="BSE48" i="8"/>
  <c r="BSD48" i="8"/>
  <c r="BSC48" i="8"/>
  <c r="BSB48" i="8"/>
  <c r="BSA48" i="8"/>
  <c r="BRZ48" i="8"/>
  <c r="BRY48" i="8"/>
  <c r="BRX48" i="8"/>
  <c r="BRW48" i="8"/>
  <c r="BRV48" i="8"/>
  <c r="BRU48" i="8"/>
  <c r="BRT48" i="8"/>
  <c r="BRS48" i="8"/>
  <c r="BRR48" i="8"/>
  <c r="BRQ48" i="8"/>
  <c r="BRP48" i="8"/>
  <c r="BRO48" i="8"/>
  <c r="BRN48" i="8"/>
  <c r="BRM48" i="8"/>
  <c r="BRL48" i="8"/>
  <c r="BRK48" i="8"/>
  <c r="BRJ48" i="8"/>
  <c r="BRI48" i="8"/>
  <c r="BRH48" i="8"/>
  <c r="BRG48" i="8"/>
  <c r="BRF48" i="8"/>
  <c r="BRE48" i="8"/>
  <c r="BRD48" i="8"/>
  <c r="BRC48" i="8"/>
  <c r="BRB48" i="8"/>
  <c r="BRA48" i="8"/>
  <c r="BQZ48" i="8"/>
  <c r="BQY48" i="8"/>
  <c r="BQX48" i="8"/>
  <c r="BQW48" i="8"/>
  <c r="BQV48" i="8"/>
  <c r="BQU48" i="8"/>
  <c r="BQT48" i="8"/>
  <c r="BQS48" i="8"/>
  <c r="BQR48" i="8"/>
  <c r="BQQ48" i="8"/>
  <c r="BQP48" i="8"/>
  <c r="BQO48" i="8"/>
  <c r="BQN48" i="8"/>
  <c r="BQM48" i="8"/>
  <c r="BQL48" i="8"/>
  <c r="BQK48" i="8"/>
  <c r="BQJ48" i="8"/>
  <c r="BQI48" i="8"/>
  <c r="BQH48" i="8"/>
  <c r="BQG48" i="8"/>
  <c r="BQF48" i="8"/>
  <c r="BQE48" i="8"/>
  <c r="BQD48" i="8"/>
  <c r="BQC48" i="8"/>
  <c r="BQB48" i="8"/>
  <c r="BQA48" i="8"/>
  <c r="BPZ48" i="8"/>
  <c r="BPY48" i="8"/>
  <c r="BPX48" i="8"/>
  <c r="BPW48" i="8"/>
  <c r="BPV48" i="8"/>
  <c r="BPU48" i="8"/>
  <c r="BPT48" i="8"/>
  <c r="BPS48" i="8"/>
  <c r="BPR48" i="8"/>
  <c r="BPQ48" i="8"/>
  <c r="BPP48" i="8"/>
  <c r="BPO48" i="8"/>
  <c r="BPN48" i="8"/>
  <c r="BPM48" i="8"/>
  <c r="BPL48" i="8"/>
  <c r="BPK48" i="8"/>
  <c r="BPJ48" i="8"/>
  <c r="BPI48" i="8"/>
  <c r="BPH48" i="8"/>
  <c r="BPG48" i="8"/>
  <c r="BPF48" i="8"/>
  <c r="BPE48" i="8"/>
  <c r="BPD48" i="8"/>
  <c r="BPC48" i="8"/>
  <c r="BPB48" i="8"/>
  <c r="BPA48" i="8"/>
  <c r="BOZ48" i="8"/>
  <c r="BOY48" i="8"/>
  <c r="BOX48" i="8"/>
  <c r="BOW48" i="8"/>
  <c r="BOV48" i="8"/>
  <c r="BOU48" i="8"/>
  <c r="BOT48" i="8"/>
  <c r="BOS48" i="8"/>
  <c r="BOR48" i="8"/>
  <c r="BOQ48" i="8"/>
  <c r="BOP48" i="8"/>
  <c r="BOO48" i="8"/>
  <c r="BON48" i="8"/>
  <c r="BOM48" i="8"/>
  <c r="BOL48" i="8"/>
  <c r="BOK48" i="8"/>
  <c r="BOJ48" i="8"/>
  <c r="BOI48" i="8"/>
  <c r="BOH48" i="8"/>
  <c r="BOG48" i="8"/>
  <c r="BOF48" i="8"/>
  <c r="BOE48" i="8"/>
  <c r="BOD48" i="8"/>
  <c r="BOC48" i="8"/>
  <c r="BOB48" i="8"/>
  <c r="BOA48" i="8"/>
  <c r="BNZ48" i="8"/>
  <c r="BNY48" i="8"/>
  <c r="BNX48" i="8"/>
  <c r="BNW48" i="8"/>
  <c r="BNV48" i="8"/>
  <c r="BNU48" i="8"/>
  <c r="BNT48" i="8"/>
  <c r="BNS48" i="8"/>
  <c r="BNR48" i="8"/>
  <c r="BNQ48" i="8"/>
  <c r="BNP48" i="8"/>
  <c r="BNO48" i="8"/>
  <c r="BNN48" i="8"/>
  <c r="BNM48" i="8"/>
  <c r="BNL48" i="8"/>
  <c r="BNK48" i="8"/>
  <c r="BNJ48" i="8"/>
  <c r="BNI48" i="8"/>
  <c r="BNH48" i="8"/>
  <c r="BNG48" i="8"/>
  <c r="BNF48" i="8"/>
  <c r="BNE48" i="8"/>
  <c r="BND48" i="8"/>
  <c r="BNC48" i="8"/>
  <c r="BNB48" i="8"/>
  <c r="BNA48" i="8"/>
  <c r="BMZ48" i="8"/>
  <c r="BMY48" i="8"/>
  <c r="BMX48" i="8"/>
  <c r="BMW48" i="8"/>
  <c r="BMV48" i="8"/>
  <c r="BMU48" i="8"/>
  <c r="BMT48" i="8"/>
  <c r="BMS48" i="8"/>
  <c r="BMR48" i="8"/>
  <c r="BMQ48" i="8"/>
  <c r="BMP48" i="8"/>
  <c r="BMO48" i="8"/>
  <c r="BMN48" i="8"/>
  <c r="BMM48" i="8"/>
  <c r="BML48" i="8"/>
  <c r="BMK48" i="8"/>
  <c r="BMJ48" i="8"/>
  <c r="BMI48" i="8"/>
  <c r="BMH48" i="8"/>
  <c r="BMG48" i="8"/>
  <c r="BMF48" i="8"/>
  <c r="BME48" i="8"/>
  <c r="BMD48" i="8"/>
  <c r="BMC48" i="8"/>
  <c r="BMB48" i="8"/>
  <c r="BMA48" i="8"/>
  <c r="BLZ48" i="8"/>
  <c r="BLY48" i="8"/>
  <c r="BLX48" i="8"/>
  <c r="BLW48" i="8"/>
  <c r="BLV48" i="8"/>
  <c r="BLU48" i="8"/>
  <c r="BLT48" i="8"/>
  <c r="BLS48" i="8"/>
  <c r="BLR48" i="8"/>
  <c r="BLQ48" i="8"/>
  <c r="BLP48" i="8"/>
  <c r="BLO48" i="8"/>
  <c r="BLN48" i="8"/>
  <c r="BLM48" i="8"/>
  <c r="BLL48" i="8"/>
  <c r="BLK48" i="8"/>
  <c r="BLJ48" i="8"/>
  <c r="BLI48" i="8"/>
  <c r="BLH48" i="8"/>
  <c r="BLG48" i="8"/>
  <c r="BLF48" i="8"/>
  <c r="BLE48" i="8"/>
  <c r="BLD48" i="8"/>
  <c r="BLC48" i="8"/>
  <c r="BLB48" i="8"/>
  <c r="BLA48" i="8"/>
  <c r="BKZ48" i="8"/>
  <c r="BKY48" i="8"/>
  <c r="BKX48" i="8"/>
  <c r="BKW48" i="8"/>
  <c r="BKV48" i="8"/>
  <c r="BKU48" i="8"/>
  <c r="BKT48" i="8"/>
  <c r="BKS48" i="8"/>
  <c r="BKR48" i="8"/>
  <c r="BKQ48" i="8"/>
  <c r="BKP48" i="8"/>
  <c r="BKO48" i="8"/>
  <c r="BKN48" i="8"/>
  <c r="BKM48" i="8"/>
  <c r="BKL48" i="8"/>
  <c r="BKK48" i="8"/>
  <c r="BKJ48" i="8"/>
  <c r="BKI48" i="8"/>
  <c r="BKH48" i="8"/>
  <c r="BKG48" i="8"/>
  <c r="BKF48" i="8"/>
  <c r="BKE48" i="8"/>
  <c r="BKD48" i="8"/>
  <c r="BKC48" i="8"/>
  <c r="BKB48" i="8"/>
  <c r="BKA48" i="8"/>
  <c r="BJZ48" i="8"/>
  <c r="BJY48" i="8"/>
  <c r="BJX48" i="8"/>
  <c r="BJW48" i="8"/>
  <c r="BJV48" i="8"/>
  <c r="BJU48" i="8"/>
  <c r="BJT48" i="8"/>
  <c r="BJS48" i="8"/>
  <c r="BJR48" i="8"/>
  <c r="BJQ48" i="8"/>
  <c r="BJP48" i="8"/>
  <c r="BJO48" i="8"/>
  <c r="BJN48" i="8"/>
  <c r="BJM48" i="8"/>
  <c r="BJL48" i="8"/>
  <c r="BJK48" i="8"/>
  <c r="BJJ48" i="8"/>
  <c r="BJI48" i="8"/>
  <c r="BJH48" i="8"/>
  <c r="BJG48" i="8"/>
  <c r="BJF48" i="8"/>
  <c r="BJE48" i="8"/>
  <c r="BJD48" i="8"/>
  <c r="BJC48" i="8"/>
  <c r="BJB48" i="8"/>
  <c r="BJA48" i="8"/>
  <c r="BIZ48" i="8"/>
  <c r="BIY48" i="8"/>
  <c r="BIX48" i="8"/>
  <c r="BIW48" i="8"/>
  <c r="BIV48" i="8"/>
  <c r="BIU48" i="8"/>
  <c r="BIT48" i="8"/>
  <c r="BIS48" i="8"/>
  <c r="BIR48" i="8"/>
  <c r="BIQ48" i="8"/>
  <c r="BIP48" i="8"/>
  <c r="BIO48" i="8"/>
  <c r="BIN48" i="8"/>
  <c r="BIM48" i="8"/>
  <c r="BIL48" i="8"/>
  <c r="BIK48" i="8"/>
  <c r="BIJ48" i="8"/>
  <c r="BII48" i="8"/>
  <c r="BIH48" i="8"/>
  <c r="BIG48" i="8"/>
  <c r="BIF48" i="8"/>
  <c r="BIE48" i="8"/>
  <c r="BID48" i="8"/>
  <c r="BIC48" i="8"/>
  <c r="BIB48" i="8"/>
  <c r="BIA48" i="8"/>
  <c r="BHZ48" i="8"/>
  <c r="BHY48" i="8"/>
  <c r="BHX48" i="8"/>
  <c r="BHW48" i="8"/>
  <c r="BHV48" i="8"/>
  <c r="BHU48" i="8"/>
  <c r="BHT48" i="8"/>
  <c r="BHS48" i="8"/>
  <c r="BHR48" i="8"/>
  <c r="BHQ48" i="8"/>
  <c r="BHP48" i="8"/>
  <c r="BHO48" i="8"/>
  <c r="BHN48" i="8"/>
  <c r="BHM48" i="8"/>
  <c r="BHL48" i="8"/>
  <c r="BHK48" i="8"/>
  <c r="BHJ48" i="8"/>
  <c r="BHI48" i="8"/>
  <c r="BHH48" i="8"/>
  <c r="BHG48" i="8"/>
  <c r="BHF48" i="8"/>
  <c r="BHE48" i="8"/>
  <c r="BHD48" i="8"/>
  <c r="BHC48" i="8"/>
  <c r="BHB48" i="8"/>
  <c r="BHA48" i="8"/>
  <c r="BGZ48" i="8"/>
  <c r="BGY48" i="8"/>
  <c r="BGX48" i="8"/>
  <c r="BGW48" i="8"/>
  <c r="BGV48" i="8"/>
  <c r="BGU48" i="8"/>
  <c r="BGT48" i="8"/>
  <c r="BGS48" i="8"/>
  <c r="BGR48" i="8"/>
  <c r="BGQ48" i="8"/>
  <c r="BGP48" i="8"/>
  <c r="BGO48" i="8"/>
  <c r="BGN48" i="8"/>
  <c r="BGM48" i="8"/>
  <c r="BGL48" i="8"/>
  <c r="BGK48" i="8"/>
  <c r="BGJ48" i="8"/>
  <c r="BGI48" i="8"/>
  <c r="BGH48" i="8"/>
  <c r="BGG48" i="8"/>
  <c r="BGF48" i="8"/>
  <c r="BGE48" i="8"/>
  <c r="BGD48" i="8"/>
  <c r="BGC48" i="8"/>
  <c r="BGB48" i="8"/>
  <c r="BGA48" i="8"/>
  <c r="BFZ48" i="8"/>
  <c r="BFY48" i="8"/>
  <c r="BFX48" i="8"/>
  <c r="BFW48" i="8"/>
  <c r="BFV48" i="8"/>
  <c r="BFU48" i="8"/>
  <c r="BFT48" i="8"/>
  <c r="BFS48" i="8"/>
  <c r="BFR48" i="8"/>
  <c r="BFQ48" i="8"/>
  <c r="BFP48" i="8"/>
  <c r="BFO48" i="8"/>
  <c r="BFN48" i="8"/>
  <c r="BFM48" i="8"/>
  <c r="BFL48" i="8"/>
  <c r="BFK48" i="8"/>
  <c r="BFJ48" i="8"/>
  <c r="BFI48" i="8"/>
  <c r="BFH48" i="8"/>
  <c r="BFG48" i="8"/>
  <c r="BFF48" i="8"/>
  <c r="BFE48" i="8"/>
  <c r="BFD48" i="8"/>
  <c r="BFC48" i="8"/>
  <c r="BFB48" i="8"/>
  <c r="BFA48" i="8"/>
  <c r="BEZ48" i="8"/>
  <c r="BEY48" i="8"/>
  <c r="BEX48" i="8"/>
  <c r="BEW48" i="8"/>
  <c r="BEV48" i="8"/>
  <c r="BEU48" i="8"/>
  <c r="BET48" i="8"/>
  <c r="BES48" i="8"/>
  <c r="BER48" i="8"/>
  <c r="BEQ48" i="8"/>
  <c r="BEP48" i="8"/>
  <c r="BEO48" i="8"/>
  <c r="BEN48" i="8"/>
  <c r="BEM48" i="8"/>
  <c r="BEL48" i="8"/>
  <c r="BEK48" i="8"/>
  <c r="BEJ48" i="8"/>
  <c r="BEI48" i="8"/>
  <c r="BEH48" i="8"/>
  <c r="BEG48" i="8"/>
  <c r="BEF48" i="8"/>
  <c r="BEE48" i="8"/>
  <c r="BED48" i="8"/>
  <c r="BEC48" i="8"/>
  <c r="BEB48" i="8"/>
  <c r="BEA48" i="8"/>
  <c r="BDZ48" i="8"/>
  <c r="BDY48" i="8"/>
  <c r="BDX48" i="8"/>
  <c r="BDW48" i="8"/>
  <c r="BDV48" i="8"/>
  <c r="BDU48" i="8"/>
  <c r="BDT48" i="8"/>
  <c r="BDS48" i="8"/>
  <c r="BDR48" i="8"/>
  <c r="BDQ48" i="8"/>
  <c r="BDP48" i="8"/>
  <c r="BDO48" i="8"/>
  <c r="BDN48" i="8"/>
  <c r="BDM48" i="8"/>
  <c r="BDL48" i="8"/>
  <c r="BDK48" i="8"/>
  <c r="BDJ48" i="8"/>
  <c r="BDI48" i="8"/>
  <c r="BDH48" i="8"/>
  <c r="BDG48" i="8"/>
  <c r="BDF48" i="8"/>
  <c r="BDE48" i="8"/>
  <c r="BDD48" i="8"/>
  <c r="BDC48" i="8"/>
  <c r="BDB48" i="8"/>
  <c r="BDA48" i="8"/>
  <c r="BCZ48" i="8"/>
  <c r="BCY48" i="8"/>
  <c r="BCX48" i="8"/>
  <c r="BCW48" i="8"/>
  <c r="BCV48" i="8"/>
  <c r="BCU48" i="8"/>
  <c r="BCT48" i="8"/>
  <c r="BCS48" i="8"/>
  <c r="BCR48" i="8"/>
  <c r="BCQ48" i="8"/>
  <c r="BCP48" i="8"/>
  <c r="BCO48" i="8"/>
  <c r="BCN48" i="8"/>
  <c r="BCM48" i="8"/>
  <c r="BCL48" i="8"/>
  <c r="BCK48" i="8"/>
  <c r="BCJ48" i="8"/>
  <c r="BCI48" i="8"/>
  <c r="BCH48" i="8"/>
  <c r="BCG48" i="8"/>
  <c r="BCF48" i="8"/>
  <c r="BCE48" i="8"/>
  <c r="BCD48" i="8"/>
  <c r="BCC48" i="8"/>
  <c r="BCB48" i="8"/>
  <c r="BCA48" i="8"/>
  <c r="BBZ48" i="8"/>
  <c r="BBY48" i="8"/>
  <c r="BBX48" i="8"/>
  <c r="BBW48" i="8"/>
  <c r="BBV48" i="8"/>
  <c r="BBU48" i="8"/>
  <c r="BBT48" i="8"/>
  <c r="BBS48" i="8"/>
  <c r="BBR48" i="8"/>
  <c r="BBQ48" i="8"/>
  <c r="BBP48" i="8"/>
  <c r="BBO48" i="8"/>
  <c r="BBN48" i="8"/>
  <c r="BBM48" i="8"/>
  <c r="BBL48" i="8"/>
  <c r="BBK48" i="8"/>
  <c r="BBJ48" i="8"/>
  <c r="BBI48" i="8"/>
  <c r="BBH48" i="8"/>
  <c r="BBG48" i="8"/>
  <c r="BBF48" i="8"/>
  <c r="BBE48" i="8"/>
  <c r="BBD48" i="8"/>
  <c r="BBC48" i="8"/>
  <c r="BBB48" i="8"/>
  <c r="BBA48" i="8"/>
  <c r="BAZ48" i="8"/>
  <c r="BAY48" i="8"/>
  <c r="BAX48" i="8"/>
  <c r="BAW48" i="8"/>
  <c r="BAV48" i="8"/>
  <c r="BAU48" i="8"/>
  <c r="BAT48" i="8"/>
  <c r="BAS48" i="8"/>
  <c r="BAR48" i="8"/>
  <c r="BAQ48" i="8"/>
  <c r="BAP48" i="8"/>
  <c r="BAO48" i="8"/>
  <c r="BAN48" i="8"/>
  <c r="BAM48" i="8"/>
  <c r="BAL48" i="8"/>
  <c r="BAK48" i="8"/>
  <c r="BAJ48" i="8"/>
  <c r="BAI48" i="8"/>
  <c r="BAH48" i="8"/>
  <c r="BAG48" i="8"/>
  <c r="BAF48" i="8"/>
  <c r="BAE48" i="8"/>
  <c r="BAD48" i="8"/>
  <c r="BAC48" i="8"/>
  <c r="BAB48" i="8"/>
  <c r="BAA48" i="8"/>
  <c r="AZZ48" i="8"/>
  <c r="AZY48" i="8"/>
  <c r="AZX48" i="8"/>
  <c r="AZW48" i="8"/>
  <c r="AZV48" i="8"/>
  <c r="AZU48" i="8"/>
  <c r="AZT48" i="8"/>
  <c r="AZS48" i="8"/>
  <c r="AZR48" i="8"/>
  <c r="AZQ48" i="8"/>
  <c r="AZP48" i="8"/>
  <c r="AZO48" i="8"/>
  <c r="AZN48" i="8"/>
  <c r="AZM48" i="8"/>
  <c r="AZL48" i="8"/>
  <c r="AZK48" i="8"/>
  <c r="AZJ48" i="8"/>
  <c r="AZI48" i="8"/>
  <c r="AZH48" i="8"/>
  <c r="AZG48" i="8"/>
  <c r="AZF48" i="8"/>
  <c r="AZE48" i="8"/>
  <c r="AZD48" i="8"/>
  <c r="AZC48" i="8"/>
  <c r="AZB48" i="8"/>
  <c r="AZA48" i="8"/>
  <c r="AYZ48" i="8"/>
  <c r="AYY48" i="8"/>
  <c r="AYX48" i="8"/>
  <c r="AYW48" i="8"/>
  <c r="AYV48" i="8"/>
  <c r="AYU48" i="8"/>
  <c r="AYT48" i="8"/>
  <c r="AYS48" i="8"/>
  <c r="AYR48" i="8"/>
  <c r="AYQ48" i="8"/>
  <c r="AYP48" i="8"/>
  <c r="AYO48" i="8"/>
  <c r="AYN48" i="8"/>
  <c r="AYM48" i="8"/>
  <c r="AYL48" i="8"/>
  <c r="AYK48" i="8"/>
  <c r="AYJ48" i="8"/>
  <c r="AYI48" i="8"/>
  <c r="AYH48" i="8"/>
  <c r="AYG48" i="8"/>
  <c r="AYF48" i="8"/>
  <c r="AYE48" i="8"/>
  <c r="AYD48" i="8"/>
  <c r="AYC48" i="8"/>
  <c r="AYB48" i="8"/>
  <c r="AYA48" i="8"/>
  <c r="AXZ48" i="8"/>
  <c r="AXY48" i="8"/>
  <c r="AXX48" i="8"/>
  <c r="AXW48" i="8"/>
  <c r="AXV48" i="8"/>
  <c r="AXU48" i="8"/>
  <c r="AXT48" i="8"/>
  <c r="AXS48" i="8"/>
  <c r="AXR48" i="8"/>
  <c r="AXQ48" i="8"/>
  <c r="AXP48" i="8"/>
  <c r="AXO48" i="8"/>
  <c r="AXN48" i="8"/>
  <c r="AXM48" i="8"/>
  <c r="AXL48" i="8"/>
  <c r="AXK48" i="8"/>
  <c r="AXJ48" i="8"/>
  <c r="AXI48" i="8"/>
  <c r="AXH48" i="8"/>
  <c r="AXG48" i="8"/>
  <c r="AXF48" i="8"/>
  <c r="AXE48" i="8"/>
  <c r="AXD48" i="8"/>
  <c r="AXC48" i="8"/>
  <c r="AXB48" i="8"/>
  <c r="AXA48" i="8"/>
  <c r="AWZ48" i="8"/>
  <c r="AWY48" i="8"/>
  <c r="AWX48" i="8"/>
  <c r="AWW48" i="8"/>
  <c r="AWV48" i="8"/>
  <c r="AWU48" i="8"/>
  <c r="AWT48" i="8"/>
  <c r="AWS48" i="8"/>
  <c r="AWR48" i="8"/>
  <c r="AWQ48" i="8"/>
  <c r="AWP48" i="8"/>
  <c r="AWO48" i="8"/>
  <c r="AWN48" i="8"/>
  <c r="AWM48" i="8"/>
  <c r="AWL48" i="8"/>
  <c r="AWK48" i="8"/>
  <c r="AWJ48" i="8"/>
  <c r="AWI48" i="8"/>
  <c r="AWH48" i="8"/>
  <c r="AWG48" i="8"/>
  <c r="AWF48" i="8"/>
  <c r="AWE48" i="8"/>
  <c r="AWD48" i="8"/>
  <c r="AWC48" i="8"/>
  <c r="AWB48" i="8"/>
  <c r="AWA48" i="8"/>
  <c r="AVZ48" i="8"/>
  <c r="AVY48" i="8"/>
  <c r="AVX48" i="8"/>
  <c r="AVW48" i="8"/>
  <c r="AVV48" i="8"/>
  <c r="AVU48" i="8"/>
  <c r="AVT48" i="8"/>
  <c r="AVS48" i="8"/>
  <c r="AVR48" i="8"/>
  <c r="AVQ48" i="8"/>
  <c r="AVP48" i="8"/>
  <c r="AVO48" i="8"/>
  <c r="AVN48" i="8"/>
  <c r="AVM48" i="8"/>
  <c r="AVL48" i="8"/>
  <c r="AVK48" i="8"/>
  <c r="AVJ48" i="8"/>
  <c r="AVI48" i="8"/>
  <c r="AVH48" i="8"/>
  <c r="AVG48" i="8"/>
  <c r="AVF48" i="8"/>
  <c r="AVE48" i="8"/>
  <c r="AVD48" i="8"/>
  <c r="AVC48" i="8"/>
  <c r="AVB48" i="8"/>
  <c r="AVA48" i="8"/>
  <c r="AUZ48" i="8"/>
  <c r="AUY48" i="8"/>
  <c r="AUX48" i="8"/>
  <c r="AUW48" i="8"/>
  <c r="AUV48" i="8"/>
  <c r="AUU48" i="8"/>
  <c r="AUT48" i="8"/>
  <c r="AUS48" i="8"/>
  <c r="AUR48" i="8"/>
  <c r="AUQ48" i="8"/>
  <c r="AUP48" i="8"/>
  <c r="AUO48" i="8"/>
  <c r="AUN48" i="8"/>
  <c r="AUM48" i="8"/>
  <c r="AUL48" i="8"/>
  <c r="AUK48" i="8"/>
  <c r="AUJ48" i="8"/>
  <c r="AUI48" i="8"/>
  <c r="AUH48" i="8"/>
  <c r="AUG48" i="8"/>
  <c r="AUF48" i="8"/>
  <c r="AUE48" i="8"/>
  <c r="AUD48" i="8"/>
  <c r="AUC48" i="8"/>
  <c r="AUB48" i="8"/>
  <c r="AUA48" i="8"/>
  <c r="ATZ48" i="8"/>
  <c r="ATY48" i="8"/>
  <c r="ATX48" i="8"/>
  <c r="ATW48" i="8"/>
  <c r="ATV48" i="8"/>
  <c r="ATU48" i="8"/>
  <c r="ATT48" i="8"/>
  <c r="ATS48" i="8"/>
  <c r="ATR48" i="8"/>
  <c r="ATQ48" i="8"/>
  <c r="ATP48" i="8"/>
  <c r="ATO48" i="8"/>
  <c r="ATN48" i="8"/>
  <c r="ATM48" i="8"/>
  <c r="ATL48" i="8"/>
  <c r="ATK48" i="8"/>
  <c r="ATJ48" i="8"/>
  <c r="ATI48" i="8"/>
  <c r="ATH48" i="8"/>
  <c r="ATG48" i="8"/>
  <c r="ATF48" i="8"/>
  <c r="ATE48" i="8"/>
  <c r="ATD48" i="8"/>
  <c r="ATC48" i="8"/>
  <c r="ATB48" i="8"/>
  <c r="ATA48" i="8"/>
  <c r="ASZ48" i="8"/>
  <c r="ASY48" i="8"/>
  <c r="ASX48" i="8"/>
  <c r="ASW48" i="8"/>
  <c r="ASV48" i="8"/>
  <c r="ASU48" i="8"/>
  <c r="AST48" i="8"/>
  <c r="ASS48" i="8"/>
  <c r="ASR48" i="8"/>
  <c r="ASQ48" i="8"/>
  <c r="ASP48" i="8"/>
  <c r="ASO48" i="8"/>
  <c r="ASN48" i="8"/>
  <c r="ASM48" i="8"/>
  <c r="ASL48" i="8"/>
  <c r="ASK48" i="8"/>
  <c r="ASJ48" i="8"/>
  <c r="ASI48" i="8"/>
  <c r="ASH48" i="8"/>
  <c r="ASG48" i="8"/>
  <c r="ASF48" i="8"/>
  <c r="ASE48" i="8"/>
  <c r="ASD48" i="8"/>
  <c r="ASC48" i="8"/>
  <c r="ASB48" i="8"/>
  <c r="ASA48" i="8"/>
  <c r="ARZ48" i="8"/>
  <c r="ARY48" i="8"/>
  <c r="ARX48" i="8"/>
  <c r="ARW48" i="8"/>
  <c r="ARV48" i="8"/>
  <c r="ARU48" i="8"/>
  <c r="ART48" i="8"/>
  <c r="ARS48" i="8"/>
  <c r="ARR48" i="8"/>
  <c r="ARQ48" i="8"/>
  <c r="ARP48" i="8"/>
  <c r="ARO48" i="8"/>
  <c r="ARN48" i="8"/>
  <c r="ARM48" i="8"/>
  <c r="ARL48" i="8"/>
  <c r="ARK48" i="8"/>
  <c r="ARJ48" i="8"/>
  <c r="ARI48" i="8"/>
  <c r="ARH48" i="8"/>
  <c r="ARG48" i="8"/>
  <c r="ARF48" i="8"/>
  <c r="ARE48" i="8"/>
  <c r="ARD48" i="8"/>
  <c r="ARC48" i="8"/>
  <c r="ARB48" i="8"/>
  <c r="ARA48" i="8"/>
  <c r="AQZ48" i="8"/>
  <c r="AQY48" i="8"/>
  <c r="AQX48" i="8"/>
  <c r="AQW48" i="8"/>
  <c r="AQV48" i="8"/>
  <c r="AQU48" i="8"/>
  <c r="AQT48" i="8"/>
  <c r="AQS48" i="8"/>
  <c r="AQR48" i="8"/>
  <c r="AQQ48" i="8"/>
  <c r="AQP48" i="8"/>
  <c r="AQO48" i="8"/>
  <c r="AQN48" i="8"/>
  <c r="AQM48" i="8"/>
  <c r="AQL48" i="8"/>
  <c r="AQK48" i="8"/>
  <c r="AQJ48" i="8"/>
  <c r="AQI48" i="8"/>
  <c r="AQH48" i="8"/>
  <c r="AQG48" i="8"/>
  <c r="AQF48" i="8"/>
  <c r="AQE48" i="8"/>
  <c r="AQD48" i="8"/>
  <c r="AQC48" i="8"/>
  <c r="AQB48" i="8"/>
  <c r="AQA48" i="8"/>
  <c r="APZ48" i="8"/>
  <c r="APY48" i="8"/>
  <c r="APX48" i="8"/>
  <c r="APW48" i="8"/>
  <c r="APV48" i="8"/>
  <c r="APU48" i="8"/>
  <c r="APT48" i="8"/>
  <c r="APS48" i="8"/>
  <c r="APR48" i="8"/>
  <c r="APQ48" i="8"/>
  <c r="APP48" i="8"/>
  <c r="APO48" i="8"/>
  <c r="APN48" i="8"/>
  <c r="APM48" i="8"/>
  <c r="APL48" i="8"/>
  <c r="APK48" i="8"/>
  <c r="APJ48" i="8"/>
  <c r="API48" i="8"/>
  <c r="APH48" i="8"/>
  <c r="APG48" i="8"/>
  <c r="APF48" i="8"/>
  <c r="APE48" i="8"/>
  <c r="APD48" i="8"/>
  <c r="APC48" i="8"/>
  <c r="APB48" i="8"/>
  <c r="APA48" i="8"/>
  <c r="AOZ48" i="8"/>
  <c r="AOY48" i="8"/>
  <c r="AOX48" i="8"/>
  <c r="AOW48" i="8"/>
  <c r="AOV48" i="8"/>
  <c r="AOU48" i="8"/>
  <c r="AOT48" i="8"/>
  <c r="AOS48" i="8"/>
  <c r="AOR48" i="8"/>
  <c r="AOQ48" i="8"/>
  <c r="AOP48" i="8"/>
  <c r="AOO48" i="8"/>
  <c r="AON48" i="8"/>
  <c r="AOM48" i="8"/>
  <c r="AOL48" i="8"/>
  <c r="AOK48" i="8"/>
  <c r="AOJ48" i="8"/>
  <c r="AOI48" i="8"/>
  <c r="AOH48" i="8"/>
  <c r="AOG48" i="8"/>
  <c r="AOF48" i="8"/>
  <c r="AOE48" i="8"/>
  <c r="AOD48" i="8"/>
  <c r="AOC48" i="8"/>
  <c r="AOB48" i="8"/>
  <c r="AOA48" i="8"/>
  <c r="ANZ48" i="8"/>
  <c r="ANY48" i="8"/>
  <c r="ANX48" i="8"/>
  <c r="ANW48" i="8"/>
  <c r="ANV48" i="8"/>
  <c r="ANU48" i="8"/>
  <c r="ANT48" i="8"/>
  <c r="ANS48" i="8"/>
  <c r="ANR48" i="8"/>
  <c r="ANQ48" i="8"/>
  <c r="ANP48" i="8"/>
  <c r="ANO48" i="8"/>
  <c r="ANN48" i="8"/>
  <c r="ANM48" i="8"/>
  <c r="ANL48" i="8"/>
  <c r="ANK48" i="8"/>
  <c r="ANJ48" i="8"/>
  <c r="ANI48" i="8"/>
  <c r="ANH48" i="8"/>
  <c r="ANG48" i="8"/>
  <c r="ANF48" i="8"/>
  <c r="ANE48" i="8"/>
  <c r="AND48" i="8"/>
  <c r="ANC48" i="8"/>
  <c r="ANB48" i="8"/>
  <c r="ANA48" i="8"/>
  <c r="AMZ48" i="8"/>
  <c r="AMY48" i="8"/>
  <c r="AMX48" i="8"/>
  <c r="AMW48" i="8"/>
  <c r="AMV48" i="8"/>
  <c r="AMU48" i="8"/>
  <c r="AMT48" i="8"/>
  <c r="AMS48" i="8"/>
  <c r="AMR48" i="8"/>
  <c r="AMQ48" i="8"/>
  <c r="AMP48" i="8"/>
  <c r="AMO48" i="8"/>
  <c r="AMN48" i="8"/>
  <c r="AMM48" i="8"/>
  <c r="AML48" i="8"/>
  <c r="AMK48" i="8"/>
  <c r="AMJ48" i="8"/>
  <c r="AMI48" i="8"/>
  <c r="AMH48" i="8"/>
  <c r="AMG48" i="8"/>
  <c r="AMF48" i="8"/>
  <c r="AME48" i="8"/>
  <c r="AMD48" i="8"/>
  <c r="AMC48" i="8"/>
  <c r="AMB48" i="8"/>
  <c r="AMA48" i="8"/>
  <c r="ALZ48" i="8"/>
  <c r="ALY48" i="8"/>
  <c r="ALX48" i="8"/>
  <c r="ALW48" i="8"/>
  <c r="ALV48" i="8"/>
  <c r="ALU48" i="8"/>
  <c r="ALT48" i="8"/>
  <c r="ALS48" i="8"/>
  <c r="ALR48" i="8"/>
  <c r="ALQ48" i="8"/>
  <c r="ALP48" i="8"/>
  <c r="ALO48" i="8"/>
  <c r="ALN48" i="8"/>
  <c r="ALM48" i="8"/>
  <c r="ALL48" i="8"/>
  <c r="ALK48" i="8"/>
  <c r="ALJ48" i="8"/>
  <c r="ALI48" i="8"/>
  <c r="ALH48" i="8"/>
  <c r="ALG48" i="8"/>
  <c r="ALF48" i="8"/>
  <c r="ALE48" i="8"/>
  <c r="ALD48" i="8"/>
  <c r="ALC48" i="8"/>
  <c r="ALB48" i="8"/>
  <c r="ALA48" i="8"/>
  <c r="AKZ48" i="8"/>
  <c r="AKY48" i="8"/>
  <c r="AKX48" i="8"/>
  <c r="AKW48" i="8"/>
  <c r="AKV48" i="8"/>
  <c r="AKU48" i="8"/>
  <c r="AKT48" i="8"/>
  <c r="AKS48" i="8"/>
  <c r="AKR48" i="8"/>
  <c r="AKQ48" i="8"/>
  <c r="AKP48" i="8"/>
  <c r="AKO48" i="8"/>
  <c r="AKN48" i="8"/>
  <c r="AKM48" i="8"/>
  <c r="AKL48" i="8"/>
  <c r="AKK48" i="8"/>
  <c r="AKJ48" i="8"/>
  <c r="AKI48" i="8"/>
  <c r="AKH48" i="8"/>
  <c r="AKG48" i="8"/>
  <c r="AKF48" i="8"/>
  <c r="AKE48" i="8"/>
  <c r="AKD48" i="8"/>
  <c r="AKC48" i="8"/>
  <c r="AKB48" i="8"/>
  <c r="AKA48" i="8"/>
  <c r="AJZ48" i="8"/>
  <c r="AJY48" i="8"/>
  <c r="AJX48" i="8"/>
  <c r="AJW48" i="8"/>
  <c r="AJV48" i="8"/>
  <c r="AJU48" i="8"/>
  <c r="AJT48" i="8"/>
  <c r="AJS48" i="8"/>
  <c r="AJR48" i="8"/>
  <c r="AJQ48" i="8"/>
  <c r="AJP48" i="8"/>
  <c r="AJO48" i="8"/>
  <c r="AJN48" i="8"/>
  <c r="AJM48" i="8"/>
  <c r="AJL48" i="8"/>
  <c r="AJK48" i="8"/>
  <c r="AJJ48" i="8"/>
  <c r="AJI48" i="8"/>
  <c r="AJH48" i="8"/>
  <c r="AJG48" i="8"/>
  <c r="AJF48" i="8"/>
  <c r="AJE48" i="8"/>
  <c r="AJD48" i="8"/>
  <c r="AJC48" i="8"/>
  <c r="AJB48" i="8"/>
  <c r="AJA48" i="8"/>
  <c r="AIZ48" i="8"/>
  <c r="AIY48" i="8"/>
  <c r="AIX48" i="8"/>
  <c r="AIW48" i="8"/>
  <c r="AIV48" i="8"/>
  <c r="AIU48" i="8"/>
  <c r="AIT48" i="8"/>
  <c r="AIS48" i="8"/>
  <c r="AIR48" i="8"/>
  <c r="AIQ48" i="8"/>
  <c r="AIP48" i="8"/>
  <c r="AIO48" i="8"/>
  <c r="AIN48" i="8"/>
  <c r="AIM48" i="8"/>
  <c r="AIL48" i="8"/>
  <c r="AIK48" i="8"/>
  <c r="AIJ48" i="8"/>
  <c r="AII48" i="8"/>
  <c r="AIH48" i="8"/>
  <c r="AIG48" i="8"/>
  <c r="AIF48" i="8"/>
  <c r="AIE48" i="8"/>
  <c r="AID48" i="8"/>
  <c r="AIC48" i="8"/>
  <c r="AIB48" i="8"/>
  <c r="AIA48" i="8"/>
  <c r="AHZ48" i="8"/>
  <c r="AHY48" i="8"/>
  <c r="AHX48" i="8"/>
  <c r="AHW48" i="8"/>
  <c r="AHV48" i="8"/>
  <c r="AHU48" i="8"/>
  <c r="AHT48" i="8"/>
  <c r="AHS48" i="8"/>
  <c r="AHR48" i="8"/>
  <c r="AHQ48" i="8"/>
  <c r="AHP48" i="8"/>
  <c r="AHO48" i="8"/>
  <c r="AHN48" i="8"/>
  <c r="AHM48" i="8"/>
  <c r="AHL48" i="8"/>
  <c r="AHK48" i="8"/>
  <c r="AHJ48" i="8"/>
  <c r="AHI48" i="8"/>
  <c r="AHH48" i="8"/>
  <c r="AHG48" i="8"/>
  <c r="AHF48" i="8"/>
  <c r="AHE48" i="8"/>
  <c r="AHD48" i="8"/>
  <c r="AHC48" i="8"/>
  <c r="AHB48" i="8"/>
  <c r="AHA48" i="8"/>
  <c r="AGZ48" i="8"/>
  <c r="AGY48" i="8"/>
  <c r="AGX48" i="8"/>
  <c r="AGW48" i="8"/>
  <c r="AGV48" i="8"/>
  <c r="AGU48" i="8"/>
  <c r="AGT48" i="8"/>
  <c r="AGS48" i="8"/>
  <c r="AGR48" i="8"/>
  <c r="AGQ48" i="8"/>
  <c r="AGP48" i="8"/>
  <c r="AGO48" i="8"/>
  <c r="AGN48" i="8"/>
  <c r="AGM48" i="8"/>
  <c r="AGL48" i="8"/>
  <c r="AGK48" i="8"/>
  <c r="AGJ48" i="8"/>
  <c r="AGI48" i="8"/>
  <c r="AGH48" i="8"/>
  <c r="AGG48" i="8"/>
  <c r="AGF48" i="8"/>
  <c r="AGE48" i="8"/>
  <c r="AGD48" i="8"/>
  <c r="AGC48" i="8"/>
  <c r="AGB48" i="8"/>
  <c r="AGA48" i="8"/>
  <c r="AFZ48" i="8"/>
  <c r="AFY48" i="8"/>
  <c r="AFX48" i="8"/>
  <c r="AFW48" i="8"/>
  <c r="AFV48" i="8"/>
  <c r="AFU48" i="8"/>
  <c r="AFT48" i="8"/>
  <c r="AFS48" i="8"/>
  <c r="AFR48" i="8"/>
  <c r="AFQ48" i="8"/>
  <c r="AFP48" i="8"/>
  <c r="AFO48" i="8"/>
  <c r="AFN48" i="8"/>
  <c r="AFM48" i="8"/>
  <c r="AFL48" i="8"/>
  <c r="AFK48" i="8"/>
  <c r="AFJ48" i="8"/>
  <c r="AFI48" i="8"/>
  <c r="AFH48" i="8"/>
  <c r="AFG48" i="8"/>
  <c r="AFF48" i="8"/>
  <c r="AFE48" i="8"/>
  <c r="AFD48" i="8"/>
  <c r="AFC48" i="8"/>
  <c r="AFB48" i="8"/>
  <c r="AFA48" i="8"/>
  <c r="AEZ48" i="8"/>
  <c r="AEY48" i="8"/>
  <c r="AEX48" i="8"/>
  <c r="AEW48" i="8"/>
  <c r="AEV48" i="8"/>
  <c r="AEU48" i="8"/>
  <c r="AET48" i="8"/>
  <c r="AES48" i="8"/>
  <c r="AER48" i="8"/>
  <c r="AEQ48" i="8"/>
  <c r="AEP48" i="8"/>
  <c r="AEO48" i="8"/>
  <c r="AEN48" i="8"/>
  <c r="AEM48" i="8"/>
  <c r="AEL48" i="8"/>
  <c r="AEK48" i="8"/>
  <c r="AEJ48" i="8"/>
  <c r="AEI48" i="8"/>
  <c r="AEH48" i="8"/>
  <c r="AEG48" i="8"/>
  <c r="AEF48" i="8"/>
  <c r="AEE48" i="8"/>
  <c r="AED48" i="8"/>
  <c r="AEC48" i="8"/>
  <c r="AEB48" i="8"/>
  <c r="AEA48" i="8"/>
  <c r="ADZ48" i="8"/>
  <c r="ADY48" i="8"/>
  <c r="ADX48" i="8"/>
  <c r="ADW48" i="8"/>
  <c r="ADV48" i="8"/>
  <c r="ADU48" i="8"/>
  <c r="ADT48" i="8"/>
  <c r="ADS48" i="8"/>
  <c r="ADR48" i="8"/>
  <c r="ADQ48" i="8"/>
  <c r="ADP48" i="8"/>
  <c r="ADO48" i="8"/>
  <c r="ADN48" i="8"/>
  <c r="ADM48" i="8"/>
  <c r="ADL48" i="8"/>
  <c r="ADK48" i="8"/>
  <c r="ADJ48" i="8"/>
  <c r="ADI48" i="8"/>
  <c r="ADH48" i="8"/>
  <c r="ADG48" i="8"/>
  <c r="ADF48" i="8"/>
  <c r="ADE48" i="8"/>
  <c r="ADD48" i="8"/>
  <c r="ADC48" i="8"/>
  <c r="ADB48" i="8"/>
  <c r="ADA48" i="8"/>
  <c r="ACZ48" i="8"/>
  <c r="ACY48" i="8"/>
  <c r="ACX48" i="8"/>
  <c r="ACW48" i="8"/>
  <c r="ACV48" i="8"/>
  <c r="ACU48" i="8"/>
  <c r="ACT48" i="8"/>
  <c r="ACS48" i="8"/>
  <c r="ACR48" i="8"/>
  <c r="ACQ48" i="8"/>
  <c r="ACP48" i="8"/>
  <c r="ACO48" i="8"/>
  <c r="ACN48" i="8"/>
  <c r="ACM48" i="8"/>
  <c r="ACL48" i="8"/>
  <c r="ACK48" i="8"/>
  <c r="ACJ48" i="8"/>
  <c r="ACI48" i="8"/>
  <c r="ACH48" i="8"/>
  <c r="ACG48" i="8"/>
  <c r="ACF48" i="8"/>
  <c r="ACE48" i="8"/>
  <c r="ACD48" i="8"/>
  <c r="ACC48" i="8"/>
  <c r="ACB48" i="8"/>
  <c r="ACA48" i="8"/>
  <c r="ABZ48" i="8"/>
  <c r="ABY48" i="8"/>
  <c r="ABX48" i="8"/>
  <c r="ABW48" i="8"/>
  <c r="ABV48" i="8"/>
  <c r="ABU48" i="8"/>
  <c r="ABT48" i="8"/>
  <c r="ABS48" i="8"/>
  <c r="ABR48" i="8"/>
  <c r="ABQ48" i="8"/>
  <c r="ABP48" i="8"/>
  <c r="ABO48" i="8"/>
  <c r="ABN48" i="8"/>
  <c r="ABM48" i="8"/>
  <c r="ABL48" i="8"/>
  <c r="ABK48" i="8"/>
  <c r="ABJ48" i="8"/>
  <c r="ABI48" i="8"/>
  <c r="ABH48" i="8"/>
  <c r="ABG48" i="8"/>
  <c r="ABF48" i="8"/>
  <c r="ABE48" i="8"/>
  <c r="ABD48" i="8"/>
  <c r="ABC48" i="8"/>
  <c r="ABB48" i="8"/>
  <c r="ABA48" i="8"/>
  <c r="AAZ48" i="8"/>
  <c r="AAY48" i="8"/>
  <c r="AAX48" i="8"/>
  <c r="AAW48" i="8"/>
  <c r="AAV48" i="8"/>
  <c r="AAU48" i="8"/>
  <c r="AAT48" i="8"/>
  <c r="AAS48" i="8"/>
  <c r="AAR48" i="8"/>
  <c r="AAQ48" i="8"/>
  <c r="AAP48" i="8"/>
  <c r="AAO48" i="8"/>
  <c r="AAN48" i="8"/>
  <c r="AAM48" i="8"/>
  <c r="AAL48" i="8"/>
  <c r="AAK48" i="8"/>
  <c r="AAJ48" i="8"/>
  <c r="AAI48" i="8"/>
  <c r="AAH48" i="8"/>
  <c r="AAG48" i="8"/>
  <c r="AAF48" i="8"/>
  <c r="AAE48" i="8"/>
  <c r="AAD48" i="8"/>
  <c r="AAC48" i="8"/>
  <c r="AAB48" i="8"/>
  <c r="AAA48" i="8"/>
  <c r="ZZ48" i="8"/>
  <c r="ZY48" i="8"/>
  <c r="ZX48" i="8"/>
  <c r="ZW48" i="8"/>
  <c r="ZV48" i="8"/>
  <c r="ZU48" i="8"/>
  <c r="ZT48" i="8"/>
  <c r="ZS48" i="8"/>
  <c r="ZR48" i="8"/>
  <c r="ZQ48" i="8"/>
  <c r="ZP48" i="8"/>
  <c r="ZO48" i="8"/>
  <c r="ZN48" i="8"/>
  <c r="ZM48" i="8"/>
  <c r="ZL48" i="8"/>
  <c r="ZK48" i="8"/>
  <c r="ZJ48" i="8"/>
  <c r="ZI48" i="8"/>
  <c r="ZH48" i="8"/>
  <c r="ZG48" i="8"/>
  <c r="ZF48" i="8"/>
  <c r="ZE48" i="8"/>
  <c r="ZD48" i="8"/>
  <c r="ZC48" i="8"/>
  <c r="ZB48" i="8"/>
  <c r="ZA48" i="8"/>
  <c r="YZ48" i="8"/>
  <c r="YY48" i="8"/>
  <c r="YX48" i="8"/>
  <c r="YW48" i="8"/>
  <c r="YV48" i="8"/>
  <c r="YU48" i="8"/>
  <c r="YT48" i="8"/>
  <c r="YS48" i="8"/>
  <c r="YR48" i="8"/>
  <c r="YQ48" i="8"/>
  <c r="YP48" i="8"/>
  <c r="YO48" i="8"/>
  <c r="YN48" i="8"/>
  <c r="YM48" i="8"/>
  <c r="YL48" i="8"/>
  <c r="YK48" i="8"/>
  <c r="YJ48" i="8"/>
  <c r="YI48" i="8"/>
  <c r="YH48" i="8"/>
  <c r="YG48" i="8"/>
  <c r="YF48" i="8"/>
  <c r="YE48" i="8"/>
  <c r="YD48" i="8"/>
  <c r="YC48" i="8"/>
  <c r="YB48" i="8"/>
  <c r="YA48" i="8"/>
  <c r="XZ48" i="8"/>
  <c r="XY48" i="8"/>
  <c r="XX48" i="8"/>
  <c r="XW48" i="8"/>
  <c r="XV48" i="8"/>
  <c r="XU48" i="8"/>
  <c r="XT48" i="8"/>
  <c r="XS48" i="8"/>
  <c r="XR48" i="8"/>
  <c r="XQ48" i="8"/>
  <c r="XP48" i="8"/>
  <c r="XO48" i="8"/>
  <c r="XN48" i="8"/>
  <c r="XM48" i="8"/>
  <c r="XL48" i="8"/>
  <c r="XK48" i="8"/>
  <c r="XJ48" i="8"/>
  <c r="XI48" i="8"/>
  <c r="XH48" i="8"/>
  <c r="XG48" i="8"/>
  <c r="XF48" i="8"/>
  <c r="XE48" i="8"/>
  <c r="XD48" i="8"/>
  <c r="XC48" i="8"/>
  <c r="XB48" i="8"/>
  <c r="XA48" i="8"/>
  <c r="WZ48" i="8"/>
  <c r="WY48" i="8"/>
  <c r="WX48" i="8"/>
  <c r="WW48" i="8"/>
  <c r="WV48" i="8"/>
  <c r="WU48" i="8"/>
  <c r="WT48" i="8"/>
  <c r="WS48" i="8"/>
  <c r="WR48" i="8"/>
  <c r="WQ48" i="8"/>
  <c r="WP48" i="8"/>
  <c r="WO48" i="8"/>
  <c r="WN48" i="8"/>
  <c r="WM48" i="8"/>
  <c r="WL48" i="8"/>
  <c r="WK48" i="8"/>
  <c r="WJ48" i="8"/>
  <c r="WI48" i="8"/>
  <c r="WH48" i="8"/>
  <c r="WG48" i="8"/>
  <c r="WF48" i="8"/>
  <c r="WE48" i="8"/>
  <c r="WD48" i="8"/>
  <c r="WC48" i="8"/>
  <c r="WB48" i="8"/>
  <c r="WA48" i="8"/>
  <c r="VZ48" i="8"/>
  <c r="VY48" i="8"/>
  <c r="VX48" i="8"/>
  <c r="VW48" i="8"/>
  <c r="VV48" i="8"/>
  <c r="VU48" i="8"/>
  <c r="VT48" i="8"/>
  <c r="VS48" i="8"/>
  <c r="VR48" i="8"/>
  <c r="VQ48" i="8"/>
  <c r="VP48" i="8"/>
  <c r="VO48" i="8"/>
  <c r="VN48" i="8"/>
  <c r="VM48" i="8"/>
  <c r="VL48" i="8"/>
  <c r="VK48" i="8"/>
  <c r="VJ48" i="8"/>
  <c r="VI48" i="8"/>
  <c r="VH48" i="8"/>
  <c r="VG48" i="8"/>
  <c r="VF48" i="8"/>
  <c r="VE48" i="8"/>
  <c r="VD48" i="8"/>
  <c r="VC48" i="8"/>
  <c r="VB48" i="8"/>
  <c r="VA48" i="8"/>
  <c r="UZ48" i="8"/>
  <c r="UY48" i="8"/>
  <c r="UX48" i="8"/>
  <c r="UW48" i="8"/>
  <c r="UV48" i="8"/>
  <c r="UU48" i="8"/>
  <c r="UT48" i="8"/>
  <c r="US48" i="8"/>
  <c r="UR48" i="8"/>
  <c r="UQ48" i="8"/>
  <c r="UP48" i="8"/>
  <c r="UO48" i="8"/>
  <c r="UN48" i="8"/>
  <c r="UM48" i="8"/>
  <c r="UL48" i="8"/>
  <c r="UK48" i="8"/>
  <c r="UJ48" i="8"/>
  <c r="UI48" i="8"/>
  <c r="UH48" i="8"/>
  <c r="UG48" i="8"/>
  <c r="UF48" i="8"/>
  <c r="UE48" i="8"/>
  <c r="UD48" i="8"/>
  <c r="UC48" i="8"/>
  <c r="UB48" i="8"/>
  <c r="UA48" i="8"/>
  <c r="TZ48" i="8"/>
  <c r="TY48" i="8"/>
  <c r="TX48" i="8"/>
  <c r="TW48" i="8"/>
  <c r="TV48" i="8"/>
  <c r="TU48" i="8"/>
  <c r="TT48" i="8"/>
  <c r="TS48" i="8"/>
  <c r="TR48" i="8"/>
  <c r="TQ48" i="8"/>
  <c r="TP48" i="8"/>
  <c r="TO48" i="8"/>
  <c r="TN48" i="8"/>
  <c r="TM48" i="8"/>
  <c r="TL48" i="8"/>
  <c r="TK48" i="8"/>
  <c r="TJ48" i="8"/>
  <c r="TI48" i="8"/>
  <c r="TH48" i="8"/>
  <c r="TG48" i="8"/>
  <c r="TF48" i="8"/>
  <c r="TE48" i="8"/>
  <c r="TD48" i="8"/>
  <c r="TC48" i="8"/>
  <c r="TB48" i="8"/>
  <c r="TA48" i="8"/>
  <c r="SZ48" i="8"/>
  <c r="SY48" i="8"/>
  <c r="SX48" i="8"/>
  <c r="SW48" i="8"/>
  <c r="SV48" i="8"/>
  <c r="SU48" i="8"/>
  <c r="ST48" i="8"/>
  <c r="SS48" i="8"/>
  <c r="SR48" i="8"/>
  <c r="SQ48" i="8"/>
  <c r="SP48" i="8"/>
  <c r="SO48" i="8"/>
  <c r="SN48" i="8"/>
  <c r="SM48" i="8"/>
  <c r="SL48" i="8"/>
  <c r="SK48" i="8"/>
  <c r="SJ48" i="8"/>
  <c r="SI48" i="8"/>
  <c r="SH48" i="8"/>
  <c r="SG48" i="8"/>
  <c r="SF48" i="8"/>
  <c r="SE48" i="8"/>
  <c r="SD48" i="8"/>
  <c r="SC48" i="8"/>
  <c r="SB48" i="8"/>
  <c r="SA48" i="8"/>
  <c r="RZ48" i="8"/>
  <c r="RY48" i="8"/>
  <c r="RX48" i="8"/>
  <c r="RW48" i="8"/>
  <c r="RV48" i="8"/>
  <c r="RU48" i="8"/>
  <c r="RT48" i="8"/>
  <c r="RS48" i="8"/>
  <c r="RR48" i="8"/>
  <c r="RQ48" i="8"/>
  <c r="RP48" i="8"/>
  <c r="RO48" i="8"/>
  <c r="RN48" i="8"/>
  <c r="RM48" i="8"/>
  <c r="RL48" i="8"/>
  <c r="RK48" i="8"/>
  <c r="RJ48" i="8"/>
  <c r="RI48" i="8"/>
  <c r="RH48" i="8"/>
  <c r="RG48" i="8"/>
  <c r="RF48" i="8"/>
  <c r="RE48" i="8"/>
  <c r="RD48" i="8"/>
  <c r="RC48" i="8"/>
  <c r="RB48" i="8"/>
  <c r="RA48" i="8"/>
  <c r="QZ48" i="8"/>
  <c r="QY48" i="8"/>
  <c r="QX48" i="8"/>
  <c r="QW48" i="8"/>
  <c r="QV48" i="8"/>
  <c r="QU48" i="8"/>
  <c r="QT48" i="8"/>
  <c r="QS48" i="8"/>
  <c r="QR48" i="8"/>
  <c r="QQ48" i="8"/>
  <c r="QP48" i="8"/>
  <c r="QO48" i="8"/>
  <c r="QN48" i="8"/>
  <c r="QM48" i="8"/>
  <c r="QL48" i="8"/>
  <c r="QK48" i="8"/>
  <c r="QJ48" i="8"/>
  <c r="QI48" i="8"/>
  <c r="QH48" i="8"/>
  <c r="QG48" i="8"/>
  <c r="QF48" i="8"/>
  <c r="QE48" i="8"/>
  <c r="QD48" i="8"/>
  <c r="QC48" i="8"/>
  <c r="QB48" i="8"/>
  <c r="QA48" i="8"/>
  <c r="PZ48" i="8"/>
  <c r="PY48" i="8"/>
  <c r="PX48" i="8"/>
  <c r="PW48" i="8"/>
  <c r="PV48" i="8"/>
  <c r="PU48" i="8"/>
  <c r="PT48" i="8"/>
  <c r="PS48" i="8"/>
  <c r="PR48" i="8"/>
  <c r="PQ48" i="8"/>
  <c r="PP48" i="8"/>
  <c r="PO48" i="8"/>
  <c r="PN48" i="8"/>
  <c r="PM48" i="8"/>
  <c r="PL48" i="8"/>
  <c r="PK48" i="8"/>
  <c r="PJ48" i="8"/>
  <c r="PI48" i="8"/>
  <c r="PH48" i="8"/>
  <c r="PG48" i="8"/>
  <c r="PF48" i="8"/>
  <c r="PE48" i="8"/>
  <c r="PD48" i="8"/>
  <c r="PC48" i="8"/>
  <c r="PB48" i="8"/>
  <c r="PA48" i="8"/>
  <c r="OZ48" i="8"/>
  <c r="OY48" i="8"/>
  <c r="OX48" i="8"/>
  <c r="OW48" i="8"/>
  <c r="OV48" i="8"/>
  <c r="OU48" i="8"/>
  <c r="OT48" i="8"/>
  <c r="OS48" i="8"/>
  <c r="OR48" i="8"/>
  <c r="OQ48" i="8"/>
  <c r="OP48" i="8"/>
  <c r="OO48" i="8"/>
  <c r="ON48" i="8"/>
  <c r="OM48" i="8"/>
  <c r="OL48" i="8"/>
  <c r="OK48" i="8"/>
  <c r="OJ48" i="8"/>
  <c r="OI48" i="8"/>
  <c r="OH48" i="8"/>
  <c r="OG48" i="8"/>
  <c r="OF48" i="8"/>
  <c r="OE48" i="8"/>
  <c r="OD48" i="8"/>
  <c r="OC48" i="8"/>
  <c r="OB48" i="8"/>
  <c r="OA48" i="8"/>
  <c r="NZ48" i="8"/>
  <c r="NY48" i="8"/>
  <c r="NX48" i="8"/>
  <c r="NW48" i="8"/>
  <c r="NV48" i="8"/>
  <c r="NU48" i="8"/>
  <c r="NT48" i="8"/>
  <c r="NS48" i="8"/>
  <c r="NR48" i="8"/>
  <c r="NQ48" i="8"/>
  <c r="NP48" i="8"/>
  <c r="NO48" i="8"/>
  <c r="NN48" i="8"/>
  <c r="NM48" i="8"/>
  <c r="NL48" i="8"/>
  <c r="NK48" i="8"/>
  <c r="NJ48" i="8"/>
  <c r="NI48" i="8"/>
  <c r="NH48" i="8"/>
  <c r="NG48" i="8"/>
  <c r="NF48" i="8"/>
  <c r="NE48" i="8"/>
  <c r="ND48" i="8"/>
  <c r="NC48" i="8"/>
  <c r="NB48" i="8"/>
  <c r="NA48" i="8"/>
  <c r="MZ48" i="8"/>
  <c r="MY48" i="8"/>
  <c r="MX48" i="8"/>
  <c r="MW48" i="8"/>
  <c r="MV48" i="8"/>
  <c r="MU48" i="8"/>
  <c r="MT48" i="8"/>
  <c r="MS48" i="8"/>
  <c r="MR48" i="8"/>
  <c r="MQ48" i="8"/>
  <c r="MP48" i="8"/>
  <c r="MO48" i="8"/>
  <c r="MN48" i="8"/>
  <c r="MM48" i="8"/>
  <c r="ML48" i="8"/>
  <c r="MK48" i="8"/>
  <c r="MJ48" i="8"/>
  <c r="MI48" i="8"/>
  <c r="MH48" i="8"/>
  <c r="MG48" i="8"/>
  <c r="MF48" i="8"/>
  <c r="ME48" i="8"/>
  <c r="MD48" i="8"/>
  <c r="MC48" i="8"/>
  <c r="MB48" i="8"/>
  <c r="MA48" i="8"/>
  <c r="LZ48" i="8"/>
  <c r="LY48" i="8"/>
  <c r="LX48" i="8"/>
  <c r="LW48" i="8"/>
  <c r="LV48" i="8"/>
  <c r="LU48" i="8"/>
  <c r="LT48" i="8"/>
  <c r="LS48" i="8"/>
  <c r="LR48" i="8"/>
  <c r="LQ48" i="8"/>
  <c r="LP48" i="8"/>
  <c r="LO48" i="8"/>
  <c r="LN48" i="8"/>
  <c r="LM48" i="8"/>
  <c r="LL48" i="8"/>
  <c r="LK48" i="8"/>
  <c r="LJ48" i="8"/>
  <c r="LI48" i="8"/>
  <c r="LH48" i="8"/>
  <c r="LG48" i="8"/>
  <c r="LF48" i="8"/>
  <c r="LE48" i="8"/>
  <c r="LD48" i="8"/>
  <c r="LC48" i="8"/>
  <c r="LB48" i="8"/>
  <c r="LA48" i="8"/>
  <c r="KZ48" i="8"/>
  <c r="KY48" i="8"/>
  <c r="KX48" i="8"/>
  <c r="KW48" i="8"/>
  <c r="KV48" i="8"/>
  <c r="KU48" i="8"/>
  <c r="KT48" i="8"/>
  <c r="KS48" i="8"/>
  <c r="KR48" i="8"/>
  <c r="KQ48" i="8"/>
  <c r="KP48" i="8"/>
  <c r="KO48" i="8"/>
  <c r="KN48" i="8"/>
  <c r="KM48" i="8"/>
  <c r="KL48" i="8"/>
  <c r="KK48" i="8"/>
  <c r="KJ48" i="8"/>
  <c r="KI48" i="8"/>
  <c r="KH48" i="8"/>
  <c r="KG48" i="8"/>
  <c r="KF48" i="8"/>
  <c r="KE48" i="8"/>
  <c r="KD48" i="8"/>
  <c r="KC48" i="8"/>
  <c r="KB48" i="8"/>
  <c r="KA48" i="8"/>
  <c r="JZ48" i="8"/>
  <c r="JY48" i="8"/>
  <c r="JX48" i="8"/>
  <c r="JW48" i="8"/>
  <c r="JV48" i="8"/>
  <c r="JU48" i="8"/>
  <c r="JT48" i="8"/>
  <c r="JS48" i="8"/>
  <c r="JR48" i="8"/>
  <c r="JQ48" i="8"/>
  <c r="JP48" i="8"/>
  <c r="JO48" i="8"/>
  <c r="JN48" i="8"/>
  <c r="JM48" i="8"/>
  <c r="JL48" i="8"/>
  <c r="JK48" i="8"/>
  <c r="JJ48" i="8"/>
  <c r="JI48" i="8"/>
  <c r="JH48" i="8"/>
  <c r="JG48" i="8"/>
  <c r="JF48" i="8"/>
  <c r="JE48" i="8"/>
  <c r="JD48" i="8"/>
  <c r="JC48" i="8"/>
  <c r="JB48" i="8"/>
  <c r="JA48" i="8"/>
  <c r="IZ48" i="8"/>
  <c r="IY48" i="8"/>
  <c r="IX48" i="8"/>
  <c r="IW48" i="8"/>
  <c r="IV48" i="8"/>
  <c r="IU48" i="8"/>
  <c r="IT48" i="8"/>
  <c r="IS48" i="8"/>
  <c r="IR48" i="8"/>
  <c r="IQ48" i="8"/>
  <c r="IP48" i="8"/>
  <c r="IO48" i="8"/>
  <c r="IN48" i="8"/>
  <c r="IM48" i="8"/>
  <c r="IL48" i="8"/>
  <c r="IK48" i="8"/>
  <c r="IJ48" i="8"/>
  <c r="II48" i="8"/>
  <c r="IH48" i="8"/>
  <c r="IG48" i="8"/>
  <c r="IF48" i="8"/>
  <c r="IE48" i="8"/>
  <c r="ID48" i="8"/>
  <c r="IC48" i="8"/>
  <c r="IB48" i="8"/>
  <c r="IA48" i="8"/>
  <c r="HZ48" i="8"/>
  <c r="HY48" i="8"/>
  <c r="HX48" i="8"/>
  <c r="HW48" i="8"/>
  <c r="HV48" i="8"/>
  <c r="HU48" i="8"/>
  <c r="HT48" i="8"/>
  <c r="HS48" i="8"/>
  <c r="HR48" i="8"/>
  <c r="HQ48" i="8"/>
  <c r="HP48" i="8"/>
  <c r="HO48" i="8"/>
  <c r="HN48" i="8"/>
  <c r="HM48" i="8"/>
  <c r="HL48" i="8"/>
  <c r="HK48" i="8"/>
  <c r="HJ48" i="8"/>
  <c r="HI48" i="8"/>
  <c r="HH48" i="8"/>
  <c r="HG48" i="8"/>
  <c r="HF48" i="8"/>
  <c r="HE48" i="8"/>
  <c r="HD48" i="8"/>
  <c r="HC48" i="8"/>
  <c r="HB48" i="8"/>
  <c r="HA48" i="8"/>
  <c r="GZ48" i="8"/>
  <c r="GY48" i="8"/>
  <c r="GX48" i="8"/>
  <c r="GW48" i="8"/>
  <c r="GV48" i="8"/>
  <c r="GU48" i="8"/>
  <c r="GT48" i="8"/>
  <c r="GS48" i="8"/>
  <c r="GR48" i="8"/>
  <c r="GQ48" i="8"/>
  <c r="GP48" i="8"/>
  <c r="GO48" i="8"/>
  <c r="GN48" i="8"/>
  <c r="GM48" i="8"/>
  <c r="GL48" i="8"/>
  <c r="GK48" i="8"/>
  <c r="GJ48" i="8"/>
  <c r="GI48" i="8"/>
  <c r="GH48" i="8"/>
  <c r="GG48" i="8"/>
  <c r="GF48" i="8"/>
  <c r="GE48" i="8"/>
  <c r="GD48" i="8"/>
  <c r="GC48" i="8"/>
  <c r="GB48" i="8"/>
  <c r="GA48" i="8"/>
  <c r="FZ48" i="8"/>
  <c r="FY48" i="8"/>
  <c r="FX48" i="8"/>
  <c r="FW48" i="8"/>
  <c r="FV48" i="8"/>
  <c r="FU48" i="8"/>
  <c r="FT48" i="8"/>
  <c r="FS48" i="8"/>
  <c r="FR48" i="8"/>
  <c r="FQ48" i="8"/>
  <c r="FP48" i="8"/>
  <c r="FO48" i="8"/>
  <c r="FN48" i="8"/>
  <c r="FM48" i="8"/>
  <c r="FL48" i="8"/>
  <c r="FK48" i="8"/>
  <c r="FJ48" i="8"/>
  <c r="FI48" i="8"/>
  <c r="FH48" i="8"/>
  <c r="FG48" i="8"/>
  <c r="FF48" i="8"/>
  <c r="FE48" i="8"/>
  <c r="FD48" i="8"/>
  <c r="FC48" i="8"/>
  <c r="FB48" i="8"/>
  <c r="FA48" i="8"/>
  <c r="EZ48" i="8"/>
  <c r="EY48" i="8"/>
  <c r="EX48" i="8"/>
  <c r="EW48" i="8"/>
  <c r="EV48" i="8"/>
  <c r="EU48" i="8"/>
  <c r="ET48" i="8"/>
  <c r="ES48" i="8"/>
  <c r="ER48" i="8"/>
  <c r="EQ48" i="8"/>
  <c r="EP48" i="8"/>
  <c r="EO48" i="8"/>
  <c r="EN48" i="8"/>
  <c r="EM48" i="8"/>
  <c r="EL48" i="8"/>
  <c r="EK48" i="8"/>
  <c r="EJ48" i="8"/>
  <c r="EI48" i="8"/>
  <c r="EH48" i="8"/>
  <c r="EG48" i="8"/>
  <c r="EF48" i="8"/>
  <c r="EE48" i="8"/>
  <c r="ED48" i="8"/>
  <c r="EC48" i="8"/>
  <c r="EB48" i="8"/>
  <c r="EA48" i="8"/>
  <c r="DZ48" i="8"/>
  <c r="DY48" i="8"/>
  <c r="DX48" i="8"/>
  <c r="DW48" i="8"/>
  <c r="DV48" i="8"/>
  <c r="DU48" i="8"/>
  <c r="DT48" i="8"/>
  <c r="DS48" i="8"/>
  <c r="DR48" i="8"/>
  <c r="DQ48" i="8"/>
  <c r="DP48" i="8"/>
  <c r="DO48" i="8"/>
  <c r="DN48" i="8"/>
  <c r="DM48" i="8"/>
  <c r="DL48" i="8"/>
  <c r="DK48" i="8"/>
  <c r="DJ48" i="8"/>
  <c r="DI48" i="8"/>
  <c r="DH48" i="8"/>
  <c r="DG48" i="8"/>
  <c r="DF48" i="8"/>
  <c r="DE48" i="8"/>
  <c r="DD48" i="8"/>
  <c r="DC48" i="8"/>
  <c r="DB48" i="8"/>
  <c r="DA48" i="8"/>
  <c r="CZ48" i="8"/>
  <c r="CY48" i="8"/>
  <c r="I2" i="8" l="1"/>
  <c r="H58" i="7"/>
  <c r="B41" i="8"/>
  <c r="B40" i="8"/>
  <c r="B39" i="8"/>
  <c r="I58" i="7" l="1"/>
  <c r="J2" i="8"/>
  <c r="B37" i="8"/>
  <c r="B42" i="8"/>
  <c r="K2" i="8" l="1"/>
  <c r="J58" i="7"/>
  <c r="B22" i="8"/>
  <c r="K58" i="7" l="1"/>
  <c r="L2" i="8"/>
  <c r="B23" i="8"/>
  <c r="B63" i="8" s="1"/>
  <c r="B69" i="8" s="1"/>
  <c r="E55" i="7"/>
  <c r="F55" i="7" s="1"/>
  <c r="G55" i="7" s="1"/>
  <c r="H55" i="7" s="1"/>
  <c r="I55" i="7" s="1"/>
  <c r="J55" i="7" s="1"/>
  <c r="K55" i="7" s="1"/>
  <c r="L55" i="7" s="1"/>
  <c r="D57" i="7"/>
  <c r="E57" i="7" s="1"/>
  <c r="F57" i="7" s="1"/>
  <c r="G57" i="7" s="1"/>
  <c r="H57" i="7" s="1"/>
  <c r="I57" i="7" s="1"/>
  <c r="J57" i="7" s="1"/>
  <c r="K57" i="7" s="1"/>
  <c r="L57" i="7" s="1"/>
  <c r="D56" i="7"/>
  <c r="D68" i="8" s="1"/>
  <c r="C26" i="8"/>
  <c r="F28" i="8"/>
  <c r="J28" i="8"/>
  <c r="C27" i="8"/>
  <c r="D28" i="8"/>
  <c r="L28" i="8"/>
  <c r="C28" i="8"/>
  <c r="I28" i="8"/>
  <c r="G28" i="8"/>
  <c r="K28" i="8"/>
  <c r="H28" i="8"/>
  <c r="E28" i="8"/>
  <c r="C59" i="8"/>
  <c r="C13" i="8"/>
  <c r="I12" i="8"/>
  <c r="I14" i="8"/>
  <c r="I13" i="8"/>
  <c r="F14" i="8"/>
  <c r="F13" i="8"/>
  <c r="C14" i="8"/>
  <c r="G14" i="8"/>
  <c r="G13" i="8"/>
  <c r="K14" i="8"/>
  <c r="K13" i="8"/>
  <c r="E12" i="8"/>
  <c r="E14" i="8"/>
  <c r="E13" i="8"/>
  <c r="J14" i="8"/>
  <c r="J13" i="8"/>
  <c r="D13" i="8"/>
  <c r="D14" i="8"/>
  <c r="H13" i="8"/>
  <c r="H14" i="8"/>
  <c r="G12" i="8"/>
  <c r="K12" i="8"/>
  <c r="C12" i="8"/>
  <c r="F12" i="8"/>
  <c r="J12" i="8"/>
  <c r="D12" i="8"/>
  <c r="H12" i="8"/>
  <c r="L12" i="8"/>
  <c r="F54" i="8"/>
  <c r="J54" i="8"/>
  <c r="G54" i="8"/>
  <c r="K54" i="8"/>
  <c r="D54" i="8"/>
  <c r="H54" i="8"/>
  <c r="L54" i="8"/>
  <c r="E54" i="8"/>
  <c r="I54" i="8"/>
  <c r="L58" i="7" l="1"/>
  <c r="M2" i="8"/>
  <c r="M57" i="7" s="1"/>
  <c r="L13" i="8"/>
  <c r="L14" i="8"/>
  <c r="B24" i="8"/>
  <c r="B31" i="8" s="1"/>
  <c r="D59" i="7"/>
  <c r="E56" i="7"/>
  <c r="E68" i="8" s="1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M58" i="7" l="1"/>
  <c r="L15" i="8"/>
  <c r="N2" i="8"/>
  <c r="M28" i="8"/>
  <c r="M14" i="8"/>
  <c r="M13" i="8"/>
  <c r="M54" i="8"/>
  <c r="M12" i="8"/>
  <c r="M55" i="7"/>
  <c r="E59" i="7"/>
  <c r="F56" i="7"/>
  <c r="F68" i="8" s="1"/>
  <c r="C31" i="8"/>
  <c r="D31" i="8"/>
  <c r="F26" i="8"/>
  <c r="E27" i="8"/>
  <c r="E29" i="8" s="1"/>
  <c r="E31" i="8" s="1"/>
  <c r="J18" i="8"/>
  <c r="J50" i="8" s="1"/>
  <c r="G18" i="8"/>
  <c r="G50" i="8" s="1"/>
  <c r="C18" i="8"/>
  <c r="C50" i="8" s="1"/>
  <c r="F18" i="8"/>
  <c r="F50" i="8" s="1"/>
  <c r="H18" i="8"/>
  <c r="H50" i="8" s="1"/>
  <c r="L18" i="8"/>
  <c r="L50" i="8" s="1"/>
  <c r="E18" i="8"/>
  <c r="E50" i="8" s="1"/>
  <c r="I18" i="8"/>
  <c r="I50" i="8" s="1"/>
  <c r="D18" i="8"/>
  <c r="D50" i="8" s="1"/>
  <c r="K18" i="8"/>
  <c r="N58" i="7" l="1"/>
  <c r="N57" i="7"/>
  <c r="N55" i="7"/>
  <c r="M15" i="8"/>
  <c r="M18" i="8" s="1"/>
  <c r="M50" i="8" s="1"/>
  <c r="O2" i="8"/>
  <c r="N13" i="8"/>
  <c r="N54" i="8"/>
  <c r="N14" i="8"/>
  <c r="N28" i="8"/>
  <c r="N12" i="8"/>
  <c r="F59" i="7"/>
  <c r="G56" i="7"/>
  <c r="G68" i="8" s="1"/>
  <c r="G26" i="8"/>
  <c r="F27" i="8"/>
  <c r="F29" i="8" s="1"/>
  <c r="F31" i="8" s="1"/>
  <c r="K50" i="8"/>
  <c r="O57" i="7" l="1"/>
  <c r="N15" i="8"/>
  <c r="N18" i="8" s="1"/>
  <c r="N50" i="8" s="1"/>
  <c r="O55" i="7"/>
  <c r="P2" i="8"/>
  <c r="O28" i="8"/>
  <c r="O14" i="8"/>
  <c r="O13" i="8"/>
  <c r="O12" i="8"/>
  <c r="O54" i="8"/>
  <c r="O58" i="7"/>
  <c r="H56" i="7"/>
  <c r="G59" i="7"/>
  <c r="G27" i="8"/>
  <c r="G29" i="8" s="1"/>
  <c r="G31" i="8" s="1"/>
  <c r="H26" i="8"/>
  <c r="P55" i="7" l="1"/>
  <c r="O15" i="8"/>
  <c r="O18" i="8" s="1"/>
  <c r="O50" i="8" s="1"/>
  <c r="H59" i="7"/>
  <c r="H68" i="8"/>
  <c r="Q2" i="8"/>
  <c r="P14" i="8"/>
  <c r="P13" i="8"/>
  <c r="P28" i="8"/>
  <c r="P12" i="8"/>
  <c r="P54" i="8"/>
  <c r="I56" i="7"/>
  <c r="J56" i="7" s="1"/>
  <c r="P58" i="7"/>
  <c r="P57" i="7"/>
  <c r="I26" i="8"/>
  <c r="H27" i="8"/>
  <c r="H29" i="8" s="1"/>
  <c r="H31" i="8" s="1"/>
  <c r="P15" i="8" l="1"/>
  <c r="P18" i="8" s="1"/>
  <c r="P50" i="8" s="1"/>
  <c r="Q58" i="7"/>
  <c r="R2" i="8"/>
  <c r="R58" i="7" s="1"/>
  <c r="Q28" i="8"/>
  <c r="Q14" i="8"/>
  <c r="Q13" i="8"/>
  <c r="Q12" i="8"/>
  <c r="Q54" i="8"/>
  <c r="I59" i="7"/>
  <c r="I68" i="8"/>
  <c r="Q55" i="7"/>
  <c r="R55" i="7" s="1"/>
  <c r="Q57" i="7"/>
  <c r="J59" i="7"/>
  <c r="J68" i="8"/>
  <c r="K56" i="7"/>
  <c r="J26" i="8"/>
  <c r="I27" i="8"/>
  <c r="I29" i="8" s="1"/>
  <c r="I31" i="8" s="1"/>
  <c r="Q15" i="8" l="1"/>
  <c r="Q18" i="8" s="1"/>
  <c r="Q50" i="8" s="1"/>
  <c r="R57" i="7"/>
  <c r="K59" i="7"/>
  <c r="K68" i="8"/>
  <c r="S2" i="8"/>
  <c r="R13" i="8"/>
  <c r="R14" i="8"/>
  <c r="R54" i="8"/>
  <c r="R28" i="8"/>
  <c r="R12" i="8"/>
  <c r="L56" i="7"/>
  <c r="K26" i="8"/>
  <c r="J27" i="8"/>
  <c r="J29" i="8" s="1"/>
  <c r="J31" i="8" s="1"/>
  <c r="S57" i="7" l="1"/>
  <c r="S55" i="7"/>
  <c r="S58" i="7"/>
  <c r="R15" i="8"/>
  <c r="R18" i="8" s="1"/>
  <c r="R50" i="8" s="1"/>
  <c r="L59" i="7"/>
  <c r="L68" i="8"/>
  <c r="T2" i="8"/>
  <c r="S12" i="8"/>
  <c r="S54" i="8"/>
  <c r="S14" i="8"/>
  <c r="S28" i="8"/>
  <c r="S13" i="8"/>
  <c r="M56" i="7"/>
  <c r="K27" i="8"/>
  <c r="K29" i="8" s="1"/>
  <c r="K31" i="8" s="1"/>
  <c r="L26" i="8"/>
  <c r="T58" i="7" l="1"/>
  <c r="S15" i="8"/>
  <c r="S18" i="8" s="1"/>
  <c r="S50" i="8" s="1"/>
  <c r="T55" i="7"/>
  <c r="M59" i="7"/>
  <c r="M68" i="8"/>
  <c r="U2" i="8"/>
  <c r="T54" i="8"/>
  <c r="T14" i="8"/>
  <c r="T12" i="8"/>
  <c r="T28" i="8"/>
  <c r="T13" i="8"/>
  <c r="T57" i="7"/>
  <c r="N56" i="7"/>
  <c r="M26" i="8"/>
  <c r="L27" i="8"/>
  <c r="L29" i="8" s="1"/>
  <c r="L31" i="8" s="1"/>
  <c r="T15" i="8" l="1"/>
  <c r="T18" i="8" s="1"/>
  <c r="T50" i="8" s="1"/>
  <c r="U55" i="7"/>
  <c r="U57" i="7"/>
  <c r="N59" i="7"/>
  <c r="N68" i="8"/>
  <c r="V2" i="8"/>
  <c r="U13" i="8"/>
  <c r="U54" i="8"/>
  <c r="U28" i="8"/>
  <c r="U12" i="8"/>
  <c r="U14" i="8"/>
  <c r="U58" i="7"/>
  <c r="O56" i="7"/>
  <c r="N26" i="8"/>
  <c r="M27" i="8"/>
  <c r="M29" i="8" s="1"/>
  <c r="M31" i="8" s="1"/>
  <c r="V58" i="7" l="1"/>
  <c r="U15" i="8"/>
  <c r="U18" i="8" s="1"/>
  <c r="U50" i="8" s="1"/>
  <c r="O59" i="7"/>
  <c r="O68" i="8"/>
  <c r="V57" i="7"/>
  <c r="W2" i="8"/>
  <c r="V28" i="8"/>
  <c r="V12" i="8"/>
  <c r="V13" i="8"/>
  <c r="V54" i="8"/>
  <c r="V14" i="8"/>
  <c r="V55" i="7"/>
  <c r="P56" i="7"/>
  <c r="O26" i="8"/>
  <c r="N27" i="8"/>
  <c r="N29" i="8" s="1"/>
  <c r="N31" i="8" s="1"/>
  <c r="V15" i="8" l="1"/>
  <c r="V18" i="8" s="1"/>
  <c r="V50" i="8" s="1"/>
  <c r="W57" i="7"/>
  <c r="W55" i="7"/>
  <c r="P59" i="7"/>
  <c r="P68" i="8"/>
  <c r="X2" i="8"/>
  <c r="W14" i="8"/>
  <c r="W13" i="8"/>
  <c r="W12" i="8"/>
  <c r="W54" i="8"/>
  <c r="W28" i="8"/>
  <c r="W58" i="7"/>
  <c r="Q56" i="7"/>
  <c r="P26" i="8"/>
  <c r="O27" i="8"/>
  <c r="O29" i="8" s="1"/>
  <c r="O31" i="8" s="1"/>
  <c r="X55" i="7" l="1"/>
  <c r="X58" i="7"/>
  <c r="W15" i="8"/>
  <c r="W18" i="8" s="1"/>
  <c r="W50" i="8" s="1"/>
  <c r="Q59" i="7"/>
  <c r="Q68" i="8"/>
  <c r="Y2" i="8"/>
  <c r="X14" i="8"/>
  <c r="X13" i="8"/>
  <c r="X12" i="8"/>
  <c r="X54" i="8"/>
  <c r="X28" i="8"/>
  <c r="X57" i="7"/>
  <c r="R56" i="7"/>
  <c r="Q26" i="8"/>
  <c r="P27" i="8"/>
  <c r="P29" i="8" s="1"/>
  <c r="P31" i="8" s="1"/>
  <c r="Y55" i="7" l="1"/>
  <c r="X15" i="8"/>
  <c r="X18" i="8" s="1"/>
  <c r="X50" i="8" s="1"/>
  <c r="Y57" i="7"/>
  <c r="R59" i="7"/>
  <c r="R68" i="8"/>
  <c r="Z2" i="8"/>
  <c r="Y13" i="8"/>
  <c r="Y12" i="8"/>
  <c r="Y28" i="8"/>
  <c r="Y54" i="8"/>
  <c r="Y14" i="8"/>
  <c r="Y58" i="7"/>
  <c r="S56" i="7"/>
  <c r="R26" i="8"/>
  <c r="Q27" i="8"/>
  <c r="Q29" i="8" s="1"/>
  <c r="Q31" i="8" s="1"/>
  <c r="Z55" i="7" l="1"/>
  <c r="Z58" i="7"/>
  <c r="Y15" i="8"/>
  <c r="Y18" i="8" s="1"/>
  <c r="Y50" i="8" s="1"/>
  <c r="S59" i="7"/>
  <c r="S68" i="8"/>
  <c r="AA2" i="8"/>
  <c r="AA58" i="7" s="1"/>
  <c r="Z28" i="8"/>
  <c r="Z14" i="8"/>
  <c r="Z12" i="8"/>
  <c r="Z13" i="8"/>
  <c r="Z54" i="8"/>
  <c r="Z57" i="7"/>
  <c r="T56" i="7"/>
  <c r="S26" i="8"/>
  <c r="R27" i="8"/>
  <c r="R29" i="8" s="1"/>
  <c r="R31" i="8" s="1"/>
  <c r="Z15" i="8" l="1"/>
  <c r="Z18" i="8" s="1"/>
  <c r="Z50" i="8" s="1"/>
  <c r="AA55" i="7"/>
  <c r="AA57" i="7"/>
  <c r="T59" i="7"/>
  <c r="T68" i="8"/>
  <c r="AB2" i="8"/>
  <c r="AA14" i="8"/>
  <c r="AA13" i="8"/>
  <c r="AA12" i="8"/>
  <c r="AA54" i="8"/>
  <c r="AA28" i="8"/>
  <c r="U56" i="7"/>
  <c r="T26" i="8"/>
  <c r="S27" i="8"/>
  <c r="S29" i="8" s="1"/>
  <c r="S31" i="8" s="1"/>
  <c r="AA15" i="8" l="1"/>
  <c r="AA18" i="8" s="1"/>
  <c r="AA50" i="8" s="1"/>
  <c r="AB63" i="8"/>
  <c r="AB69" i="8"/>
  <c r="AB68" i="8"/>
  <c r="AB64" i="8"/>
  <c r="AC2" i="8"/>
  <c r="AB58" i="7"/>
  <c r="AB44" i="8"/>
  <c r="AB45" i="8" s="1"/>
  <c r="AB48" i="8"/>
  <c r="AB56" i="8"/>
  <c r="AB15" i="8"/>
  <c r="AB18" i="8"/>
  <c r="AB50" i="8" s="1"/>
  <c r="AB12" i="8"/>
  <c r="AB60" i="8"/>
  <c r="AB65" i="8"/>
  <c r="AB57" i="8"/>
  <c r="AB57" i="7"/>
  <c r="AB55" i="7"/>
  <c r="AB56" i="7"/>
  <c r="AB54" i="8"/>
  <c r="AB31" i="8"/>
  <c r="AB55" i="8"/>
  <c r="U59" i="7"/>
  <c r="U68" i="8"/>
  <c r="V56" i="7"/>
  <c r="U26" i="8"/>
  <c r="T27" i="8"/>
  <c r="T29" i="8" s="1"/>
  <c r="T31" i="8" s="1"/>
  <c r="V59" i="7" l="1"/>
  <c r="V68" i="8"/>
  <c r="AC63" i="8"/>
  <c r="AC69" i="8"/>
  <c r="AC68" i="8"/>
  <c r="AC64" i="8"/>
  <c r="AC48" i="8"/>
  <c r="AC44" i="8"/>
  <c r="AC45" i="8" s="1"/>
  <c r="AC58" i="7"/>
  <c r="AD2" i="8"/>
  <c r="AC56" i="7"/>
  <c r="AC12" i="8"/>
  <c r="AC65" i="8"/>
  <c r="AC56" i="8"/>
  <c r="AC57" i="8"/>
  <c r="AC54" i="8"/>
  <c r="AC18" i="8"/>
  <c r="AC50" i="8" s="1"/>
  <c r="AC55" i="7"/>
  <c r="AC57" i="7"/>
  <c r="AC60" i="8"/>
  <c r="AC15" i="8"/>
  <c r="AC55" i="8"/>
  <c r="AC31" i="8"/>
  <c r="W56" i="7"/>
  <c r="V26" i="8"/>
  <c r="U27" i="8"/>
  <c r="U29" i="8" s="1"/>
  <c r="U31" i="8" s="1"/>
  <c r="AD63" i="8" l="1"/>
  <c r="AD69" i="8"/>
  <c r="AD68" i="8"/>
  <c r="AD64" i="8"/>
  <c r="AD44" i="8"/>
  <c r="AD45" i="8" s="1"/>
  <c r="AD58" i="7"/>
  <c r="AE2" i="8"/>
  <c r="AD48" i="8"/>
  <c r="AD65" i="8"/>
  <c r="AD54" i="8"/>
  <c r="AD57" i="8"/>
  <c r="AD18" i="8"/>
  <c r="AD50" i="8" s="1"/>
  <c r="AD15" i="8"/>
  <c r="AD57" i="7"/>
  <c r="AD60" i="8"/>
  <c r="AD55" i="7"/>
  <c r="AD12" i="8"/>
  <c r="AD56" i="7"/>
  <c r="AD56" i="8"/>
  <c r="AD55" i="8"/>
  <c r="AD31" i="8"/>
  <c r="W59" i="7"/>
  <c r="W68" i="8"/>
  <c r="X56" i="7"/>
  <c r="W26" i="8"/>
  <c r="V27" i="8"/>
  <c r="V29" i="8" s="1"/>
  <c r="V31" i="8" s="1"/>
  <c r="AE63" i="8" l="1"/>
  <c r="AE68" i="8"/>
  <c r="AE69" i="8"/>
  <c r="AE64" i="8"/>
  <c r="AE44" i="8"/>
  <c r="AE45" i="8" s="1"/>
  <c r="AE48" i="8"/>
  <c r="AE58" i="7"/>
  <c r="AF2" i="8"/>
  <c r="AE55" i="7"/>
  <c r="AE12" i="8"/>
  <c r="AE60" i="8"/>
  <c r="AE54" i="8"/>
  <c r="AE15" i="8"/>
  <c r="AE57" i="7"/>
  <c r="AE65" i="8"/>
  <c r="AE57" i="8"/>
  <c r="AE18" i="8"/>
  <c r="AE50" i="8" s="1"/>
  <c r="AE56" i="7"/>
  <c r="AE56" i="8"/>
  <c r="AE55" i="8"/>
  <c r="AE31" i="8"/>
  <c r="X59" i="7"/>
  <c r="X68" i="8"/>
  <c r="Y56" i="7"/>
  <c r="X26" i="8"/>
  <c r="W27" i="8"/>
  <c r="W29" i="8" s="1"/>
  <c r="W31" i="8" s="1"/>
  <c r="Y59" i="7" l="1"/>
  <c r="Y68" i="8"/>
  <c r="AF63" i="8"/>
  <c r="AF69" i="8"/>
  <c r="AF68" i="8"/>
  <c r="AF64" i="8"/>
  <c r="AF44" i="8"/>
  <c r="AF45" i="8" s="1"/>
  <c r="AF48" i="8"/>
  <c r="AF58" i="7"/>
  <c r="AG2" i="8"/>
  <c r="AF55" i="7"/>
  <c r="AF65" i="8"/>
  <c r="AF54" i="8"/>
  <c r="AF57" i="8"/>
  <c r="AF57" i="7"/>
  <c r="AF56" i="8"/>
  <c r="AF15" i="8"/>
  <c r="AF18" i="8"/>
  <c r="AF50" i="8" s="1"/>
  <c r="AF56" i="7"/>
  <c r="AF60" i="8"/>
  <c r="AF12" i="8"/>
  <c r="AF55" i="8"/>
  <c r="AF31" i="8"/>
  <c r="Z56" i="7"/>
  <c r="X27" i="8"/>
  <c r="X29" i="8" s="1"/>
  <c r="X31" i="8" s="1"/>
  <c r="Y26" i="8"/>
  <c r="AG63" i="8" l="1"/>
  <c r="AG69" i="8"/>
  <c r="AG68" i="8"/>
  <c r="AG64" i="8"/>
  <c r="AG44" i="8"/>
  <c r="AG45" i="8" s="1"/>
  <c r="AG57" i="7"/>
  <c r="AG56" i="7"/>
  <c r="AG54" i="8"/>
  <c r="AG18" i="8"/>
  <c r="AG50" i="8" s="1"/>
  <c r="AG58" i="7"/>
  <c r="AG12" i="8"/>
  <c r="AG65" i="8"/>
  <c r="AG56" i="8"/>
  <c r="AG57" i="8"/>
  <c r="AH2" i="8"/>
  <c r="AG55" i="7"/>
  <c r="AG55" i="8"/>
  <c r="AG48" i="8"/>
  <c r="AG60" i="8"/>
  <c r="AG15" i="8"/>
  <c r="AG31" i="8"/>
  <c r="Z59" i="7"/>
  <c r="Z68" i="8"/>
  <c r="AA56" i="7"/>
  <c r="Z26" i="8"/>
  <c r="Y27" i="8"/>
  <c r="Y29" i="8" s="1"/>
  <c r="Y31" i="8" s="1"/>
  <c r="AA59" i="7" l="1"/>
  <c r="AA68" i="8"/>
  <c r="AH69" i="8"/>
  <c r="AH64" i="8"/>
  <c r="AH68" i="8"/>
  <c r="AH31" i="8"/>
  <c r="AH58" i="7"/>
  <c r="AH56" i="8"/>
  <c r="AH15" i="8"/>
  <c r="AH44" i="8"/>
  <c r="AH45" i="8" s="1"/>
  <c r="AH55" i="7"/>
  <c r="AH54" i="8"/>
  <c r="AH65" i="8"/>
  <c r="AH57" i="7"/>
  <c r="AH56" i="7"/>
  <c r="AH63" i="8"/>
  <c r="AH18" i="8"/>
  <c r="AH50" i="8" s="1"/>
  <c r="AH12" i="8"/>
  <c r="AI2" i="8"/>
  <c r="AH60" i="8"/>
  <c r="AH57" i="8"/>
  <c r="AH55" i="8"/>
  <c r="AH48" i="8"/>
  <c r="B8" i="8" a="1"/>
  <c r="AA26" i="8"/>
  <c r="AA27" i="8" s="1"/>
  <c r="AA29" i="8" s="1"/>
  <c r="AA31" i="8" s="1"/>
  <c r="Z27" i="8"/>
  <c r="Z29" i="8" s="1"/>
  <c r="Z31" i="8" s="1"/>
  <c r="AI63" i="8" l="1"/>
  <c r="AI64" i="8"/>
  <c r="AI69" i="8"/>
  <c r="AI68" i="8"/>
  <c r="AI48" i="8"/>
  <c r="AI12" i="8"/>
  <c r="AI56" i="8"/>
  <c r="AI18" i="8"/>
  <c r="AI50" i="8" s="1"/>
  <c r="AI58" i="7"/>
  <c r="AI55" i="7"/>
  <c r="AI57" i="7"/>
  <c r="AI31" i="8"/>
  <c r="AI65" i="8"/>
  <c r="AI44" i="8"/>
  <c r="AI45" i="8" s="1"/>
  <c r="AI60" i="8"/>
  <c r="AI54" i="8"/>
  <c r="AI55" i="8"/>
  <c r="AI15" i="8"/>
  <c r="AJ2" i="8"/>
  <c r="AI56" i="7"/>
  <c r="AI57" i="8"/>
  <c r="B8" i="8"/>
  <c r="B65" i="8" s="1"/>
  <c r="BI8" i="8"/>
  <c r="AW8" i="8"/>
  <c r="I8" i="8"/>
  <c r="I64" i="8" s="1"/>
  <c r="CS8" i="8"/>
  <c r="H8" i="8"/>
  <c r="H64" i="8" s="1"/>
  <c r="AO8" i="8"/>
  <c r="BA8" i="8"/>
  <c r="E8" i="8"/>
  <c r="E64" i="8" s="1"/>
  <c r="BP8" i="8"/>
  <c r="AJ8" i="8"/>
  <c r="CE8" i="8"/>
  <c r="AY8" i="8"/>
  <c r="CJ8" i="8"/>
  <c r="BL8" i="8"/>
  <c r="AF8" i="8"/>
  <c r="CA8" i="8"/>
  <c r="AU8" i="8"/>
  <c r="AA8" i="8"/>
  <c r="AA64" i="8" s="1"/>
  <c r="G8" i="8"/>
  <c r="G64" i="8" s="1"/>
  <c r="CP8" i="8"/>
  <c r="BZ8" i="8"/>
  <c r="BJ8" i="8"/>
  <c r="AT8" i="8"/>
  <c r="AD8" i="8"/>
  <c r="N8" i="8"/>
  <c r="N64" i="8" s="1"/>
  <c r="Y8" i="8"/>
  <c r="Y64" i="8" s="1"/>
  <c r="CU8" i="8"/>
  <c r="BX8" i="8"/>
  <c r="CQ8" i="8"/>
  <c r="AI8" i="8"/>
  <c r="CX8" i="8"/>
  <c r="BR8" i="8"/>
  <c r="AL8" i="8"/>
  <c r="F8" i="8"/>
  <c r="F64" i="8" s="1"/>
  <c r="BE8" i="8"/>
  <c r="CM8" i="8"/>
  <c r="BT8" i="8"/>
  <c r="CI8" i="8"/>
  <c r="AE8" i="8"/>
  <c r="CT8" i="8"/>
  <c r="BN8" i="8"/>
  <c r="AH8" i="8"/>
  <c r="D8" i="8"/>
  <c r="D64" i="8" s="1"/>
  <c r="P8" i="8"/>
  <c r="P64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64" i="8" s="1"/>
  <c r="BS8" i="8"/>
  <c r="AQ8" i="8"/>
  <c r="W8" i="8"/>
  <c r="W64" i="8" s="1"/>
  <c r="C8" i="8"/>
  <c r="C64" i="8" s="1"/>
  <c r="CL8" i="8"/>
  <c r="BV8" i="8"/>
  <c r="BF8" i="8"/>
  <c r="AP8" i="8"/>
  <c r="Z8" i="8"/>
  <c r="Z64" i="8" s="1"/>
  <c r="J8" i="8"/>
  <c r="J64" i="8" s="1"/>
  <c r="CO8" i="8"/>
  <c r="AC8" i="8"/>
  <c r="AG8" i="8"/>
  <c r="BU8" i="8"/>
  <c r="CG8" i="8"/>
  <c r="U8" i="8"/>
  <c r="U64" i="8" s="1"/>
  <c r="CN8" i="8"/>
  <c r="AZ8" i="8"/>
  <c r="BO8" i="8"/>
  <c r="O8" i="8"/>
  <c r="O64" i="8" s="1"/>
  <c r="AV8" i="8"/>
  <c r="BK8" i="8"/>
  <c r="S8" i="8"/>
  <c r="S64" i="8" s="1"/>
  <c r="CH8" i="8"/>
  <c r="BB8" i="8"/>
  <c r="V8" i="8"/>
  <c r="V64" i="8" s="1"/>
  <c r="CC8" i="8"/>
  <c r="T8" i="8"/>
  <c r="T64" i="8" s="1"/>
  <c r="AS8" i="8"/>
  <c r="L8" i="8"/>
  <c r="L64" i="8" s="1"/>
  <c r="Q8" i="8"/>
  <c r="Q64" i="8" s="1"/>
  <c r="BQ8" i="8"/>
  <c r="M8" i="8"/>
  <c r="M64" i="8" s="1"/>
  <c r="CB8" i="8"/>
  <c r="AR8" i="8"/>
  <c r="BG8" i="8"/>
  <c r="CR8" i="8"/>
  <c r="AN8" i="8"/>
  <c r="BC8" i="8"/>
  <c r="K8" i="8"/>
  <c r="K64" i="8" s="1"/>
  <c r="CD8" i="8"/>
  <c r="AX8" i="8"/>
  <c r="R8" i="8"/>
  <c r="R64" i="8" s="1"/>
  <c r="AJ63" i="8" l="1"/>
  <c r="AJ69" i="8"/>
  <c r="AJ68" i="8"/>
  <c r="AJ64" i="8"/>
  <c r="AK2" i="8"/>
  <c r="AJ57" i="7"/>
  <c r="AJ12" i="8"/>
  <c r="AJ15" i="8"/>
  <c r="AJ44" i="8"/>
  <c r="AJ45" i="8" s="1"/>
  <c r="AJ60" i="8"/>
  <c r="AJ57" i="8"/>
  <c r="AJ31" i="8"/>
  <c r="AJ48" i="8"/>
  <c r="AJ65" i="8"/>
  <c r="AJ54" i="8"/>
  <c r="AJ56" i="8"/>
  <c r="AJ58" i="7"/>
  <c r="AJ56" i="7"/>
  <c r="AJ55" i="7"/>
  <c r="AJ55" i="8"/>
  <c r="AJ18" i="8"/>
  <c r="AJ50" i="8" s="1"/>
  <c r="AK63" i="8" l="1"/>
  <c r="AK69" i="8"/>
  <c r="AK68" i="8"/>
  <c r="AK64" i="8"/>
  <c r="AK58" i="7"/>
  <c r="AK55" i="7"/>
  <c r="AK12" i="8"/>
  <c r="AK31" i="8"/>
  <c r="AL2" i="8"/>
  <c r="AK57" i="7"/>
  <c r="AK54" i="8"/>
  <c r="AK55" i="8"/>
  <c r="AK48" i="8"/>
  <c r="AK56" i="7"/>
  <c r="AK56" i="8"/>
  <c r="AK65" i="8"/>
  <c r="AK44" i="8"/>
  <c r="AK45" i="8" s="1"/>
  <c r="AK60" i="8"/>
  <c r="AK15" i="8"/>
  <c r="AK18" i="8"/>
  <c r="AK50" i="8" s="1"/>
  <c r="AK57" i="8"/>
  <c r="AL63" i="8" l="1"/>
  <c r="AL69" i="8"/>
  <c r="AL68" i="8"/>
  <c r="AL64" i="8"/>
  <c r="AL56" i="7"/>
  <c r="AL18" i="8"/>
  <c r="AL50" i="8" s="1"/>
  <c r="AM2" i="8"/>
  <c r="AL57" i="7"/>
  <c r="AL55" i="7"/>
  <c r="AL31" i="8"/>
  <c r="AL48" i="8"/>
  <c r="AL12" i="8"/>
  <c r="AL54" i="8"/>
  <c r="AL57" i="8"/>
  <c r="AL44" i="8"/>
  <c r="AL45" i="8" s="1"/>
  <c r="AL60" i="8"/>
  <c r="AL15" i="8"/>
  <c r="AL65" i="8"/>
  <c r="AL58" i="7"/>
  <c r="AL56" i="8"/>
  <c r="AL55" i="8"/>
  <c r="AM63" i="8" l="1"/>
  <c r="AM69" i="8"/>
  <c r="AM68" i="8"/>
  <c r="AM64" i="8"/>
  <c r="AM55" i="8"/>
  <c r="AM48" i="8"/>
  <c r="AM65" i="8"/>
  <c r="AM57" i="8"/>
  <c r="AM18" i="8"/>
  <c r="AM50" i="8" s="1"/>
  <c r="AM58" i="7"/>
  <c r="AM55" i="7"/>
  <c r="AM12" i="8"/>
  <c r="AM60" i="8"/>
  <c r="AM31" i="8"/>
  <c r="AN2" i="8"/>
  <c r="AM57" i="7"/>
  <c r="AM56" i="8"/>
  <c r="AM54" i="8"/>
  <c r="AM44" i="8"/>
  <c r="AM45" i="8" s="1"/>
  <c r="AM56" i="7"/>
  <c r="AM15" i="8"/>
  <c r="AN63" i="8" l="1"/>
  <c r="AN69" i="8"/>
  <c r="AN68" i="8"/>
  <c r="AN64" i="8"/>
  <c r="AN58" i="7"/>
  <c r="AN56" i="7"/>
  <c r="AN31" i="8"/>
  <c r="AO2" i="8"/>
  <c r="AN55" i="7"/>
  <c r="AN54" i="8"/>
  <c r="AN12" i="8"/>
  <c r="AN44" i="8"/>
  <c r="AN45" i="8" s="1"/>
  <c r="AN57" i="7"/>
  <c r="AN65" i="8"/>
  <c r="AN57" i="8"/>
  <c r="AN48" i="8"/>
  <c r="AN60" i="8"/>
  <c r="AN15" i="8"/>
  <c r="AN18" i="8"/>
  <c r="AN50" i="8" s="1"/>
  <c r="AN56" i="8"/>
  <c r="AN55" i="8"/>
  <c r="AO63" i="8" l="1"/>
  <c r="AO69" i="8"/>
  <c r="AO68" i="8"/>
  <c r="AO64" i="8"/>
  <c r="AO60" i="8"/>
  <c r="AO12" i="8"/>
  <c r="AO15" i="8"/>
  <c r="AO48" i="8"/>
  <c r="AO18" i="8"/>
  <c r="AO50" i="8" s="1"/>
  <c r="AO44" i="8"/>
  <c r="AO45" i="8" s="1"/>
  <c r="AO65" i="8"/>
  <c r="AO57" i="7"/>
  <c r="AO31" i="8"/>
  <c r="AO58" i="7"/>
  <c r="AO55" i="7"/>
  <c r="AO56" i="8"/>
  <c r="AO55" i="8"/>
  <c r="AP2" i="8"/>
  <c r="AO54" i="8"/>
  <c r="AO56" i="7"/>
  <c r="AO57" i="8"/>
  <c r="AP63" i="8" l="1"/>
  <c r="AP69" i="8"/>
  <c r="AP68" i="8"/>
  <c r="AP64" i="8"/>
  <c r="AP58" i="7"/>
  <c r="AP57" i="7"/>
  <c r="AP55" i="7"/>
  <c r="AP55" i="8"/>
  <c r="AP57" i="8"/>
  <c r="AP44" i="8"/>
  <c r="AP45" i="8" s="1"/>
  <c r="AP65" i="8"/>
  <c r="AP56" i="8"/>
  <c r="AP31" i="8"/>
  <c r="AP18" i="8"/>
  <c r="AP50" i="8" s="1"/>
  <c r="AQ2" i="8"/>
  <c r="AP56" i="7"/>
  <c r="AP12" i="8"/>
  <c r="AP48" i="8"/>
  <c r="AP60" i="8"/>
  <c r="AP54" i="8"/>
  <c r="AP15" i="8"/>
  <c r="AQ63" i="8" l="1"/>
  <c r="AQ64" i="8"/>
  <c r="AQ69" i="8"/>
  <c r="AQ68" i="8"/>
  <c r="AQ58" i="7"/>
  <c r="AQ57" i="7"/>
  <c r="AQ56" i="8"/>
  <c r="AQ31" i="8"/>
  <c r="AQ60" i="8"/>
  <c r="AR2" i="8"/>
  <c r="AQ56" i="7"/>
  <c r="AQ15" i="8"/>
  <c r="AQ18" i="8"/>
  <c r="AQ50" i="8" s="1"/>
  <c r="AQ48" i="8"/>
  <c r="AQ55" i="7"/>
  <c r="AQ57" i="8"/>
  <c r="AQ12" i="8"/>
  <c r="AQ44" i="8"/>
  <c r="AQ45" i="8" s="1"/>
  <c r="AQ54" i="8"/>
  <c r="AQ55" i="8"/>
  <c r="AQ65" i="8"/>
  <c r="AR63" i="8" l="1"/>
  <c r="AR69" i="8"/>
  <c r="AR68" i="8"/>
  <c r="AR64" i="8"/>
  <c r="AR58" i="7"/>
  <c r="AR55" i="7"/>
  <c r="AR15" i="8"/>
  <c r="AR57" i="7"/>
  <c r="AR18" i="8"/>
  <c r="AR50" i="8" s="1"/>
  <c r="AS2" i="8"/>
  <c r="AR12" i="8"/>
  <c r="AR54" i="8"/>
  <c r="AR56" i="8"/>
  <c r="AR44" i="8"/>
  <c r="AR45" i="8" s="1"/>
  <c r="AR56" i="7"/>
  <c r="AR57" i="8"/>
  <c r="AR31" i="8"/>
  <c r="AR48" i="8"/>
  <c r="AR65" i="8"/>
  <c r="AR55" i="8"/>
  <c r="AR60" i="8"/>
  <c r="AS63" i="8" l="1"/>
  <c r="AS69" i="8"/>
  <c r="AS68" i="8"/>
  <c r="AS64" i="8"/>
  <c r="AS58" i="7"/>
  <c r="AS55" i="7"/>
  <c r="AS65" i="8"/>
  <c r="AS56" i="8"/>
  <c r="AS31" i="8"/>
  <c r="AT2" i="8"/>
  <c r="AS56" i="7"/>
  <c r="AS57" i="7"/>
  <c r="AS15" i="8"/>
  <c r="AS48" i="8"/>
  <c r="AS12" i="8"/>
  <c r="AS57" i="8"/>
  <c r="AS54" i="8"/>
  <c r="AS44" i="8"/>
  <c r="AS45" i="8" s="1"/>
  <c r="AS60" i="8"/>
  <c r="AS55" i="8"/>
  <c r="AS18" i="8"/>
  <c r="AS50" i="8" s="1"/>
  <c r="AT63" i="8" l="1"/>
  <c r="AT68" i="8"/>
  <c r="AT69" i="8"/>
  <c r="AT64" i="8"/>
  <c r="AT58" i="7"/>
  <c r="AT55" i="7"/>
  <c r="AT12" i="8"/>
  <c r="AT31" i="8"/>
  <c r="AT18" i="8"/>
  <c r="AT50" i="8" s="1"/>
  <c r="AU2" i="8"/>
  <c r="AT56" i="7"/>
  <c r="AT54" i="8"/>
  <c r="AT55" i="8"/>
  <c r="AT48" i="8"/>
  <c r="AT60" i="8"/>
  <c r="AT65" i="8"/>
  <c r="AT56" i="8"/>
  <c r="AT44" i="8"/>
  <c r="AT45" i="8" s="1"/>
  <c r="AT57" i="7"/>
  <c r="AT15" i="8"/>
  <c r="AT57" i="8"/>
  <c r="AU63" i="8" l="1"/>
  <c r="AU68" i="8"/>
  <c r="AU69" i="8"/>
  <c r="AU64" i="8"/>
  <c r="AU58" i="7"/>
  <c r="AU56" i="7"/>
  <c r="AU56" i="8"/>
  <c r="AU65" i="8"/>
  <c r="AU15" i="8"/>
  <c r="AU31" i="8"/>
  <c r="AU44" i="8"/>
  <c r="AU45" i="8" s="1"/>
  <c r="AU12" i="8"/>
  <c r="AU54" i="8"/>
  <c r="AU48" i="8"/>
  <c r="AU60" i="8"/>
  <c r="AU55" i="7"/>
  <c r="AU55" i="8"/>
  <c r="AV2" i="8"/>
  <c r="AU57" i="7"/>
  <c r="AU57" i="8"/>
  <c r="AU18" i="8"/>
  <c r="AU50" i="8" s="1"/>
  <c r="AV63" i="8" l="1"/>
  <c r="AV69" i="8"/>
  <c r="AV68" i="8"/>
  <c r="AV64" i="8"/>
  <c r="AV58" i="7"/>
  <c r="AV55" i="7"/>
  <c r="AV60" i="8"/>
  <c r="AV56" i="8"/>
  <c r="AV55" i="8"/>
  <c r="AW2" i="8"/>
  <c r="AV15" i="8"/>
  <c r="AV65" i="8"/>
  <c r="AV18" i="8"/>
  <c r="AV50" i="8" s="1"/>
  <c r="AV48" i="8"/>
  <c r="AV12" i="8"/>
  <c r="AV31" i="8"/>
  <c r="AV54" i="8"/>
  <c r="AV57" i="7"/>
  <c r="AV44" i="8"/>
  <c r="AV45" i="8" s="1"/>
  <c r="AV56" i="7"/>
  <c r="AV57" i="8"/>
  <c r="AW63" i="8" l="1"/>
  <c r="AW69" i="8"/>
  <c r="AW68" i="8"/>
  <c r="AW64" i="8"/>
  <c r="AW44" i="8"/>
  <c r="AW45" i="8" s="1"/>
  <c r="AW12" i="8"/>
  <c r="AW56" i="8"/>
  <c r="AW60" i="8"/>
  <c r="AW65" i="8"/>
  <c r="AW55" i="8"/>
  <c r="AX2" i="8"/>
  <c r="AW57" i="7"/>
  <c r="AW54" i="8"/>
  <c r="AW18" i="8"/>
  <c r="AW50" i="8" s="1"/>
  <c r="AW48" i="8"/>
  <c r="AW55" i="7"/>
  <c r="AW15" i="8"/>
  <c r="AW31" i="8"/>
  <c r="AW58" i="7"/>
  <c r="AW56" i="7"/>
  <c r="AW57" i="8"/>
  <c r="AX63" i="8" l="1"/>
  <c r="AX69" i="8"/>
  <c r="AX64" i="8"/>
  <c r="AX68" i="8"/>
  <c r="AY2" i="8"/>
  <c r="AX15" i="8"/>
  <c r="AX48" i="8"/>
  <c r="AX12" i="8"/>
  <c r="AX18" i="8"/>
  <c r="AX50" i="8" s="1"/>
  <c r="AX56" i="8"/>
  <c r="AX58" i="7"/>
  <c r="AX55" i="7"/>
  <c r="AX65" i="8"/>
  <c r="AX57" i="8"/>
  <c r="AX31" i="8"/>
  <c r="AX56" i="7"/>
  <c r="AX57" i="7"/>
  <c r="AX54" i="8"/>
  <c r="AX44" i="8"/>
  <c r="AX45" i="8" s="1"/>
  <c r="AX60" i="8"/>
  <c r="AX55" i="8"/>
  <c r="AY63" i="8" l="1"/>
  <c r="AY69" i="8"/>
  <c r="AY64" i="8"/>
  <c r="AY68" i="8"/>
  <c r="AY56" i="8"/>
  <c r="AY48" i="8"/>
  <c r="AY15" i="8"/>
  <c r="AY58" i="7"/>
  <c r="AY55" i="7"/>
  <c r="AY12" i="8"/>
  <c r="AY57" i="8"/>
  <c r="AY54" i="8"/>
  <c r="AZ2" i="8"/>
  <c r="AY60" i="8"/>
  <c r="AY65" i="8"/>
  <c r="AY55" i="8"/>
  <c r="AY44" i="8"/>
  <c r="AY45" i="8" s="1"/>
  <c r="AY57" i="7"/>
  <c r="AY31" i="8"/>
  <c r="AY56" i="7"/>
  <c r="AY18" i="8"/>
  <c r="AY50" i="8" s="1"/>
  <c r="AZ63" i="8" l="1"/>
  <c r="AZ69" i="8"/>
  <c r="AZ68" i="8"/>
  <c r="AZ64" i="8"/>
  <c r="AZ55" i="7"/>
  <c r="AZ48" i="8"/>
  <c r="AZ60" i="8"/>
  <c r="AZ18" i="8"/>
  <c r="AZ50" i="8" s="1"/>
  <c r="AZ58" i="7"/>
  <c r="AZ56" i="7"/>
  <c r="AZ54" i="8"/>
  <c r="AZ55" i="8"/>
  <c r="AZ15" i="8"/>
  <c r="BA2" i="8"/>
  <c r="AZ57" i="7"/>
  <c r="AZ56" i="8"/>
  <c r="AZ12" i="8"/>
  <c r="AZ44" i="8"/>
  <c r="AZ45" i="8" s="1"/>
  <c r="AZ57" i="8"/>
  <c r="AZ31" i="8"/>
  <c r="AZ65" i="8"/>
  <c r="BA63" i="8" l="1"/>
  <c r="BA69" i="8"/>
  <c r="BA68" i="8"/>
  <c r="BA64" i="8"/>
  <c r="BA57" i="7"/>
  <c r="BA54" i="8"/>
  <c r="BA57" i="8"/>
  <c r="BA58" i="7"/>
  <c r="BA55" i="7"/>
  <c r="BA12" i="8"/>
  <c r="BA31" i="8"/>
  <c r="BA18" i="8"/>
  <c r="BA50" i="8" s="1"/>
  <c r="BB2" i="8"/>
  <c r="BA15" i="8"/>
  <c r="BA65" i="8"/>
  <c r="BA48" i="8"/>
  <c r="BA56" i="7"/>
  <c r="BA56" i="8"/>
  <c r="BA44" i="8"/>
  <c r="BA45" i="8" s="1"/>
  <c r="BA60" i="8"/>
  <c r="BA55" i="8"/>
  <c r="BB63" i="8" l="1"/>
  <c r="BB68" i="8"/>
  <c r="BB64" i="8"/>
  <c r="BB69" i="8"/>
  <c r="BC2" i="8"/>
  <c r="BB57" i="7"/>
  <c r="BB15" i="8"/>
  <c r="BB31" i="8"/>
  <c r="BB48" i="8"/>
  <c r="BB55" i="7"/>
  <c r="BB54" i="8"/>
  <c r="BB44" i="8"/>
  <c r="BB45" i="8" s="1"/>
  <c r="BB12" i="8"/>
  <c r="BB57" i="8"/>
  <c r="BB56" i="7"/>
  <c r="BB18" i="8"/>
  <c r="BB50" i="8" s="1"/>
  <c r="BB56" i="8"/>
  <c r="BB55" i="8"/>
  <c r="BB58" i="7"/>
  <c r="BB60" i="8"/>
  <c r="BB65" i="8"/>
  <c r="BC63" i="8" l="1"/>
  <c r="BC68" i="8"/>
  <c r="BC64" i="8"/>
  <c r="BC69" i="8"/>
  <c r="BC48" i="8"/>
  <c r="BC12" i="8"/>
  <c r="BC58" i="7"/>
  <c r="BC55" i="7"/>
  <c r="BC54" i="8"/>
  <c r="BC56" i="7"/>
  <c r="BC18" i="8"/>
  <c r="BC50" i="8" s="1"/>
  <c r="BD2" i="8"/>
  <c r="BC57" i="7"/>
  <c r="BC15" i="8"/>
  <c r="BC60" i="8"/>
  <c r="BC44" i="8"/>
  <c r="BC45" i="8" s="1"/>
  <c r="BC65" i="8"/>
  <c r="BC57" i="8"/>
  <c r="BC55" i="8"/>
  <c r="BC56" i="8"/>
  <c r="BC31" i="8"/>
  <c r="BD63" i="8" l="1"/>
  <c r="BD69" i="8"/>
  <c r="BD68" i="8"/>
  <c r="BD64" i="8"/>
  <c r="BE2" i="8"/>
  <c r="BD55" i="7"/>
  <c r="BD58" i="7"/>
  <c r="BD56" i="7"/>
  <c r="BD65" i="8"/>
  <c r="BD57" i="7"/>
  <c r="BD55" i="8"/>
  <c r="BD56" i="8"/>
  <c r="BD54" i="8"/>
  <c r="BD44" i="8"/>
  <c r="BD45" i="8" s="1"/>
  <c r="BD12" i="8"/>
  <c r="BD57" i="8"/>
  <c r="BD15" i="8"/>
  <c r="BD48" i="8"/>
  <c r="BD60" i="8"/>
  <c r="BD31" i="8"/>
  <c r="BD18" i="8"/>
  <c r="BD50" i="8" s="1"/>
  <c r="BE63" i="8" l="1"/>
  <c r="BE69" i="8"/>
  <c r="BE68" i="8"/>
  <c r="BE64" i="8"/>
  <c r="BE44" i="8"/>
  <c r="BE45" i="8" s="1"/>
  <c r="BE57" i="7"/>
  <c r="BE18" i="8"/>
  <c r="BE50" i="8" s="1"/>
  <c r="BE55" i="8"/>
  <c r="BE60" i="8"/>
  <c r="BE56" i="8"/>
  <c r="BE48" i="8"/>
  <c r="BE12" i="8"/>
  <c r="BE15" i="8"/>
  <c r="BE54" i="8"/>
  <c r="BE58" i="7"/>
  <c r="BE55" i="7"/>
  <c r="BE57" i="8"/>
  <c r="BE31" i="8"/>
  <c r="BF2" i="8"/>
  <c r="BE56" i="7"/>
  <c r="BE65" i="8"/>
  <c r="BF63" i="8" l="1"/>
  <c r="BF69" i="8"/>
  <c r="BF68" i="8"/>
  <c r="BF64" i="8"/>
  <c r="BF57" i="7"/>
  <c r="BG2" i="8"/>
  <c r="BF65" i="8"/>
  <c r="BF48" i="8"/>
  <c r="BF55" i="7"/>
  <c r="BF57" i="8"/>
  <c r="BF31" i="8"/>
  <c r="BF44" i="8"/>
  <c r="BF45" i="8" s="1"/>
  <c r="BF56" i="7"/>
  <c r="BF12" i="8"/>
  <c r="BF15" i="8"/>
  <c r="BF58" i="7"/>
  <c r="BF54" i="8"/>
  <c r="BF18" i="8"/>
  <c r="BF50" i="8" s="1"/>
  <c r="BF55" i="8"/>
  <c r="BF60" i="8"/>
  <c r="BF56" i="8"/>
  <c r="BG63" i="8" l="1"/>
  <c r="BG64" i="8"/>
  <c r="BG69" i="8"/>
  <c r="BG68" i="8"/>
  <c r="BG44" i="8"/>
  <c r="BG45" i="8" s="1"/>
  <c r="BG12" i="8"/>
  <c r="BG57" i="8"/>
  <c r="BG31" i="8"/>
  <c r="BG58" i="7"/>
  <c r="BG60" i="8"/>
  <c r="BG56" i="8"/>
  <c r="BH2" i="8"/>
  <c r="BG56" i="7"/>
  <c r="BG18" i="8"/>
  <c r="BG50" i="8" s="1"/>
  <c r="BG48" i="8"/>
  <c r="BG55" i="7"/>
  <c r="BG15" i="8"/>
  <c r="BG54" i="8"/>
  <c r="BG57" i="7"/>
  <c r="BG55" i="8"/>
  <c r="BG65" i="8"/>
  <c r="BH63" i="8" l="1"/>
  <c r="BH69" i="8"/>
  <c r="BH68" i="8"/>
  <c r="BH64" i="8"/>
  <c r="BH48" i="8"/>
  <c r="BH57" i="7"/>
  <c r="BH57" i="8"/>
  <c r="BH18" i="8"/>
  <c r="BH50" i="8" s="1"/>
  <c r="BH58" i="7"/>
  <c r="BH55" i="7"/>
  <c r="BH55" i="8"/>
  <c r="BI2" i="8"/>
  <c r="BH60" i="8"/>
  <c r="BH54" i="8"/>
  <c r="BH44" i="8"/>
  <c r="BH45" i="8" s="1"/>
  <c r="BH12" i="8"/>
  <c r="BH15" i="8"/>
  <c r="BH56" i="8"/>
  <c r="BH65" i="8"/>
  <c r="BH31" i="8"/>
  <c r="BH56" i="7"/>
  <c r="BI63" i="8" l="1"/>
  <c r="BI69" i="8"/>
  <c r="BI68" i="8"/>
  <c r="BI64" i="8"/>
  <c r="BI44" i="8"/>
  <c r="BI45" i="8" s="1"/>
  <c r="BI12" i="8"/>
  <c r="BI60" i="8"/>
  <c r="BI15" i="8"/>
  <c r="BI58" i="7"/>
  <c r="BI57" i="7"/>
  <c r="BI65" i="8"/>
  <c r="BI57" i="8"/>
  <c r="BI18" i="8"/>
  <c r="BI50" i="8" s="1"/>
  <c r="BI55" i="8"/>
  <c r="BI48" i="8"/>
  <c r="BI55" i="7"/>
  <c r="BI56" i="8"/>
  <c r="BI31" i="8"/>
  <c r="BJ2" i="8"/>
  <c r="BI56" i="7"/>
  <c r="BI54" i="8"/>
  <c r="BJ63" i="8" l="1"/>
  <c r="BJ68" i="8"/>
  <c r="BJ69" i="8"/>
  <c r="BJ64" i="8"/>
  <c r="BJ44" i="8"/>
  <c r="BJ45" i="8" s="1"/>
  <c r="BJ12" i="8"/>
  <c r="BJ31" i="8"/>
  <c r="BJ18" i="8"/>
  <c r="BJ50" i="8" s="1"/>
  <c r="BJ58" i="7"/>
  <c r="BJ55" i="7"/>
  <c r="BJ56" i="7"/>
  <c r="BK2" i="8"/>
  <c r="BJ57" i="7"/>
  <c r="BJ15" i="8"/>
  <c r="BJ48" i="8"/>
  <c r="BJ60" i="8"/>
  <c r="BJ54" i="8"/>
  <c r="BJ55" i="8"/>
  <c r="BJ65" i="8"/>
  <c r="BJ57" i="8"/>
  <c r="BJ56" i="8"/>
  <c r="BK63" i="8" l="1"/>
  <c r="BK68" i="8"/>
  <c r="BK69" i="8"/>
  <c r="BK64" i="8"/>
  <c r="BK48" i="8"/>
  <c r="BK57" i="7"/>
  <c r="BK31" i="8"/>
  <c r="BK18" i="8"/>
  <c r="BK50" i="8" s="1"/>
  <c r="BK60" i="8"/>
  <c r="BK55" i="8"/>
  <c r="BK12" i="8"/>
  <c r="BK54" i="8"/>
  <c r="BK44" i="8"/>
  <c r="BK45" i="8" s="1"/>
  <c r="BK55" i="7"/>
  <c r="BK57" i="8"/>
  <c r="BK15" i="8"/>
  <c r="BK58" i="7"/>
  <c r="BK56" i="7"/>
  <c r="BK65" i="8"/>
  <c r="BL2" i="8"/>
  <c r="BK56" i="8"/>
  <c r="BL63" i="8" l="1"/>
  <c r="BL69" i="8"/>
  <c r="BL68" i="8"/>
  <c r="BL64" i="8"/>
  <c r="BL48" i="8"/>
  <c r="BL56" i="7"/>
  <c r="BL54" i="8"/>
  <c r="BL57" i="8"/>
  <c r="BL58" i="7"/>
  <c r="BL56" i="8"/>
  <c r="BL15" i="8"/>
  <c r="BL57" i="7"/>
  <c r="BL18" i="8"/>
  <c r="BL50" i="8" s="1"/>
  <c r="BL44" i="8"/>
  <c r="BL45" i="8" s="1"/>
  <c r="BL12" i="8"/>
  <c r="BL65" i="8"/>
  <c r="BL31" i="8"/>
  <c r="BL55" i="7"/>
  <c r="BL55" i="8"/>
  <c r="BM2" i="8"/>
  <c r="BL60" i="8"/>
  <c r="BM63" i="8" l="1"/>
  <c r="BM69" i="8"/>
  <c r="BM68" i="8"/>
  <c r="BM64" i="8"/>
  <c r="BM44" i="8"/>
  <c r="BM45" i="8" s="1"/>
  <c r="BM15" i="8"/>
  <c r="BM57" i="8"/>
  <c r="BM56" i="8"/>
  <c r="BM60" i="8"/>
  <c r="BM55" i="8"/>
  <c r="BM12" i="8"/>
  <c r="BM48" i="8"/>
  <c r="BM65" i="8"/>
  <c r="BM54" i="8"/>
  <c r="BM56" i="7"/>
  <c r="BM58" i="7"/>
  <c r="BM57" i="7"/>
  <c r="BM31" i="8"/>
  <c r="BN2" i="8"/>
  <c r="BM55" i="7"/>
  <c r="BM18" i="8"/>
  <c r="BM50" i="8" s="1"/>
  <c r="BN63" i="8" l="1"/>
  <c r="BN69" i="8"/>
  <c r="BN64" i="8"/>
  <c r="BN68" i="8"/>
  <c r="BN44" i="8"/>
  <c r="BN45" i="8" s="1"/>
  <c r="BN57" i="7"/>
  <c r="BN18" i="8"/>
  <c r="BN50" i="8" s="1"/>
  <c r="BN54" i="8"/>
  <c r="BN55" i="7"/>
  <c r="BN60" i="8"/>
  <c r="BO2" i="8"/>
  <c r="BN56" i="7"/>
  <c r="BN48" i="8"/>
  <c r="BN12" i="8"/>
  <c r="BN57" i="8"/>
  <c r="BN55" i="8"/>
  <c r="BN58" i="7"/>
  <c r="BN65" i="8"/>
  <c r="BN31" i="8"/>
  <c r="BN15" i="8"/>
  <c r="BN56" i="8"/>
  <c r="BO63" i="8" l="1"/>
  <c r="BO69" i="8"/>
  <c r="BO64" i="8"/>
  <c r="BO68" i="8"/>
  <c r="BO48" i="8"/>
  <c r="BO57" i="7"/>
  <c r="BO15" i="8"/>
  <c r="BO18" i="8"/>
  <c r="BO50" i="8" s="1"/>
  <c r="BO60" i="8"/>
  <c r="BO31" i="8"/>
  <c r="BP2" i="8"/>
  <c r="BO56" i="7"/>
  <c r="BO57" i="8"/>
  <c r="BO44" i="8"/>
  <c r="BO45" i="8" s="1"/>
  <c r="BO12" i="8"/>
  <c r="BO65" i="8"/>
  <c r="BO55" i="8"/>
  <c r="BO58" i="7"/>
  <c r="BO55" i="7"/>
  <c r="BO56" i="8"/>
  <c r="BO54" i="8"/>
  <c r="BP63" i="8" l="1"/>
  <c r="BP69" i="8"/>
  <c r="BP68" i="8"/>
  <c r="BP64" i="8"/>
  <c r="BP48" i="8"/>
  <c r="BP55" i="7"/>
  <c r="BP56" i="8"/>
  <c r="BP31" i="8"/>
  <c r="BP56" i="7"/>
  <c r="BP55" i="8"/>
  <c r="BQ2" i="8"/>
  <c r="BP57" i="7"/>
  <c r="BP57" i="8"/>
  <c r="BP65" i="8"/>
  <c r="BP44" i="8"/>
  <c r="BP45" i="8" s="1"/>
  <c r="BP60" i="8"/>
  <c r="BP54" i="8"/>
  <c r="BP15" i="8"/>
  <c r="BP58" i="7"/>
  <c r="BP12" i="8"/>
  <c r="BP18" i="8"/>
  <c r="BP50" i="8" s="1"/>
  <c r="BQ63" i="8" l="1"/>
  <c r="BQ69" i="8"/>
  <c r="BQ68" i="8"/>
  <c r="BQ64" i="8"/>
  <c r="BQ44" i="8"/>
  <c r="BQ45" i="8" s="1"/>
  <c r="BQ60" i="8"/>
  <c r="BQ15" i="8"/>
  <c r="BQ18" i="8"/>
  <c r="BQ50" i="8" s="1"/>
  <c r="BQ54" i="8"/>
  <c r="BQ12" i="8"/>
  <c r="BR2" i="8"/>
  <c r="BQ56" i="7"/>
  <c r="BQ56" i="8"/>
  <c r="BQ48" i="8"/>
  <c r="BQ55" i="7"/>
  <c r="BQ65" i="8"/>
  <c r="BQ31" i="8"/>
  <c r="BQ58" i="7"/>
  <c r="BQ57" i="7"/>
  <c r="BQ57" i="8"/>
  <c r="BQ55" i="8"/>
  <c r="BR63" i="8" l="1"/>
  <c r="BR68" i="8"/>
  <c r="BR64" i="8"/>
  <c r="BR69" i="8"/>
  <c r="BR48" i="8"/>
  <c r="BR55" i="7"/>
  <c r="BR15" i="8"/>
  <c r="BR57" i="8"/>
  <c r="BR58" i="7"/>
  <c r="BR56" i="7"/>
  <c r="BR56" i="8"/>
  <c r="BR55" i="8"/>
  <c r="BR18" i="8"/>
  <c r="BR50" i="8" s="1"/>
  <c r="BS2" i="8"/>
  <c r="BR57" i="7"/>
  <c r="BR65" i="8"/>
  <c r="BR60" i="8"/>
  <c r="BR44" i="8"/>
  <c r="BR45" i="8" s="1"/>
  <c r="BR12" i="8"/>
  <c r="BR54" i="8"/>
  <c r="BR31" i="8"/>
  <c r="BS63" i="8" l="1"/>
  <c r="BS68" i="8"/>
  <c r="BS64" i="8"/>
  <c r="BS69" i="8"/>
  <c r="BS58" i="7"/>
  <c r="BS55" i="7"/>
  <c r="BS56" i="8"/>
  <c r="BS60" i="8"/>
  <c r="BS18" i="8"/>
  <c r="BS50" i="8" s="1"/>
  <c r="BT2" i="8"/>
  <c r="BS57" i="7"/>
  <c r="BS15" i="8"/>
  <c r="BS54" i="8"/>
  <c r="BS44" i="8"/>
  <c r="BS45" i="8" s="1"/>
  <c r="BS56" i="7"/>
  <c r="BS57" i="8"/>
  <c r="BS31" i="8"/>
  <c r="BS48" i="8"/>
  <c r="BS65" i="8"/>
  <c r="BS12" i="8"/>
  <c r="BS55" i="8"/>
  <c r="BT63" i="8" l="1"/>
  <c r="BT69" i="8"/>
  <c r="BT68" i="8"/>
  <c r="BT64" i="8"/>
  <c r="BT58" i="7"/>
  <c r="BT56" i="7"/>
  <c r="BT56" i="8"/>
  <c r="BT15" i="8"/>
  <c r="BT55" i="8"/>
  <c r="BU2" i="8"/>
  <c r="BT55" i="7"/>
  <c r="BT54" i="8"/>
  <c r="BT31" i="8"/>
  <c r="BT44" i="8"/>
  <c r="BT45" i="8" s="1"/>
  <c r="BT57" i="7"/>
  <c r="BT12" i="8"/>
  <c r="BT57" i="8"/>
  <c r="BT48" i="8"/>
  <c r="BT60" i="8"/>
  <c r="BT65" i="8"/>
  <c r="BT18" i="8"/>
  <c r="BT50" i="8" s="1"/>
  <c r="BU63" i="8" l="1"/>
  <c r="BU69" i="8"/>
  <c r="BU68" i="8"/>
  <c r="BU64" i="8"/>
  <c r="BU58" i="7"/>
  <c r="BU55" i="7"/>
  <c r="BU54" i="8"/>
  <c r="BU18" i="8"/>
  <c r="BU50" i="8" s="1"/>
  <c r="BU31" i="8"/>
  <c r="BV2" i="8"/>
  <c r="BU56" i="7"/>
  <c r="BU60" i="8"/>
  <c r="BU15" i="8"/>
  <c r="BU48" i="8"/>
  <c r="BU12" i="8"/>
  <c r="BU65" i="8"/>
  <c r="BU57" i="8"/>
  <c r="BU44" i="8"/>
  <c r="BU45" i="8" s="1"/>
  <c r="BU57" i="7"/>
  <c r="BU56" i="8"/>
  <c r="BU55" i="8"/>
  <c r="BV63" i="8" l="1"/>
  <c r="BV69" i="8"/>
  <c r="BV68" i="8"/>
  <c r="BV64" i="8"/>
  <c r="BV58" i="7"/>
  <c r="BV57" i="7"/>
  <c r="BV12" i="8"/>
  <c r="BV54" i="8"/>
  <c r="BV55" i="8"/>
  <c r="BW2" i="8"/>
  <c r="BV56" i="7"/>
  <c r="BV57" i="8"/>
  <c r="BV18" i="8"/>
  <c r="BV50" i="8" s="1"/>
  <c r="BV44" i="8"/>
  <c r="BV45" i="8" s="1"/>
  <c r="BV60" i="8"/>
  <c r="BV65" i="8"/>
  <c r="BV15" i="8"/>
  <c r="BV48" i="8"/>
  <c r="BV55" i="7"/>
  <c r="BV56" i="8"/>
  <c r="BV31" i="8"/>
  <c r="BW63" i="8" l="1"/>
  <c r="BW64" i="8"/>
  <c r="BW69" i="8"/>
  <c r="BW68" i="8"/>
  <c r="BW58" i="7"/>
  <c r="BW57" i="7"/>
  <c r="BW65" i="8"/>
  <c r="BW60" i="8"/>
  <c r="BW18" i="8"/>
  <c r="BW50" i="8" s="1"/>
  <c r="BX2" i="8"/>
  <c r="BW56" i="7"/>
  <c r="BW54" i="8"/>
  <c r="BW57" i="8"/>
  <c r="BW44" i="8"/>
  <c r="BW45" i="8" s="1"/>
  <c r="BW12" i="8"/>
  <c r="BW56" i="8"/>
  <c r="BW55" i="8"/>
  <c r="BW48" i="8"/>
  <c r="BW55" i="7"/>
  <c r="BW15" i="8"/>
  <c r="BW31" i="8"/>
  <c r="BX63" i="8" l="1"/>
  <c r="BX69" i="8"/>
  <c r="BX68" i="8"/>
  <c r="BX64" i="8"/>
  <c r="BX58" i="7"/>
  <c r="BX55" i="7"/>
  <c r="BX15" i="8"/>
  <c r="BX57" i="8"/>
  <c r="BX18" i="8"/>
  <c r="BX50" i="8" s="1"/>
  <c r="BY2" i="8"/>
  <c r="BX12" i="8"/>
  <c r="BX57" i="7"/>
  <c r="BX55" i="8"/>
  <c r="BX44" i="8"/>
  <c r="BX45" i="8" s="1"/>
  <c r="BX56" i="7"/>
  <c r="BX54" i="8"/>
  <c r="BX60" i="8"/>
  <c r="BX48" i="8"/>
  <c r="BX65" i="8"/>
  <c r="BX56" i="8"/>
  <c r="BX31" i="8"/>
  <c r="BY63" i="8" l="1"/>
  <c r="BY69" i="8"/>
  <c r="BY68" i="8"/>
  <c r="BY64" i="8"/>
  <c r="BY58" i="7"/>
  <c r="BY55" i="7"/>
  <c r="BY60" i="8"/>
  <c r="BY54" i="8"/>
  <c r="BY56" i="8"/>
  <c r="BZ2" i="8"/>
  <c r="BY57" i="7"/>
  <c r="BY57" i="8"/>
  <c r="BY15" i="8"/>
  <c r="BY48" i="8"/>
  <c r="BY12" i="8"/>
  <c r="BY55" i="8"/>
  <c r="BY65" i="8"/>
  <c r="BY44" i="8"/>
  <c r="BY45" i="8" s="1"/>
  <c r="BY56" i="7"/>
  <c r="BY31" i="8"/>
  <c r="BY18" i="8"/>
  <c r="BY50" i="8" s="1"/>
  <c r="BZ63" i="8" l="1"/>
  <c r="BZ68" i="8"/>
  <c r="BZ69" i="8"/>
  <c r="BZ64" i="8"/>
  <c r="BZ58" i="7"/>
  <c r="BZ55" i="7"/>
  <c r="BZ12" i="8"/>
  <c r="BZ31" i="8"/>
  <c r="BZ18" i="8"/>
  <c r="BZ50" i="8" s="1"/>
  <c r="CA2" i="8"/>
  <c r="BZ56" i="7"/>
  <c r="BZ54" i="8"/>
  <c r="BZ57" i="8"/>
  <c r="BZ44" i="8"/>
  <c r="BZ45" i="8" s="1"/>
  <c r="BZ60" i="8"/>
  <c r="BZ15" i="8"/>
  <c r="BZ56" i="8"/>
  <c r="BZ48" i="8"/>
  <c r="BZ57" i="7"/>
  <c r="BZ55" i="8"/>
  <c r="BZ65" i="8"/>
  <c r="CA63" i="8" l="1"/>
  <c r="CA68" i="8"/>
  <c r="CA69" i="8"/>
  <c r="CA64" i="8"/>
  <c r="CA58" i="7"/>
  <c r="CA56" i="7"/>
  <c r="CA56" i="8"/>
  <c r="CA54" i="8"/>
  <c r="CA55" i="8"/>
  <c r="CB2" i="8"/>
  <c r="CA57" i="7"/>
  <c r="CA57" i="8"/>
  <c r="CA31" i="8"/>
  <c r="CA44" i="8"/>
  <c r="CA45" i="8" s="1"/>
  <c r="CA12" i="8"/>
  <c r="CA55" i="7"/>
  <c r="CA15" i="8"/>
  <c r="CA48" i="8"/>
  <c r="CA60" i="8"/>
  <c r="CA65" i="8"/>
  <c r="CA18" i="8"/>
  <c r="CA50" i="8" s="1"/>
  <c r="CB63" i="8" l="1"/>
  <c r="CB69" i="8"/>
  <c r="CB68" i="8"/>
  <c r="CB64" i="8"/>
  <c r="CB58" i="7"/>
  <c r="CB55" i="7"/>
  <c r="CB56" i="8"/>
  <c r="CB31" i="8"/>
  <c r="CB57" i="8"/>
  <c r="CC2" i="8"/>
  <c r="CB57" i="7"/>
  <c r="CB65" i="8"/>
  <c r="CB60" i="8"/>
  <c r="CB44" i="8"/>
  <c r="CB45" i="8" s="1"/>
  <c r="CB56" i="7"/>
  <c r="CB15" i="8"/>
  <c r="CB54" i="8"/>
  <c r="CB48" i="8"/>
  <c r="CB12" i="8"/>
  <c r="CB18" i="8"/>
  <c r="CB50" i="8" s="1"/>
  <c r="CB55" i="8"/>
  <c r="CC63" i="8" l="1"/>
  <c r="CC69" i="8"/>
  <c r="CC68" i="8"/>
  <c r="CC64" i="8"/>
  <c r="CC58" i="7"/>
  <c r="CC57" i="7"/>
  <c r="CC55" i="7"/>
  <c r="CC56" i="8"/>
  <c r="CC31" i="8"/>
  <c r="CD2" i="8"/>
  <c r="CC56" i="7"/>
  <c r="CC60" i="8"/>
  <c r="CC57" i="8"/>
  <c r="CC44" i="8"/>
  <c r="CC45" i="8" s="1"/>
  <c r="CC12" i="8"/>
  <c r="CC54" i="8"/>
  <c r="CC18" i="8"/>
  <c r="CC50" i="8" s="1"/>
  <c r="CC48" i="8"/>
  <c r="CC65" i="8"/>
  <c r="CC15" i="8"/>
  <c r="CC55" i="8"/>
  <c r="CD63" i="8" l="1"/>
  <c r="CD69" i="8"/>
  <c r="CD64" i="8"/>
  <c r="CD68" i="8"/>
  <c r="CD58" i="7"/>
  <c r="CD55" i="7"/>
  <c r="CD65" i="8"/>
  <c r="CD56" i="8"/>
  <c r="CD55" i="8"/>
  <c r="CE2" i="8"/>
  <c r="CD56" i="7"/>
  <c r="CD15" i="8"/>
  <c r="CD57" i="8"/>
  <c r="CD44" i="8"/>
  <c r="CD45" i="8" s="1"/>
  <c r="CD12" i="8"/>
  <c r="CD57" i="7"/>
  <c r="CD31" i="8"/>
  <c r="CD48" i="8"/>
  <c r="CD60" i="8"/>
  <c r="CD54" i="8"/>
  <c r="CD18" i="8"/>
  <c r="CD50" i="8" s="1"/>
  <c r="P55" i="8"/>
  <c r="X55" i="8"/>
  <c r="H55" i="8"/>
  <c r="W55" i="8"/>
  <c r="AA55" i="8"/>
  <c r="N55" i="8"/>
  <c r="F55" i="8"/>
  <c r="C55" i="8"/>
  <c r="S55" i="8"/>
  <c r="T55" i="8"/>
  <c r="U55" i="8"/>
  <c r="O55" i="8"/>
  <c r="D55" i="8"/>
  <c r="Q55" i="8"/>
  <c r="V55" i="8"/>
  <c r="J55" i="8"/>
  <c r="L55" i="8"/>
  <c r="E55" i="8"/>
  <c r="G55" i="8"/>
  <c r="R55" i="8"/>
  <c r="Y55" i="8"/>
  <c r="K55" i="8"/>
  <c r="M55" i="8"/>
  <c r="Z55" i="8"/>
  <c r="I55" i="8"/>
  <c r="CE63" i="8" l="1"/>
  <c r="CE69" i="8"/>
  <c r="CE64" i="8"/>
  <c r="CE68" i="8"/>
  <c r="CE58" i="7"/>
  <c r="CE55" i="7"/>
  <c r="CE56" i="8"/>
  <c r="CE18" i="8"/>
  <c r="CE50" i="8" s="1"/>
  <c r="CE65" i="8"/>
  <c r="CF2" i="8"/>
  <c r="CE57" i="7"/>
  <c r="CE15" i="8"/>
  <c r="CE60" i="8"/>
  <c r="CE48" i="8"/>
  <c r="CE56" i="7"/>
  <c r="CE57" i="8"/>
  <c r="CE54" i="8"/>
  <c r="CE44" i="8"/>
  <c r="CE45" i="8" s="1"/>
  <c r="CE12" i="8"/>
  <c r="CE55" i="8"/>
  <c r="CE31" i="8"/>
  <c r="CF63" i="8" l="1"/>
  <c r="CF69" i="8"/>
  <c r="CF68" i="8"/>
  <c r="CF64" i="8"/>
  <c r="CF58" i="7"/>
  <c r="CF57" i="7"/>
  <c r="CF54" i="8"/>
  <c r="CF12" i="8"/>
  <c r="CF18" i="8"/>
  <c r="CF50" i="8" s="1"/>
  <c r="CG2" i="8"/>
  <c r="CF56" i="7"/>
  <c r="CF56" i="8"/>
  <c r="CF55" i="8"/>
  <c r="CF44" i="8"/>
  <c r="CF45" i="8" s="1"/>
  <c r="CF55" i="7"/>
  <c r="CF65" i="8"/>
  <c r="CF31" i="8"/>
  <c r="CF48" i="8"/>
  <c r="CF60" i="8"/>
  <c r="CF57" i="8"/>
  <c r="CF15" i="8"/>
  <c r="CG63" i="8" l="1"/>
  <c r="CG69" i="8"/>
  <c r="CG68" i="8"/>
  <c r="CG64" i="8"/>
  <c r="CG58" i="7"/>
  <c r="CG57" i="7"/>
  <c r="CG12" i="8"/>
  <c r="CG57" i="8"/>
  <c r="CG18" i="8"/>
  <c r="CG50" i="8" s="1"/>
  <c r="CH2" i="8"/>
  <c r="CG56" i="7"/>
  <c r="CG65" i="8"/>
  <c r="CG56" i="8"/>
  <c r="CG48" i="8"/>
  <c r="CG60" i="8"/>
  <c r="CG15" i="8"/>
  <c r="CG55" i="8"/>
  <c r="CG44" i="8"/>
  <c r="CG45" i="8" s="1"/>
  <c r="CG55" i="7"/>
  <c r="CG54" i="8"/>
  <c r="CG31" i="8"/>
  <c r="CH63" i="8" l="1"/>
  <c r="CH68" i="8"/>
  <c r="CH64" i="8"/>
  <c r="CH69" i="8"/>
  <c r="CH58" i="7"/>
  <c r="CH56" i="7"/>
  <c r="CH60" i="8"/>
  <c r="CH31" i="8"/>
  <c r="CH18" i="8"/>
  <c r="CH50" i="8" s="1"/>
  <c r="CI2" i="8"/>
  <c r="CH57" i="7"/>
  <c r="CH65" i="8"/>
  <c r="CH56" i="8"/>
  <c r="CH44" i="8"/>
  <c r="CH45" i="8" s="1"/>
  <c r="CH55" i="7"/>
  <c r="CH15" i="8"/>
  <c r="CH57" i="8"/>
  <c r="CH48" i="8"/>
  <c r="CH12" i="8"/>
  <c r="CH55" i="8"/>
  <c r="CH54" i="8"/>
  <c r="CI63" i="8" l="1"/>
  <c r="CI68" i="8"/>
  <c r="CI64" i="8"/>
  <c r="CI69" i="8"/>
  <c r="CI58" i="7"/>
  <c r="CI55" i="7"/>
  <c r="CI60" i="8"/>
  <c r="CI12" i="8"/>
  <c r="CI18" i="8"/>
  <c r="CI50" i="8" s="1"/>
  <c r="CJ2" i="8"/>
  <c r="CI57" i="7"/>
  <c r="CI54" i="8"/>
  <c r="CI56" i="7"/>
  <c r="CI44" i="8"/>
  <c r="CI45" i="8" s="1"/>
  <c r="CI65" i="8"/>
  <c r="CI15" i="8"/>
  <c r="CI31" i="8"/>
  <c r="CI48" i="8"/>
  <c r="CI56" i="8"/>
  <c r="CI57" i="8"/>
  <c r="CI55" i="8"/>
  <c r="CJ63" i="8" l="1"/>
  <c r="CJ69" i="8"/>
  <c r="CJ68" i="8"/>
  <c r="CJ64" i="8"/>
  <c r="CJ48" i="8"/>
  <c r="CJ60" i="8"/>
  <c r="CJ31" i="8"/>
  <c r="CJ55" i="8"/>
  <c r="CJ58" i="7"/>
  <c r="CJ57" i="7"/>
  <c r="CJ56" i="8"/>
  <c r="CJ15" i="8"/>
  <c r="CJ65" i="8"/>
  <c r="CK2" i="8"/>
  <c r="CJ55" i="7"/>
  <c r="CJ54" i="8"/>
  <c r="CJ18" i="8"/>
  <c r="CJ50" i="8" s="1"/>
  <c r="CJ44" i="8"/>
  <c r="CJ45" i="8" s="1"/>
  <c r="CJ12" i="8"/>
  <c r="CJ57" i="8"/>
  <c r="CJ56" i="7"/>
  <c r="CK63" i="8" l="1"/>
  <c r="CK69" i="8"/>
  <c r="CK68" i="8"/>
  <c r="CK64" i="8"/>
  <c r="CK48" i="8"/>
  <c r="CK56" i="7"/>
  <c r="CK18" i="8"/>
  <c r="CK50" i="8" s="1"/>
  <c r="CK60" i="8"/>
  <c r="CK58" i="7"/>
  <c r="CK55" i="7"/>
  <c r="CK56" i="8"/>
  <c r="CK57" i="8"/>
  <c r="CK54" i="8"/>
  <c r="CL2" i="8"/>
  <c r="CK12" i="8"/>
  <c r="CK65" i="8"/>
  <c r="CK55" i="8"/>
  <c r="CK44" i="8"/>
  <c r="CK45" i="8" s="1"/>
  <c r="CK57" i="7"/>
  <c r="CK15" i="8"/>
  <c r="CK31" i="8"/>
  <c r="CL63" i="8" l="1"/>
  <c r="CL69" i="8"/>
  <c r="CL68" i="8"/>
  <c r="CL64" i="8"/>
  <c r="CL48" i="8"/>
  <c r="CL56" i="7"/>
  <c r="CL57" i="8"/>
  <c r="CL15" i="8"/>
  <c r="CL58" i="7"/>
  <c r="CL57" i="7"/>
  <c r="CL54" i="8"/>
  <c r="CL18" i="8"/>
  <c r="CL50" i="8" s="1"/>
  <c r="CL31" i="8"/>
  <c r="CM2" i="8"/>
  <c r="CL60" i="8"/>
  <c r="CL56" i="8"/>
  <c r="CL12" i="8"/>
  <c r="CL44" i="8"/>
  <c r="CL45" i="8" s="1"/>
  <c r="CL55" i="7"/>
  <c r="CL65" i="8"/>
  <c r="CL55" i="8"/>
  <c r="CM63" i="8" l="1"/>
  <c r="CM64" i="8"/>
  <c r="CM69" i="8"/>
  <c r="CM68" i="8"/>
  <c r="CM48" i="8"/>
  <c r="CM12" i="8"/>
  <c r="CM57" i="8"/>
  <c r="CM65" i="8"/>
  <c r="CM58" i="7"/>
  <c r="CM57" i="7"/>
  <c r="CM60" i="8"/>
  <c r="CM55" i="8"/>
  <c r="CM56" i="8"/>
  <c r="CN2" i="8"/>
  <c r="CM56" i="7"/>
  <c r="CM15" i="8"/>
  <c r="CM31" i="8"/>
  <c r="CM44" i="8"/>
  <c r="CM45" i="8" s="1"/>
  <c r="CM55" i="7"/>
  <c r="CM54" i="8"/>
  <c r="CM18" i="8"/>
  <c r="CM50" i="8" s="1"/>
  <c r="CN63" i="8" l="1"/>
  <c r="CN69" i="8"/>
  <c r="CN68" i="8"/>
  <c r="CN64" i="8"/>
  <c r="CN48" i="8"/>
  <c r="CN56" i="7"/>
  <c r="CN57" i="8"/>
  <c r="CN31" i="8"/>
  <c r="CN58" i="7"/>
  <c r="CN55" i="7"/>
  <c r="CN65" i="8"/>
  <c r="CN60" i="8"/>
  <c r="CN18" i="8"/>
  <c r="CN50" i="8" s="1"/>
  <c r="CO2" i="8"/>
  <c r="CN57" i="7"/>
  <c r="CN15" i="8"/>
  <c r="CN56" i="8"/>
  <c r="CN44" i="8"/>
  <c r="CN45" i="8" s="1"/>
  <c r="CN12" i="8"/>
  <c r="CN55" i="8"/>
  <c r="CN54" i="8"/>
  <c r="CO63" i="8" l="1"/>
  <c r="CO69" i="8"/>
  <c r="CO68" i="8"/>
  <c r="CO64" i="8"/>
  <c r="CO44" i="8"/>
  <c r="CO45" i="8" s="1"/>
  <c r="CO12" i="8"/>
  <c r="CO55" i="8"/>
  <c r="CO15" i="8"/>
  <c r="CO58" i="7"/>
  <c r="CO56" i="7"/>
  <c r="CO54" i="8"/>
  <c r="CO31" i="8"/>
  <c r="CO18" i="8"/>
  <c r="CO50" i="8" s="1"/>
  <c r="CP2" i="8"/>
  <c r="CO55" i="7"/>
  <c r="CO56" i="8"/>
  <c r="CO60" i="8"/>
  <c r="CO48" i="8"/>
  <c r="CO57" i="7"/>
  <c r="CO57" i="8"/>
  <c r="CO65" i="8"/>
  <c r="CP63" i="8" l="1"/>
  <c r="CP68" i="8"/>
  <c r="CP69" i="8"/>
  <c r="CP64" i="8"/>
  <c r="CP48" i="8"/>
  <c r="CP56" i="8"/>
  <c r="CP54" i="8"/>
  <c r="CP57" i="8"/>
  <c r="CP58" i="7"/>
  <c r="CP55" i="7"/>
  <c r="CP56" i="7"/>
  <c r="CP15" i="8"/>
  <c r="CP18" i="8"/>
  <c r="CP50" i="8" s="1"/>
  <c r="CQ2" i="8"/>
  <c r="CP57" i="7"/>
  <c r="CP12" i="8"/>
  <c r="CP55" i="8"/>
  <c r="CP44" i="8"/>
  <c r="CP45" i="8" s="1"/>
  <c r="CP60" i="8"/>
  <c r="CP65" i="8"/>
  <c r="CP31" i="8"/>
  <c r="CQ63" i="8" l="1"/>
  <c r="CQ64" i="8"/>
  <c r="CQ68" i="8"/>
  <c r="CQ69" i="8"/>
  <c r="CQ48" i="8"/>
  <c r="CQ12" i="8"/>
  <c r="CQ57" i="8"/>
  <c r="CQ18" i="8"/>
  <c r="CQ50" i="8" s="1"/>
  <c r="CQ58" i="7"/>
  <c r="CQ56" i="7"/>
  <c r="CQ60" i="8"/>
  <c r="CQ15" i="8"/>
  <c r="CQ54" i="8"/>
  <c r="CR2" i="8"/>
  <c r="CQ55" i="7"/>
  <c r="CQ56" i="8"/>
  <c r="CQ31" i="8"/>
  <c r="CQ44" i="8"/>
  <c r="CQ45" i="8" s="1"/>
  <c r="CQ57" i="7"/>
  <c r="CQ65" i="8"/>
  <c r="CQ55" i="8"/>
  <c r="CR63" i="8" l="1"/>
  <c r="CR69" i="8"/>
  <c r="CR68" i="8"/>
  <c r="CR64" i="8"/>
  <c r="CR48" i="8"/>
  <c r="CR57" i="7"/>
  <c r="CR60" i="8"/>
  <c r="CR31" i="8"/>
  <c r="CR58" i="7"/>
  <c r="CR55" i="7"/>
  <c r="CR56" i="8"/>
  <c r="CR57" i="8"/>
  <c r="CR55" i="8"/>
  <c r="CS2" i="8"/>
  <c r="CR56" i="7"/>
  <c r="CR54" i="8"/>
  <c r="CR18" i="8"/>
  <c r="CR50" i="8" s="1"/>
  <c r="CR44" i="8"/>
  <c r="CR45" i="8" s="1"/>
  <c r="CR12" i="8"/>
  <c r="CR15" i="8"/>
  <c r="CR65" i="8"/>
  <c r="CS63" i="8" l="1"/>
  <c r="CS69" i="8"/>
  <c r="CS68" i="8"/>
  <c r="CS64" i="8"/>
  <c r="CS48" i="8"/>
  <c r="CS15" i="8"/>
  <c r="CS54" i="8"/>
  <c r="CS31" i="8"/>
  <c r="CS58" i="7"/>
  <c r="CS55" i="7"/>
  <c r="CS56" i="7"/>
  <c r="CS57" i="8"/>
  <c r="CS56" i="8"/>
  <c r="CT2" i="8"/>
  <c r="CS57" i="7"/>
  <c r="CS12" i="8"/>
  <c r="CS18" i="8"/>
  <c r="CS50" i="8" s="1"/>
  <c r="CS44" i="8"/>
  <c r="CS45" i="8" s="1"/>
  <c r="CS65" i="8"/>
  <c r="CS60" i="8"/>
  <c r="CS55" i="8"/>
  <c r="CT63" i="8" l="1"/>
  <c r="CT69" i="8"/>
  <c r="CT64" i="8"/>
  <c r="CT68" i="8"/>
  <c r="CT48" i="8"/>
  <c r="CT57" i="7"/>
  <c r="CT60" i="8"/>
  <c r="CT31" i="8"/>
  <c r="CT58" i="7"/>
  <c r="CT55" i="7"/>
  <c r="CT65" i="8"/>
  <c r="CT18" i="8"/>
  <c r="CT50" i="8" s="1"/>
  <c r="CT56" i="8"/>
  <c r="CU2" i="8"/>
  <c r="CT56" i="7"/>
  <c r="CT54" i="8"/>
  <c r="CT44" i="8"/>
  <c r="CT45" i="8" s="1"/>
  <c r="CT12" i="8"/>
  <c r="CT55" i="8"/>
  <c r="CT15" i="8"/>
  <c r="CT57" i="8"/>
  <c r="CU63" i="8" l="1"/>
  <c r="CU69" i="8"/>
  <c r="CU64" i="8"/>
  <c r="CU68" i="8"/>
  <c r="CU44" i="8"/>
  <c r="CU45" i="8" s="1"/>
  <c r="CU56" i="8"/>
  <c r="CU31" i="8"/>
  <c r="CU12" i="8"/>
  <c r="CU58" i="7"/>
  <c r="CU55" i="7"/>
  <c r="CU65" i="8"/>
  <c r="CU57" i="7"/>
  <c r="CU18" i="8"/>
  <c r="CU50" i="8" s="1"/>
  <c r="CV2" i="8"/>
  <c r="CU56" i="7"/>
  <c r="CU54" i="8"/>
  <c r="CU57" i="8"/>
  <c r="CU48" i="8"/>
  <c r="CU60" i="8"/>
  <c r="CU15" i="8"/>
  <c r="CU55" i="8"/>
  <c r="CV63" i="8" l="1"/>
  <c r="CV69" i="8"/>
  <c r="CV68" i="8"/>
  <c r="CV64" i="8"/>
  <c r="CV48" i="8"/>
  <c r="CV65" i="8"/>
  <c r="CV57" i="8"/>
  <c r="CV31" i="8"/>
  <c r="CV58" i="7"/>
  <c r="CV57" i="7"/>
  <c r="CV56" i="8"/>
  <c r="CV55" i="8"/>
  <c r="CV12" i="8"/>
  <c r="CW2" i="8"/>
  <c r="CV56" i="7"/>
  <c r="CV55" i="7"/>
  <c r="CV18" i="8"/>
  <c r="CV50" i="8" s="1"/>
  <c r="CV44" i="8"/>
  <c r="CV45" i="8" s="1"/>
  <c r="CV60" i="8"/>
  <c r="CV54" i="8"/>
  <c r="CV15" i="8"/>
  <c r="CW63" i="8" l="1"/>
  <c r="CW69" i="8"/>
  <c r="CW68" i="8"/>
  <c r="CW64" i="8"/>
  <c r="CW44" i="8"/>
  <c r="CW45" i="8" s="1"/>
  <c r="CW56" i="7"/>
  <c r="CW57" i="8"/>
  <c r="CW18" i="8"/>
  <c r="CW50" i="8" s="1"/>
  <c r="CW58" i="7"/>
  <c r="CW55" i="7"/>
  <c r="CW60" i="8"/>
  <c r="CW12" i="8"/>
  <c r="CW55" i="8"/>
  <c r="CX2" i="8"/>
  <c r="CW57" i="7"/>
  <c r="CW15" i="8"/>
  <c r="CW31" i="8"/>
  <c r="CW48" i="8"/>
  <c r="CW54" i="8"/>
  <c r="CW56" i="8"/>
  <c r="CW65" i="8"/>
  <c r="CX63" i="8" l="1"/>
  <c r="CX68" i="8"/>
  <c r="E8" i="7" s="1"/>
  <c r="CX64" i="8"/>
  <c r="CX69" i="8"/>
  <c r="CX56" i="7"/>
  <c r="CX55" i="7"/>
  <c r="B5" i="8" s="1" a="1"/>
  <c r="CX55" i="8"/>
  <c r="CX57" i="8"/>
  <c r="CX58" i="7"/>
  <c r="CX57" i="7"/>
  <c r="CX60" i="8"/>
  <c r="CX31" i="8"/>
  <c r="CX56" i="8"/>
  <c r="CX44" i="8"/>
  <c r="CX45" i="8" s="1"/>
  <c r="CX54" i="8"/>
  <c r="CX18" i="8"/>
  <c r="CX50" i="8" s="1"/>
  <c r="CX48" i="8"/>
  <c r="CX12" i="8"/>
  <c r="CX15" i="8"/>
  <c r="CX65" i="8"/>
  <c r="BG5" i="8" l="1"/>
  <c r="Q5" i="8"/>
  <c r="Q44" i="8" s="1"/>
  <c r="AP5" i="8"/>
  <c r="CU5" i="8"/>
  <c r="CN5" i="8"/>
  <c r="CT5" i="8"/>
  <c r="H5" i="8"/>
  <c r="H44" i="8" s="1"/>
  <c r="BT5" i="8"/>
  <c r="CL5" i="8"/>
  <c r="AV5" i="8"/>
  <c r="CW5" i="8"/>
  <c r="AU5" i="8"/>
  <c r="BA5" i="8"/>
  <c r="BJ5" i="8"/>
  <c r="D5" i="8"/>
  <c r="D44" i="8" s="1"/>
  <c r="CV5" i="8"/>
  <c r="CX5" i="8"/>
  <c r="BH5" i="8"/>
  <c r="X5" i="8"/>
  <c r="X44" i="8" s="1"/>
  <c r="BW5" i="8"/>
  <c r="AG5" i="8"/>
  <c r="BF5" i="8"/>
  <c r="P5" i="8"/>
  <c r="P44" i="8" s="1"/>
  <c r="BI5" i="8"/>
  <c r="O5" i="8"/>
  <c r="O44" i="8" s="1"/>
  <c r="BM5" i="8"/>
  <c r="CP5" i="8"/>
  <c r="AJ5" i="8"/>
  <c r="CS5" i="8"/>
  <c r="AI5" i="8"/>
  <c r="I5" i="8"/>
  <c r="I44" i="8" s="1"/>
  <c r="AH5" i="8"/>
  <c r="AQ5" i="8"/>
  <c r="CR5" i="8"/>
  <c r="Z5" i="8"/>
  <c r="Z44" i="8" s="1"/>
  <c r="CE5" i="8"/>
  <c r="BE5" i="8"/>
  <c r="CD5" i="8"/>
  <c r="BX5" i="8"/>
  <c r="CK5" i="8"/>
  <c r="AM5" i="8"/>
  <c r="M5" i="8"/>
  <c r="M44" i="8" s="1"/>
  <c r="AL5" i="8"/>
  <c r="CQ5" i="8"/>
  <c r="CG5" i="8"/>
  <c r="K5" i="8"/>
  <c r="K44" i="8" s="1"/>
  <c r="AZ5" i="8"/>
  <c r="BU5" i="8"/>
  <c r="AY5" i="8"/>
  <c r="Y5" i="8"/>
  <c r="Y44" i="8" s="1"/>
  <c r="AX5" i="8"/>
  <c r="U5" i="8"/>
  <c r="U44" i="8" s="1"/>
  <c r="AD5" i="8"/>
  <c r="BS5" i="8"/>
  <c r="AS5" i="8"/>
  <c r="BR5" i="8"/>
  <c r="AB5" i="8"/>
  <c r="CF5" i="8"/>
  <c r="BZ5" i="8"/>
  <c r="T5" i="8"/>
  <c r="T44" i="8" s="1"/>
  <c r="BY5" i="8"/>
  <c r="S5" i="8"/>
  <c r="S44" i="8" s="1"/>
  <c r="CB5" i="8"/>
  <c r="R5" i="8"/>
  <c r="R44" i="8" s="1"/>
  <c r="CM5" i="8"/>
  <c r="AW5" i="8"/>
  <c r="BV5" i="8"/>
  <c r="AF5" i="8"/>
  <c r="CC5" i="8"/>
  <c r="AE5" i="8"/>
  <c r="AK5" i="8"/>
  <c r="AT5" i="8"/>
  <c r="CI5" i="8"/>
  <c r="C5" i="8"/>
  <c r="C44" i="8" s="1"/>
  <c r="CH5" i="8"/>
  <c r="AR5" i="8"/>
  <c r="AN5" i="8"/>
  <c r="CO5" i="8"/>
  <c r="G5" i="8"/>
  <c r="G44" i="8" s="1"/>
  <c r="BL5" i="8"/>
  <c r="F5" i="8"/>
  <c r="F44" i="8" s="1"/>
  <c r="BK5" i="8"/>
  <c r="E5" i="8"/>
  <c r="E44" i="8" s="1"/>
  <c r="N5" i="8"/>
  <c r="N44" i="8" s="1"/>
  <c r="BC5" i="8"/>
  <c r="AC5" i="8"/>
  <c r="BB5" i="8"/>
  <c r="L5" i="8"/>
  <c r="L44" i="8" s="1"/>
  <c r="B5" i="8"/>
  <c r="AA5" i="8"/>
  <c r="AA44" i="8" s="1"/>
  <c r="BP5" i="8"/>
  <c r="J5" i="8"/>
  <c r="J44" i="8" s="1"/>
  <c r="BO5" i="8"/>
  <c r="AO5" i="8"/>
  <c r="BN5" i="8"/>
  <c r="BD5" i="8"/>
  <c r="BQ5" i="8"/>
  <c r="W5" i="8"/>
  <c r="W44" i="8" s="1"/>
  <c r="CJ5" i="8"/>
  <c r="V5" i="8"/>
  <c r="V44" i="8" s="1"/>
  <c r="CA5" i="8"/>
  <c r="G48" i="8" l="1"/>
  <c r="G56" i="8" s="1"/>
  <c r="G57" i="8" s="1"/>
  <c r="G60" i="8" s="1"/>
  <c r="G45" i="8"/>
  <c r="I45" i="8"/>
  <c r="I48" i="8"/>
  <c r="I56" i="8" s="1"/>
  <c r="I57" i="8" s="1"/>
  <c r="I60" i="8" s="1"/>
  <c r="X48" i="8"/>
  <c r="X56" i="8" s="1"/>
  <c r="X57" i="8" s="1"/>
  <c r="X60" i="8" s="1"/>
  <c r="X45" i="8"/>
  <c r="D45" i="8"/>
  <c r="D48" i="8"/>
  <c r="D56" i="8" s="1"/>
  <c r="D57" i="8" s="1"/>
  <c r="D60" i="8" s="1"/>
  <c r="W48" i="8"/>
  <c r="W56" i="8" s="1"/>
  <c r="W57" i="8" s="1"/>
  <c r="W60" i="8" s="1"/>
  <c r="W45" i="8"/>
  <c r="C48" i="8"/>
  <c r="C56" i="8" s="1"/>
  <c r="C57" i="8" s="1"/>
  <c r="C60" i="8" s="1"/>
  <c r="C45" i="8"/>
  <c r="K45" i="8"/>
  <c r="K48" i="8"/>
  <c r="K56" i="8" s="1"/>
  <c r="K57" i="8" s="1"/>
  <c r="K60" i="8" s="1"/>
  <c r="Q48" i="8"/>
  <c r="Q56" i="8" s="1"/>
  <c r="Q57" i="8" s="1"/>
  <c r="Q60" i="8" s="1"/>
  <c r="Q45" i="8"/>
  <c r="V45" i="8"/>
  <c r="V48" i="8"/>
  <c r="V56" i="8" s="1"/>
  <c r="V57" i="8" s="1"/>
  <c r="V60" i="8" s="1"/>
  <c r="J45" i="8"/>
  <c r="J48" i="8"/>
  <c r="J56" i="8" s="1"/>
  <c r="J57" i="8" s="1"/>
  <c r="J60" i="8" s="1"/>
  <c r="L48" i="8"/>
  <c r="L56" i="8" s="1"/>
  <c r="L57" i="8" s="1"/>
  <c r="L60" i="8" s="1"/>
  <c r="L45" i="8"/>
  <c r="N45" i="8"/>
  <c r="N48" i="8"/>
  <c r="N56" i="8" s="1"/>
  <c r="N57" i="8" s="1"/>
  <c r="N60" i="8" s="1"/>
  <c r="R45" i="8"/>
  <c r="R48" i="8"/>
  <c r="R56" i="8" s="1"/>
  <c r="R57" i="8" s="1"/>
  <c r="R60" i="8" s="1"/>
  <c r="T48" i="8"/>
  <c r="T56" i="8" s="1"/>
  <c r="T57" i="8" s="1"/>
  <c r="T60" i="8" s="1"/>
  <c r="T45" i="8"/>
  <c r="U45" i="8"/>
  <c r="U48" i="8"/>
  <c r="U56" i="8" s="1"/>
  <c r="U57" i="8" s="1"/>
  <c r="U60" i="8" s="1"/>
  <c r="E45" i="8"/>
  <c r="E48" i="8"/>
  <c r="E56" i="8" s="1"/>
  <c r="E57" i="8" s="1"/>
  <c r="E60" i="8" s="1"/>
  <c r="Z45" i="8"/>
  <c r="Z48" i="8"/>
  <c r="Z56" i="8" s="1"/>
  <c r="Z57" i="8" s="1"/>
  <c r="Z60" i="8" s="1"/>
  <c r="P45" i="8"/>
  <c r="P48" i="8"/>
  <c r="P56" i="8" s="1"/>
  <c r="P57" i="8" s="1"/>
  <c r="P60" i="8" s="1"/>
  <c r="H48" i="8"/>
  <c r="H56" i="8" s="1"/>
  <c r="H57" i="8" s="1"/>
  <c r="H60" i="8" s="1"/>
  <c r="H45" i="8"/>
  <c r="AA45" i="8"/>
  <c r="AA48" i="8"/>
  <c r="AA56" i="8" s="1"/>
  <c r="AA57" i="8" s="1"/>
  <c r="AA60" i="8" s="1"/>
  <c r="S45" i="8"/>
  <c r="S48" i="8"/>
  <c r="S56" i="8" s="1"/>
  <c r="S57" i="8" s="1"/>
  <c r="S60" i="8" s="1"/>
  <c r="Y48" i="8"/>
  <c r="Y56" i="8" s="1"/>
  <c r="Y57" i="8" s="1"/>
  <c r="Y60" i="8" s="1"/>
  <c r="Y45" i="8"/>
  <c r="M48" i="8"/>
  <c r="M56" i="8" s="1"/>
  <c r="M57" i="8" s="1"/>
  <c r="M60" i="8" s="1"/>
  <c r="M45" i="8"/>
  <c r="F48" i="8"/>
  <c r="F56" i="8" s="1"/>
  <c r="F57" i="8" s="1"/>
  <c r="F60" i="8" s="1"/>
  <c r="F45" i="8"/>
  <c r="O45" i="8"/>
  <c r="O48" i="8"/>
  <c r="O56" i="8" s="1"/>
  <c r="O57" i="8" s="1"/>
  <c r="O60" i="8" s="1"/>
  <c r="F63" i="8" l="1"/>
  <c r="F65" i="8" s="1"/>
  <c r="E63" i="8"/>
  <c r="E65" i="8" s="1"/>
  <c r="T63" i="8"/>
  <c r="T69" i="8" s="1"/>
  <c r="N63" i="8"/>
  <c r="N69" i="8" s="1"/>
  <c r="Q63" i="8"/>
  <c r="Q69" i="8" s="1"/>
  <c r="C63" i="8"/>
  <c r="C65" i="8" s="1"/>
  <c r="D63" i="8"/>
  <c r="D65" i="8" s="1"/>
  <c r="I63" i="8"/>
  <c r="I65" i="8" s="1"/>
  <c r="X63" i="8"/>
  <c r="Z63" i="8"/>
  <c r="R63" i="8"/>
  <c r="R65" i="8" s="1"/>
  <c r="G63" i="8"/>
  <c r="G65" i="8" s="1"/>
  <c r="F69" i="8"/>
  <c r="E69" i="8"/>
  <c r="Q65" i="8"/>
  <c r="I69" i="8"/>
  <c r="Y63" i="8"/>
  <c r="AA63" i="8"/>
  <c r="P63" i="8"/>
  <c r="J63" i="8"/>
  <c r="O63" i="8"/>
  <c r="M63" i="8"/>
  <c r="S63" i="8"/>
  <c r="H63" i="8"/>
  <c r="U63" i="8"/>
  <c r="L63" i="8"/>
  <c r="V63" i="8"/>
  <c r="K63" i="8"/>
  <c r="W63" i="8"/>
  <c r="N65" i="8"/>
  <c r="Z65" i="8"/>
  <c r="Z69" i="8"/>
  <c r="X69" i="8"/>
  <c r="X65" i="8"/>
  <c r="G69" i="8"/>
  <c r="C69" i="8" l="1"/>
  <c r="T65" i="8"/>
  <c r="D69" i="8"/>
  <c r="R69" i="8"/>
  <c r="K69" i="8"/>
  <c r="K65" i="8"/>
  <c r="H69" i="8"/>
  <c r="H65" i="8"/>
  <c r="J69" i="8"/>
  <c r="J65" i="8"/>
  <c r="V69" i="8"/>
  <c r="V65" i="8"/>
  <c r="S69" i="8"/>
  <c r="S65" i="8"/>
  <c r="P69" i="8"/>
  <c r="P65" i="8"/>
  <c r="L69" i="8"/>
  <c r="L65" i="8"/>
  <c r="M69" i="8"/>
  <c r="M65" i="8"/>
  <c r="AA69" i="8"/>
  <c r="AA65" i="8"/>
  <c r="W65" i="8"/>
  <c r="W69" i="8"/>
  <c r="U69" i="8"/>
  <c r="U65" i="8"/>
  <c r="O69" i="8"/>
  <c r="O65" i="8"/>
  <c r="Y69" i="8"/>
  <c r="Y65" i="8"/>
  <c r="E10" i="7" l="1"/>
  <c r="E9" i="7"/>
  <c r="E11" i="7"/>
</calcChain>
</file>

<file path=xl/sharedStrings.xml><?xml version="1.0" encoding="utf-8"?>
<sst xmlns="http://schemas.openxmlformats.org/spreadsheetml/2006/main" count="448" uniqueCount="127">
  <si>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</si>
  <si>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</si>
  <si>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</si>
  <si>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</si>
  <si>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</si>
  <si>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</si>
  <si>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</si>
  <si>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</si>
  <si>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</si>
  <si>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</si>
  <si>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</si>
  <si>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</si>
  <si>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</si>
  <si>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</si>
  <si>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</si>
  <si>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</si>
  <si>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</si>
  <si>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</si>
  <si>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TAX CREDITS</t>
  </si>
  <si>
    <t>As percentage</t>
  </si>
  <si>
    <t>DIRECT CASH INCENTIVES</t>
  </si>
  <si>
    <t>Federal ($/W)</t>
  </si>
  <si>
    <t>State  ($/W)</t>
  </si>
  <si>
    <t>Utility  ($/W)</t>
  </si>
  <si>
    <t>RESULTS</t>
  </si>
  <si>
    <t>Depreciation, Commercial only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</si>
  <si>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</si>
  <si>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</si>
  <si>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</si>
  <si>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</si>
  <si>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</si>
  <si>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</si>
  <si>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</si>
  <si>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</si>
  <si>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</si>
  <si>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</si>
  <si>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Investment-based incentives (IBI)</t>
  </si>
  <si>
    <t>Capacity-based incentives (CBI)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</si>
  <si>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</si>
  <si>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</si>
  <si>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</si>
  <si>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</si>
  <si>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</si>
  <si>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</si>
  <si>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</si>
  <si>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</si>
  <si>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</si>
  <si>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</si>
  <si>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</si>
  <si>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</si>
  <si>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</si>
  <si>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</si>
  <si>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</si>
  <si>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</si>
  <si>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</si>
  <si>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</si>
  <si>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</si>
  <si>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</si>
  <si>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</si>
  <si>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</si>
  <si>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</si>
  <si>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</si>
  <si>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Year 1 net energy (kWh/year)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</si>
  <si>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</si>
  <si>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</si>
  <si>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</si>
  <si>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</si>
  <si>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</si>
  <si>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</si>
  <si>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</si>
  <si>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</si>
  <si>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</si>
  <si>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</si>
  <si>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</si>
  <si>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</si>
  <si>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</si>
  <si>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</si>
  <si>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</si>
  <si>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</si>
  <si>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</si>
  <si>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</si>
  <si>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</si>
  <si>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</si>
  <si>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</si>
  <si>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</si>
  <si>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</si>
  <si>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Federal depreciation percentages (fraction)</t>
  </si>
  <si>
    <t>Federal ITC basis</t>
  </si>
  <si>
    <t>Federal ITC amount</t>
  </si>
  <si>
    <t>After-tax value of energy generated by system</t>
  </si>
  <si>
    <t>Reduces depreciation and ITC basis</t>
  </si>
  <si>
    <t>5-yr MACRS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</si>
  <si>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</si>
  <si>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</si>
  <si>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</si>
  <si>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</si>
  <si>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</si>
  <si>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</si>
  <si>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</si>
  <si>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</si>
  <si>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</si>
  <si>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</si>
  <si>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</si>
  <si>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</si>
  <si>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</si>
  <si>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</si>
  <si>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</si>
  <si>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</si>
  <si>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</si>
  <si>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</si>
  <si>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</si>
  <si>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</si>
  <si>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</si>
  <si>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Escalation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</si>
  <si>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</si>
  <si>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</si>
  <si>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</si>
  <si>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</si>
  <si>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</si>
  <si>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</si>
  <si>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</si>
  <si>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</si>
  <si>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</si>
  <si>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Production-based incentives PBI</t>
  </si>
  <si>
    <t>System Size Limit (kW)</t>
  </si>
  <si>
    <t>Electricity bill with system before export credits ($)</t>
  </si>
  <si>
    <t>Export credits with system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</si>
</sst>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90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 applyAlignment="1">
      <alignment horizontal="center"/>
    </xf>
    <xf numFmtId="0" fontId="24" fillId="0" borderId="0" xfId="40" applyFont="1" applyFill="1" applyBorder="1"/>
    <xf numFmtId="0" fontId="25" fillId="0" borderId="0" xfId="40" applyFont="1" applyFill="1" applyBorder="1"/>
    <xf numFmtId="0" fontId="25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5" fillId="25" borderId="10" xfId="40" applyFont="1" applyFill="1" applyBorder="1" applyAlignment="1">
      <alignment horizontal="left"/>
    </xf>
    <xf numFmtId="0" fontId="25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5" fillId="25" borderId="17" xfId="40" applyFont="1" applyFill="1" applyBorder="1" applyAlignment="1">
      <alignment horizontal="left"/>
    </xf>
    <xf numFmtId="0" fontId="26" fillId="25" borderId="13" xfId="0" applyFont="1" applyFill="1" applyBorder="1"/>
    <xf numFmtId="0" fontId="27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5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5" fillId="0" borderId="10" xfId="40" applyFont="1" applyFill="1" applyBorder="1" applyAlignment="1">
      <alignment horizontal="left"/>
    </xf>
    <xf numFmtId="0" fontId="25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5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5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6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8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9" fillId="29" borderId="28" xfId="40" applyFont="1" applyFill="1" applyBorder="1" applyAlignment="1">
      <alignment horizontal="left"/>
    </xf>
    <xf numFmtId="0" fontId="29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5" fillId="0" borderId="18" xfId="0" applyFont="1" applyFill="1" applyBorder="1"/>
    <xf numFmtId="0" fontId="23" fillId="0" borderId="19" xfId="0" applyFont="1" applyFill="1" applyBorder="1"/>
    <xf numFmtId="0" fontId="25" fillId="25" borderId="23" xfId="40" applyFont="1" applyFill="1" applyBorder="1" applyAlignment="1">
      <alignment horizontal="left"/>
    </xf>
    <xf numFmtId="0" fontId="25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5" fillId="28" borderId="33" xfId="51" applyFont="1" applyFill="1" applyBorder="1" applyAlignment="1">
      <alignment horizontal="left"/>
    </xf>
    <xf numFmtId="4" fontId="23" fillId="0" borderId="36" xfId="51" applyNumberFormat="1" applyFont="1" applyBorder="1"/>
    <xf numFmtId="0" fontId="25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5" fillId="25" borderId="33" xfId="57" applyFont="1" applyFill="1" applyBorder="1" applyAlignment="1">
      <alignment horizontal="left"/>
    </xf>
    <xf numFmtId="0" fontId="25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8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8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3" fontId="23" fillId="30" borderId="37" xfId="51" applyNumberFormat="1" applyFont="1" applyFill="1" applyBorder="1" applyAlignment="1">
      <alignment horizontal="right"/>
    </xf>
    <xf numFmtId="0" fontId="25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center"/>
    </xf>
    <xf numFmtId="3" fontId="23" fillId="26" borderId="36" xfId="0" applyNumberFormat="1" applyFont="1" applyFill="1" applyBorder="1" applyAlignment="1">
      <alignment horizontal="center"/>
    </xf>
    <xf numFmtId="3" fontId="23" fillId="0" borderId="37" xfId="0" applyNumberFormat="1" applyFont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08"/>
  <sheetViews>
    <sheetView tabSelected="1" topLeftCell="A19" zoomScaleNormal="100" workbookViewId="0">
      <selection activeCell="I30" sqref="I30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4.4257812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7" ht="21" thickBot="1" x14ac:dyDescent="0.4">
      <c r="A1" s="118" t="s">
        <v>103</v>
      </c>
      <c r="B1" s="117"/>
      <c r="C1" s="27"/>
    </row>
    <row r="2" spans="1:17" x14ac:dyDescent="0.2">
      <c r="A2" s="35" t="s">
        <v>11</v>
      </c>
      <c r="B2" s="36"/>
      <c r="C2" s="20"/>
      <c r="F2" s="20"/>
      <c r="L2" s="21"/>
      <c r="Q2" s="20"/>
    </row>
    <row r="3" spans="1:17" s="22" customFormat="1" x14ac:dyDescent="0.2">
      <c r="A3" s="105" t="s">
        <v>94</v>
      </c>
      <c r="B3" s="113">
        <v>219.58600000000001</v>
      </c>
      <c r="C3" s="20"/>
      <c r="D3" s="48" t="s">
        <v>16</v>
      </c>
      <c r="F3" s="20"/>
      <c r="L3" s="21"/>
      <c r="M3" s="19"/>
      <c r="N3" s="19"/>
      <c r="Q3" s="20"/>
    </row>
    <row r="4" spans="1:17" s="22" customFormat="1" x14ac:dyDescent="0.2">
      <c r="A4" s="168" t="s">
        <v>112</v>
      </c>
      <c r="B4" s="169">
        <v>0.5</v>
      </c>
      <c r="C4" s="20"/>
      <c r="D4" s="49" t="s">
        <v>17</v>
      </c>
      <c r="F4" s="20"/>
      <c r="L4" s="21"/>
      <c r="M4" s="19"/>
      <c r="N4" s="19"/>
      <c r="Q4" s="20"/>
    </row>
    <row r="5" spans="1:17" s="22" customFormat="1" x14ac:dyDescent="0.2">
      <c r="A5" s="105" t="s">
        <v>95</v>
      </c>
      <c r="B5" s="105">
        <v>100</v>
      </c>
      <c r="C5" s="20"/>
      <c r="D5" s="50" t="s">
        <v>93</v>
      </c>
      <c r="F5" s="20"/>
      <c r="L5" s="21"/>
      <c r="M5" s="19"/>
      <c r="N5" s="19"/>
      <c r="Q5" s="20"/>
    </row>
    <row r="6" spans="1:17" s="22" customFormat="1" x14ac:dyDescent="0.2">
      <c r="A6" s="105" t="s">
        <v>96</v>
      </c>
      <c r="B6" s="114">
        <v>50</v>
      </c>
      <c r="C6" s="20"/>
      <c r="D6" s="127"/>
      <c r="F6" s="20"/>
      <c r="L6" s="21"/>
      <c r="M6" s="19"/>
      <c r="N6" s="19"/>
      <c r="Q6" s="20"/>
    </row>
    <row r="7" spans="1:17" s="22" customFormat="1" x14ac:dyDescent="0.2">
      <c r="A7" s="105" t="s">
        <v>62</v>
      </c>
      <c r="B7" s="114">
        <v>411626</v>
      </c>
      <c r="C7" s="20"/>
      <c r="D7" s="35" t="s">
        <v>24</v>
      </c>
      <c r="E7" s="36"/>
      <c r="F7" s="20"/>
      <c r="L7" s="21"/>
      <c r="M7" s="19"/>
      <c r="N7" s="19"/>
      <c r="Q7" s="20"/>
    </row>
    <row r="8" spans="1:17" x14ac:dyDescent="0.2">
      <c r="A8" s="37"/>
      <c r="B8" s="107"/>
      <c r="C8" s="20"/>
      <c r="D8" s="104" t="s">
        <v>107</v>
      </c>
      <c r="E8" s="165">
        <f>-('Cash Flow'!B68+NPV(NominalDiscountRate/100, 'Cash Flow'!C68:CX68))</f>
        <v>6522004.395167741</v>
      </c>
      <c r="F8" s="164"/>
      <c r="L8" s="21"/>
      <c r="Q8" s="20"/>
    </row>
    <row r="9" spans="1:17" x14ac:dyDescent="0.2">
      <c r="A9" s="35" t="s">
        <v>12</v>
      </c>
      <c r="B9" s="36"/>
      <c r="C9" s="20"/>
      <c r="D9" s="104" t="s">
        <v>106</v>
      </c>
      <c r="E9" s="165">
        <f>-('Cash Flow'!B69+NPV(NominalDiscountRate/100, 'Cash Flow'!C69:CX69))</f>
        <v>6233254.7428127127</v>
      </c>
      <c r="F9" s="166"/>
      <c r="G9" s="96"/>
      <c r="H9" s="31"/>
      <c r="L9" s="21"/>
      <c r="Q9" s="20"/>
    </row>
    <row r="10" spans="1:17" x14ac:dyDescent="0.2">
      <c r="A10" s="42" t="s">
        <v>63</v>
      </c>
      <c r="B10" s="115">
        <v>542718</v>
      </c>
      <c r="C10" s="20"/>
      <c r="D10" s="104" t="s">
        <v>115</v>
      </c>
      <c r="E10" s="106">
        <f>'Cash Flow'!B65+NPV(NominalDiscountRate/100,'Cash Flow'!C65:CX65)</f>
        <v>288749.65235503006</v>
      </c>
      <c r="F10" s="166"/>
      <c r="G10" s="167"/>
      <c r="H10" s="97"/>
      <c r="L10" s="21"/>
      <c r="Q10" s="20"/>
    </row>
    <row r="11" spans="1:17" x14ac:dyDescent="0.2">
      <c r="A11" s="44" t="s">
        <v>26</v>
      </c>
      <c r="B11" s="41"/>
      <c r="C11" s="20"/>
      <c r="D11" s="105" t="s">
        <v>92</v>
      </c>
      <c r="E11" s="171">
        <f>IF(loan_term=0,IRR('Cash Flow'!B65:CX65, NominalDiscountRate/100),IRR('Cash Flow'!C65:CX65, NominalDiscountRate/100))</f>
        <v>0.24166470635069648</v>
      </c>
      <c r="F11" s="20"/>
      <c r="G11" s="20"/>
      <c r="H11" s="23"/>
      <c r="L11" s="21"/>
      <c r="Q11" s="20"/>
    </row>
    <row r="12" spans="1:17" x14ac:dyDescent="0.2">
      <c r="A12" s="38" t="s">
        <v>7</v>
      </c>
      <c r="B12" s="116">
        <v>20</v>
      </c>
      <c r="C12" s="20"/>
      <c r="F12" s="20"/>
      <c r="G12" s="20"/>
      <c r="H12" s="23"/>
      <c r="L12" s="21"/>
      <c r="Q12" s="20"/>
    </row>
    <row r="13" spans="1:17" x14ac:dyDescent="0.2">
      <c r="A13" s="38" t="s">
        <v>97</v>
      </c>
      <c r="B13" s="116">
        <v>500</v>
      </c>
      <c r="C13" s="20"/>
      <c r="H13" s="23"/>
      <c r="L13" s="21"/>
      <c r="Q13" s="20"/>
    </row>
    <row r="14" spans="1:17" x14ac:dyDescent="0.2">
      <c r="A14" s="38" t="s">
        <v>101</v>
      </c>
      <c r="B14" s="116">
        <v>10</v>
      </c>
      <c r="C14" s="20"/>
      <c r="F14" s="19"/>
      <c r="I14" s="20"/>
    </row>
    <row r="15" spans="1:17" x14ac:dyDescent="0.2">
      <c r="A15" s="38" t="s">
        <v>98</v>
      </c>
      <c r="B15" s="116">
        <v>500</v>
      </c>
      <c r="C15" s="20"/>
      <c r="F15" s="19"/>
      <c r="I15" s="20"/>
    </row>
    <row r="16" spans="1:17" x14ac:dyDescent="0.2">
      <c r="A16" s="38" t="s">
        <v>102</v>
      </c>
      <c r="B16" s="116">
        <v>10</v>
      </c>
      <c r="C16" s="20"/>
      <c r="F16" s="19"/>
      <c r="I16" s="20"/>
    </row>
    <row r="17" spans="1:15" x14ac:dyDescent="0.2">
      <c r="A17" s="25"/>
      <c r="B17" s="25"/>
      <c r="C17" s="20"/>
      <c r="D17" s="21"/>
      <c r="F17" s="19"/>
      <c r="I17" s="20"/>
    </row>
    <row r="18" spans="1:15" x14ac:dyDescent="0.2">
      <c r="A18" s="152" t="s">
        <v>14</v>
      </c>
      <c r="B18" s="153"/>
      <c r="C18" s="20"/>
      <c r="D18" s="21"/>
      <c r="F18" s="19"/>
      <c r="I18" s="20"/>
    </row>
    <row r="19" spans="1:15" x14ac:dyDescent="0.2">
      <c r="A19" s="151" t="s">
        <v>55</v>
      </c>
      <c r="B19" s="157">
        <v>0</v>
      </c>
      <c r="C19" s="20"/>
      <c r="D19" s="21"/>
      <c r="F19" s="19"/>
      <c r="I19" s="20"/>
    </row>
    <row r="20" spans="1:15" x14ac:dyDescent="0.2">
      <c r="A20" s="151" t="s">
        <v>56</v>
      </c>
      <c r="B20" s="158">
        <v>0</v>
      </c>
      <c r="C20" s="20"/>
      <c r="D20" s="21"/>
      <c r="F20" s="19"/>
      <c r="I20" s="20"/>
    </row>
    <row r="21" spans="1:15" x14ac:dyDescent="0.2">
      <c r="A21" s="151" t="s">
        <v>57</v>
      </c>
      <c r="B21" s="157">
        <v>0</v>
      </c>
      <c r="C21" s="20"/>
      <c r="D21" s="21"/>
      <c r="F21" s="19"/>
      <c r="I21" s="20"/>
    </row>
    <row r="22" spans="1:15" x14ac:dyDescent="0.2">
      <c r="A22" s="154"/>
      <c r="B22" s="128"/>
      <c r="C22" s="20"/>
      <c r="D22" s="21"/>
      <c r="F22" s="19"/>
      <c r="I22" s="20"/>
    </row>
    <row r="23" spans="1:15" s="20" customFormat="1" x14ac:dyDescent="0.2">
      <c r="A23" s="35" t="s">
        <v>15</v>
      </c>
      <c r="B23" s="36"/>
      <c r="L23" s="19"/>
    </row>
    <row r="24" spans="1:15" s="20" customFormat="1" x14ac:dyDescent="0.2">
      <c r="A24" s="33" t="s">
        <v>58</v>
      </c>
      <c r="B24" s="111">
        <v>25</v>
      </c>
      <c r="L24" s="19"/>
    </row>
    <row r="25" spans="1:15" s="20" customFormat="1" x14ac:dyDescent="0.2">
      <c r="A25" s="33" t="s">
        <v>59</v>
      </c>
      <c r="B25" s="109">
        <v>2</v>
      </c>
      <c r="L25" s="19"/>
    </row>
    <row r="26" spans="1:15" s="20" customFormat="1" x14ac:dyDescent="0.2">
      <c r="A26" s="130" t="s">
        <v>113</v>
      </c>
      <c r="B26" s="129">
        <v>0</v>
      </c>
      <c r="L26" s="19"/>
    </row>
    <row r="27" spans="1:15" s="20" customFormat="1" x14ac:dyDescent="0.2">
      <c r="A27" s="33" t="s">
        <v>60</v>
      </c>
      <c r="B27" s="109">
        <v>6</v>
      </c>
      <c r="L27" s="19"/>
      <c r="O27" s="19"/>
    </row>
    <row r="28" spans="1:15" s="20" customFormat="1" x14ac:dyDescent="0.2">
      <c r="A28" s="33" t="s">
        <v>61</v>
      </c>
      <c r="B28" s="112">
        <f>((inflation_rate/100+1)*(real_discount_rate/100+1)-1)*100</f>
        <v>8.1200000000000152</v>
      </c>
      <c r="L28" s="19"/>
      <c r="M28" s="19"/>
      <c r="N28" s="19"/>
    </row>
    <row r="29" spans="1:15" s="20" customFormat="1" x14ac:dyDescent="0.2">
      <c r="A29" s="45"/>
    </row>
    <row r="30" spans="1:15" s="20" customFormat="1" x14ac:dyDescent="0.2">
      <c r="A30" s="35" t="s">
        <v>13</v>
      </c>
      <c r="B30" s="36"/>
    </row>
    <row r="31" spans="1:15" s="20" customFormat="1" x14ac:dyDescent="0.2">
      <c r="A31" s="33" t="s">
        <v>64</v>
      </c>
      <c r="B31" s="109">
        <v>37</v>
      </c>
    </row>
    <row r="32" spans="1:15" s="20" customFormat="1" x14ac:dyDescent="0.2">
      <c r="C32" s="26"/>
    </row>
    <row r="33" spans="1:11" s="20" customFormat="1" x14ac:dyDescent="0.2">
      <c r="A33" s="124" t="s">
        <v>18</v>
      </c>
      <c r="B33" s="125"/>
      <c r="C33" s="125"/>
      <c r="D33" s="184"/>
    </row>
    <row r="34" spans="1:11" s="20" customFormat="1" x14ac:dyDescent="0.2">
      <c r="A34" s="122" t="s">
        <v>52</v>
      </c>
      <c r="B34" s="123"/>
      <c r="D34" s="186" t="s">
        <v>90</v>
      </c>
      <c r="E34" s="92"/>
    </row>
    <row r="35" spans="1:11" s="20" customFormat="1" x14ac:dyDescent="0.2">
      <c r="A35" s="40" t="s">
        <v>19</v>
      </c>
      <c r="B35" s="91" t="s">
        <v>2</v>
      </c>
      <c r="C35" s="91" t="s">
        <v>6</v>
      </c>
      <c r="D35" s="126" t="s">
        <v>1</v>
      </c>
    </row>
    <row r="36" spans="1:11" s="20" customFormat="1" x14ac:dyDescent="0.2">
      <c r="A36" s="53" t="s">
        <v>1</v>
      </c>
      <c r="B36" s="111">
        <v>30</v>
      </c>
      <c r="C36" s="120">
        <v>9.9999999999999998E+37</v>
      </c>
      <c r="D36" s="94" t="s">
        <v>66</v>
      </c>
      <c r="E36" s="30"/>
    </row>
    <row r="37" spans="1:11" s="20" customFormat="1" x14ac:dyDescent="0.2">
      <c r="A37" s="18"/>
      <c r="B37" s="19"/>
      <c r="C37" s="18"/>
      <c r="D37" s="19"/>
      <c r="E37" s="19"/>
      <c r="F37" s="52"/>
      <c r="G37" s="52"/>
    </row>
    <row r="38" spans="1:11" s="20" customFormat="1" x14ac:dyDescent="0.2">
      <c r="A38" s="47" t="s">
        <v>20</v>
      </c>
      <c r="B38" s="55"/>
      <c r="C38" s="55"/>
      <c r="D38" s="55"/>
      <c r="E38" s="184"/>
    </row>
    <row r="39" spans="1:11" s="20" customFormat="1" x14ac:dyDescent="0.2">
      <c r="A39" s="88" t="s">
        <v>48</v>
      </c>
      <c r="B39" s="57"/>
      <c r="C39" s="58"/>
      <c r="D39" s="121" t="s">
        <v>53</v>
      </c>
      <c r="E39" s="185" t="s">
        <v>90</v>
      </c>
    </row>
    <row r="40" spans="1:11" s="20" customFormat="1" x14ac:dyDescent="0.2">
      <c r="A40" s="38" t="s">
        <v>19</v>
      </c>
      <c r="B40" s="32" t="s">
        <v>2</v>
      </c>
      <c r="C40" s="87" t="s">
        <v>51</v>
      </c>
      <c r="D40" s="90" t="s">
        <v>1</v>
      </c>
      <c r="E40" s="43" t="s">
        <v>1</v>
      </c>
    </row>
    <row r="41" spans="1:11" s="20" customFormat="1" x14ac:dyDescent="0.2">
      <c r="A41" s="39" t="s">
        <v>46</v>
      </c>
      <c r="B41" s="110">
        <v>30</v>
      </c>
      <c r="C41" s="120">
        <v>9.9999999999999998E+37</v>
      </c>
      <c r="D41" s="46" t="s">
        <v>66</v>
      </c>
      <c r="E41" s="94" t="s">
        <v>67</v>
      </c>
    </row>
    <row r="42" spans="1:11" s="20" customFormat="1" ht="13.5" thickBot="1" x14ac:dyDescent="0.25">
      <c r="A42" s="39" t="s">
        <v>47</v>
      </c>
      <c r="B42" s="110">
        <v>0</v>
      </c>
      <c r="C42" s="120">
        <v>9.9999999999999998E+37</v>
      </c>
      <c r="D42" s="46" t="s">
        <v>66</v>
      </c>
      <c r="E42" s="94" t="s">
        <v>67</v>
      </c>
    </row>
    <row r="43" spans="1:11" ht="12.75" customHeight="1" x14ac:dyDescent="0.2">
      <c r="A43" s="89" t="s">
        <v>49</v>
      </c>
      <c r="B43" s="34" t="s">
        <v>50</v>
      </c>
      <c r="C43" s="87" t="s">
        <v>51</v>
      </c>
      <c r="D43" s="108"/>
      <c r="E43" s="108"/>
      <c r="F43" s="24"/>
      <c r="G43" s="26"/>
      <c r="H43" s="24"/>
      <c r="I43" s="26"/>
      <c r="J43" s="31"/>
    </row>
    <row r="44" spans="1:11" ht="12.75" customHeight="1" x14ac:dyDescent="0.2">
      <c r="A44" s="39" t="s">
        <v>21</v>
      </c>
      <c r="B44" s="111">
        <v>0</v>
      </c>
      <c r="C44" s="120">
        <v>9.9999999999999998E+37</v>
      </c>
      <c r="D44" s="46" t="s">
        <v>66</v>
      </c>
      <c r="E44" s="94" t="s">
        <v>67</v>
      </c>
      <c r="F44" s="52"/>
      <c r="G44" s="23"/>
      <c r="H44" s="23"/>
      <c r="I44" s="29"/>
      <c r="J44" s="28"/>
    </row>
    <row r="45" spans="1:11" ht="12.75" customHeight="1" x14ac:dyDescent="0.2">
      <c r="A45" s="39" t="s">
        <v>22</v>
      </c>
      <c r="B45" s="111">
        <v>0</v>
      </c>
      <c r="C45" s="120">
        <v>9.9999999999999998E+37</v>
      </c>
      <c r="D45" s="46" t="s">
        <v>66</v>
      </c>
      <c r="E45" s="94" t="s">
        <v>67</v>
      </c>
      <c r="F45" s="52"/>
      <c r="G45" s="23"/>
      <c r="H45" s="23"/>
      <c r="I45" s="29"/>
      <c r="J45" s="28"/>
    </row>
    <row r="46" spans="1:11" ht="12.75" customHeight="1" x14ac:dyDescent="0.2">
      <c r="A46" s="39" t="s">
        <v>23</v>
      </c>
      <c r="B46" s="111">
        <v>0</v>
      </c>
      <c r="C46" s="174">
        <v>9.9999999999999998E+37</v>
      </c>
      <c r="D46" s="175" t="s">
        <v>66</v>
      </c>
      <c r="E46" s="176" t="s">
        <v>67</v>
      </c>
      <c r="F46" s="52"/>
      <c r="G46" s="23"/>
      <c r="H46" s="23"/>
      <c r="I46" s="29"/>
      <c r="J46" s="28"/>
    </row>
    <row r="47" spans="1:11" ht="12.75" customHeight="1" x14ac:dyDescent="0.2">
      <c r="A47" s="89" t="s">
        <v>116</v>
      </c>
      <c r="B47" s="34" t="s">
        <v>118</v>
      </c>
      <c r="C47" s="177" t="s">
        <v>119</v>
      </c>
      <c r="D47" s="180" t="s">
        <v>120</v>
      </c>
      <c r="E47" s="180" t="s">
        <v>121</v>
      </c>
      <c r="F47" s="181" t="s">
        <v>124</v>
      </c>
      <c r="G47" s="52"/>
      <c r="H47" s="23"/>
      <c r="I47" s="23"/>
      <c r="J47" s="29"/>
      <c r="K47" s="28"/>
    </row>
    <row r="48" spans="1:11" ht="12.75" customHeight="1" x14ac:dyDescent="0.2">
      <c r="A48" s="39" t="s">
        <v>117</v>
      </c>
      <c r="B48" s="111">
        <v>0</v>
      </c>
      <c r="C48" s="178">
        <v>9.9999999999999998E+37</v>
      </c>
      <c r="D48" s="177" t="s">
        <v>66</v>
      </c>
      <c r="E48" s="179">
        <v>10</v>
      </c>
      <c r="F48" s="182">
        <v>9.9999999999999998E+37</v>
      </c>
      <c r="G48" s="52"/>
      <c r="H48" s="23"/>
      <c r="I48" s="23"/>
      <c r="J48" s="29"/>
      <c r="K48" s="28"/>
    </row>
    <row r="49" spans="1:102" ht="12.75" customHeight="1" x14ac:dyDescent="0.2">
      <c r="H49" s="52"/>
      <c r="I49" s="23"/>
      <c r="J49" s="23"/>
      <c r="K49" s="29"/>
      <c r="L49" s="28"/>
    </row>
    <row r="50" spans="1:102" ht="12.75" customHeight="1" x14ac:dyDescent="0.2">
      <c r="A50" s="47" t="s">
        <v>31</v>
      </c>
      <c r="B50" s="36"/>
      <c r="H50" s="52"/>
      <c r="I50" s="23"/>
      <c r="J50" s="23"/>
      <c r="K50" s="29"/>
      <c r="L50" s="28"/>
    </row>
    <row r="51" spans="1:102" ht="12.75" customHeight="1" x14ac:dyDescent="0.2">
      <c r="A51" s="56" t="s">
        <v>1</v>
      </c>
      <c r="B51" s="54" t="s">
        <v>91</v>
      </c>
      <c r="H51" s="52"/>
      <c r="I51" s="23"/>
      <c r="J51" s="23"/>
      <c r="K51" s="30"/>
      <c r="L51" s="31"/>
    </row>
    <row r="52" spans="1:102" ht="12.75" customHeight="1" x14ac:dyDescent="0.2">
      <c r="A52" s="172" t="s">
        <v>114</v>
      </c>
      <c r="B52" s="173">
        <v>0.5</v>
      </c>
      <c r="H52" s="52"/>
      <c r="I52" s="23"/>
      <c r="J52" s="23"/>
      <c r="K52" s="26"/>
      <c r="L52" s="24"/>
    </row>
    <row r="53" spans="1:102" ht="12.75" customHeight="1" x14ac:dyDescent="0.2">
      <c r="H53" s="52"/>
      <c r="I53" s="23"/>
      <c r="J53" s="23"/>
      <c r="K53" s="26"/>
      <c r="L53" s="24"/>
    </row>
    <row r="54" spans="1:102" ht="12.75" customHeight="1" x14ac:dyDescent="0.2">
      <c r="A54" s="132" t="s">
        <v>40</v>
      </c>
      <c r="B54" s="134">
        <v>0</v>
      </c>
      <c r="C54" s="134">
        <v>1</v>
      </c>
      <c r="D54" s="134">
        <v>2</v>
      </c>
      <c r="E54" s="134">
        <v>3</v>
      </c>
      <c r="F54" s="134">
        <v>4</v>
      </c>
      <c r="G54" s="134">
        <v>5</v>
      </c>
      <c r="H54" s="134">
        <v>6</v>
      </c>
      <c r="I54" s="134">
        <v>7</v>
      </c>
      <c r="J54" s="134">
        <v>8</v>
      </c>
      <c r="K54" s="134">
        <v>9</v>
      </c>
      <c r="L54" s="134">
        <v>10</v>
      </c>
      <c r="M54" s="134">
        <v>11</v>
      </c>
      <c r="N54" s="134">
        <v>12</v>
      </c>
      <c r="O54" s="134">
        <v>13</v>
      </c>
      <c r="P54" s="134">
        <v>14</v>
      </c>
      <c r="Q54" s="134">
        <v>15</v>
      </c>
      <c r="R54" s="134">
        <v>16</v>
      </c>
      <c r="S54" s="134">
        <v>17</v>
      </c>
      <c r="T54" s="134">
        <v>18</v>
      </c>
      <c r="U54" s="134">
        <v>19</v>
      </c>
      <c r="V54" s="134">
        <v>20</v>
      </c>
      <c r="W54" s="134">
        <v>21</v>
      </c>
      <c r="X54" s="134">
        <v>22</v>
      </c>
      <c r="Y54" s="134">
        <v>23</v>
      </c>
      <c r="Z54" s="134">
        <v>24</v>
      </c>
      <c r="AA54" s="134">
        <v>25</v>
      </c>
      <c r="AB54" s="134">
        <v>26</v>
      </c>
      <c r="AC54" s="134">
        <v>27</v>
      </c>
      <c r="AD54" s="134">
        <v>28</v>
      </c>
      <c r="AE54" s="134">
        <v>29</v>
      </c>
      <c r="AF54" s="134">
        <v>30</v>
      </c>
      <c r="AG54" s="134">
        <v>31</v>
      </c>
      <c r="AH54" s="134">
        <v>32</v>
      </c>
      <c r="AI54" s="134">
        <v>33</v>
      </c>
      <c r="AJ54" s="134">
        <v>34</v>
      </c>
      <c r="AK54" s="134">
        <v>35</v>
      </c>
      <c r="AL54" s="134">
        <v>36</v>
      </c>
      <c r="AM54" s="134">
        <v>37</v>
      </c>
      <c r="AN54" s="134">
        <v>38</v>
      </c>
      <c r="AO54" s="134">
        <v>39</v>
      </c>
      <c r="AP54" s="134">
        <v>40</v>
      </c>
      <c r="AQ54" s="134">
        <v>41</v>
      </c>
      <c r="AR54" s="134">
        <v>42</v>
      </c>
      <c r="AS54" s="134">
        <v>43</v>
      </c>
      <c r="AT54" s="134">
        <v>44</v>
      </c>
      <c r="AU54" s="134">
        <v>45</v>
      </c>
      <c r="AV54" s="134">
        <v>46</v>
      </c>
      <c r="AW54" s="134">
        <v>47</v>
      </c>
      <c r="AX54" s="134">
        <v>48</v>
      </c>
      <c r="AY54" s="134">
        <v>49</v>
      </c>
      <c r="AZ54" s="134">
        <v>50</v>
      </c>
      <c r="BA54" s="134">
        <v>51</v>
      </c>
      <c r="BB54" s="134">
        <v>52</v>
      </c>
      <c r="BC54" s="134">
        <v>53</v>
      </c>
      <c r="BD54" s="134">
        <v>54</v>
      </c>
      <c r="BE54" s="134">
        <v>55</v>
      </c>
      <c r="BF54" s="134">
        <v>56</v>
      </c>
      <c r="BG54" s="134">
        <v>57</v>
      </c>
      <c r="BH54" s="134">
        <v>58</v>
      </c>
      <c r="BI54" s="134">
        <v>59</v>
      </c>
      <c r="BJ54" s="134">
        <v>60</v>
      </c>
      <c r="BK54" s="134">
        <v>61</v>
      </c>
      <c r="BL54" s="134">
        <v>62</v>
      </c>
      <c r="BM54" s="134">
        <v>63</v>
      </c>
      <c r="BN54" s="134">
        <v>64</v>
      </c>
      <c r="BO54" s="134">
        <v>65</v>
      </c>
      <c r="BP54" s="134">
        <v>66</v>
      </c>
      <c r="BQ54" s="134">
        <v>67</v>
      </c>
      <c r="BR54" s="134">
        <v>68</v>
      </c>
      <c r="BS54" s="134">
        <v>69</v>
      </c>
      <c r="BT54" s="134">
        <v>70</v>
      </c>
      <c r="BU54" s="134">
        <v>71</v>
      </c>
      <c r="BV54" s="134">
        <v>72</v>
      </c>
      <c r="BW54" s="134">
        <v>73</v>
      </c>
      <c r="BX54" s="134">
        <v>74</v>
      </c>
      <c r="BY54" s="134">
        <v>75</v>
      </c>
      <c r="BZ54" s="134">
        <v>76</v>
      </c>
      <c r="CA54" s="134">
        <v>77</v>
      </c>
      <c r="CB54" s="134">
        <v>78</v>
      </c>
      <c r="CC54" s="134">
        <v>79</v>
      </c>
      <c r="CD54" s="134">
        <v>80</v>
      </c>
      <c r="CE54" s="134">
        <v>81</v>
      </c>
      <c r="CF54" s="134">
        <v>82</v>
      </c>
      <c r="CG54" s="134">
        <v>83</v>
      </c>
      <c r="CH54" s="134">
        <v>84</v>
      </c>
      <c r="CI54" s="134">
        <v>85</v>
      </c>
      <c r="CJ54" s="134">
        <v>86</v>
      </c>
      <c r="CK54" s="134">
        <v>87</v>
      </c>
      <c r="CL54" s="134">
        <v>88</v>
      </c>
      <c r="CM54" s="134">
        <v>89</v>
      </c>
      <c r="CN54" s="134">
        <v>90</v>
      </c>
      <c r="CO54" s="134">
        <v>91</v>
      </c>
      <c r="CP54" s="134">
        <v>92</v>
      </c>
      <c r="CQ54" s="134">
        <v>93</v>
      </c>
      <c r="CR54" s="134">
        <v>94</v>
      </c>
      <c r="CS54" s="134">
        <v>95</v>
      </c>
      <c r="CT54" s="134">
        <v>96</v>
      </c>
      <c r="CU54" s="134">
        <v>97</v>
      </c>
      <c r="CV54" s="134">
        <v>98</v>
      </c>
      <c r="CW54" s="134">
        <v>99</v>
      </c>
      <c r="CX54" s="134">
        <v>100</v>
      </c>
    </row>
    <row r="55" spans="1:102" ht="12.75" customHeight="1" x14ac:dyDescent="0.2">
      <c r="A55" s="131" t="s">
        <v>54</v>
      </c>
      <c r="B55" s="135">
        <v>0</v>
      </c>
      <c r="C55" s="162">
        <f>B7</f>
        <v>411626</v>
      </c>
      <c r="D55" s="170">
        <f>IF(ISNUMBER(outYear),C55*(1-pv_degradation_rate/100),"")</f>
        <v>409567.87</v>
      </c>
      <c r="E55" s="170">
        <f t="shared" ref="E55:AI55" si="0">IF(ISNUMBER(outYear),D55*(1-pv_degradation_rate/100),"")</f>
        <v>407520.03064999997</v>
      </c>
      <c r="F55" s="170">
        <f t="shared" si="0"/>
        <v>405482.43049674999</v>
      </c>
      <c r="G55" s="170">
        <f t="shared" si="0"/>
        <v>403455.01834426622</v>
      </c>
      <c r="H55" s="170">
        <f t="shared" si="0"/>
        <v>401437.7432525449</v>
      </c>
      <c r="I55" s="170">
        <f t="shared" si="0"/>
        <v>399430.55453628214</v>
      </c>
      <c r="J55" s="170">
        <f t="shared" si="0"/>
        <v>397433.4017636007</v>
      </c>
      <c r="K55" s="170">
        <f t="shared" si="0"/>
        <v>395446.23475478269</v>
      </c>
      <c r="L55" s="170">
        <f t="shared" si="0"/>
        <v>393469.00358100876</v>
      </c>
      <c r="M55" s="170">
        <f t="shared" si="0"/>
        <v>391501.6585631037</v>
      </c>
      <c r="N55" s="170">
        <f t="shared" si="0"/>
        <v>389544.15027028817</v>
      </c>
      <c r="O55" s="170">
        <f t="shared" si="0"/>
        <v>387596.42951893673</v>
      </c>
      <c r="P55" s="170">
        <f t="shared" si="0"/>
        <v>385658.44737134204</v>
      </c>
      <c r="Q55" s="170">
        <f t="shared" si="0"/>
        <v>383730.15513448534</v>
      </c>
      <c r="R55" s="170">
        <f t="shared" si="0"/>
        <v>381811.50435881293</v>
      </c>
      <c r="S55" s="170">
        <f t="shared" si="0"/>
        <v>379902.44683701888</v>
      </c>
      <c r="T55" s="170">
        <f t="shared" si="0"/>
        <v>378002.93460283376</v>
      </c>
      <c r="U55" s="170">
        <f t="shared" si="0"/>
        <v>376112.91992981959</v>
      </c>
      <c r="V55" s="170">
        <f t="shared" si="0"/>
        <v>374232.35533017048</v>
      </c>
      <c r="W55" s="170">
        <f t="shared" si="0"/>
        <v>372361.19355351961</v>
      </c>
      <c r="X55" s="170">
        <f t="shared" si="0"/>
        <v>370499.387585752</v>
      </c>
      <c r="Y55" s="170">
        <f t="shared" si="0"/>
        <v>368646.89064782322</v>
      </c>
      <c r="Z55" s="170">
        <f t="shared" si="0"/>
        <v>366803.65619458409</v>
      </c>
      <c r="AA55" s="170">
        <f t="shared" si="0"/>
        <v>364969.63791361119</v>
      </c>
      <c r="AB55" s="170" t="str">
        <f t="shared" si="0"/>
        <v/>
      </c>
      <c r="AC55" s="170" t="str">
        <f t="shared" si="0"/>
        <v/>
      </c>
      <c r="AD55" s="170" t="str">
        <f t="shared" si="0"/>
        <v/>
      </c>
      <c r="AE55" s="170" t="str">
        <f t="shared" si="0"/>
        <v/>
      </c>
      <c r="AF55" s="170" t="str">
        <f t="shared" si="0"/>
        <v/>
      </c>
      <c r="AG55" s="170" t="str">
        <f t="shared" si="0"/>
        <v/>
      </c>
      <c r="AH55" s="170" t="str">
        <f t="shared" si="0"/>
        <v/>
      </c>
      <c r="AI55" s="170" t="str">
        <f t="shared" si="0"/>
        <v/>
      </c>
      <c r="AJ55" s="170" t="str">
        <f t="shared" ref="AJ55:BO55" si="1">IF(ISNUMBER(outYear),AI55*(1-pv_degradation_rate/100),"")</f>
        <v/>
      </c>
      <c r="AK55" s="170" t="str">
        <f t="shared" si="1"/>
        <v/>
      </c>
      <c r="AL55" s="170" t="str">
        <f t="shared" si="1"/>
        <v/>
      </c>
      <c r="AM55" s="170" t="str">
        <f t="shared" si="1"/>
        <v/>
      </c>
      <c r="AN55" s="170" t="str">
        <f t="shared" si="1"/>
        <v/>
      </c>
      <c r="AO55" s="170" t="str">
        <f t="shared" si="1"/>
        <v/>
      </c>
      <c r="AP55" s="170" t="str">
        <f t="shared" si="1"/>
        <v/>
      </c>
      <c r="AQ55" s="170" t="str">
        <f t="shared" si="1"/>
        <v/>
      </c>
      <c r="AR55" s="170" t="str">
        <f t="shared" si="1"/>
        <v/>
      </c>
      <c r="AS55" s="170" t="str">
        <f t="shared" si="1"/>
        <v/>
      </c>
      <c r="AT55" s="170" t="str">
        <f t="shared" si="1"/>
        <v/>
      </c>
      <c r="AU55" s="170" t="str">
        <f t="shared" si="1"/>
        <v/>
      </c>
      <c r="AV55" s="170" t="str">
        <f t="shared" si="1"/>
        <v/>
      </c>
      <c r="AW55" s="170" t="str">
        <f t="shared" si="1"/>
        <v/>
      </c>
      <c r="AX55" s="170" t="str">
        <f t="shared" si="1"/>
        <v/>
      </c>
      <c r="AY55" s="170" t="str">
        <f t="shared" si="1"/>
        <v/>
      </c>
      <c r="AZ55" s="170" t="str">
        <f t="shared" si="1"/>
        <v/>
      </c>
      <c r="BA55" s="170" t="str">
        <f t="shared" si="1"/>
        <v/>
      </c>
      <c r="BB55" s="170" t="str">
        <f t="shared" si="1"/>
        <v/>
      </c>
      <c r="BC55" s="170" t="str">
        <f t="shared" si="1"/>
        <v/>
      </c>
      <c r="BD55" s="170" t="str">
        <f t="shared" si="1"/>
        <v/>
      </c>
      <c r="BE55" s="170" t="str">
        <f t="shared" si="1"/>
        <v/>
      </c>
      <c r="BF55" s="170" t="str">
        <f t="shared" si="1"/>
        <v/>
      </c>
      <c r="BG55" s="170" t="str">
        <f t="shared" si="1"/>
        <v/>
      </c>
      <c r="BH55" s="170" t="str">
        <f t="shared" si="1"/>
        <v/>
      </c>
      <c r="BI55" s="170" t="str">
        <f t="shared" si="1"/>
        <v/>
      </c>
      <c r="BJ55" s="170" t="str">
        <f t="shared" si="1"/>
        <v/>
      </c>
      <c r="BK55" s="170" t="str">
        <f t="shared" si="1"/>
        <v/>
      </c>
      <c r="BL55" s="170" t="str">
        <f t="shared" si="1"/>
        <v/>
      </c>
      <c r="BM55" s="170" t="str">
        <f t="shared" si="1"/>
        <v/>
      </c>
      <c r="BN55" s="170" t="str">
        <f t="shared" si="1"/>
        <v/>
      </c>
      <c r="BO55" s="170" t="str">
        <f t="shared" si="1"/>
        <v/>
      </c>
      <c r="BP55" s="170" t="str">
        <f t="shared" ref="BP55:CX55" si="2">IF(ISNUMBER(outYear),BO55*(1-pv_degradation_rate/100),"")</f>
        <v/>
      </c>
      <c r="BQ55" s="170" t="str">
        <f t="shared" si="2"/>
        <v/>
      </c>
      <c r="BR55" s="170" t="str">
        <f t="shared" si="2"/>
        <v/>
      </c>
      <c r="BS55" s="170" t="str">
        <f t="shared" si="2"/>
        <v/>
      </c>
      <c r="BT55" s="170" t="str">
        <f t="shared" si="2"/>
        <v/>
      </c>
      <c r="BU55" s="170" t="str">
        <f t="shared" si="2"/>
        <v/>
      </c>
      <c r="BV55" s="170" t="str">
        <f t="shared" si="2"/>
        <v/>
      </c>
      <c r="BW55" s="170" t="str">
        <f t="shared" si="2"/>
        <v/>
      </c>
      <c r="BX55" s="170" t="str">
        <f t="shared" si="2"/>
        <v/>
      </c>
      <c r="BY55" s="170" t="str">
        <f t="shared" si="2"/>
        <v/>
      </c>
      <c r="BZ55" s="170" t="str">
        <f t="shared" si="2"/>
        <v/>
      </c>
      <c r="CA55" s="170" t="str">
        <f t="shared" si="2"/>
        <v/>
      </c>
      <c r="CB55" s="170" t="str">
        <f t="shared" si="2"/>
        <v/>
      </c>
      <c r="CC55" s="170" t="str">
        <f t="shared" si="2"/>
        <v/>
      </c>
      <c r="CD55" s="170" t="str">
        <f t="shared" si="2"/>
        <v/>
      </c>
      <c r="CE55" s="170" t="str">
        <f t="shared" si="2"/>
        <v/>
      </c>
      <c r="CF55" s="170" t="str">
        <f t="shared" si="2"/>
        <v/>
      </c>
      <c r="CG55" s="170" t="str">
        <f t="shared" si="2"/>
        <v/>
      </c>
      <c r="CH55" s="170" t="str">
        <f t="shared" si="2"/>
        <v/>
      </c>
      <c r="CI55" s="170" t="str">
        <f t="shared" si="2"/>
        <v/>
      </c>
      <c r="CJ55" s="170" t="str">
        <f t="shared" si="2"/>
        <v/>
      </c>
      <c r="CK55" s="170" t="str">
        <f t="shared" si="2"/>
        <v/>
      </c>
      <c r="CL55" s="170" t="str">
        <f t="shared" si="2"/>
        <v/>
      </c>
      <c r="CM55" s="170" t="str">
        <f t="shared" si="2"/>
        <v/>
      </c>
      <c r="CN55" s="170" t="str">
        <f t="shared" si="2"/>
        <v/>
      </c>
      <c r="CO55" s="170" t="str">
        <f t="shared" si="2"/>
        <v/>
      </c>
      <c r="CP55" s="170" t="str">
        <f t="shared" si="2"/>
        <v/>
      </c>
      <c r="CQ55" s="170" t="str">
        <f t="shared" si="2"/>
        <v/>
      </c>
      <c r="CR55" s="170" t="str">
        <f t="shared" si="2"/>
        <v/>
      </c>
      <c r="CS55" s="170" t="str">
        <f t="shared" si="2"/>
        <v/>
      </c>
      <c r="CT55" s="170" t="str">
        <f t="shared" si="2"/>
        <v/>
      </c>
      <c r="CU55" s="170" t="str">
        <f t="shared" si="2"/>
        <v/>
      </c>
      <c r="CV55" s="170" t="str">
        <f t="shared" si="2"/>
        <v/>
      </c>
      <c r="CW55" s="170" t="str">
        <f t="shared" si="2"/>
        <v/>
      </c>
      <c r="CX55" s="170" t="str">
        <f t="shared" si="2"/>
        <v/>
      </c>
    </row>
    <row r="56" spans="1:102" ht="12.75" customHeight="1" x14ac:dyDescent="0.2">
      <c r="A56" s="131" t="s">
        <v>108</v>
      </c>
      <c r="B56" s="135"/>
      <c r="C56" s="187">
        <v>826030</v>
      </c>
      <c r="D56" s="188">
        <f t="shared" ref="D56:AI56" si="3">IF(ISNUMBER(outYear),C56*(1+inflation_rate/100 + escalation_rate/100),"")</f>
        <v>842550.6</v>
      </c>
      <c r="E56" s="188">
        <f t="shared" si="3"/>
        <v>859401.61199999996</v>
      </c>
      <c r="F56" s="188">
        <f t="shared" si="3"/>
        <v>876589.64423999994</v>
      </c>
      <c r="G56" s="188">
        <f t="shared" si="3"/>
        <v>894121.43712479994</v>
      </c>
      <c r="H56" s="188">
        <f t="shared" si="3"/>
        <v>912003.865867296</v>
      </c>
      <c r="I56" s="188">
        <f t="shared" si="3"/>
        <v>930243.94318464189</v>
      </c>
      <c r="J56" s="188">
        <f t="shared" si="3"/>
        <v>948848.82204833475</v>
      </c>
      <c r="K56" s="188">
        <f t="shared" si="3"/>
        <v>967825.79848930147</v>
      </c>
      <c r="L56" s="188">
        <f t="shared" si="3"/>
        <v>987182.31445908756</v>
      </c>
      <c r="M56" s="188">
        <f t="shared" si="3"/>
        <v>1006925.9607482693</v>
      </c>
      <c r="N56" s="188">
        <f t="shared" si="3"/>
        <v>1027064.4799632347</v>
      </c>
      <c r="O56" s="188">
        <f t="shared" si="3"/>
        <v>1047605.7695624995</v>
      </c>
      <c r="P56" s="188">
        <f t="shared" si="3"/>
        <v>1068557.8849537496</v>
      </c>
      <c r="Q56" s="188">
        <f t="shared" si="3"/>
        <v>1089929.0426528247</v>
      </c>
      <c r="R56" s="188">
        <f t="shared" si="3"/>
        <v>1111727.6235058813</v>
      </c>
      <c r="S56" s="188">
        <f t="shared" si="3"/>
        <v>1133962.1759759989</v>
      </c>
      <c r="T56" s="188">
        <f t="shared" si="3"/>
        <v>1156641.4194955188</v>
      </c>
      <c r="U56" s="188">
        <f t="shared" si="3"/>
        <v>1179774.2478854291</v>
      </c>
      <c r="V56" s="188">
        <f t="shared" si="3"/>
        <v>1203369.7328431376</v>
      </c>
      <c r="W56" s="188">
        <f t="shared" si="3"/>
        <v>1227437.1275000004</v>
      </c>
      <c r="X56" s="188">
        <f t="shared" si="3"/>
        <v>1251985.8700500005</v>
      </c>
      <c r="Y56" s="188">
        <f t="shared" si="3"/>
        <v>1277025.5874510005</v>
      </c>
      <c r="Z56" s="188">
        <f t="shared" si="3"/>
        <v>1302566.0992000205</v>
      </c>
      <c r="AA56" s="188">
        <f t="shared" si="3"/>
        <v>1328617.421184021</v>
      </c>
      <c r="AB56" s="188" t="str">
        <f t="shared" si="3"/>
        <v/>
      </c>
      <c r="AC56" s="188" t="str">
        <f t="shared" si="3"/>
        <v/>
      </c>
      <c r="AD56" s="188" t="str">
        <f t="shared" si="3"/>
        <v/>
      </c>
      <c r="AE56" s="188" t="str">
        <f t="shared" si="3"/>
        <v/>
      </c>
      <c r="AF56" s="188" t="str">
        <f t="shared" si="3"/>
        <v/>
      </c>
      <c r="AG56" s="188" t="str">
        <f t="shared" si="3"/>
        <v/>
      </c>
      <c r="AH56" s="188" t="str">
        <f t="shared" si="3"/>
        <v/>
      </c>
      <c r="AI56" s="188" t="str">
        <f t="shared" si="3"/>
        <v/>
      </c>
      <c r="AJ56" s="188" t="str">
        <f t="shared" ref="AJ56:BO56" si="4">IF(ISNUMBER(outYear),AI56*(1+inflation_rate/100 + escalation_rate/100),"")</f>
        <v/>
      </c>
      <c r="AK56" s="188" t="str">
        <f t="shared" si="4"/>
        <v/>
      </c>
      <c r="AL56" s="188" t="str">
        <f t="shared" si="4"/>
        <v/>
      </c>
      <c r="AM56" s="188" t="str">
        <f t="shared" si="4"/>
        <v/>
      </c>
      <c r="AN56" s="188" t="str">
        <f t="shared" si="4"/>
        <v/>
      </c>
      <c r="AO56" s="188" t="str">
        <f t="shared" si="4"/>
        <v/>
      </c>
      <c r="AP56" s="188" t="str">
        <f t="shared" si="4"/>
        <v/>
      </c>
      <c r="AQ56" s="188" t="str">
        <f t="shared" si="4"/>
        <v/>
      </c>
      <c r="AR56" s="188" t="str">
        <f t="shared" si="4"/>
        <v/>
      </c>
      <c r="AS56" s="188" t="str">
        <f t="shared" si="4"/>
        <v/>
      </c>
      <c r="AT56" s="188" t="str">
        <f t="shared" si="4"/>
        <v/>
      </c>
      <c r="AU56" s="188" t="str">
        <f t="shared" si="4"/>
        <v/>
      </c>
      <c r="AV56" s="188" t="str">
        <f t="shared" si="4"/>
        <v/>
      </c>
      <c r="AW56" s="188" t="str">
        <f t="shared" si="4"/>
        <v/>
      </c>
      <c r="AX56" s="188" t="str">
        <f t="shared" si="4"/>
        <v/>
      </c>
      <c r="AY56" s="188" t="str">
        <f t="shared" si="4"/>
        <v/>
      </c>
      <c r="AZ56" s="188" t="str">
        <f t="shared" si="4"/>
        <v/>
      </c>
      <c r="BA56" s="188" t="str">
        <f t="shared" si="4"/>
        <v/>
      </c>
      <c r="BB56" s="188" t="str">
        <f t="shared" si="4"/>
        <v/>
      </c>
      <c r="BC56" s="188" t="str">
        <f t="shared" si="4"/>
        <v/>
      </c>
      <c r="BD56" s="188" t="str">
        <f t="shared" si="4"/>
        <v/>
      </c>
      <c r="BE56" s="188" t="str">
        <f t="shared" si="4"/>
        <v/>
      </c>
      <c r="BF56" s="188" t="str">
        <f t="shared" si="4"/>
        <v/>
      </c>
      <c r="BG56" s="188" t="str">
        <f t="shared" si="4"/>
        <v/>
      </c>
      <c r="BH56" s="188" t="str">
        <f t="shared" si="4"/>
        <v/>
      </c>
      <c r="BI56" s="188" t="str">
        <f t="shared" si="4"/>
        <v/>
      </c>
      <c r="BJ56" s="188" t="str">
        <f t="shared" si="4"/>
        <v/>
      </c>
      <c r="BK56" s="188" t="str">
        <f t="shared" si="4"/>
        <v/>
      </c>
      <c r="BL56" s="188" t="str">
        <f t="shared" si="4"/>
        <v/>
      </c>
      <c r="BM56" s="188" t="str">
        <f t="shared" si="4"/>
        <v/>
      </c>
      <c r="BN56" s="188" t="str">
        <f t="shared" si="4"/>
        <v/>
      </c>
      <c r="BO56" s="188" t="str">
        <f t="shared" si="4"/>
        <v/>
      </c>
      <c r="BP56" s="188" t="str">
        <f t="shared" ref="BP56:CX56" si="5">IF(ISNUMBER(outYear),BO56*(1+inflation_rate/100 + escalation_rate/100),"")</f>
        <v/>
      </c>
      <c r="BQ56" s="188" t="str">
        <f t="shared" si="5"/>
        <v/>
      </c>
      <c r="BR56" s="188" t="str">
        <f t="shared" si="5"/>
        <v/>
      </c>
      <c r="BS56" s="188" t="str">
        <f t="shared" si="5"/>
        <v/>
      </c>
      <c r="BT56" s="188" t="str">
        <f t="shared" si="5"/>
        <v/>
      </c>
      <c r="BU56" s="188" t="str">
        <f t="shared" si="5"/>
        <v/>
      </c>
      <c r="BV56" s="188" t="str">
        <f t="shared" si="5"/>
        <v/>
      </c>
      <c r="BW56" s="188" t="str">
        <f t="shared" si="5"/>
        <v/>
      </c>
      <c r="BX56" s="188" t="str">
        <f t="shared" si="5"/>
        <v/>
      </c>
      <c r="BY56" s="188" t="str">
        <f t="shared" si="5"/>
        <v/>
      </c>
      <c r="BZ56" s="188" t="str">
        <f t="shared" si="5"/>
        <v/>
      </c>
      <c r="CA56" s="188" t="str">
        <f t="shared" si="5"/>
        <v/>
      </c>
      <c r="CB56" s="188" t="str">
        <f t="shared" si="5"/>
        <v/>
      </c>
      <c r="CC56" s="188" t="str">
        <f t="shared" si="5"/>
        <v/>
      </c>
      <c r="CD56" s="188" t="str">
        <f t="shared" si="5"/>
        <v/>
      </c>
      <c r="CE56" s="188" t="str">
        <f t="shared" si="5"/>
        <v/>
      </c>
      <c r="CF56" s="188" t="str">
        <f t="shared" si="5"/>
        <v/>
      </c>
      <c r="CG56" s="188" t="str">
        <f t="shared" si="5"/>
        <v/>
      </c>
      <c r="CH56" s="188" t="str">
        <f t="shared" si="5"/>
        <v/>
      </c>
      <c r="CI56" s="188" t="str">
        <f t="shared" si="5"/>
        <v/>
      </c>
      <c r="CJ56" s="188" t="str">
        <f t="shared" si="5"/>
        <v/>
      </c>
      <c r="CK56" s="188" t="str">
        <f t="shared" si="5"/>
        <v/>
      </c>
      <c r="CL56" s="188" t="str">
        <f t="shared" si="5"/>
        <v/>
      </c>
      <c r="CM56" s="188" t="str">
        <f t="shared" si="5"/>
        <v/>
      </c>
      <c r="CN56" s="188" t="str">
        <f t="shared" si="5"/>
        <v/>
      </c>
      <c r="CO56" s="188" t="str">
        <f t="shared" si="5"/>
        <v/>
      </c>
      <c r="CP56" s="188" t="str">
        <f t="shared" si="5"/>
        <v/>
      </c>
      <c r="CQ56" s="188" t="str">
        <f t="shared" si="5"/>
        <v/>
      </c>
      <c r="CR56" s="188" t="str">
        <f t="shared" si="5"/>
        <v/>
      </c>
      <c r="CS56" s="188" t="str">
        <f t="shared" si="5"/>
        <v/>
      </c>
      <c r="CT56" s="188" t="str">
        <f t="shared" si="5"/>
        <v/>
      </c>
      <c r="CU56" s="188" t="str">
        <f t="shared" si="5"/>
        <v/>
      </c>
      <c r="CV56" s="188" t="str">
        <f t="shared" si="5"/>
        <v/>
      </c>
      <c r="CW56" s="188" t="str">
        <f t="shared" si="5"/>
        <v/>
      </c>
      <c r="CX56" s="188" t="str">
        <f t="shared" si="5"/>
        <v/>
      </c>
    </row>
    <row r="57" spans="1:102" ht="12.75" customHeight="1" x14ac:dyDescent="0.2">
      <c r="A57" s="131" t="s">
        <v>125</v>
      </c>
      <c r="B57" s="135"/>
      <c r="C57" s="187">
        <v>783215</v>
      </c>
      <c r="D57" s="188">
        <f t="shared" ref="D57:AI57" si="6">IF(ISNUMBER(outYear),C57*(1+inflation_rate/100 + escalation_rate/100),"")</f>
        <v>798879.3</v>
      </c>
      <c r="E57" s="188">
        <f t="shared" si="6"/>
        <v>814856.88600000006</v>
      </c>
      <c r="F57" s="188">
        <f t="shared" si="6"/>
        <v>831154.02372000006</v>
      </c>
      <c r="G57" s="188">
        <f t="shared" si="6"/>
        <v>847777.10419440002</v>
      </c>
      <c r="H57" s="188">
        <f t="shared" si="6"/>
        <v>864732.64627828798</v>
      </c>
      <c r="I57" s="188">
        <f t="shared" si="6"/>
        <v>882027.2992038537</v>
      </c>
      <c r="J57" s="188">
        <f t="shared" si="6"/>
        <v>899667.84518793074</v>
      </c>
      <c r="K57" s="188">
        <f t="shared" si="6"/>
        <v>917661.20209168934</v>
      </c>
      <c r="L57" s="188">
        <f t="shared" si="6"/>
        <v>936014.42613352311</v>
      </c>
      <c r="M57" s="188">
        <f t="shared" si="6"/>
        <v>954734.71465619362</v>
      </c>
      <c r="N57" s="188">
        <f t="shared" si="6"/>
        <v>973829.40894931753</v>
      </c>
      <c r="O57" s="188">
        <f t="shared" si="6"/>
        <v>993305.99712830386</v>
      </c>
      <c r="P57" s="188">
        <f t="shared" si="6"/>
        <v>1013172.11707087</v>
      </c>
      <c r="Q57" s="188">
        <f t="shared" si="6"/>
        <v>1033435.5594122874</v>
      </c>
      <c r="R57" s="188">
        <f t="shared" si="6"/>
        <v>1054104.2706005331</v>
      </c>
      <c r="S57" s="188">
        <f t="shared" si="6"/>
        <v>1075186.3560125439</v>
      </c>
      <c r="T57" s="188">
        <f t="shared" si="6"/>
        <v>1096690.0831327948</v>
      </c>
      <c r="U57" s="188">
        <f t="shared" si="6"/>
        <v>1118623.8847954508</v>
      </c>
      <c r="V57" s="188">
        <f t="shared" si="6"/>
        <v>1140996.3624913599</v>
      </c>
      <c r="W57" s="188">
        <f t="shared" si="6"/>
        <v>1163816.2897411871</v>
      </c>
      <c r="X57" s="188">
        <f t="shared" si="6"/>
        <v>1187092.6155360108</v>
      </c>
      <c r="Y57" s="188">
        <f t="shared" si="6"/>
        <v>1210834.467846731</v>
      </c>
      <c r="Z57" s="188">
        <f t="shared" si="6"/>
        <v>1235051.1572036657</v>
      </c>
      <c r="AA57" s="188">
        <f t="shared" si="6"/>
        <v>1259752.180347739</v>
      </c>
      <c r="AB57" s="188" t="str">
        <f t="shared" si="6"/>
        <v/>
      </c>
      <c r="AC57" s="188" t="str">
        <f t="shared" si="6"/>
        <v/>
      </c>
      <c r="AD57" s="188" t="str">
        <f t="shared" si="6"/>
        <v/>
      </c>
      <c r="AE57" s="188" t="str">
        <f t="shared" si="6"/>
        <v/>
      </c>
      <c r="AF57" s="188" t="str">
        <f t="shared" si="6"/>
        <v/>
      </c>
      <c r="AG57" s="188" t="str">
        <f t="shared" si="6"/>
        <v/>
      </c>
      <c r="AH57" s="188" t="str">
        <f t="shared" si="6"/>
        <v/>
      </c>
      <c r="AI57" s="188" t="str">
        <f t="shared" si="6"/>
        <v/>
      </c>
      <c r="AJ57" s="188" t="str">
        <f t="shared" ref="AJ57:BO57" si="7">IF(ISNUMBER(outYear),AI57*(1+inflation_rate/100 + escalation_rate/100),"")</f>
        <v/>
      </c>
      <c r="AK57" s="188" t="str">
        <f t="shared" si="7"/>
        <v/>
      </c>
      <c r="AL57" s="188" t="str">
        <f t="shared" si="7"/>
        <v/>
      </c>
      <c r="AM57" s="188" t="str">
        <f t="shared" si="7"/>
        <v/>
      </c>
      <c r="AN57" s="188" t="str">
        <f t="shared" si="7"/>
        <v/>
      </c>
      <c r="AO57" s="188" t="str">
        <f t="shared" si="7"/>
        <v/>
      </c>
      <c r="AP57" s="188" t="str">
        <f t="shared" si="7"/>
        <v/>
      </c>
      <c r="AQ57" s="188" t="str">
        <f t="shared" si="7"/>
        <v/>
      </c>
      <c r="AR57" s="188" t="str">
        <f t="shared" si="7"/>
        <v/>
      </c>
      <c r="AS57" s="188" t="str">
        <f t="shared" si="7"/>
        <v/>
      </c>
      <c r="AT57" s="188" t="str">
        <f t="shared" si="7"/>
        <v/>
      </c>
      <c r="AU57" s="188" t="str">
        <f t="shared" si="7"/>
        <v/>
      </c>
      <c r="AV57" s="188" t="str">
        <f t="shared" si="7"/>
        <v/>
      </c>
      <c r="AW57" s="188" t="str">
        <f t="shared" si="7"/>
        <v/>
      </c>
      <c r="AX57" s="188" t="str">
        <f t="shared" si="7"/>
        <v/>
      </c>
      <c r="AY57" s="188" t="str">
        <f t="shared" si="7"/>
        <v/>
      </c>
      <c r="AZ57" s="188" t="str">
        <f t="shared" si="7"/>
        <v/>
      </c>
      <c r="BA57" s="188" t="str">
        <f t="shared" si="7"/>
        <v/>
      </c>
      <c r="BB57" s="188" t="str">
        <f t="shared" si="7"/>
        <v/>
      </c>
      <c r="BC57" s="188" t="str">
        <f t="shared" si="7"/>
        <v/>
      </c>
      <c r="BD57" s="188" t="str">
        <f t="shared" si="7"/>
        <v/>
      </c>
      <c r="BE57" s="188" t="str">
        <f t="shared" si="7"/>
        <v/>
      </c>
      <c r="BF57" s="188" t="str">
        <f t="shared" si="7"/>
        <v/>
      </c>
      <c r="BG57" s="188" t="str">
        <f t="shared" si="7"/>
        <v/>
      </c>
      <c r="BH57" s="188" t="str">
        <f t="shared" si="7"/>
        <v/>
      </c>
      <c r="BI57" s="188" t="str">
        <f t="shared" si="7"/>
        <v/>
      </c>
      <c r="BJ57" s="188" t="str">
        <f t="shared" si="7"/>
        <v/>
      </c>
      <c r="BK57" s="188" t="str">
        <f t="shared" si="7"/>
        <v/>
      </c>
      <c r="BL57" s="188" t="str">
        <f t="shared" si="7"/>
        <v/>
      </c>
      <c r="BM57" s="188" t="str">
        <f t="shared" si="7"/>
        <v/>
      </c>
      <c r="BN57" s="188" t="str">
        <f t="shared" si="7"/>
        <v/>
      </c>
      <c r="BO57" s="188" t="str">
        <f t="shared" si="7"/>
        <v/>
      </c>
      <c r="BP57" s="188" t="str">
        <f t="shared" ref="BP57:CX57" si="8">IF(ISNUMBER(outYear),BO57*(1+inflation_rate/100 + escalation_rate/100),"")</f>
        <v/>
      </c>
      <c r="BQ57" s="188" t="str">
        <f t="shared" si="8"/>
        <v/>
      </c>
      <c r="BR57" s="188" t="str">
        <f t="shared" si="8"/>
        <v/>
      </c>
      <c r="BS57" s="188" t="str">
        <f t="shared" si="8"/>
        <v/>
      </c>
      <c r="BT57" s="188" t="str">
        <f t="shared" si="8"/>
        <v/>
      </c>
      <c r="BU57" s="188" t="str">
        <f t="shared" si="8"/>
        <v/>
      </c>
      <c r="BV57" s="188" t="str">
        <f t="shared" si="8"/>
        <v/>
      </c>
      <c r="BW57" s="188" t="str">
        <f t="shared" si="8"/>
        <v/>
      </c>
      <c r="BX57" s="188" t="str">
        <f t="shared" si="8"/>
        <v/>
      </c>
      <c r="BY57" s="188" t="str">
        <f t="shared" si="8"/>
        <v/>
      </c>
      <c r="BZ57" s="188" t="str">
        <f t="shared" si="8"/>
        <v/>
      </c>
      <c r="CA57" s="188" t="str">
        <f t="shared" si="8"/>
        <v/>
      </c>
      <c r="CB57" s="188" t="str">
        <f t="shared" si="8"/>
        <v/>
      </c>
      <c r="CC57" s="188" t="str">
        <f t="shared" si="8"/>
        <v/>
      </c>
      <c r="CD57" s="188" t="str">
        <f t="shared" si="8"/>
        <v/>
      </c>
      <c r="CE57" s="188" t="str">
        <f t="shared" si="8"/>
        <v/>
      </c>
      <c r="CF57" s="188" t="str">
        <f t="shared" si="8"/>
        <v/>
      </c>
      <c r="CG57" s="188" t="str">
        <f t="shared" si="8"/>
        <v/>
      </c>
      <c r="CH57" s="188" t="str">
        <f t="shared" si="8"/>
        <v/>
      </c>
      <c r="CI57" s="188" t="str">
        <f t="shared" si="8"/>
        <v/>
      </c>
      <c r="CJ57" s="188" t="str">
        <f t="shared" si="8"/>
        <v/>
      </c>
      <c r="CK57" s="188" t="str">
        <f t="shared" si="8"/>
        <v/>
      </c>
      <c r="CL57" s="188" t="str">
        <f t="shared" si="8"/>
        <v/>
      </c>
      <c r="CM57" s="188" t="str">
        <f t="shared" si="8"/>
        <v/>
      </c>
      <c r="CN57" s="188" t="str">
        <f t="shared" si="8"/>
        <v/>
      </c>
      <c r="CO57" s="188" t="str">
        <f t="shared" si="8"/>
        <v/>
      </c>
      <c r="CP57" s="188" t="str">
        <f t="shared" si="8"/>
        <v/>
      </c>
      <c r="CQ57" s="188" t="str">
        <f t="shared" si="8"/>
        <v/>
      </c>
      <c r="CR57" s="188" t="str">
        <f t="shared" si="8"/>
        <v/>
      </c>
      <c r="CS57" s="188" t="str">
        <f t="shared" si="8"/>
        <v/>
      </c>
      <c r="CT57" s="188" t="str">
        <f t="shared" si="8"/>
        <v/>
      </c>
      <c r="CU57" s="188" t="str">
        <f t="shared" si="8"/>
        <v/>
      </c>
      <c r="CV57" s="188" t="str">
        <f t="shared" si="8"/>
        <v/>
      </c>
      <c r="CW57" s="188" t="str">
        <f t="shared" si="8"/>
        <v/>
      </c>
      <c r="CX57" s="188" t="str">
        <f t="shared" si="8"/>
        <v/>
      </c>
    </row>
    <row r="58" spans="1:102" ht="12.75" customHeight="1" x14ac:dyDescent="0.2">
      <c r="A58" s="131" t="s">
        <v>126</v>
      </c>
      <c r="B58" s="183"/>
      <c r="C58" s="189">
        <v>-10500</v>
      </c>
      <c r="D58" s="188">
        <f t="shared" ref="D58:AI58" si="9">IF(ISNUMBER(outYear),C58*(1+inflation_rate/100 + escalation_rate/100)*(1-pv_degradation_rate/100),"")</f>
        <v>-10656.45</v>
      </c>
      <c r="E58" s="188">
        <f t="shared" si="9"/>
        <v>-10815.231105000001</v>
      </c>
      <c r="F58" s="188">
        <f t="shared" si="9"/>
        <v>-10976.378048464501</v>
      </c>
      <c r="G58" s="188">
        <f t="shared" si="9"/>
        <v>-11139.926081386622</v>
      </c>
      <c r="H58" s="188">
        <f t="shared" si="9"/>
        <v>-11305.910979999282</v>
      </c>
      <c r="I58" s="188">
        <f t="shared" si="9"/>
        <v>-11474.369053601273</v>
      </c>
      <c r="J58" s="188">
        <f t="shared" si="9"/>
        <v>-11645.337152499931</v>
      </c>
      <c r="K58" s="188">
        <f t="shared" si="9"/>
        <v>-11818.85267607218</v>
      </c>
      <c r="L58" s="188">
        <f t="shared" si="9"/>
        <v>-11994.953580945656</v>
      </c>
      <c r="M58" s="188">
        <f t="shared" si="9"/>
        <v>-12173.678389301745</v>
      </c>
      <c r="N58" s="188">
        <f t="shared" si="9"/>
        <v>-12355.066197302342</v>
      </c>
      <c r="O58" s="188">
        <f t="shared" si="9"/>
        <v>-12539.156683642146</v>
      </c>
      <c r="P58" s="188">
        <f t="shared" si="9"/>
        <v>-12725.990118228414</v>
      </c>
      <c r="Q58" s="188">
        <f t="shared" si="9"/>
        <v>-12915.607370990017</v>
      </c>
      <c r="R58" s="188">
        <f t="shared" si="9"/>
        <v>-13108.04992081777</v>
      </c>
      <c r="S58" s="188">
        <f t="shared" si="9"/>
        <v>-13303.359864637954</v>
      </c>
      <c r="T58" s="188">
        <f t="shared" si="9"/>
        <v>-13501.57992662106</v>
      </c>
      <c r="U58" s="188">
        <f t="shared" si="9"/>
        <v>-13702.753467527713</v>
      </c>
      <c r="V58" s="188">
        <f t="shared" si="9"/>
        <v>-13906.924494193876</v>
      </c>
      <c r="W58" s="188">
        <f t="shared" si="9"/>
        <v>-14114.137669157364</v>
      </c>
      <c r="X58" s="188">
        <f t="shared" si="9"/>
        <v>-14324.438320427809</v>
      </c>
      <c r="Y58" s="188">
        <f t="shared" si="9"/>
        <v>-14537.872451402183</v>
      </c>
      <c r="Z58" s="188">
        <f t="shared" si="9"/>
        <v>-14754.486750928076</v>
      </c>
      <c r="AA58" s="188">
        <f t="shared" si="9"/>
        <v>-14974.328603516904</v>
      </c>
      <c r="AB58" s="188" t="str">
        <f t="shared" si="9"/>
        <v/>
      </c>
      <c r="AC58" s="188" t="str">
        <f t="shared" si="9"/>
        <v/>
      </c>
      <c r="AD58" s="188" t="str">
        <f t="shared" si="9"/>
        <v/>
      </c>
      <c r="AE58" s="188" t="str">
        <f t="shared" si="9"/>
        <v/>
      </c>
      <c r="AF58" s="188" t="str">
        <f t="shared" si="9"/>
        <v/>
      </c>
      <c r="AG58" s="188" t="str">
        <f t="shared" si="9"/>
        <v/>
      </c>
      <c r="AH58" s="188" t="str">
        <f t="shared" si="9"/>
        <v/>
      </c>
      <c r="AI58" s="188" t="str">
        <f t="shared" si="9"/>
        <v/>
      </c>
      <c r="AJ58" s="188" t="str">
        <f t="shared" ref="AJ58:BO58" si="10">IF(ISNUMBER(outYear),AI58*(1+inflation_rate/100 + escalation_rate/100)*(1-pv_degradation_rate/100),"")</f>
        <v/>
      </c>
      <c r="AK58" s="188" t="str">
        <f t="shared" si="10"/>
        <v/>
      </c>
      <c r="AL58" s="188" t="str">
        <f t="shared" si="10"/>
        <v/>
      </c>
      <c r="AM58" s="188" t="str">
        <f t="shared" si="10"/>
        <v/>
      </c>
      <c r="AN58" s="188" t="str">
        <f t="shared" si="10"/>
        <v/>
      </c>
      <c r="AO58" s="188" t="str">
        <f t="shared" si="10"/>
        <v/>
      </c>
      <c r="AP58" s="188" t="str">
        <f t="shared" si="10"/>
        <v/>
      </c>
      <c r="AQ58" s="188" t="str">
        <f t="shared" si="10"/>
        <v/>
      </c>
      <c r="AR58" s="188" t="str">
        <f t="shared" si="10"/>
        <v/>
      </c>
      <c r="AS58" s="188" t="str">
        <f t="shared" si="10"/>
        <v/>
      </c>
      <c r="AT58" s="188" t="str">
        <f t="shared" si="10"/>
        <v/>
      </c>
      <c r="AU58" s="188" t="str">
        <f t="shared" si="10"/>
        <v/>
      </c>
      <c r="AV58" s="188" t="str">
        <f t="shared" si="10"/>
        <v/>
      </c>
      <c r="AW58" s="188" t="str">
        <f t="shared" si="10"/>
        <v/>
      </c>
      <c r="AX58" s="188" t="str">
        <f t="shared" si="10"/>
        <v/>
      </c>
      <c r="AY58" s="188" t="str">
        <f t="shared" si="10"/>
        <v/>
      </c>
      <c r="AZ58" s="188" t="str">
        <f t="shared" si="10"/>
        <v/>
      </c>
      <c r="BA58" s="188" t="str">
        <f t="shared" si="10"/>
        <v/>
      </c>
      <c r="BB58" s="188" t="str">
        <f t="shared" si="10"/>
        <v/>
      </c>
      <c r="BC58" s="188" t="str">
        <f t="shared" si="10"/>
        <v/>
      </c>
      <c r="BD58" s="188" t="str">
        <f t="shared" si="10"/>
        <v/>
      </c>
      <c r="BE58" s="188" t="str">
        <f t="shared" si="10"/>
        <v/>
      </c>
      <c r="BF58" s="188" t="str">
        <f t="shared" si="10"/>
        <v/>
      </c>
      <c r="BG58" s="188" t="str">
        <f t="shared" si="10"/>
        <v/>
      </c>
      <c r="BH58" s="188" t="str">
        <f t="shared" si="10"/>
        <v/>
      </c>
      <c r="BI58" s="188" t="str">
        <f t="shared" si="10"/>
        <v/>
      </c>
      <c r="BJ58" s="188" t="str">
        <f t="shared" si="10"/>
        <v/>
      </c>
      <c r="BK58" s="188" t="str">
        <f t="shared" si="10"/>
        <v/>
      </c>
      <c r="BL58" s="188" t="str">
        <f t="shared" si="10"/>
        <v/>
      </c>
      <c r="BM58" s="188" t="str">
        <f t="shared" si="10"/>
        <v/>
      </c>
      <c r="BN58" s="188" t="str">
        <f t="shared" si="10"/>
        <v/>
      </c>
      <c r="BO58" s="188" t="str">
        <f t="shared" si="10"/>
        <v/>
      </c>
      <c r="BP58" s="188" t="str">
        <f t="shared" ref="BP58:CX58" si="11">IF(ISNUMBER(outYear),BO58*(1+inflation_rate/100 + escalation_rate/100)*(1-pv_degradation_rate/100),"")</f>
        <v/>
      </c>
      <c r="BQ58" s="188" t="str">
        <f t="shared" si="11"/>
        <v/>
      </c>
      <c r="BR58" s="188" t="str">
        <f t="shared" si="11"/>
        <v/>
      </c>
      <c r="BS58" s="188" t="str">
        <f t="shared" si="11"/>
        <v/>
      </c>
      <c r="BT58" s="188" t="str">
        <f t="shared" si="11"/>
        <v/>
      </c>
      <c r="BU58" s="188" t="str">
        <f t="shared" si="11"/>
        <v/>
      </c>
      <c r="BV58" s="188" t="str">
        <f t="shared" si="11"/>
        <v/>
      </c>
      <c r="BW58" s="188" t="str">
        <f t="shared" si="11"/>
        <v/>
      </c>
      <c r="BX58" s="188" t="str">
        <f t="shared" si="11"/>
        <v/>
      </c>
      <c r="BY58" s="188" t="str">
        <f t="shared" si="11"/>
        <v/>
      </c>
      <c r="BZ58" s="188" t="str">
        <f t="shared" si="11"/>
        <v/>
      </c>
      <c r="CA58" s="188" t="str">
        <f t="shared" si="11"/>
        <v/>
      </c>
      <c r="CB58" s="188" t="str">
        <f t="shared" si="11"/>
        <v/>
      </c>
      <c r="CC58" s="188" t="str">
        <f t="shared" si="11"/>
        <v/>
      </c>
      <c r="CD58" s="188" t="str">
        <f t="shared" si="11"/>
        <v/>
      </c>
      <c r="CE58" s="188" t="str">
        <f t="shared" si="11"/>
        <v/>
      </c>
      <c r="CF58" s="188" t="str">
        <f t="shared" si="11"/>
        <v/>
      </c>
      <c r="CG58" s="188" t="str">
        <f t="shared" si="11"/>
        <v/>
      </c>
      <c r="CH58" s="188" t="str">
        <f t="shared" si="11"/>
        <v/>
      </c>
      <c r="CI58" s="188" t="str">
        <f t="shared" si="11"/>
        <v/>
      </c>
      <c r="CJ58" s="188" t="str">
        <f t="shared" si="11"/>
        <v/>
      </c>
      <c r="CK58" s="188" t="str">
        <f t="shared" si="11"/>
        <v/>
      </c>
      <c r="CL58" s="188" t="str">
        <f t="shared" si="11"/>
        <v/>
      </c>
      <c r="CM58" s="188" t="str">
        <f t="shared" si="11"/>
        <v/>
      </c>
      <c r="CN58" s="188" t="str">
        <f t="shared" si="11"/>
        <v/>
      </c>
      <c r="CO58" s="188" t="str">
        <f t="shared" si="11"/>
        <v/>
      </c>
      <c r="CP58" s="188" t="str">
        <f t="shared" si="11"/>
        <v/>
      </c>
      <c r="CQ58" s="188" t="str">
        <f t="shared" si="11"/>
        <v/>
      </c>
      <c r="CR58" s="188" t="str">
        <f t="shared" si="11"/>
        <v/>
      </c>
      <c r="CS58" s="188" t="str">
        <f t="shared" si="11"/>
        <v/>
      </c>
      <c r="CT58" s="188" t="str">
        <f t="shared" si="11"/>
        <v/>
      </c>
      <c r="CU58" s="188" t="str">
        <f t="shared" si="11"/>
        <v/>
      </c>
      <c r="CV58" s="188" t="str">
        <f t="shared" si="11"/>
        <v/>
      </c>
      <c r="CW58" s="188" t="str">
        <f t="shared" si="11"/>
        <v/>
      </c>
      <c r="CX58" s="188" t="str">
        <f t="shared" si="11"/>
        <v/>
      </c>
    </row>
    <row r="59" spans="1:102" ht="12.75" customHeight="1" x14ac:dyDescent="0.2">
      <c r="A59" s="131" t="s">
        <v>39</v>
      </c>
      <c r="B59" s="135">
        <v>0</v>
      </c>
      <c r="C59" s="162">
        <f t="shared" ref="C59:AH59" si="12">IF(C54&lt;=analysis_period,C56-(C57 + C58),"")</f>
        <v>53315</v>
      </c>
      <c r="D59" s="170">
        <f t="shared" si="12"/>
        <v>54327.749999999884</v>
      </c>
      <c r="E59" s="170">
        <f t="shared" si="12"/>
        <v>55359.957104999921</v>
      </c>
      <c r="F59" s="170">
        <f t="shared" si="12"/>
        <v>56411.99856846442</v>
      </c>
      <c r="G59" s="170">
        <f t="shared" si="12"/>
        <v>57484.259011786547</v>
      </c>
      <c r="H59" s="170">
        <f t="shared" si="12"/>
        <v>58577.130569007248</v>
      </c>
      <c r="I59" s="170">
        <f t="shared" si="12"/>
        <v>59691.013034389471</v>
      </c>
      <c r="J59" s="170">
        <f t="shared" si="12"/>
        <v>60826.314012903953</v>
      </c>
      <c r="K59" s="170">
        <f t="shared" si="12"/>
        <v>61983.449073684285</v>
      </c>
      <c r="L59" s="170">
        <f t="shared" si="12"/>
        <v>63162.841906510061</v>
      </c>
      <c r="M59" s="170">
        <f t="shared" si="12"/>
        <v>64364.924481377471</v>
      </c>
      <c r="N59" s="170">
        <f t="shared" si="12"/>
        <v>65590.137211219524</v>
      </c>
      <c r="O59" s="170">
        <f t="shared" si="12"/>
        <v>66838.929117837804</v>
      </c>
      <c r="P59" s="170">
        <f t="shared" si="12"/>
        <v>68111.758001107955</v>
      </c>
      <c r="Q59" s="170">
        <f t="shared" si="12"/>
        <v>69409.090611527208</v>
      </c>
      <c r="R59" s="170">
        <f t="shared" si="12"/>
        <v>70731.402826165897</v>
      </c>
      <c r="S59" s="170">
        <f t="shared" si="12"/>
        <v>72079.179828092922</v>
      </c>
      <c r="T59" s="170">
        <f t="shared" si="12"/>
        <v>73452.916289345128</v>
      </c>
      <c r="U59" s="170">
        <f t="shared" si="12"/>
        <v>74853.116557505913</v>
      </c>
      <c r="V59" s="170">
        <f t="shared" si="12"/>
        <v>76280.294845971512</v>
      </c>
      <c r="W59" s="170">
        <f t="shared" si="12"/>
        <v>77734.975427970756</v>
      </c>
      <c r="X59" s="170">
        <f t="shared" si="12"/>
        <v>79217.692834417569</v>
      </c>
      <c r="Y59" s="170">
        <f t="shared" si="12"/>
        <v>80728.992055671755</v>
      </c>
      <c r="Z59" s="170">
        <f t="shared" si="12"/>
        <v>82269.428747282829</v>
      </c>
      <c r="AA59" s="170">
        <f t="shared" si="12"/>
        <v>83839.569439798826</v>
      </c>
      <c r="AB59" s="170" t="str">
        <f t="shared" si="12"/>
        <v/>
      </c>
      <c r="AC59" s="170" t="str">
        <f t="shared" si="12"/>
        <v/>
      </c>
      <c r="AD59" s="170" t="str">
        <f t="shared" si="12"/>
        <v/>
      </c>
      <c r="AE59" s="170" t="str">
        <f t="shared" si="12"/>
        <v/>
      </c>
      <c r="AF59" s="170" t="str">
        <f t="shared" si="12"/>
        <v/>
      </c>
      <c r="AG59" s="170" t="str">
        <f t="shared" si="12"/>
        <v/>
      </c>
      <c r="AH59" s="170" t="str">
        <f t="shared" si="12"/>
        <v/>
      </c>
      <c r="AI59" s="170" t="str">
        <f t="shared" ref="AI59:BN59" si="13">IF(AI54&lt;=analysis_period,AI56-(AI57 + AI58),"")</f>
        <v/>
      </c>
      <c r="AJ59" s="170" t="str">
        <f t="shared" si="13"/>
        <v/>
      </c>
      <c r="AK59" s="170" t="str">
        <f t="shared" si="13"/>
        <v/>
      </c>
      <c r="AL59" s="170" t="str">
        <f t="shared" si="13"/>
        <v/>
      </c>
      <c r="AM59" s="170" t="str">
        <f t="shared" si="13"/>
        <v/>
      </c>
      <c r="AN59" s="170" t="str">
        <f t="shared" si="13"/>
        <v/>
      </c>
      <c r="AO59" s="170" t="str">
        <f t="shared" si="13"/>
        <v/>
      </c>
      <c r="AP59" s="170" t="str">
        <f t="shared" si="13"/>
        <v/>
      </c>
      <c r="AQ59" s="170" t="str">
        <f t="shared" si="13"/>
        <v/>
      </c>
      <c r="AR59" s="170" t="str">
        <f t="shared" si="13"/>
        <v/>
      </c>
      <c r="AS59" s="170" t="str">
        <f t="shared" si="13"/>
        <v/>
      </c>
      <c r="AT59" s="170" t="str">
        <f t="shared" si="13"/>
        <v/>
      </c>
      <c r="AU59" s="170" t="str">
        <f t="shared" si="13"/>
        <v/>
      </c>
      <c r="AV59" s="170" t="str">
        <f t="shared" si="13"/>
        <v/>
      </c>
      <c r="AW59" s="170" t="str">
        <f t="shared" si="13"/>
        <v/>
      </c>
      <c r="AX59" s="170" t="str">
        <f t="shared" si="13"/>
        <v/>
      </c>
      <c r="AY59" s="170" t="str">
        <f t="shared" si="13"/>
        <v/>
      </c>
      <c r="AZ59" s="170" t="str">
        <f t="shared" si="13"/>
        <v/>
      </c>
      <c r="BA59" s="170" t="str">
        <f t="shared" si="13"/>
        <v/>
      </c>
      <c r="BB59" s="170" t="str">
        <f t="shared" si="13"/>
        <v/>
      </c>
      <c r="BC59" s="170" t="str">
        <f t="shared" si="13"/>
        <v/>
      </c>
      <c r="BD59" s="170" t="str">
        <f t="shared" si="13"/>
        <v/>
      </c>
      <c r="BE59" s="170" t="str">
        <f t="shared" si="13"/>
        <v/>
      </c>
      <c r="BF59" s="170" t="str">
        <f t="shared" si="13"/>
        <v/>
      </c>
      <c r="BG59" s="170" t="str">
        <f t="shared" si="13"/>
        <v/>
      </c>
      <c r="BH59" s="170" t="str">
        <f t="shared" si="13"/>
        <v/>
      </c>
      <c r="BI59" s="170" t="str">
        <f t="shared" si="13"/>
        <v/>
      </c>
      <c r="BJ59" s="170" t="str">
        <f t="shared" si="13"/>
        <v/>
      </c>
      <c r="BK59" s="170" t="str">
        <f t="shared" si="13"/>
        <v/>
      </c>
      <c r="BL59" s="170" t="str">
        <f t="shared" si="13"/>
        <v/>
      </c>
      <c r="BM59" s="170" t="str">
        <f t="shared" si="13"/>
        <v/>
      </c>
      <c r="BN59" s="170" t="str">
        <f t="shared" si="13"/>
        <v/>
      </c>
      <c r="BO59" s="170" t="str">
        <f t="shared" ref="BO59:CT59" si="14">IF(BO54&lt;=analysis_period,BO56-(BO57 + BO58),"")</f>
        <v/>
      </c>
      <c r="BP59" s="170" t="str">
        <f t="shared" si="14"/>
        <v/>
      </c>
      <c r="BQ59" s="170" t="str">
        <f t="shared" si="14"/>
        <v/>
      </c>
      <c r="BR59" s="170" t="str">
        <f t="shared" si="14"/>
        <v/>
      </c>
      <c r="BS59" s="170" t="str">
        <f t="shared" si="14"/>
        <v/>
      </c>
      <c r="BT59" s="170" t="str">
        <f t="shared" si="14"/>
        <v/>
      </c>
      <c r="BU59" s="170" t="str">
        <f t="shared" si="14"/>
        <v/>
      </c>
      <c r="BV59" s="170" t="str">
        <f t="shared" si="14"/>
        <v/>
      </c>
      <c r="BW59" s="170" t="str">
        <f t="shared" si="14"/>
        <v/>
      </c>
      <c r="BX59" s="170" t="str">
        <f t="shared" si="14"/>
        <v/>
      </c>
      <c r="BY59" s="170" t="str">
        <f t="shared" si="14"/>
        <v/>
      </c>
      <c r="BZ59" s="170" t="str">
        <f t="shared" si="14"/>
        <v/>
      </c>
      <c r="CA59" s="170" t="str">
        <f t="shared" si="14"/>
        <v/>
      </c>
      <c r="CB59" s="170" t="str">
        <f t="shared" si="14"/>
        <v/>
      </c>
      <c r="CC59" s="170" t="str">
        <f t="shared" si="14"/>
        <v/>
      </c>
      <c r="CD59" s="170" t="str">
        <f t="shared" si="14"/>
        <v/>
      </c>
      <c r="CE59" s="170" t="str">
        <f t="shared" si="14"/>
        <v/>
      </c>
      <c r="CF59" s="170" t="str">
        <f t="shared" si="14"/>
        <v/>
      </c>
      <c r="CG59" s="170" t="str">
        <f t="shared" si="14"/>
        <v/>
      </c>
      <c r="CH59" s="170" t="str">
        <f t="shared" si="14"/>
        <v/>
      </c>
      <c r="CI59" s="170" t="str">
        <f t="shared" si="14"/>
        <v/>
      </c>
      <c r="CJ59" s="170" t="str">
        <f t="shared" si="14"/>
        <v/>
      </c>
      <c r="CK59" s="170" t="str">
        <f t="shared" si="14"/>
        <v/>
      </c>
      <c r="CL59" s="170" t="str">
        <f t="shared" si="14"/>
        <v/>
      </c>
      <c r="CM59" s="170" t="str">
        <f t="shared" si="14"/>
        <v/>
      </c>
      <c r="CN59" s="170" t="str">
        <f t="shared" si="14"/>
        <v/>
      </c>
      <c r="CO59" s="170" t="str">
        <f t="shared" si="14"/>
        <v/>
      </c>
      <c r="CP59" s="170" t="str">
        <f t="shared" si="14"/>
        <v/>
      </c>
      <c r="CQ59" s="170" t="str">
        <f t="shared" si="14"/>
        <v/>
      </c>
      <c r="CR59" s="170" t="str">
        <f t="shared" si="14"/>
        <v/>
      </c>
      <c r="CS59" s="170" t="str">
        <f t="shared" si="14"/>
        <v/>
      </c>
      <c r="CT59" s="170" t="str">
        <f t="shared" si="14"/>
        <v/>
      </c>
      <c r="CU59" s="170" t="str">
        <f t="shared" ref="CU59:CX59" si="15">IF(CU54&lt;=analysis_period,CU56-(CU57 + CU58),"")</f>
        <v/>
      </c>
      <c r="CV59" s="170" t="str">
        <f t="shared" si="15"/>
        <v/>
      </c>
      <c r="CW59" s="170" t="str">
        <f t="shared" si="15"/>
        <v/>
      </c>
      <c r="CX59" s="170" t="str">
        <f t="shared" si="15"/>
        <v/>
      </c>
    </row>
    <row r="60" spans="1:102" ht="12.75" customHeight="1" x14ac:dyDescent="0.2">
      <c r="A60" s="131" t="s">
        <v>86</v>
      </c>
      <c r="B60" s="136">
        <v>0</v>
      </c>
      <c r="C60" s="163">
        <v>0.2</v>
      </c>
      <c r="D60" s="163">
        <v>0.32</v>
      </c>
      <c r="E60" s="163">
        <v>0.192</v>
      </c>
      <c r="F60" s="163">
        <v>0.1152</v>
      </c>
      <c r="G60" s="163">
        <v>0.1152</v>
      </c>
      <c r="H60" s="163">
        <v>5.7599999999999998E-2</v>
      </c>
      <c r="I60" s="163">
        <v>0</v>
      </c>
      <c r="J60" s="163">
        <v>0</v>
      </c>
      <c r="K60" s="163">
        <v>0</v>
      </c>
      <c r="L60" s="163">
        <v>0</v>
      </c>
      <c r="M60" s="163">
        <v>0</v>
      </c>
      <c r="N60" s="163">
        <v>0</v>
      </c>
      <c r="O60" s="163">
        <v>0</v>
      </c>
      <c r="P60" s="163">
        <v>0</v>
      </c>
      <c r="Q60" s="163">
        <v>0</v>
      </c>
      <c r="R60" s="163">
        <v>0</v>
      </c>
      <c r="S60" s="163">
        <v>0</v>
      </c>
      <c r="T60" s="163">
        <v>0</v>
      </c>
      <c r="U60" s="163">
        <v>0</v>
      </c>
      <c r="V60" s="163">
        <v>0</v>
      </c>
      <c r="W60" s="163">
        <v>0</v>
      </c>
      <c r="X60" s="163">
        <v>0</v>
      </c>
      <c r="Y60" s="163">
        <v>0</v>
      </c>
      <c r="Z60" s="163">
        <v>0</v>
      </c>
      <c r="AA60" s="163">
        <v>0</v>
      </c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3"/>
      <c r="BH60" s="133"/>
      <c r="BI60" s="133"/>
      <c r="BJ60" s="133"/>
      <c r="BK60" s="133"/>
      <c r="BL60" s="133"/>
      <c r="BM60" s="133"/>
      <c r="BN60" s="133"/>
      <c r="BO60" s="133"/>
      <c r="BP60" s="133"/>
      <c r="BQ60" s="133"/>
      <c r="BR60" s="133"/>
      <c r="BS60" s="133"/>
      <c r="BT60" s="133"/>
      <c r="BU60" s="133"/>
      <c r="BV60" s="133"/>
      <c r="BW60" s="133"/>
      <c r="BX60" s="133"/>
      <c r="BY60" s="133"/>
      <c r="BZ60" s="133"/>
      <c r="CA60" s="133"/>
      <c r="CB60" s="133"/>
      <c r="CC60" s="133"/>
      <c r="CD60" s="133"/>
      <c r="CE60" s="133"/>
      <c r="CF60" s="133"/>
      <c r="CG60" s="133"/>
      <c r="CH60" s="133"/>
      <c r="CI60" s="133"/>
      <c r="CJ60" s="133"/>
      <c r="CK60" s="133"/>
      <c r="CL60" s="133"/>
      <c r="CM60" s="133"/>
      <c r="CN60" s="133"/>
      <c r="CO60" s="133"/>
      <c r="CP60" s="133"/>
      <c r="CQ60" s="133"/>
      <c r="CR60" s="133"/>
      <c r="CS60" s="133"/>
      <c r="CT60" s="133"/>
      <c r="CU60" s="133"/>
      <c r="CV60" s="133"/>
      <c r="CW60" s="133"/>
      <c r="CX60" s="133"/>
    </row>
    <row r="71" spans="3:33" x14ac:dyDescent="0.2">
      <c r="C71" s="160"/>
    </row>
    <row r="72" spans="3:33" x14ac:dyDescent="0.2">
      <c r="C72" s="160"/>
    </row>
    <row r="73" spans="3:33" x14ac:dyDescent="0.2">
      <c r="C73" s="161"/>
      <c r="D73" s="161"/>
      <c r="E73" s="20"/>
      <c r="F73" s="20"/>
    </row>
    <row r="74" spans="3:33" x14ac:dyDescent="0.2">
      <c r="C74" s="161"/>
      <c r="D74" s="161"/>
      <c r="E74" s="20"/>
      <c r="F74" s="20"/>
    </row>
    <row r="75" spans="3:33" x14ac:dyDescent="0.2">
      <c r="C75" s="161"/>
      <c r="D75" s="161"/>
      <c r="E75" s="20"/>
      <c r="F75" s="20"/>
    </row>
    <row r="76" spans="3:33" x14ac:dyDescent="0.2">
      <c r="C76" s="161"/>
      <c r="D76" s="161"/>
      <c r="E76" s="20"/>
      <c r="F76" s="20"/>
    </row>
    <row r="77" spans="3:33" x14ac:dyDescent="0.2">
      <c r="C77" s="161"/>
      <c r="D77" s="161"/>
      <c r="E77" s="20"/>
      <c r="F77" s="20"/>
    </row>
    <row r="78" spans="3:33" x14ac:dyDescent="0.2">
      <c r="C78" s="161"/>
      <c r="D78" s="161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</row>
    <row r="79" spans="3:33" x14ac:dyDescent="0.2">
      <c r="C79" s="161"/>
      <c r="D79" s="161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</row>
    <row r="80" spans="3:33" x14ac:dyDescent="0.2">
      <c r="C80" s="161"/>
      <c r="D80" s="161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</row>
    <row r="81" spans="3:33" x14ac:dyDescent="0.2">
      <c r="C81" s="161"/>
      <c r="D81" s="161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</row>
    <row r="82" spans="3:33" x14ac:dyDescent="0.2">
      <c r="C82" s="161"/>
      <c r="D82" s="161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3:33" x14ac:dyDescent="0.2">
      <c r="C83" s="161"/>
      <c r="D83" s="161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3:33" x14ac:dyDescent="0.2">
      <c r="C84" s="161"/>
      <c r="D84" s="161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3:33" x14ac:dyDescent="0.2">
      <c r="C85" s="161"/>
      <c r="D85" s="161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3:33" x14ac:dyDescent="0.2">
      <c r="C86" s="161"/>
      <c r="D86" s="161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3:33" x14ac:dyDescent="0.2">
      <c r="C87" s="161"/>
      <c r="D87" s="161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3:33" x14ac:dyDescent="0.2"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3:33" x14ac:dyDescent="0.2"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3:33" x14ac:dyDescent="0.2"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3:33" x14ac:dyDescent="0.2"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3:33" x14ac:dyDescent="0.2"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3:33" x14ac:dyDescent="0.2"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3:33" x14ac:dyDescent="0.2"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3:33" x14ac:dyDescent="0.2"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3:33" x14ac:dyDescent="0.2"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3:33" x14ac:dyDescent="0.2"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3:33" x14ac:dyDescent="0.2"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3:33" x14ac:dyDescent="0.2"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</sheetData>
  <phoneticPr fontId="0" type="noConversion"/>
  <conditionalFormatting sqref="B36">
    <cfRule type="expression" dxfId="2" priority="28" stopIfTrue="1">
      <formula>#REF!="Fixed"</formula>
    </cfRule>
  </conditionalFormatting>
  <conditionalFormatting sqref="B41">
    <cfRule type="expression" dxfId="1" priority="29" stopIfTrue="1">
      <formula>#REF!="Fixed"</formula>
    </cfRule>
  </conditionalFormatting>
  <conditionalFormatting sqref="B42">
    <cfRule type="expression" dxfId="0" priority="30" stopIfTrue="1">
      <formula>#REF!="Fixed"</formula>
    </cfRule>
  </conditionalFormatting>
  <dataValidations count="1">
    <dataValidation type="list" allowBlank="1" showInputMessage="1" showErrorMessage="1" sqref="B51">
      <formula1>"No Depreciation,5-yr MACRS,Straight Line,Custom,N/A"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74"/>
  <sheetViews>
    <sheetView zoomScaleNormal="100" workbookViewId="0">
      <pane xSplit="1" ySplit="2" topLeftCell="B33" activePane="bottomRight" state="frozen"/>
      <selection activeCell="B6" sqref="B6"/>
      <selection pane="topRight" activeCell="B6" sqref="B6"/>
      <selection pane="bottomLeft" activeCell="B6" sqref="B6"/>
      <selection pane="bottomRight" activeCell="C37" sqref="C37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9" t="s">
        <v>104</v>
      </c>
      <c r="B1" s="9"/>
      <c r="C1" s="10"/>
      <c r="D1" s="51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101" t="s">
        <v>76</v>
      </c>
      <c r="B2" s="99">
        <v>0</v>
      </c>
      <c r="C2" s="99">
        <f t="shared" ref="C2:AH2" si="0">IF(B2="","",IF(B2+1&lt;=analysis_period,B2+1,""))</f>
        <v>1</v>
      </c>
      <c r="D2" s="99">
        <f t="shared" si="0"/>
        <v>2</v>
      </c>
      <c r="E2" s="99">
        <f t="shared" si="0"/>
        <v>3</v>
      </c>
      <c r="F2" s="99">
        <f t="shared" si="0"/>
        <v>4</v>
      </c>
      <c r="G2" s="99">
        <f t="shared" si="0"/>
        <v>5</v>
      </c>
      <c r="H2" s="99">
        <f t="shared" si="0"/>
        <v>6</v>
      </c>
      <c r="I2" s="99">
        <f t="shared" si="0"/>
        <v>7</v>
      </c>
      <c r="J2" s="99">
        <f t="shared" si="0"/>
        <v>8</v>
      </c>
      <c r="K2" s="99">
        <f t="shared" si="0"/>
        <v>9</v>
      </c>
      <c r="L2" s="99">
        <f t="shared" si="0"/>
        <v>10</v>
      </c>
      <c r="M2" s="99">
        <f t="shared" si="0"/>
        <v>11</v>
      </c>
      <c r="N2" s="99">
        <f t="shared" si="0"/>
        <v>12</v>
      </c>
      <c r="O2" s="99">
        <f t="shared" si="0"/>
        <v>13</v>
      </c>
      <c r="P2" s="99">
        <f t="shared" si="0"/>
        <v>14</v>
      </c>
      <c r="Q2" s="99">
        <f t="shared" si="0"/>
        <v>15</v>
      </c>
      <c r="R2" s="99">
        <f t="shared" si="0"/>
        <v>16</v>
      </c>
      <c r="S2" s="99">
        <f t="shared" si="0"/>
        <v>17</v>
      </c>
      <c r="T2" s="99">
        <f t="shared" si="0"/>
        <v>18</v>
      </c>
      <c r="U2" s="99">
        <f t="shared" si="0"/>
        <v>19</v>
      </c>
      <c r="V2" s="99">
        <f t="shared" si="0"/>
        <v>20</v>
      </c>
      <c r="W2" s="99">
        <f t="shared" si="0"/>
        <v>21</v>
      </c>
      <c r="X2" s="99">
        <f t="shared" si="0"/>
        <v>22</v>
      </c>
      <c r="Y2" s="99">
        <f t="shared" si="0"/>
        <v>23</v>
      </c>
      <c r="Z2" s="99">
        <f t="shared" si="0"/>
        <v>24</v>
      </c>
      <c r="AA2" s="99">
        <f t="shared" si="0"/>
        <v>25</v>
      </c>
      <c r="AB2" s="99" t="str">
        <f t="shared" si="0"/>
        <v/>
      </c>
      <c r="AC2" s="99" t="str">
        <f t="shared" si="0"/>
        <v/>
      </c>
      <c r="AD2" s="99" t="str">
        <f t="shared" si="0"/>
        <v/>
      </c>
      <c r="AE2" s="99" t="str">
        <f t="shared" si="0"/>
        <v/>
      </c>
      <c r="AF2" s="99" t="str">
        <f t="shared" si="0"/>
        <v/>
      </c>
      <c r="AG2" s="99" t="str">
        <f t="shared" si="0"/>
        <v/>
      </c>
      <c r="AH2" s="99" t="str">
        <f t="shared" si="0"/>
        <v/>
      </c>
      <c r="AI2" s="99" t="str">
        <f t="shared" ref="AI2:BN2" si="1">IF(AH2="","",IF(AH2+1&lt;=analysis_period,AH2+1,""))</f>
        <v/>
      </c>
      <c r="AJ2" s="99" t="str">
        <f t="shared" si="1"/>
        <v/>
      </c>
      <c r="AK2" s="99" t="str">
        <f t="shared" si="1"/>
        <v/>
      </c>
      <c r="AL2" s="99" t="str">
        <f t="shared" si="1"/>
        <v/>
      </c>
      <c r="AM2" s="99" t="str">
        <f t="shared" si="1"/>
        <v/>
      </c>
      <c r="AN2" s="99" t="str">
        <f t="shared" si="1"/>
        <v/>
      </c>
      <c r="AO2" s="99" t="str">
        <f t="shared" si="1"/>
        <v/>
      </c>
      <c r="AP2" s="99" t="str">
        <f t="shared" si="1"/>
        <v/>
      </c>
      <c r="AQ2" s="99" t="str">
        <f t="shared" si="1"/>
        <v/>
      </c>
      <c r="AR2" s="99" t="str">
        <f t="shared" si="1"/>
        <v/>
      </c>
      <c r="AS2" s="99" t="str">
        <f t="shared" si="1"/>
        <v/>
      </c>
      <c r="AT2" s="99" t="str">
        <f t="shared" si="1"/>
        <v/>
      </c>
      <c r="AU2" s="99" t="str">
        <f t="shared" si="1"/>
        <v/>
      </c>
      <c r="AV2" s="99" t="str">
        <f t="shared" si="1"/>
        <v/>
      </c>
      <c r="AW2" s="99" t="str">
        <f t="shared" si="1"/>
        <v/>
      </c>
      <c r="AX2" s="99" t="str">
        <f t="shared" si="1"/>
        <v/>
      </c>
      <c r="AY2" s="99" t="str">
        <f t="shared" si="1"/>
        <v/>
      </c>
      <c r="AZ2" s="99" t="str">
        <f t="shared" si="1"/>
        <v/>
      </c>
      <c r="BA2" s="99" t="str">
        <f t="shared" si="1"/>
        <v/>
      </c>
      <c r="BB2" s="99" t="str">
        <f t="shared" si="1"/>
        <v/>
      </c>
      <c r="BC2" s="99" t="str">
        <f t="shared" si="1"/>
        <v/>
      </c>
      <c r="BD2" s="99" t="str">
        <f t="shared" si="1"/>
        <v/>
      </c>
      <c r="BE2" s="99" t="str">
        <f t="shared" si="1"/>
        <v/>
      </c>
      <c r="BF2" s="99" t="str">
        <f t="shared" si="1"/>
        <v/>
      </c>
      <c r="BG2" s="99" t="str">
        <f t="shared" si="1"/>
        <v/>
      </c>
      <c r="BH2" s="99" t="str">
        <f t="shared" si="1"/>
        <v/>
      </c>
      <c r="BI2" s="99" t="str">
        <f t="shared" si="1"/>
        <v/>
      </c>
      <c r="BJ2" s="99" t="str">
        <f t="shared" si="1"/>
        <v/>
      </c>
      <c r="BK2" s="99" t="str">
        <f t="shared" si="1"/>
        <v/>
      </c>
      <c r="BL2" s="99" t="str">
        <f t="shared" si="1"/>
        <v/>
      </c>
      <c r="BM2" s="99" t="str">
        <f t="shared" si="1"/>
        <v/>
      </c>
      <c r="BN2" s="99" t="str">
        <f t="shared" si="1"/>
        <v/>
      </c>
      <c r="BO2" s="99" t="str">
        <f t="shared" ref="BO2:CX2" si="2">IF(BN2="","",IF(BN2+1&lt;=analysis_period,BN2+1,""))</f>
        <v/>
      </c>
      <c r="BP2" s="99" t="str">
        <f t="shared" si="2"/>
        <v/>
      </c>
      <c r="BQ2" s="99" t="str">
        <f t="shared" si="2"/>
        <v/>
      </c>
      <c r="BR2" s="99" t="str">
        <f t="shared" si="2"/>
        <v/>
      </c>
      <c r="BS2" s="99" t="str">
        <f t="shared" si="2"/>
        <v/>
      </c>
      <c r="BT2" s="99" t="str">
        <f t="shared" si="2"/>
        <v/>
      </c>
      <c r="BU2" s="99" t="str">
        <f t="shared" si="2"/>
        <v/>
      </c>
      <c r="BV2" s="99" t="str">
        <f t="shared" si="2"/>
        <v/>
      </c>
      <c r="BW2" s="99" t="str">
        <f t="shared" si="2"/>
        <v/>
      </c>
      <c r="BX2" s="99" t="str">
        <f t="shared" si="2"/>
        <v/>
      </c>
      <c r="BY2" s="99" t="str">
        <f t="shared" si="2"/>
        <v/>
      </c>
      <c r="BZ2" s="99" t="str">
        <f t="shared" si="2"/>
        <v/>
      </c>
      <c r="CA2" s="99" t="str">
        <f t="shared" si="2"/>
        <v/>
      </c>
      <c r="CB2" s="99" t="str">
        <f t="shared" si="2"/>
        <v/>
      </c>
      <c r="CC2" s="99" t="str">
        <f t="shared" si="2"/>
        <v/>
      </c>
      <c r="CD2" s="99" t="str">
        <f t="shared" si="2"/>
        <v/>
      </c>
      <c r="CE2" s="99" t="str">
        <f t="shared" si="2"/>
        <v/>
      </c>
      <c r="CF2" s="99" t="str">
        <f t="shared" si="2"/>
        <v/>
      </c>
      <c r="CG2" s="99" t="str">
        <f t="shared" si="2"/>
        <v/>
      </c>
      <c r="CH2" s="99" t="str">
        <f t="shared" si="2"/>
        <v/>
      </c>
      <c r="CI2" s="99" t="str">
        <f t="shared" si="2"/>
        <v/>
      </c>
      <c r="CJ2" s="99" t="str">
        <f t="shared" si="2"/>
        <v/>
      </c>
      <c r="CK2" s="99" t="str">
        <f t="shared" si="2"/>
        <v/>
      </c>
      <c r="CL2" s="99" t="str">
        <f t="shared" si="2"/>
        <v/>
      </c>
      <c r="CM2" s="99" t="str">
        <f t="shared" si="2"/>
        <v/>
      </c>
      <c r="CN2" s="99" t="str">
        <f t="shared" si="2"/>
        <v/>
      </c>
      <c r="CO2" s="99" t="str">
        <f t="shared" si="2"/>
        <v/>
      </c>
      <c r="CP2" s="99" t="str">
        <f t="shared" si="2"/>
        <v/>
      </c>
      <c r="CQ2" s="99" t="str">
        <f t="shared" si="2"/>
        <v/>
      </c>
      <c r="CR2" s="99" t="str">
        <f t="shared" si="2"/>
        <v/>
      </c>
      <c r="CS2" s="99" t="str">
        <f t="shared" si="2"/>
        <v/>
      </c>
      <c r="CT2" s="99" t="str">
        <f t="shared" si="2"/>
        <v/>
      </c>
      <c r="CU2" s="99" t="str">
        <f t="shared" si="2"/>
        <v/>
      </c>
      <c r="CV2" s="99" t="str">
        <f t="shared" si="2"/>
        <v/>
      </c>
      <c r="CW2" s="99" t="str">
        <f t="shared" si="2"/>
        <v/>
      </c>
      <c r="CX2" s="99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101" t="s">
        <v>78</v>
      </c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99"/>
      <c r="CF4" s="99"/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100"/>
    </row>
    <row r="5" spans="1:102" x14ac:dyDescent="0.2">
      <c r="A5" s="59" t="s">
        <v>79</v>
      </c>
      <c r="B5" s="95">
        <f t="array" ref="B5:CX5">'Inputs and Outputs'!B55:CX55</f>
        <v>0</v>
      </c>
      <c r="C5" s="95">
        <v>411626</v>
      </c>
      <c r="D5" s="95">
        <v>409567.87</v>
      </c>
      <c r="E5" s="95">
        <v>407520.03064999997</v>
      </c>
      <c r="F5" s="95">
        <v>405482.43049674999</v>
      </c>
      <c r="G5" s="95">
        <v>403455.01834426622</v>
      </c>
      <c r="H5" s="95">
        <v>401437.7432525449</v>
      </c>
      <c r="I5" s="95">
        <v>399430.55453628214</v>
      </c>
      <c r="J5" s="95">
        <v>397433.4017636007</v>
      </c>
      <c r="K5" s="95">
        <v>395446.23475478269</v>
      </c>
      <c r="L5" s="95">
        <v>393469.00358100876</v>
      </c>
      <c r="M5" s="95">
        <v>391501.6585631037</v>
      </c>
      <c r="N5" s="95">
        <v>389544.15027028817</v>
      </c>
      <c r="O5" s="95">
        <v>387596.42951893673</v>
      </c>
      <c r="P5" s="95">
        <v>385658.44737134204</v>
      </c>
      <c r="Q5" s="95">
        <v>383730.15513448534</v>
      </c>
      <c r="R5" s="95">
        <v>381811.50435881293</v>
      </c>
      <c r="S5" s="95">
        <v>379902.44683701888</v>
      </c>
      <c r="T5" s="95">
        <v>378002.93460283376</v>
      </c>
      <c r="U5" s="95">
        <v>376112.91992981959</v>
      </c>
      <c r="V5" s="95">
        <v>374232.35533017048</v>
      </c>
      <c r="W5" s="95">
        <v>372361.19355351961</v>
      </c>
      <c r="X5" s="95">
        <v>370499.387585752</v>
      </c>
      <c r="Y5" s="95">
        <v>368646.89064782322</v>
      </c>
      <c r="Z5" s="95">
        <v>366803.65619458409</v>
      </c>
      <c r="AA5" s="95">
        <v>364969.63791361119</v>
      </c>
      <c r="AB5" s="95" t="str">
        <v/>
      </c>
      <c r="AC5" s="95" t="str">
        <v/>
      </c>
      <c r="AD5" s="95" t="str">
        <v/>
      </c>
      <c r="AE5" s="95" t="str">
        <v/>
      </c>
      <c r="AF5" s="95" t="str">
        <v/>
      </c>
      <c r="AG5" s="95" t="str">
        <v/>
      </c>
      <c r="AH5" s="95" t="str">
        <v/>
      </c>
      <c r="AI5" s="95" t="str">
        <v/>
      </c>
      <c r="AJ5" s="95" t="str">
        <v/>
      </c>
      <c r="AK5" s="95" t="str">
        <v/>
      </c>
      <c r="AL5" s="95" t="str">
        <v/>
      </c>
      <c r="AM5" s="95" t="str">
        <v/>
      </c>
      <c r="AN5" s="95" t="str">
        <v/>
      </c>
      <c r="AO5" s="95" t="str">
        <v/>
      </c>
      <c r="AP5" s="95" t="str">
        <v/>
      </c>
      <c r="AQ5" s="95" t="str">
        <v/>
      </c>
      <c r="AR5" s="95" t="str">
        <v/>
      </c>
      <c r="AS5" s="95" t="str">
        <v/>
      </c>
      <c r="AT5" s="95" t="str">
        <v/>
      </c>
      <c r="AU5" s="95" t="str">
        <v/>
      </c>
      <c r="AV5" s="95" t="str">
        <v/>
      </c>
      <c r="AW5" s="95" t="str">
        <v/>
      </c>
      <c r="AX5" s="95" t="str">
        <v/>
      </c>
      <c r="AY5" s="95" t="str">
        <v/>
      </c>
      <c r="AZ5" s="95" t="str">
        <v/>
      </c>
      <c r="BA5" s="95" t="str">
        <v/>
      </c>
      <c r="BB5" s="95" t="str">
        <v/>
      </c>
      <c r="BC5" s="95" t="str">
        <v/>
      </c>
      <c r="BD5" s="95" t="str">
        <v/>
      </c>
      <c r="BE5" s="95" t="str">
        <v/>
      </c>
      <c r="BF5" s="95" t="str">
        <v/>
      </c>
      <c r="BG5" s="95" t="str">
        <v/>
      </c>
      <c r="BH5" s="95" t="str">
        <v/>
      </c>
      <c r="BI5" s="95" t="str">
        <v/>
      </c>
      <c r="BJ5" s="95" t="str">
        <v/>
      </c>
      <c r="BK5" s="95" t="str">
        <v/>
      </c>
      <c r="BL5" s="95" t="str">
        <v/>
      </c>
      <c r="BM5" s="95" t="str">
        <v/>
      </c>
      <c r="BN5" s="95" t="str">
        <v/>
      </c>
      <c r="BO5" s="95" t="str">
        <v/>
      </c>
      <c r="BP5" s="95" t="str">
        <v/>
      </c>
      <c r="BQ5" s="95" t="str">
        <v/>
      </c>
      <c r="BR5" s="95" t="str">
        <v/>
      </c>
      <c r="BS5" s="95" t="str">
        <v/>
      </c>
      <c r="BT5" s="95" t="str">
        <v/>
      </c>
      <c r="BU5" s="95" t="str">
        <v/>
      </c>
      <c r="BV5" s="95" t="str">
        <v/>
      </c>
      <c r="BW5" s="95" t="str">
        <v/>
      </c>
      <c r="BX5" s="95" t="str">
        <v/>
      </c>
      <c r="BY5" s="95" t="str">
        <v/>
      </c>
      <c r="BZ5" s="95" t="str">
        <v/>
      </c>
      <c r="CA5" s="95" t="str">
        <v/>
      </c>
      <c r="CB5" s="95" t="str">
        <v/>
      </c>
      <c r="CC5" s="95" t="str">
        <v/>
      </c>
      <c r="CD5" s="95" t="str">
        <v/>
      </c>
      <c r="CE5" s="95" t="str">
        <v/>
      </c>
      <c r="CF5" s="95" t="str">
        <v/>
      </c>
      <c r="CG5" s="95" t="str">
        <v/>
      </c>
      <c r="CH5" s="95" t="str">
        <v/>
      </c>
      <c r="CI5" s="95" t="str">
        <v/>
      </c>
      <c r="CJ5" s="95" t="str">
        <v/>
      </c>
      <c r="CK5" s="95" t="str">
        <v/>
      </c>
      <c r="CL5" s="95" t="str">
        <v/>
      </c>
      <c r="CM5" s="95" t="str">
        <v/>
      </c>
      <c r="CN5" s="95" t="str">
        <v/>
      </c>
      <c r="CO5" s="95" t="str">
        <v/>
      </c>
      <c r="CP5" s="95" t="str">
        <v/>
      </c>
      <c r="CQ5" s="95" t="str">
        <v/>
      </c>
      <c r="CR5" s="95" t="str">
        <v/>
      </c>
      <c r="CS5" s="95" t="str">
        <v/>
      </c>
      <c r="CT5" s="95" t="str">
        <v/>
      </c>
      <c r="CU5" s="95" t="str">
        <v/>
      </c>
      <c r="CV5" s="95" t="str">
        <v/>
      </c>
      <c r="CW5" s="95" t="str">
        <v/>
      </c>
      <c r="CX5" s="95" t="str">
        <v/>
      </c>
    </row>
    <row r="6" spans="1:102" x14ac:dyDescent="0.2">
      <c r="A6" s="59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</row>
    <row r="7" spans="1:102" x14ac:dyDescent="0.2">
      <c r="A7" s="101" t="s">
        <v>77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 s="102"/>
      <c r="CX7" s="103"/>
    </row>
    <row r="8" spans="1:102" x14ac:dyDescent="0.2">
      <c r="A8" s="60" t="s">
        <v>39</v>
      </c>
      <c r="B8" s="79">
        <f t="array" ref="B8:CX8">'Inputs and Outputs'!B59:CX59</f>
        <v>0</v>
      </c>
      <c r="C8" s="79">
        <v>53315</v>
      </c>
      <c r="D8" s="79">
        <v>54327.749999999884</v>
      </c>
      <c r="E8" s="79">
        <v>55359.957104999921</v>
      </c>
      <c r="F8" s="79">
        <v>56411.99856846442</v>
      </c>
      <c r="G8" s="79">
        <v>57484.259011786547</v>
      </c>
      <c r="H8" s="79">
        <v>58577.130569007248</v>
      </c>
      <c r="I8" s="79">
        <v>59691.013034389471</v>
      </c>
      <c r="J8" s="79">
        <v>60826.314012903953</v>
      </c>
      <c r="K8" s="79">
        <v>61983.449073684285</v>
      </c>
      <c r="L8" s="79">
        <v>63162.841906510061</v>
      </c>
      <c r="M8" s="79">
        <v>64364.924481377471</v>
      </c>
      <c r="N8" s="79">
        <v>65590.137211219524</v>
      </c>
      <c r="O8" s="79">
        <v>66838.929117837804</v>
      </c>
      <c r="P8" s="79">
        <v>68111.758001107955</v>
      </c>
      <c r="Q8" s="79">
        <v>69409.090611527208</v>
      </c>
      <c r="R8" s="79">
        <v>70731.402826165897</v>
      </c>
      <c r="S8" s="79">
        <v>72079.179828092922</v>
      </c>
      <c r="T8" s="79">
        <v>73452.916289345128</v>
      </c>
      <c r="U8" s="79">
        <v>74853.116557505913</v>
      </c>
      <c r="V8" s="79">
        <v>76280.294845971512</v>
      </c>
      <c r="W8" s="79">
        <v>77734.975427970756</v>
      </c>
      <c r="X8" s="79">
        <v>79217.692834417569</v>
      </c>
      <c r="Y8" s="79">
        <v>80728.992055671755</v>
      </c>
      <c r="Z8" s="79">
        <v>82269.428747282829</v>
      </c>
      <c r="AA8" s="79">
        <v>83839.569439798826</v>
      </c>
      <c r="AB8" s="79" t="str">
        <v/>
      </c>
      <c r="AC8" s="79" t="str">
        <v/>
      </c>
      <c r="AD8" s="79" t="str">
        <v/>
      </c>
      <c r="AE8" s="79" t="str">
        <v/>
      </c>
      <c r="AF8" s="79" t="str">
        <v/>
      </c>
      <c r="AG8" s="79" t="str">
        <v/>
      </c>
      <c r="AH8" s="79" t="str">
        <v/>
      </c>
      <c r="AI8" s="79" t="str">
        <v/>
      </c>
      <c r="AJ8" s="79" t="str">
        <v/>
      </c>
      <c r="AK8" s="79" t="str">
        <v/>
      </c>
      <c r="AL8" s="79" t="str">
        <v/>
      </c>
      <c r="AM8" s="79" t="str">
        <v/>
      </c>
      <c r="AN8" s="79" t="str">
        <v/>
      </c>
      <c r="AO8" s="79" t="str">
        <v/>
      </c>
      <c r="AP8" s="79" t="str">
        <v/>
      </c>
      <c r="AQ8" s="79" t="str">
        <v/>
      </c>
      <c r="AR8" s="79" t="str">
        <v/>
      </c>
      <c r="AS8" s="79" t="str">
        <v/>
      </c>
      <c r="AT8" s="79" t="str">
        <v/>
      </c>
      <c r="AU8" s="79" t="str">
        <v/>
      </c>
      <c r="AV8" s="79" t="str">
        <v/>
      </c>
      <c r="AW8" s="79" t="str">
        <v/>
      </c>
      <c r="AX8" s="79" t="str">
        <v/>
      </c>
      <c r="AY8" s="79" t="str">
        <v/>
      </c>
      <c r="AZ8" s="79" t="str">
        <v/>
      </c>
      <c r="BA8" s="79" t="str">
        <v/>
      </c>
      <c r="BB8" s="79" t="str">
        <v/>
      </c>
      <c r="BC8" s="79" t="str">
        <v/>
      </c>
      <c r="BD8" s="79" t="str">
        <v/>
      </c>
      <c r="BE8" s="79" t="str">
        <v/>
      </c>
      <c r="BF8" s="79" t="str">
        <v/>
      </c>
      <c r="BG8" s="79" t="str">
        <v/>
      </c>
      <c r="BH8" s="79" t="str">
        <v/>
      </c>
      <c r="BI8" s="79" t="str">
        <v/>
      </c>
      <c r="BJ8" s="79" t="str">
        <v/>
      </c>
      <c r="BK8" s="79" t="str">
        <v/>
      </c>
      <c r="BL8" s="79" t="str">
        <v/>
      </c>
      <c r="BM8" s="79" t="str">
        <v/>
      </c>
      <c r="BN8" s="79" t="str">
        <v/>
      </c>
      <c r="BO8" s="79" t="str">
        <v/>
      </c>
      <c r="BP8" s="79" t="str">
        <v/>
      </c>
      <c r="BQ8" s="79" t="str">
        <v/>
      </c>
      <c r="BR8" s="79" t="str">
        <v/>
      </c>
      <c r="BS8" s="79" t="str">
        <v/>
      </c>
      <c r="BT8" s="79" t="str">
        <v/>
      </c>
      <c r="BU8" s="79" t="str">
        <v/>
      </c>
      <c r="BV8" s="79" t="str">
        <v/>
      </c>
      <c r="BW8" s="79" t="str">
        <v/>
      </c>
      <c r="BX8" s="79" t="str">
        <v/>
      </c>
      <c r="BY8" s="79" t="str">
        <v/>
      </c>
      <c r="BZ8" s="79" t="str">
        <v/>
      </c>
      <c r="CA8" s="79" t="str">
        <v/>
      </c>
      <c r="CB8" s="79" t="str">
        <v/>
      </c>
      <c r="CC8" s="79" t="str">
        <v/>
      </c>
      <c r="CD8" s="79" t="str">
        <v/>
      </c>
      <c r="CE8" s="79" t="str">
        <v/>
      </c>
      <c r="CF8" s="79" t="str">
        <v/>
      </c>
      <c r="CG8" s="79" t="str">
        <v/>
      </c>
      <c r="CH8" s="79" t="str">
        <v/>
      </c>
      <c r="CI8" s="79" t="str">
        <v/>
      </c>
      <c r="CJ8" s="79" t="str">
        <v/>
      </c>
      <c r="CK8" s="79" t="str">
        <v/>
      </c>
      <c r="CL8" s="79" t="str">
        <v/>
      </c>
      <c r="CM8" s="79" t="str">
        <v/>
      </c>
      <c r="CN8" s="79" t="str">
        <v/>
      </c>
      <c r="CO8" s="79" t="str">
        <v/>
      </c>
      <c r="CP8" s="79" t="str">
        <v/>
      </c>
      <c r="CQ8" s="79" t="str">
        <v/>
      </c>
      <c r="CR8" s="79" t="str">
        <v/>
      </c>
      <c r="CS8" s="79" t="str">
        <v/>
      </c>
      <c r="CT8" s="79" t="str">
        <v/>
      </c>
      <c r="CU8" s="79" t="str">
        <v/>
      </c>
      <c r="CV8" s="79" t="str">
        <v/>
      </c>
      <c r="CW8" s="79" t="str">
        <v/>
      </c>
      <c r="CX8" s="79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4" t="s">
        <v>80</v>
      </c>
      <c r="B10" s="61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2"/>
      <c r="CB10" s="62"/>
      <c r="CC10" s="62"/>
      <c r="CD10" s="62"/>
      <c r="CE10" s="62"/>
      <c r="CF10" s="62"/>
      <c r="CG10" s="62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3"/>
    </row>
    <row r="11" spans="1:102" s="2" customFormat="1" x14ac:dyDescent="0.2">
      <c r="A11" s="59" t="s">
        <v>26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5" t="s">
        <v>30</v>
      </c>
      <c r="B12" s="16"/>
      <c r="C12" s="79">
        <f t="shared" ref="C12:AA12" si="3">IF(AND(ISNUMBER(outYear),ISNUMBER(om_capacity)),om_capacity*(1+inflation_rate/100+escalation_rate/100)^B2*system_capacity,"")</f>
        <v>4391.72</v>
      </c>
      <c r="D12" s="79">
        <f t="shared" si="3"/>
        <v>4479.5544</v>
      </c>
      <c r="E12" s="79">
        <f t="shared" si="3"/>
        <v>4569.1454880000001</v>
      </c>
      <c r="F12" s="79">
        <f t="shared" si="3"/>
        <v>4660.5283977600002</v>
      </c>
      <c r="G12" s="79">
        <f t="shared" si="3"/>
        <v>4753.7389657151998</v>
      </c>
      <c r="H12" s="79">
        <f t="shared" si="3"/>
        <v>4848.8137450295044</v>
      </c>
      <c r="I12" s="79">
        <f t="shared" si="3"/>
        <v>4945.7900199300948</v>
      </c>
      <c r="J12" s="79">
        <f t="shared" si="3"/>
        <v>5044.7058203286961</v>
      </c>
      <c r="K12" s="79">
        <f t="shared" si="3"/>
        <v>5145.5999367352697</v>
      </c>
      <c r="L12" s="79">
        <f t="shared" si="3"/>
        <v>5248.5119354699755</v>
      </c>
      <c r="M12" s="79">
        <f t="shared" si="3"/>
        <v>5353.4821741793758</v>
      </c>
      <c r="N12" s="79">
        <f t="shared" si="3"/>
        <v>5460.5518176629621</v>
      </c>
      <c r="O12" s="79">
        <f t="shared" si="3"/>
        <v>5569.7628540162214</v>
      </c>
      <c r="P12" s="79">
        <f t="shared" si="3"/>
        <v>5681.1581110965462</v>
      </c>
      <c r="Q12" s="79">
        <f t="shared" si="3"/>
        <v>5794.7812733184765</v>
      </c>
      <c r="R12" s="79">
        <f t="shared" si="3"/>
        <v>5910.6768987848445</v>
      </c>
      <c r="S12" s="79">
        <f t="shared" si="3"/>
        <v>6028.8904367605428</v>
      </c>
      <c r="T12" s="79">
        <f t="shared" si="3"/>
        <v>6149.4682454957547</v>
      </c>
      <c r="U12" s="79">
        <f t="shared" si="3"/>
        <v>6272.4576104056687</v>
      </c>
      <c r="V12" s="79">
        <f t="shared" si="3"/>
        <v>6397.9067626137821</v>
      </c>
      <c r="W12" s="79">
        <f t="shared" si="3"/>
        <v>6525.8648978660585</v>
      </c>
      <c r="X12" s="79">
        <f t="shared" si="3"/>
        <v>6656.3821958233793</v>
      </c>
      <c r="Y12" s="79">
        <f t="shared" si="3"/>
        <v>6789.5098397398469</v>
      </c>
      <c r="Z12" s="79">
        <f t="shared" si="3"/>
        <v>6925.3000365346425</v>
      </c>
      <c r="AA12" s="79">
        <f t="shared" si="3"/>
        <v>7063.8060372653363</v>
      </c>
      <c r="AB12" s="79" t="str">
        <f t="shared" ref="AB12:BG12" si="4">IF(AND(ISNUMBER(outYear),ISNUMBER(om_capacity)),om_capacity*(1+inflation_rate/100+om_capacity_escal/100)^AA2*system_capacity,"")</f>
        <v/>
      </c>
      <c r="AC12" s="79" t="str">
        <f t="shared" si="4"/>
        <v/>
      </c>
      <c r="AD12" s="79" t="str">
        <f t="shared" si="4"/>
        <v/>
      </c>
      <c r="AE12" s="79" t="str">
        <f t="shared" si="4"/>
        <v/>
      </c>
      <c r="AF12" s="79" t="str">
        <f t="shared" si="4"/>
        <v/>
      </c>
      <c r="AG12" s="79" t="str">
        <f t="shared" si="4"/>
        <v/>
      </c>
      <c r="AH12" s="79" t="str">
        <f t="shared" si="4"/>
        <v/>
      </c>
      <c r="AI12" s="79" t="str">
        <f t="shared" si="4"/>
        <v/>
      </c>
      <c r="AJ12" s="79" t="str">
        <f t="shared" si="4"/>
        <v/>
      </c>
      <c r="AK12" s="79" t="str">
        <f t="shared" si="4"/>
        <v/>
      </c>
      <c r="AL12" s="79" t="str">
        <f t="shared" si="4"/>
        <v/>
      </c>
      <c r="AM12" s="79" t="str">
        <f t="shared" si="4"/>
        <v/>
      </c>
      <c r="AN12" s="79" t="str">
        <f t="shared" si="4"/>
        <v/>
      </c>
      <c r="AO12" s="79" t="str">
        <f t="shared" si="4"/>
        <v/>
      </c>
      <c r="AP12" s="79" t="str">
        <f t="shared" si="4"/>
        <v/>
      </c>
      <c r="AQ12" s="79" t="str">
        <f t="shared" si="4"/>
        <v/>
      </c>
      <c r="AR12" s="79" t="str">
        <f t="shared" si="4"/>
        <v/>
      </c>
      <c r="AS12" s="79" t="str">
        <f t="shared" si="4"/>
        <v/>
      </c>
      <c r="AT12" s="79" t="str">
        <f t="shared" si="4"/>
        <v/>
      </c>
      <c r="AU12" s="79" t="str">
        <f t="shared" si="4"/>
        <v/>
      </c>
      <c r="AV12" s="79" t="str">
        <f t="shared" si="4"/>
        <v/>
      </c>
      <c r="AW12" s="79" t="str">
        <f t="shared" si="4"/>
        <v/>
      </c>
      <c r="AX12" s="79" t="str">
        <f t="shared" si="4"/>
        <v/>
      </c>
      <c r="AY12" s="79" t="str">
        <f t="shared" si="4"/>
        <v/>
      </c>
      <c r="AZ12" s="79" t="str">
        <f t="shared" si="4"/>
        <v/>
      </c>
      <c r="BA12" s="79" t="str">
        <f t="shared" si="4"/>
        <v/>
      </c>
      <c r="BB12" s="79" t="str">
        <f t="shared" si="4"/>
        <v/>
      </c>
      <c r="BC12" s="79" t="str">
        <f t="shared" si="4"/>
        <v/>
      </c>
      <c r="BD12" s="79" t="str">
        <f t="shared" si="4"/>
        <v/>
      </c>
      <c r="BE12" s="79" t="str">
        <f t="shared" si="4"/>
        <v/>
      </c>
      <c r="BF12" s="79" t="str">
        <f t="shared" si="4"/>
        <v/>
      </c>
      <c r="BG12" s="79" t="str">
        <f t="shared" si="4"/>
        <v/>
      </c>
      <c r="BH12" s="79" t="str">
        <f t="shared" ref="BH12:CM12" si="5">IF(AND(ISNUMBER(outYear),ISNUMBER(om_capacity)),om_capacity*(1+inflation_rate/100+om_capacity_escal/100)^BG2*system_capacity,"")</f>
        <v/>
      </c>
      <c r="BI12" s="79" t="str">
        <f t="shared" si="5"/>
        <v/>
      </c>
      <c r="BJ12" s="79" t="str">
        <f t="shared" si="5"/>
        <v/>
      </c>
      <c r="BK12" s="79" t="str">
        <f t="shared" si="5"/>
        <v/>
      </c>
      <c r="BL12" s="79" t="str">
        <f t="shared" si="5"/>
        <v/>
      </c>
      <c r="BM12" s="79" t="str">
        <f t="shared" si="5"/>
        <v/>
      </c>
      <c r="BN12" s="79" t="str">
        <f t="shared" si="5"/>
        <v/>
      </c>
      <c r="BO12" s="79" t="str">
        <f t="shared" si="5"/>
        <v/>
      </c>
      <c r="BP12" s="79" t="str">
        <f t="shared" si="5"/>
        <v/>
      </c>
      <c r="BQ12" s="79" t="str">
        <f t="shared" si="5"/>
        <v/>
      </c>
      <c r="BR12" s="79" t="str">
        <f t="shared" si="5"/>
        <v/>
      </c>
      <c r="BS12" s="79" t="str">
        <f t="shared" si="5"/>
        <v/>
      </c>
      <c r="BT12" s="79" t="str">
        <f t="shared" si="5"/>
        <v/>
      </c>
      <c r="BU12" s="79" t="str">
        <f t="shared" si="5"/>
        <v/>
      </c>
      <c r="BV12" s="79" t="str">
        <f t="shared" si="5"/>
        <v/>
      </c>
      <c r="BW12" s="79" t="str">
        <f t="shared" si="5"/>
        <v/>
      </c>
      <c r="BX12" s="79" t="str">
        <f t="shared" si="5"/>
        <v/>
      </c>
      <c r="BY12" s="79" t="str">
        <f t="shared" si="5"/>
        <v/>
      </c>
      <c r="BZ12" s="79" t="str">
        <f t="shared" si="5"/>
        <v/>
      </c>
      <c r="CA12" s="79" t="str">
        <f t="shared" si="5"/>
        <v/>
      </c>
      <c r="CB12" s="79" t="str">
        <f t="shared" si="5"/>
        <v/>
      </c>
      <c r="CC12" s="79" t="str">
        <f t="shared" si="5"/>
        <v/>
      </c>
      <c r="CD12" s="79" t="str">
        <f t="shared" si="5"/>
        <v/>
      </c>
      <c r="CE12" s="79" t="str">
        <f t="shared" si="5"/>
        <v/>
      </c>
      <c r="CF12" s="79" t="str">
        <f t="shared" si="5"/>
        <v/>
      </c>
      <c r="CG12" s="79" t="str">
        <f t="shared" si="5"/>
        <v/>
      </c>
      <c r="CH12" s="79" t="str">
        <f t="shared" si="5"/>
        <v/>
      </c>
      <c r="CI12" s="79" t="str">
        <f t="shared" si="5"/>
        <v/>
      </c>
      <c r="CJ12" s="79" t="str">
        <f t="shared" si="5"/>
        <v/>
      </c>
      <c r="CK12" s="79" t="str">
        <f t="shared" si="5"/>
        <v/>
      </c>
      <c r="CL12" s="79" t="str">
        <f t="shared" si="5"/>
        <v/>
      </c>
      <c r="CM12" s="79" t="str">
        <f t="shared" si="5"/>
        <v/>
      </c>
      <c r="CN12" s="79" t="str">
        <f t="shared" ref="CN12:CX12" si="6">IF(AND(ISNUMBER(outYear),ISNUMBER(om_capacity)),om_capacity*(1+inflation_rate/100+om_capacity_escal/100)^CM2*system_capacity,"")</f>
        <v/>
      </c>
      <c r="CO12" s="79" t="str">
        <f t="shared" si="6"/>
        <v/>
      </c>
      <c r="CP12" s="79" t="str">
        <f t="shared" si="6"/>
        <v/>
      </c>
      <c r="CQ12" s="79" t="str">
        <f t="shared" si="6"/>
        <v/>
      </c>
      <c r="CR12" s="79" t="str">
        <f t="shared" si="6"/>
        <v/>
      </c>
      <c r="CS12" s="79" t="str">
        <f t="shared" si="6"/>
        <v/>
      </c>
      <c r="CT12" s="79" t="str">
        <f t="shared" si="6"/>
        <v/>
      </c>
      <c r="CU12" s="79" t="str">
        <f t="shared" si="6"/>
        <v/>
      </c>
      <c r="CV12" s="79" t="str">
        <f t="shared" si="6"/>
        <v/>
      </c>
      <c r="CW12" s="79" t="str">
        <f t="shared" si="6"/>
        <v/>
      </c>
      <c r="CX12" s="79" t="str">
        <f t="shared" si="6"/>
        <v/>
      </c>
    </row>
    <row r="13" spans="1:102" s="2" customFormat="1" x14ac:dyDescent="0.2">
      <c r="A13" s="65" t="s">
        <v>99</v>
      </c>
      <c r="B13" s="16"/>
      <c r="C13" s="79">
        <f t="shared" ref="C13:AA13" si="7">IF(EXACT(batt_repl_kw_year,C2), IF(AND(ISNUMBER(outYear),ISNUMBER(batt_repl_cost_kw)),(batt_kw * batt_repl_cost_kw)*(1+inflation_rate/100+escalation_rate/100)^B2,""), 0)</f>
        <v>0</v>
      </c>
      <c r="D13" s="79">
        <f t="shared" si="7"/>
        <v>0</v>
      </c>
      <c r="E13" s="79">
        <f t="shared" si="7"/>
        <v>0</v>
      </c>
      <c r="F13" s="79">
        <f t="shared" si="7"/>
        <v>0</v>
      </c>
      <c r="G13" s="79">
        <f t="shared" si="7"/>
        <v>0</v>
      </c>
      <c r="H13" s="79">
        <f t="shared" si="7"/>
        <v>0</v>
      </c>
      <c r="I13" s="79">
        <f t="shared" si="7"/>
        <v>0</v>
      </c>
      <c r="J13" s="79">
        <f t="shared" si="7"/>
        <v>0</v>
      </c>
      <c r="K13" s="79">
        <f t="shared" si="7"/>
        <v>0</v>
      </c>
      <c r="L13" s="79">
        <f>IF(EXACT(batt_repl_kw_year,L2), IF(AND(ISNUMBER(outYear),ISNUMBER(batt_repl_cost_kw)),(batt_kw * batt_repl_cost_kw)*(1+inflation_rate/100+escalation_rate/100)^K2,""), 0)</f>
        <v>59754.62843111554</v>
      </c>
      <c r="M13" s="79">
        <f t="shared" si="7"/>
        <v>0</v>
      </c>
      <c r="N13" s="79">
        <f t="shared" si="7"/>
        <v>0</v>
      </c>
      <c r="O13" s="79">
        <f t="shared" si="7"/>
        <v>0</v>
      </c>
      <c r="P13" s="79">
        <f t="shared" si="7"/>
        <v>0</v>
      </c>
      <c r="Q13" s="79">
        <f t="shared" si="7"/>
        <v>0</v>
      </c>
      <c r="R13" s="79">
        <f t="shared" si="7"/>
        <v>0</v>
      </c>
      <c r="S13" s="79">
        <f t="shared" si="7"/>
        <v>0</v>
      </c>
      <c r="T13" s="79">
        <f t="shared" si="7"/>
        <v>0</v>
      </c>
      <c r="U13" s="79">
        <f t="shared" si="7"/>
        <v>0</v>
      </c>
      <c r="V13" s="79">
        <f t="shared" si="7"/>
        <v>0</v>
      </c>
      <c r="W13" s="79">
        <f t="shared" si="7"/>
        <v>0</v>
      </c>
      <c r="X13" s="79">
        <f t="shared" si="7"/>
        <v>0</v>
      </c>
      <c r="Y13" s="79">
        <f t="shared" si="7"/>
        <v>0</v>
      </c>
      <c r="Z13" s="79">
        <f t="shared" si="7"/>
        <v>0</v>
      </c>
      <c r="AA13" s="79">
        <f t="shared" si="7"/>
        <v>0</v>
      </c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</row>
    <row r="14" spans="1:102" s="2" customFormat="1" x14ac:dyDescent="0.2">
      <c r="A14" s="65" t="s">
        <v>100</v>
      </c>
      <c r="B14" s="16"/>
      <c r="C14" s="79">
        <f t="shared" ref="C14:AA14" si="8">IF(EXACT(batt_repl_year_kwh, C2), IF(AND(ISNUMBER(outYear),ISNUMBER(batt_repl_cost_kwh)),(batt_kwh * batt_repl_cost_kwh)*(1+inflation_rate/100+escalation_rate/100)^B3,""), 0)</f>
        <v>0</v>
      </c>
      <c r="D14" s="79">
        <f t="shared" si="8"/>
        <v>0</v>
      </c>
      <c r="E14" s="79">
        <f t="shared" si="8"/>
        <v>0</v>
      </c>
      <c r="F14" s="79">
        <f t="shared" si="8"/>
        <v>0</v>
      </c>
      <c r="G14" s="79">
        <f t="shared" si="8"/>
        <v>0</v>
      </c>
      <c r="H14" s="79">
        <f t="shared" si="8"/>
        <v>0</v>
      </c>
      <c r="I14" s="79">
        <f t="shared" si="8"/>
        <v>0</v>
      </c>
      <c r="J14" s="79">
        <f t="shared" si="8"/>
        <v>0</v>
      </c>
      <c r="K14" s="79">
        <f t="shared" si="8"/>
        <v>0</v>
      </c>
      <c r="L14" s="79">
        <f>IF(EXACT(batt_repl_year_kwh, L2), IF(AND(ISNUMBER(outYear),ISNUMBER(batt_repl_cost_kwh)),(batt_kwh * batt_repl_cost_kwh)*(1+inflation_rate/100+escalation_rate/100)^K2,""), 0)</f>
        <v>29877.31421555777</v>
      </c>
      <c r="M14" s="79">
        <f t="shared" si="8"/>
        <v>0</v>
      </c>
      <c r="N14" s="79">
        <f t="shared" si="8"/>
        <v>0</v>
      </c>
      <c r="O14" s="79">
        <f t="shared" si="8"/>
        <v>0</v>
      </c>
      <c r="P14" s="79">
        <f t="shared" si="8"/>
        <v>0</v>
      </c>
      <c r="Q14" s="79">
        <f t="shared" si="8"/>
        <v>0</v>
      </c>
      <c r="R14" s="79">
        <f t="shared" si="8"/>
        <v>0</v>
      </c>
      <c r="S14" s="79">
        <f t="shared" si="8"/>
        <v>0</v>
      </c>
      <c r="T14" s="79">
        <f t="shared" si="8"/>
        <v>0</v>
      </c>
      <c r="U14" s="79">
        <f t="shared" si="8"/>
        <v>0</v>
      </c>
      <c r="V14" s="79">
        <f t="shared" si="8"/>
        <v>0</v>
      </c>
      <c r="W14" s="79">
        <f t="shared" si="8"/>
        <v>0</v>
      </c>
      <c r="X14" s="79">
        <f t="shared" si="8"/>
        <v>0</v>
      </c>
      <c r="Y14" s="79">
        <f t="shared" si="8"/>
        <v>0</v>
      </c>
      <c r="Z14" s="79">
        <f t="shared" si="8"/>
        <v>0</v>
      </c>
      <c r="AA14" s="79">
        <f t="shared" si="8"/>
        <v>0</v>
      </c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</row>
    <row r="15" spans="1:102" s="2" customFormat="1" x14ac:dyDescent="0.2">
      <c r="A15" s="70" t="s">
        <v>27</v>
      </c>
      <c r="B15" s="69"/>
      <c r="C15" s="80">
        <f>IF(ISNUMBER(outYear),SUM(C12:C14),"")</f>
        <v>4391.72</v>
      </c>
      <c r="D15" s="80">
        <f t="shared" ref="D15:AA15" si="9">IF(ISNUMBER(outYear),SUM(D12:D14),"")</f>
        <v>4479.5544</v>
      </c>
      <c r="E15" s="80">
        <f t="shared" si="9"/>
        <v>4569.1454880000001</v>
      </c>
      <c r="F15" s="80">
        <f t="shared" si="9"/>
        <v>4660.5283977600002</v>
      </c>
      <c r="G15" s="80">
        <f t="shared" si="9"/>
        <v>4753.7389657151998</v>
      </c>
      <c r="H15" s="80">
        <f t="shared" si="9"/>
        <v>4848.8137450295044</v>
      </c>
      <c r="I15" s="80">
        <f t="shared" si="9"/>
        <v>4945.7900199300948</v>
      </c>
      <c r="J15" s="80">
        <f t="shared" si="9"/>
        <v>5044.7058203286961</v>
      </c>
      <c r="K15" s="80">
        <f t="shared" si="9"/>
        <v>5145.5999367352697</v>
      </c>
      <c r="L15" s="80">
        <f t="shared" si="9"/>
        <v>94880.454582143284</v>
      </c>
      <c r="M15" s="80">
        <f t="shared" si="9"/>
        <v>5353.4821741793758</v>
      </c>
      <c r="N15" s="80">
        <f t="shared" si="9"/>
        <v>5460.5518176629621</v>
      </c>
      <c r="O15" s="80">
        <f t="shared" si="9"/>
        <v>5569.7628540162214</v>
      </c>
      <c r="P15" s="80">
        <f t="shared" si="9"/>
        <v>5681.1581110965462</v>
      </c>
      <c r="Q15" s="80">
        <f t="shared" si="9"/>
        <v>5794.7812733184765</v>
      </c>
      <c r="R15" s="80">
        <f t="shared" si="9"/>
        <v>5910.6768987848445</v>
      </c>
      <c r="S15" s="80">
        <f t="shared" si="9"/>
        <v>6028.8904367605428</v>
      </c>
      <c r="T15" s="80">
        <f t="shared" si="9"/>
        <v>6149.4682454957547</v>
      </c>
      <c r="U15" s="80">
        <f t="shared" si="9"/>
        <v>6272.4576104056687</v>
      </c>
      <c r="V15" s="80">
        <f t="shared" si="9"/>
        <v>6397.9067626137821</v>
      </c>
      <c r="W15" s="80">
        <f t="shared" si="9"/>
        <v>6525.8648978660585</v>
      </c>
      <c r="X15" s="80">
        <f t="shared" si="9"/>
        <v>6656.3821958233793</v>
      </c>
      <c r="Y15" s="80">
        <f t="shared" si="9"/>
        <v>6789.5098397398469</v>
      </c>
      <c r="Z15" s="80">
        <f t="shared" si="9"/>
        <v>6925.3000365346425</v>
      </c>
      <c r="AA15" s="80">
        <f t="shared" si="9"/>
        <v>7063.8060372653363</v>
      </c>
      <c r="AB15" s="80" t="str">
        <f>IF(ISNUMBER(outYear),SUM(AB12:AB12)-#REF!,"")</f>
        <v/>
      </c>
      <c r="AC15" s="80" t="str">
        <f>IF(ISNUMBER(outYear),SUM(AC12:AC12)-#REF!,"")</f>
        <v/>
      </c>
      <c r="AD15" s="80" t="str">
        <f>IF(ISNUMBER(outYear),SUM(AD12:AD12)-#REF!,"")</f>
        <v/>
      </c>
      <c r="AE15" s="80" t="str">
        <f>IF(ISNUMBER(outYear),SUM(AE12:AE12)-#REF!,"")</f>
        <v/>
      </c>
      <c r="AF15" s="80" t="str">
        <f>IF(ISNUMBER(outYear),SUM(AF12:AF12)-#REF!,"")</f>
        <v/>
      </c>
      <c r="AG15" s="80" t="str">
        <f>IF(ISNUMBER(outYear),SUM(AG12:AG12)-#REF!,"")</f>
        <v/>
      </c>
      <c r="AH15" s="80" t="str">
        <f>IF(ISNUMBER(outYear),SUM(AH12:AH12)-#REF!,"")</f>
        <v/>
      </c>
      <c r="AI15" s="80" t="str">
        <f>IF(ISNUMBER(outYear),SUM(AI12:AI12)-#REF!,"")</f>
        <v/>
      </c>
      <c r="AJ15" s="80" t="str">
        <f>IF(ISNUMBER(outYear),SUM(AJ12:AJ12)-#REF!,"")</f>
        <v/>
      </c>
      <c r="AK15" s="80" t="str">
        <f>IF(ISNUMBER(outYear),SUM(AK12:AK12)-#REF!,"")</f>
        <v/>
      </c>
      <c r="AL15" s="80" t="str">
        <f>IF(ISNUMBER(outYear),SUM(AL12:AL12)-#REF!,"")</f>
        <v/>
      </c>
      <c r="AM15" s="80" t="str">
        <f>IF(ISNUMBER(outYear),SUM(AM12:AM12)-#REF!,"")</f>
        <v/>
      </c>
      <c r="AN15" s="80" t="str">
        <f>IF(ISNUMBER(outYear),SUM(AN12:AN12)-#REF!,"")</f>
        <v/>
      </c>
      <c r="AO15" s="80" t="str">
        <f>IF(ISNUMBER(outYear),SUM(AO12:AO12)-#REF!,"")</f>
        <v/>
      </c>
      <c r="AP15" s="80" t="str">
        <f>IF(ISNUMBER(outYear),SUM(AP12:AP12)-#REF!,"")</f>
        <v/>
      </c>
      <c r="AQ15" s="80" t="str">
        <f>IF(ISNUMBER(outYear),SUM(AQ12:AQ12)-#REF!,"")</f>
        <v/>
      </c>
      <c r="AR15" s="80" t="str">
        <f>IF(ISNUMBER(outYear),SUM(AR12:AR12)-#REF!,"")</f>
        <v/>
      </c>
      <c r="AS15" s="80" t="str">
        <f>IF(ISNUMBER(outYear),SUM(AS12:AS12)-#REF!,"")</f>
        <v/>
      </c>
      <c r="AT15" s="80" t="str">
        <f>IF(ISNUMBER(outYear),SUM(AT12:AT12)-#REF!,"")</f>
        <v/>
      </c>
      <c r="AU15" s="80" t="str">
        <f>IF(ISNUMBER(outYear),SUM(AU12:AU12)-#REF!,"")</f>
        <v/>
      </c>
      <c r="AV15" s="80" t="str">
        <f>IF(ISNUMBER(outYear),SUM(AV12:AV12)-#REF!,"")</f>
        <v/>
      </c>
      <c r="AW15" s="80" t="str">
        <f>IF(ISNUMBER(outYear),SUM(AW12:AW12)-#REF!,"")</f>
        <v/>
      </c>
      <c r="AX15" s="80" t="str">
        <f>IF(ISNUMBER(outYear),SUM(AX12:AX12)-#REF!,"")</f>
        <v/>
      </c>
      <c r="AY15" s="80" t="str">
        <f>IF(ISNUMBER(outYear),SUM(AY12:AY12)-#REF!,"")</f>
        <v/>
      </c>
      <c r="AZ15" s="80" t="str">
        <f>IF(ISNUMBER(outYear),SUM(AZ12:AZ12)-#REF!,"")</f>
        <v/>
      </c>
      <c r="BA15" s="80" t="str">
        <f>IF(ISNUMBER(outYear),SUM(BA12:BA12)-#REF!,"")</f>
        <v/>
      </c>
      <c r="BB15" s="80" t="str">
        <f>IF(ISNUMBER(outYear),SUM(BB12:BB12)-#REF!,"")</f>
        <v/>
      </c>
      <c r="BC15" s="80" t="str">
        <f>IF(ISNUMBER(outYear),SUM(BC12:BC12)-#REF!,"")</f>
        <v/>
      </c>
      <c r="BD15" s="80" t="str">
        <f>IF(ISNUMBER(outYear),SUM(BD12:BD12)-#REF!,"")</f>
        <v/>
      </c>
      <c r="BE15" s="80" t="str">
        <f>IF(ISNUMBER(outYear),SUM(BE12:BE12)-#REF!,"")</f>
        <v/>
      </c>
      <c r="BF15" s="80" t="str">
        <f>IF(ISNUMBER(outYear),SUM(BF12:BF12)-#REF!,"")</f>
        <v/>
      </c>
      <c r="BG15" s="80" t="str">
        <f>IF(ISNUMBER(outYear),SUM(BG12:BG12)-#REF!,"")</f>
        <v/>
      </c>
      <c r="BH15" s="80" t="str">
        <f>IF(ISNUMBER(outYear),SUM(BH12:BH12)-#REF!,"")</f>
        <v/>
      </c>
      <c r="BI15" s="80" t="str">
        <f>IF(ISNUMBER(outYear),SUM(BI12:BI12)-#REF!,"")</f>
        <v/>
      </c>
      <c r="BJ15" s="80" t="str">
        <f>IF(ISNUMBER(outYear),SUM(BJ12:BJ12)-#REF!,"")</f>
        <v/>
      </c>
      <c r="BK15" s="80" t="str">
        <f>IF(ISNUMBER(outYear),SUM(BK12:BK12)-#REF!,"")</f>
        <v/>
      </c>
      <c r="BL15" s="80" t="str">
        <f>IF(ISNUMBER(outYear),SUM(BL12:BL12)-#REF!,"")</f>
        <v/>
      </c>
      <c r="BM15" s="80" t="str">
        <f>IF(ISNUMBER(outYear),SUM(BM12:BM12)-#REF!,"")</f>
        <v/>
      </c>
      <c r="BN15" s="80" t="str">
        <f>IF(ISNUMBER(outYear),SUM(BN12:BN12)-#REF!,"")</f>
        <v/>
      </c>
      <c r="BO15" s="80" t="str">
        <f>IF(ISNUMBER(outYear),SUM(BO12:BO12)-#REF!,"")</f>
        <v/>
      </c>
      <c r="BP15" s="80" t="str">
        <f>IF(ISNUMBER(outYear),SUM(BP12:BP12)-#REF!,"")</f>
        <v/>
      </c>
      <c r="BQ15" s="80" t="str">
        <f>IF(ISNUMBER(outYear),SUM(BQ12:BQ12)-#REF!,"")</f>
        <v/>
      </c>
      <c r="BR15" s="80" t="str">
        <f>IF(ISNUMBER(outYear),SUM(BR12:BR12)-#REF!,"")</f>
        <v/>
      </c>
      <c r="BS15" s="80" t="str">
        <f>IF(ISNUMBER(outYear),SUM(BS12:BS12)-#REF!,"")</f>
        <v/>
      </c>
      <c r="BT15" s="80" t="str">
        <f>IF(ISNUMBER(outYear),SUM(BT12:BT12)-#REF!,"")</f>
        <v/>
      </c>
      <c r="BU15" s="80" t="str">
        <f>IF(ISNUMBER(outYear),SUM(BU12:BU12)-#REF!,"")</f>
        <v/>
      </c>
      <c r="BV15" s="80" t="str">
        <f>IF(ISNUMBER(outYear),SUM(BV12:BV12)-#REF!,"")</f>
        <v/>
      </c>
      <c r="BW15" s="80" t="str">
        <f>IF(ISNUMBER(outYear),SUM(BW12:BW12)-#REF!,"")</f>
        <v/>
      </c>
      <c r="BX15" s="80" t="str">
        <f>IF(ISNUMBER(outYear),SUM(BX12:BX12)-#REF!,"")</f>
        <v/>
      </c>
      <c r="BY15" s="80" t="str">
        <f>IF(ISNUMBER(outYear),SUM(BY12:BY12)-#REF!,"")</f>
        <v/>
      </c>
      <c r="BZ15" s="80" t="str">
        <f>IF(ISNUMBER(outYear),SUM(BZ12:BZ12)-#REF!,"")</f>
        <v/>
      </c>
      <c r="CA15" s="80" t="str">
        <f>IF(ISNUMBER(outYear),SUM(CA12:CA12)-#REF!,"")</f>
        <v/>
      </c>
      <c r="CB15" s="80" t="str">
        <f>IF(ISNUMBER(outYear),SUM(CB12:CB12)-#REF!,"")</f>
        <v/>
      </c>
      <c r="CC15" s="80" t="str">
        <f>IF(ISNUMBER(outYear),SUM(CC12:CC12)-#REF!,"")</f>
        <v/>
      </c>
      <c r="CD15" s="80" t="str">
        <f>IF(ISNUMBER(outYear),SUM(CD12:CD12)-#REF!,"")</f>
        <v/>
      </c>
      <c r="CE15" s="80" t="str">
        <f>IF(ISNUMBER(outYear),SUM(CE12:CE12)-#REF!,"")</f>
        <v/>
      </c>
      <c r="CF15" s="80" t="str">
        <f>IF(ISNUMBER(outYear),SUM(CF12:CF12)-#REF!,"")</f>
        <v/>
      </c>
      <c r="CG15" s="80" t="str">
        <f>IF(ISNUMBER(outYear),SUM(CG12:CG12)-#REF!,"")</f>
        <v/>
      </c>
      <c r="CH15" s="80" t="str">
        <f>IF(ISNUMBER(outYear),SUM(CH12:CH12)-#REF!,"")</f>
        <v/>
      </c>
      <c r="CI15" s="80" t="str">
        <f>IF(ISNUMBER(outYear),SUM(CI12:CI12)-#REF!,"")</f>
        <v/>
      </c>
      <c r="CJ15" s="80" t="str">
        <f>IF(ISNUMBER(outYear),SUM(CJ12:CJ12)-#REF!,"")</f>
        <v/>
      </c>
      <c r="CK15" s="80" t="str">
        <f>IF(ISNUMBER(outYear),SUM(CK12:CK12)-#REF!,"")</f>
        <v/>
      </c>
      <c r="CL15" s="80" t="str">
        <f>IF(ISNUMBER(outYear),SUM(CL12:CL12)-#REF!,"")</f>
        <v/>
      </c>
      <c r="CM15" s="80" t="str">
        <f>IF(ISNUMBER(outYear),SUM(CM12:CM12)-#REF!,"")</f>
        <v/>
      </c>
      <c r="CN15" s="80" t="str">
        <f>IF(ISNUMBER(outYear),SUM(CN12:CN12)-#REF!,"")</f>
        <v/>
      </c>
      <c r="CO15" s="80" t="str">
        <f>IF(ISNUMBER(outYear),SUM(CO12:CO12)-#REF!,"")</f>
        <v/>
      </c>
      <c r="CP15" s="80" t="str">
        <f>IF(ISNUMBER(outYear),SUM(CP12:CP12)-#REF!,"")</f>
        <v/>
      </c>
      <c r="CQ15" s="80" t="str">
        <f>IF(ISNUMBER(outYear),SUM(CQ12:CQ12)-#REF!,"")</f>
        <v/>
      </c>
      <c r="CR15" s="80" t="str">
        <f>IF(ISNUMBER(outYear),SUM(CR12:CR12)-#REF!,"")</f>
        <v/>
      </c>
      <c r="CS15" s="80" t="str">
        <f>IF(ISNUMBER(outYear),SUM(CS12:CS12)-#REF!,"")</f>
        <v/>
      </c>
      <c r="CT15" s="80" t="str">
        <f>IF(ISNUMBER(outYear),SUM(CT12:CT12)-#REF!,"")</f>
        <v/>
      </c>
      <c r="CU15" s="80" t="str">
        <f>IF(ISNUMBER(outYear),SUM(CU12:CU12)-#REF!,"")</f>
        <v/>
      </c>
      <c r="CV15" s="80" t="str">
        <f>IF(ISNUMBER(outYear),SUM(CV12:CV12)-#REF!,"")</f>
        <v/>
      </c>
      <c r="CW15" s="80" t="str">
        <f>IF(ISNUMBER(outYear),SUM(CW12:CW12)-#REF!,"")</f>
        <v/>
      </c>
      <c r="CX15" s="80" t="str">
        <f>IF(ISNUMBER(outYear),SUM(CX12:CX12)-#REF!,"")</f>
        <v/>
      </c>
    </row>
    <row r="16" spans="1:102" s="2" customFormat="1" x14ac:dyDescent="0.2">
      <c r="A16" s="60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4" t="s">
        <v>81</v>
      </c>
      <c r="B17" s="71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3"/>
    </row>
    <row r="18" spans="1:102" s="2" customFormat="1" x14ac:dyDescent="0.2">
      <c r="A18" s="65" t="s">
        <v>28</v>
      </c>
      <c r="B18" s="16"/>
      <c r="C18" s="79">
        <f t="shared" ref="C18:AH18" si="10">IF(ISNUMBER(outYear),IF(FederalDepreciation&lt;&gt;"N/A",C15,0),"")</f>
        <v>4391.72</v>
      </c>
      <c r="D18" s="79">
        <f t="shared" si="10"/>
        <v>4479.5544</v>
      </c>
      <c r="E18" s="79">
        <f t="shared" si="10"/>
        <v>4569.1454880000001</v>
      </c>
      <c r="F18" s="79">
        <f t="shared" si="10"/>
        <v>4660.5283977600002</v>
      </c>
      <c r="G18" s="79">
        <f t="shared" si="10"/>
        <v>4753.7389657151998</v>
      </c>
      <c r="H18" s="79">
        <f t="shared" si="10"/>
        <v>4848.8137450295044</v>
      </c>
      <c r="I18" s="79">
        <f t="shared" si="10"/>
        <v>4945.7900199300948</v>
      </c>
      <c r="J18" s="79">
        <f t="shared" si="10"/>
        <v>5044.7058203286961</v>
      </c>
      <c r="K18" s="79">
        <f t="shared" si="10"/>
        <v>5145.5999367352697</v>
      </c>
      <c r="L18" s="79">
        <f t="shared" si="10"/>
        <v>94880.454582143284</v>
      </c>
      <c r="M18" s="79">
        <f t="shared" si="10"/>
        <v>5353.4821741793758</v>
      </c>
      <c r="N18" s="79">
        <f t="shared" si="10"/>
        <v>5460.5518176629621</v>
      </c>
      <c r="O18" s="79">
        <f t="shared" si="10"/>
        <v>5569.7628540162214</v>
      </c>
      <c r="P18" s="79">
        <f t="shared" si="10"/>
        <v>5681.1581110965462</v>
      </c>
      <c r="Q18" s="79">
        <f t="shared" si="10"/>
        <v>5794.7812733184765</v>
      </c>
      <c r="R18" s="79">
        <f t="shared" si="10"/>
        <v>5910.6768987848445</v>
      </c>
      <c r="S18" s="79">
        <f t="shared" si="10"/>
        <v>6028.8904367605428</v>
      </c>
      <c r="T18" s="79">
        <f t="shared" si="10"/>
        <v>6149.4682454957547</v>
      </c>
      <c r="U18" s="79">
        <f t="shared" si="10"/>
        <v>6272.4576104056687</v>
      </c>
      <c r="V18" s="79">
        <f t="shared" si="10"/>
        <v>6397.9067626137821</v>
      </c>
      <c r="W18" s="79">
        <f t="shared" si="10"/>
        <v>6525.8648978660585</v>
      </c>
      <c r="X18" s="79">
        <f t="shared" si="10"/>
        <v>6656.3821958233793</v>
      </c>
      <c r="Y18" s="79">
        <f t="shared" si="10"/>
        <v>6789.5098397398469</v>
      </c>
      <c r="Z18" s="79">
        <f t="shared" si="10"/>
        <v>6925.3000365346425</v>
      </c>
      <c r="AA18" s="79">
        <f t="shared" si="10"/>
        <v>7063.8060372653363</v>
      </c>
      <c r="AB18" s="79" t="str">
        <f t="shared" si="10"/>
        <v/>
      </c>
      <c r="AC18" s="79" t="str">
        <f t="shared" si="10"/>
        <v/>
      </c>
      <c r="AD18" s="79" t="str">
        <f t="shared" si="10"/>
        <v/>
      </c>
      <c r="AE18" s="79" t="str">
        <f t="shared" si="10"/>
        <v/>
      </c>
      <c r="AF18" s="79" t="str">
        <f t="shared" si="10"/>
        <v/>
      </c>
      <c r="AG18" s="79" t="str">
        <f t="shared" si="10"/>
        <v/>
      </c>
      <c r="AH18" s="79" t="str">
        <f t="shared" si="10"/>
        <v/>
      </c>
      <c r="AI18" s="79" t="str">
        <f t="shared" ref="AI18:BN18" si="11">IF(ISNUMBER(outYear),IF(FederalDepreciation&lt;&gt;"N/A",AI15,0),"")</f>
        <v/>
      </c>
      <c r="AJ18" s="79" t="str">
        <f t="shared" si="11"/>
        <v/>
      </c>
      <c r="AK18" s="79" t="str">
        <f t="shared" si="11"/>
        <v/>
      </c>
      <c r="AL18" s="79" t="str">
        <f t="shared" si="11"/>
        <v/>
      </c>
      <c r="AM18" s="79" t="str">
        <f t="shared" si="11"/>
        <v/>
      </c>
      <c r="AN18" s="79" t="str">
        <f t="shared" si="11"/>
        <v/>
      </c>
      <c r="AO18" s="79" t="str">
        <f t="shared" si="11"/>
        <v/>
      </c>
      <c r="AP18" s="79" t="str">
        <f t="shared" si="11"/>
        <v/>
      </c>
      <c r="AQ18" s="79" t="str">
        <f t="shared" si="11"/>
        <v/>
      </c>
      <c r="AR18" s="79" t="str">
        <f t="shared" si="11"/>
        <v/>
      </c>
      <c r="AS18" s="79" t="str">
        <f t="shared" si="11"/>
        <v/>
      </c>
      <c r="AT18" s="79" t="str">
        <f t="shared" si="11"/>
        <v/>
      </c>
      <c r="AU18" s="79" t="str">
        <f t="shared" si="11"/>
        <v/>
      </c>
      <c r="AV18" s="79" t="str">
        <f t="shared" si="11"/>
        <v/>
      </c>
      <c r="AW18" s="79" t="str">
        <f t="shared" si="11"/>
        <v/>
      </c>
      <c r="AX18" s="79" t="str">
        <f t="shared" si="11"/>
        <v/>
      </c>
      <c r="AY18" s="79" t="str">
        <f t="shared" si="11"/>
        <v/>
      </c>
      <c r="AZ18" s="79" t="str">
        <f t="shared" si="11"/>
        <v/>
      </c>
      <c r="BA18" s="79" t="str">
        <f t="shared" si="11"/>
        <v/>
      </c>
      <c r="BB18" s="79" t="str">
        <f t="shared" si="11"/>
        <v/>
      </c>
      <c r="BC18" s="79" t="str">
        <f t="shared" si="11"/>
        <v/>
      </c>
      <c r="BD18" s="79" t="str">
        <f t="shared" si="11"/>
        <v/>
      </c>
      <c r="BE18" s="79" t="str">
        <f t="shared" si="11"/>
        <v/>
      </c>
      <c r="BF18" s="79" t="str">
        <f t="shared" si="11"/>
        <v/>
      </c>
      <c r="BG18" s="79" t="str">
        <f t="shared" si="11"/>
        <v/>
      </c>
      <c r="BH18" s="79" t="str">
        <f t="shared" si="11"/>
        <v/>
      </c>
      <c r="BI18" s="79" t="str">
        <f t="shared" si="11"/>
        <v/>
      </c>
      <c r="BJ18" s="79" t="str">
        <f t="shared" si="11"/>
        <v/>
      </c>
      <c r="BK18" s="79" t="str">
        <f t="shared" si="11"/>
        <v/>
      </c>
      <c r="BL18" s="79" t="str">
        <f t="shared" si="11"/>
        <v/>
      </c>
      <c r="BM18" s="79" t="str">
        <f t="shared" si="11"/>
        <v/>
      </c>
      <c r="BN18" s="79" t="str">
        <f t="shared" si="11"/>
        <v/>
      </c>
      <c r="BO18" s="79" t="str">
        <f t="shared" ref="BO18:CX18" si="12">IF(ISNUMBER(outYear),IF(FederalDepreciation&lt;&gt;"N/A",BO15,0),"")</f>
        <v/>
      </c>
      <c r="BP18" s="79" t="str">
        <f t="shared" si="12"/>
        <v/>
      </c>
      <c r="BQ18" s="79" t="str">
        <f t="shared" si="12"/>
        <v/>
      </c>
      <c r="BR18" s="79" t="str">
        <f t="shared" si="12"/>
        <v/>
      </c>
      <c r="BS18" s="79" t="str">
        <f t="shared" si="12"/>
        <v/>
      </c>
      <c r="BT18" s="79" t="str">
        <f t="shared" si="12"/>
        <v/>
      </c>
      <c r="BU18" s="79" t="str">
        <f t="shared" si="12"/>
        <v/>
      </c>
      <c r="BV18" s="79" t="str">
        <f t="shared" si="12"/>
        <v/>
      </c>
      <c r="BW18" s="79" t="str">
        <f t="shared" si="12"/>
        <v/>
      </c>
      <c r="BX18" s="79" t="str">
        <f t="shared" si="12"/>
        <v/>
      </c>
      <c r="BY18" s="79" t="str">
        <f t="shared" si="12"/>
        <v/>
      </c>
      <c r="BZ18" s="79" t="str">
        <f t="shared" si="12"/>
        <v/>
      </c>
      <c r="CA18" s="79" t="str">
        <f t="shared" si="12"/>
        <v/>
      </c>
      <c r="CB18" s="79" t="str">
        <f t="shared" si="12"/>
        <v/>
      </c>
      <c r="CC18" s="79" t="str">
        <f t="shared" si="12"/>
        <v/>
      </c>
      <c r="CD18" s="79" t="str">
        <f t="shared" si="12"/>
        <v/>
      </c>
      <c r="CE18" s="79" t="str">
        <f t="shared" si="12"/>
        <v/>
      </c>
      <c r="CF18" s="79" t="str">
        <f t="shared" si="12"/>
        <v/>
      </c>
      <c r="CG18" s="79" t="str">
        <f t="shared" si="12"/>
        <v/>
      </c>
      <c r="CH18" s="79" t="str">
        <f t="shared" si="12"/>
        <v/>
      </c>
      <c r="CI18" s="79" t="str">
        <f t="shared" si="12"/>
        <v/>
      </c>
      <c r="CJ18" s="79" t="str">
        <f t="shared" si="12"/>
        <v/>
      </c>
      <c r="CK18" s="79" t="str">
        <f t="shared" si="12"/>
        <v/>
      </c>
      <c r="CL18" s="79" t="str">
        <f t="shared" si="12"/>
        <v/>
      </c>
      <c r="CM18" s="79" t="str">
        <f t="shared" si="12"/>
        <v/>
      </c>
      <c r="CN18" s="79" t="str">
        <f t="shared" si="12"/>
        <v/>
      </c>
      <c r="CO18" s="79" t="str">
        <f t="shared" si="12"/>
        <v/>
      </c>
      <c r="CP18" s="79" t="str">
        <f t="shared" si="12"/>
        <v/>
      </c>
      <c r="CQ18" s="79" t="str">
        <f t="shared" si="12"/>
        <v/>
      </c>
      <c r="CR18" s="79" t="str">
        <f t="shared" si="12"/>
        <v/>
      </c>
      <c r="CS18" s="79" t="str">
        <f t="shared" si="12"/>
        <v/>
      </c>
      <c r="CT18" s="79" t="str">
        <f t="shared" si="12"/>
        <v/>
      </c>
      <c r="CU18" s="79" t="str">
        <f t="shared" si="12"/>
        <v/>
      </c>
      <c r="CV18" s="79" t="str">
        <f t="shared" si="12"/>
        <v/>
      </c>
      <c r="CW18" s="79" t="str">
        <f t="shared" si="12"/>
        <v/>
      </c>
      <c r="CX18" s="79" t="str">
        <f t="shared" si="12"/>
        <v/>
      </c>
    </row>
    <row r="19" spans="1:102" s="2" customFormat="1" x14ac:dyDescent="0.2">
      <c r="A19" s="59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40" t="s">
        <v>82</v>
      </c>
      <c r="B20" s="143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4"/>
    </row>
    <row r="21" spans="1:102" s="2" customFormat="1" x14ac:dyDescent="0.2">
      <c r="A21" s="137" t="s">
        <v>69</v>
      </c>
      <c r="B21" s="138"/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  <c r="AZ21" s="138"/>
      <c r="BA21" s="138"/>
      <c r="BB21" s="138"/>
      <c r="BC21" s="138"/>
      <c r="BD21" s="138"/>
      <c r="BE21" s="138"/>
      <c r="BF21" s="138"/>
      <c r="BG21" s="138"/>
      <c r="BH21" s="138"/>
      <c r="BI21" s="138"/>
      <c r="BJ21" s="138"/>
      <c r="BK21" s="138"/>
      <c r="BL21" s="138"/>
      <c r="BM21" s="138"/>
      <c r="BN21" s="138"/>
      <c r="BO21" s="138"/>
      <c r="BP21" s="138"/>
      <c r="BQ21" s="138"/>
      <c r="BR21" s="138"/>
      <c r="BS21" s="138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  <c r="CK21" s="138"/>
      <c r="CL21" s="138"/>
      <c r="CM21" s="138"/>
      <c r="CN21" s="138"/>
      <c r="CO21" s="138"/>
      <c r="CP21" s="138"/>
      <c r="CQ21" s="138"/>
      <c r="CR21" s="138"/>
      <c r="CS21" s="138"/>
      <c r="CT21" s="138"/>
      <c r="CU21" s="138"/>
      <c r="CV21" s="138"/>
      <c r="CW21" s="138"/>
      <c r="CX21" s="139"/>
    </row>
    <row r="22" spans="1:102" s="2" customFormat="1" x14ac:dyDescent="0.2">
      <c r="A22" s="141" t="s">
        <v>65</v>
      </c>
      <c r="B22" s="146">
        <f>total_installed_cost-B37-B42</f>
        <v>379902.6</v>
      </c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  <c r="CK22" s="138"/>
      <c r="CL22" s="138"/>
      <c r="CM22" s="138"/>
      <c r="CN22" s="138"/>
      <c r="CO22" s="138"/>
      <c r="CP22" s="138"/>
      <c r="CQ22" s="138"/>
      <c r="CR22" s="138"/>
      <c r="CS22" s="138"/>
      <c r="CT22" s="138"/>
      <c r="CU22" s="138"/>
      <c r="CV22" s="138"/>
      <c r="CW22" s="138"/>
      <c r="CX22" s="139"/>
    </row>
    <row r="23" spans="1:102" s="2" customFormat="1" x14ac:dyDescent="0.2">
      <c r="A23" s="141" t="s">
        <v>68</v>
      </c>
      <c r="B23" s="148">
        <f>B22*debt_fraction/100</f>
        <v>0</v>
      </c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8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  <c r="CK23" s="138"/>
      <c r="CL23" s="138"/>
      <c r="CM23" s="138"/>
      <c r="CN23" s="138"/>
      <c r="CO23" s="138"/>
      <c r="CP23" s="138"/>
      <c r="CQ23" s="138"/>
      <c r="CR23" s="138"/>
      <c r="CS23" s="138"/>
      <c r="CT23" s="138"/>
      <c r="CU23" s="138"/>
      <c r="CV23" s="138"/>
      <c r="CW23" s="138"/>
      <c r="CX23" s="139"/>
    </row>
    <row r="24" spans="1:102" s="2" customFormat="1" x14ac:dyDescent="0.2">
      <c r="A24" s="141" t="s">
        <v>38</v>
      </c>
      <c r="B24" s="146">
        <f>B22-B23</f>
        <v>379902.6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138"/>
      <c r="AO24" s="138"/>
      <c r="AP24" s="138"/>
      <c r="AQ24" s="138"/>
      <c r="AR24" s="138"/>
      <c r="AS24" s="138"/>
      <c r="AT24" s="138"/>
      <c r="AU24" s="138"/>
      <c r="AV24" s="138"/>
      <c r="AW24" s="138"/>
      <c r="AX24" s="138"/>
      <c r="AY24" s="138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  <c r="CK24" s="138"/>
      <c r="CL24" s="138"/>
      <c r="CM24" s="138"/>
      <c r="CN24" s="138"/>
      <c r="CO24" s="138"/>
      <c r="CP24" s="138"/>
      <c r="CQ24" s="138"/>
      <c r="CR24" s="138"/>
      <c r="CS24" s="138"/>
      <c r="CT24" s="138"/>
      <c r="CU24" s="138"/>
      <c r="CV24" s="138"/>
      <c r="CW24" s="138"/>
      <c r="CX24" s="139"/>
    </row>
    <row r="25" spans="1:102" s="2" customFormat="1" x14ac:dyDescent="0.2">
      <c r="A25" s="137" t="s">
        <v>70</v>
      </c>
      <c r="B25" s="146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  <c r="CK25" s="138"/>
      <c r="CL25" s="138"/>
      <c r="CM25" s="138"/>
      <c r="CN25" s="138"/>
      <c r="CO25" s="138"/>
      <c r="CP25" s="138"/>
      <c r="CQ25" s="138"/>
      <c r="CR25" s="138"/>
      <c r="CS25" s="138"/>
      <c r="CT25" s="138"/>
      <c r="CU25" s="138"/>
      <c r="CV25" s="138"/>
      <c r="CW25" s="138"/>
      <c r="CX25" s="139"/>
    </row>
    <row r="26" spans="1:102" s="2" customFormat="1" x14ac:dyDescent="0.2">
      <c r="A26" s="141" t="s">
        <v>71</v>
      </c>
      <c r="B26" s="146"/>
      <c r="C26" s="146">
        <f>IF(loan_term=0, 0, B23)</f>
        <v>0</v>
      </c>
      <c r="D26" s="146">
        <f t="shared" ref="D26:AA26" si="13">IF(ISNUMBER(outYear),C26-C28,"")</f>
        <v>0</v>
      </c>
      <c r="E26" s="155">
        <f t="shared" si="13"/>
        <v>0</v>
      </c>
      <c r="F26" s="155">
        <f t="shared" si="13"/>
        <v>0</v>
      </c>
      <c r="G26" s="155">
        <f t="shared" si="13"/>
        <v>0</v>
      </c>
      <c r="H26" s="155">
        <f t="shared" si="13"/>
        <v>0</v>
      </c>
      <c r="I26" s="155">
        <f t="shared" si="13"/>
        <v>0</v>
      </c>
      <c r="J26" s="155">
        <f t="shared" si="13"/>
        <v>0</v>
      </c>
      <c r="K26" s="155">
        <f t="shared" si="13"/>
        <v>0</v>
      </c>
      <c r="L26" s="155">
        <f t="shared" si="13"/>
        <v>0</v>
      </c>
      <c r="M26" s="155">
        <f t="shared" si="13"/>
        <v>0</v>
      </c>
      <c r="N26" s="155">
        <f t="shared" si="13"/>
        <v>0</v>
      </c>
      <c r="O26" s="155">
        <f t="shared" si="13"/>
        <v>0</v>
      </c>
      <c r="P26" s="155">
        <f t="shared" si="13"/>
        <v>0</v>
      </c>
      <c r="Q26" s="155">
        <f t="shared" si="13"/>
        <v>0</v>
      </c>
      <c r="R26" s="155">
        <f t="shared" si="13"/>
        <v>0</v>
      </c>
      <c r="S26" s="155">
        <f t="shared" si="13"/>
        <v>0</v>
      </c>
      <c r="T26" s="155">
        <f t="shared" si="13"/>
        <v>0</v>
      </c>
      <c r="U26" s="155">
        <f t="shared" si="13"/>
        <v>0</v>
      </c>
      <c r="V26" s="155">
        <f t="shared" si="13"/>
        <v>0</v>
      </c>
      <c r="W26" s="155">
        <f t="shared" si="13"/>
        <v>0</v>
      </c>
      <c r="X26" s="155">
        <f t="shared" si="13"/>
        <v>0</v>
      </c>
      <c r="Y26" s="155">
        <f t="shared" si="13"/>
        <v>0</v>
      </c>
      <c r="Z26" s="155">
        <f t="shared" si="13"/>
        <v>0</v>
      </c>
      <c r="AA26" s="155">
        <f t="shared" si="13"/>
        <v>0</v>
      </c>
      <c r="AB26" s="146" t="s">
        <v>105</v>
      </c>
      <c r="AC26" s="146" t="s">
        <v>105</v>
      </c>
      <c r="AD26" s="146" t="s">
        <v>105</v>
      </c>
      <c r="AE26" s="146" t="s">
        <v>105</v>
      </c>
      <c r="AF26" s="146" t="s">
        <v>105</v>
      </c>
      <c r="AG26" s="146" t="s">
        <v>105</v>
      </c>
      <c r="AH26" s="146" t="s">
        <v>105</v>
      </c>
      <c r="AI26" s="146" t="s">
        <v>105</v>
      </c>
      <c r="AJ26" s="146" t="s">
        <v>105</v>
      </c>
      <c r="AK26" s="146" t="s">
        <v>105</v>
      </c>
      <c r="AL26" s="146" t="s">
        <v>105</v>
      </c>
      <c r="AM26" s="146" t="s">
        <v>105</v>
      </c>
      <c r="AN26" s="146" t="s">
        <v>105</v>
      </c>
      <c r="AO26" s="146" t="s">
        <v>105</v>
      </c>
      <c r="AP26" s="146" t="s">
        <v>105</v>
      </c>
      <c r="AQ26" s="146" t="s">
        <v>105</v>
      </c>
      <c r="AR26" s="146" t="s">
        <v>105</v>
      </c>
      <c r="AS26" s="146" t="s">
        <v>105</v>
      </c>
      <c r="AT26" s="146" t="s">
        <v>105</v>
      </c>
      <c r="AU26" s="146" t="s">
        <v>105</v>
      </c>
      <c r="AV26" s="146" t="s">
        <v>105</v>
      </c>
      <c r="AW26" s="146" t="s">
        <v>105</v>
      </c>
      <c r="AX26" s="146" t="s">
        <v>105</v>
      </c>
      <c r="AY26" s="146" t="s">
        <v>105</v>
      </c>
      <c r="AZ26" s="146" t="s">
        <v>105</v>
      </c>
      <c r="BA26" s="146" t="s">
        <v>105</v>
      </c>
      <c r="BB26" s="146" t="s">
        <v>105</v>
      </c>
      <c r="BC26" s="146" t="s">
        <v>105</v>
      </c>
      <c r="BD26" s="146" t="s">
        <v>105</v>
      </c>
      <c r="BE26" s="146" t="s">
        <v>105</v>
      </c>
      <c r="BF26" s="146" t="s">
        <v>105</v>
      </c>
      <c r="BG26" s="146" t="s">
        <v>105</v>
      </c>
      <c r="BH26" s="146" t="s">
        <v>105</v>
      </c>
      <c r="BI26" s="146" t="s">
        <v>105</v>
      </c>
      <c r="BJ26" s="146" t="s">
        <v>105</v>
      </c>
      <c r="BK26" s="146" t="s">
        <v>105</v>
      </c>
      <c r="BL26" s="146" t="s">
        <v>105</v>
      </c>
      <c r="BM26" s="146" t="s">
        <v>105</v>
      </c>
      <c r="BN26" s="146" t="s">
        <v>105</v>
      </c>
      <c r="BO26" s="146" t="s">
        <v>105</v>
      </c>
      <c r="BP26" s="146" t="s">
        <v>105</v>
      </c>
      <c r="BQ26" s="146" t="s">
        <v>105</v>
      </c>
      <c r="BR26" s="146" t="s">
        <v>105</v>
      </c>
      <c r="BS26" s="146" t="s">
        <v>105</v>
      </c>
      <c r="BT26" s="146" t="s">
        <v>105</v>
      </c>
      <c r="BU26" s="146" t="s">
        <v>105</v>
      </c>
      <c r="BV26" s="146" t="s">
        <v>105</v>
      </c>
      <c r="BW26" s="146" t="s">
        <v>105</v>
      </c>
      <c r="BX26" s="146" t="s">
        <v>105</v>
      </c>
      <c r="BY26" s="146" t="s">
        <v>105</v>
      </c>
      <c r="BZ26" s="146" t="s">
        <v>105</v>
      </c>
      <c r="CA26" s="146" t="s">
        <v>105</v>
      </c>
      <c r="CB26" s="146" t="s">
        <v>105</v>
      </c>
      <c r="CC26" s="146" t="s">
        <v>105</v>
      </c>
      <c r="CD26" s="146" t="s">
        <v>105</v>
      </c>
      <c r="CE26" s="146" t="s">
        <v>105</v>
      </c>
      <c r="CF26" s="146" t="s">
        <v>105</v>
      </c>
      <c r="CG26" s="146" t="s">
        <v>105</v>
      </c>
      <c r="CH26" s="146" t="s">
        <v>105</v>
      </c>
      <c r="CI26" s="146" t="s">
        <v>105</v>
      </c>
      <c r="CJ26" s="146" t="s">
        <v>105</v>
      </c>
      <c r="CK26" s="146" t="s">
        <v>105</v>
      </c>
      <c r="CL26" s="146" t="s">
        <v>105</v>
      </c>
      <c r="CM26" s="146" t="s">
        <v>105</v>
      </c>
      <c r="CN26" s="146" t="s">
        <v>105</v>
      </c>
      <c r="CO26" s="146" t="s">
        <v>105</v>
      </c>
      <c r="CP26" s="146" t="s">
        <v>105</v>
      </c>
      <c r="CQ26" s="146" t="s">
        <v>105</v>
      </c>
      <c r="CR26" s="146" t="s">
        <v>105</v>
      </c>
      <c r="CS26" s="146" t="s">
        <v>105</v>
      </c>
      <c r="CT26" s="146" t="s">
        <v>105</v>
      </c>
      <c r="CU26" s="146" t="s">
        <v>105</v>
      </c>
      <c r="CV26" s="146" t="s">
        <v>105</v>
      </c>
      <c r="CW26" s="146" t="s">
        <v>105</v>
      </c>
      <c r="CX26" s="146" t="s">
        <v>105</v>
      </c>
    </row>
    <row r="27" spans="1:102" s="2" customFormat="1" x14ac:dyDescent="0.2">
      <c r="A27" s="141" t="s">
        <v>72</v>
      </c>
      <c r="B27" s="138"/>
      <c r="C27" s="146">
        <f t="shared" ref="C27:AA27" si="14">IF(ISNUMBER(outYear),IF(outYear&gt;loan_term,0,C26*loan_rate/100),"")</f>
        <v>0</v>
      </c>
      <c r="D27" s="155">
        <f t="shared" si="14"/>
        <v>0</v>
      </c>
      <c r="E27" s="155">
        <f t="shared" si="14"/>
        <v>0</v>
      </c>
      <c r="F27" s="155">
        <f t="shared" si="14"/>
        <v>0</v>
      </c>
      <c r="G27" s="155">
        <f t="shared" si="14"/>
        <v>0</v>
      </c>
      <c r="H27" s="155">
        <f t="shared" si="14"/>
        <v>0</v>
      </c>
      <c r="I27" s="155">
        <f t="shared" si="14"/>
        <v>0</v>
      </c>
      <c r="J27" s="155">
        <f t="shared" si="14"/>
        <v>0</v>
      </c>
      <c r="K27" s="155">
        <f t="shared" si="14"/>
        <v>0</v>
      </c>
      <c r="L27" s="155">
        <f t="shared" si="14"/>
        <v>0</v>
      </c>
      <c r="M27" s="155">
        <f t="shared" si="14"/>
        <v>0</v>
      </c>
      <c r="N27" s="155">
        <f t="shared" si="14"/>
        <v>0</v>
      </c>
      <c r="O27" s="155">
        <f t="shared" si="14"/>
        <v>0</v>
      </c>
      <c r="P27" s="155">
        <f t="shared" si="14"/>
        <v>0</v>
      </c>
      <c r="Q27" s="155">
        <f t="shared" si="14"/>
        <v>0</v>
      </c>
      <c r="R27" s="155">
        <f t="shared" si="14"/>
        <v>0</v>
      </c>
      <c r="S27" s="155">
        <f t="shared" si="14"/>
        <v>0</v>
      </c>
      <c r="T27" s="155">
        <f t="shared" si="14"/>
        <v>0</v>
      </c>
      <c r="U27" s="155">
        <f t="shared" si="14"/>
        <v>0</v>
      </c>
      <c r="V27" s="155">
        <f t="shared" si="14"/>
        <v>0</v>
      </c>
      <c r="W27" s="155">
        <f t="shared" si="14"/>
        <v>0</v>
      </c>
      <c r="X27" s="155">
        <f t="shared" si="14"/>
        <v>0</v>
      </c>
      <c r="Y27" s="155">
        <f t="shared" si="14"/>
        <v>0</v>
      </c>
      <c r="Z27" s="155">
        <f t="shared" si="14"/>
        <v>0</v>
      </c>
      <c r="AA27" s="155">
        <f t="shared" si="14"/>
        <v>0</v>
      </c>
      <c r="AB27" s="146" t="s">
        <v>105</v>
      </c>
      <c r="AC27" s="146" t="s">
        <v>105</v>
      </c>
      <c r="AD27" s="146" t="s">
        <v>105</v>
      </c>
      <c r="AE27" s="146" t="s">
        <v>105</v>
      </c>
      <c r="AF27" s="146" t="s">
        <v>105</v>
      </c>
      <c r="AG27" s="146" t="s">
        <v>105</v>
      </c>
      <c r="AH27" s="146" t="s">
        <v>105</v>
      </c>
      <c r="AI27" s="146" t="s">
        <v>105</v>
      </c>
      <c r="AJ27" s="146" t="s">
        <v>105</v>
      </c>
      <c r="AK27" s="146" t="s">
        <v>105</v>
      </c>
      <c r="AL27" s="146" t="s">
        <v>105</v>
      </c>
      <c r="AM27" s="146" t="s">
        <v>105</v>
      </c>
      <c r="AN27" s="146" t="s">
        <v>105</v>
      </c>
      <c r="AO27" s="146" t="s">
        <v>105</v>
      </c>
      <c r="AP27" s="146" t="s">
        <v>105</v>
      </c>
      <c r="AQ27" s="146" t="s">
        <v>105</v>
      </c>
      <c r="AR27" s="146" t="s">
        <v>105</v>
      </c>
      <c r="AS27" s="146" t="s">
        <v>105</v>
      </c>
      <c r="AT27" s="146" t="s">
        <v>105</v>
      </c>
      <c r="AU27" s="146" t="s">
        <v>105</v>
      </c>
      <c r="AV27" s="146" t="s">
        <v>105</v>
      </c>
      <c r="AW27" s="146" t="s">
        <v>105</v>
      </c>
      <c r="AX27" s="146" t="s">
        <v>105</v>
      </c>
      <c r="AY27" s="146" t="s">
        <v>105</v>
      </c>
      <c r="AZ27" s="146" t="s">
        <v>105</v>
      </c>
      <c r="BA27" s="146" t="s">
        <v>105</v>
      </c>
      <c r="BB27" s="146" t="s">
        <v>105</v>
      </c>
      <c r="BC27" s="146" t="s">
        <v>105</v>
      </c>
      <c r="BD27" s="146" t="s">
        <v>105</v>
      </c>
      <c r="BE27" s="146" t="s">
        <v>105</v>
      </c>
      <c r="BF27" s="146" t="s">
        <v>105</v>
      </c>
      <c r="BG27" s="146" t="s">
        <v>105</v>
      </c>
      <c r="BH27" s="146" t="s">
        <v>105</v>
      </c>
      <c r="BI27" s="146" t="s">
        <v>105</v>
      </c>
      <c r="BJ27" s="146" t="s">
        <v>105</v>
      </c>
      <c r="BK27" s="146" t="s">
        <v>105</v>
      </c>
      <c r="BL27" s="146" t="s">
        <v>105</v>
      </c>
      <c r="BM27" s="146" t="s">
        <v>105</v>
      </c>
      <c r="BN27" s="146" t="s">
        <v>105</v>
      </c>
      <c r="BO27" s="146" t="s">
        <v>105</v>
      </c>
      <c r="BP27" s="146" t="s">
        <v>105</v>
      </c>
      <c r="BQ27" s="146" t="s">
        <v>105</v>
      </c>
      <c r="BR27" s="146" t="s">
        <v>105</v>
      </c>
      <c r="BS27" s="146" t="s">
        <v>105</v>
      </c>
      <c r="BT27" s="146" t="s">
        <v>105</v>
      </c>
      <c r="BU27" s="146" t="s">
        <v>105</v>
      </c>
      <c r="BV27" s="146" t="s">
        <v>105</v>
      </c>
      <c r="BW27" s="146" t="s">
        <v>105</v>
      </c>
      <c r="BX27" s="146" t="s">
        <v>105</v>
      </c>
      <c r="BY27" s="146" t="s">
        <v>105</v>
      </c>
      <c r="BZ27" s="146" t="s">
        <v>105</v>
      </c>
      <c r="CA27" s="146" t="s">
        <v>105</v>
      </c>
      <c r="CB27" s="146" t="s">
        <v>105</v>
      </c>
      <c r="CC27" s="146" t="s">
        <v>105</v>
      </c>
      <c r="CD27" s="146" t="s">
        <v>105</v>
      </c>
      <c r="CE27" s="146" t="s">
        <v>105</v>
      </c>
      <c r="CF27" s="146" t="s">
        <v>105</v>
      </c>
      <c r="CG27" s="146" t="s">
        <v>105</v>
      </c>
      <c r="CH27" s="146" t="s">
        <v>105</v>
      </c>
      <c r="CI27" s="146" t="s">
        <v>105</v>
      </c>
      <c r="CJ27" s="146" t="s">
        <v>105</v>
      </c>
      <c r="CK27" s="146" t="s">
        <v>105</v>
      </c>
      <c r="CL27" s="146" t="s">
        <v>105</v>
      </c>
      <c r="CM27" s="146" t="s">
        <v>105</v>
      </c>
      <c r="CN27" s="146" t="s">
        <v>105</v>
      </c>
      <c r="CO27" s="146" t="s">
        <v>105</v>
      </c>
      <c r="CP27" s="146" t="s">
        <v>105</v>
      </c>
      <c r="CQ27" s="146" t="s">
        <v>105</v>
      </c>
      <c r="CR27" s="146" t="s">
        <v>105</v>
      </c>
      <c r="CS27" s="146" t="s">
        <v>105</v>
      </c>
      <c r="CT27" s="146" t="s">
        <v>105</v>
      </c>
      <c r="CU27" s="146" t="s">
        <v>105</v>
      </c>
      <c r="CV27" s="146" t="s">
        <v>105</v>
      </c>
      <c r="CW27" s="146" t="s">
        <v>105</v>
      </c>
      <c r="CX27" s="146" t="s">
        <v>105</v>
      </c>
    </row>
    <row r="28" spans="1:102" s="2" customFormat="1" x14ac:dyDescent="0.2">
      <c r="A28" s="141" t="s">
        <v>74</v>
      </c>
      <c r="B28" s="138"/>
      <c r="C28" s="146">
        <f t="shared" ref="C28:AA28" si="15">IF(ISNUMBER(outYear),IF(outYear&gt;loan_term,0,-PPMT(loan_rate/100,outYear,loan_term,$B$23,0,0)),"")</f>
        <v>0</v>
      </c>
      <c r="D28" s="155">
        <f t="shared" si="15"/>
        <v>0</v>
      </c>
      <c r="E28" s="155">
        <f t="shared" si="15"/>
        <v>0</v>
      </c>
      <c r="F28" s="155">
        <f t="shared" si="15"/>
        <v>0</v>
      </c>
      <c r="G28" s="155">
        <f t="shared" si="15"/>
        <v>0</v>
      </c>
      <c r="H28" s="155">
        <f t="shared" si="15"/>
        <v>0</v>
      </c>
      <c r="I28" s="155">
        <f t="shared" si="15"/>
        <v>0</v>
      </c>
      <c r="J28" s="155">
        <f t="shared" si="15"/>
        <v>0</v>
      </c>
      <c r="K28" s="155">
        <f t="shared" si="15"/>
        <v>0</v>
      </c>
      <c r="L28" s="155">
        <f t="shared" si="15"/>
        <v>0</v>
      </c>
      <c r="M28" s="155">
        <f t="shared" si="15"/>
        <v>0</v>
      </c>
      <c r="N28" s="155">
        <f t="shared" si="15"/>
        <v>0</v>
      </c>
      <c r="O28" s="155">
        <f t="shared" si="15"/>
        <v>0</v>
      </c>
      <c r="P28" s="155">
        <f t="shared" si="15"/>
        <v>0</v>
      </c>
      <c r="Q28" s="155">
        <f t="shared" si="15"/>
        <v>0</v>
      </c>
      <c r="R28" s="155">
        <f t="shared" si="15"/>
        <v>0</v>
      </c>
      <c r="S28" s="155">
        <f t="shared" si="15"/>
        <v>0</v>
      </c>
      <c r="T28" s="155">
        <f t="shared" si="15"/>
        <v>0</v>
      </c>
      <c r="U28" s="155">
        <f t="shared" si="15"/>
        <v>0</v>
      </c>
      <c r="V28" s="155">
        <f t="shared" si="15"/>
        <v>0</v>
      </c>
      <c r="W28" s="155">
        <f t="shared" si="15"/>
        <v>0</v>
      </c>
      <c r="X28" s="155">
        <f t="shared" si="15"/>
        <v>0</v>
      </c>
      <c r="Y28" s="155">
        <f t="shared" si="15"/>
        <v>0</v>
      </c>
      <c r="Z28" s="155">
        <f t="shared" si="15"/>
        <v>0</v>
      </c>
      <c r="AA28" s="155">
        <f t="shared" si="15"/>
        <v>0</v>
      </c>
      <c r="AB28" s="146" t="s">
        <v>105</v>
      </c>
      <c r="AC28" s="146" t="s">
        <v>105</v>
      </c>
      <c r="AD28" s="146" t="s">
        <v>105</v>
      </c>
      <c r="AE28" s="146" t="s">
        <v>105</v>
      </c>
      <c r="AF28" s="146" t="s">
        <v>105</v>
      </c>
      <c r="AG28" s="146" t="s">
        <v>105</v>
      </c>
      <c r="AH28" s="146" t="s">
        <v>105</v>
      </c>
      <c r="AI28" s="146" t="s">
        <v>105</v>
      </c>
      <c r="AJ28" s="146" t="s">
        <v>105</v>
      </c>
      <c r="AK28" s="146" t="s">
        <v>105</v>
      </c>
      <c r="AL28" s="146" t="s">
        <v>105</v>
      </c>
      <c r="AM28" s="146" t="s">
        <v>105</v>
      </c>
      <c r="AN28" s="146" t="s">
        <v>105</v>
      </c>
      <c r="AO28" s="146" t="s">
        <v>105</v>
      </c>
      <c r="AP28" s="146" t="s">
        <v>105</v>
      </c>
      <c r="AQ28" s="146" t="s">
        <v>105</v>
      </c>
      <c r="AR28" s="146" t="s">
        <v>105</v>
      </c>
      <c r="AS28" s="146" t="s">
        <v>105</v>
      </c>
      <c r="AT28" s="146" t="s">
        <v>105</v>
      </c>
      <c r="AU28" s="146" t="s">
        <v>105</v>
      </c>
      <c r="AV28" s="146" t="s">
        <v>105</v>
      </c>
      <c r="AW28" s="146" t="s">
        <v>105</v>
      </c>
      <c r="AX28" s="146" t="s">
        <v>105</v>
      </c>
      <c r="AY28" s="146" t="s">
        <v>105</v>
      </c>
      <c r="AZ28" s="146" t="s">
        <v>105</v>
      </c>
      <c r="BA28" s="146" t="s">
        <v>105</v>
      </c>
      <c r="BB28" s="146" t="s">
        <v>105</v>
      </c>
      <c r="BC28" s="146" t="s">
        <v>105</v>
      </c>
      <c r="BD28" s="146" t="s">
        <v>105</v>
      </c>
      <c r="BE28" s="146" t="s">
        <v>105</v>
      </c>
      <c r="BF28" s="146" t="s">
        <v>105</v>
      </c>
      <c r="BG28" s="146" t="s">
        <v>105</v>
      </c>
      <c r="BH28" s="146" t="s">
        <v>105</v>
      </c>
      <c r="BI28" s="146" t="s">
        <v>105</v>
      </c>
      <c r="BJ28" s="146" t="s">
        <v>105</v>
      </c>
      <c r="BK28" s="146" t="s">
        <v>105</v>
      </c>
      <c r="BL28" s="146" t="s">
        <v>105</v>
      </c>
      <c r="BM28" s="146" t="s">
        <v>105</v>
      </c>
      <c r="BN28" s="146" t="s">
        <v>105</v>
      </c>
      <c r="BO28" s="146" t="s">
        <v>105</v>
      </c>
      <c r="BP28" s="146" t="s">
        <v>105</v>
      </c>
      <c r="BQ28" s="146" t="s">
        <v>105</v>
      </c>
      <c r="BR28" s="146" t="s">
        <v>105</v>
      </c>
      <c r="BS28" s="146" t="s">
        <v>105</v>
      </c>
      <c r="BT28" s="146" t="s">
        <v>105</v>
      </c>
      <c r="BU28" s="146" t="s">
        <v>105</v>
      </c>
      <c r="BV28" s="146" t="s">
        <v>105</v>
      </c>
      <c r="BW28" s="146" t="s">
        <v>105</v>
      </c>
      <c r="BX28" s="146" t="s">
        <v>105</v>
      </c>
      <c r="BY28" s="146" t="s">
        <v>105</v>
      </c>
      <c r="BZ28" s="146" t="s">
        <v>105</v>
      </c>
      <c r="CA28" s="146" t="s">
        <v>105</v>
      </c>
      <c r="CB28" s="146" t="s">
        <v>105</v>
      </c>
      <c r="CC28" s="146" t="s">
        <v>105</v>
      </c>
      <c r="CD28" s="146" t="s">
        <v>105</v>
      </c>
      <c r="CE28" s="146" t="s">
        <v>105</v>
      </c>
      <c r="CF28" s="146" t="s">
        <v>105</v>
      </c>
      <c r="CG28" s="146" t="s">
        <v>105</v>
      </c>
      <c r="CH28" s="146" t="s">
        <v>105</v>
      </c>
      <c r="CI28" s="146" t="s">
        <v>105</v>
      </c>
      <c r="CJ28" s="146" t="s">
        <v>105</v>
      </c>
      <c r="CK28" s="146" t="s">
        <v>105</v>
      </c>
      <c r="CL28" s="146" t="s">
        <v>105</v>
      </c>
      <c r="CM28" s="146" t="s">
        <v>105</v>
      </c>
      <c r="CN28" s="146" t="s">
        <v>105</v>
      </c>
      <c r="CO28" s="146" t="s">
        <v>105</v>
      </c>
      <c r="CP28" s="146" t="s">
        <v>105</v>
      </c>
      <c r="CQ28" s="146" t="s">
        <v>105</v>
      </c>
      <c r="CR28" s="146" t="s">
        <v>105</v>
      </c>
      <c r="CS28" s="146" t="s">
        <v>105</v>
      </c>
      <c r="CT28" s="146" t="s">
        <v>105</v>
      </c>
      <c r="CU28" s="146" t="s">
        <v>105</v>
      </c>
      <c r="CV28" s="146" t="s">
        <v>105</v>
      </c>
      <c r="CW28" s="146" t="s">
        <v>105</v>
      </c>
      <c r="CX28" s="146" t="s">
        <v>105</v>
      </c>
    </row>
    <row r="29" spans="1:102" s="2" customFormat="1" x14ac:dyDescent="0.2">
      <c r="A29" s="145" t="s">
        <v>73</v>
      </c>
      <c r="B29" s="142"/>
      <c r="C29" s="147">
        <f t="shared" ref="C29:AA29" si="16">IF(ISNUMBER(outYear),+C27+C28,"")</f>
        <v>0</v>
      </c>
      <c r="D29" s="156">
        <f t="shared" si="16"/>
        <v>0</v>
      </c>
      <c r="E29" s="156">
        <f t="shared" si="16"/>
        <v>0</v>
      </c>
      <c r="F29" s="156">
        <f t="shared" si="16"/>
        <v>0</v>
      </c>
      <c r="G29" s="156">
        <f t="shared" si="16"/>
        <v>0</v>
      </c>
      <c r="H29" s="156">
        <f t="shared" si="16"/>
        <v>0</v>
      </c>
      <c r="I29" s="156">
        <f t="shared" si="16"/>
        <v>0</v>
      </c>
      <c r="J29" s="156">
        <f t="shared" si="16"/>
        <v>0</v>
      </c>
      <c r="K29" s="156">
        <f t="shared" si="16"/>
        <v>0</v>
      </c>
      <c r="L29" s="156">
        <f t="shared" si="16"/>
        <v>0</v>
      </c>
      <c r="M29" s="156">
        <f t="shared" si="16"/>
        <v>0</v>
      </c>
      <c r="N29" s="156">
        <f t="shared" si="16"/>
        <v>0</v>
      </c>
      <c r="O29" s="156">
        <f t="shared" si="16"/>
        <v>0</v>
      </c>
      <c r="P29" s="156">
        <f t="shared" si="16"/>
        <v>0</v>
      </c>
      <c r="Q29" s="156">
        <f t="shared" si="16"/>
        <v>0</v>
      </c>
      <c r="R29" s="156">
        <f t="shared" si="16"/>
        <v>0</v>
      </c>
      <c r="S29" s="156">
        <f t="shared" si="16"/>
        <v>0</v>
      </c>
      <c r="T29" s="156">
        <f t="shared" si="16"/>
        <v>0</v>
      </c>
      <c r="U29" s="156">
        <f t="shared" si="16"/>
        <v>0</v>
      </c>
      <c r="V29" s="156">
        <f t="shared" si="16"/>
        <v>0</v>
      </c>
      <c r="W29" s="156">
        <f t="shared" si="16"/>
        <v>0</v>
      </c>
      <c r="X29" s="156">
        <f t="shared" si="16"/>
        <v>0</v>
      </c>
      <c r="Y29" s="156">
        <f t="shared" si="16"/>
        <v>0</v>
      </c>
      <c r="Z29" s="156">
        <f t="shared" si="16"/>
        <v>0</v>
      </c>
      <c r="AA29" s="156">
        <f t="shared" si="16"/>
        <v>0</v>
      </c>
      <c r="AB29" s="147" t="s">
        <v>105</v>
      </c>
      <c r="AC29" s="147" t="s">
        <v>105</v>
      </c>
      <c r="AD29" s="147" t="s">
        <v>105</v>
      </c>
      <c r="AE29" s="147" t="s">
        <v>105</v>
      </c>
      <c r="AF29" s="147" t="s">
        <v>105</v>
      </c>
      <c r="AG29" s="147" t="s">
        <v>105</v>
      </c>
      <c r="AH29" s="147" t="s">
        <v>105</v>
      </c>
      <c r="AI29" s="147" t="s">
        <v>105</v>
      </c>
      <c r="AJ29" s="147" t="s">
        <v>105</v>
      </c>
      <c r="AK29" s="147" t="s">
        <v>105</v>
      </c>
      <c r="AL29" s="147" t="s">
        <v>105</v>
      </c>
      <c r="AM29" s="147" t="s">
        <v>105</v>
      </c>
      <c r="AN29" s="147" t="s">
        <v>105</v>
      </c>
      <c r="AO29" s="147" t="s">
        <v>105</v>
      </c>
      <c r="AP29" s="147" t="s">
        <v>105</v>
      </c>
      <c r="AQ29" s="147" t="s">
        <v>105</v>
      </c>
      <c r="AR29" s="147" t="s">
        <v>105</v>
      </c>
      <c r="AS29" s="147" t="s">
        <v>105</v>
      </c>
      <c r="AT29" s="147" t="s">
        <v>105</v>
      </c>
      <c r="AU29" s="147" t="s">
        <v>105</v>
      </c>
      <c r="AV29" s="147" t="s">
        <v>105</v>
      </c>
      <c r="AW29" s="147" t="s">
        <v>105</v>
      </c>
      <c r="AX29" s="147" t="s">
        <v>105</v>
      </c>
      <c r="AY29" s="147" t="s">
        <v>105</v>
      </c>
      <c r="AZ29" s="147" t="s">
        <v>105</v>
      </c>
      <c r="BA29" s="147" t="s">
        <v>105</v>
      </c>
      <c r="BB29" s="147" t="s">
        <v>105</v>
      </c>
      <c r="BC29" s="147" t="s">
        <v>105</v>
      </c>
      <c r="BD29" s="147" t="s">
        <v>105</v>
      </c>
      <c r="BE29" s="147" t="s">
        <v>105</v>
      </c>
      <c r="BF29" s="147" t="s">
        <v>105</v>
      </c>
      <c r="BG29" s="147" t="s">
        <v>105</v>
      </c>
      <c r="BH29" s="147" t="s">
        <v>105</v>
      </c>
      <c r="BI29" s="147" t="s">
        <v>105</v>
      </c>
      <c r="BJ29" s="147" t="s">
        <v>105</v>
      </c>
      <c r="BK29" s="147" t="s">
        <v>105</v>
      </c>
      <c r="BL29" s="147" t="s">
        <v>105</v>
      </c>
      <c r="BM29" s="147" t="s">
        <v>105</v>
      </c>
      <c r="BN29" s="147" t="s">
        <v>105</v>
      </c>
      <c r="BO29" s="147" t="s">
        <v>105</v>
      </c>
      <c r="BP29" s="147" t="s">
        <v>105</v>
      </c>
      <c r="BQ29" s="147" t="s">
        <v>105</v>
      </c>
      <c r="BR29" s="147" t="s">
        <v>105</v>
      </c>
      <c r="BS29" s="147" t="s">
        <v>105</v>
      </c>
      <c r="BT29" s="147" t="s">
        <v>105</v>
      </c>
      <c r="BU29" s="147" t="s">
        <v>105</v>
      </c>
      <c r="BV29" s="147" t="s">
        <v>105</v>
      </c>
      <c r="BW29" s="147" t="s">
        <v>105</v>
      </c>
      <c r="BX29" s="147" t="s">
        <v>105</v>
      </c>
      <c r="BY29" s="147" t="s">
        <v>105</v>
      </c>
      <c r="BZ29" s="147" t="s">
        <v>105</v>
      </c>
      <c r="CA29" s="147" t="s">
        <v>105</v>
      </c>
      <c r="CB29" s="147" t="s">
        <v>105</v>
      </c>
      <c r="CC29" s="147" t="s">
        <v>105</v>
      </c>
      <c r="CD29" s="147" t="s">
        <v>105</v>
      </c>
      <c r="CE29" s="147" t="s">
        <v>105</v>
      </c>
      <c r="CF29" s="147" t="s">
        <v>105</v>
      </c>
      <c r="CG29" s="147" t="s">
        <v>105</v>
      </c>
      <c r="CH29" s="147" t="s">
        <v>105</v>
      </c>
      <c r="CI29" s="147" t="s">
        <v>105</v>
      </c>
      <c r="CJ29" s="147" t="s">
        <v>105</v>
      </c>
      <c r="CK29" s="147" t="s">
        <v>105</v>
      </c>
      <c r="CL29" s="147" t="s">
        <v>105</v>
      </c>
      <c r="CM29" s="147" t="s">
        <v>105</v>
      </c>
      <c r="CN29" s="147" t="s">
        <v>105</v>
      </c>
      <c r="CO29" s="147" t="s">
        <v>105</v>
      </c>
      <c r="CP29" s="147" t="s">
        <v>105</v>
      </c>
      <c r="CQ29" s="147" t="s">
        <v>105</v>
      </c>
      <c r="CR29" s="147" t="s">
        <v>105</v>
      </c>
      <c r="CS29" s="147" t="s">
        <v>105</v>
      </c>
      <c r="CT29" s="147" t="s">
        <v>105</v>
      </c>
      <c r="CU29" s="147" t="s">
        <v>105</v>
      </c>
      <c r="CV29" s="147" t="s">
        <v>105</v>
      </c>
      <c r="CW29" s="147" t="s">
        <v>105</v>
      </c>
      <c r="CX29" s="147" t="s">
        <v>105</v>
      </c>
    </row>
    <row r="30" spans="1:102" s="2" customFormat="1" x14ac:dyDescent="0.2">
      <c r="A30" s="149"/>
      <c r="B30" s="150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5"/>
      <c r="BM30" s="155"/>
      <c r="BN30" s="155"/>
      <c r="BO30" s="155"/>
      <c r="BP30" s="155"/>
      <c r="BQ30" s="155"/>
      <c r="BR30" s="155"/>
      <c r="BS30" s="155"/>
      <c r="BT30" s="155"/>
      <c r="BU30" s="155"/>
      <c r="BV30" s="155"/>
      <c r="BW30" s="155"/>
      <c r="BX30" s="155"/>
      <c r="BY30" s="155"/>
      <c r="BZ30" s="155"/>
      <c r="CA30" s="155"/>
      <c r="CB30" s="155"/>
      <c r="CC30" s="155"/>
      <c r="CD30" s="155"/>
      <c r="CE30" s="155"/>
      <c r="CF30" s="155"/>
      <c r="CG30" s="155"/>
      <c r="CH30" s="155"/>
      <c r="CI30" s="155"/>
      <c r="CJ30" s="155"/>
      <c r="CK30" s="155"/>
      <c r="CL30" s="155"/>
      <c r="CM30" s="155"/>
      <c r="CN30" s="155"/>
      <c r="CO30" s="155"/>
      <c r="CP30" s="155"/>
      <c r="CQ30" s="155"/>
      <c r="CR30" s="155"/>
      <c r="CS30" s="155"/>
      <c r="CT30" s="155"/>
      <c r="CU30" s="155"/>
      <c r="CV30" s="155"/>
      <c r="CW30" s="155"/>
      <c r="CX30" s="155"/>
    </row>
    <row r="31" spans="1:102" x14ac:dyDescent="0.2">
      <c r="A31" s="82" t="s">
        <v>75</v>
      </c>
      <c r="B31" s="79">
        <f>-B24</f>
        <v>-379902.6</v>
      </c>
      <c r="C31" s="79">
        <f>IF(ISNUMBER(C2),-(C15+C29),"")</f>
        <v>-4391.72</v>
      </c>
      <c r="D31" s="79">
        <f t="shared" ref="D31:AA31" si="17">IF(ISNUMBER(D2),-(D15+D29),"")</f>
        <v>-4479.5544</v>
      </c>
      <c r="E31" s="79">
        <f t="shared" si="17"/>
        <v>-4569.1454880000001</v>
      </c>
      <c r="F31" s="79">
        <f t="shared" si="17"/>
        <v>-4660.5283977600002</v>
      </c>
      <c r="G31" s="79">
        <f t="shared" si="17"/>
        <v>-4753.7389657151998</v>
      </c>
      <c r="H31" s="79">
        <f t="shared" si="17"/>
        <v>-4848.8137450295044</v>
      </c>
      <c r="I31" s="79">
        <f t="shared" si="17"/>
        <v>-4945.7900199300948</v>
      </c>
      <c r="J31" s="79">
        <f t="shared" si="17"/>
        <v>-5044.7058203286961</v>
      </c>
      <c r="K31" s="79">
        <f t="shared" si="17"/>
        <v>-5145.5999367352697</v>
      </c>
      <c r="L31" s="79">
        <f t="shared" si="17"/>
        <v>-94880.454582143284</v>
      </c>
      <c r="M31" s="79">
        <f t="shared" si="17"/>
        <v>-5353.4821741793758</v>
      </c>
      <c r="N31" s="79">
        <f t="shared" si="17"/>
        <v>-5460.5518176629621</v>
      </c>
      <c r="O31" s="79">
        <f t="shared" si="17"/>
        <v>-5569.7628540162214</v>
      </c>
      <c r="P31" s="79">
        <f t="shared" si="17"/>
        <v>-5681.1581110965462</v>
      </c>
      <c r="Q31" s="79">
        <f t="shared" si="17"/>
        <v>-5794.7812733184765</v>
      </c>
      <c r="R31" s="79">
        <f t="shared" si="17"/>
        <v>-5910.6768987848445</v>
      </c>
      <c r="S31" s="79">
        <f t="shared" si="17"/>
        <v>-6028.8904367605428</v>
      </c>
      <c r="T31" s="79">
        <f t="shared" si="17"/>
        <v>-6149.4682454957547</v>
      </c>
      <c r="U31" s="79">
        <f t="shared" si="17"/>
        <v>-6272.4576104056687</v>
      </c>
      <c r="V31" s="79">
        <f t="shared" si="17"/>
        <v>-6397.9067626137821</v>
      </c>
      <c r="W31" s="79">
        <f t="shared" si="17"/>
        <v>-6525.8648978660585</v>
      </c>
      <c r="X31" s="79">
        <f t="shared" si="17"/>
        <v>-6656.3821958233793</v>
      </c>
      <c r="Y31" s="79">
        <f t="shared" si="17"/>
        <v>-6789.5098397398469</v>
      </c>
      <c r="Z31" s="79">
        <f t="shared" si="17"/>
        <v>-6925.3000365346425</v>
      </c>
      <c r="AA31" s="79">
        <f t="shared" si="17"/>
        <v>-7063.8060372653363</v>
      </c>
      <c r="AB31" s="79" t="str">
        <f>IF(ISNUMBER(AB2),-(AB15+#REF!),"")</f>
        <v/>
      </c>
      <c r="AC31" s="79" t="str">
        <f>IF(ISNUMBER(AC2),-(AC15+#REF!),"")</f>
        <v/>
      </c>
      <c r="AD31" s="79" t="str">
        <f>IF(ISNUMBER(AD2),-(AD15+#REF!),"")</f>
        <v/>
      </c>
      <c r="AE31" s="79" t="str">
        <f>IF(ISNUMBER(AE2),-(AE15+#REF!),"")</f>
        <v/>
      </c>
      <c r="AF31" s="79" t="str">
        <f>IF(ISNUMBER(AF2),-(AF15+#REF!),"")</f>
        <v/>
      </c>
      <c r="AG31" s="79" t="str">
        <f>IF(ISNUMBER(AG2),-(AG15+#REF!),"")</f>
        <v/>
      </c>
      <c r="AH31" s="79" t="str">
        <f>IF(ISNUMBER(AH2),-(AH15+#REF!),"")</f>
        <v/>
      </c>
      <c r="AI31" s="79" t="str">
        <f>IF(ISNUMBER(AI2),-(AI15+#REF!),"")</f>
        <v/>
      </c>
      <c r="AJ31" s="79" t="str">
        <f>IF(ISNUMBER(AJ2),-(AJ15+#REF!),"")</f>
        <v/>
      </c>
      <c r="AK31" s="79" t="str">
        <f>IF(ISNUMBER(AK2),-(AK15+#REF!),"")</f>
        <v/>
      </c>
      <c r="AL31" s="79" t="str">
        <f>IF(ISNUMBER(AL2),-(AL15+#REF!),"")</f>
        <v/>
      </c>
      <c r="AM31" s="79" t="str">
        <f>IF(ISNUMBER(AM2),-(AM15+#REF!),"")</f>
        <v/>
      </c>
      <c r="AN31" s="79" t="str">
        <f>IF(ISNUMBER(AN2),-(AN15+#REF!),"")</f>
        <v/>
      </c>
      <c r="AO31" s="79" t="str">
        <f>IF(ISNUMBER(AO2),-(AO15+#REF!),"")</f>
        <v/>
      </c>
      <c r="AP31" s="79" t="str">
        <f>IF(ISNUMBER(AP2),-(AP15+#REF!),"")</f>
        <v/>
      </c>
      <c r="AQ31" s="79" t="str">
        <f>IF(ISNUMBER(AQ2),-(AQ15+#REF!),"")</f>
        <v/>
      </c>
      <c r="AR31" s="79" t="str">
        <f>IF(ISNUMBER(AR2),-(AR15+#REF!),"")</f>
        <v/>
      </c>
      <c r="AS31" s="79" t="str">
        <f>IF(ISNUMBER(AS2),-(AS15+#REF!),"")</f>
        <v/>
      </c>
      <c r="AT31" s="79" t="str">
        <f>IF(ISNUMBER(AT2),-(AT15+#REF!),"")</f>
        <v/>
      </c>
      <c r="AU31" s="79" t="str">
        <f>IF(ISNUMBER(AU2),-(AU15+#REF!),"")</f>
        <v/>
      </c>
      <c r="AV31" s="79" t="str">
        <f>IF(ISNUMBER(AV2),-(AV15+#REF!),"")</f>
        <v/>
      </c>
      <c r="AW31" s="79" t="str">
        <f>IF(ISNUMBER(AW2),-(AW15+#REF!),"")</f>
        <v/>
      </c>
      <c r="AX31" s="79" t="str">
        <f>IF(ISNUMBER(AX2),-(AX15+#REF!),"")</f>
        <v/>
      </c>
      <c r="AY31" s="79" t="str">
        <f>IF(ISNUMBER(AY2),-(AY15+#REF!),"")</f>
        <v/>
      </c>
      <c r="AZ31" s="79" t="str">
        <f>IF(ISNUMBER(AZ2),-(AZ15+#REF!),"")</f>
        <v/>
      </c>
      <c r="BA31" s="79" t="str">
        <f>IF(ISNUMBER(BA2),-(BA15+#REF!),"")</f>
        <v/>
      </c>
      <c r="BB31" s="79" t="str">
        <f>IF(ISNUMBER(BB2),-(BB15+#REF!),"")</f>
        <v/>
      </c>
      <c r="BC31" s="79" t="str">
        <f>IF(ISNUMBER(BC2),-(BC15+#REF!),"")</f>
        <v/>
      </c>
      <c r="BD31" s="79" t="str">
        <f>IF(ISNUMBER(BD2),-(BD15+#REF!),"")</f>
        <v/>
      </c>
      <c r="BE31" s="79" t="str">
        <f>IF(ISNUMBER(BE2),-(BE15+#REF!),"")</f>
        <v/>
      </c>
      <c r="BF31" s="79" t="str">
        <f>IF(ISNUMBER(BF2),-(BF15+#REF!),"")</f>
        <v/>
      </c>
      <c r="BG31" s="79" t="str">
        <f>IF(ISNUMBER(BG2),-(BG15+#REF!),"")</f>
        <v/>
      </c>
      <c r="BH31" s="79" t="str">
        <f>IF(ISNUMBER(BH2),-(BH15+#REF!),"")</f>
        <v/>
      </c>
      <c r="BI31" s="79" t="str">
        <f>IF(ISNUMBER(BI2),-(BI15+#REF!),"")</f>
        <v/>
      </c>
      <c r="BJ31" s="79" t="str">
        <f>IF(ISNUMBER(BJ2),-(BJ15+#REF!),"")</f>
        <v/>
      </c>
      <c r="BK31" s="79" t="str">
        <f>IF(ISNUMBER(BK2),-(BK15+#REF!),"")</f>
        <v/>
      </c>
      <c r="BL31" s="79" t="str">
        <f>IF(ISNUMBER(BL2),-(BL15+#REF!),"")</f>
        <v/>
      </c>
      <c r="BM31" s="79" t="str">
        <f>IF(ISNUMBER(BM2),-(BM15+#REF!),"")</f>
        <v/>
      </c>
      <c r="BN31" s="79" t="str">
        <f>IF(ISNUMBER(BN2),-(BN15+#REF!),"")</f>
        <v/>
      </c>
      <c r="BO31" s="79" t="str">
        <f>IF(ISNUMBER(BO2),-(BO15+#REF!),"")</f>
        <v/>
      </c>
      <c r="BP31" s="79" t="str">
        <f>IF(ISNUMBER(BP2),-(BP15+#REF!),"")</f>
        <v/>
      </c>
      <c r="BQ31" s="79" t="str">
        <f>IF(ISNUMBER(BQ2),-(BQ15+#REF!),"")</f>
        <v/>
      </c>
      <c r="BR31" s="79" t="str">
        <f>IF(ISNUMBER(BR2),-(BR15+#REF!),"")</f>
        <v/>
      </c>
      <c r="BS31" s="79" t="str">
        <f>IF(ISNUMBER(BS2),-(BS15+#REF!),"")</f>
        <v/>
      </c>
      <c r="BT31" s="79" t="str">
        <f>IF(ISNUMBER(BT2),-(BT15+#REF!),"")</f>
        <v/>
      </c>
      <c r="BU31" s="79" t="str">
        <f>IF(ISNUMBER(BU2),-(BU15+#REF!),"")</f>
        <v/>
      </c>
      <c r="BV31" s="79" t="str">
        <f>IF(ISNUMBER(BV2),-(BV15+#REF!),"")</f>
        <v/>
      </c>
      <c r="BW31" s="79" t="str">
        <f>IF(ISNUMBER(BW2),-(BW15+#REF!),"")</f>
        <v/>
      </c>
      <c r="BX31" s="79" t="str">
        <f>IF(ISNUMBER(BX2),-(BX15+#REF!),"")</f>
        <v/>
      </c>
      <c r="BY31" s="79" t="str">
        <f>IF(ISNUMBER(BY2),-(BY15+#REF!),"")</f>
        <v/>
      </c>
      <c r="BZ31" s="79" t="str">
        <f>IF(ISNUMBER(BZ2),-(BZ15+#REF!),"")</f>
        <v/>
      </c>
      <c r="CA31" s="79" t="str">
        <f>IF(ISNUMBER(CA2),-(CA15+#REF!),"")</f>
        <v/>
      </c>
      <c r="CB31" s="79" t="str">
        <f>IF(ISNUMBER(CB2),-(CB15+#REF!),"")</f>
        <v/>
      </c>
      <c r="CC31" s="79" t="str">
        <f>IF(ISNUMBER(CC2),-(CC15+#REF!),"")</f>
        <v/>
      </c>
      <c r="CD31" s="79" t="str">
        <f>IF(ISNUMBER(CD2),-(CD15+#REF!),"")</f>
        <v/>
      </c>
      <c r="CE31" s="79" t="str">
        <f>IF(ISNUMBER(CE2),-(CE15+#REF!),"")</f>
        <v/>
      </c>
      <c r="CF31" s="79" t="str">
        <f>IF(ISNUMBER(CF2),-(CF15+#REF!),"")</f>
        <v/>
      </c>
      <c r="CG31" s="79" t="str">
        <f>IF(ISNUMBER(CG2),-(CG15+#REF!),"")</f>
        <v/>
      </c>
      <c r="CH31" s="79" t="str">
        <f>IF(ISNUMBER(CH2),-(CH15+#REF!),"")</f>
        <v/>
      </c>
      <c r="CI31" s="79" t="str">
        <f>IF(ISNUMBER(CI2),-(CI15+#REF!),"")</f>
        <v/>
      </c>
      <c r="CJ31" s="79" t="str">
        <f>IF(ISNUMBER(CJ2),-(CJ15+#REF!),"")</f>
        <v/>
      </c>
      <c r="CK31" s="79" t="str">
        <f>IF(ISNUMBER(CK2),-(CK15+#REF!),"")</f>
        <v/>
      </c>
      <c r="CL31" s="79" t="str">
        <f>IF(ISNUMBER(CL2),-(CL15+#REF!),"")</f>
        <v/>
      </c>
      <c r="CM31" s="79" t="str">
        <f>IF(ISNUMBER(CM2),-(CM15+#REF!),"")</f>
        <v/>
      </c>
      <c r="CN31" s="79" t="str">
        <f>IF(ISNUMBER(CN2),-(CN15+#REF!),"")</f>
        <v/>
      </c>
      <c r="CO31" s="79" t="str">
        <f>IF(ISNUMBER(CO2),-(CO15+#REF!),"")</f>
        <v/>
      </c>
      <c r="CP31" s="79" t="str">
        <f>IF(ISNUMBER(CP2),-(CP15+#REF!),"")</f>
        <v/>
      </c>
      <c r="CQ31" s="79" t="str">
        <f>IF(ISNUMBER(CQ2),-(CQ15+#REF!),"")</f>
        <v/>
      </c>
      <c r="CR31" s="79" t="str">
        <f>IF(ISNUMBER(CR2),-(CR15+#REF!),"")</f>
        <v/>
      </c>
      <c r="CS31" s="79" t="str">
        <f>IF(ISNUMBER(CS2),-(CS15+#REF!),"")</f>
        <v/>
      </c>
      <c r="CT31" s="79" t="str">
        <f>IF(ISNUMBER(CT2),-(CT15+#REF!),"")</f>
        <v/>
      </c>
      <c r="CU31" s="79" t="str">
        <f>IF(ISNUMBER(CU2),-(CU15+#REF!),"")</f>
        <v/>
      </c>
      <c r="CV31" s="79" t="str">
        <f>IF(ISNUMBER(CV2),-(CV15+#REF!),"")</f>
        <v/>
      </c>
      <c r="CW31" s="79" t="str">
        <f>IF(ISNUMBER(CW2),-(CW15+#REF!),"")</f>
        <v/>
      </c>
      <c r="CX31" s="79" t="str">
        <f>IF(ISNUMBER(CX2),-(CX15+#REF!),"")</f>
        <v/>
      </c>
    </row>
    <row r="32" spans="1:102" x14ac:dyDescent="0.2">
      <c r="A32" s="82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79"/>
      <c r="CQ32" s="79"/>
      <c r="CR32" s="79"/>
      <c r="CS32" s="79"/>
      <c r="CT32" s="79"/>
      <c r="CU32" s="79"/>
      <c r="CV32" s="79"/>
      <c r="CW32" s="79"/>
      <c r="CX32" s="79"/>
    </row>
    <row r="33" spans="1:16384" x14ac:dyDescent="0.2">
      <c r="A33" s="64" t="s">
        <v>83</v>
      </c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  <c r="BC33" s="71"/>
      <c r="BD33" s="71"/>
      <c r="BE33" s="71"/>
      <c r="BF33" s="71"/>
      <c r="BG33" s="71"/>
      <c r="BH33" s="71"/>
      <c r="BI33" s="71"/>
      <c r="BJ33" s="71"/>
      <c r="BK33" s="71"/>
      <c r="BL33" s="71"/>
      <c r="BM33" s="71"/>
      <c r="BN33" s="71"/>
      <c r="BO33" s="71"/>
      <c r="BP33" s="71"/>
      <c r="BQ33" s="71"/>
      <c r="BR33" s="71"/>
      <c r="BS33" s="71"/>
      <c r="BT33" s="71"/>
      <c r="BU33" s="71"/>
      <c r="BV33" s="71"/>
      <c r="BW33" s="71"/>
      <c r="BX33" s="71"/>
      <c r="BY33" s="71"/>
      <c r="BZ33" s="71"/>
      <c r="CA33" s="71"/>
      <c r="CB33" s="71"/>
      <c r="CC33" s="71"/>
      <c r="CD33" s="71"/>
      <c r="CE33" s="71"/>
      <c r="CF33" s="71"/>
      <c r="CG33" s="71"/>
      <c r="CH33" s="71"/>
      <c r="CI33" s="71"/>
      <c r="CJ33" s="71"/>
      <c r="CK33" s="71"/>
      <c r="CL33" s="71"/>
      <c r="CM33" s="71"/>
      <c r="CN33" s="71"/>
      <c r="CO33" s="71"/>
      <c r="CP33" s="71"/>
      <c r="CQ33" s="71"/>
      <c r="CR33" s="71"/>
      <c r="CS33" s="71"/>
      <c r="CT33" s="71"/>
      <c r="CU33" s="71"/>
      <c r="CV33" s="71"/>
      <c r="CW33" s="71"/>
      <c r="CX33" s="73"/>
    </row>
    <row r="34" spans="1:16384" x14ac:dyDescent="0.2">
      <c r="A34" s="60" t="s">
        <v>36</v>
      </c>
      <c r="B34" s="16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  <c r="CH34" s="74"/>
      <c r="CI34" s="74"/>
      <c r="CJ34" s="74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</row>
    <row r="35" spans="1:16384" x14ac:dyDescent="0.2">
      <c r="A35" s="67" t="s">
        <v>9</v>
      </c>
      <c r="B35" s="79">
        <f>MIN(ibi_sta_percent/100*total_installed_cost,ibi_sta_percent_maxvalue)</f>
        <v>162815.4</v>
      </c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4"/>
      <c r="CW35" s="74"/>
      <c r="CX35" s="74"/>
    </row>
    <row r="36" spans="1:16384" x14ac:dyDescent="0.2">
      <c r="A36" s="67" t="s">
        <v>10</v>
      </c>
      <c r="B36" s="79">
        <f>MIN(ibi_uti_percent/100*total_installed_cost,ibi_uti_percent_maxvalue)</f>
        <v>0</v>
      </c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4"/>
      <c r="CX36" s="74"/>
    </row>
    <row r="37" spans="1:16384" x14ac:dyDescent="0.2">
      <c r="A37" s="65" t="s">
        <v>29</v>
      </c>
      <c r="B37" s="79">
        <f>SUM(B35:B36)</f>
        <v>162815.4</v>
      </c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4"/>
      <c r="CP37" s="74"/>
      <c r="CQ37" s="74"/>
      <c r="CR37" s="74"/>
      <c r="CS37" s="74"/>
      <c r="CT37" s="74"/>
      <c r="CU37" s="74"/>
      <c r="CV37" s="74"/>
      <c r="CW37" s="74"/>
      <c r="CX37" s="74"/>
    </row>
    <row r="38" spans="1:16384" x14ac:dyDescent="0.2">
      <c r="A38" s="60" t="s">
        <v>37</v>
      </c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/>
      <c r="CU38" s="74"/>
      <c r="CV38" s="74"/>
      <c r="CW38" s="74"/>
      <c r="CX38" s="74"/>
    </row>
    <row r="39" spans="1:16384" x14ac:dyDescent="0.2">
      <c r="A39" s="67" t="s">
        <v>3</v>
      </c>
      <c r="B39" s="79">
        <f>MIN(cbi_fed_amount*system_capacity*1000,cbi_fed_maxvalue)</f>
        <v>0</v>
      </c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S39" s="74"/>
      <c r="CT39" s="74"/>
      <c r="CU39" s="74"/>
      <c r="CV39" s="74"/>
      <c r="CW39" s="74"/>
      <c r="CX39" s="74"/>
    </row>
    <row r="40" spans="1:16384" x14ac:dyDescent="0.2">
      <c r="A40" s="67" t="s">
        <v>4</v>
      </c>
      <c r="B40" s="79">
        <f>MIN(cbi_sta_amount*system_capacity*1000,cbi_sta_maxvalue)</f>
        <v>0</v>
      </c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/>
      <c r="CM40" s="74"/>
      <c r="CN40" s="74"/>
      <c r="CO40" s="74"/>
      <c r="CP40" s="74"/>
      <c r="CQ40" s="74"/>
      <c r="CR40" s="74"/>
      <c r="CS40" s="74"/>
      <c r="CT40" s="74"/>
      <c r="CU40" s="74"/>
      <c r="CV40" s="74"/>
      <c r="CW40" s="74"/>
      <c r="CX40" s="74"/>
    </row>
    <row r="41" spans="1:16384" x14ac:dyDescent="0.2">
      <c r="A41" s="67" t="s">
        <v>5</v>
      </c>
      <c r="B41" s="79">
        <f>MIN(cbi_uti_amount*system_capacity*1000,cbi_uti_maxvalue)</f>
        <v>0</v>
      </c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4"/>
      <c r="CW41" s="74"/>
      <c r="CX41" s="74"/>
    </row>
    <row r="42" spans="1:16384" x14ac:dyDescent="0.2">
      <c r="A42" s="65" t="s">
        <v>29</v>
      </c>
      <c r="B42" s="79">
        <f>SUM(B39:B41)</f>
        <v>0</v>
      </c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  <c r="CH42" s="74"/>
      <c r="CI42" s="74"/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4"/>
      <c r="CW42" s="74"/>
      <c r="CX42" s="74"/>
    </row>
    <row r="43" spans="1:16384" x14ac:dyDescent="0.2">
      <c r="A43" s="60" t="s">
        <v>123</v>
      </c>
      <c r="B43" s="16"/>
      <c r="C43" s="79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</row>
    <row r="44" spans="1:16384" x14ac:dyDescent="0.2">
      <c r="A44" s="65" t="s">
        <v>122</v>
      </c>
      <c r="B44" s="16"/>
      <c r="C44" s="79">
        <f t="shared" ref="C44:AH44" si="18">IF(ISNUMBER(outYear),IF(outYear&lt;=pbi_combined_term,MIN(pbi_combined_amount*C5,pbi_combined_maxvalue),0),"")</f>
        <v>0</v>
      </c>
      <c r="D44" s="79">
        <f t="shared" si="18"/>
        <v>0</v>
      </c>
      <c r="E44" s="79">
        <f t="shared" si="18"/>
        <v>0</v>
      </c>
      <c r="F44" s="79">
        <f t="shared" si="18"/>
        <v>0</v>
      </c>
      <c r="G44" s="79">
        <f t="shared" si="18"/>
        <v>0</v>
      </c>
      <c r="H44" s="79">
        <f t="shared" si="18"/>
        <v>0</v>
      </c>
      <c r="I44" s="79">
        <f t="shared" si="18"/>
        <v>0</v>
      </c>
      <c r="J44" s="79">
        <f t="shared" si="18"/>
        <v>0</v>
      </c>
      <c r="K44" s="79">
        <f t="shared" si="18"/>
        <v>0</v>
      </c>
      <c r="L44" s="79">
        <f t="shared" si="18"/>
        <v>0</v>
      </c>
      <c r="M44" s="79">
        <f t="shared" si="18"/>
        <v>0</v>
      </c>
      <c r="N44" s="79">
        <f t="shared" si="18"/>
        <v>0</v>
      </c>
      <c r="O44" s="79">
        <f t="shared" si="18"/>
        <v>0</v>
      </c>
      <c r="P44" s="79">
        <f t="shared" si="18"/>
        <v>0</v>
      </c>
      <c r="Q44" s="79">
        <f t="shared" si="18"/>
        <v>0</v>
      </c>
      <c r="R44" s="79">
        <f t="shared" si="18"/>
        <v>0</v>
      </c>
      <c r="S44" s="79">
        <f t="shared" si="18"/>
        <v>0</v>
      </c>
      <c r="T44" s="79">
        <f t="shared" si="18"/>
        <v>0</v>
      </c>
      <c r="U44" s="79">
        <f t="shared" si="18"/>
        <v>0</v>
      </c>
      <c r="V44" s="79">
        <f t="shared" si="18"/>
        <v>0</v>
      </c>
      <c r="W44" s="79">
        <f t="shared" si="18"/>
        <v>0</v>
      </c>
      <c r="X44" s="79">
        <f t="shared" si="18"/>
        <v>0</v>
      </c>
      <c r="Y44" s="79">
        <f t="shared" si="18"/>
        <v>0</v>
      </c>
      <c r="Z44" s="79">
        <f t="shared" si="18"/>
        <v>0</v>
      </c>
      <c r="AA44" s="79">
        <f t="shared" si="18"/>
        <v>0</v>
      </c>
      <c r="AB44" s="79" t="str">
        <f t="shared" si="18"/>
        <v/>
      </c>
      <c r="AC44" s="79" t="str">
        <f t="shared" si="18"/>
        <v/>
      </c>
      <c r="AD44" s="79" t="str">
        <f t="shared" si="18"/>
        <v/>
      </c>
      <c r="AE44" s="79" t="str">
        <f t="shared" si="18"/>
        <v/>
      </c>
      <c r="AF44" s="79" t="str">
        <f t="shared" si="18"/>
        <v/>
      </c>
      <c r="AG44" s="79" t="str">
        <f t="shared" si="18"/>
        <v/>
      </c>
      <c r="AH44" s="79" t="str">
        <f t="shared" si="18"/>
        <v/>
      </c>
      <c r="AI44" s="79" t="str">
        <f t="shared" ref="AI44:BN44" si="19">IF(ISNUMBER(outYear),IF(outYear&lt;=pbi_combined_term,MIN(pbi_combined_amount*AI5,pbi_combined_maxvalue),0),"")</f>
        <v/>
      </c>
      <c r="AJ44" s="79" t="str">
        <f t="shared" si="19"/>
        <v/>
      </c>
      <c r="AK44" s="79" t="str">
        <f t="shared" si="19"/>
        <v/>
      </c>
      <c r="AL44" s="79" t="str">
        <f t="shared" si="19"/>
        <v/>
      </c>
      <c r="AM44" s="79" t="str">
        <f t="shared" si="19"/>
        <v/>
      </c>
      <c r="AN44" s="79" t="str">
        <f t="shared" si="19"/>
        <v/>
      </c>
      <c r="AO44" s="79" t="str">
        <f t="shared" si="19"/>
        <v/>
      </c>
      <c r="AP44" s="79" t="str">
        <f t="shared" si="19"/>
        <v/>
      </c>
      <c r="AQ44" s="79" t="str">
        <f t="shared" si="19"/>
        <v/>
      </c>
      <c r="AR44" s="79" t="str">
        <f t="shared" si="19"/>
        <v/>
      </c>
      <c r="AS44" s="79" t="str">
        <f t="shared" si="19"/>
        <v/>
      </c>
      <c r="AT44" s="79" t="str">
        <f t="shared" si="19"/>
        <v/>
      </c>
      <c r="AU44" s="79" t="str">
        <f t="shared" si="19"/>
        <v/>
      </c>
      <c r="AV44" s="79" t="str">
        <f t="shared" si="19"/>
        <v/>
      </c>
      <c r="AW44" s="79" t="str">
        <f t="shared" si="19"/>
        <v/>
      </c>
      <c r="AX44" s="79" t="str">
        <f t="shared" si="19"/>
        <v/>
      </c>
      <c r="AY44" s="79" t="str">
        <f t="shared" si="19"/>
        <v/>
      </c>
      <c r="AZ44" s="79" t="str">
        <f t="shared" si="19"/>
        <v/>
      </c>
      <c r="BA44" s="79" t="str">
        <f t="shared" si="19"/>
        <v/>
      </c>
      <c r="BB44" s="79" t="str">
        <f t="shared" si="19"/>
        <v/>
      </c>
      <c r="BC44" s="79" t="str">
        <f t="shared" si="19"/>
        <v/>
      </c>
      <c r="BD44" s="79" t="str">
        <f t="shared" si="19"/>
        <v/>
      </c>
      <c r="BE44" s="79" t="str">
        <f t="shared" si="19"/>
        <v/>
      </c>
      <c r="BF44" s="79" t="str">
        <f t="shared" si="19"/>
        <v/>
      </c>
      <c r="BG44" s="79" t="str">
        <f t="shared" si="19"/>
        <v/>
      </c>
      <c r="BH44" s="79" t="str">
        <f t="shared" si="19"/>
        <v/>
      </c>
      <c r="BI44" s="79" t="str">
        <f t="shared" si="19"/>
        <v/>
      </c>
      <c r="BJ44" s="79" t="str">
        <f t="shared" si="19"/>
        <v/>
      </c>
      <c r="BK44" s="79" t="str">
        <f t="shared" si="19"/>
        <v/>
      </c>
      <c r="BL44" s="79" t="str">
        <f t="shared" si="19"/>
        <v/>
      </c>
      <c r="BM44" s="79" t="str">
        <f t="shared" si="19"/>
        <v/>
      </c>
      <c r="BN44" s="79" t="str">
        <f t="shared" si="19"/>
        <v/>
      </c>
      <c r="BO44" s="79" t="str">
        <f t="shared" ref="BO44:CX44" si="20">IF(ISNUMBER(outYear),IF(outYear&lt;=pbi_combined_term,MIN(pbi_combined_amount*BO5,pbi_combined_maxvalue),0),"")</f>
        <v/>
      </c>
      <c r="BP44" s="79" t="str">
        <f t="shared" si="20"/>
        <v/>
      </c>
      <c r="BQ44" s="79" t="str">
        <f t="shared" si="20"/>
        <v/>
      </c>
      <c r="BR44" s="79" t="str">
        <f t="shared" si="20"/>
        <v/>
      </c>
      <c r="BS44" s="79" t="str">
        <f t="shared" si="20"/>
        <v/>
      </c>
      <c r="BT44" s="79" t="str">
        <f t="shared" si="20"/>
        <v/>
      </c>
      <c r="BU44" s="79" t="str">
        <f t="shared" si="20"/>
        <v/>
      </c>
      <c r="BV44" s="79" t="str">
        <f t="shared" si="20"/>
        <v/>
      </c>
      <c r="BW44" s="79" t="str">
        <f t="shared" si="20"/>
        <v/>
      </c>
      <c r="BX44" s="79" t="str">
        <f t="shared" si="20"/>
        <v/>
      </c>
      <c r="BY44" s="79" t="str">
        <f t="shared" si="20"/>
        <v/>
      </c>
      <c r="BZ44" s="79" t="str">
        <f t="shared" si="20"/>
        <v/>
      </c>
      <c r="CA44" s="79" t="str">
        <f t="shared" si="20"/>
        <v/>
      </c>
      <c r="CB44" s="79" t="str">
        <f t="shared" si="20"/>
        <v/>
      </c>
      <c r="CC44" s="79" t="str">
        <f t="shared" si="20"/>
        <v/>
      </c>
      <c r="CD44" s="79" t="str">
        <f t="shared" si="20"/>
        <v/>
      </c>
      <c r="CE44" s="79" t="str">
        <f t="shared" si="20"/>
        <v/>
      </c>
      <c r="CF44" s="79" t="str">
        <f t="shared" si="20"/>
        <v/>
      </c>
      <c r="CG44" s="79" t="str">
        <f t="shared" si="20"/>
        <v/>
      </c>
      <c r="CH44" s="79" t="str">
        <f t="shared" si="20"/>
        <v/>
      </c>
      <c r="CI44" s="79" t="str">
        <f t="shared" si="20"/>
        <v/>
      </c>
      <c r="CJ44" s="79" t="str">
        <f t="shared" si="20"/>
        <v/>
      </c>
      <c r="CK44" s="79" t="str">
        <f t="shared" si="20"/>
        <v/>
      </c>
      <c r="CL44" s="79" t="str">
        <f t="shared" si="20"/>
        <v/>
      </c>
      <c r="CM44" s="79" t="str">
        <f t="shared" si="20"/>
        <v/>
      </c>
      <c r="CN44" s="79" t="str">
        <f t="shared" si="20"/>
        <v/>
      </c>
      <c r="CO44" s="79" t="str">
        <f t="shared" si="20"/>
        <v/>
      </c>
      <c r="CP44" s="79" t="str">
        <f t="shared" si="20"/>
        <v/>
      </c>
      <c r="CQ44" s="79" t="str">
        <f t="shared" si="20"/>
        <v/>
      </c>
      <c r="CR44" s="79" t="str">
        <f t="shared" si="20"/>
        <v/>
      </c>
      <c r="CS44" s="79" t="str">
        <f t="shared" si="20"/>
        <v/>
      </c>
      <c r="CT44" s="79" t="str">
        <f t="shared" si="20"/>
        <v/>
      </c>
      <c r="CU44" s="79" t="str">
        <f t="shared" si="20"/>
        <v/>
      </c>
      <c r="CV44" s="79" t="str">
        <f t="shared" si="20"/>
        <v/>
      </c>
      <c r="CW44" s="79" t="str">
        <f t="shared" si="20"/>
        <v/>
      </c>
      <c r="CX44" s="79" t="str">
        <f t="shared" si="20"/>
        <v/>
      </c>
    </row>
    <row r="45" spans="1:16384" x14ac:dyDescent="0.2">
      <c r="A45" s="65" t="s">
        <v>29</v>
      </c>
      <c r="B45" s="16"/>
      <c r="C45" s="79">
        <f>C44</f>
        <v>0</v>
      </c>
      <c r="D45" s="79">
        <f t="shared" ref="D45:BO45" si="21">D44</f>
        <v>0</v>
      </c>
      <c r="E45" s="79">
        <f t="shared" si="21"/>
        <v>0</v>
      </c>
      <c r="F45" s="79">
        <f t="shared" si="21"/>
        <v>0</v>
      </c>
      <c r="G45" s="79">
        <f t="shared" si="21"/>
        <v>0</v>
      </c>
      <c r="H45" s="79">
        <f t="shared" si="21"/>
        <v>0</v>
      </c>
      <c r="I45" s="79">
        <f t="shared" si="21"/>
        <v>0</v>
      </c>
      <c r="J45" s="79">
        <f t="shared" si="21"/>
        <v>0</v>
      </c>
      <c r="K45" s="79">
        <f t="shared" si="21"/>
        <v>0</v>
      </c>
      <c r="L45" s="79">
        <f t="shared" si="21"/>
        <v>0</v>
      </c>
      <c r="M45" s="79">
        <f t="shared" si="21"/>
        <v>0</v>
      </c>
      <c r="N45" s="79">
        <f t="shared" si="21"/>
        <v>0</v>
      </c>
      <c r="O45" s="79">
        <f t="shared" si="21"/>
        <v>0</v>
      </c>
      <c r="P45" s="79">
        <f t="shared" si="21"/>
        <v>0</v>
      </c>
      <c r="Q45" s="79">
        <f t="shared" si="21"/>
        <v>0</v>
      </c>
      <c r="R45" s="79">
        <f t="shared" si="21"/>
        <v>0</v>
      </c>
      <c r="S45" s="79">
        <f t="shared" si="21"/>
        <v>0</v>
      </c>
      <c r="T45" s="79">
        <f t="shared" si="21"/>
        <v>0</v>
      </c>
      <c r="U45" s="79">
        <f t="shared" si="21"/>
        <v>0</v>
      </c>
      <c r="V45" s="79">
        <f t="shared" si="21"/>
        <v>0</v>
      </c>
      <c r="W45" s="79">
        <f t="shared" si="21"/>
        <v>0</v>
      </c>
      <c r="X45" s="79">
        <f t="shared" si="21"/>
        <v>0</v>
      </c>
      <c r="Y45" s="79">
        <f t="shared" si="21"/>
        <v>0</v>
      </c>
      <c r="Z45" s="79">
        <f t="shared" si="21"/>
        <v>0</v>
      </c>
      <c r="AA45" s="79">
        <f t="shared" si="21"/>
        <v>0</v>
      </c>
      <c r="AB45" s="79" t="str">
        <f t="shared" si="21"/>
        <v/>
      </c>
      <c r="AC45" s="79" t="str">
        <f t="shared" si="21"/>
        <v/>
      </c>
      <c r="AD45" s="79" t="str">
        <f t="shared" si="21"/>
        <v/>
      </c>
      <c r="AE45" s="79" t="str">
        <f t="shared" si="21"/>
        <v/>
      </c>
      <c r="AF45" s="79" t="str">
        <f t="shared" si="21"/>
        <v/>
      </c>
      <c r="AG45" s="79" t="str">
        <f t="shared" si="21"/>
        <v/>
      </c>
      <c r="AH45" s="79" t="str">
        <f t="shared" si="21"/>
        <v/>
      </c>
      <c r="AI45" s="79" t="str">
        <f t="shared" si="21"/>
        <v/>
      </c>
      <c r="AJ45" s="79" t="str">
        <f t="shared" si="21"/>
        <v/>
      </c>
      <c r="AK45" s="79" t="str">
        <f t="shared" si="21"/>
        <v/>
      </c>
      <c r="AL45" s="79" t="str">
        <f t="shared" si="21"/>
        <v/>
      </c>
      <c r="AM45" s="79" t="str">
        <f t="shared" si="21"/>
        <v/>
      </c>
      <c r="AN45" s="79" t="str">
        <f t="shared" si="21"/>
        <v/>
      </c>
      <c r="AO45" s="79" t="str">
        <f t="shared" si="21"/>
        <v/>
      </c>
      <c r="AP45" s="79" t="str">
        <f t="shared" si="21"/>
        <v/>
      </c>
      <c r="AQ45" s="79" t="str">
        <f t="shared" si="21"/>
        <v/>
      </c>
      <c r="AR45" s="79" t="str">
        <f t="shared" si="21"/>
        <v/>
      </c>
      <c r="AS45" s="79" t="str">
        <f t="shared" si="21"/>
        <v/>
      </c>
      <c r="AT45" s="79" t="str">
        <f t="shared" si="21"/>
        <v/>
      </c>
      <c r="AU45" s="79" t="str">
        <f t="shared" si="21"/>
        <v/>
      </c>
      <c r="AV45" s="79" t="str">
        <f t="shared" si="21"/>
        <v/>
      </c>
      <c r="AW45" s="79" t="str">
        <f t="shared" si="21"/>
        <v/>
      </c>
      <c r="AX45" s="79" t="str">
        <f t="shared" si="21"/>
        <v/>
      </c>
      <c r="AY45" s="79" t="str">
        <f t="shared" si="21"/>
        <v/>
      </c>
      <c r="AZ45" s="79" t="str">
        <f t="shared" si="21"/>
        <v/>
      </c>
      <c r="BA45" s="79" t="str">
        <f t="shared" si="21"/>
        <v/>
      </c>
      <c r="BB45" s="79" t="str">
        <f t="shared" si="21"/>
        <v/>
      </c>
      <c r="BC45" s="79" t="str">
        <f t="shared" si="21"/>
        <v/>
      </c>
      <c r="BD45" s="79" t="str">
        <f t="shared" si="21"/>
        <v/>
      </c>
      <c r="BE45" s="79" t="str">
        <f t="shared" si="21"/>
        <v/>
      </c>
      <c r="BF45" s="79" t="str">
        <f t="shared" si="21"/>
        <v/>
      </c>
      <c r="BG45" s="79" t="str">
        <f t="shared" si="21"/>
        <v/>
      </c>
      <c r="BH45" s="79" t="str">
        <f t="shared" si="21"/>
        <v/>
      </c>
      <c r="BI45" s="79" t="str">
        <f t="shared" si="21"/>
        <v/>
      </c>
      <c r="BJ45" s="79" t="str">
        <f t="shared" si="21"/>
        <v/>
      </c>
      <c r="BK45" s="79" t="str">
        <f t="shared" si="21"/>
        <v/>
      </c>
      <c r="BL45" s="79" t="str">
        <f t="shared" si="21"/>
        <v/>
      </c>
      <c r="BM45" s="79" t="str">
        <f t="shared" si="21"/>
        <v/>
      </c>
      <c r="BN45" s="79" t="str">
        <f t="shared" si="21"/>
        <v/>
      </c>
      <c r="BO45" s="79" t="str">
        <f t="shared" si="21"/>
        <v/>
      </c>
      <c r="BP45" s="79" t="str">
        <f t="shared" ref="BP45:CX45" si="22">BP44</f>
        <v/>
      </c>
      <c r="BQ45" s="79" t="str">
        <f t="shared" si="22"/>
        <v/>
      </c>
      <c r="BR45" s="79" t="str">
        <f t="shared" si="22"/>
        <v/>
      </c>
      <c r="BS45" s="79" t="str">
        <f t="shared" si="22"/>
        <v/>
      </c>
      <c r="BT45" s="79" t="str">
        <f t="shared" si="22"/>
        <v/>
      </c>
      <c r="BU45" s="79" t="str">
        <f t="shared" si="22"/>
        <v/>
      </c>
      <c r="BV45" s="79" t="str">
        <f t="shared" si="22"/>
        <v/>
      </c>
      <c r="BW45" s="79" t="str">
        <f t="shared" si="22"/>
        <v/>
      </c>
      <c r="BX45" s="79" t="str">
        <f t="shared" si="22"/>
        <v/>
      </c>
      <c r="BY45" s="79" t="str">
        <f t="shared" si="22"/>
        <v/>
      </c>
      <c r="BZ45" s="79" t="str">
        <f t="shared" si="22"/>
        <v/>
      </c>
      <c r="CA45" s="79" t="str">
        <f t="shared" si="22"/>
        <v/>
      </c>
      <c r="CB45" s="79" t="str">
        <f t="shared" si="22"/>
        <v/>
      </c>
      <c r="CC45" s="79" t="str">
        <f t="shared" si="22"/>
        <v/>
      </c>
      <c r="CD45" s="79" t="str">
        <f t="shared" si="22"/>
        <v/>
      </c>
      <c r="CE45" s="79" t="str">
        <f t="shared" si="22"/>
        <v/>
      </c>
      <c r="CF45" s="79" t="str">
        <f t="shared" si="22"/>
        <v/>
      </c>
      <c r="CG45" s="79" t="str">
        <f t="shared" si="22"/>
        <v/>
      </c>
      <c r="CH45" s="79" t="str">
        <f t="shared" si="22"/>
        <v/>
      </c>
      <c r="CI45" s="79" t="str">
        <f t="shared" si="22"/>
        <v/>
      </c>
      <c r="CJ45" s="79" t="str">
        <f t="shared" si="22"/>
        <v/>
      </c>
      <c r="CK45" s="79" t="str">
        <f t="shared" si="22"/>
        <v/>
      </c>
      <c r="CL45" s="79" t="str">
        <f t="shared" si="22"/>
        <v/>
      </c>
      <c r="CM45" s="79" t="str">
        <f t="shared" si="22"/>
        <v/>
      </c>
      <c r="CN45" s="79" t="str">
        <f t="shared" si="22"/>
        <v/>
      </c>
      <c r="CO45" s="79" t="str">
        <f t="shared" si="22"/>
        <v/>
      </c>
      <c r="CP45" s="79" t="str">
        <f t="shared" si="22"/>
        <v/>
      </c>
      <c r="CQ45" s="79" t="str">
        <f t="shared" si="22"/>
        <v/>
      </c>
      <c r="CR45" s="79" t="str">
        <f t="shared" si="22"/>
        <v/>
      </c>
      <c r="CS45" s="79" t="str">
        <f t="shared" si="22"/>
        <v/>
      </c>
      <c r="CT45" s="79" t="str">
        <f t="shared" si="22"/>
        <v/>
      </c>
      <c r="CU45" s="79" t="str">
        <f t="shared" si="22"/>
        <v/>
      </c>
      <c r="CV45" s="79" t="str">
        <f t="shared" si="22"/>
        <v/>
      </c>
      <c r="CW45" s="79" t="str">
        <f t="shared" si="22"/>
        <v/>
      </c>
      <c r="CX45" s="79" t="str">
        <f t="shared" si="22"/>
        <v/>
      </c>
    </row>
    <row r="46" spans="1:16384" x14ac:dyDescent="0.2">
      <c r="A46" s="14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</row>
    <row r="47" spans="1:16384" x14ac:dyDescent="0.2">
      <c r="A47" s="64" t="s">
        <v>84</v>
      </c>
      <c r="B47" s="75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76"/>
      <c r="BJ47" s="76"/>
      <c r="BK47" s="76"/>
      <c r="BL47" s="76"/>
      <c r="BM47" s="76"/>
      <c r="BN47" s="76"/>
      <c r="BO47" s="76"/>
      <c r="BP47" s="76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  <c r="CB47" s="76"/>
      <c r="CC47" s="76"/>
      <c r="CD47" s="76"/>
      <c r="CE47" s="76"/>
      <c r="CF47" s="76"/>
      <c r="CG47" s="76"/>
      <c r="CH47" s="76"/>
      <c r="CI47" s="76"/>
      <c r="CJ47" s="76"/>
      <c r="CK47" s="76"/>
      <c r="CL47" s="76"/>
      <c r="CM47" s="76"/>
      <c r="CN47" s="76"/>
      <c r="CO47" s="76"/>
      <c r="CP47" s="76"/>
      <c r="CQ47" s="76"/>
      <c r="CR47" s="76"/>
      <c r="CS47" s="76"/>
      <c r="CT47" s="76"/>
      <c r="CU47" s="76"/>
      <c r="CV47" s="76"/>
      <c r="CW47" s="76"/>
      <c r="CX47" s="73"/>
    </row>
    <row r="48" spans="1:16384" s="85" customFormat="1" x14ac:dyDescent="0.2">
      <c r="A48" s="59" t="s">
        <v>33</v>
      </c>
      <c r="B48" s="83"/>
      <c r="C48" s="84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>162815.4</v>
      </c>
      <c r="D48" s="84">
        <f t="shared" ref="D48:AI48" si="23">IF(ISNUMBER(outYear),IF(pbi_combined_tax_fed="Yes",D44,0),"")</f>
        <v>0</v>
      </c>
      <c r="E48" s="84">
        <f t="shared" si="23"/>
        <v>0</v>
      </c>
      <c r="F48" s="84">
        <f t="shared" si="23"/>
        <v>0</v>
      </c>
      <c r="G48" s="84">
        <f t="shared" si="23"/>
        <v>0</v>
      </c>
      <c r="H48" s="84">
        <f t="shared" si="23"/>
        <v>0</v>
      </c>
      <c r="I48" s="84">
        <f t="shared" si="23"/>
        <v>0</v>
      </c>
      <c r="J48" s="84">
        <f t="shared" si="23"/>
        <v>0</v>
      </c>
      <c r="K48" s="84">
        <f t="shared" si="23"/>
        <v>0</v>
      </c>
      <c r="L48" s="84">
        <f t="shared" si="23"/>
        <v>0</v>
      </c>
      <c r="M48" s="84">
        <f t="shared" si="23"/>
        <v>0</v>
      </c>
      <c r="N48" s="84">
        <f t="shared" si="23"/>
        <v>0</v>
      </c>
      <c r="O48" s="84">
        <f t="shared" si="23"/>
        <v>0</v>
      </c>
      <c r="P48" s="84">
        <f t="shared" si="23"/>
        <v>0</v>
      </c>
      <c r="Q48" s="84">
        <f t="shared" si="23"/>
        <v>0</v>
      </c>
      <c r="R48" s="84">
        <f t="shared" si="23"/>
        <v>0</v>
      </c>
      <c r="S48" s="84">
        <f t="shared" si="23"/>
        <v>0</v>
      </c>
      <c r="T48" s="84">
        <f t="shared" si="23"/>
        <v>0</v>
      </c>
      <c r="U48" s="84">
        <f t="shared" si="23"/>
        <v>0</v>
      </c>
      <c r="V48" s="84">
        <f t="shared" si="23"/>
        <v>0</v>
      </c>
      <c r="W48" s="84">
        <f t="shared" si="23"/>
        <v>0</v>
      </c>
      <c r="X48" s="84">
        <f t="shared" si="23"/>
        <v>0</v>
      </c>
      <c r="Y48" s="84">
        <f t="shared" si="23"/>
        <v>0</v>
      </c>
      <c r="Z48" s="84">
        <f t="shared" si="23"/>
        <v>0</v>
      </c>
      <c r="AA48" s="84">
        <f t="shared" si="23"/>
        <v>0</v>
      </c>
      <c r="AB48" s="84" t="str">
        <f t="shared" si="23"/>
        <v/>
      </c>
      <c r="AC48" s="84" t="str">
        <f t="shared" si="23"/>
        <v/>
      </c>
      <c r="AD48" s="84" t="str">
        <f t="shared" si="23"/>
        <v/>
      </c>
      <c r="AE48" s="84" t="str">
        <f t="shared" si="23"/>
        <v/>
      </c>
      <c r="AF48" s="84" t="str">
        <f t="shared" si="23"/>
        <v/>
      </c>
      <c r="AG48" s="84" t="str">
        <f t="shared" si="23"/>
        <v/>
      </c>
      <c r="AH48" s="84" t="str">
        <f t="shared" si="23"/>
        <v/>
      </c>
      <c r="AI48" s="84" t="str">
        <f t="shared" si="23"/>
        <v/>
      </c>
      <c r="AJ48" s="84" t="str">
        <f t="shared" ref="AJ48:BO48" si="24">IF(ISNUMBER(outYear),IF(pbi_combined_tax_fed="Yes",AJ44,0),"")</f>
        <v/>
      </c>
      <c r="AK48" s="84" t="str">
        <f t="shared" si="24"/>
        <v/>
      </c>
      <c r="AL48" s="84" t="str">
        <f t="shared" si="24"/>
        <v/>
      </c>
      <c r="AM48" s="84" t="str">
        <f t="shared" si="24"/>
        <v/>
      </c>
      <c r="AN48" s="84" t="str">
        <f t="shared" si="24"/>
        <v/>
      </c>
      <c r="AO48" s="84" t="str">
        <f t="shared" si="24"/>
        <v/>
      </c>
      <c r="AP48" s="84" t="str">
        <f t="shared" si="24"/>
        <v/>
      </c>
      <c r="AQ48" s="84" t="str">
        <f t="shared" si="24"/>
        <v/>
      </c>
      <c r="AR48" s="84" t="str">
        <f t="shared" si="24"/>
        <v/>
      </c>
      <c r="AS48" s="84" t="str">
        <f t="shared" si="24"/>
        <v/>
      </c>
      <c r="AT48" s="84" t="str">
        <f t="shared" si="24"/>
        <v/>
      </c>
      <c r="AU48" s="84" t="str">
        <f t="shared" si="24"/>
        <v/>
      </c>
      <c r="AV48" s="84" t="str">
        <f t="shared" si="24"/>
        <v/>
      </c>
      <c r="AW48" s="84" t="str">
        <f t="shared" si="24"/>
        <v/>
      </c>
      <c r="AX48" s="84" t="str">
        <f t="shared" si="24"/>
        <v/>
      </c>
      <c r="AY48" s="84" t="str">
        <f t="shared" si="24"/>
        <v/>
      </c>
      <c r="AZ48" s="84" t="str">
        <f t="shared" si="24"/>
        <v/>
      </c>
      <c r="BA48" s="84" t="str">
        <f t="shared" si="24"/>
        <v/>
      </c>
      <c r="BB48" s="84" t="str">
        <f t="shared" si="24"/>
        <v/>
      </c>
      <c r="BC48" s="84" t="str">
        <f t="shared" si="24"/>
        <v/>
      </c>
      <c r="BD48" s="84" t="str">
        <f t="shared" si="24"/>
        <v/>
      </c>
      <c r="BE48" s="84" t="str">
        <f t="shared" si="24"/>
        <v/>
      </c>
      <c r="BF48" s="84" t="str">
        <f t="shared" si="24"/>
        <v/>
      </c>
      <c r="BG48" s="84" t="str">
        <f t="shared" si="24"/>
        <v/>
      </c>
      <c r="BH48" s="84" t="str">
        <f t="shared" si="24"/>
        <v/>
      </c>
      <c r="BI48" s="84" t="str">
        <f t="shared" si="24"/>
        <v/>
      </c>
      <c r="BJ48" s="84" t="str">
        <f t="shared" si="24"/>
        <v/>
      </c>
      <c r="BK48" s="84" t="str">
        <f t="shared" si="24"/>
        <v/>
      </c>
      <c r="BL48" s="84" t="str">
        <f t="shared" si="24"/>
        <v/>
      </c>
      <c r="BM48" s="84" t="str">
        <f t="shared" si="24"/>
        <v/>
      </c>
      <c r="BN48" s="84" t="str">
        <f t="shared" si="24"/>
        <v/>
      </c>
      <c r="BO48" s="84" t="str">
        <f t="shared" si="24"/>
        <v/>
      </c>
      <c r="BP48" s="84" t="str">
        <f t="shared" ref="BP48:CX48" si="25">IF(ISNUMBER(outYear),IF(pbi_combined_tax_fed="Yes",BP44,0),"")</f>
        <v/>
      </c>
      <c r="BQ48" s="84" t="str">
        <f t="shared" si="25"/>
        <v/>
      </c>
      <c r="BR48" s="84" t="str">
        <f t="shared" si="25"/>
        <v/>
      </c>
      <c r="BS48" s="84" t="str">
        <f t="shared" si="25"/>
        <v/>
      </c>
      <c r="BT48" s="84" t="str">
        <f t="shared" si="25"/>
        <v/>
      </c>
      <c r="BU48" s="84" t="str">
        <f t="shared" si="25"/>
        <v/>
      </c>
      <c r="BV48" s="84" t="str">
        <f t="shared" si="25"/>
        <v/>
      </c>
      <c r="BW48" s="84" t="str">
        <f t="shared" si="25"/>
        <v/>
      </c>
      <c r="BX48" s="84" t="str">
        <f t="shared" si="25"/>
        <v/>
      </c>
      <c r="BY48" s="84" t="str">
        <f t="shared" si="25"/>
        <v/>
      </c>
      <c r="BZ48" s="84" t="str">
        <f t="shared" si="25"/>
        <v/>
      </c>
      <c r="CA48" s="84" t="str">
        <f t="shared" si="25"/>
        <v/>
      </c>
      <c r="CB48" s="84" t="str">
        <f t="shared" si="25"/>
        <v/>
      </c>
      <c r="CC48" s="84" t="str">
        <f t="shared" si="25"/>
        <v/>
      </c>
      <c r="CD48" s="84" t="str">
        <f t="shared" si="25"/>
        <v/>
      </c>
      <c r="CE48" s="84" t="str">
        <f t="shared" si="25"/>
        <v/>
      </c>
      <c r="CF48" s="84" t="str">
        <f t="shared" si="25"/>
        <v/>
      </c>
      <c r="CG48" s="84" t="str">
        <f t="shared" si="25"/>
        <v/>
      </c>
      <c r="CH48" s="84" t="str">
        <f t="shared" si="25"/>
        <v/>
      </c>
      <c r="CI48" s="84" t="str">
        <f t="shared" si="25"/>
        <v/>
      </c>
      <c r="CJ48" s="84" t="str">
        <f t="shared" si="25"/>
        <v/>
      </c>
      <c r="CK48" s="84" t="str">
        <f t="shared" si="25"/>
        <v/>
      </c>
      <c r="CL48" s="84" t="str">
        <f t="shared" si="25"/>
        <v/>
      </c>
      <c r="CM48" s="84" t="str">
        <f t="shared" si="25"/>
        <v/>
      </c>
      <c r="CN48" s="84" t="str">
        <f t="shared" si="25"/>
        <v/>
      </c>
      <c r="CO48" s="84" t="str">
        <f t="shared" si="25"/>
        <v/>
      </c>
      <c r="CP48" s="84" t="str">
        <f t="shared" si="25"/>
        <v/>
      </c>
      <c r="CQ48" s="84" t="str">
        <f t="shared" si="25"/>
        <v/>
      </c>
      <c r="CR48" s="84" t="str">
        <f t="shared" si="25"/>
        <v/>
      </c>
      <c r="CS48" s="84" t="str">
        <f t="shared" si="25"/>
        <v/>
      </c>
      <c r="CT48" s="84" t="str">
        <f t="shared" si="25"/>
        <v/>
      </c>
      <c r="CU48" s="84" t="str">
        <f t="shared" si="25"/>
        <v/>
      </c>
      <c r="CV48" s="84" t="str">
        <f t="shared" si="25"/>
        <v/>
      </c>
      <c r="CW48" s="84" t="str">
        <f t="shared" si="25"/>
        <v/>
      </c>
      <c r="CX48" s="84" t="str">
        <f t="shared" si="25"/>
        <v/>
      </c>
      <c r="CY48" s="84" t="str">
        <f>IF(ISNUMBER(outYear),CY37+CY42+#REF!+#REF!,"")</f>
        <v/>
      </c>
      <c r="CZ48" s="84" t="str">
        <f>IF(ISNUMBER(outYear),CZ37+CZ42+#REF!+#REF!,"")</f>
        <v/>
      </c>
      <c r="DA48" s="84" t="str">
        <f>IF(ISNUMBER(outYear),DA37+DA42+#REF!+#REF!,"")</f>
        <v/>
      </c>
      <c r="DB48" s="84" t="str">
        <f>IF(ISNUMBER(outYear),DB37+DB42+#REF!+#REF!,"")</f>
        <v/>
      </c>
      <c r="DC48" s="84" t="str">
        <f>IF(ISNUMBER(outYear),DC37+DC42+#REF!+#REF!,"")</f>
        <v/>
      </c>
      <c r="DD48" s="84" t="str">
        <f>IF(ISNUMBER(outYear),DD37+DD42+#REF!+#REF!,"")</f>
        <v/>
      </c>
      <c r="DE48" s="84" t="str">
        <f>IF(ISNUMBER(outYear),DE37+DE42+#REF!+#REF!,"")</f>
        <v/>
      </c>
      <c r="DF48" s="84" t="str">
        <f>IF(ISNUMBER(outYear),DF37+DF42+#REF!+#REF!,"")</f>
        <v/>
      </c>
      <c r="DG48" s="84" t="str">
        <f>IF(ISNUMBER(outYear),DG37+DG42+#REF!+#REF!,"")</f>
        <v/>
      </c>
      <c r="DH48" s="84" t="str">
        <f>IF(ISNUMBER(outYear),DH37+DH42+#REF!+#REF!,"")</f>
        <v/>
      </c>
      <c r="DI48" s="84" t="str">
        <f>IF(ISNUMBER(outYear),DI37+DI42+#REF!+#REF!,"")</f>
        <v/>
      </c>
      <c r="DJ48" s="84" t="str">
        <f>IF(ISNUMBER(outYear),DJ37+DJ42+#REF!+#REF!,"")</f>
        <v/>
      </c>
      <c r="DK48" s="84" t="str">
        <f>IF(ISNUMBER(outYear),DK37+DK42+#REF!+#REF!,"")</f>
        <v/>
      </c>
      <c r="DL48" s="84" t="str">
        <f>IF(ISNUMBER(outYear),DL37+DL42+#REF!+#REF!,"")</f>
        <v/>
      </c>
      <c r="DM48" s="84" t="str">
        <f>IF(ISNUMBER(outYear),DM37+DM42+#REF!+#REF!,"")</f>
        <v/>
      </c>
      <c r="DN48" s="84" t="str">
        <f>IF(ISNUMBER(outYear),DN37+DN42+#REF!+#REF!,"")</f>
        <v/>
      </c>
      <c r="DO48" s="84" t="str">
        <f>IF(ISNUMBER(outYear),DO37+DO42+#REF!+#REF!,"")</f>
        <v/>
      </c>
      <c r="DP48" s="84" t="str">
        <f>IF(ISNUMBER(outYear),DP37+DP42+#REF!+#REF!,"")</f>
        <v/>
      </c>
      <c r="DQ48" s="84" t="str">
        <f>IF(ISNUMBER(outYear),DQ37+DQ42+#REF!+#REF!,"")</f>
        <v/>
      </c>
      <c r="DR48" s="84" t="str">
        <f>IF(ISNUMBER(outYear),DR37+DR42+#REF!+#REF!,"")</f>
        <v/>
      </c>
      <c r="DS48" s="84" t="str">
        <f>IF(ISNUMBER(outYear),DS37+DS42+#REF!+#REF!,"")</f>
        <v/>
      </c>
      <c r="DT48" s="84" t="str">
        <f>IF(ISNUMBER(outYear),DT37+DT42+#REF!+#REF!,"")</f>
        <v/>
      </c>
      <c r="DU48" s="84" t="str">
        <f>IF(ISNUMBER(outYear),DU37+DU42+#REF!+#REF!,"")</f>
        <v/>
      </c>
      <c r="DV48" s="84" t="str">
        <f>IF(ISNUMBER(outYear),DV37+DV42+#REF!+#REF!,"")</f>
        <v/>
      </c>
      <c r="DW48" s="84" t="str">
        <f>IF(ISNUMBER(outYear),DW37+DW42+#REF!+#REF!,"")</f>
        <v/>
      </c>
      <c r="DX48" s="84" t="str">
        <f>IF(ISNUMBER(outYear),DX37+DX42+#REF!+#REF!,"")</f>
        <v/>
      </c>
      <c r="DY48" s="84" t="str">
        <f>IF(ISNUMBER(outYear),DY37+DY42+#REF!+#REF!,"")</f>
        <v/>
      </c>
      <c r="DZ48" s="84" t="str">
        <f>IF(ISNUMBER(outYear),DZ37+DZ42+#REF!+#REF!,"")</f>
        <v/>
      </c>
      <c r="EA48" s="84" t="str">
        <f>IF(ISNUMBER(outYear),EA37+EA42+#REF!+#REF!,"")</f>
        <v/>
      </c>
      <c r="EB48" s="84" t="str">
        <f>IF(ISNUMBER(outYear),EB37+EB42+#REF!+#REF!,"")</f>
        <v/>
      </c>
      <c r="EC48" s="84" t="str">
        <f>IF(ISNUMBER(outYear),EC37+EC42+#REF!+#REF!,"")</f>
        <v/>
      </c>
      <c r="ED48" s="84" t="str">
        <f>IF(ISNUMBER(outYear),ED37+ED42+#REF!+#REF!,"")</f>
        <v/>
      </c>
      <c r="EE48" s="84" t="str">
        <f>IF(ISNUMBER(outYear),EE37+EE42+#REF!+#REF!,"")</f>
        <v/>
      </c>
      <c r="EF48" s="84" t="str">
        <f>IF(ISNUMBER(outYear),EF37+EF42+#REF!+#REF!,"")</f>
        <v/>
      </c>
      <c r="EG48" s="84" t="str">
        <f>IF(ISNUMBER(outYear),EG37+EG42+#REF!+#REF!,"")</f>
        <v/>
      </c>
      <c r="EH48" s="84" t="str">
        <f>IF(ISNUMBER(outYear),EH37+EH42+#REF!+#REF!,"")</f>
        <v/>
      </c>
      <c r="EI48" s="84" t="str">
        <f>IF(ISNUMBER(outYear),EI37+EI42+#REF!+#REF!,"")</f>
        <v/>
      </c>
      <c r="EJ48" s="84" t="str">
        <f>IF(ISNUMBER(outYear),EJ37+EJ42+#REF!+#REF!,"")</f>
        <v/>
      </c>
      <c r="EK48" s="84" t="str">
        <f>IF(ISNUMBER(outYear),EK37+EK42+#REF!+#REF!,"")</f>
        <v/>
      </c>
      <c r="EL48" s="84" t="str">
        <f>IF(ISNUMBER(outYear),EL37+EL42+#REF!+#REF!,"")</f>
        <v/>
      </c>
      <c r="EM48" s="84" t="str">
        <f>IF(ISNUMBER(outYear),EM37+EM42+#REF!+#REF!,"")</f>
        <v/>
      </c>
      <c r="EN48" s="84" t="str">
        <f>IF(ISNUMBER(outYear),EN37+EN42+#REF!+#REF!,"")</f>
        <v/>
      </c>
      <c r="EO48" s="84" t="str">
        <f>IF(ISNUMBER(outYear),EO37+EO42+#REF!+#REF!,"")</f>
        <v/>
      </c>
      <c r="EP48" s="84" t="str">
        <f>IF(ISNUMBER(outYear),EP37+EP42+#REF!+#REF!,"")</f>
        <v/>
      </c>
      <c r="EQ48" s="84" t="str">
        <f>IF(ISNUMBER(outYear),EQ37+EQ42+#REF!+#REF!,"")</f>
        <v/>
      </c>
      <c r="ER48" s="84" t="str">
        <f>IF(ISNUMBER(outYear),ER37+ER42+#REF!+#REF!,"")</f>
        <v/>
      </c>
      <c r="ES48" s="84" t="str">
        <f>IF(ISNUMBER(outYear),ES37+ES42+#REF!+#REF!,"")</f>
        <v/>
      </c>
      <c r="ET48" s="84" t="str">
        <f>IF(ISNUMBER(outYear),ET37+ET42+#REF!+#REF!,"")</f>
        <v/>
      </c>
      <c r="EU48" s="84" t="str">
        <f>IF(ISNUMBER(outYear),EU37+EU42+#REF!+#REF!,"")</f>
        <v/>
      </c>
      <c r="EV48" s="84" t="str">
        <f>IF(ISNUMBER(outYear),EV37+EV42+#REF!+#REF!,"")</f>
        <v/>
      </c>
      <c r="EW48" s="84" t="str">
        <f>IF(ISNUMBER(outYear),EW37+EW42+#REF!+#REF!,"")</f>
        <v/>
      </c>
      <c r="EX48" s="84" t="str">
        <f>IF(ISNUMBER(outYear),EX37+EX42+#REF!+#REF!,"")</f>
        <v/>
      </c>
      <c r="EY48" s="84" t="str">
        <f>IF(ISNUMBER(outYear),EY37+EY42+#REF!+#REF!,"")</f>
        <v/>
      </c>
      <c r="EZ48" s="84" t="str">
        <f>IF(ISNUMBER(outYear),EZ37+EZ42+#REF!+#REF!,"")</f>
        <v/>
      </c>
      <c r="FA48" s="84" t="str">
        <f>IF(ISNUMBER(outYear),FA37+FA42+#REF!+#REF!,"")</f>
        <v/>
      </c>
      <c r="FB48" s="84" t="str">
        <f>IF(ISNUMBER(outYear),FB37+FB42+#REF!+#REF!,"")</f>
        <v/>
      </c>
      <c r="FC48" s="84" t="str">
        <f>IF(ISNUMBER(outYear),FC37+FC42+#REF!+#REF!,"")</f>
        <v/>
      </c>
      <c r="FD48" s="84" t="str">
        <f>IF(ISNUMBER(outYear),FD37+FD42+#REF!+#REF!,"")</f>
        <v/>
      </c>
      <c r="FE48" s="84" t="str">
        <f>IF(ISNUMBER(outYear),FE37+FE42+#REF!+#REF!,"")</f>
        <v/>
      </c>
      <c r="FF48" s="84" t="str">
        <f>IF(ISNUMBER(outYear),FF37+FF42+#REF!+#REF!,"")</f>
        <v/>
      </c>
      <c r="FG48" s="84" t="str">
        <f>IF(ISNUMBER(outYear),FG37+FG42+#REF!+#REF!,"")</f>
        <v/>
      </c>
      <c r="FH48" s="84" t="str">
        <f>IF(ISNUMBER(outYear),FH37+FH42+#REF!+#REF!,"")</f>
        <v/>
      </c>
      <c r="FI48" s="84" t="str">
        <f>IF(ISNUMBER(outYear),FI37+FI42+#REF!+#REF!,"")</f>
        <v/>
      </c>
      <c r="FJ48" s="84" t="str">
        <f>IF(ISNUMBER(outYear),FJ37+FJ42+#REF!+#REF!,"")</f>
        <v/>
      </c>
      <c r="FK48" s="84" t="str">
        <f>IF(ISNUMBER(outYear),FK37+FK42+#REF!+#REF!,"")</f>
        <v/>
      </c>
      <c r="FL48" s="84" t="str">
        <f>IF(ISNUMBER(outYear),FL37+FL42+#REF!+#REF!,"")</f>
        <v/>
      </c>
      <c r="FM48" s="84" t="str">
        <f>IF(ISNUMBER(outYear),FM37+FM42+#REF!+#REF!,"")</f>
        <v/>
      </c>
      <c r="FN48" s="84" t="str">
        <f>IF(ISNUMBER(outYear),FN37+FN42+#REF!+#REF!,"")</f>
        <v/>
      </c>
      <c r="FO48" s="84" t="str">
        <f>IF(ISNUMBER(outYear),FO37+FO42+#REF!+#REF!,"")</f>
        <v/>
      </c>
      <c r="FP48" s="84" t="str">
        <f>IF(ISNUMBER(outYear),FP37+FP42+#REF!+#REF!,"")</f>
        <v/>
      </c>
      <c r="FQ48" s="84" t="str">
        <f>IF(ISNUMBER(outYear),FQ37+FQ42+#REF!+#REF!,"")</f>
        <v/>
      </c>
      <c r="FR48" s="84" t="str">
        <f>IF(ISNUMBER(outYear),FR37+FR42+#REF!+#REF!,"")</f>
        <v/>
      </c>
      <c r="FS48" s="84" t="str">
        <f>IF(ISNUMBER(outYear),FS37+FS42+#REF!+#REF!,"")</f>
        <v/>
      </c>
      <c r="FT48" s="84" t="str">
        <f>IF(ISNUMBER(outYear),FT37+FT42+#REF!+#REF!,"")</f>
        <v/>
      </c>
      <c r="FU48" s="84" t="str">
        <f>IF(ISNUMBER(outYear),FU37+FU42+#REF!+#REF!,"")</f>
        <v/>
      </c>
      <c r="FV48" s="84" t="str">
        <f>IF(ISNUMBER(outYear),FV37+FV42+#REF!+#REF!,"")</f>
        <v/>
      </c>
      <c r="FW48" s="84" t="str">
        <f>IF(ISNUMBER(outYear),FW37+FW42+#REF!+#REF!,"")</f>
        <v/>
      </c>
      <c r="FX48" s="84" t="str">
        <f>IF(ISNUMBER(outYear),FX37+FX42+#REF!+#REF!,"")</f>
        <v/>
      </c>
      <c r="FY48" s="84" t="str">
        <f>IF(ISNUMBER(outYear),FY37+FY42+#REF!+#REF!,"")</f>
        <v/>
      </c>
      <c r="FZ48" s="84" t="str">
        <f>IF(ISNUMBER(outYear),FZ37+FZ42+#REF!+#REF!,"")</f>
        <v/>
      </c>
      <c r="GA48" s="84" t="str">
        <f>IF(ISNUMBER(outYear),GA37+GA42+#REF!+#REF!,"")</f>
        <v/>
      </c>
      <c r="GB48" s="84" t="str">
        <f>IF(ISNUMBER(outYear),GB37+GB42+#REF!+#REF!,"")</f>
        <v/>
      </c>
      <c r="GC48" s="84" t="str">
        <f>IF(ISNUMBER(outYear),GC37+GC42+#REF!+#REF!,"")</f>
        <v/>
      </c>
      <c r="GD48" s="84" t="str">
        <f>IF(ISNUMBER(outYear),GD37+GD42+#REF!+#REF!,"")</f>
        <v/>
      </c>
      <c r="GE48" s="84" t="str">
        <f>IF(ISNUMBER(outYear),GE37+GE42+#REF!+#REF!,"")</f>
        <v/>
      </c>
      <c r="GF48" s="84" t="str">
        <f>IF(ISNUMBER(outYear),GF37+GF42+#REF!+#REF!,"")</f>
        <v/>
      </c>
      <c r="GG48" s="84" t="str">
        <f>IF(ISNUMBER(outYear),GG37+GG42+#REF!+#REF!,"")</f>
        <v/>
      </c>
      <c r="GH48" s="84" t="str">
        <f>IF(ISNUMBER(outYear),GH37+GH42+#REF!+#REF!,"")</f>
        <v/>
      </c>
      <c r="GI48" s="84" t="str">
        <f>IF(ISNUMBER(outYear),GI37+GI42+#REF!+#REF!,"")</f>
        <v/>
      </c>
      <c r="GJ48" s="84" t="str">
        <f>IF(ISNUMBER(outYear),GJ37+GJ42+#REF!+#REF!,"")</f>
        <v/>
      </c>
      <c r="GK48" s="84" t="str">
        <f>IF(ISNUMBER(outYear),GK37+GK42+#REF!+#REF!,"")</f>
        <v/>
      </c>
      <c r="GL48" s="84" t="str">
        <f>IF(ISNUMBER(outYear),GL37+GL42+#REF!+#REF!,"")</f>
        <v/>
      </c>
      <c r="GM48" s="84" t="str">
        <f>IF(ISNUMBER(outYear),GM37+GM42+#REF!+#REF!,"")</f>
        <v/>
      </c>
      <c r="GN48" s="84" t="str">
        <f>IF(ISNUMBER(outYear),GN37+GN42+#REF!+#REF!,"")</f>
        <v/>
      </c>
      <c r="GO48" s="84" t="str">
        <f>IF(ISNUMBER(outYear),GO37+GO42+#REF!+#REF!,"")</f>
        <v/>
      </c>
      <c r="GP48" s="84" t="str">
        <f>IF(ISNUMBER(outYear),GP37+GP42+#REF!+#REF!,"")</f>
        <v/>
      </c>
      <c r="GQ48" s="84" t="str">
        <f>IF(ISNUMBER(outYear),GQ37+GQ42+#REF!+#REF!,"")</f>
        <v/>
      </c>
      <c r="GR48" s="84" t="str">
        <f>IF(ISNUMBER(outYear),GR37+GR42+#REF!+#REF!,"")</f>
        <v/>
      </c>
      <c r="GS48" s="84" t="str">
        <f>IF(ISNUMBER(outYear),GS37+GS42+#REF!+#REF!,"")</f>
        <v/>
      </c>
      <c r="GT48" s="84" t="str">
        <f>IF(ISNUMBER(outYear),GT37+GT42+#REF!+#REF!,"")</f>
        <v/>
      </c>
      <c r="GU48" s="84" t="str">
        <f>IF(ISNUMBER(outYear),GU37+GU42+#REF!+#REF!,"")</f>
        <v/>
      </c>
      <c r="GV48" s="84" t="str">
        <f>IF(ISNUMBER(outYear),GV37+GV42+#REF!+#REF!,"")</f>
        <v/>
      </c>
      <c r="GW48" s="84" t="str">
        <f>IF(ISNUMBER(outYear),GW37+GW42+#REF!+#REF!,"")</f>
        <v/>
      </c>
      <c r="GX48" s="84" t="str">
        <f>IF(ISNUMBER(outYear),GX37+GX42+#REF!+#REF!,"")</f>
        <v/>
      </c>
      <c r="GY48" s="84" t="str">
        <f>IF(ISNUMBER(outYear),GY37+GY42+#REF!+#REF!,"")</f>
        <v/>
      </c>
      <c r="GZ48" s="84" t="str">
        <f>IF(ISNUMBER(outYear),GZ37+GZ42+#REF!+#REF!,"")</f>
        <v/>
      </c>
      <c r="HA48" s="84" t="str">
        <f>IF(ISNUMBER(outYear),HA37+HA42+#REF!+#REF!,"")</f>
        <v/>
      </c>
      <c r="HB48" s="84" t="str">
        <f>IF(ISNUMBER(outYear),HB37+HB42+#REF!+#REF!,"")</f>
        <v/>
      </c>
      <c r="HC48" s="84" t="str">
        <f>IF(ISNUMBER(outYear),HC37+HC42+#REF!+#REF!,"")</f>
        <v/>
      </c>
      <c r="HD48" s="84" t="str">
        <f>IF(ISNUMBER(outYear),HD37+HD42+#REF!+#REF!,"")</f>
        <v/>
      </c>
      <c r="HE48" s="84" t="str">
        <f>IF(ISNUMBER(outYear),HE37+HE42+#REF!+#REF!,"")</f>
        <v/>
      </c>
      <c r="HF48" s="84" t="str">
        <f>IF(ISNUMBER(outYear),HF37+HF42+#REF!+#REF!,"")</f>
        <v/>
      </c>
      <c r="HG48" s="84" t="str">
        <f>IF(ISNUMBER(outYear),HG37+HG42+#REF!+#REF!,"")</f>
        <v/>
      </c>
      <c r="HH48" s="84" t="str">
        <f>IF(ISNUMBER(outYear),HH37+HH42+#REF!+#REF!,"")</f>
        <v/>
      </c>
      <c r="HI48" s="84" t="str">
        <f>IF(ISNUMBER(outYear),HI37+HI42+#REF!+#REF!,"")</f>
        <v/>
      </c>
      <c r="HJ48" s="84" t="str">
        <f>IF(ISNUMBER(outYear),HJ37+HJ42+#REF!+#REF!,"")</f>
        <v/>
      </c>
      <c r="HK48" s="84" t="str">
        <f>IF(ISNUMBER(outYear),HK37+HK42+#REF!+#REF!,"")</f>
        <v/>
      </c>
      <c r="HL48" s="84" t="str">
        <f>IF(ISNUMBER(outYear),HL37+HL42+#REF!+#REF!,"")</f>
        <v/>
      </c>
      <c r="HM48" s="84" t="str">
        <f>IF(ISNUMBER(outYear),HM37+HM42+#REF!+#REF!,"")</f>
        <v/>
      </c>
      <c r="HN48" s="84" t="str">
        <f>IF(ISNUMBER(outYear),HN37+HN42+#REF!+#REF!,"")</f>
        <v/>
      </c>
      <c r="HO48" s="84" t="str">
        <f>IF(ISNUMBER(outYear),HO37+HO42+#REF!+#REF!,"")</f>
        <v/>
      </c>
      <c r="HP48" s="84" t="str">
        <f>IF(ISNUMBER(outYear),HP37+HP42+#REF!+#REF!,"")</f>
        <v/>
      </c>
      <c r="HQ48" s="84" t="str">
        <f>IF(ISNUMBER(outYear),HQ37+HQ42+#REF!+#REF!,"")</f>
        <v/>
      </c>
      <c r="HR48" s="84" t="str">
        <f>IF(ISNUMBER(outYear),HR37+HR42+#REF!+#REF!,"")</f>
        <v/>
      </c>
      <c r="HS48" s="84" t="str">
        <f>IF(ISNUMBER(outYear),HS37+HS42+#REF!+#REF!,"")</f>
        <v/>
      </c>
      <c r="HT48" s="84" t="str">
        <f>IF(ISNUMBER(outYear),HT37+HT42+#REF!+#REF!,"")</f>
        <v/>
      </c>
      <c r="HU48" s="84" t="str">
        <f>IF(ISNUMBER(outYear),HU37+HU42+#REF!+#REF!,"")</f>
        <v/>
      </c>
      <c r="HV48" s="84" t="str">
        <f>IF(ISNUMBER(outYear),HV37+HV42+#REF!+#REF!,"")</f>
        <v/>
      </c>
      <c r="HW48" s="84" t="str">
        <f>IF(ISNUMBER(outYear),HW37+HW42+#REF!+#REF!,"")</f>
        <v/>
      </c>
      <c r="HX48" s="84" t="str">
        <f>IF(ISNUMBER(outYear),HX37+HX42+#REF!+#REF!,"")</f>
        <v/>
      </c>
      <c r="HY48" s="84" t="str">
        <f>IF(ISNUMBER(outYear),HY37+HY42+#REF!+#REF!,"")</f>
        <v/>
      </c>
      <c r="HZ48" s="84" t="str">
        <f>IF(ISNUMBER(outYear),HZ37+HZ42+#REF!+#REF!,"")</f>
        <v/>
      </c>
      <c r="IA48" s="84" t="str">
        <f>IF(ISNUMBER(outYear),IA37+IA42+#REF!+#REF!,"")</f>
        <v/>
      </c>
      <c r="IB48" s="84" t="str">
        <f>IF(ISNUMBER(outYear),IB37+IB42+#REF!+#REF!,"")</f>
        <v/>
      </c>
      <c r="IC48" s="84" t="str">
        <f>IF(ISNUMBER(outYear),IC37+IC42+#REF!+#REF!,"")</f>
        <v/>
      </c>
      <c r="ID48" s="84" t="str">
        <f>IF(ISNUMBER(outYear),ID37+ID42+#REF!+#REF!,"")</f>
        <v/>
      </c>
      <c r="IE48" s="84" t="str">
        <f>IF(ISNUMBER(outYear),IE37+IE42+#REF!+#REF!,"")</f>
        <v/>
      </c>
      <c r="IF48" s="84" t="str">
        <f>IF(ISNUMBER(outYear),IF37+IF42+#REF!+#REF!,"")</f>
        <v/>
      </c>
      <c r="IG48" s="84" t="str">
        <f>IF(ISNUMBER(outYear),IG37+IG42+#REF!+#REF!,"")</f>
        <v/>
      </c>
      <c r="IH48" s="84" t="str">
        <f>IF(ISNUMBER(outYear),IH37+IH42+#REF!+#REF!,"")</f>
        <v/>
      </c>
      <c r="II48" s="84" t="str">
        <f>IF(ISNUMBER(outYear),II37+II42+#REF!+#REF!,"")</f>
        <v/>
      </c>
      <c r="IJ48" s="84" t="str">
        <f>IF(ISNUMBER(outYear),IJ37+IJ42+#REF!+#REF!,"")</f>
        <v/>
      </c>
      <c r="IK48" s="84" t="str">
        <f>IF(ISNUMBER(outYear),IK37+IK42+#REF!+#REF!,"")</f>
        <v/>
      </c>
      <c r="IL48" s="84" t="str">
        <f>IF(ISNUMBER(outYear),IL37+IL42+#REF!+#REF!,"")</f>
        <v/>
      </c>
      <c r="IM48" s="84" t="str">
        <f>IF(ISNUMBER(outYear),IM37+IM42+#REF!+#REF!,"")</f>
        <v/>
      </c>
      <c r="IN48" s="84" t="str">
        <f>IF(ISNUMBER(outYear),IN37+IN42+#REF!+#REF!,"")</f>
        <v/>
      </c>
      <c r="IO48" s="84" t="str">
        <f>IF(ISNUMBER(outYear),IO37+IO42+#REF!+#REF!,"")</f>
        <v/>
      </c>
      <c r="IP48" s="84" t="str">
        <f>IF(ISNUMBER(outYear),IP37+IP42+#REF!+#REF!,"")</f>
        <v/>
      </c>
      <c r="IQ48" s="84" t="str">
        <f>IF(ISNUMBER(outYear),IQ37+IQ42+#REF!+#REF!,"")</f>
        <v/>
      </c>
      <c r="IR48" s="84" t="str">
        <f>IF(ISNUMBER(outYear),IR37+IR42+#REF!+#REF!,"")</f>
        <v/>
      </c>
      <c r="IS48" s="84" t="str">
        <f>IF(ISNUMBER(outYear),IS37+IS42+#REF!+#REF!,"")</f>
        <v/>
      </c>
      <c r="IT48" s="84" t="str">
        <f>IF(ISNUMBER(outYear),IT37+IT42+#REF!+#REF!,"")</f>
        <v/>
      </c>
      <c r="IU48" s="84" t="str">
        <f>IF(ISNUMBER(outYear),IU37+IU42+#REF!+#REF!,"")</f>
        <v/>
      </c>
      <c r="IV48" s="84" t="str">
        <f>IF(ISNUMBER(outYear),IV37+IV42+#REF!+#REF!,"")</f>
        <v/>
      </c>
      <c r="IW48" s="84" t="str">
        <f>IF(ISNUMBER(outYear),IW37+IW42+#REF!+#REF!,"")</f>
        <v/>
      </c>
      <c r="IX48" s="84" t="str">
        <f>IF(ISNUMBER(outYear),IX37+IX42+#REF!+#REF!,"")</f>
        <v/>
      </c>
      <c r="IY48" s="84" t="str">
        <f>IF(ISNUMBER(outYear),IY37+IY42+#REF!+#REF!,"")</f>
        <v/>
      </c>
      <c r="IZ48" s="84" t="str">
        <f>IF(ISNUMBER(outYear),IZ37+IZ42+#REF!+#REF!,"")</f>
        <v/>
      </c>
      <c r="JA48" s="84" t="str">
        <f>IF(ISNUMBER(outYear),JA37+JA42+#REF!+#REF!,"")</f>
        <v/>
      </c>
      <c r="JB48" s="84" t="str">
        <f>IF(ISNUMBER(outYear),JB37+JB42+#REF!+#REF!,"")</f>
        <v/>
      </c>
      <c r="JC48" s="84" t="str">
        <f>IF(ISNUMBER(outYear),JC37+JC42+#REF!+#REF!,"")</f>
        <v/>
      </c>
      <c r="JD48" s="84" t="str">
        <f>IF(ISNUMBER(outYear),JD37+JD42+#REF!+#REF!,"")</f>
        <v/>
      </c>
      <c r="JE48" s="84" t="str">
        <f>IF(ISNUMBER(outYear),JE37+JE42+#REF!+#REF!,"")</f>
        <v/>
      </c>
      <c r="JF48" s="84" t="str">
        <f>IF(ISNUMBER(outYear),JF37+JF42+#REF!+#REF!,"")</f>
        <v/>
      </c>
      <c r="JG48" s="84" t="str">
        <f>IF(ISNUMBER(outYear),JG37+JG42+#REF!+#REF!,"")</f>
        <v/>
      </c>
      <c r="JH48" s="84" t="str">
        <f>IF(ISNUMBER(outYear),JH37+JH42+#REF!+#REF!,"")</f>
        <v/>
      </c>
      <c r="JI48" s="84" t="str">
        <f>IF(ISNUMBER(outYear),JI37+JI42+#REF!+#REF!,"")</f>
        <v/>
      </c>
      <c r="JJ48" s="84" t="str">
        <f>IF(ISNUMBER(outYear),JJ37+JJ42+#REF!+#REF!,"")</f>
        <v/>
      </c>
      <c r="JK48" s="84" t="str">
        <f>IF(ISNUMBER(outYear),JK37+JK42+#REF!+#REF!,"")</f>
        <v/>
      </c>
      <c r="JL48" s="84" t="str">
        <f>IF(ISNUMBER(outYear),JL37+JL42+#REF!+#REF!,"")</f>
        <v/>
      </c>
      <c r="JM48" s="84" t="str">
        <f>IF(ISNUMBER(outYear),JM37+JM42+#REF!+#REF!,"")</f>
        <v/>
      </c>
      <c r="JN48" s="84" t="str">
        <f>IF(ISNUMBER(outYear),JN37+JN42+#REF!+#REF!,"")</f>
        <v/>
      </c>
      <c r="JO48" s="84" t="str">
        <f>IF(ISNUMBER(outYear),JO37+JO42+#REF!+#REF!,"")</f>
        <v/>
      </c>
      <c r="JP48" s="84" t="str">
        <f>IF(ISNUMBER(outYear),JP37+JP42+#REF!+#REF!,"")</f>
        <v/>
      </c>
      <c r="JQ48" s="84" t="str">
        <f>IF(ISNUMBER(outYear),JQ37+JQ42+#REF!+#REF!,"")</f>
        <v/>
      </c>
      <c r="JR48" s="84" t="str">
        <f>IF(ISNUMBER(outYear),JR37+JR42+#REF!+#REF!,"")</f>
        <v/>
      </c>
      <c r="JS48" s="84" t="str">
        <f>IF(ISNUMBER(outYear),JS37+JS42+#REF!+#REF!,"")</f>
        <v/>
      </c>
      <c r="JT48" s="84" t="str">
        <f>IF(ISNUMBER(outYear),JT37+JT42+#REF!+#REF!,"")</f>
        <v/>
      </c>
      <c r="JU48" s="84" t="str">
        <f>IF(ISNUMBER(outYear),JU37+JU42+#REF!+#REF!,"")</f>
        <v/>
      </c>
      <c r="JV48" s="84" t="str">
        <f>IF(ISNUMBER(outYear),JV37+JV42+#REF!+#REF!,"")</f>
        <v/>
      </c>
      <c r="JW48" s="84" t="str">
        <f>IF(ISNUMBER(outYear),JW37+JW42+#REF!+#REF!,"")</f>
        <v/>
      </c>
      <c r="JX48" s="84" t="str">
        <f>IF(ISNUMBER(outYear),JX37+JX42+#REF!+#REF!,"")</f>
        <v/>
      </c>
      <c r="JY48" s="84" t="str">
        <f>IF(ISNUMBER(outYear),JY37+JY42+#REF!+#REF!,"")</f>
        <v/>
      </c>
      <c r="JZ48" s="84" t="str">
        <f>IF(ISNUMBER(outYear),JZ37+JZ42+#REF!+#REF!,"")</f>
        <v/>
      </c>
      <c r="KA48" s="84" t="str">
        <f>IF(ISNUMBER(outYear),KA37+KA42+#REF!+#REF!,"")</f>
        <v/>
      </c>
      <c r="KB48" s="84" t="str">
        <f>IF(ISNUMBER(outYear),KB37+KB42+#REF!+#REF!,"")</f>
        <v/>
      </c>
      <c r="KC48" s="84" t="str">
        <f>IF(ISNUMBER(outYear),KC37+KC42+#REF!+#REF!,"")</f>
        <v/>
      </c>
      <c r="KD48" s="84" t="str">
        <f>IF(ISNUMBER(outYear),KD37+KD42+#REF!+#REF!,"")</f>
        <v/>
      </c>
      <c r="KE48" s="84" t="str">
        <f>IF(ISNUMBER(outYear),KE37+KE42+#REF!+#REF!,"")</f>
        <v/>
      </c>
      <c r="KF48" s="84" t="str">
        <f>IF(ISNUMBER(outYear),KF37+KF42+#REF!+#REF!,"")</f>
        <v/>
      </c>
      <c r="KG48" s="84" t="str">
        <f>IF(ISNUMBER(outYear),KG37+KG42+#REF!+#REF!,"")</f>
        <v/>
      </c>
      <c r="KH48" s="84" t="str">
        <f>IF(ISNUMBER(outYear),KH37+KH42+#REF!+#REF!,"")</f>
        <v/>
      </c>
      <c r="KI48" s="84" t="str">
        <f>IF(ISNUMBER(outYear),KI37+KI42+#REF!+#REF!,"")</f>
        <v/>
      </c>
      <c r="KJ48" s="84" t="str">
        <f>IF(ISNUMBER(outYear),KJ37+KJ42+#REF!+#REF!,"")</f>
        <v/>
      </c>
      <c r="KK48" s="84" t="str">
        <f>IF(ISNUMBER(outYear),KK37+KK42+#REF!+#REF!,"")</f>
        <v/>
      </c>
      <c r="KL48" s="84" t="str">
        <f>IF(ISNUMBER(outYear),KL37+KL42+#REF!+#REF!,"")</f>
        <v/>
      </c>
      <c r="KM48" s="84" t="str">
        <f>IF(ISNUMBER(outYear),KM37+KM42+#REF!+#REF!,"")</f>
        <v/>
      </c>
      <c r="KN48" s="84" t="str">
        <f>IF(ISNUMBER(outYear),KN37+KN42+#REF!+#REF!,"")</f>
        <v/>
      </c>
      <c r="KO48" s="84" t="str">
        <f>IF(ISNUMBER(outYear),KO37+KO42+#REF!+#REF!,"")</f>
        <v/>
      </c>
      <c r="KP48" s="84" t="str">
        <f>IF(ISNUMBER(outYear),KP37+KP42+#REF!+#REF!,"")</f>
        <v/>
      </c>
      <c r="KQ48" s="84" t="str">
        <f>IF(ISNUMBER(outYear),KQ37+KQ42+#REF!+#REF!,"")</f>
        <v/>
      </c>
      <c r="KR48" s="84" t="str">
        <f>IF(ISNUMBER(outYear),KR37+KR42+#REF!+#REF!,"")</f>
        <v/>
      </c>
      <c r="KS48" s="84" t="str">
        <f>IF(ISNUMBER(outYear),KS37+KS42+#REF!+#REF!,"")</f>
        <v/>
      </c>
      <c r="KT48" s="84" t="str">
        <f>IF(ISNUMBER(outYear),KT37+KT42+#REF!+#REF!,"")</f>
        <v/>
      </c>
      <c r="KU48" s="84" t="str">
        <f>IF(ISNUMBER(outYear),KU37+KU42+#REF!+#REF!,"")</f>
        <v/>
      </c>
      <c r="KV48" s="84" t="str">
        <f>IF(ISNUMBER(outYear),KV37+KV42+#REF!+#REF!,"")</f>
        <v/>
      </c>
      <c r="KW48" s="84" t="str">
        <f>IF(ISNUMBER(outYear),KW37+KW42+#REF!+#REF!,"")</f>
        <v/>
      </c>
      <c r="KX48" s="84" t="str">
        <f>IF(ISNUMBER(outYear),KX37+KX42+#REF!+#REF!,"")</f>
        <v/>
      </c>
      <c r="KY48" s="84" t="str">
        <f>IF(ISNUMBER(outYear),KY37+KY42+#REF!+#REF!,"")</f>
        <v/>
      </c>
      <c r="KZ48" s="84" t="str">
        <f>IF(ISNUMBER(outYear),KZ37+KZ42+#REF!+#REF!,"")</f>
        <v/>
      </c>
      <c r="LA48" s="84" t="str">
        <f>IF(ISNUMBER(outYear),LA37+LA42+#REF!+#REF!,"")</f>
        <v/>
      </c>
      <c r="LB48" s="84" t="str">
        <f>IF(ISNUMBER(outYear),LB37+LB42+#REF!+#REF!,"")</f>
        <v/>
      </c>
      <c r="LC48" s="84" t="str">
        <f>IF(ISNUMBER(outYear),LC37+LC42+#REF!+#REF!,"")</f>
        <v/>
      </c>
      <c r="LD48" s="84" t="str">
        <f>IF(ISNUMBER(outYear),LD37+LD42+#REF!+#REF!,"")</f>
        <v/>
      </c>
      <c r="LE48" s="84" t="str">
        <f>IF(ISNUMBER(outYear),LE37+LE42+#REF!+#REF!,"")</f>
        <v/>
      </c>
      <c r="LF48" s="84" t="str">
        <f>IF(ISNUMBER(outYear),LF37+LF42+#REF!+#REF!,"")</f>
        <v/>
      </c>
      <c r="LG48" s="84" t="str">
        <f>IF(ISNUMBER(outYear),LG37+LG42+#REF!+#REF!,"")</f>
        <v/>
      </c>
      <c r="LH48" s="84" t="str">
        <f>IF(ISNUMBER(outYear),LH37+LH42+#REF!+#REF!,"")</f>
        <v/>
      </c>
      <c r="LI48" s="84" t="str">
        <f>IF(ISNUMBER(outYear),LI37+LI42+#REF!+#REF!,"")</f>
        <v/>
      </c>
      <c r="LJ48" s="84" t="str">
        <f>IF(ISNUMBER(outYear),LJ37+LJ42+#REF!+#REF!,"")</f>
        <v/>
      </c>
      <c r="LK48" s="84" t="str">
        <f>IF(ISNUMBER(outYear),LK37+LK42+#REF!+#REF!,"")</f>
        <v/>
      </c>
      <c r="LL48" s="84" t="str">
        <f>IF(ISNUMBER(outYear),LL37+LL42+#REF!+#REF!,"")</f>
        <v/>
      </c>
      <c r="LM48" s="84" t="str">
        <f>IF(ISNUMBER(outYear),LM37+LM42+#REF!+#REF!,"")</f>
        <v/>
      </c>
      <c r="LN48" s="84" t="str">
        <f>IF(ISNUMBER(outYear),LN37+LN42+#REF!+#REF!,"")</f>
        <v/>
      </c>
      <c r="LO48" s="84" t="str">
        <f>IF(ISNUMBER(outYear),LO37+LO42+#REF!+#REF!,"")</f>
        <v/>
      </c>
      <c r="LP48" s="84" t="str">
        <f>IF(ISNUMBER(outYear),LP37+LP42+#REF!+#REF!,"")</f>
        <v/>
      </c>
      <c r="LQ48" s="84" t="str">
        <f>IF(ISNUMBER(outYear),LQ37+LQ42+#REF!+#REF!,"")</f>
        <v/>
      </c>
      <c r="LR48" s="84" t="str">
        <f>IF(ISNUMBER(outYear),LR37+LR42+#REF!+#REF!,"")</f>
        <v/>
      </c>
      <c r="LS48" s="84" t="str">
        <f>IF(ISNUMBER(outYear),LS37+LS42+#REF!+#REF!,"")</f>
        <v/>
      </c>
      <c r="LT48" s="84" t="str">
        <f>IF(ISNUMBER(outYear),LT37+LT42+#REF!+#REF!,"")</f>
        <v/>
      </c>
      <c r="LU48" s="84" t="str">
        <f>IF(ISNUMBER(outYear),LU37+LU42+#REF!+#REF!,"")</f>
        <v/>
      </c>
      <c r="LV48" s="84" t="str">
        <f>IF(ISNUMBER(outYear),LV37+LV42+#REF!+#REF!,"")</f>
        <v/>
      </c>
      <c r="LW48" s="84" t="str">
        <f>IF(ISNUMBER(outYear),LW37+LW42+#REF!+#REF!,"")</f>
        <v/>
      </c>
      <c r="LX48" s="84" t="str">
        <f>IF(ISNUMBER(outYear),LX37+LX42+#REF!+#REF!,"")</f>
        <v/>
      </c>
      <c r="LY48" s="84" t="str">
        <f>IF(ISNUMBER(outYear),LY37+LY42+#REF!+#REF!,"")</f>
        <v/>
      </c>
      <c r="LZ48" s="84" t="str">
        <f>IF(ISNUMBER(outYear),LZ37+LZ42+#REF!+#REF!,"")</f>
        <v/>
      </c>
      <c r="MA48" s="84" t="str">
        <f>IF(ISNUMBER(outYear),MA37+MA42+#REF!+#REF!,"")</f>
        <v/>
      </c>
      <c r="MB48" s="84" t="str">
        <f>IF(ISNUMBER(outYear),MB37+MB42+#REF!+#REF!,"")</f>
        <v/>
      </c>
      <c r="MC48" s="84" t="str">
        <f>IF(ISNUMBER(outYear),MC37+MC42+#REF!+#REF!,"")</f>
        <v/>
      </c>
      <c r="MD48" s="84" t="str">
        <f>IF(ISNUMBER(outYear),MD37+MD42+#REF!+#REF!,"")</f>
        <v/>
      </c>
      <c r="ME48" s="84" t="str">
        <f>IF(ISNUMBER(outYear),ME37+ME42+#REF!+#REF!,"")</f>
        <v/>
      </c>
      <c r="MF48" s="84" t="str">
        <f>IF(ISNUMBER(outYear),MF37+MF42+#REF!+#REF!,"")</f>
        <v/>
      </c>
      <c r="MG48" s="84" t="str">
        <f>IF(ISNUMBER(outYear),MG37+MG42+#REF!+#REF!,"")</f>
        <v/>
      </c>
      <c r="MH48" s="84" t="str">
        <f>IF(ISNUMBER(outYear),MH37+MH42+#REF!+#REF!,"")</f>
        <v/>
      </c>
      <c r="MI48" s="84" t="str">
        <f>IF(ISNUMBER(outYear),MI37+MI42+#REF!+#REF!,"")</f>
        <v/>
      </c>
      <c r="MJ48" s="84" t="str">
        <f>IF(ISNUMBER(outYear),MJ37+MJ42+#REF!+#REF!,"")</f>
        <v/>
      </c>
      <c r="MK48" s="84" t="str">
        <f>IF(ISNUMBER(outYear),MK37+MK42+#REF!+#REF!,"")</f>
        <v/>
      </c>
      <c r="ML48" s="84" t="str">
        <f>IF(ISNUMBER(outYear),ML37+ML42+#REF!+#REF!,"")</f>
        <v/>
      </c>
      <c r="MM48" s="84" t="str">
        <f>IF(ISNUMBER(outYear),MM37+MM42+#REF!+#REF!,"")</f>
        <v/>
      </c>
      <c r="MN48" s="84" t="str">
        <f>IF(ISNUMBER(outYear),MN37+MN42+#REF!+#REF!,"")</f>
        <v/>
      </c>
      <c r="MO48" s="84" t="str">
        <f>IF(ISNUMBER(outYear),MO37+MO42+#REF!+#REF!,"")</f>
        <v/>
      </c>
      <c r="MP48" s="84" t="str">
        <f>IF(ISNUMBER(outYear),MP37+MP42+#REF!+#REF!,"")</f>
        <v/>
      </c>
      <c r="MQ48" s="84" t="str">
        <f>IF(ISNUMBER(outYear),MQ37+MQ42+#REF!+#REF!,"")</f>
        <v/>
      </c>
      <c r="MR48" s="84" t="str">
        <f>IF(ISNUMBER(outYear),MR37+MR42+#REF!+#REF!,"")</f>
        <v/>
      </c>
      <c r="MS48" s="84" t="str">
        <f>IF(ISNUMBER(outYear),MS37+MS42+#REF!+#REF!,"")</f>
        <v/>
      </c>
      <c r="MT48" s="84" t="str">
        <f>IF(ISNUMBER(outYear),MT37+MT42+#REF!+#REF!,"")</f>
        <v/>
      </c>
      <c r="MU48" s="84" t="str">
        <f>IF(ISNUMBER(outYear),MU37+MU42+#REF!+#REF!,"")</f>
        <v/>
      </c>
      <c r="MV48" s="84" t="str">
        <f>IF(ISNUMBER(outYear),MV37+MV42+#REF!+#REF!,"")</f>
        <v/>
      </c>
      <c r="MW48" s="84" t="str">
        <f>IF(ISNUMBER(outYear),MW37+MW42+#REF!+#REF!,"")</f>
        <v/>
      </c>
      <c r="MX48" s="84" t="str">
        <f>IF(ISNUMBER(outYear),MX37+MX42+#REF!+#REF!,"")</f>
        <v/>
      </c>
      <c r="MY48" s="84" t="str">
        <f>IF(ISNUMBER(outYear),MY37+MY42+#REF!+#REF!,"")</f>
        <v/>
      </c>
      <c r="MZ48" s="84" t="str">
        <f>IF(ISNUMBER(outYear),MZ37+MZ42+#REF!+#REF!,"")</f>
        <v/>
      </c>
      <c r="NA48" s="84" t="str">
        <f>IF(ISNUMBER(outYear),NA37+NA42+#REF!+#REF!,"")</f>
        <v/>
      </c>
      <c r="NB48" s="84" t="str">
        <f>IF(ISNUMBER(outYear),NB37+NB42+#REF!+#REF!,"")</f>
        <v/>
      </c>
      <c r="NC48" s="84" t="str">
        <f>IF(ISNUMBER(outYear),NC37+NC42+#REF!+#REF!,"")</f>
        <v/>
      </c>
      <c r="ND48" s="84" t="str">
        <f>IF(ISNUMBER(outYear),ND37+ND42+#REF!+#REF!,"")</f>
        <v/>
      </c>
      <c r="NE48" s="84" t="str">
        <f>IF(ISNUMBER(outYear),NE37+NE42+#REF!+#REF!,"")</f>
        <v/>
      </c>
      <c r="NF48" s="84" t="str">
        <f>IF(ISNUMBER(outYear),NF37+NF42+#REF!+#REF!,"")</f>
        <v/>
      </c>
      <c r="NG48" s="84" t="str">
        <f>IF(ISNUMBER(outYear),NG37+NG42+#REF!+#REF!,"")</f>
        <v/>
      </c>
      <c r="NH48" s="84" t="str">
        <f>IF(ISNUMBER(outYear),NH37+NH42+#REF!+#REF!,"")</f>
        <v/>
      </c>
      <c r="NI48" s="84" t="str">
        <f>IF(ISNUMBER(outYear),NI37+NI42+#REF!+#REF!,"")</f>
        <v/>
      </c>
      <c r="NJ48" s="84" t="str">
        <f>IF(ISNUMBER(outYear),NJ37+NJ42+#REF!+#REF!,"")</f>
        <v/>
      </c>
      <c r="NK48" s="84" t="str">
        <f>IF(ISNUMBER(outYear),NK37+NK42+#REF!+#REF!,"")</f>
        <v/>
      </c>
      <c r="NL48" s="84" t="str">
        <f>IF(ISNUMBER(outYear),NL37+NL42+#REF!+#REF!,"")</f>
        <v/>
      </c>
      <c r="NM48" s="84" t="str">
        <f>IF(ISNUMBER(outYear),NM37+NM42+#REF!+#REF!,"")</f>
        <v/>
      </c>
      <c r="NN48" s="84" t="str">
        <f>IF(ISNUMBER(outYear),NN37+NN42+#REF!+#REF!,"")</f>
        <v/>
      </c>
      <c r="NO48" s="84" t="str">
        <f>IF(ISNUMBER(outYear),NO37+NO42+#REF!+#REF!,"")</f>
        <v/>
      </c>
      <c r="NP48" s="84" t="str">
        <f>IF(ISNUMBER(outYear),NP37+NP42+#REF!+#REF!,"")</f>
        <v/>
      </c>
      <c r="NQ48" s="84" t="str">
        <f>IF(ISNUMBER(outYear),NQ37+NQ42+#REF!+#REF!,"")</f>
        <v/>
      </c>
      <c r="NR48" s="84" t="str">
        <f>IF(ISNUMBER(outYear),NR37+NR42+#REF!+#REF!,"")</f>
        <v/>
      </c>
      <c r="NS48" s="84" t="str">
        <f>IF(ISNUMBER(outYear),NS37+NS42+#REF!+#REF!,"")</f>
        <v/>
      </c>
      <c r="NT48" s="84" t="str">
        <f>IF(ISNUMBER(outYear),NT37+NT42+#REF!+#REF!,"")</f>
        <v/>
      </c>
      <c r="NU48" s="84" t="str">
        <f>IF(ISNUMBER(outYear),NU37+NU42+#REF!+#REF!,"")</f>
        <v/>
      </c>
      <c r="NV48" s="84" t="str">
        <f>IF(ISNUMBER(outYear),NV37+NV42+#REF!+#REF!,"")</f>
        <v/>
      </c>
      <c r="NW48" s="84" t="str">
        <f>IF(ISNUMBER(outYear),NW37+NW42+#REF!+#REF!,"")</f>
        <v/>
      </c>
      <c r="NX48" s="84" t="str">
        <f>IF(ISNUMBER(outYear),NX37+NX42+#REF!+#REF!,"")</f>
        <v/>
      </c>
      <c r="NY48" s="84" t="str">
        <f>IF(ISNUMBER(outYear),NY37+NY42+#REF!+#REF!,"")</f>
        <v/>
      </c>
      <c r="NZ48" s="84" t="str">
        <f>IF(ISNUMBER(outYear),NZ37+NZ42+#REF!+#REF!,"")</f>
        <v/>
      </c>
      <c r="OA48" s="84" t="str">
        <f>IF(ISNUMBER(outYear),OA37+OA42+#REF!+#REF!,"")</f>
        <v/>
      </c>
      <c r="OB48" s="84" t="str">
        <f>IF(ISNUMBER(outYear),OB37+OB42+#REF!+#REF!,"")</f>
        <v/>
      </c>
      <c r="OC48" s="84" t="str">
        <f>IF(ISNUMBER(outYear),OC37+OC42+#REF!+#REF!,"")</f>
        <v/>
      </c>
      <c r="OD48" s="84" t="str">
        <f>IF(ISNUMBER(outYear),OD37+OD42+#REF!+#REF!,"")</f>
        <v/>
      </c>
      <c r="OE48" s="84" t="str">
        <f>IF(ISNUMBER(outYear),OE37+OE42+#REF!+#REF!,"")</f>
        <v/>
      </c>
      <c r="OF48" s="84" t="str">
        <f>IF(ISNUMBER(outYear),OF37+OF42+#REF!+#REF!,"")</f>
        <v/>
      </c>
      <c r="OG48" s="84" t="str">
        <f>IF(ISNUMBER(outYear),OG37+OG42+#REF!+#REF!,"")</f>
        <v/>
      </c>
      <c r="OH48" s="84" t="str">
        <f>IF(ISNUMBER(outYear),OH37+OH42+#REF!+#REF!,"")</f>
        <v/>
      </c>
      <c r="OI48" s="84" t="str">
        <f>IF(ISNUMBER(outYear),OI37+OI42+#REF!+#REF!,"")</f>
        <v/>
      </c>
      <c r="OJ48" s="84" t="str">
        <f>IF(ISNUMBER(outYear),OJ37+OJ42+#REF!+#REF!,"")</f>
        <v/>
      </c>
      <c r="OK48" s="84" t="str">
        <f>IF(ISNUMBER(outYear),OK37+OK42+#REF!+#REF!,"")</f>
        <v/>
      </c>
      <c r="OL48" s="84" t="str">
        <f>IF(ISNUMBER(outYear),OL37+OL42+#REF!+#REF!,"")</f>
        <v/>
      </c>
      <c r="OM48" s="84" t="str">
        <f>IF(ISNUMBER(outYear),OM37+OM42+#REF!+#REF!,"")</f>
        <v/>
      </c>
      <c r="ON48" s="84" t="str">
        <f>IF(ISNUMBER(outYear),ON37+ON42+#REF!+#REF!,"")</f>
        <v/>
      </c>
      <c r="OO48" s="84" t="str">
        <f>IF(ISNUMBER(outYear),OO37+OO42+#REF!+#REF!,"")</f>
        <v/>
      </c>
      <c r="OP48" s="84" t="str">
        <f>IF(ISNUMBER(outYear),OP37+OP42+#REF!+#REF!,"")</f>
        <v/>
      </c>
      <c r="OQ48" s="84" t="str">
        <f>IF(ISNUMBER(outYear),OQ37+OQ42+#REF!+#REF!,"")</f>
        <v/>
      </c>
      <c r="OR48" s="84" t="str">
        <f>IF(ISNUMBER(outYear),OR37+OR42+#REF!+#REF!,"")</f>
        <v/>
      </c>
      <c r="OS48" s="84" t="str">
        <f>IF(ISNUMBER(outYear),OS37+OS42+#REF!+#REF!,"")</f>
        <v/>
      </c>
      <c r="OT48" s="84" t="str">
        <f>IF(ISNUMBER(outYear),OT37+OT42+#REF!+#REF!,"")</f>
        <v/>
      </c>
      <c r="OU48" s="84" t="str">
        <f>IF(ISNUMBER(outYear),OU37+OU42+#REF!+#REF!,"")</f>
        <v/>
      </c>
      <c r="OV48" s="84" t="str">
        <f>IF(ISNUMBER(outYear),OV37+OV42+#REF!+#REF!,"")</f>
        <v/>
      </c>
      <c r="OW48" s="84" t="str">
        <f>IF(ISNUMBER(outYear),OW37+OW42+#REF!+#REF!,"")</f>
        <v/>
      </c>
      <c r="OX48" s="84" t="str">
        <f>IF(ISNUMBER(outYear),OX37+OX42+#REF!+#REF!,"")</f>
        <v/>
      </c>
      <c r="OY48" s="84" t="str">
        <f>IF(ISNUMBER(outYear),OY37+OY42+#REF!+#REF!,"")</f>
        <v/>
      </c>
      <c r="OZ48" s="84" t="str">
        <f>IF(ISNUMBER(outYear),OZ37+OZ42+#REF!+#REF!,"")</f>
        <v/>
      </c>
      <c r="PA48" s="84" t="str">
        <f>IF(ISNUMBER(outYear),PA37+PA42+#REF!+#REF!,"")</f>
        <v/>
      </c>
      <c r="PB48" s="84" t="str">
        <f>IF(ISNUMBER(outYear),PB37+PB42+#REF!+#REF!,"")</f>
        <v/>
      </c>
      <c r="PC48" s="84" t="str">
        <f>IF(ISNUMBER(outYear),PC37+PC42+#REF!+#REF!,"")</f>
        <v/>
      </c>
      <c r="PD48" s="84" t="str">
        <f>IF(ISNUMBER(outYear),PD37+PD42+#REF!+#REF!,"")</f>
        <v/>
      </c>
      <c r="PE48" s="84" t="str">
        <f>IF(ISNUMBER(outYear),PE37+PE42+#REF!+#REF!,"")</f>
        <v/>
      </c>
      <c r="PF48" s="84" t="str">
        <f>IF(ISNUMBER(outYear),PF37+PF42+#REF!+#REF!,"")</f>
        <v/>
      </c>
      <c r="PG48" s="84" t="str">
        <f>IF(ISNUMBER(outYear),PG37+PG42+#REF!+#REF!,"")</f>
        <v/>
      </c>
      <c r="PH48" s="84" t="str">
        <f>IF(ISNUMBER(outYear),PH37+PH42+#REF!+#REF!,"")</f>
        <v/>
      </c>
      <c r="PI48" s="84" t="str">
        <f>IF(ISNUMBER(outYear),PI37+PI42+#REF!+#REF!,"")</f>
        <v/>
      </c>
      <c r="PJ48" s="84" t="str">
        <f>IF(ISNUMBER(outYear),PJ37+PJ42+#REF!+#REF!,"")</f>
        <v/>
      </c>
      <c r="PK48" s="84" t="str">
        <f>IF(ISNUMBER(outYear),PK37+PK42+#REF!+#REF!,"")</f>
        <v/>
      </c>
      <c r="PL48" s="84" t="str">
        <f>IF(ISNUMBER(outYear),PL37+PL42+#REF!+#REF!,"")</f>
        <v/>
      </c>
      <c r="PM48" s="84" t="str">
        <f>IF(ISNUMBER(outYear),PM37+PM42+#REF!+#REF!,"")</f>
        <v/>
      </c>
      <c r="PN48" s="84" t="str">
        <f>IF(ISNUMBER(outYear),PN37+PN42+#REF!+#REF!,"")</f>
        <v/>
      </c>
      <c r="PO48" s="84" t="str">
        <f>IF(ISNUMBER(outYear),PO37+PO42+#REF!+#REF!,"")</f>
        <v/>
      </c>
      <c r="PP48" s="84" t="str">
        <f>IF(ISNUMBER(outYear),PP37+PP42+#REF!+#REF!,"")</f>
        <v/>
      </c>
      <c r="PQ48" s="84" t="str">
        <f>IF(ISNUMBER(outYear),PQ37+PQ42+#REF!+#REF!,"")</f>
        <v/>
      </c>
      <c r="PR48" s="84" t="str">
        <f>IF(ISNUMBER(outYear),PR37+PR42+#REF!+#REF!,"")</f>
        <v/>
      </c>
      <c r="PS48" s="84" t="str">
        <f>IF(ISNUMBER(outYear),PS37+PS42+#REF!+#REF!,"")</f>
        <v/>
      </c>
      <c r="PT48" s="84" t="str">
        <f>IF(ISNUMBER(outYear),PT37+PT42+#REF!+#REF!,"")</f>
        <v/>
      </c>
      <c r="PU48" s="84" t="str">
        <f>IF(ISNUMBER(outYear),PU37+PU42+#REF!+#REF!,"")</f>
        <v/>
      </c>
      <c r="PV48" s="84" t="str">
        <f>IF(ISNUMBER(outYear),PV37+PV42+#REF!+#REF!,"")</f>
        <v/>
      </c>
      <c r="PW48" s="84" t="str">
        <f>IF(ISNUMBER(outYear),PW37+PW42+#REF!+#REF!,"")</f>
        <v/>
      </c>
      <c r="PX48" s="84" t="str">
        <f>IF(ISNUMBER(outYear),PX37+PX42+#REF!+#REF!,"")</f>
        <v/>
      </c>
      <c r="PY48" s="84" t="str">
        <f>IF(ISNUMBER(outYear),PY37+PY42+#REF!+#REF!,"")</f>
        <v/>
      </c>
      <c r="PZ48" s="84" t="str">
        <f>IF(ISNUMBER(outYear),PZ37+PZ42+#REF!+#REF!,"")</f>
        <v/>
      </c>
      <c r="QA48" s="84" t="str">
        <f>IF(ISNUMBER(outYear),QA37+QA42+#REF!+#REF!,"")</f>
        <v/>
      </c>
      <c r="QB48" s="84" t="str">
        <f>IF(ISNUMBER(outYear),QB37+QB42+#REF!+#REF!,"")</f>
        <v/>
      </c>
      <c r="QC48" s="84" t="str">
        <f>IF(ISNUMBER(outYear),QC37+QC42+#REF!+#REF!,"")</f>
        <v/>
      </c>
      <c r="QD48" s="84" t="str">
        <f>IF(ISNUMBER(outYear),QD37+QD42+#REF!+#REF!,"")</f>
        <v/>
      </c>
      <c r="QE48" s="84" t="str">
        <f>IF(ISNUMBER(outYear),QE37+QE42+#REF!+#REF!,"")</f>
        <v/>
      </c>
      <c r="QF48" s="84" t="str">
        <f>IF(ISNUMBER(outYear),QF37+QF42+#REF!+#REF!,"")</f>
        <v/>
      </c>
      <c r="QG48" s="84" t="str">
        <f>IF(ISNUMBER(outYear),QG37+QG42+#REF!+#REF!,"")</f>
        <v/>
      </c>
      <c r="QH48" s="84" t="str">
        <f>IF(ISNUMBER(outYear),QH37+QH42+#REF!+#REF!,"")</f>
        <v/>
      </c>
      <c r="QI48" s="84" t="str">
        <f>IF(ISNUMBER(outYear),QI37+QI42+#REF!+#REF!,"")</f>
        <v/>
      </c>
      <c r="QJ48" s="84" t="str">
        <f>IF(ISNUMBER(outYear),QJ37+QJ42+#REF!+#REF!,"")</f>
        <v/>
      </c>
      <c r="QK48" s="84" t="str">
        <f>IF(ISNUMBER(outYear),QK37+QK42+#REF!+#REF!,"")</f>
        <v/>
      </c>
      <c r="QL48" s="84" t="str">
        <f>IF(ISNUMBER(outYear),QL37+QL42+#REF!+#REF!,"")</f>
        <v/>
      </c>
      <c r="QM48" s="84" t="str">
        <f>IF(ISNUMBER(outYear),QM37+QM42+#REF!+#REF!,"")</f>
        <v/>
      </c>
      <c r="QN48" s="84" t="str">
        <f>IF(ISNUMBER(outYear),QN37+QN42+#REF!+#REF!,"")</f>
        <v/>
      </c>
      <c r="QO48" s="84" t="str">
        <f>IF(ISNUMBER(outYear),QO37+QO42+#REF!+#REF!,"")</f>
        <v/>
      </c>
      <c r="QP48" s="84" t="str">
        <f>IF(ISNUMBER(outYear),QP37+QP42+#REF!+#REF!,"")</f>
        <v/>
      </c>
      <c r="QQ48" s="84" t="str">
        <f>IF(ISNUMBER(outYear),QQ37+QQ42+#REF!+#REF!,"")</f>
        <v/>
      </c>
      <c r="QR48" s="84" t="str">
        <f>IF(ISNUMBER(outYear),QR37+QR42+#REF!+#REF!,"")</f>
        <v/>
      </c>
      <c r="QS48" s="84" t="str">
        <f>IF(ISNUMBER(outYear),QS37+QS42+#REF!+#REF!,"")</f>
        <v/>
      </c>
      <c r="QT48" s="84" t="str">
        <f>IF(ISNUMBER(outYear),QT37+QT42+#REF!+#REF!,"")</f>
        <v/>
      </c>
      <c r="QU48" s="84" t="str">
        <f>IF(ISNUMBER(outYear),QU37+QU42+#REF!+#REF!,"")</f>
        <v/>
      </c>
      <c r="QV48" s="84" t="str">
        <f>IF(ISNUMBER(outYear),QV37+QV42+#REF!+#REF!,"")</f>
        <v/>
      </c>
      <c r="QW48" s="84" t="str">
        <f>IF(ISNUMBER(outYear),QW37+QW42+#REF!+#REF!,"")</f>
        <v/>
      </c>
      <c r="QX48" s="84" t="str">
        <f>IF(ISNUMBER(outYear),QX37+QX42+#REF!+#REF!,"")</f>
        <v/>
      </c>
      <c r="QY48" s="84" t="str">
        <f>IF(ISNUMBER(outYear),QY37+QY42+#REF!+#REF!,"")</f>
        <v/>
      </c>
      <c r="QZ48" s="84" t="str">
        <f>IF(ISNUMBER(outYear),QZ37+QZ42+#REF!+#REF!,"")</f>
        <v/>
      </c>
      <c r="RA48" s="84" t="str">
        <f>IF(ISNUMBER(outYear),RA37+RA42+#REF!+#REF!,"")</f>
        <v/>
      </c>
      <c r="RB48" s="84" t="str">
        <f>IF(ISNUMBER(outYear),RB37+RB42+#REF!+#REF!,"")</f>
        <v/>
      </c>
      <c r="RC48" s="84" t="str">
        <f>IF(ISNUMBER(outYear),RC37+RC42+#REF!+#REF!,"")</f>
        <v/>
      </c>
      <c r="RD48" s="84" t="str">
        <f>IF(ISNUMBER(outYear),RD37+RD42+#REF!+#REF!,"")</f>
        <v/>
      </c>
      <c r="RE48" s="84" t="str">
        <f>IF(ISNUMBER(outYear),RE37+RE42+#REF!+#REF!,"")</f>
        <v/>
      </c>
      <c r="RF48" s="84" t="str">
        <f>IF(ISNUMBER(outYear),RF37+RF42+#REF!+#REF!,"")</f>
        <v/>
      </c>
      <c r="RG48" s="84" t="str">
        <f>IF(ISNUMBER(outYear),RG37+RG42+#REF!+#REF!,"")</f>
        <v/>
      </c>
      <c r="RH48" s="84" t="str">
        <f>IF(ISNUMBER(outYear),RH37+RH42+#REF!+#REF!,"")</f>
        <v/>
      </c>
      <c r="RI48" s="84" t="str">
        <f>IF(ISNUMBER(outYear),RI37+RI42+#REF!+#REF!,"")</f>
        <v/>
      </c>
      <c r="RJ48" s="84" t="str">
        <f>IF(ISNUMBER(outYear),RJ37+RJ42+#REF!+#REF!,"")</f>
        <v/>
      </c>
      <c r="RK48" s="84" t="str">
        <f>IF(ISNUMBER(outYear),RK37+RK42+#REF!+#REF!,"")</f>
        <v/>
      </c>
      <c r="RL48" s="84" t="str">
        <f>IF(ISNUMBER(outYear),RL37+RL42+#REF!+#REF!,"")</f>
        <v/>
      </c>
      <c r="RM48" s="84" t="str">
        <f>IF(ISNUMBER(outYear),RM37+RM42+#REF!+#REF!,"")</f>
        <v/>
      </c>
      <c r="RN48" s="84" t="str">
        <f>IF(ISNUMBER(outYear),RN37+RN42+#REF!+#REF!,"")</f>
        <v/>
      </c>
      <c r="RO48" s="84" t="str">
        <f>IF(ISNUMBER(outYear),RO37+RO42+#REF!+#REF!,"")</f>
        <v/>
      </c>
      <c r="RP48" s="84" t="str">
        <f>IF(ISNUMBER(outYear),RP37+RP42+#REF!+#REF!,"")</f>
        <v/>
      </c>
      <c r="RQ48" s="84" t="str">
        <f>IF(ISNUMBER(outYear),RQ37+RQ42+#REF!+#REF!,"")</f>
        <v/>
      </c>
      <c r="RR48" s="84" t="str">
        <f>IF(ISNUMBER(outYear),RR37+RR42+#REF!+#REF!,"")</f>
        <v/>
      </c>
      <c r="RS48" s="84" t="str">
        <f>IF(ISNUMBER(outYear),RS37+RS42+#REF!+#REF!,"")</f>
        <v/>
      </c>
      <c r="RT48" s="84" t="str">
        <f>IF(ISNUMBER(outYear),RT37+RT42+#REF!+#REF!,"")</f>
        <v/>
      </c>
      <c r="RU48" s="84" t="str">
        <f>IF(ISNUMBER(outYear),RU37+RU42+#REF!+#REF!,"")</f>
        <v/>
      </c>
      <c r="RV48" s="84" t="str">
        <f>IF(ISNUMBER(outYear),RV37+RV42+#REF!+#REF!,"")</f>
        <v/>
      </c>
      <c r="RW48" s="84" t="str">
        <f>IF(ISNUMBER(outYear),RW37+RW42+#REF!+#REF!,"")</f>
        <v/>
      </c>
      <c r="RX48" s="84" t="str">
        <f>IF(ISNUMBER(outYear),RX37+RX42+#REF!+#REF!,"")</f>
        <v/>
      </c>
      <c r="RY48" s="84" t="str">
        <f>IF(ISNUMBER(outYear),RY37+RY42+#REF!+#REF!,"")</f>
        <v/>
      </c>
      <c r="RZ48" s="84" t="str">
        <f>IF(ISNUMBER(outYear),RZ37+RZ42+#REF!+#REF!,"")</f>
        <v/>
      </c>
      <c r="SA48" s="84" t="str">
        <f>IF(ISNUMBER(outYear),SA37+SA42+#REF!+#REF!,"")</f>
        <v/>
      </c>
      <c r="SB48" s="84" t="str">
        <f>IF(ISNUMBER(outYear),SB37+SB42+#REF!+#REF!,"")</f>
        <v/>
      </c>
      <c r="SC48" s="84" t="str">
        <f>IF(ISNUMBER(outYear),SC37+SC42+#REF!+#REF!,"")</f>
        <v/>
      </c>
      <c r="SD48" s="84" t="str">
        <f>IF(ISNUMBER(outYear),SD37+SD42+#REF!+#REF!,"")</f>
        <v/>
      </c>
      <c r="SE48" s="84" t="str">
        <f>IF(ISNUMBER(outYear),SE37+SE42+#REF!+#REF!,"")</f>
        <v/>
      </c>
      <c r="SF48" s="84" t="str">
        <f>IF(ISNUMBER(outYear),SF37+SF42+#REF!+#REF!,"")</f>
        <v/>
      </c>
      <c r="SG48" s="84" t="str">
        <f>IF(ISNUMBER(outYear),SG37+SG42+#REF!+#REF!,"")</f>
        <v/>
      </c>
      <c r="SH48" s="84" t="str">
        <f>IF(ISNUMBER(outYear),SH37+SH42+#REF!+#REF!,"")</f>
        <v/>
      </c>
      <c r="SI48" s="84" t="str">
        <f>IF(ISNUMBER(outYear),SI37+SI42+#REF!+#REF!,"")</f>
        <v/>
      </c>
      <c r="SJ48" s="84" t="str">
        <f>IF(ISNUMBER(outYear),SJ37+SJ42+#REF!+#REF!,"")</f>
        <v/>
      </c>
      <c r="SK48" s="84" t="str">
        <f>IF(ISNUMBER(outYear),SK37+SK42+#REF!+#REF!,"")</f>
        <v/>
      </c>
      <c r="SL48" s="84" t="str">
        <f>IF(ISNUMBER(outYear),SL37+SL42+#REF!+#REF!,"")</f>
        <v/>
      </c>
      <c r="SM48" s="84" t="str">
        <f>IF(ISNUMBER(outYear),SM37+SM42+#REF!+#REF!,"")</f>
        <v/>
      </c>
      <c r="SN48" s="84" t="str">
        <f>IF(ISNUMBER(outYear),SN37+SN42+#REF!+#REF!,"")</f>
        <v/>
      </c>
      <c r="SO48" s="84" t="str">
        <f>IF(ISNUMBER(outYear),SO37+SO42+#REF!+#REF!,"")</f>
        <v/>
      </c>
      <c r="SP48" s="84" t="str">
        <f>IF(ISNUMBER(outYear),SP37+SP42+#REF!+#REF!,"")</f>
        <v/>
      </c>
      <c r="SQ48" s="84" t="str">
        <f>IF(ISNUMBER(outYear),SQ37+SQ42+#REF!+#REF!,"")</f>
        <v/>
      </c>
      <c r="SR48" s="84" t="str">
        <f>IF(ISNUMBER(outYear),SR37+SR42+#REF!+#REF!,"")</f>
        <v/>
      </c>
      <c r="SS48" s="84" t="str">
        <f>IF(ISNUMBER(outYear),SS37+SS42+#REF!+#REF!,"")</f>
        <v/>
      </c>
      <c r="ST48" s="84" t="str">
        <f>IF(ISNUMBER(outYear),ST37+ST42+#REF!+#REF!,"")</f>
        <v/>
      </c>
      <c r="SU48" s="84" t="str">
        <f>IF(ISNUMBER(outYear),SU37+SU42+#REF!+#REF!,"")</f>
        <v/>
      </c>
      <c r="SV48" s="84" t="str">
        <f>IF(ISNUMBER(outYear),SV37+SV42+#REF!+#REF!,"")</f>
        <v/>
      </c>
      <c r="SW48" s="84" t="str">
        <f>IF(ISNUMBER(outYear),SW37+SW42+#REF!+#REF!,"")</f>
        <v/>
      </c>
      <c r="SX48" s="84" t="str">
        <f>IF(ISNUMBER(outYear),SX37+SX42+#REF!+#REF!,"")</f>
        <v/>
      </c>
      <c r="SY48" s="84" t="str">
        <f>IF(ISNUMBER(outYear),SY37+SY42+#REF!+#REF!,"")</f>
        <v/>
      </c>
      <c r="SZ48" s="84" t="str">
        <f>IF(ISNUMBER(outYear),SZ37+SZ42+#REF!+#REF!,"")</f>
        <v/>
      </c>
      <c r="TA48" s="84" t="str">
        <f>IF(ISNUMBER(outYear),TA37+TA42+#REF!+#REF!,"")</f>
        <v/>
      </c>
      <c r="TB48" s="84" t="str">
        <f>IF(ISNUMBER(outYear),TB37+TB42+#REF!+#REF!,"")</f>
        <v/>
      </c>
      <c r="TC48" s="84" t="str">
        <f>IF(ISNUMBER(outYear),TC37+TC42+#REF!+#REF!,"")</f>
        <v/>
      </c>
      <c r="TD48" s="84" t="str">
        <f>IF(ISNUMBER(outYear),TD37+TD42+#REF!+#REF!,"")</f>
        <v/>
      </c>
      <c r="TE48" s="84" t="str">
        <f>IF(ISNUMBER(outYear),TE37+TE42+#REF!+#REF!,"")</f>
        <v/>
      </c>
      <c r="TF48" s="84" t="str">
        <f>IF(ISNUMBER(outYear),TF37+TF42+#REF!+#REF!,"")</f>
        <v/>
      </c>
      <c r="TG48" s="84" t="str">
        <f>IF(ISNUMBER(outYear),TG37+TG42+#REF!+#REF!,"")</f>
        <v/>
      </c>
      <c r="TH48" s="84" t="str">
        <f>IF(ISNUMBER(outYear),TH37+TH42+#REF!+#REF!,"")</f>
        <v/>
      </c>
      <c r="TI48" s="84" t="str">
        <f>IF(ISNUMBER(outYear),TI37+TI42+#REF!+#REF!,"")</f>
        <v/>
      </c>
      <c r="TJ48" s="84" t="str">
        <f>IF(ISNUMBER(outYear),TJ37+TJ42+#REF!+#REF!,"")</f>
        <v/>
      </c>
      <c r="TK48" s="84" t="str">
        <f>IF(ISNUMBER(outYear),TK37+TK42+#REF!+#REF!,"")</f>
        <v/>
      </c>
      <c r="TL48" s="84" t="str">
        <f>IF(ISNUMBER(outYear),TL37+TL42+#REF!+#REF!,"")</f>
        <v/>
      </c>
      <c r="TM48" s="84" t="str">
        <f>IF(ISNUMBER(outYear),TM37+TM42+#REF!+#REF!,"")</f>
        <v/>
      </c>
      <c r="TN48" s="84" t="str">
        <f>IF(ISNUMBER(outYear),TN37+TN42+#REF!+#REF!,"")</f>
        <v/>
      </c>
      <c r="TO48" s="84" t="str">
        <f>IF(ISNUMBER(outYear),TO37+TO42+#REF!+#REF!,"")</f>
        <v/>
      </c>
      <c r="TP48" s="84" t="str">
        <f>IF(ISNUMBER(outYear),TP37+TP42+#REF!+#REF!,"")</f>
        <v/>
      </c>
      <c r="TQ48" s="84" t="str">
        <f>IF(ISNUMBER(outYear),TQ37+TQ42+#REF!+#REF!,"")</f>
        <v/>
      </c>
      <c r="TR48" s="84" t="str">
        <f>IF(ISNUMBER(outYear),TR37+TR42+#REF!+#REF!,"")</f>
        <v/>
      </c>
      <c r="TS48" s="84" t="str">
        <f>IF(ISNUMBER(outYear),TS37+TS42+#REF!+#REF!,"")</f>
        <v/>
      </c>
      <c r="TT48" s="84" t="str">
        <f>IF(ISNUMBER(outYear),TT37+TT42+#REF!+#REF!,"")</f>
        <v/>
      </c>
      <c r="TU48" s="84" t="str">
        <f>IF(ISNUMBER(outYear),TU37+TU42+#REF!+#REF!,"")</f>
        <v/>
      </c>
      <c r="TV48" s="84" t="str">
        <f>IF(ISNUMBER(outYear),TV37+TV42+#REF!+#REF!,"")</f>
        <v/>
      </c>
      <c r="TW48" s="84" t="str">
        <f>IF(ISNUMBER(outYear),TW37+TW42+#REF!+#REF!,"")</f>
        <v/>
      </c>
      <c r="TX48" s="84" t="str">
        <f>IF(ISNUMBER(outYear),TX37+TX42+#REF!+#REF!,"")</f>
        <v/>
      </c>
      <c r="TY48" s="84" t="str">
        <f>IF(ISNUMBER(outYear),TY37+TY42+#REF!+#REF!,"")</f>
        <v/>
      </c>
      <c r="TZ48" s="84" t="str">
        <f>IF(ISNUMBER(outYear),TZ37+TZ42+#REF!+#REF!,"")</f>
        <v/>
      </c>
      <c r="UA48" s="84" t="str">
        <f>IF(ISNUMBER(outYear),UA37+UA42+#REF!+#REF!,"")</f>
        <v/>
      </c>
      <c r="UB48" s="84" t="str">
        <f>IF(ISNUMBER(outYear),UB37+UB42+#REF!+#REF!,"")</f>
        <v/>
      </c>
      <c r="UC48" s="84" t="str">
        <f>IF(ISNUMBER(outYear),UC37+UC42+#REF!+#REF!,"")</f>
        <v/>
      </c>
      <c r="UD48" s="84" t="str">
        <f>IF(ISNUMBER(outYear),UD37+UD42+#REF!+#REF!,"")</f>
        <v/>
      </c>
      <c r="UE48" s="84" t="str">
        <f>IF(ISNUMBER(outYear),UE37+UE42+#REF!+#REF!,"")</f>
        <v/>
      </c>
      <c r="UF48" s="84" t="str">
        <f>IF(ISNUMBER(outYear),UF37+UF42+#REF!+#REF!,"")</f>
        <v/>
      </c>
      <c r="UG48" s="84" t="str">
        <f>IF(ISNUMBER(outYear),UG37+UG42+#REF!+#REF!,"")</f>
        <v/>
      </c>
      <c r="UH48" s="84" t="str">
        <f>IF(ISNUMBER(outYear),UH37+UH42+#REF!+#REF!,"")</f>
        <v/>
      </c>
      <c r="UI48" s="84" t="str">
        <f>IF(ISNUMBER(outYear),UI37+UI42+#REF!+#REF!,"")</f>
        <v/>
      </c>
      <c r="UJ48" s="84" t="str">
        <f>IF(ISNUMBER(outYear),UJ37+UJ42+#REF!+#REF!,"")</f>
        <v/>
      </c>
      <c r="UK48" s="84" t="str">
        <f>IF(ISNUMBER(outYear),UK37+UK42+#REF!+#REF!,"")</f>
        <v/>
      </c>
      <c r="UL48" s="84" t="str">
        <f>IF(ISNUMBER(outYear),UL37+UL42+#REF!+#REF!,"")</f>
        <v/>
      </c>
      <c r="UM48" s="84" t="str">
        <f>IF(ISNUMBER(outYear),UM37+UM42+#REF!+#REF!,"")</f>
        <v/>
      </c>
      <c r="UN48" s="84" t="str">
        <f>IF(ISNUMBER(outYear),UN37+UN42+#REF!+#REF!,"")</f>
        <v/>
      </c>
      <c r="UO48" s="84" t="str">
        <f>IF(ISNUMBER(outYear),UO37+UO42+#REF!+#REF!,"")</f>
        <v/>
      </c>
      <c r="UP48" s="84" t="str">
        <f>IF(ISNUMBER(outYear),UP37+UP42+#REF!+#REF!,"")</f>
        <v/>
      </c>
      <c r="UQ48" s="84" t="str">
        <f>IF(ISNUMBER(outYear),UQ37+UQ42+#REF!+#REF!,"")</f>
        <v/>
      </c>
      <c r="UR48" s="84" t="str">
        <f>IF(ISNUMBER(outYear),UR37+UR42+#REF!+#REF!,"")</f>
        <v/>
      </c>
      <c r="US48" s="84" t="str">
        <f>IF(ISNUMBER(outYear),US37+US42+#REF!+#REF!,"")</f>
        <v/>
      </c>
      <c r="UT48" s="84" t="str">
        <f>IF(ISNUMBER(outYear),UT37+UT42+#REF!+#REF!,"")</f>
        <v/>
      </c>
      <c r="UU48" s="84" t="str">
        <f>IF(ISNUMBER(outYear),UU37+UU42+#REF!+#REF!,"")</f>
        <v/>
      </c>
      <c r="UV48" s="84" t="str">
        <f>IF(ISNUMBER(outYear),UV37+UV42+#REF!+#REF!,"")</f>
        <v/>
      </c>
      <c r="UW48" s="84" t="str">
        <f>IF(ISNUMBER(outYear),UW37+UW42+#REF!+#REF!,"")</f>
        <v/>
      </c>
      <c r="UX48" s="84" t="str">
        <f>IF(ISNUMBER(outYear),UX37+UX42+#REF!+#REF!,"")</f>
        <v/>
      </c>
      <c r="UY48" s="84" t="str">
        <f>IF(ISNUMBER(outYear),UY37+UY42+#REF!+#REF!,"")</f>
        <v/>
      </c>
      <c r="UZ48" s="84" t="str">
        <f>IF(ISNUMBER(outYear),UZ37+UZ42+#REF!+#REF!,"")</f>
        <v/>
      </c>
      <c r="VA48" s="84" t="str">
        <f>IF(ISNUMBER(outYear),VA37+VA42+#REF!+#REF!,"")</f>
        <v/>
      </c>
      <c r="VB48" s="84" t="str">
        <f>IF(ISNUMBER(outYear),VB37+VB42+#REF!+#REF!,"")</f>
        <v/>
      </c>
      <c r="VC48" s="84" t="str">
        <f>IF(ISNUMBER(outYear),VC37+VC42+#REF!+#REF!,"")</f>
        <v/>
      </c>
      <c r="VD48" s="84" t="str">
        <f>IF(ISNUMBER(outYear),VD37+VD42+#REF!+#REF!,"")</f>
        <v/>
      </c>
      <c r="VE48" s="84" t="str">
        <f>IF(ISNUMBER(outYear),VE37+VE42+#REF!+#REF!,"")</f>
        <v/>
      </c>
      <c r="VF48" s="84" t="str">
        <f>IF(ISNUMBER(outYear),VF37+VF42+#REF!+#REF!,"")</f>
        <v/>
      </c>
      <c r="VG48" s="84" t="str">
        <f>IF(ISNUMBER(outYear),VG37+VG42+#REF!+#REF!,"")</f>
        <v/>
      </c>
      <c r="VH48" s="84" t="str">
        <f>IF(ISNUMBER(outYear),VH37+VH42+#REF!+#REF!,"")</f>
        <v/>
      </c>
      <c r="VI48" s="84" t="str">
        <f>IF(ISNUMBER(outYear),VI37+VI42+#REF!+#REF!,"")</f>
        <v/>
      </c>
      <c r="VJ48" s="84" t="str">
        <f>IF(ISNUMBER(outYear),VJ37+VJ42+#REF!+#REF!,"")</f>
        <v/>
      </c>
      <c r="VK48" s="84" t="str">
        <f>IF(ISNUMBER(outYear),VK37+VK42+#REF!+#REF!,"")</f>
        <v/>
      </c>
      <c r="VL48" s="84" t="str">
        <f>IF(ISNUMBER(outYear),VL37+VL42+#REF!+#REF!,"")</f>
        <v/>
      </c>
      <c r="VM48" s="84" t="str">
        <f>IF(ISNUMBER(outYear),VM37+VM42+#REF!+#REF!,"")</f>
        <v/>
      </c>
      <c r="VN48" s="84" t="str">
        <f>IF(ISNUMBER(outYear),VN37+VN42+#REF!+#REF!,"")</f>
        <v/>
      </c>
      <c r="VO48" s="84" t="str">
        <f>IF(ISNUMBER(outYear),VO37+VO42+#REF!+#REF!,"")</f>
        <v/>
      </c>
      <c r="VP48" s="84" t="str">
        <f>IF(ISNUMBER(outYear),VP37+VP42+#REF!+#REF!,"")</f>
        <v/>
      </c>
      <c r="VQ48" s="84" t="str">
        <f>IF(ISNUMBER(outYear),VQ37+VQ42+#REF!+#REF!,"")</f>
        <v/>
      </c>
      <c r="VR48" s="84" t="str">
        <f>IF(ISNUMBER(outYear),VR37+VR42+#REF!+#REF!,"")</f>
        <v/>
      </c>
      <c r="VS48" s="84" t="str">
        <f>IF(ISNUMBER(outYear),VS37+VS42+#REF!+#REF!,"")</f>
        <v/>
      </c>
      <c r="VT48" s="84" t="str">
        <f>IF(ISNUMBER(outYear),VT37+VT42+#REF!+#REF!,"")</f>
        <v/>
      </c>
      <c r="VU48" s="84" t="str">
        <f>IF(ISNUMBER(outYear),VU37+VU42+#REF!+#REF!,"")</f>
        <v/>
      </c>
      <c r="VV48" s="84" t="str">
        <f>IF(ISNUMBER(outYear),VV37+VV42+#REF!+#REF!,"")</f>
        <v/>
      </c>
      <c r="VW48" s="84" t="str">
        <f>IF(ISNUMBER(outYear),VW37+VW42+#REF!+#REF!,"")</f>
        <v/>
      </c>
      <c r="VX48" s="84" t="str">
        <f>IF(ISNUMBER(outYear),VX37+VX42+#REF!+#REF!,"")</f>
        <v/>
      </c>
      <c r="VY48" s="84" t="str">
        <f>IF(ISNUMBER(outYear),VY37+VY42+#REF!+#REF!,"")</f>
        <v/>
      </c>
      <c r="VZ48" s="84" t="str">
        <f>IF(ISNUMBER(outYear),VZ37+VZ42+#REF!+#REF!,"")</f>
        <v/>
      </c>
      <c r="WA48" s="84" t="str">
        <f>IF(ISNUMBER(outYear),WA37+WA42+#REF!+#REF!,"")</f>
        <v/>
      </c>
      <c r="WB48" s="84" t="str">
        <f>IF(ISNUMBER(outYear),WB37+WB42+#REF!+#REF!,"")</f>
        <v/>
      </c>
      <c r="WC48" s="84" t="str">
        <f>IF(ISNUMBER(outYear),WC37+WC42+#REF!+#REF!,"")</f>
        <v/>
      </c>
      <c r="WD48" s="84" t="str">
        <f>IF(ISNUMBER(outYear),WD37+WD42+#REF!+#REF!,"")</f>
        <v/>
      </c>
      <c r="WE48" s="84" t="str">
        <f>IF(ISNUMBER(outYear),WE37+WE42+#REF!+#REF!,"")</f>
        <v/>
      </c>
      <c r="WF48" s="84" t="str">
        <f>IF(ISNUMBER(outYear),WF37+WF42+#REF!+#REF!,"")</f>
        <v/>
      </c>
      <c r="WG48" s="84" t="str">
        <f>IF(ISNUMBER(outYear),WG37+WG42+#REF!+#REF!,"")</f>
        <v/>
      </c>
      <c r="WH48" s="84" t="str">
        <f>IF(ISNUMBER(outYear),WH37+WH42+#REF!+#REF!,"")</f>
        <v/>
      </c>
      <c r="WI48" s="84" t="str">
        <f>IF(ISNUMBER(outYear),WI37+WI42+#REF!+#REF!,"")</f>
        <v/>
      </c>
      <c r="WJ48" s="84" t="str">
        <f>IF(ISNUMBER(outYear),WJ37+WJ42+#REF!+#REF!,"")</f>
        <v/>
      </c>
      <c r="WK48" s="84" t="str">
        <f>IF(ISNUMBER(outYear),WK37+WK42+#REF!+#REF!,"")</f>
        <v/>
      </c>
      <c r="WL48" s="84" t="str">
        <f>IF(ISNUMBER(outYear),WL37+WL42+#REF!+#REF!,"")</f>
        <v/>
      </c>
      <c r="WM48" s="84" t="str">
        <f>IF(ISNUMBER(outYear),WM37+WM42+#REF!+#REF!,"")</f>
        <v/>
      </c>
      <c r="WN48" s="84" t="str">
        <f>IF(ISNUMBER(outYear),WN37+WN42+#REF!+#REF!,"")</f>
        <v/>
      </c>
      <c r="WO48" s="84" t="str">
        <f>IF(ISNUMBER(outYear),WO37+WO42+#REF!+#REF!,"")</f>
        <v/>
      </c>
      <c r="WP48" s="84" t="str">
        <f>IF(ISNUMBER(outYear),WP37+WP42+#REF!+#REF!,"")</f>
        <v/>
      </c>
      <c r="WQ48" s="84" t="str">
        <f>IF(ISNUMBER(outYear),WQ37+WQ42+#REF!+#REF!,"")</f>
        <v/>
      </c>
      <c r="WR48" s="84" t="str">
        <f>IF(ISNUMBER(outYear),WR37+WR42+#REF!+#REF!,"")</f>
        <v/>
      </c>
      <c r="WS48" s="84" t="str">
        <f>IF(ISNUMBER(outYear),WS37+WS42+#REF!+#REF!,"")</f>
        <v/>
      </c>
      <c r="WT48" s="84" t="str">
        <f>IF(ISNUMBER(outYear),WT37+WT42+#REF!+#REF!,"")</f>
        <v/>
      </c>
      <c r="WU48" s="84" t="str">
        <f>IF(ISNUMBER(outYear),WU37+WU42+#REF!+#REF!,"")</f>
        <v/>
      </c>
      <c r="WV48" s="84" t="str">
        <f>IF(ISNUMBER(outYear),WV37+WV42+#REF!+#REF!,"")</f>
        <v/>
      </c>
      <c r="WW48" s="84" t="str">
        <f>IF(ISNUMBER(outYear),WW37+WW42+#REF!+#REF!,"")</f>
        <v/>
      </c>
      <c r="WX48" s="84" t="str">
        <f>IF(ISNUMBER(outYear),WX37+WX42+#REF!+#REF!,"")</f>
        <v/>
      </c>
      <c r="WY48" s="84" t="str">
        <f>IF(ISNUMBER(outYear),WY37+WY42+#REF!+#REF!,"")</f>
        <v/>
      </c>
      <c r="WZ48" s="84" t="str">
        <f>IF(ISNUMBER(outYear),WZ37+WZ42+#REF!+#REF!,"")</f>
        <v/>
      </c>
      <c r="XA48" s="84" t="str">
        <f>IF(ISNUMBER(outYear),XA37+XA42+#REF!+#REF!,"")</f>
        <v/>
      </c>
      <c r="XB48" s="84" t="str">
        <f>IF(ISNUMBER(outYear),XB37+XB42+#REF!+#REF!,"")</f>
        <v/>
      </c>
      <c r="XC48" s="84" t="str">
        <f>IF(ISNUMBER(outYear),XC37+XC42+#REF!+#REF!,"")</f>
        <v/>
      </c>
      <c r="XD48" s="84" t="str">
        <f>IF(ISNUMBER(outYear),XD37+XD42+#REF!+#REF!,"")</f>
        <v/>
      </c>
      <c r="XE48" s="84" t="str">
        <f>IF(ISNUMBER(outYear),XE37+XE42+#REF!+#REF!,"")</f>
        <v/>
      </c>
      <c r="XF48" s="84" t="str">
        <f>IF(ISNUMBER(outYear),XF37+XF42+#REF!+#REF!,"")</f>
        <v/>
      </c>
      <c r="XG48" s="84" t="str">
        <f>IF(ISNUMBER(outYear),XG37+XG42+#REF!+#REF!,"")</f>
        <v/>
      </c>
      <c r="XH48" s="84" t="str">
        <f>IF(ISNUMBER(outYear),XH37+XH42+#REF!+#REF!,"")</f>
        <v/>
      </c>
      <c r="XI48" s="84" t="str">
        <f>IF(ISNUMBER(outYear),XI37+XI42+#REF!+#REF!,"")</f>
        <v/>
      </c>
      <c r="XJ48" s="84" t="str">
        <f>IF(ISNUMBER(outYear),XJ37+XJ42+#REF!+#REF!,"")</f>
        <v/>
      </c>
      <c r="XK48" s="84" t="str">
        <f>IF(ISNUMBER(outYear),XK37+XK42+#REF!+#REF!,"")</f>
        <v/>
      </c>
      <c r="XL48" s="84" t="str">
        <f>IF(ISNUMBER(outYear),XL37+XL42+#REF!+#REF!,"")</f>
        <v/>
      </c>
      <c r="XM48" s="84" t="str">
        <f>IF(ISNUMBER(outYear),XM37+XM42+#REF!+#REF!,"")</f>
        <v/>
      </c>
      <c r="XN48" s="84" t="str">
        <f>IF(ISNUMBER(outYear),XN37+XN42+#REF!+#REF!,"")</f>
        <v/>
      </c>
      <c r="XO48" s="84" t="str">
        <f>IF(ISNUMBER(outYear),XO37+XO42+#REF!+#REF!,"")</f>
        <v/>
      </c>
      <c r="XP48" s="84" t="str">
        <f>IF(ISNUMBER(outYear),XP37+XP42+#REF!+#REF!,"")</f>
        <v/>
      </c>
      <c r="XQ48" s="84" t="str">
        <f>IF(ISNUMBER(outYear),XQ37+XQ42+#REF!+#REF!,"")</f>
        <v/>
      </c>
      <c r="XR48" s="84" t="str">
        <f>IF(ISNUMBER(outYear),XR37+XR42+#REF!+#REF!,"")</f>
        <v/>
      </c>
      <c r="XS48" s="84" t="str">
        <f>IF(ISNUMBER(outYear),XS37+XS42+#REF!+#REF!,"")</f>
        <v/>
      </c>
      <c r="XT48" s="84" t="str">
        <f>IF(ISNUMBER(outYear),XT37+XT42+#REF!+#REF!,"")</f>
        <v/>
      </c>
      <c r="XU48" s="84" t="str">
        <f>IF(ISNUMBER(outYear),XU37+XU42+#REF!+#REF!,"")</f>
        <v/>
      </c>
      <c r="XV48" s="84" t="str">
        <f>IF(ISNUMBER(outYear),XV37+XV42+#REF!+#REF!,"")</f>
        <v/>
      </c>
      <c r="XW48" s="84" t="str">
        <f>IF(ISNUMBER(outYear),XW37+XW42+#REF!+#REF!,"")</f>
        <v/>
      </c>
      <c r="XX48" s="84" t="str">
        <f>IF(ISNUMBER(outYear),XX37+XX42+#REF!+#REF!,"")</f>
        <v/>
      </c>
      <c r="XY48" s="84" t="str">
        <f>IF(ISNUMBER(outYear),XY37+XY42+#REF!+#REF!,"")</f>
        <v/>
      </c>
      <c r="XZ48" s="84" t="str">
        <f>IF(ISNUMBER(outYear),XZ37+XZ42+#REF!+#REF!,"")</f>
        <v/>
      </c>
      <c r="YA48" s="84" t="str">
        <f>IF(ISNUMBER(outYear),YA37+YA42+#REF!+#REF!,"")</f>
        <v/>
      </c>
      <c r="YB48" s="84" t="str">
        <f>IF(ISNUMBER(outYear),YB37+YB42+#REF!+#REF!,"")</f>
        <v/>
      </c>
      <c r="YC48" s="84" t="str">
        <f>IF(ISNUMBER(outYear),YC37+YC42+#REF!+#REF!,"")</f>
        <v/>
      </c>
      <c r="YD48" s="84" t="str">
        <f>IF(ISNUMBER(outYear),YD37+YD42+#REF!+#REF!,"")</f>
        <v/>
      </c>
      <c r="YE48" s="84" t="str">
        <f>IF(ISNUMBER(outYear),YE37+YE42+#REF!+#REF!,"")</f>
        <v/>
      </c>
      <c r="YF48" s="84" t="str">
        <f>IF(ISNUMBER(outYear),YF37+YF42+#REF!+#REF!,"")</f>
        <v/>
      </c>
      <c r="YG48" s="84" t="str">
        <f>IF(ISNUMBER(outYear),YG37+YG42+#REF!+#REF!,"")</f>
        <v/>
      </c>
      <c r="YH48" s="84" t="str">
        <f>IF(ISNUMBER(outYear),YH37+YH42+#REF!+#REF!,"")</f>
        <v/>
      </c>
      <c r="YI48" s="84" t="str">
        <f>IF(ISNUMBER(outYear),YI37+YI42+#REF!+#REF!,"")</f>
        <v/>
      </c>
      <c r="YJ48" s="84" t="str">
        <f>IF(ISNUMBER(outYear),YJ37+YJ42+#REF!+#REF!,"")</f>
        <v/>
      </c>
      <c r="YK48" s="84" t="str">
        <f>IF(ISNUMBER(outYear),YK37+YK42+#REF!+#REF!,"")</f>
        <v/>
      </c>
      <c r="YL48" s="84" t="str">
        <f>IF(ISNUMBER(outYear),YL37+YL42+#REF!+#REF!,"")</f>
        <v/>
      </c>
      <c r="YM48" s="84" t="str">
        <f>IF(ISNUMBER(outYear),YM37+YM42+#REF!+#REF!,"")</f>
        <v/>
      </c>
      <c r="YN48" s="84" t="str">
        <f>IF(ISNUMBER(outYear),YN37+YN42+#REF!+#REF!,"")</f>
        <v/>
      </c>
      <c r="YO48" s="84" t="str">
        <f>IF(ISNUMBER(outYear),YO37+YO42+#REF!+#REF!,"")</f>
        <v/>
      </c>
      <c r="YP48" s="84" t="str">
        <f>IF(ISNUMBER(outYear),YP37+YP42+#REF!+#REF!,"")</f>
        <v/>
      </c>
      <c r="YQ48" s="84" t="str">
        <f>IF(ISNUMBER(outYear),YQ37+YQ42+#REF!+#REF!,"")</f>
        <v/>
      </c>
      <c r="YR48" s="84" t="str">
        <f>IF(ISNUMBER(outYear),YR37+YR42+#REF!+#REF!,"")</f>
        <v/>
      </c>
      <c r="YS48" s="84" t="str">
        <f>IF(ISNUMBER(outYear),YS37+YS42+#REF!+#REF!,"")</f>
        <v/>
      </c>
      <c r="YT48" s="84" t="str">
        <f>IF(ISNUMBER(outYear),YT37+YT42+#REF!+#REF!,"")</f>
        <v/>
      </c>
      <c r="YU48" s="84" t="str">
        <f>IF(ISNUMBER(outYear),YU37+YU42+#REF!+#REF!,"")</f>
        <v/>
      </c>
      <c r="YV48" s="84" t="str">
        <f>IF(ISNUMBER(outYear),YV37+YV42+#REF!+#REF!,"")</f>
        <v/>
      </c>
      <c r="YW48" s="84" t="str">
        <f>IF(ISNUMBER(outYear),YW37+YW42+#REF!+#REF!,"")</f>
        <v/>
      </c>
      <c r="YX48" s="84" t="str">
        <f>IF(ISNUMBER(outYear),YX37+YX42+#REF!+#REF!,"")</f>
        <v/>
      </c>
      <c r="YY48" s="84" t="str">
        <f>IF(ISNUMBER(outYear),YY37+YY42+#REF!+#REF!,"")</f>
        <v/>
      </c>
      <c r="YZ48" s="84" t="str">
        <f>IF(ISNUMBER(outYear),YZ37+YZ42+#REF!+#REF!,"")</f>
        <v/>
      </c>
      <c r="ZA48" s="84" t="str">
        <f>IF(ISNUMBER(outYear),ZA37+ZA42+#REF!+#REF!,"")</f>
        <v/>
      </c>
      <c r="ZB48" s="84" t="str">
        <f>IF(ISNUMBER(outYear),ZB37+ZB42+#REF!+#REF!,"")</f>
        <v/>
      </c>
      <c r="ZC48" s="84" t="str">
        <f>IF(ISNUMBER(outYear),ZC37+ZC42+#REF!+#REF!,"")</f>
        <v/>
      </c>
      <c r="ZD48" s="84" t="str">
        <f>IF(ISNUMBER(outYear),ZD37+ZD42+#REF!+#REF!,"")</f>
        <v/>
      </c>
      <c r="ZE48" s="84" t="str">
        <f>IF(ISNUMBER(outYear),ZE37+ZE42+#REF!+#REF!,"")</f>
        <v/>
      </c>
      <c r="ZF48" s="84" t="str">
        <f>IF(ISNUMBER(outYear),ZF37+ZF42+#REF!+#REF!,"")</f>
        <v/>
      </c>
      <c r="ZG48" s="84" t="str">
        <f>IF(ISNUMBER(outYear),ZG37+ZG42+#REF!+#REF!,"")</f>
        <v/>
      </c>
      <c r="ZH48" s="84" t="str">
        <f>IF(ISNUMBER(outYear),ZH37+ZH42+#REF!+#REF!,"")</f>
        <v/>
      </c>
      <c r="ZI48" s="84" t="str">
        <f>IF(ISNUMBER(outYear),ZI37+ZI42+#REF!+#REF!,"")</f>
        <v/>
      </c>
      <c r="ZJ48" s="84" t="str">
        <f>IF(ISNUMBER(outYear),ZJ37+ZJ42+#REF!+#REF!,"")</f>
        <v/>
      </c>
      <c r="ZK48" s="84" t="str">
        <f>IF(ISNUMBER(outYear),ZK37+ZK42+#REF!+#REF!,"")</f>
        <v/>
      </c>
      <c r="ZL48" s="84" t="str">
        <f>IF(ISNUMBER(outYear),ZL37+ZL42+#REF!+#REF!,"")</f>
        <v/>
      </c>
      <c r="ZM48" s="84" t="str">
        <f>IF(ISNUMBER(outYear),ZM37+ZM42+#REF!+#REF!,"")</f>
        <v/>
      </c>
      <c r="ZN48" s="84" t="str">
        <f>IF(ISNUMBER(outYear),ZN37+ZN42+#REF!+#REF!,"")</f>
        <v/>
      </c>
      <c r="ZO48" s="84" t="str">
        <f>IF(ISNUMBER(outYear),ZO37+ZO42+#REF!+#REF!,"")</f>
        <v/>
      </c>
      <c r="ZP48" s="84" t="str">
        <f>IF(ISNUMBER(outYear),ZP37+ZP42+#REF!+#REF!,"")</f>
        <v/>
      </c>
      <c r="ZQ48" s="84" t="str">
        <f>IF(ISNUMBER(outYear),ZQ37+ZQ42+#REF!+#REF!,"")</f>
        <v/>
      </c>
      <c r="ZR48" s="84" t="str">
        <f>IF(ISNUMBER(outYear),ZR37+ZR42+#REF!+#REF!,"")</f>
        <v/>
      </c>
      <c r="ZS48" s="84" t="str">
        <f>IF(ISNUMBER(outYear),ZS37+ZS42+#REF!+#REF!,"")</f>
        <v/>
      </c>
      <c r="ZT48" s="84" t="str">
        <f>IF(ISNUMBER(outYear),ZT37+ZT42+#REF!+#REF!,"")</f>
        <v/>
      </c>
      <c r="ZU48" s="84" t="str">
        <f>IF(ISNUMBER(outYear),ZU37+ZU42+#REF!+#REF!,"")</f>
        <v/>
      </c>
      <c r="ZV48" s="84" t="str">
        <f>IF(ISNUMBER(outYear),ZV37+ZV42+#REF!+#REF!,"")</f>
        <v/>
      </c>
      <c r="ZW48" s="84" t="str">
        <f>IF(ISNUMBER(outYear),ZW37+ZW42+#REF!+#REF!,"")</f>
        <v/>
      </c>
      <c r="ZX48" s="84" t="str">
        <f>IF(ISNUMBER(outYear),ZX37+ZX42+#REF!+#REF!,"")</f>
        <v/>
      </c>
      <c r="ZY48" s="84" t="str">
        <f>IF(ISNUMBER(outYear),ZY37+ZY42+#REF!+#REF!,"")</f>
        <v/>
      </c>
      <c r="ZZ48" s="84" t="str">
        <f>IF(ISNUMBER(outYear),ZZ37+ZZ42+#REF!+#REF!,"")</f>
        <v/>
      </c>
      <c r="AAA48" s="84" t="str">
        <f>IF(ISNUMBER(outYear),AAA37+AAA42+#REF!+#REF!,"")</f>
        <v/>
      </c>
      <c r="AAB48" s="84" t="str">
        <f>IF(ISNUMBER(outYear),AAB37+AAB42+#REF!+#REF!,"")</f>
        <v/>
      </c>
      <c r="AAC48" s="84" t="str">
        <f>IF(ISNUMBER(outYear),AAC37+AAC42+#REF!+#REF!,"")</f>
        <v/>
      </c>
      <c r="AAD48" s="84" t="str">
        <f>IF(ISNUMBER(outYear),AAD37+AAD42+#REF!+#REF!,"")</f>
        <v/>
      </c>
      <c r="AAE48" s="84" t="str">
        <f>IF(ISNUMBER(outYear),AAE37+AAE42+#REF!+#REF!,"")</f>
        <v/>
      </c>
      <c r="AAF48" s="84" t="str">
        <f>IF(ISNUMBER(outYear),AAF37+AAF42+#REF!+#REF!,"")</f>
        <v/>
      </c>
      <c r="AAG48" s="84" t="str">
        <f>IF(ISNUMBER(outYear),AAG37+AAG42+#REF!+#REF!,"")</f>
        <v/>
      </c>
      <c r="AAH48" s="84" t="str">
        <f>IF(ISNUMBER(outYear),AAH37+AAH42+#REF!+#REF!,"")</f>
        <v/>
      </c>
      <c r="AAI48" s="84" t="str">
        <f>IF(ISNUMBER(outYear),AAI37+AAI42+#REF!+#REF!,"")</f>
        <v/>
      </c>
      <c r="AAJ48" s="84" t="str">
        <f>IF(ISNUMBER(outYear),AAJ37+AAJ42+#REF!+#REF!,"")</f>
        <v/>
      </c>
      <c r="AAK48" s="84" t="str">
        <f>IF(ISNUMBER(outYear),AAK37+AAK42+#REF!+#REF!,"")</f>
        <v/>
      </c>
      <c r="AAL48" s="84" t="str">
        <f>IF(ISNUMBER(outYear),AAL37+AAL42+#REF!+#REF!,"")</f>
        <v/>
      </c>
      <c r="AAM48" s="84" t="str">
        <f>IF(ISNUMBER(outYear),AAM37+AAM42+#REF!+#REF!,"")</f>
        <v/>
      </c>
      <c r="AAN48" s="84" t="str">
        <f>IF(ISNUMBER(outYear),AAN37+AAN42+#REF!+#REF!,"")</f>
        <v/>
      </c>
      <c r="AAO48" s="84" t="str">
        <f>IF(ISNUMBER(outYear),AAO37+AAO42+#REF!+#REF!,"")</f>
        <v/>
      </c>
      <c r="AAP48" s="84" t="str">
        <f>IF(ISNUMBER(outYear),AAP37+AAP42+#REF!+#REF!,"")</f>
        <v/>
      </c>
      <c r="AAQ48" s="84" t="str">
        <f>IF(ISNUMBER(outYear),AAQ37+AAQ42+#REF!+#REF!,"")</f>
        <v/>
      </c>
      <c r="AAR48" s="84" t="str">
        <f>IF(ISNUMBER(outYear),AAR37+AAR42+#REF!+#REF!,"")</f>
        <v/>
      </c>
      <c r="AAS48" s="84" t="str">
        <f>IF(ISNUMBER(outYear),AAS37+AAS42+#REF!+#REF!,"")</f>
        <v/>
      </c>
      <c r="AAT48" s="84" t="str">
        <f>IF(ISNUMBER(outYear),AAT37+AAT42+#REF!+#REF!,"")</f>
        <v/>
      </c>
      <c r="AAU48" s="84" t="str">
        <f>IF(ISNUMBER(outYear),AAU37+AAU42+#REF!+#REF!,"")</f>
        <v/>
      </c>
      <c r="AAV48" s="84" t="str">
        <f>IF(ISNUMBER(outYear),AAV37+AAV42+#REF!+#REF!,"")</f>
        <v/>
      </c>
      <c r="AAW48" s="84" t="str">
        <f>IF(ISNUMBER(outYear),AAW37+AAW42+#REF!+#REF!,"")</f>
        <v/>
      </c>
      <c r="AAX48" s="84" t="str">
        <f>IF(ISNUMBER(outYear),AAX37+AAX42+#REF!+#REF!,"")</f>
        <v/>
      </c>
      <c r="AAY48" s="84" t="str">
        <f>IF(ISNUMBER(outYear),AAY37+AAY42+#REF!+#REF!,"")</f>
        <v/>
      </c>
      <c r="AAZ48" s="84" t="str">
        <f>IF(ISNUMBER(outYear),AAZ37+AAZ42+#REF!+#REF!,"")</f>
        <v/>
      </c>
      <c r="ABA48" s="84" t="str">
        <f>IF(ISNUMBER(outYear),ABA37+ABA42+#REF!+#REF!,"")</f>
        <v/>
      </c>
      <c r="ABB48" s="84" t="str">
        <f>IF(ISNUMBER(outYear),ABB37+ABB42+#REF!+#REF!,"")</f>
        <v/>
      </c>
      <c r="ABC48" s="84" t="str">
        <f>IF(ISNUMBER(outYear),ABC37+ABC42+#REF!+#REF!,"")</f>
        <v/>
      </c>
      <c r="ABD48" s="84" t="str">
        <f>IF(ISNUMBER(outYear),ABD37+ABD42+#REF!+#REF!,"")</f>
        <v/>
      </c>
      <c r="ABE48" s="84" t="str">
        <f>IF(ISNUMBER(outYear),ABE37+ABE42+#REF!+#REF!,"")</f>
        <v/>
      </c>
      <c r="ABF48" s="84" t="str">
        <f>IF(ISNUMBER(outYear),ABF37+ABF42+#REF!+#REF!,"")</f>
        <v/>
      </c>
      <c r="ABG48" s="84" t="str">
        <f>IF(ISNUMBER(outYear),ABG37+ABG42+#REF!+#REF!,"")</f>
        <v/>
      </c>
      <c r="ABH48" s="84" t="str">
        <f>IF(ISNUMBER(outYear),ABH37+ABH42+#REF!+#REF!,"")</f>
        <v/>
      </c>
      <c r="ABI48" s="84" t="str">
        <f>IF(ISNUMBER(outYear),ABI37+ABI42+#REF!+#REF!,"")</f>
        <v/>
      </c>
      <c r="ABJ48" s="84" t="str">
        <f>IF(ISNUMBER(outYear),ABJ37+ABJ42+#REF!+#REF!,"")</f>
        <v/>
      </c>
      <c r="ABK48" s="84" t="str">
        <f>IF(ISNUMBER(outYear),ABK37+ABK42+#REF!+#REF!,"")</f>
        <v/>
      </c>
      <c r="ABL48" s="84" t="str">
        <f>IF(ISNUMBER(outYear),ABL37+ABL42+#REF!+#REF!,"")</f>
        <v/>
      </c>
      <c r="ABM48" s="84" t="str">
        <f>IF(ISNUMBER(outYear),ABM37+ABM42+#REF!+#REF!,"")</f>
        <v/>
      </c>
      <c r="ABN48" s="84" t="str">
        <f>IF(ISNUMBER(outYear),ABN37+ABN42+#REF!+#REF!,"")</f>
        <v/>
      </c>
      <c r="ABO48" s="84" t="str">
        <f>IF(ISNUMBER(outYear),ABO37+ABO42+#REF!+#REF!,"")</f>
        <v/>
      </c>
      <c r="ABP48" s="84" t="str">
        <f>IF(ISNUMBER(outYear),ABP37+ABP42+#REF!+#REF!,"")</f>
        <v/>
      </c>
      <c r="ABQ48" s="84" t="str">
        <f>IF(ISNUMBER(outYear),ABQ37+ABQ42+#REF!+#REF!,"")</f>
        <v/>
      </c>
      <c r="ABR48" s="84" t="str">
        <f>IF(ISNUMBER(outYear),ABR37+ABR42+#REF!+#REF!,"")</f>
        <v/>
      </c>
      <c r="ABS48" s="84" t="str">
        <f>IF(ISNUMBER(outYear),ABS37+ABS42+#REF!+#REF!,"")</f>
        <v/>
      </c>
      <c r="ABT48" s="84" t="str">
        <f>IF(ISNUMBER(outYear),ABT37+ABT42+#REF!+#REF!,"")</f>
        <v/>
      </c>
      <c r="ABU48" s="84" t="str">
        <f>IF(ISNUMBER(outYear),ABU37+ABU42+#REF!+#REF!,"")</f>
        <v/>
      </c>
      <c r="ABV48" s="84" t="str">
        <f>IF(ISNUMBER(outYear),ABV37+ABV42+#REF!+#REF!,"")</f>
        <v/>
      </c>
      <c r="ABW48" s="84" t="str">
        <f>IF(ISNUMBER(outYear),ABW37+ABW42+#REF!+#REF!,"")</f>
        <v/>
      </c>
      <c r="ABX48" s="84" t="str">
        <f>IF(ISNUMBER(outYear),ABX37+ABX42+#REF!+#REF!,"")</f>
        <v/>
      </c>
      <c r="ABY48" s="84" t="str">
        <f>IF(ISNUMBER(outYear),ABY37+ABY42+#REF!+#REF!,"")</f>
        <v/>
      </c>
      <c r="ABZ48" s="84" t="str">
        <f>IF(ISNUMBER(outYear),ABZ37+ABZ42+#REF!+#REF!,"")</f>
        <v/>
      </c>
      <c r="ACA48" s="84" t="str">
        <f>IF(ISNUMBER(outYear),ACA37+ACA42+#REF!+#REF!,"")</f>
        <v/>
      </c>
      <c r="ACB48" s="84" t="str">
        <f>IF(ISNUMBER(outYear),ACB37+ACB42+#REF!+#REF!,"")</f>
        <v/>
      </c>
      <c r="ACC48" s="84" t="str">
        <f>IF(ISNUMBER(outYear),ACC37+ACC42+#REF!+#REF!,"")</f>
        <v/>
      </c>
      <c r="ACD48" s="84" t="str">
        <f>IF(ISNUMBER(outYear),ACD37+ACD42+#REF!+#REF!,"")</f>
        <v/>
      </c>
      <c r="ACE48" s="84" t="str">
        <f>IF(ISNUMBER(outYear),ACE37+ACE42+#REF!+#REF!,"")</f>
        <v/>
      </c>
      <c r="ACF48" s="84" t="str">
        <f>IF(ISNUMBER(outYear),ACF37+ACF42+#REF!+#REF!,"")</f>
        <v/>
      </c>
      <c r="ACG48" s="84" t="str">
        <f>IF(ISNUMBER(outYear),ACG37+ACG42+#REF!+#REF!,"")</f>
        <v/>
      </c>
      <c r="ACH48" s="84" t="str">
        <f>IF(ISNUMBER(outYear),ACH37+ACH42+#REF!+#REF!,"")</f>
        <v/>
      </c>
      <c r="ACI48" s="84" t="str">
        <f>IF(ISNUMBER(outYear),ACI37+ACI42+#REF!+#REF!,"")</f>
        <v/>
      </c>
      <c r="ACJ48" s="84" t="str">
        <f>IF(ISNUMBER(outYear),ACJ37+ACJ42+#REF!+#REF!,"")</f>
        <v/>
      </c>
      <c r="ACK48" s="84" t="str">
        <f>IF(ISNUMBER(outYear),ACK37+ACK42+#REF!+#REF!,"")</f>
        <v/>
      </c>
      <c r="ACL48" s="84" t="str">
        <f>IF(ISNUMBER(outYear),ACL37+ACL42+#REF!+#REF!,"")</f>
        <v/>
      </c>
      <c r="ACM48" s="84" t="str">
        <f>IF(ISNUMBER(outYear),ACM37+ACM42+#REF!+#REF!,"")</f>
        <v/>
      </c>
      <c r="ACN48" s="84" t="str">
        <f>IF(ISNUMBER(outYear),ACN37+ACN42+#REF!+#REF!,"")</f>
        <v/>
      </c>
      <c r="ACO48" s="84" t="str">
        <f>IF(ISNUMBER(outYear),ACO37+ACO42+#REF!+#REF!,"")</f>
        <v/>
      </c>
      <c r="ACP48" s="84" t="str">
        <f>IF(ISNUMBER(outYear),ACP37+ACP42+#REF!+#REF!,"")</f>
        <v/>
      </c>
      <c r="ACQ48" s="84" t="str">
        <f>IF(ISNUMBER(outYear),ACQ37+ACQ42+#REF!+#REF!,"")</f>
        <v/>
      </c>
      <c r="ACR48" s="84" t="str">
        <f>IF(ISNUMBER(outYear),ACR37+ACR42+#REF!+#REF!,"")</f>
        <v/>
      </c>
      <c r="ACS48" s="84" t="str">
        <f>IF(ISNUMBER(outYear),ACS37+ACS42+#REF!+#REF!,"")</f>
        <v/>
      </c>
      <c r="ACT48" s="84" t="str">
        <f>IF(ISNUMBER(outYear),ACT37+ACT42+#REF!+#REF!,"")</f>
        <v/>
      </c>
      <c r="ACU48" s="84" t="str">
        <f>IF(ISNUMBER(outYear),ACU37+ACU42+#REF!+#REF!,"")</f>
        <v/>
      </c>
      <c r="ACV48" s="84" t="str">
        <f>IF(ISNUMBER(outYear),ACV37+ACV42+#REF!+#REF!,"")</f>
        <v/>
      </c>
      <c r="ACW48" s="84" t="str">
        <f>IF(ISNUMBER(outYear),ACW37+ACW42+#REF!+#REF!,"")</f>
        <v/>
      </c>
      <c r="ACX48" s="84" t="str">
        <f>IF(ISNUMBER(outYear),ACX37+ACX42+#REF!+#REF!,"")</f>
        <v/>
      </c>
      <c r="ACY48" s="84" t="str">
        <f>IF(ISNUMBER(outYear),ACY37+ACY42+#REF!+#REF!,"")</f>
        <v/>
      </c>
      <c r="ACZ48" s="84" t="str">
        <f>IF(ISNUMBER(outYear),ACZ37+ACZ42+#REF!+#REF!,"")</f>
        <v/>
      </c>
      <c r="ADA48" s="84" t="str">
        <f>IF(ISNUMBER(outYear),ADA37+ADA42+#REF!+#REF!,"")</f>
        <v/>
      </c>
      <c r="ADB48" s="84" t="str">
        <f>IF(ISNUMBER(outYear),ADB37+ADB42+#REF!+#REF!,"")</f>
        <v/>
      </c>
      <c r="ADC48" s="84" t="str">
        <f>IF(ISNUMBER(outYear),ADC37+ADC42+#REF!+#REF!,"")</f>
        <v/>
      </c>
      <c r="ADD48" s="84" t="str">
        <f>IF(ISNUMBER(outYear),ADD37+ADD42+#REF!+#REF!,"")</f>
        <v/>
      </c>
      <c r="ADE48" s="84" t="str">
        <f>IF(ISNUMBER(outYear),ADE37+ADE42+#REF!+#REF!,"")</f>
        <v/>
      </c>
      <c r="ADF48" s="84" t="str">
        <f>IF(ISNUMBER(outYear),ADF37+ADF42+#REF!+#REF!,"")</f>
        <v/>
      </c>
      <c r="ADG48" s="84" t="str">
        <f>IF(ISNUMBER(outYear),ADG37+ADG42+#REF!+#REF!,"")</f>
        <v/>
      </c>
      <c r="ADH48" s="84" t="str">
        <f>IF(ISNUMBER(outYear),ADH37+ADH42+#REF!+#REF!,"")</f>
        <v/>
      </c>
      <c r="ADI48" s="84" t="str">
        <f>IF(ISNUMBER(outYear),ADI37+ADI42+#REF!+#REF!,"")</f>
        <v/>
      </c>
      <c r="ADJ48" s="84" t="str">
        <f>IF(ISNUMBER(outYear),ADJ37+ADJ42+#REF!+#REF!,"")</f>
        <v/>
      </c>
      <c r="ADK48" s="84" t="str">
        <f>IF(ISNUMBER(outYear),ADK37+ADK42+#REF!+#REF!,"")</f>
        <v/>
      </c>
      <c r="ADL48" s="84" t="str">
        <f>IF(ISNUMBER(outYear),ADL37+ADL42+#REF!+#REF!,"")</f>
        <v/>
      </c>
      <c r="ADM48" s="84" t="str">
        <f>IF(ISNUMBER(outYear),ADM37+ADM42+#REF!+#REF!,"")</f>
        <v/>
      </c>
      <c r="ADN48" s="84" t="str">
        <f>IF(ISNUMBER(outYear),ADN37+ADN42+#REF!+#REF!,"")</f>
        <v/>
      </c>
      <c r="ADO48" s="84" t="str">
        <f>IF(ISNUMBER(outYear),ADO37+ADO42+#REF!+#REF!,"")</f>
        <v/>
      </c>
      <c r="ADP48" s="84" t="str">
        <f>IF(ISNUMBER(outYear),ADP37+ADP42+#REF!+#REF!,"")</f>
        <v/>
      </c>
      <c r="ADQ48" s="84" t="str">
        <f>IF(ISNUMBER(outYear),ADQ37+ADQ42+#REF!+#REF!,"")</f>
        <v/>
      </c>
      <c r="ADR48" s="84" t="str">
        <f>IF(ISNUMBER(outYear),ADR37+ADR42+#REF!+#REF!,"")</f>
        <v/>
      </c>
      <c r="ADS48" s="84" t="str">
        <f>IF(ISNUMBER(outYear),ADS37+ADS42+#REF!+#REF!,"")</f>
        <v/>
      </c>
      <c r="ADT48" s="84" t="str">
        <f>IF(ISNUMBER(outYear),ADT37+ADT42+#REF!+#REF!,"")</f>
        <v/>
      </c>
      <c r="ADU48" s="84" t="str">
        <f>IF(ISNUMBER(outYear),ADU37+ADU42+#REF!+#REF!,"")</f>
        <v/>
      </c>
      <c r="ADV48" s="84" t="str">
        <f>IF(ISNUMBER(outYear),ADV37+ADV42+#REF!+#REF!,"")</f>
        <v/>
      </c>
      <c r="ADW48" s="84" t="str">
        <f>IF(ISNUMBER(outYear),ADW37+ADW42+#REF!+#REF!,"")</f>
        <v/>
      </c>
      <c r="ADX48" s="84" t="str">
        <f>IF(ISNUMBER(outYear),ADX37+ADX42+#REF!+#REF!,"")</f>
        <v/>
      </c>
      <c r="ADY48" s="84" t="str">
        <f>IF(ISNUMBER(outYear),ADY37+ADY42+#REF!+#REF!,"")</f>
        <v/>
      </c>
      <c r="ADZ48" s="84" t="str">
        <f>IF(ISNUMBER(outYear),ADZ37+ADZ42+#REF!+#REF!,"")</f>
        <v/>
      </c>
      <c r="AEA48" s="84" t="str">
        <f>IF(ISNUMBER(outYear),AEA37+AEA42+#REF!+#REF!,"")</f>
        <v/>
      </c>
      <c r="AEB48" s="84" t="str">
        <f>IF(ISNUMBER(outYear),AEB37+AEB42+#REF!+#REF!,"")</f>
        <v/>
      </c>
      <c r="AEC48" s="84" t="str">
        <f>IF(ISNUMBER(outYear),AEC37+AEC42+#REF!+#REF!,"")</f>
        <v/>
      </c>
      <c r="AED48" s="84" t="str">
        <f>IF(ISNUMBER(outYear),AED37+AED42+#REF!+#REF!,"")</f>
        <v/>
      </c>
      <c r="AEE48" s="84" t="str">
        <f>IF(ISNUMBER(outYear),AEE37+AEE42+#REF!+#REF!,"")</f>
        <v/>
      </c>
      <c r="AEF48" s="84" t="str">
        <f>IF(ISNUMBER(outYear),AEF37+AEF42+#REF!+#REF!,"")</f>
        <v/>
      </c>
      <c r="AEG48" s="84" t="str">
        <f>IF(ISNUMBER(outYear),AEG37+AEG42+#REF!+#REF!,"")</f>
        <v/>
      </c>
      <c r="AEH48" s="84" t="str">
        <f>IF(ISNUMBER(outYear),AEH37+AEH42+#REF!+#REF!,"")</f>
        <v/>
      </c>
      <c r="AEI48" s="84" t="str">
        <f>IF(ISNUMBER(outYear),AEI37+AEI42+#REF!+#REF!,"")</f>
        <v/>
      </c>
      <c r="AEJ48" s="84" t="str">
        <f>IF(ISNUMBER(outYear),AEJ37+AEJ42+#REF!+#REF!,"")</f>
        <v/>
      </c>
      <c r="AEK48" s="84" t="str">
        <f>IF(ISNUMBER(outYear),AEK37+AEK42+#REF!+#REF!,"")</f>
        <v/>
      </c>
      <c r="AEL48" s="84" t="str">
        <f>IF(ISNUMBER(outYear),AEL37+AEL42+#REF!+#REF!,"")</f>
        <v/>
      </c>
      <c r="AEM48" s="84" t="str">
        <f>IF(ISNUMBER(outYear),AEM37+AEM42+#REF!+#REF!,"")</f>
        <v/>
      </c>
      <c r="AEN48" s="84" t="str">
        <f>IF(ISNUMBER(outYear),AEN37+AEN42+#REF!+#REF!,"")</f>
        <v/>
      </c>
      <c r="AEO48" s="84" t="str">
        <f>IF(ISNUMBER(outYear),AEO37+AEO42+#REF!+#REF!,"")</f>
        <v/>
      </c>
      <c r="AEP48" s="84" t="str">
        <f>IF(ISNUMBER(outYear),AEP37+AEP42+#REF!+#REF!,"")</f>
        <v/>
      </c>
      <c r="AEQ48" s="84" t="str">
        <f>IF(ISNUMBER(outYear),AEQ37+AEQ42+#REF!+#REF!,"")</f>
        <v/>
      </c>
      <c r="AER48" s="84" t="str">
        <f>IF(ISNUMBER(outYear),AER37+AER42+#REF!+#REF!,"")</f>
        <v/>
      </c>
      <c r="AES48" s="84" t="str">
        <f>IF(ISNUMBER(outYear),AES37+AES42+#REF!+#REF!,"")</f>
        <v/>
      </c>
      <c r="AET48" s="84" t="str">
        <f>IF(ISNUMBER(outYear),AET37+AET42+#REF!+#REF!,"")</f>
        <v/>
      </c>
      <c r="AEU48" s="84" t="str">
        <f>IF(ISNUMBER(outYear),AEU37+AEU42+#REF!+#REF!,"")</f>
        <v/>
      </c>
      <c r="AEV48" s="84" t="str">
        <f>IF(ISNUMBER(outYear),AEV37+AEV42+#REF!+#REF!,"")</f>
        <v/>
      </c>
      <c r="AEW48" s="84" t="str">
        <f>IF(ISNUMBER(outYear),AEW37+AEW42+#REF!+#REF!,"")</f>
        <v/>
      </c>
      <c r="AEX48" s="84" t="str">
        <f>IF(ISNUMBER(outYear),AEX37+AEX42+#REF!+#REF!,"")</f>
        <v/>
      </c>
      <c r="AEY48" s="84" t="str">
        <f>IF(ISNUMBER(outYear),AEY37+AEY42+#REF!+#REF!,"")</f>
        <v/>
      </c>
      <c r="AEZ48" s="84" t="str">
        <f>IF(ISNUMBER(outYear),AEZ37+AEZ42+#REF!+#REF!,"")</f>
        <v/>
      </c>
      <c r="AFA48" s="84" t="str">
        <f>IF(ISNUMBER(outYear),AFA37+AFA42+#REF!+#REF!,"")</f>
        <v/>
      </c>
      <c r="AFB48" s="84" t="str">
        <f>IF(ISNUMBER(outYear),AFB37+AFB42+#REF!+#REF!,"")</f>
        <v/>
      </c>
      <c r="AFC48" s="84" t="str">
        <f>IF(ISNUMBER(outYear),AFC37+AFC42+#REF!+#REF!,"")</f>
        <v/>
      </c>
      <c r="AFD48" s="84" t="str">
        <f>IF(ISNUMBER(outYear),AFD37+AFD42+#REF!+#REF!,"")</f>
        <v/>
      </c>
      <c r="AFE48" s="84" t="str">
        <f>IF(ISNUMBER(outYear),AFE37+AFE42+#REF!+#REF!,"")</f>
        <v/>
      </c>
      <c r="AFF48" s="84" t="str">
        <f>IF(ISNUMBER(outYear),AFF37+AFF42+#REF!+#REF!,"")</f>
        <v/>
      </c>
      <c r="AFG48" s="84" t="str">
        <f>IF(ISNUMBER(outYear),AFG37+AFG42+#REF!+#REF!,"")</f>
        <v/>
      </c>
      <c r="AFH48" s="84" t="str">
        <f>IF(ISNUMBER(outYear),AFH37+AFH42+#REF!+#REF!,"")</f>
        <v/>
      </c>
      <c r="AFI48" s="84" t="str">
        <f>IF(ISNUMBER(outYear),AFI37+AFI42+#REF!+#REF!,"")</f>
        <v/>
      </c>
      <c r="AFJ48" s="84" t="str">
        <f>IF(ISNUMBER(outYear),AFJ37+AFJ42+#REF!+#REF!,"")</f>
        <v/>
      </c>
      <c r="AFK48" s="84" t="str">
        <f>IF(ISNUMBER(outYear),AFK37+AFK42+#REF!+#REF!,"")</f>
        <v/>
      </c>
      <c r="AFL48" s="84" t="str">
        <f>IF(ISNUMBER(outYear),AFL37+AFL42+#REF!+#REF!,"")</f>
        <v/>
      </c>
      <c r="AFM48" s="84" t="str">
        <f>IF(ISNUMBER(outYear),AFM37+AFM42+#REF!+#REF!,"")</f>
        <v/>
      </c>
      <c r="AFN48" s="84" t="str">
        <f>IF(ISNUMBER(outYear),AFN37+AFN42+#REF!+#REF!,"")</f>
        <v/>
      </c>
      <c r="AFO48" s="84" t="str">
        <f>IF(ISNUMBER(outYear),AFO37+AFO42+#REF!+#REF!,"")</f>
        <v/>
      </c>
      <c r="AFP48" s="84" t="str">
        <f>IF(ISNUMBER(outYear),AFP37+AFP42+#REF!+#REF!,"")</f>
        <v/>
      </c>
      <c r="AFQ48" s="84" t="str">
        <f>IF(ISNUMBER(outYear),AFQ37+AFQ42+#REF!+#REF!,"")</f>
        <v/>
      </c>
      <c r="AFR48" s="84" t="str">
        <f>IF(ISNUMBER(outYear),AFR37+AFR42+#REF!+#REF!,"")</f>
        <v/>
      </c>
      <c r="AFS48" s="84" t="str">
        <f>IF(ISNUMBER(outYear),AFS37+AFS42+#REF!+#REF!,"")</f>
        <v/>
      </c>
      <c r="AFT48" s="84" t="str">
        <f>IF(ISNUMBER(outYear),AFT37+AFT42+#REF!+#REF!,"")</f>
        <v/>
      </c>
      <c r="AFU48" s="84" t="str">
        <f>IF(ISNUMBER(outYear),AFU37+AFU42+#REF!+#REF!,"")</f>
        <v/>
      </c>
      <c r="AFV48" s="84" t="str">
        <f>IF(ISNUMBER(outYear),AFV37+AFV42+#REF!+#REF!,"")</f>
        <v/>
      </c>
      <c r="AFW48" s="84" t="str">
        <f>IF(ISNUMBER(outYear),AFW37+AFW42+#REF!+#REF!,"")</f>
        <v/>
      </c>
      <c r="AFX48" s="84" t="str">
        <f>IF(ISNUMBER(outYear),AFX37+AFX42+#REF!+#REF!,"")</f>
        <v/>
      </c>
      <c r="AFY48" s="84" t="str">
        <f>IF(ISNUMBER(outYear),AFY37+AFY42+#REF!+#REF!,"")</f>
        <v/>
      </c>
      <c r="AFZ48" s="84" t="str">
        <f>IF(ISNUMBER(outYear),AFZ37+AFZ42+#REF!+#REF!,"")</f>
        <v/>
      </c>
      <c r="AGA48" s="84" t="str">
        <f>IF(ISNUMBER(outYear),AGA37+AGA42+#REF!+#REF!,"")</f>
        <v/>
      </c>
      <c r="AGB48" s="84" t="str">
        <f>IF(ISNUMBER(outYear),AGB37+AGB42+#REF!+#REF!,"")</f>
        <v/>
      </c>
      <c r="AGC48" s="84" t="str">
        <f>IF(ISNUMBER(outYear),AGC37+AGC42+#REF!+#REF!,"")</f>
        <v/>
      </c>
      <c r="AGD48" s="84" t="str">
        <f>IF(ISNUMBER(outYear),AGD37+AGD42+#REF!+#REF!,"")</f>
        <v/>
      </c>
      <c r="AGE48" s="84" t="str">
        <f>IF(ISNUMBER(outYear),AGE37+AGE42+#REF!+#REF!,"")</f>
        <v/>
      </c>
      <c r="AGF48" s="84" t="str">
        <f>IF(ISNUMBER(outYear),AGF37+AGF42+#REF!+#REF!,"")</f>
        <v/>
      </c>
      <c r="AGG48" s="84" t="str">
        <f>IF(ISNUMBER(outYear),AGG37+AGG42+#REF!+#REF!,"")</f>
        <v/>
      </c>
      <c r="AGH48" s="84" t="str">
        <f>IF(ISNUMBER(outYear),AGH37+AGH42+#REF!+#REF!,"")</f>
        <v/>
      </c>
      <c r="AGI48" s="84" t="str">
        <f>IF(ISNUMBER(outYear),AGI37+AGI42+#REF!+#REF!,"")</f>
        <v/>
      </c>
      <c r="AGJ48" s="84" t="str">
        <f>IF(ISNUMBER(outYear),AGJ37+AGJ42+#REF!+#REF!,"")</f>
        <v/>
      </c>
      <c r="AGK48" s="84" t="str">
        <f>IF(ISNUMBER(outYear),AGK37+AGK42+#REF!+#REF!,"")</f>
        <v/>
      </c>
      <c r="AGL48" s="84" t="str">
        <f>IF(ISNUMBER(outYear),AGL37+AGL42+#REF!+#REF!,"")</f>
        <v/>
      </c>
      <c r="AGM48" s="84" t="str">
        <f>IF(ISNUMBER(outYear),AGM37+AGM42+#REF!+#REF!,"")</f>
        <v/>
      </c>
      <c r="AGN48" s="84" t="str">
        <f>IF(ISNUMBER(outYear),AGN37+AGN42+#REF!+#REF!,"")</f>
        <v/>
      </c>
      <c r="AGO48" s="84" t="str">
        <f>IF(ISNUMBER(outYear),AGO37+AGO42+#REF!+#REF!,"")</f>
        <v/>
      </c>
      <c r="AGP48" s="84" t="str">
        <f>IF(ISNUMBER(outYear),AGP37+AGP42+#REF!+#REF!,"")</f>
        <v/>
      </c>
      <c r="AGQ48" s="84" t="str">
        <f>IF(ISNUMBER(outYear),AGQ37+AGQ42+#REF!+#REF!,"")</f>
        <v/>
      </c>
      <c r="AGR48" s="84" t="str">
        <f>IF(ISNUMBER(outYear),AGR37+AGR42+#REF!+#REF!,"")</f>
        <v/>
      </c>
      <c r="AGS48" s="84" t="str">
        <f>IF(ISNUMBER(outYear),AGS37+AGS42+#REF!+#REF!,"")</f>
        <v/>
      </c>
      <c r="AGT48" s="84" t="str">
        <f>IF(ISNUMBER(outYear),AGT37+AGT42+#REF!+#REF!,"")</f>
        <v/>
      </c>
      <c r="AGU48" s="84" t="str">
        <f>IF(ISNUMBER(outYear),AGU37+AGU42+#REF!+#REF!,"")</f>
        <v/>
      </c>
      <c r="AGV48" s="84" t="str">
        <f>IF(ISNUMBER(outYear),AGV37+AGV42+#REF!+#REF!,"")</f>
        <v/>
      </c>
      <c r="AGW48" s="84" t="str">
        <f>IF(ISNUMBER(outYear),AGW37+AGW42+#REF!+#REF!,"")</f>
        <v/>
      </c>
      <c r="AGX48" s="84" t="str">
        <f>IF(ISNUMBER(outYear),AGX37+AGX42+#REF!+#REF!,"")</f>
        <v/>
      </c>
      <c r="AGY48" s="84" t="str">
        <f>IF(ISNUMBER(outYear),AGY37+AGY42+#REF!+#REF!,"")</f>
        <v/>
      </c>
      <c r="AGZ48" s="84" t="str">
        <f>IF(ISNUMBER(outYear),AGZ37+AGZ42+#REF!+#REF!,"")</f>
        <v/>
      </c>
      <c r="AHA48" s="84" t="str">
        <f>IF(ISNUMBER(outYear),AHA37+AHA42+#REF!+#REF!,"")</f>
        <v/>
      </c>
      <c r="AHB48" s="84" t="str">
        <f>IF(ISNUMBER(outYear),AHB37+AHB42+#REF!+#REF!,"")</f>
        <v/>
      </c>
      <c r="AHC48" s="84" t="str">
        <f>IF(ISNUMBER(outYear),AHC37+AHC42+#REF!+#REF!,"")</f>
        <v/>
      </c>
      <c r="AHD48" s="84" t="str">
        <f>IF(ISNUMBER(outYear),AHD37+AHD42+#REF!+#REF!,"")</f>
        <v/>
      </c>
      <c r="AHE48" s="84" t="str">
        <f>IF(ISNUMBER(outYear),AHE37+AHE42+#REF!+#REF!,"")</f>
        <v/>
      </c>
      <c r="AHF48" s="84" t="str">
        <f>IF(ISNUMBER(outYear),AHF37+AHF42+#REF!+#REF!,"")</f>
        <v/>
      </c>
      <c r="AHG48" s="84" t="str">
        <f>IF(ISNUMBER(outYear),AHG37+AHG42+#REF!+#REF!,"")</f>
        <v/>
      </c>
      <c r="AHH48" s="84" t="str">
        <f>IF(ISNUMBER(outYear),AHH37+AHH42+#REF!+#REF!,"")</f>
        <v/>
      </c>
      <c r="AHI48" s="84" t="str">
        <f>IF(ISNUMBER(outYear),AHI37+AHI42+#REF!+#REF!,"")</f>
        <v/>
      </c>
      <c r="AHJ48" s="84" t="str">
        <f>IF(ISNUMBER(outYear),AHJ37+AHJ42+#REF!+#REF!,"")</f>
        <v/>
      </c>
      <c r="AHK48" s="84" t="str">
        <f>IF(ISNUMBER(outYear),AHK37+AHK42+#REF!+#REF!,"")</f>
        <v/>
      </c>
      <c r="AHL48" s="84" t="str">
        <f>IF(ISNUMBER(outYear),AHL37+AHL42+#REF!+#REF!,"")</f>
        <v/>
      </c>
      <c r="AHM48" s="84" t="str">
        <f>IF(ISNUMBER(outYear),AHM37+AHM42+#REF!+#REF!,"")</f>
        <v/>
      </c>
      <c r="AHN48" s="84" t="str">
        <f>IF(ISNUMBER(outYear),AHN37+AHN42+#REF!+#REF!,"")</f>
        <v/>
      </c>
      <c r="AHO48" s="84" t="str">
        <f>IF(ISNUMBER(outYear),AHO37+AHO42+#REF!+#REF!,"")</f>
        <v/>
      </c>
      <c r="AHP48" s="84" t="str">
        <f>IF(ISNUMBER(outYear),AHP37+AHP42+#REF!+#REF!,"")</f>
        <v/>
      </c>
      <c r="AHQ48" s="84" t="str">
        <f>IF(ISNUMBER(outYear),AHQ37+AHQ42+#REF!+#REF!,"")</f>
        <v/>
      </c>
      <c r="AHR48" s="84" t="str">
        <f>IF(ISNUMBER(outYear),AHR37+AHR42+#REF!+#REF!,"")</f>
        <v/>
      </c>
      <c r="AHS48" s="84" t="str">
        <f>IF(ISNUMBER(outYear),AHS37+AHS42+#REF!+#REF!,"")</f>
        <v/>
      </c>
      <c r="AHT48" s="84" t="str">
        <f>IF(ISNUMBER(outYear),AHT37+AHT42+#REF!+#REF!,"")</f>
        <v/>
      </c>
      <c r="AHU48" s="84" t="str">
        <f>IF(ISNUMBER(outYear),AHU37+AHU42+#REF!+#REF!,"")</f>
        <v/>
      </c>
      <c r="AHV48" s="84" t="str">
        <f>IF(ISNUMBER(outYear),AHV37+AHV42+#REF!+#REF!,"")</f>
        <v/>
      </c>
      <c r="AHW48" s="84" t="str">
        <f>IF(ISNUMBER(outYear),AHW37+AHW42+#REF!+#REF!,"")</f>
        <v/>
      </c>
      <c r="AHX48" s="84" t="str">
        <f>IF(ISNUMBER(outYear),AHX37+AHX42+#REF!+#REF!,"")</f>
        <v/>
      </c>
      <c r="AHY48" s="84" t="str">
        <f>IF(ISNUMBER(outYear),AHY37+AHY42+#REF!+#REF!,"")</f>
        <v/>
      </c>
      <c r="AHZ48" s="84" t="str">
        <f>IF(ISNUMBER(outYear),AHZ37+AHZ42+#REF!+#REF!,"")</f>
        <v/>
      </c>
      <c r="AIA48" s="84" t="str">
        <f>IF(ISNUMBER(outYear),AIA37+AIA42+#REF!+#REF!,"")</f>
        <v/>
      </c>
      <c r="AIB48" s="84" t="str">
        <f>IF(ISNUMBER(outYear),AIB37+AIB42+#REF!+#REF!,"")</f>
        <v/>
      </c>
      <c r="AIC48" s="84" t="str">
        <f>IF(ISNUMBER(outYear),AIC37+AIC42+#REF!+#REF!,"")</f>
        <v/>
      </c>
      <c r="AID48" s="84" t="str">
        <f>IF(ISNUMBER(outYear),AID37+AID42+#REF!+#REF!,"")</f>
        <v/>
      </c>
      <c r="AIE48" s="84" t="str">
        <f>IF(ISNUMBER(outYear),AIE37+AIE42+#REF!+#REF!,"")</f>
        <v/>
      </c>
      <c r="AIF48" s="84" t="str">
        <f>IF(ISNUMBER(outYear),AIF37+AIF42+#REF!+#REF!,"")</f>
        <v/>
      </c>
      <c r="AIG48" s="84" t="str">
        <f>IF(ISNUMBER(outYear),AIG37+AIG42+#REF!+#REF!,"")</f>
        <v/>
      </c>
      <c r="AIH48" s="84" t="str">
        <f>IF(ISNUMBER(outYear),AIH37+AIH42+#REF!+#REF!,"")</f>
        <v/>
      </c>
      <c r="AII48" s="84" t="str">
        <f>IF(ISNUMBER(outYear),AII37+AII42+#REF!+#REF!,"")</f>
        <v/>
      </c>
      <c r="AIJ48" s="84" t="str">
        <f>IF(ISNUMBER(outYear),AIJ37+AIJ42+#REF!+#REF!,"")</f>
        <v/>
      </c>
      <c r="AIK48" s="84" t="str">
        <f>IF(ISNUMBER(outYear),AIK37+AIK42+#REF!+#REF!,"")</f>
        <v/>
      </c>
      <c r="AIL48" s="84" t="str">
        <f>IF(ISNUMBER(outYear),AIL37+AIL42+#REF!+#REF!,"")</f>
        <v/>
      </c>
      <c r="AIM48" s="84" t="str">
        <f>IF(ISNUMBER(outYear),AIM37+AIM42+#REF!+#REF!,"")</f>
        <v/>
      </c>
      <c r="AIN48" s="84" t="str">
        <f>IF(ISNUMBER(outYear),AIN37+AIN42+#REF!+#REF!,"")</f>
        <v/>
      </c>
      <c r="AIO48" s="84" t="str">
        <f>IF(ISNUMBER(outYear),AIO37+AIO42+#REF!+#REF!,"")</f>
        <v/>
      </c>
      <c r="AIP48" s="84" t="str">
        <f>IF(ISNUMBER(outYear),AIP37+AIP42+#REF!+#REF!,"")</f>
        <v/>
      </c>
      <c r="AIQ48" s="84" t="str">
        <f>IF(ISNUMBER(outYear),AIQ37+AIQ42+#REF!+#REF!,"")</f>
        <v/>
      </c>
      <c r="AIR48" s="84" t="str">
        <f>IF(ISNUMBER(outYear),AIR37+AIR42+#REF!+#REF!,"")</f>
        <v/>
      </c>
      <c r="AIS48" s="84" t="str">
        <f>IF(ISNUMBER(outYear),AIS37+AIS42+#REF!+#REF!,"")</f>
        <v/>
      </c>
      <c r="AIT48" s="84" t="str">
        <f>IF(ISNUMBER(outYear),AIT37+AIT42+#REF!+#REF!,"")</f>
        <v/>
      </c>
      <c r="AIU48" s="84" t="str">
        <f>IF(ISNUMBER(outYear),AIU37+AIU42+#REF!+#REF!,"")</f>
        <v/>
      </c>
      <c r="AIV48" s="84" t="str">
        <f>IF(ISNUMBER(outYear),AIV37+AIV42+#REF!+#REF!,"")</f>
        <v/>
      </c>
      <c r="AIW48" s="84" t="str">
        <f>IF(ISNUMBER(outYear),AIW37+AIW42+#REF!+#REF!,"")</f>
        <v/>
      </c>
      <c r="AIX48" s="84" t="str">
        <f>IF(ISNUMBER(outYear),AIX37+AIX42+#REF!+#REF!,"")</f>
        <v/>
      </c>
      <c r="AIY48" s="84" t="str">
        <f>IF(ISNUMBER(outYear),AIY37+AIY42+#REF!+#REF!,"")</f>
        <v/>
      </c>
      <c r="AIZ48" s="84" t="str">
        <f>IF(ISNUMBER(outYear),AIZ37+AIZ42+#REF!+#REF!,"")</f>
        <v/>
      </c>
      <c r="AJA48" s="84" t="str">
        <f>IF(ISNUMBER(outYear),AJA37+AJA42+#REF!+#REF!,"")</f>
        <v/>
      </c>
      <c r="AJB48" s="84" t="str">
        <f>IF(ISNUMBER(outYear),AJB37+AJB42+#REF!+#REF!,"")</f>
        <v/>
      </c>
      <c r="AJC48" s="84" t="str">
        <f>IF(ISNUMBER(outYear),AJC37+AJC42+#REF!+#REF!,"")</f>
        <v/>
      </c>
      <c r="AJD48" s="84" t="str">
        <f>IF(ISNUMBER(outYear),AJD37+AJD42+#REF!+#REF!,"")</f>
        <v/>
      </c>
      <c r="AJE48" s="84" t="str">
        <f>IF(ISNUMBER(outYear),AJE37+AJE42+#REF!+#REF!,"")</f>
        <v/>
      </c>
      <c r="AJF48" s="84" t="str">
        <f>IF(ISNUMBER(outYear),AJF37+AJF42+#REF!+#REF!,"")</f>
        <v/>
      </c>
      <c r="AJG48" s="84" t="str">
        <f>IF(ISNUMBER(outYear),AJG37+AJG42+#REF!+#REF!,"")</f>
        <v/>
      </c>
      <c r="AJH48" s="84" t="str">
        <f>IF(ISNUMBER(outYear),AJH37+AJH42+#REF!+#REF!,"")</f>
        <v/>
      </c>
      <c r="AJI48" s="84" t="str">
        <f>IF(ISNUMBER(outYear),AJI37+AJI42+#REF!+#REF!,"")</f>
        <v/>
      </c>
      <c r="AJJ48" s="84" t="str">
        <f>IF(ISNUMBER(outYear),AJJ37+AJJ42+#REF!+#REF!,"")</f>
        <v/>
      </c>
      <c r="AJK48" s="84" t="str">
        <f>IF(ISNUMBER(outYear),AJK37+AJK42+#REF!+#REF!,"")</f>
        <v/>
      </c>
      <c r="AJL48" s="84" t="str">
        <f>IF(ISNUMBER(outYear),AJL37+AJL42+#REF!+#REF!,"")</f>
        <v/>
      </c>
      <c r="AJM48" s="84" t="str">
        <f>IF(ISNUMBER(outYear),AJM37+AJM42+#REF!+#REF!,"")</f>
        <v/>
      </c>
      <c r="AJN48" s="84" t="str">
        <f>IF(ISNUMBER(outYear),AJN37+AJN42+#REF!+#REF!,"")</f>
        <v/>
      </c>
      <c r="AJO48" s="84" t="str">
        <f>IF(ISNUMBER(outYear),AJO37+AJO42+#REF!+#REF!,"")</f>
        <v/>
      </c>
      <c r="AJP48" s="84" t="str">
        <f>IF(ISNUMBER(outYear),AJP37+AJP42+#REF!+#REF!,"")</f>
        <v/>
      </c>
      <c r="AJQ48" s="84" t="str">
        <f>IF(ISNUMBER(outYear),AJQ37+AJQ42+#REF!+#REF!,"")</f>
        <v/>
      </c>
      <c r="AJR48" s="84" t="str">
        <f>IF(ISNUMBER(outYear),AJR37+AJR42+#REF!+#REF!,"")</f>
        <v/>
      </c>
      <c r="AJS48" s="84" t="str">
        <f>IF(ISNUMBER(outYear),AJS37+AJS42+#REF!+#REF!,"")</f>
        <v/>
      </c>
      <c r="AJT48" s="84" t="str">
        <f>IF(ISNUMBER(outYear),AJT37+AJT42+#REF!+#REF!,"")</f>
        <v/>
      </c>
      <c r="AJU48" s="84" t="str">
        <f>IF(ISNUMBER(outYear),AJU37+AJU42+#REF!+#REF!,"")</f>
        <v/>
      </c>
      <c r="AJV48" s="84" t="str">
        <f>IF(ISNUMBER(outYear),AJV37+AJV42+#REF!+#REF!,"")</f>
        <v/>
      </c>
      <c r="AJW48" s="84" t="str">
        <f>IF(ISNUMBER(outYear),AJW37+AJW42+#REF!+#REF!,"")</f>
        <v/>
      </c>
      <c r="AJX48" s="84" t="str">
        <f>IF(ISNUMBER(outYear),AJX37+AJX42+#REF!+#REF!,"")</f>
        <v/>
      </c>
      <c r="AJY48" s="84" t="str">
        <f>IF(ISNUMBER(outYear),AJY37+AJY42+#REF!+#REF!,"")</f>
        <v/>
      </c>
      <c r="AJZ48" s="84" t="str">
        <f>IF(ISNUMBER(outYear),AJZ37+AJZ42+#REF!+#REF!,"")</f>
        <v/>
      </c>
      <c r="AKA48" s="84" t="str">
        <f>IF(ISNUMBER(outYear),AKA37+AKA42+#REF!+#REF!,"")</f>
        <v/>
      </c>
      <c r="AKB48" s="84" t="str">
        <f>IF(ISNUMBER(outYear),AKB37+AKB42+#REF!+#REF!,"")</f>
        <v/>
      </c>
      <c r="AKC48" s="84" t="str">
        <f>IF(ISNUMBER(outYear),AKC37+AKC42+#REF!+#REF!,"")</f>
        <v/>
      </c>
      <c r="AKD48" s="84" t="str">
        <f>IF(ISNUMBER(outYear),AKD37+AKD42+#REF!+#REF!,"")</f>
        <v/>
      </c>
      <c r="AKE48" s="84" t="str">
        <f>IF(ISNUMBER(outYear),AKE37+AKE42+#REF!+#REF!,"")</f>
        <v/>
      </c>
      <c r="AKF48" s="84" t="str">
        <f>IF(ISNUMBER(outYear),AKF37+AKF42+#REF!+#REF!,"")</f>
        <v/>
      </c>
      <c r="AKG48" s="84" t="str">
        <f>IF(ISNUMBER(outYear),AKG37+AKG42+#REF!+#REF!,"")</f>
        <v/>
      </c>
      <c r="AKH48" s="84" t="str">
        <f>IF(ISNUMBER(outYear),AKH37+AKH42+#REF!+#REF!,"")</f>
        <v/>
      </c>
      <c r="AKI48" s="84" t="str">
        <f>IF(ISNUMBER(outYear),AKI37+AKI42+#REF!+#REF!,"")</f>
        <v/>
      </c>
      <c r="AKJ48" s="84" t="str">
        <f>IF(ISNUMBER(outYear),AKJ37+AKJ42+#REF!+#REF!,"")</f>
        <v/>
      </c>
      <c r="AKK48" s="84" t="str">
        <f>IF(ISNUMBER(outYear),AKK37+AKK42+#REF!+#REF!,"")</f>
        <v/>
      </c>
      <c r="AKL48" s="84" t="str">
        <f>IF(ISNUMBER(outYear),AKL37+AKL42+#REF!+#REF!,"")</f>
        <v/>
      </c>
      <c r="AKM48" s="84" t="str">
        <f>IF(ISNUMBER(outYear),AKM37+AKM42+#REF!+#REF!,"")</f>
        <v/>
      </c>
      <c r="AKN48" s="84" t="str">
        <f>IF(ISNUMBER(outYear),AKN37+AKN42+#REF!+#REF!,"")</f>
        <v/>
      </c>
      <c r="AKO48" s="84" t="str">
        <f>IF(ISNUMBER(outYear),AKO37+AKO42+#REF!+#REF!,"")</f>
        <v/>
      </c>
      <c r="AKP48" s="84" t="str">
        <f>IF(ISNUMBER(outYear),AKP37+AKP42+#REF!+#REF!,"")</f>
        <v/>
      </c>
      <c r="AKQ48" s="84" t="str">
        <f>IF(ISNUMBER(outYear),AKQ37+AKQ42+#REF!+#REF!,"")</f>
        <v/>
      </c>
      <c r="AKR48" s="84" t="str">
        <f>IF(ISNUMBER(outYear),AKR37+AKR42+#REF!+#REF!,"")</f>
        <v/>
      </c>
      <c r="AKS48" s="84" t="str">
        <f>IF(ISNUMBER(outYear),AKS37+AKS42+#REF!+#REF!,"")</f>
        <v/>
      </c>
      <c r="AKT48" s="84" t="str">
        <f>IF(ISNUMBER(outYear),AKT37+AKT42+#REF!+#REF!,"")</f>
        <v/>
      </c>
      <c r="AKU48" s="84" t="str">
        <f>IF(ISNUMBER(outYear),AKU37+AKU42+#REF!+#REF!,"")</f>
        <v/>
      </c>
      <c r="AKV48" s="84" t="str">
        <f>IF(ISNUMBER(outYear),AKV37+AKV42+#REF!+#REF!,"")</f>
        <v/>
      </c>
      <c r="AKW48" s="84" t="str">
        <f>IF(ISNUMBER(outYear),AKW37+AKW42+#REF!+#REF!,"")</f>
        <v/>
      </c>
      <c r="AKX48" s="84" t="str">
        <f>IF(ISNUMBER(outYear),AKX37+AKX42+#REF!+#REF!,"")</f>
        <v/>
      </c>
      <c r="AKY48" s="84" t="str">
        <f>IF(ISNUMBER(outYear),AKY37+AKY42+#REF!+#REF!,"")</f>
        <v/>
      </c>
      <c r="AKZ48" s="84" t="str">
        <f>IF(ISNUMBER(outYear),AKZ37+AKZ42+#REF!+#REF!,"")</f>
        <v/>
      </c>
      <c r="ALA48" s="84" t="str">
        <f>IF(ISNUMBER(outYear),ALA37+ALA42+#REF!+#REF!,"")</f>
        <v/>
      </c>
      <c r="ALB48" s="84" t="str">
        <f>IF(ISNUMBER(outYear),ALB37+ALB42+#REF!+#REF!,"")</f>
        <v/>
      </c>
      <c r="ALC48" s="84" t="str">
        <f>IF(ISNUMBER(outYear),ALC37+ALC42+#REF!+#REF!,"")</f>
        <v/>
      </c>
      <c r="ALD48" s="84" t="str">
        <f>IF(ISNUMBER(outYear),ALD37+ALD42+#REF!+#REF!,"")</f>
        <v/>
      </c>
      <c r="ALE48" s="84" t="str">
        <f>IF(ISNUMBER(outYear),ALE37+ALE42+#REF!+#REF!,"")</f>
        <v/>
      </c>
      <c r="ALF48" s="84" t="str">
        <f>IF(ISNUMBER(outYear),ALF37+ALF42+#REF!+#REF!,"")</f>
        <v/>
      </c>
      <c r="ALG48" s="84" t="str">
        <f>IF(ISNUMBER(outYear),ALG37+ALG42+#REF!+#REF!,"")</f>
        <v/>
      </c>
      <c r="ALH48" s="84" t="str">
        <f>IF(ISNUMBER(outYear),ALH37+ALH42+#REF!+#REF!,"")</f>
        <v/>
      </c>
      <c r="ALI48" s="84" t="str">
        <f>IF(ISNUMBER(outYear),ALI37+ALI42+#REF!+#REF!,"")</f>
        <v/>
      </c>
      <c r="ALJ48" s="84" t="str">
        <f>IF(ISNUMBER(outYear),ALJ37+ALJ42+#REF!+#REF!,"")</f>
        <v/>
      </c>
      <c r="ALK48" s="84" t="str">
        <f>IF(ISNUMBER(outYear),ALK37+ALK42+#REF!+#REF!,"")</f>
        <v/>
      </c>
      <c r="ALL48" s="84" t="str">
        <f>IF(ISNUMBER(outYear),ALL37+ALL42+#REF!+#REF!,"")</f>
        <v/>
      </c>
      <c r="ALM48" s="84" t="str">
        <f>IF(ISNUMBER(outYear),ALM37+ALM42+#REF!+#REF!,"")</f>
        <v/>
      </c>
      <c r="ALN48" s="84" t="str">
        <f>IF(ISNUMBER(outYear),ALN37+ALN42+#REF!+#REF!,"")</f>
        <v/>
      </c>
      <c r="ALO48" s="84" t="str">
        <f>IF(ISNUMBER(outYear),ALO37+ALO42+#REF!+#REF!,"")</f>
        <v/>
      </c>
      <c r="ALP48" s="84" t="str">
        <f>IF(ISNUMBER(outYear),ALP37+ALP42+#REF!+#REF!,"")</f>
        <v/>
      </c>
      <c r="ALQ48" s="84" t="str">
        <f>IF(ISNUMBER(outYear),ALQ37+ALQ42+#REF!+#REF!,"")</f>
        <v/>
      </c>
      <c r="ALR48" s="84" t="str">
        <f>IF(ISNUMBER(outYear),ALR37+ALR42+#REF!+#REF!,"")</f>
        <v/>
      </c>
      <c r="ALS48" s="84" t="str">
        <f>IF(ISNUMBER(outYear),ALS37+ALS42+#REF!+#REF!,"")</f>
        <v/>
      </c>
      <c r="ALT48" s="84" t="str">
        <f>IF(ISNUMBER(outYear),ALT37+ALT42+#REF!+#REF!,"")</f>
        <v/>
      </c>
      <c r="ALU48" s="84" t="str">
        <f>IF(ISNUMBER(outYear),ALU37+ALU42+#REF!+#REF!,"")</f>
        <v/>
      </c>
      <c r="ALV48" s="84" t="str">
        <f>IF(ISNUMBER(outYear),ALV37+ALV42+#REF!+#REF!,"")</f>
        <v/>
      </c>
      <c r="ALW48" s="84" t="str">
        <f>IF(ISNUMBER(outYear),ALW37+ALW42+#REF!+#REF!,"")</f>
        <v/>
      </c>
      <c r="ALX48" s="84" t="str">
        <f>IF(ISNUMBER(outYear),ALX37+ALX42+#REF!+#REF!,"")</f>
        <v/>
      </c>
      <c r="ALY48" s="84" t="str">
        <f>IF(ISNUMBER(outYear),ALY37+ALY42+#REF!+#REF!,"")</f>
        <v/>
      </c>
      <c r="ALZ48" s="84" t="str">
        <f>IF(ISNUMBER(outYear),ALZ37+ALZ42+#REF!+#REF!,"")</f>
        <v/>
      </c>
      <c r="AMA48" s="84" t="str">
        <f>IF(ISNUMBER(outYear),AMA37+AMA42+#REF!+#REF!,"")</f>
        <v/>
      </c>
      <c r="AMB48" s="84" t="str">
        <f>IF(ISNUMBER(outYear),AMB37+AMB42+#REF!+#REF!,"")</f>
        <v/>
      </c>
      <c r="AMC48" s="84" t="str">
        <f>IF(ISNUMBER(outYear),AMC37+AMC42+#REF!+#REF!,"")</f>
        <v/>
      </c>
      <c r="AMD48" s="84" t="str">
        <f>IF(ISNUMBER(outYear),AMD37+AMD42+#REF!+#REF!,"")</f>
        <v/>
      </c>
      <c r="AME48" s="84" t="str">
        <f>IF(ISNUMBER(outYear),AME37+AME42+#REF!+#REF!,"")</f>
        <v/>
      </c>
      <c r="AMF48" s="84" t="str">
        <f>IF(ISNUMBER(outYear),AMF37+AMF42+#REF!+#REF!,"")</f>
        <v/>
      </c>
      <c r="AMG48" s="84" t="str">
        <f>IF(ISNUMBER(outYear),AMG37+AMG42+#REF!+#REF!,"")</f>
        <v/>
      </c>
      <c r="AMH48" s="84" t="str">
        <f>IF(ISNUMBER(outYear),AMH37+AMH42+#REF!+#REF!,"")</f>
        <v/>
      </c>
      <c r="AMI48" s="84" t="str">
        <f>IF(ISNUMBER(outYear),AMI37+AMI42+#REF!+#REF!,"")</f>
        <v/>
      </c>
      <c r="AMJ48" s="84" t="str">
        <f>IF(ISNUMBER(outYear),AMJ37+AMJ42+#REF!+#REF!,"")</f>
        <v/>
      </c>
      <c r="AMK48" s="84" t="str">
        <f>IF(ISNUMBER(outYear),AMK37+AMK42+#REF!+#REF!,"")</f>
        <v/>
      </c>
      <c r="AML48" s="84" t="str">
        <f>IF(ISNUMBER(outYear),AML37+AML42+#REF!+#REF!,"")</f>
        <v/>
      </c>
      <c r="AMM48" s="84" t="str">
        <f>IF(ISNUMBER(outYear),AMM37+AMM42+#REF!+#REF!,"")</f>
        <v/>
      </c>
      <c r="AMN48" s="84" t="str">
        <f>IF(ISNUMBER(outYear),AMN37+AMN42+#REF!+#REF!,"")</f>
        <v/>
      </c>
      <c r="AMO48" s="84" t="str">
        <f>IF(ISNUMBER(outYear),AMO37+AMO42+#REF!+#REF!,"")</f>
        <v/>
      </c>
      <c r="AMP48" s="84" t="str">
        <f>IF(ISNUMBER(outYear),AMP37+AMP42+#REF!+#REF!,"")</f>
        <v/>
      </c>
      <c r="AMQ48" s="84" t="str">
        <f>IF(ISNUMBER(outYear),AMQ37+AMQ42+#REF!+#REF!,"")</f>
        <v/>
      </c>
      <c r="AMR48" s="84" t="str">
        <f>IF(ISNUMBER(outYear),AMR37+AMR42+#REF!+#REF!,"")</f>
        <v/>
      </c>
      <c r="AMS48" s="84" t="str">
        <f>IF(ISNUMBER(outYear),AMS37+AMS42+#REF!+#REF!,"")</f>
        <v/>
      </c>
      <c r="AMT48" s="84" t="str">
        <f>IF(ISNUMBER(outYear),AMT37+AMT42+#REF!+#REF!,"")</f>
        <v/>
      </c>
      <c r="AMU48" s="84" t="str">
        <f>IF(ISNUMBER(outYear),AMU37+AMU42+#REF!+#REF!,"")</f>
        <v/>
      </c>
      <c r="AMV48" s="84" t="str">
        <f>IF(ISNUMBER(outYear),AMV37+AMV42+#REF!+#REF!,"")</f>
        <v/>
      </c>
      <c r="AMW48" s="84" t="str">
        <f>IF(ISNUMBER(outYear),AMW37+AMW42+#REF!+#REF!,"")</f>
        <v/>
      </c>
      <c r="AMX48" s="84" t="str">
        <f>IF(ISNUMBER(outYear),AMX37+AMX42+#REF!+#REF!,"")</f>
        <v/>
      </c>
      <c r="AMY48" s="84" t="str">
        <f>IF(ISNUMBER(outYear),AMY37+AMY42+#REF!+#REF!,"")</f>
        <v/>
      </c>
      <c r="AMZ48" s="84" t="str">
        <f>IF(ISNUMBER(outYear),AMZ37+AMZ42+#REF!+#REF!,"")</f>
        <v/>
      </c>
      <c r="ANA48" s="84" t="str">
        <f>IF(ISNUMBER(outYear),ANA37+ANA42+#REF!+#REF!,"")</f>
        <v/>
      </c>
      <c r="ANB48" s="84" t="str">
        <f>IF(ISNUMBER(outYear),ANB37+ANB42+#REF!+#REF!,"")</f>
        <v/>
      </c>
      <c r="ANC48" s="84" t="str">
        <f>IF(ISNUMBER(outYear),ANC37+ANC42+#REF!+#REF!,"")</f>
        <v/>
      </c>
      <c r="AND48" s="84" t="str">
        <f>IF(ISNUMBER(outYear),AND37+AND42+#REF!+#REF!,"")</f>
        <v/>
      </c>
      <c r="ANE48" s="84" t="str">
        <f>IF(ISNUMBER(outYear),ANE37+ANE42+#REF!+#REF!,"")</f>
        <v/>
      </c>
      <c r="ANF48" s="84" t="str">
        <f>IF(ISNUMBER(outYear),ANF37+ANF42+#REF!+#REF!,"")</f>
        <v/>
      </c>
      <c r="ANG48" s="84" t="str">
        <f>IF(ISNUMBER(outYear),ANG37+ANG42+#REF!+#REF!,"")</f>
        <v/>
      </c>
      <c r="ANH48" s="84" t="str">
        <f>IF(ISNUMBER(outYear),ANH37+ANH42+#REF!+#REF!,"")</f>
        <v/>
      </c>
      <c r="ANI48" s="84" t="str">
        <f>IF(ISNUMBER(outYear),ANI37+ANI42+#REF!+#REF!,"")</f>
        <v/>
      </c>
      <c r="ANJ48" s="84" t="str">
        <f>IF(ISNUMBER(outYear),ANJ37+ANJ42+#REF!+#REF!,"")</f>
        <v/>
      </c>
      <c r="ANK48" s="84" t="str">
        <f>IF(ISNUMBER(outYear),ANK37+ANK42+#REF!+#REF!,"")</f>
        <v/>
      </c>
      <c r="ANL48" s="84" t="str">
        <f>IF(ISNUMBER(outYear),ANL37+ANL42+#REF!+#REF!,"")</f>
        <v/>
      </c>
      <c r="ANM48" s="84" t="str">
        <f>IF(ISNUMBER(outYear),ANM37+ANM42+#REF!+#REF!,"")</f>
        <v/>
      </c>
      <c r="ANN48" s="84" t="str">
        <f>IF(ISNUMBER(outYear),ANN37+ANN42+#REF!+#REF!,"")</f>
        <v/>
      </c>
      <c r="ANO48" s="84" t="str">
        <f>IF(ISNUMBER(outYear),ANO37+ANO42+#REF!+#REF!,"")</f>
        <v/>
      </c>
      <c r="ANP48" s="84" t="str">
        <f>IF(ISNUMBER(outYear),ANP37+ANP42+#REF!+#REF!,"")</f>
        <v/>
      </c>
      <c r="ANQ48" s="84" t="str">
        <f>IF(ISNUMBER(outYear),ANQ37+ANQ42+#REF!+#REF!,"")</f>
        <v/>
      </c>
      <c r="ANR48" s="84" t="str">
        <f>IF(ISNUMBER(outYear),ANR37+ANR42+#REF!+#REF!,"")</f>
        <v/>
      </c>
      <c r="ANS48" s="84" t="str">
        <f>IF(ISNUMBER(outYear),ANS37+ANS42+#REF!+#REF!,"")</f>
        <v/>
      </c>
      <c r="ANT48" s="84" t="str">
        <f>IF(ISNUMBER(outYear),ANT37+ANT42+#REF!+#REF!,"")</f>
        <v/>
      </c>
      <c r="ANU48" s="84" t="str">
        <f>IF(ISNUMBER(outYear),ANU37+ANU42+#REF!+#REF!,"")</f>
        <v/>
      </c>
      <c r="ANV48" s="84" t="str">
        <f>IF(ISNUMBER(outYear),ANV37+ANV42+#REF!+#REF!,"")</f>
        <v/>
      </c>
      <c r="ANW48" s="84" t="str">
        <f>IF(ISNUMBER(outYear),ANW37+ANW42+#REF!+#REF!,"")</f>
        <v/>
      </c>
      <c r="ANX48" s="84" t="str">
        <f>IF(ISNUMBER(outYear),ANX37+ANX42+#REF!+#REF!,"")</f>
        <v/>
      </c>
      <c r="ANY48" s="84" t="str">
        <f>IF(ISNUMBER(outYear),ANY37+ANY42+#REF!+#REF!,"")</f>
        <v/>
      </c>
      <c r="ANZ48" s="84" t="str">
        <f>IF(ISNUMBER(outYear),ANZ37+ANZ42+#REF!+#REF!,"")</f>
        <v/>
      </c>
      <c r="AOA48" s="84" t="str">
        <f>IF(ISNUMBER(outYear),AOA37+AOA42+#REF!+#REF!,"")</f>
        <v/>
      </c>
      <c r="AOB48" s="84" t="str">
        <f>IF(ISNUMBER(outYear),AOB37+AOB42+#REF!+#REF!,"")</f>
        <v/>
      </c>
      <c r="AOC48" s="84" t="str">
        <f>IF(ISNUMBER(outYear),AOC37+AOC42+#REF!+#REF!,"")</f>
        <v/>
      </c>
      <c r="AOD48" s="84" t="str">
        <f>IF(ISNUMBER(outYear),AOD37+AOD42+#REF!+#REF!,"")</f>
        <v/>
      </c>
      <c r="AOE48" s="84" t="str">
        <f>IF(ISNUMBER(outYear),AOE37+AOE42+#REF!+#REF!,"")</f>
        <v/>
      </c>
      <c r="AOF48" s="84" t="str">
        <f>IF(ISNUMBER(outYear),AOF37+AOF42+#REF!+#REF!,"")</f>
        <v/>
      </c>
      <c r="AOG48" s="84" t="str">
        <f>IF(ISNUMBER(outYear),AOG37+AOG42+#REF!+#REF!,"")</f>
        <v/>
      </c>
      <c r="AOH48" s="84" t="str">
        <f>IF(ISNUMBER(outYear),AOH37+AOH42+#REF!+#REF!,"")</f>
        <v/>
      </c>
      <c r="AOI48" s="84" t="str">
        <f>IF(ISNUMBER(outYear),AOI37+AOI42+#REF!+#REF!,"")</f>
        <v/>
      </c>
      <c r="AOJ48" s="84" t="str">
        <f>IF(ISNUMBER(outYear),AOJ37+AOJ42+#REF!+#REF!,"")</f>
        <v/>
      </c>
      <c r="AOK48" s="84" t="str">
        <f>IF(ISNUMBER(outYear),AOK37+AOK42+#REF!+#REF!,"")</f>
        <v/>
      </c>
      <c r="AOL48" s="84" t="str">
        <f>IF(ISNUMBER(outYear),AOL37+AOL42+#REF!+#REF!,"")</f>
        <v/>
      </c>
      <c r="AOM48" s="84" t="str">
        <f>IF(ISNUMBER(outYear),AOM37+AOM42+#REF!+#REF!,"")</f>
        <v/>
      </c>
      <c r="AON48" s="84" t="str">
        <f>IF(ISNUMBER(outYear),AON37+AON42+#REF!+#REF!,"")</f>
        <v/>
      </c>
      <c r="AOO48" s="84" t="str">
        <f>IF(ISNUMBER(outYear),AOO37+AOO42+#REF!+#REF!,"")</f>
        <v/>
      </c>
      <c r="AOP48" s="84" t="str">
        <f>IF(ISNUMBER(outYear),AOP37+AOP42+#REF!+#REF!,"")</f>
        <v/>
      </c>
      <c r="AOQ48" s="84" t="str">
        <f>IF(ISNUMBER(outYear),AOQ37+AOQ42+#REF!+#REF!,"")</f>
        <v/>
      </c>
      <c r="AOR48" s="84" t="str">
        <f>IF(ISNUMBER(outYear),AOR37+AOR42+#REF!+#REF!,"")</f>
        <v/>
      </c>
      <c r="AOS48" s="84" t="str">
        <f>IF(ISNUMBER(outYear),AOS37+AOS42+#REF!+#REF!,"")</f>
        <v/>
      </c>
      <c r="AOT48" s="84" t="str">
        <f>IF(ISNUMBER(outYear),AOT37+AOT42+#REF!+#REF!,"")</f>
        <v/>
      </c>
      <c r="AOU48" s="84" t="str">
        <f>IF(ISNUMBER(outYear),AOU37+AOU42+#REF!+#REF!,"")</f>
        <v/>
      </c>
      <c r="AOV48" s="84" t="str">
        <f>IF(ISNUMBER(outYear),AOV37+AOV42+#REF!+#REF!,"")</f>
        <v/>
      </c>
      <c r="AOW48" s="84" t="str">
        <f>IF(ISNUMBER(outYear),AOW37+AOW42+#REF!+#REF!,"")</f>
        <v/>
      </c>
      <c r="AOX48" s="84" t="str">
        <f>IF(ISNUMBER(outYear),AOX37+AOX42+#REF!+#REF!,"")</f>
        <v/>
      </c>
      <c r="AOY48" s="84" t="str">
        <f>IF(ISNUMBER(outYear),AOY37+AOY42+#REF!+#REF!,"")</f>
        <v/>
      </c>
      <c r="AOZ48" s="84" t="str">
        <f>IF(ISNUMBER(outYear),AOZ37+AOZ42+#REF!+#REF!,"")</f>
        <v/>
      </c>
      <c r="APA48" s="84" t="str">
        <f>IF(ISNUMBER(outYear),APA37+APA42+#REF!+#REF!,"")</f>
        <v/>
      </c>
      <c r="APB48" s="84" t="str">
        <f>IF(ISNUMBER(outYear),APB37+APB42+#REF!+#REF!,"")</f>
        <v/>
      </c>
      <c r="APC48" s="84" t="str">
        <f>IF(ISNUMBER(outYear),APC37+APC42+#REF!+#REF!,"")</f>
        <v/>
      </c>
      <c r="APD48" s="84" t="str">
        <f>IF(ISNUMBER(outYear),APD37+APD42+#REF!+#REF!,"")</f>
        <v/>
      </c>
      <c r="APE48" s="84" t="str">
        <f>IF(ISNUMBER(outYear),APE37+APE42+#REF!+#REF!,"")</f>
        <v/>
      </c>
      <c r="APF48" s="84" t="str">
        <f>IF(ISNUMBER(outYear),APF37+APF42+#REF!+#REF!,"")</f>
        <v/>
      </c>
      <c r="APG48" s="84" t="str">
        <f>IF(ISNUMBER(outYear),APG37+APG42+#REF!+#REF!,"")</f>
        <v/>
      </c>
      <c r="APH48" s="84" t="str">
        <f>IF(ISNUMBER(outYear),APH37+APH42+#REF!+#REF!,"")</f>
        <v/>
      </c>
      <c r="API48" s="84" t="str">
        <f>IF(ISNUMBER(outYear),API37+API42+#REF!+#REF!,"")</f>
        <v/>
      </c>
      <c r="APJ48" s="84" t="str">
        <f>IF(ISNUMBER(outYear),APJ37+APJ42+#REF!+#REF!,"")</f>
        <v/>
      </c>
      <c r="APK48" s="84" t="str">
        <f>IF(ISNUMBER(outYear),APK37+APK42+#REF!+#REF!,"")</f>
        <v/>
      </c>
      <c r="APL48" s="84" t="str">
        <f>IF(ISNUMBER(outYear),APL37+APL42+#REF!+#REF!,"")</f>
        <v/>
      </c>
      <c r="APM48" s="84" t="str">
        <f>IF(ISNUMBER(outYear),APM37+APM42+#REF!+#REF!,"")</f>
        <v/>
      </c>
      <c r="APN48" s="84" t="str">
        <f>IF(ISNUMBER(outYear),APN37+APN42+#REF!+#REF!,"")</f>
        <v/>
      </c>
      <c r="APO48" s="84" t="str">
        <f>IF(ISNUMBER(outYear),APO37+APO42+#REF!+#REF!,"")</f>
        <v/>
      </c>
      <c r="APP48" s="84" t="str">
        <f>IF(ISNUMBER(outYear),APP37+APP42+#REF!+#REF!,"")</f>
        <v/>
      </c>
      <c r="APQ48" s="84" t="str">
        <f>IF(ISNUMBER(outYear),APQ37+APQ42+#REF!+#REF!,"")</f>
        <v/>
      </c>
      <c r="APR48" s="84" t="str">
        <f>IF(ISNUMBER(outYear),APR37+APR42+#REF!+#REF!,"")</f>
        <v/>
      </c>
      <c r="APS48" s="84" t="str">
        <f>IF(ISNUMBER(outYear),APS37+APS42+#REF!+#REF!,"")</f>
        <v/>
      </c>
      <c r="APT48" s="84" t="str">
        <f>IF(ISNUMBER(outYear),APT37+APT42+#REF!+#REF!,"")</f>
        <v/>
      </c>
      <c r="APU48" s="84" t="str">
        <f>IF(ISNUMBER(outYear),APU37+APU42+#REF!+#REF!,"")</f>
        <v/>
      </c>
      <c r="APV48" s="84" t="str">
        <f>IF(ISNUMBER(outYear),APV37+APV42+#REF!+#REF!,"")</f>
        <v/>
      </c>
      <c r="APW48" s="84" t="str">
        <f>IF(ISNUMBER(outYear),APW37+APW42+#REF!+#REF!,"")</f>
        <v/>
      </c>
      <c r="APX48" s="84" t="str">
        <f>IF(ISNUMBER(outYear),APX37+APX42+#REF!+#REF!,"")</f>
        <v/>
      </c>
      <c r="APY48" s="84" t="str">
        <f>IF(ISNUMBER(outYear),APY37+APY42+#REF!+#REF!,"")</f>
        <v/>
      </c>
      <c r="APZ48" s="84" t="str">
        <f>IF(ISNUMBER(outYear),APZ37+APZ42+#REF!+#REF!,"")</f>
        <v/>
      </c>
      <c r="AQA48" s="84" t="str">
        <f>IF(ISNUMBER(outYear),AQA37+AQA42+#REF!+#REF!,"")</f>
        <v/>
      </c>
      <c r="AQB48" s="84" t="str">
        <f>IF(ISNUMBER(outYear),AQB37+AQB42+#REF!+#REF!,"")</f>
        <v/>
      </c>
      <c r="AQC48" s="84" t="str">
        <f>IF(ISNUMBER(outYear),AQC37+AQC42+#REF!+#REF!,"")</f>
        <v/>
      </c>
      <c r="AQD48" s="84" t="str">
        <f>IF(ISNUMBER(outYear),AQD37+AQD42+#REF!+#REF!,"")</f>
        <v/>
      </c>
      <c r="AQE48" s="84" t="str">
        <f>IF(ISNUMBER(outYear),AQE37+AQE42+#REF!+#REF!,"")</f>
        <v/>
      </c>
      <c r="AQF48" s="84" t="str">
        <f>IF(ISNUMBER(outYear),AQF37+AQF42+#REF!+#REF!,"")</f>
        <v/>
      </c>
      <c r="AQG48" s="84" t="str">
        <f>IF(ISNUMBER(outYear),AQG37+AQG42+#REF!+#REF!,"")</f>
        <v/>
      </c>
      <c r="AQH48" s="84" t="str">
        <f>IF(ISNUMBER(outYear),AQH37+AQH42+#REF!+#REF!,"")</f>
        <v/>
      </c>
      <c r="AQI48" s="84" t="str">
        <f>IF(ISNUMBER(outYear),AQI37+AQI42+#REF!+#REF!,"")</f>
        <v/>
      </c>
      <c r="AQJ48" s="84" t="str">
        <f>IF(ISNUMBER(outYear),AQJ37+AQJ42+#REF!+#REF!,"")</f>
        <v/>
      </c>
      <c r="AQK48" s="84" t="str">
        <f>IF(ISNUMBER(outYear),AQK37+AQK42+#REF!+#REF!,"")</f>
        <v/>
      </c>
      <c r="AQL48" s="84" t="str">
        <f>IF(ISNUMBER(outYear),AQL37+AQL42+#REF!+#REF!,"")</f>
        <v/>
      </c>
      <c r="AQM48" s="84" t="str">
        <f>IF(ISNUMBER(outYear),AQM37+AQM42+#REF!+#REF!,"")</f>
        <v/>
      </c>
      <c r="AQN48" s="84" t="str">
        <f>IF(ISNUMBER(outYear),AQN37+AQN42+#REF!+#REF!,"")</f>
        <v/>
      </c>
      <c r="AQO48" s="84" t="str">
        <f>IF(ISNUMBER(outYear),AQO37+AQO42+#REF!+#REF!,"")</f>
        <v/>
      </c>
      <c r="AQP48" s="84" t="str">
        <f>IF(ISNUMBER(outYear),AQP37+AQP42+#REF!+#REF!,"")</f>
        <v/>
      </c>
      <c r="AQQ48" s="84" t="str">
        <f>IF(ISNUMBER(outYear),AQQ37+AQQ42+#REF!+#REF!,"")</f>
        <v/>
      </c>
      <c r="AQR48" s="84" t="str">
        <f>IF(ISNUMBER(outYear),AQR37+AQR42+#REF!+#REF!,"")</f>
        <v/>
      </c>
      <c r="AQS48" s="84" t="str">
        <f>IF(ISNUMBER(outYear),AQS37+AQS42+#REF!+#REF!,"")</f>
        <v/>
      </c>
      <c r="AQT48" s="84" t="str">
        <f>IF(ISNUMBER(outYear),AQT37+AQT42+#REF!+#REF!,"")</f>
        <v/>
      </c>
      <c r="AQU48" s="84" t="str">
        <f>IF(ISNUMBER(outYear),AQU37+AQU42+#REF!+#REF!,"")</f>
        <v/>
      </c>
      <c r="AQV48" s="84" t="str">
        <f>IF(ISNUMBER(outYear),AQV37+AQV42+#REF!+#REF!,"")</f>
        <v/>
      </c>
      <c r="AQW48" s="84" t="str">
        <f>IF(ISNUMBER(outYear),AQW37+AQW42+#REF!+#REF!,"")</f>
        <v/>
      </c>
      <c r="AQX48" s="84" t="str">
        <f>IF(ISNUMBER(outYear),AQX37+AQX42+#REF!+#REF!,"")</f>
        <v/>
      </c>
      <c r="AQY48" s="84" t="str">
        <f>IF(ISNUMBER(outYear),AQY37+AQY42+#REF!+#REF!,"")</f>
        <v/>
      </c>
      <c r="AQZ48" s="84" t="str">
        <f>IF(ISNUMBER(outYear),AQZ37+AQZ42+#REF!+#REF!,"")</f>
        <v/>
      </c>
      <c r="ARA48" s="84" t="str">
        <f>IF(ISNUMBER(outYear),ARA37+ARA42+#REF!+#REF!,"")</f>
        <v/>
      </c>
      <c r="ARB48" s="84" t="str">
        <f>IF(ISNUMBER(outYear),ARB37+ARB42+#REF!+#REF!,"")</f>
        <v/>
      </c>
      <c r="ARC48" s="84" t="str">
        <f>IF(ISNUMBER(outYear),ARC37+ARC42+#REF!+#REF!,"")</f>
        <v/>
      </c>
      <c r="ARD48" s="84" t="str">
        <f>IF(ISNUMBER(outYear),ARD37+ARD42+#REF!+#REF!,"")</f>
        <v/>
      </c>
      <c r="ARE48" s="84" t="str">
        <f>IF(ISNUMBER(outYear),ARE37+ARE42+#REF!+#REF!,"")</f>
        <v/>
      </c>
      <c r="ARF48" s="84" t="str">
        <f>IF(ISNUMBER(outYear),ARF37+ARF42+#REF!+#REF!,"")</f>
        <v/>
      </c>
      <c r="ARG48" s="84" t="str">
        <f>IF(ISNUMBER(outYear),ARG37+ARG42+#REF!+#REF!,"")</f>
        <v/>
      </c>
      <c r="ARH48" s="84" t="str">
        <f>IF(ISNUMBER(outYear),ARH37+ARH42+#REF!+#REF!,"")</f>
        <v/>
      </c>
      <c r="ARI48" s="84" t="str">
        <f>IF(ISNUMBER(outYear),ARI37+ARI42+#REF!+#REF!,"")</f>
        <v/>
      </c>
      <c r="ARJ48" s="84" t="str">
        <f>IF(ISNUMBER(outYear),ARJ37+ARJ42+#REF!+#REF!,"")</f>
        <v/>
      </c>
      <c r="ARK48" s="84" t="str">
        <f>IF(ISNUMBER(outYear),ARK37+ARK42+#REF!+#REF!,"")</f>
        <v/>
      </c>
      <c r="ARL48" s="84" t="str">
        <f>IF(ISNUMBER(outYear),ARL37+ARL42+#REF!+#REF!,"")</f>
        <v/>
      </c>
      <c r="ARM48" s="84" t="str">
        <f>IF(ISNUMBER(outYear),ARM37+ARM42+#REF!+#REF!,"")</f>
        <v/>
      </c>
      <c r="ARN48" s="84" t="str">
        <f>IF(ISNUMBER(outYear),ARN37+ARN42+#REF!+#REF!,"")</f>
        <v/>
      </c>
      <c r="ARO48" s="84" t="str">
        <f>IF(ISNUMBER(outYear),ARO37+ARO42+#REF!+#REF!,"")</f>
        <v/>
      </c>
      <c r="ARP48" s="84" t="str">
        <f>IF(ISNUMBER(outYear),ARP37+ARP42+#REF!+#REF!,"")</f>
        <v/>
      </c>
      <c r="ARQ48" s="84" t="str">
        <f>IF(ISNUMBER(outYear),ARQ37+ARQ42+#REF!+#REF!,"")</f>
        <v/>
      </c>
      <c r="ARR48" s="84" t="str">
        <f>IF(ISNUMBER(outYear),ARR37+ARR42+#REF!+#REF!,"")</f>
        <v/>
      </c>
      <c r="ARS48" s="84" t="str">
        <f>IF(ISNUMBER(outYear),ARS37+ARS42+#REF!+#REF!,"")</f>
        <v/>
      </c>
      <c r="ART48" s="84" t="str">
        <f>IF(ISNUMBER(outYear),ART37+ART42+#REF!+#REF!,"")</f>
        <v/>
      </c>
      <c r="ARU48" s="84" t="str">
        <f>IF(ISNUMBER(outYear),ARU37+ARU42+#REF!+#REF!,"")</f>
        <v/>
      </c>
      <c r="ARV48" s="84" t="str">
        <f>IF(ISNUMBER(outYear),ARV37+ARV42+#REF!+#REF!,"")</f>
        <v/>
      </c>
      <c r="ARW48" s="84" t="str">
        <f>IF(ISNUMBER(outYear),ARW37+ARW42+#REF!+#REF!,"")</f>
        <v/>
      </c>
      <c r="ARX48" s="84" t="str">
        <f>IF(ISNUMBER(outYear),ARX37+ARX42+#REF!+#REF!,"")</f>
        <v/>
      </c>
      <c r="ARY48" s="84" t="str">
        <f>IF(ISNUMBER(outYear),ARY37+ARY42+#REF!+#REF!,"")</f>
        <v/>
      </c>
      <c r="ARZ48" s="84" t="str">
        <f>IF(ISNUMBER(outYear),ARZ37+ARZ42+#REF!+#REF!,"")</f>
        <v/>
      </c>
      <c r="ASA48" s="84" t="str">
        <f>IF(ISNUMBER(outYear),ASA37+ASA42+#REF!+#REF!,"")</f>
        <v/>
      </c>
      <c r="ASB48" s="84" t="str">
        <f>IF(ISNUMBER(outYear),ASB37+ASB42+#REF!+#REF!,"")</f>
        <v/>
      </c>
      <c r="ASC48" s="84" t="str">
        <f>IF(ISNUMBER(outYear),ASC37+ASC42+#REF!+#REF!,"")</f>
        <v/>
      </c>
      <c r="ASD48" s="84" t="str">
        <f>IF(ISNUMBER(outYear),ASD37+ASD42+#REF!+#REF!,"")</f>
        <v/>
      </c>
      <c r="ASE48" s="84" t="str">
        <f>IF(ISNUMBER(outYear),ASE37+ASE42+#REF!+#REF!,"")</f>
        <v/>
      </c>
      <c r="ASF48" s="84" t="str">
        <f>IF(ISNUMBER(outYear),ASF37+ASF42+#REF!+#REF!,"")</f>
        <v/>
      </c>
      <c r="ASG48" s="84" t="str">
        <f>IF(ISNUMBER(outYear),ASG37+ASG42+#REF!+#REF!,"")</f>
        <v/>
      </c>
      <c r="ASH48" s="84" t="str">
        <f>IF(ISNUMBER(outYear),ASH37+ASH42+#REF!+#REF!,"")</f>
        <v/>
      </c>
      <c r="ASI48" s="84" t="str">
        <f>IF(ISNUMBER(outYear),ASI37+ASI42+#REF!+#REF!,"")</f>
        <v/>
      </c>
      <c r="ASJ48" s="84" t="str">
        <f>IF(ISNUMBER(outYear),ASJ37+ASJ42+#REF!+#REF!,"")</f>
        <v/>
      </c>
      <c r="ASK48" s="84" t="str">
        <f>IF(ISNUMBER(outYear),ASK37+ASK42+#REF!+#REF!,"")</f>
        <v/>
      </c>
      <c r="ASL48" s="84" t="str">
        <f>IF(ISNUMBER(outYear),ASL37+ASL42+#REF!+#REF!,"")</f>
        <v/>
      </c>
      <c r="ASM48" s="84" t="str">
        <f>IF(ISNUMBER(outYear),ASM37+ASM42+#REF!+#REF!,"")</f>
        <v/>
      </c>
      <c r="ASN48" s="84" t="str">
        <f>IF(ISNUMBER(outYear),ASN37+ASN42+#REF!+#REF!,"")</f>
        <v/>
      </c>
      <c r="ASO48" s="84" t="str">
        <f>IF(ISNUMBER(outYear),ASO37+ASO42+#REF!+#REF!,"")</f>
        <v/>
      </c>
      <c r="ASP48" s="84" t="str">
        <f>IF(ISNUMBER(outYear),ASP37+ASP42+#REF!+#REF!,"")</f>
        <v/>
      </c>
      <c r="ASQ48" s="84" t="str">
        <f>IF(ISNUMBER(outYear),ASQ37+ASQ42+#REF!+#REF!,"")</f>
        <v/>
      </c>
      <c r="ASR48" s="84" t="str">
        <f>IF(ISNUMBER(outYear),ASR37+ASR42+#REF!+#REF!,"")</f>
        <v/>
      </c>
      <c r="ASS48" s="84" t="str">
        <f>IF(ISNUMBER(outYear),ASS37+ASS42+#REF!+#REF!,"")</f>
        <v/>
      </c>
      <c r="AST48" s="84" t="str">
        <f>IF(ISNUMBER(outYear),AST37+AST42+#REF!+#REF!,"")</f>
        <v/>
      </c>
      <c r="ASU48" s="84" t="str">
        <f>IF(ISNUMBER(outYear),ASU37+ASU42+#REF!+#REF!,"")</f>
        <v/>
      </c>
      <c r="ASV48" s="84" t="str">
        <f>IF(ISNUMBER(outYear),ASV37+ASV42+#REF!+#REF!,"")</f>
        <v/>
      </c>
      <c r="ASW48" s="84" t="str">
        <f>IF(ISNUMBER(outYear),ASW37+ASW42+#REF!+#REF!,"")</f>
        <v/>
      </c>
      <c r="ASX48" s="84" t="str">
        <f>IF(ISNUMBER(outYear),ASX37+ASX42+#REF!+#REF!,"")</f>
        <v/>
      </c>
      <c r="ASY48" s="84" t="str">
        <f>IF(ISNUMBER(outYear),ASY37+ASY42+#REF!+#REF!,"")</f>
        <v/>
      </c>
      <c r="ASZ48" s="84" t="str">
        <f>IF(ISNUMBER(outYear),ASZ37+ASZ42+#REF!+#REF!,"")</f>
        <v/>
      </c>
      <c r="ATA48" s="84" t="str">
        <f>IF(ISNUMBER(outYear),ATA37+ATA42+#REF!+#REF!,"")</f>
        <v/>
      </c>
      <c r="ATB48" s="84" t="str">
        <f>IF(ISNUMBER(outYear),ATB37+ATB42+#REF!+#REF!,"")</f>
        <v/>
      </c>
      <c r="ATC48" s="84" t="str">
        <f>IF(ISNUMBER(outYear),ATC37+ATC42+#REF!+#REF!,"")</f>
        <v/>
      </c>
      <c r="ATD48" s="84" t="str">
        <f>IF(ISNUMBER(outYear),ATD37+ATD42+#REF!+#REF!,"")</f>
        <v/>
      </c>
      <c r="ATE48" s="84" t="str">
        <f>IF(ISNUMBER(outYear),ATE37+ATE42+#REF!+#REF!,"")</f>
        <v/>
      </c>
      <c r="ATF48" s="84" t="str">
        <f>IF(ISNUMBER(outYear),ATF37+ATF42+#REF!+#REF!,"")</f>
        <v/>
      </c>
      <c r="ATG48" s="84" t="str">
        <f>IF(ISNUMBER(outYear),ATG37+ATG42+#REF!+#REF!,"")</f>
        <v/>
      </c>
      <c r="ATH48" s="84" t="str">
        <f>IF(ISNUMBER(outYear),ATH37+ATH42+#REF!+#REF!,"")</f>
        <v/>
      </c>
      <c r="ATI48" s="84" t="str">
        <f>IF(ISNUMBER(outYear),ATI37+ATI42+#REF!+#REF!,"")</f>
        <v/>
      </c>
      <c r="ATJ48" s="84" t="str">
        <f>IF(ISNUMBER(outYear),ATJ37+ATJ42+#REF!+#REF!,"")</f>
        <v/>
      </c>
      <c r="ATK48" s="84" t="str">
        <f>IF(ISNUMBER(outYear),ATK37+ATK42+#REF!+#REF!,"")</f>
        <v/>
      </c>
      <c r="ATL48" s="84" t="str">
        <f>IF(ISNUMBER(outYear),ATL37+ATL42+#REF!+#REF!,"")</f>
        <v/>
      </c>
      <c r="ATM48" s="84" t="str">
        <f>IF(ISNUMBER(outYear),ATM37+ATM42+#REF!+#REF!,"")</f>
        <v/>
      </c>
      <c r="ATN48" s="84" t="str">
        <f>IF(ISNUMBER(outYear),ATN37+ATN42+#REF!+#REF!,"")</f>
        <v/>
      </c>
      <c r="ATO48" s="84" t="str">
        <f>IF(ISNUMBER(outYear),ATO37+ATO42+#REF!+#REF!,"")</f>
        <v/>
      </c>
      <c r="ATP48" s="84" t="str">
        <f>IF(ISNUMBER(outYear),ATP37+ATP42+#REF!+#REF!,"")</f>
        <v/>
      </c>
      <c r="ATQ48" s="84" t="str">
        <f>IF(ISNUMBER(outYear),ATQ37+ATQ42+#REF!+#REF!,"")</f>
        <v/>
      </c>
      <c r="ATR48" s="84" t="str">
        <f>IF(ISNUMBER(outYear),ATR37+ATR42+#REF!+#REF!,"")</f>
        <v/>
      </c>
      <c r="ATS48" s="84" t="str">
        <f>IF(ISNUMBER(outYear),ATS37+ATS42+#REF!+#REF!,"")</f>
        <v/>
      </c>
      <c r="ATT48" s="84" t="str">
        <f>IF(ISNUMBER(outYear),ATT37+ATT42+#REF!+#REF!,"")</f>
        <v/>
      </c>
      <c r="ATU48" s="84" t="str">
        <f>IF(ISNUMBER(outYear),ATU37+ATU42+#REF!+#REF!,"")</f>
        <v/>
      </c>
      <c r="ATV48" s="84" t="str">
        <f>IF(ISNUMBER(outYear),ATV37+ATV42+#REF!+#REF!,"")</f>
        <v/>
      </c>
      <c r="ATW48" s="84" t="str">
        <f>IF(ISNUMBER(outYear),ATW37+ATW42+#REF!+#REF!,"")</f>
        <v/>
      </c>
      <c r="ATX48" s="84" t="str">
        <f>IF(ISNUMBER(outYear),ATX37+ATX42+#REF!+#REF!,"")</f>
        <v/>
      </c>
      <c r="ATY48" s="84" t="str">
        <f>IF(ISNUMBER(outYear),ATY37+ATY42+#REF!+#REF!,"")</f>
        <v/>
      </c>
      <c r="ATZ48" s="84" t="str">
        <f>IF(ISNUMBER(outYear),ATZ37+ATZ42+#REF!+#REF!,"")</f>
        <v/>
      </c>
      <c r="AUA48" s="84" t="str">
        <f>IF(ISNUMBER(outYear),AUA37+AUA42+#REF!+#REF!,"")</f>
        <v/>
      </c>
      <c r="AUB48" s="84" t="str">
        <f>IF(ISNUMBER(outYear),AUB37+AUB42+#REF!+#REF!,"")</f>
        <v/>
      </c>
      <c r="AUC48" s="84" t="str">
        <f>IF(ISNUMBER(outYear),AUC37+AUC42+#REF!+#REF!,"")</f>
        <v/>
      </c>
      <c r="AUD48" s="84" t="str">
        <f>IF(ISNUMBER(outYear),AUD37+AUD42+#REF!+#REF!,"")</f>
        <v/>
      </c>
      <c r="AUE48" s="84" t="str">
        <f>IF(ISNUMBER(outYear),AUE37+AUE42+#REF!+#REF!,"")</f>
        <v/>
      </c>
      <c r="AUF48" s="84" t="str">
        <f>IF(ISNUMBER(outYear),AUF37+AUF42+#REF!+#REF!,"")</f>
        <v/>
      </c>
      <c r="AUG48" s="84" t="str">
        <f>IF(ISNUMBER(outYear),AUG37+AUG42+#REF!+#REF!,"")</f>
        <v/>
      </c>
      <c r="AUH48" s="84" t="str">
        <f>IF(ISNUMBER(outYear),AUH37+AUH42+#REF!+#REF!,"")</f>
        <v/>
      </c>
      <c r="AUI48" s="84" t="str">
        <f>IF(ISNUMBER(outYear),AUI37+AUI42+#REF!+#REF!,"")</f>
        <v/>
      </c>
      <c r="AUJ48" s="84" t="str">
        <f>IF(ISNUMBER(outYear),AUJ37+AUJ42+#REF!+#REF!,"")</f>
        <v/>
      </c>
      <c r="AUK48" s="84" t="str">
        <f>IF(ISNUMBER(outYear),AUK37+AUK42+#REF!+#REF!,"")</f>
        <v/>
      </c>
      <c r="AUL48" s="84" t="str">
        <f>IF(ISNUMBER(outYear),AUL37+AUL42+#REF!+#REF!,"")</f>
        <v/>
      </c>
      <c r="AUM48" s="84" t="str">
        <f>IF(ISNUMBER(outYear),AUM37+AUM42+#REF!+#REF!,"")</f>
        <v/>
      </c>
      <c r="AUN48" s="84" t="str">
        <f>IF(ISNUMBER(outYear),AUN37+AUN42+#REF!+#REF!,"")</f>
        <v/>
      </c>
      <c r="AUO48" s="84" t="str">
        <f>IF(ISNUMBER(outYear),AUO37+AUO42+#REF!+#REF!,"")</f>
        <v/>
      </c>
      <c r="AUP48" s="84" t="str">
        <f>IF(ISNUMBER(outYear),AUP37+AUP42+#REF!+#REF!,"")</f>
        <v/>
      </c>
      <c r="AUQ48" s="84" t="str">
        <f>IF(ISNUMBER(outYear),AUQ37+AUQ42+#REF!+#REF!,"")</f>
        <v/>
      </c>
      <c r="AUR48" s="84" t="str">
        <f>IF(ISNUMBER(outYear),AUR37+AUR42+#REF!+#REF!,"")</f>
        <v/>
      </c>
      <c r="AUS48" s="84" t="str">
        <f>IF(ISNUMBER(outYear),AUS37+AUS42+#REF!+#REF!,"")</f>
        <v/>
      </c>
      <c r="AUT48" s="84" t="str">
        <f>IF(ISNUMBER(outYear),AUT37+AUT42+#REF!+#REF!,"")</f>
        <v/>
      </c>
      <c r="AUU48" s="84" t="str">
        <f>IF(ISNUMBER(outYear),AUU37+AUU42+#REF!+#REF!,"")</f>
        <v/>
      </c>
      <c r="AUV48" s="84" t="str">
        <f>IF(ISNUMBER(outYear),AUV37+AUV42+#REF!+#REF!,"")</f>
        <v/>
      </c>
      <c r="AUW48" s="84" t="str">
        <f>IF(ISNUMBER(outYear),AUW37+AUW42+#REF!+#REF!,"")</f>
        <v/>
      </c>
      <c r="AUX48" s="84" t="str">
        <f>IF(ISNUMBER(outYear),AUX37+AUX42+#REF!+#REF!,"")</f>
        <v/>
      </c>
      <c r="AUY48" s="84" t="str">
        <f>IF(ISNUMBER(outYear),AUY37+AUY42+#REF!+#REF!,"")</f>
        <v/>
      </c>
      <c r="AUZ48" s="84" t="str">
        <f>IF(ISNUMBER(outYear),AUZ37+AUZ42+#REF!+#REF!,"")</f>
        <v/>
      </c>
      <c r="AVA48" s="84" t="str">
        <f>IF(ISNUMBER(outYear),AVA37+AVA42+#REF!+#REF!,"")</f>
        <v/>
      </c>
      <c r="AVB48" s="84" t="str">
        <f>IF(ISNUMBER(outYear),AVB37+AVB42+#REF!+#REF!,"")</f>
        <v/>
      </c>
      <c r="AVC48" s="84" t="str">
        <f>IF(ISNUMBER(outYear),AVC37+AVC42+#REF!+#REF!,"")</f>
        <v/>
      </c>
      <c r="AVD48" s="84" t="str">
        <f>IF(ISNUMBER(outYear),AVD37+AVD42+#REF!+#REF!,"")</f>
        <v/>
      </c>
      <c r="AVE48" s="84" t="str">
        <f>IF(ISNUMBER(outYear),AVE37+AVE42+#REF!+#REF!,"")</f>
        <v/>
      </c>
      <c r="AVF48" s="84" t="str">
        <f>IF(ISNUMBER(outYear),AVF37+AVF42+#REF!+#REF!,"")</f>
        <v/>
      </c>
      <c r="AVG48" s="84" t="str">
        <f>IF(ISNUMBER(outYear),AVG37+AVG42+#REF!+#REF!,"")</f>
        <v/>
      </c>
      <c r="AVH48" s="84" t="str">
        <f>IF(ISNUMBER(outYear),AVH37+AVH42+#REF!+#REF!,"")</f>
        <v/>
      </c>
      <c r="AVI48" s="84" t="str">
        <f>IF(ISNUMBER(outYear),AVI37+AVI42+#REF!+#REF!,"")</f>
        <v/>
      </c>
      <c r="AVJ48" s="84" t="str">
        <f>IF(ISNUMBER(outYear),AVJ37+AVJ42+#REF!+#REF!,"")</f>
        <v/>
      </c>
      <c r="AVK48" s="84" t="str">
        <f>IF(ISNUMBER(outYear),AVK37+AVK42+#REF!+#REF!,"")</f>
        <v/>
      </c>
      <c r="AVL48" s="84" t="str">
        <f>IF(ISNUMBER(outYear),AVL37+AVL42+#REF!+#REF!,"")</f>
        <v/>
      </c>
      <c r="AVM48" s="84" t="str">
        <f>IF(ISNUMBER(outYear),AVM37+AVM42+#REF!+#REF!,"")</f>
        <v/>
      </c>
      <c r="AVN48" s="84" t="str">
        <f>IF(ISNUMBER(outYear),AVN37+AVN42+#REF!+#REF!,"")</f>
        <v/>
      </c>
      <c r="AVO48" s="84" t="str">
        <f>IF(ISNUMBER(outYear),AVO37+AVO42+#REF!+#REF!,"")</f>
        <v/>
      </c>
      <c r="AVP48" s="84" t="str">
        <f>IF(ISNUMBER(outYear),AVP37+AVP42+#REF!+#REF!,"")</f>
        <v/>
      </c>
      <c r="AVQ48" s="84" t="str">
        <f>IF(ISNUMBER(outYear),AVQ37+AVQ42+#REF!+#REF!,"")</f>
        <v/>
      </c>
      <c r="AVR48" s="84" t="str">
        <f>IF(ISNUMBER(outYear),AVR37+AVR42+#REF!+#REF!,"")</f>
        <v/>
      </c>
      <c r="AVS48" s="84" t="str">
        <f>IF(ISNUMBER(outYear),AVS37+AVS42+#REF!+#REF!,"")</f>
        <v/>
      </c>
      <c r="AVT48" s="84" t="str">
        <f>IF(ISNUMBER(outYear),AVT37+AVT42+#REF!+#REF!,"")</f>
        <v/>
      </c>
      <c r="AVU48" s="84" t="str">
        <f>IF(ISNUMBER(outYear),AVU37+AVU42+#REF!+#REF!,"")</f>
        <v/>
      </c>
      <c r="AVV48" s="84" t="str">
        <f>IF(ISNUMBER(outYear),AVV37+AVV42+#REF!+#REF!,"")</f>
        <v/>
      </c>
      <c r="AVW48" s="84" t="str">
        <f>IF(ISNUMBER(outYear),AVW37+AVW42+#REF!+#REF!,"")</f>
        <v/>
      </c>
      <c r="AVX48" s="84" t="str">
        <f>IF(ISNUMBER(outYear),AVX37+AVX42+#REF!+#REF!,"")</f>
        <v/>
      </c>
      <c r="AVY48" s="84" t="str">
        <f>IF(ISNUMBER(outYear),AVY37+AVY42+#REF!+#REF!,"")</f>
        <v/>
      </c>
      <c r="AVZ48" s="84" t="str">
        <f>IF(ISNUMBER(outYear),AVZ37+AVZ42+#REF!+#REF!,"")</f>
        <v/>
      </c>
      <c r="AWA48" s="84" t="str">
        <f>IF(ISNUMBER(outYear),AWA37+AWA42+#REF!+#REF!,"")</f>
        <v/>
      </c>
      <c r="AWB48" s="84" t="str">
        <f>IF(ISNUMBER(outYear),AWB37+AWB42+#REF!+#REF!,"")</f>
        <v/>
      </c>
      <c r="AWC48" s="84" t="str">
        <f>IF(ISNUMBER(outYear),AWC37+AWC42+#REF!+#REF!,"")</f>
        <v/>
      </c>
      <c r="AWD48" s="84" t="str">
        <f>IF(ISNUMBER(outYear),AWD37+AWD42+#REF!+#REF!,"")</f>
        <v/>
      </c>
      <c r="AWE48" s="84" t="str">
        <f>IF(ISNUMBER(outYear),AWE37+AWE42+#REF!+#REF!,"")</f>
        <v/>
      </c>
      <c r="AWF48" s="84" t="str">
        <f>IF(ISNUMBER(outYear),AWF37+AWF42+#REF!+#REF!,"")</f>
        <v/>
      </c>
      <c r="AWG48" s="84" t="str">
        <f>IF(ISNUMBER(outYear),AWG37+AWG42+#REF!+#REF!,"")</f>
        <v/>
      </c>
      <c r="AWH48" s="84" t="str">
        <f>IF(ISNUMBER(outYear),AWH37+AWH42+#REF!+#REF!,"")</f>
        <v/>
      </c>
      <c r="AWI48" s="84" t="str">
        <f>IF(ISNUMBER(outYear),AWI37+AWI42+#REF!+#REF!,"")</f>
        <v/>
      </c>
      <c r="AWJ48" s="84" t="str">
        <f>IF(ISNUMBER(outYear),AWJ37+AWJ42+#REF!+#REF!,"")</f>
        <v/>
      </c>
      <c r="AWK48" s="84" t="str">
        <f>IF(ISNUMBER(outYear),AWK37+AWK42+#REF!+#REF!,"")</f>
        <v/>
      </c>
      <c r="AWL48" s="84" t="str">
        <f>IF(ISNUMBER(outYear),AWL37+AWL42+#REF!+#REF!,"")</f>
        <v/>
      </c>
      <c r="AWM48" s="84" t="str">
        <f>IF(ISNUMBER(outYear),AWM37+AWM42+#REF!+#REF!,"")</f>
        <v/>
      </c>
      <c r="AWN48" s="84" t="str">
        <f>IF(ISNUMBER(outYear),AWN37+AWN42+#REF!+#REF!,"")</f>
        <v/>
      </c>
      <c r="AWO48" s="84" t="str">
        <f>IF(ISNUMBER(outYear),AWO37+AWO42+#REF!+#REF!,"")</f>
        <v/>
      </c>
      <c r="AWP48" s="84" t="str">
        <f>IF(ISNUMBER(outYear),AWP37+AWP42+#REF!+#REF!,"")</f>
        <v/>
      </c>
      <c r="AWQ48" s="84" t="str">
        <f>IF(ISNUMBER(outYear),AWQ37+AWQ42+#REF!+#REF!,"")</f>
        <v/>
      </c>
      <c r="AWR48" s="84" t="str">
        <f>IF(ISNUMBER(outYear),AWR37+AWR42+#REF!+#REF!,"")</f>
        <v/>
      </c>
      <c r="AWS48" s="84" t="str">
        <f>IF(ISNUMBER(outYear),AWS37+AWS42+#REF!+#REF!,"")</f>
        <v/>
      </c>
      <c r="AWT48" s="84" t="str">
        <f>IF(ISNUMBER(outYear),AWT37+AWT42+#REF!+#REF!,"")</f>
        <v/>
      </c>
      <c r="AWU48" s="84" t="str">
        <f>IF(ISNUMBER(outYear),AWU37+AWU42+#REF!+#REF!,"")</f>
        <v/>
      </c>
      <c r="AWV48" s="84" t="str">
        <f>IF(ISNUMBER(outYear),AWV37+AWV42+#REF!+#REF!,"")</f>
        <v/>
      </c>
      <c r="AWW48" s="84" t="str">
        <f>IF(ISNUMBER(outYear),AWW37+AWW42+#REF!+#REF!,"")</f>
        <v/>
      </c>
      <c r="AWX48" s="84" t="str">
        <f>IF(ISNUMBER(outYear),AWX37+AWX42+#REF!+#REF!,"")</f>
        <v/>
      </c>
      <c r="AWY48" s="84" t="str">
        <f>IF(ISNUMBER(outYear),AWY37+AWY42+#REF!+#REF!,"")</f>
        <v/>
      </c>
      <c r="AWZ48" s="84" t="str">
        <f>IF(ISNUMBER(outYear),AWZ37+AWZ42+#REF!+#REF!,"")</f>
        <v/>
      </c>
      <c r="AXA48" s="84" t="str">
        <f>IF(ISNUMBER(outYear),AXA37+AXA42+#REF!+#REF!,"")</f>
        <v/>
      </c>
      <c r="AXB48" s="84" t="str">
        <f>IF(ISNUMBER(outYear),AXB37+AXB42+#REF!+#REF!,"")</f>
        <v/>
      </c>
      <c r="AXC48" s="84" t="str">
        <f>IF(ISNUMBER(outYear),AXC37+AXC42+#REF!+#REF!,"")</f>
        <v/>
      </c>
      <c r="AXD48" s="84" t="str">
        <f>IF(ISNUMBER(outYear),AXD37+AXD42+#REF!+#REF!,"")</f>
        <v/>
      </c>
      <c r="AXE48" s="84" t="str">
        <f>IF(ISNUMBER(outYear),AXE37+AXE42+#REF!+#REF!,"")</f>
        <v/>
      </c>
      <c r="AXF48" s="84" t="str">
        <f>IF(ISNUMBER(outYear),AXF37+AXF42+#REF!+#REF!,"")</f>
        <v/>
      </c>
      <c r="AXG48" s="84" t="str">
        <f>IF(ISNUMBER(outYear),AXG37+AXG42+#REF!+#REF!,"")</f>
        <v/>
      </c>
      <c r="AXH48" s="84" t="str">
        <f>IF(ISNUMBER(outYear),AXH37+AXH42+#REF!+#REF!,"")</f>
        <v/>
      </c>
      <c r="AXI48" s="84" t="str">
        <f>IF(ISNUMBER(outYear),AXI37+AXI42+#REF!+#REF!,"")</f>
        <v/>
      </c>
      <c r="AXJ48" s="84" t="str">
        <f>IF(ISNUMBER(outYear),AXJ37+AXJ42+#REF!+#REF!,"")</f>
        <v/>
      </c>
      <c r="AXK48" s="84" t="str">
        <f>IF(ISNUMBER(outYear),AXK37+AXK42+#REF!+#REF!,"")</f>
        <v/>
      </c>
      <c r="AXL48" s="84" t="str">
        <f>IF(ISNUMBER(outYear),AXL37+AXL42+#REF!+#REF!,"")</f>
        <v/>
      </c>
      <c r="AXM48" s="84" t="str">
        <f>IF(ISNUMBER(outYear),AXM37+AXM42+#REF!+#REF!,"")</f>
        <v/>
      </c>
      <c r="AXN48" s="84" t="str">
        <f>IF(ISNUMBER(outYear),AXN37+AXN42+#REF!+#REF!,"")</f>
        <v/>
      </c>
      <c r="AXO48" s="84" t="str">
        <f>IF(ISNUMBER(outYear),AXO37+AXO42+#REF!+#REF!,"")</f>
        <v/>
      </c>
      <c r="AXP48" s="84" t="str">
        <f>IF(ISNUMBER(outYear),AXP37+AXP42+#REF!+#REF!,"")</f>
        <v/>
      </c>
      <c r="AXQ48" s="84" t="str">
        <f>IF(ISNUMBER(outYear),AXQ37+AXQ42+#REF!+#REF!,"")</f>
        <v/>
      </c>
      <c r="AXR48" s="84" t="str">
        <f>IF(ISNUMBER(outYear),AXR37+AXR42+#REF!+#REF!,"")</f>
        <v/>
      </c>
      <c r="AXS48" s="84" t="str">
        <f>IF(ISNUMBER(outYear),AXS37+AXS42+#REF!+#REF!,"")</f>
        <v/>
      </c>
      <c r="AXT48" s="84" t="str">
        <f>IF(ISNUMBER(outYear),AXT37+AXT42+#REF!+#REF!,"")</f>
        <v/>
      </c>
      <c r="AXU48" s="84" t="str">
        <f>IF(ISNUMBER(outYear),AXU37+AXU42+#REF!+#REF!,"")</f>
        <v/>
      </c>
      <c r="AXV48" s="84" t="str">
        <f>IF(ISNUMBER(outYear),AXV37+AXV42+#REF!+#REF!,"")</f>
        <v/>
      </c>
      <c r="AXW48" s="84" t="str">
        <f>IF(ISNUMBER(outYear),AXW37+AXW42+#REF!+#REF!,"")</f>
        <v/>
      </c>
      <c r="AXX48" s="84" t="str">
        <f>IF(ISNUMBER(outYear),AXX37+AXX42+#REF!+#REF!,"")</f>
        <v/>
      </c>
      <c r="AXY48" s="84" t="str">
        <f>IF(ISNUMBER(outYear),AXY37+AXY42+#REF!+#REF!,"")</f>
        <v/>
      </c>
      <c r="AXZ48" s="84" t="str">
        <f>IF(ISNUMBER(outYear),AXZ37+AXZ42+#REF!+#REF!,"")</f>
        <v/>
      </c>
      <c r="AYA48" s="84" t="str">
        <f>IF(ISNUMBER(outYear),AYA37+AYA42+#REF!+#REF!,"")</f>
        <v/>
      </c>
      <c r="AYB48" s="84" t="str">
        <f>IF(ISNUMBER(outYear),AYB37+AYB42+#REF!+#REF!,"")</f>
        <v/>
      </c>
      <c r="AYC48" s="84" t="str">
        <f>IF(ISNUMBER(outYear),AYC37+AYC42+#REF!+#REF!,"")</f>
        <v/>
      </c>
      <c r="AYD48" s="84" t="str">
        <f>IF(ISNUMBER(outYear),AYD37+AYD42+#REF!+#REF!,"")</f>
        <v/>
      </c>
      <c r="AYE48" s="84" t="str">
        <f>IF(ISNUMBER(outYear),AYE37+AYE42+#REF!+#REF!,"")</f>
        <v/>
      </c>
      <c r="AYF48" s="84" t="str">
        <f>IF(ISNUMBER(outYear),AYF37+AYF42+#REF!+#REF!,"")</f>
        <v/>
      </c>
      <c r="AYG48" s="84" t="str">
        <f>IF(ISNUMBER(outYear),AYG37+AYG42+#REF!+#REF!,"")</f>
        <v/>
      </c>
      <c r="AYH48" s="84" t="str">
        <f>IF(ISNUMBER(outYear),AYH37+AYH42+#REF!+#REF!,"")</f>
        <v/>
      </c>
      <c r="AYI48" s="84" t="str">
        <f>IF(ISNUMBER(outYear),AYI37+AYI42+#REF!+#REF!,"")</f>
        <v/>
      </c>
      <c r="AYJ48" s="84" t="str">
        <f>IF(ISNUMBER(outYear),AYJ37+AYJ42+#REF!+#REF!,"")</f>
        <v/>
      </c>
      <c r="AYK48" s="84" t="str">
        <f>IF(ISNUMBER(outYear),AYK37+AYK42+#REF!+#REF!,"")</f>
        <v/>
      </c>
      <c r="AYL48" s="84" t="str">
        <f>IF(ISNUMBER(outYear),AYL37+AYL42+#REF!+#REF!,"")</f>
        <v/>
      </c>
      <c r="AYM48" s="84" t="str">
        <f>IF(ISNUMBER(outYear),AYM37+AYM42+#REF!+#REF!,"")</f>
        <v/>
      </c>
      <c r="AYN48" s="84" t="str">
        <f>IF(ISNUMBER(outYear),AYN37+AYN42+#REF!+#REF!,"")</f>
        <v/>
      </c>
      <c r="AYO48" s="84" t="str">
        <f>IF(ISNUMBER(outYear),AYO37+AYO42+#REF!+#REF!,"")</f>
        <v/>
      </c>
      <c r="AYP48" s="84" t="str">
        <f>IF(ISNUMBER(outYear),AYP37+AYP42+#REF!+#REF!,"")</f>
        <v/>
      </c>
      <c r="AYQ48" s="84" t="str">
        <f>IF(ISNUMBER(outYear),AYQ37+AYQ42+#REF!+#REF!,"")</f>
        <v/>
      </c>
      <c r="AYR48" s="84" t="str">
        <f>IF(ISNUMBER(outYear),AYR37+AYR42+#REF!+#REF!,"")</f>
        <v/>
      </c>
      <c r="AYS48" s="84" t="str">
        <f>IF(ISNUMBER(outYear),AYS37+AYS42+#REF!+#REF!,"")</f>
        <v/>
      </c>
      <c r="AYT48" s="84" t="str">
        <f>IF(ISNUMBER(outYear),AYT37+AYT42+#REF!+#REF!,"")</f>
        <v/>
      </c>
      <c r="AYU48" s="84" t="str">
        <f>IF(ISNUMBER(outYear),AYU37+AYU42+#REF!+#REF!,"")</f>
        <v/>
      </c>
      <c r="AYV48" s="84" t="str">
        <f>IF(ISNUMBER(outYear),AYV37+AYV42+#REF!+#REF!,"")</f>
        <v/>
      </c>
      <c r="AYW48" s="84" t="str">
        <f>IF(ISNUMBER(outYear),AYW37+AYW42+#REF!+#REF!,"")</f>
        <v/>
      </c>
      <c r="AYX48" s="84" t="str">
        <f>IF(ISNUMBER(outYear),AYX37+AYX42+#REF!+#REF!,"")</f>
        <v/>
      </c>
      <c r="AYY48" s="84" t="str">
        <f>IF(ISNUMBER(outYear),AYY37+AYY42+#REF!+#REF!,"")</f>
        <v/>
      </c>
      <c r="AYZ48" s="84" t="str">
        <f>IF(ISNUMBER(outYear),AYZ37+AYZ42+#REF!+#REF!,"")</f>
        <v/>
      </c>
      <c r="AZA48" s="84" t="str">
        <f>IF(ISNUMBER(outYear),AZA37+AZA42+#REF!+#REF!,"")</f>
        <v/>
      </c>
      <c r="AZB48" s="84" t="str">
        <f>IF(ISNUMBER(outYear),AZB37+AZB42+#REF!+#REF!,"")</f>
        <v/>
      </c>
      <c r="AZC48" s="84" t="str">
        <f>IF(ISNUMBER(outYear),AZC37+AZC42+#REF!+#REF!,"")</f>
        <v/>
      </c>
      <c r="AZD48" s="84" t="str">
        <f>IF(ISNUMBER(outYear),AZD37+AZD42+#REF!+#REF!,"")</f>
        <v/>
      </c>
      <c r="AZE48" s="84" t="str">
        <f>IF(ISNUMBER(outYear),AZE37+AZE42+#REF!+#REF!,"")</f>
        <v/>
      </c>
      <c r="AZF48" s="84" t="str">
        <f>IF(ISNUMBER(outYear),AZF37+AZF42+#REF!+#REF!,"")</f>
        <v/>
      </c>
      <c r="AZG48" s="84" t="str">
        <f>IF(ISNUMBER(outYear),AZG37+AZG42+#REF!+#REF!,"")</f>
        <v/>
      </c>
      <c r="AZH48" s="84" t="str">
        <f>IF(ISNUMBER(outYear),AZH37+AZH42+#REF!+#REF!,"")</f>
        <v/>
      </c>
      <c r="AZI48" s="84" t="str">
        <f>IF(ISNUMBER(outYear),AZI37+AZI42+#REF!+#REF!,"")</f>
        <v/>
      </c>
      <c r="AZJ48" s="84" t="str">
        <f>IF(ISNUMBER(outYear),AZJ37+AZJ42+#REF!+#REF!,"")</f>
        <v/>
      </c>
      <c r="AZK48" s="84" t="str">
        <f>IF(ISNUMBER(outYear),AZK37+AZK42+#REF!+#REF!,"")</f>
        <v/>
      </c>
      <c r="AZL48" s="84" t="str">
        <f>IF(ISNUMBER(outYear),AZL37+AZL42+#REF!+#REF!,"")</f>
        <v/>
      </c>
      <c r="AZM48" s="84" t="str">
        <f>IF(ISNUMBER(outYear),AZM37+AZM42+#REF!+#REF!,"")</f>
        <v/>
      </c>
      <c r="AZN48" s="84" t="str">
        <f>IF(ISNUMBER(outYear),AZN37+AZN42+#REF!+#REF!,"")</f>
        <v/>
      </c>
      <c r="AZO48" s="84" t="str">
        <f>IF(ISNUMBER(outYear),AZO37+AZO42+#REF!+#REF!,"")</f>
        <v/>
      </c>
      <c r="AZP48" s="84" t="str">
        <f>IF(ISNUMBER(outYear),AZP37+AZP42+#REF!+#REF!,"")</f>
        <v/>
      </c>
      <c r="AZQ48" s="84" t="str">
        <f>IF(ISNUMBER(outYear),AZQ37+AZQ42+#REF!+#REF!,"")</f>
        <v/>
      </c>
      <c r="AZR48" s="84" t="str">
        <f>IF(ISNUMBER(outYear),AZR37+AZR42+#REF!+#REF!,"")</f>
        <v/>
      </c>
      <c r="AZS48" s="84" t="str">
        <f>IF(ISNUMBER(outYear),AZS37+AZS42+#REF!+#REF!,"")</f>
        <v/>
      </c>
      <c r="AZT48" s="84" t="str">
        <f>IF(ISNUMBER(outYear),AZT37+AZT42+#REF!+#REF!,"")</f>
        <v/>
      </c>
      <c r="AZU48" s="84" t="str">
        <f>IF(ISNUMBER(outYear),AZU37+AZU42+#REF!+#REF!,"")</f>
        <v/>
      </c>
      <c r="AZV48" s="84" t="str">
        <f>IF(ISNUMBER(outYear),AZV37+AZV42+#REF!+#REF!,"")</f>
        <v/>
      </c>
      <c r="AZW48" s="84" t="str">
        <f>IF(ISNUMBER(outYear),AZW37+AZW42+#REF!+#REF!,"")</f>
        <v/>
      </c>
      <c r="AZX48" s="84" t="str">
        <f>IF(ISNUMBER(outYear),AZX37+AZX42+#REF!+#REF!,"")</f>
        <v/>
      </c>
      <c r="AZY48" s="84" t="str">
        <f>IF(ISNUMBER(outYear),AZY37+AZY42+#REF!+#REF!,"")</f>
        <v/>
      </c>
      <c r="AZZ48" s="84" t="str">
        <f>IF(ISNUMBER(outYear),AZZ37+AZZ42+#REF!+#REF!,"")</f>
        <v/>
      </c>
      <c r="BAA48" s="84" t="str">
        <f>IF(ISNUMBER(outYear),BAA37+BAA42+#REF!+#REF!,"")</f>
        <v/>
      </c>
      <c r="BAB48" s="84" t="str">
        <f>IF(ISNUMBER(outYear),BAB37+BAB42+#REF!+#REF!,"")</f>
        <v/>
      </c>
      <c r="BAC48" s="84" t="str">
        <f>IF(ISNUMBER(outYear),BAC37+BAC42+#REF!+#REF!,"")</f>
        <v/>
      </c>
      <c r="BAD48" s="84" t="str">
        <f>IF(ISNUMBER(outYear),BAD37+BAD42+#REF!+#REF!,"")</f>
        <v/>
      </c>
      <c r="BAE48" s="84" t="str">
        <f>IF(ISNUMBER(outYear),BAE37+BAE42+#REF!+#REF!,"")</f>
        <v/>
      </c>
      <c r="BAF48" s="84" t="str">
        <f>IF(ISNUMBER(outYear),BAF37+BAF42+#REF!+#REF!,"")</f>
        <v/>
      </c>
      <c r="BAG48" s="84" t="str">
        <f>IF(ISNUMBER(outYear),BAG37+BAG42+#REF!+#REF!,"")</f>
        <v/>
      </c>
      <c r="BAH48" s="84" t="str">
        <f>IF(ISNUMBER(outYear),BAH37+BAH42+#REF!+#REF!,"")</f>
        <v/>
      </c>
      <c r="BAI48" s="84" t="str">
        <f>IF(ISNUMBER(outYear),BAI37+BAI42+#REF!+#REF!,"")</f>
        <v/>
      </c>
      <c r="BAJ48" s="84" t="str">
        <f>IF(ISNUMBER(outYear),BAJ37+BAJ42+#REF!+#REF!,"")</f>
        <v/>
      </c>
      <c r="BAK48" s="84" t="str">
        <f>IF(ISNUMBER(outYear),BAK37+BAK42+#REF!+#REF!,"")</f>
        <v/>
      </c>
      <c r="BAL48" s="84" t="str">
        <f>IF(ISNUMBER(outYear),BAL37+BAL42+#REF!+#REF!,"")</f>
        <v/>
      </c>
      <c r="BAM48" s="84" t="str">
        <f>IF(ISNUMBER(outYear),BAM37+BAM42+#REF!+#REF!,"")</f>
        <v/>
      </c>
      <c r="BAN48" s="84" t="str">
        <f>IF(ISNUMBER(outYear),BAN37+BAN42+#REF!+#REF!,"")</f>
        <v/>
      </c>
      <c r="BAO48" s="84" t="str">
        <f>IF(ISNUMBER(outYear),BAO37+BAO42+#REF!+#REF!,"")</f>
        <v/>
      </c>
      <c r="BAP48" s="84" t="str">
        <f>IF(ISNUMBER(outYear),BAP37+BAP42+#REF!+#REF!,"")</f>
        <v/>
      </c>
      <c r="BAQ48" s="84" t="str">
        <f>IF(ISNUMBER(outYear),BAQ37+BAQ42+#REF!+#REF!,"")</f>
        <v/>
      </c>
      <c r="BAR48" s="84" t="str">
        <f>IF(ISNUMBER(outYear),BAR37+BAR42+#REF!+#REF!,"")</f>
        <v/>
      </c>
      <c r="BAS48" s="84" t="str">
        <f>IF(ISNUMBER(outYear),BAS37+BAS42+#REF!+#REF!,"")</f>
        <v/>
      </c>
      <c r="BAT48" s="84" t="str">
        <f>IF(ISNUMBER(outYear),BAT37+BAT42+#REF!+#REF!,"")</f>
        <v/>
      </c>
      <c r="BAU48" s="84" t="str">
        <f>IF(ISNUMBER(outYear),BAU37+BAU42+#REF!+#REF!,"")</f>
        <v/>
      </c>
      <c r="BAV48" s="84" t="str">
        <f>IF(ISNUMBER(outYear),BAV37+BAV42+#REF!+#REF!,"")</f>
        <v/>
      </c>
      <c r="BAW48" s="84" t="str">
        <f>IF(ISNUMBER(outYear),BAW37+BAW42+#REF!+#REF!,"")</f>
        <v/>
      </c>
      <c r="BAX48" s="84" t="str">
        <f>IF(ISNUMBER(outYear),BAX37+BAX42+#REF!+#REF!,"")</f>
        <v/>
      </c>
      <c r="BAY48" s="84" t="str">
        <f>IF(ISNUMBER(outYear),BAY37+BAY42+#REF!+#REF!,"")</f>
        <v/>
      </c>
      <c r="BAZ48" s="84" t="str">
        <f>IF(ISNUMBER(outYear),BAZ37+BAZ42+#REF!+#REF!,"")</f>
        <v/>
      </c>
      <c r="BBA48" s="84" t="str">
        <f>IF(ISNUMBER(outYear),BBA37+BBA42+#REF!+#REF!,"")</f>
        <v/>
      </c>
      <c r="BBB48" s="84" t="str">
        <f>IF(ISNUMBER(outYear),BBB37+BBB42+#REF!+#REF!,"")</f>
        <v/>
      </c>
      <c r="BBC48" s="84" t="str">
        <f>IF(ISNUMBER(outYear),BBC37+BBC42+#REF!+#REF!,"")</f>
        <v/>
      </c>
      <c r="BBD48" s="84" t="str">
        <f>IF(ISNUMBER(outYear),BBD37+BBD42+#REF!+#REF!,"")</f>
        <v/>
      </c>
      <c r="BBE48" s="84" t="str">
        <f>IF(ISNUMBER(outYear),BBE37+BBE42+#REF!+#REF!,"")</f>
        <v/>
      </c>
      <c r="BBF48" s="84" t="str">
        <f>IF(ISNUMBER(outYear),BBF37+BBF42+#REF!+#REF!,"")</f>
        <v/>
      </c>
      <c r="BBG48" s="84" t="str">
        <f>IF(ISNUMBER(outYear),BBG37+BBG42+#REF!+#REF!,"")</f>
        <v/>
      </c>
      <c r="BBH48" s="84" t="str">
        <f>IF(ISNUMBER(outYear),BBH37+BBH42+#REF!+#REF!,"")</f>
        <v/>
      </c>
      <c r="BBI48" s="84" t="str">
        <f>IF(ISNUMBER(outYear),BBI37+BBI42+#REF!+#REF!,"")</f>
        <v/>
      </c>
      <c r="BBJ48" s="84" t="str">
        <f>IF(ISNUMBER(outYear),BBJ37+BBJ42+#REF!+#REF!,"")</f>
        <v/>
      </c>
      <c r="BBK48" s="84" t="str">
        <f>IF(ISNUMBER(outYear),BBK37+BBK42+#REF!+#REF!,"")</f>
        <v/>
      </c>
      <c r="BBL48" s="84" t="str">
        <f>IF(ISNUMBER(outYear),BBL37+BBL42+#REF!+#REF!,"")</f>
        <v/>
      </c>
      <c r="BBM48" s="84" t="str">
        <f>IF(ISNUMBER(outYear),BBM37+BBM42+#REF!+#REF!,"")</f>
        <v/>
      </c>
      <c r="BBN48" s="84" t="str">
        <f>IF(ISNUMBER(outYear),BBN37+BBN42+#REF!+#REF!,"")</f>
        <v/>
      </c>
      <c r="BBO48" s="84" t="str">
        <f>IF(ISNUMBER(outYear),BBO37+BBO42+#REF!+#REF!,"")</f>
        <v/>
      </c>
      <c r="BBP48" s="84" t="str">
        <f>IF(ISNUMBER(outYear),BBP37+BBP42+#REF!+#REF!,"")</f>
        <v/>
      </c>
      <c r="BBQ48" s="84" t="str">
        <f>IF(ISNUMBER(outYear),BBQ37+BBQ42+#REF!+#REF!,"")</f>
        <v/>
      </c>
      <c r="BBR48" s="84" t="str">
        <f>IF(ISNUMBER(outYear),BBR37+BBR42+#REF!+#REF!,"")</f>
        <v/>
      </c>
      <c r="BBS48" s="84" t="str">
        <f>IF(ISNUMBER(outYear),BBS37+BBS42+#REF!+#REF!,"")</f>
        <v/>
      </c>
      <c r="BBT48" s="84" t="str">
        <f>IF(ISNUMBER(outYear),BBT37+BBT42+#REF!+#REF!,"")</f>
        <v/>
      </c>
      <c r="BBU48" s="84" t="str">
        <f>IF(ISNUMBER(outYear),BBU37+BBU42+#REF!+#REF!,"")</f>
        <v/>
      </c>
      <c r="BBV48" s="84" t="str">
        <f>IF(ISNUMBER(outYear),BBV37+BBV42+#REF!+#REF!,"")</f>
        <v/>
      </c>
      <c r="BBW48" s="84" t="str">
        <f>IF(ISNUMBER(outYear),BBW37+BBW42+#REF!+#REF!,"")</f>
        <v/>
      </c>
      <c r="BBX48" s="84" t="str">
        <f>IF(ISNUMBER(outYear),BBX37+BBX42+#REF!+#REF!,"")</f>
        <v/>
      </c>
      <c r="BBY48" s="84" t="str">
        <f>IF(ISNUMBER(outYear),BBY37+BBY42+#REF!+#REF!,"")</f>
        <v/>
      </c>
      <c r="BBZ48" s="84" t="str">
        <f>IF(ISNUMBER(outYear),BBZ37+BBZ42+#REF!+#REF!,"")</f>
        <v/>
      </c>
      <c r="BCA48" s="84" t="str">
        <f>IF(ISNUMBER(outYear),BCA37+BCA42+#REF!+#REF!,"")</f>
        <v/>
      </c>
      <c r="BCB48" s="84" t="str">
        <f>IF(ISNUMBER(outYear),BCB37+BCB42+#REF!+#REF!,"")</f>
        <v/>
      </c>
      <c r="BCC48" s="84" t="str">
        <f>IF(ISNUMBER(outYear),BCC37+BCC42+#REF!+#REF!,"")</f>
        <v/>
      </c>
      <c r="BCD48" s="84" t="str">
        <f>IF(ISNUMBER(outYear),BCD37+BCD42+#REF!+#REF!,"")</f>
        <v/>
      </c>
      <c r="BCE48" s="84" t="str">
        <f>IF(ISNUMBER(outYear),BCE37+BCE42+#REF!+#REF!,"")</f>
        <v/>
      </c>
      <c r="BCF48" s="84" t="str">
        <f>IF(ISNUMBER(outYear),BCF37+BCF42+#REF!+#REF!,"")</f>
        <v/>
      </c>
      <c r="BCG48" s="84" t="str">
        <f>IF(ISNUMBER(outYear),BCG37+BCG42+#REF!+#REF!,"")</f>
        <v/>
      </c>
      <c r="BCH48" s="84" t="str">
        <f>IF(ISNUMBER(outYear),BCH37+BCH42+#REF!+#REF!,"")</f>
        <v/>
      </c>
      <c r="BCI48" s="84" t="str">
        <f>IF(ISNUMBER(outYear),BCI37+BCI42+#REF!+#REF!,"")</f>
        <v/>
      </c>
      <c r="BCJ48" s="84" t="str">
        <f>IF(ISNUMBER(outYear),BCJ37+BCJ42+#REF!+#REF!,"")</f>
        <v/>
      </c>
      <c r="BCK48" s="84" t="str">
        <f>IF(ISNUMBER(outYear),BCK37+BCK42+#REF!+#REF!,"")</f>
        <v/>
      </c>
      <c r="BCL48" s="84" t="str">
        <f>IF(ISNUMBER(outYear),BCL37+BCL42+#REF!+#REF!,"")</f>
        <v/>
      </c>
      <c r="BCM48" s="84" t="str">
        <f>IF(ISNUMBER(outYear),BCM37+BCM42+#REF!+#REF!,"")</f>
        <v/>
      </c>
      <c r="BCN48" s="84" t="str">
        <f>IF(ISNUMBER(outYear),BCN37+BCN42+#REF!+#REF!,"")</f>
        <v/>
      </c>
      <c r="BCO48" s="84" t="str">
        <f>IF(ISNUMBER(outYear),BCO37+BCO42+#REF!+#REF!,"")</f>
        <v/>
      </c>
      <c r="BCP48" s="84" t="str">
        <f>IF(ISNUMBER(outYear),BCP37+BCP42+#REF!+#REF!,"")</f>
        <v/>
      </c>
      <c r="BCQ48" s="84" t="str">
        <f>IF(ISNUMBER(outYear),BCQ37+BCQ42+#REF!+#REF!,"")</f>
        <v/>
      </c>
      <c r="BCR48" s="84" t="str">
        <f>IF(ISNUMBER(outYear),BCR37+BCR42+#REF!+#REF!,"")</f>
        <v/>
      </c>
      <c r="BCS48" s="84" t="str">
        <f>IF(ISNUMBER(outYear),BCS37+BCS42+#REF!+#REF!,"")</f>
        <v/>
      </c>
      <c r="BCT48" s="84" t="str">
        <f>IF(ISNUMBER(outYear),BCT37+BCT42+#REF!+#REF!,"")</f>
        <v/>
      </c>
      <c r="BCU48" s="84" t="str">
        <f>IF(ISNUMBER(outYear),BCU37+BCU42+#REF!+#REF!,"")</f>
        <v/>
      </c>
      <c r="BCV48" s="84" t="str">
        <f>IF(ISNUMBER(outYear),BCV37+BCV42+#REF!+#REF!,"")</f>
        <v/>
      </c>
      <c r="BCW48" s="84" t="str">
        <f>IF(ISNUMBER(outYear),BCW37+BCW42+#REF!+#REF!,"")</f>
        <v/>
      </c>
      <c r="BCX48" s="84" t="str">
        <f>IF(ISNUMBER(outYear),BCX37+BCX42+#REF!+#REF!,"")</f>
        <v/>
      </c>
      <c r="BCY48" s="84" t="str">
        <f>IF(ISNUMBER(outYear),BCY37+BCY42+#REF!+#REF!,"")</f>
        <v/>
      </c>
      <c r="BCZ48" s="84" t="str">
        <f>IF(ISNUMBER(outYear),BCZ37+BCZ42+#REF!+#REF!,"")</f>
        <v/>
      </c>
      <c r="BDA48" s="84" t="str">
        <f>IF(ISNUMBER(outYear),BDA37+BDA42+#REF!+#REF!,"")</f>
        <v/>
      </c>
      <c r="BDB48" s="84" t="str">
        <f>IF(ISNUMBER(outYear),BDB37+BDB42+#REF!+#REF!,"")</f>
        <v/>
      </c>
      <c r="BDC48" s="84" t="str">
        <f>IF(ISNUMBER(outYear),BDC37+BDC42+#REF!+#REF!,"")</f>
        <v/>
      </c>
      <c r="BDD48" s="84" t="str">
        <f>IF(ISNUMBER(outYear),BDD37+BDD42+#REF!+#REF!,"")</f>
        <v/>
      </c>
      <c r="BDE48" s="84" t="str">
        <f>IF(ISNUMBER(outYear),BDE37+BDE42+#REF!+#REF!,"")</f>
        <v/>
      </c>
      <c r="BDF48" s="84" t="str">
        <f>IF(ISNUMBER(outYear),BDF37+BDF42+#REF!+#REF!,"")</f>
        <v/>
      </c>
      <c r="BDG48" s="84" t="str">
        <f>IF(ISNUMBER(outYear),BDG37+BDG42+#REF!+#REF!,"")</f>
        <v/>
      </c>
      <c r="BDH48" s="84" t="str">
        <f>IF(ISNUMBER(outYear),BDH37+BDH42+#REF!+#REF!,"")</f>
        <v/>
      </c>
      <c r="BDI48" s="84" t="str">
        <f>IF(ISNUMBER(outYear),BDI37+BDI42+#REF!+#REF!,"")</f>
        <v/>
      </c>
      <c r="BDJ48" s="84" t="str">
        <f>IF(ISNUMBER(outYear),BDJ37+BDJ42+#REF!+#REF!,"")</f>
        <v/>
      </c>
      <c r="BDK48" s="84" t="str">
        <f>IF(ISNUMBER(outYear),BDK37+BDK42+#REF!+#REF!,"")</f>
        <v/>
      </c>
      <c r="BDL48" s="84" t="str">
        <f>IF(ISNUMBER(outYear),BDL37+BDL42+#REF!+#REF!,"")</f>
        <v/>
      </c>
      <c r="BDM48" s="84" t="str">
        <f>IF(ISNUMBER(outYear),BDM37+BDM42+#REF!+#REF!,"")</f>
        <v/>
      </c>
      <c r="BDN48" s="84" t="str">
        <f>IF(ISNUMBER(outYear),BDN37+BDN42+#REF!+#REF!,"")</f>
        <v/>
      </c>
      <c r="BDO48" s="84" t="str">
        <f>IF(ISNUMBER(outYear),BDO37+BDO42+#REF!+#REF!,"")</f>
        <v/>
      </c>
      <c r="BDP48" s="84" t="str">
        <f>IF(ISNUMBER(outYear),BDP37+BDP42+#REF!+#REF!,"")</f>
        <v/>
      </c>
      <c r="BDQ48" s="84" t="str">
        <f>IF(ISNUMBER(outYear),BDQ37+BDQ42+#REF!+#REF!,"")</f>
        <v/>
      </c>
      <c r="BDR48" s="84" t="str">
        <f>IF(ISNUMBER(outYear),BDR37+BDR42+#REF!+#REF!,"")</f>
        <v/>
      </c>
      <c r="BDS48" s="84" t="str">
        <f>IF(ISNUMBER(outYear),BDS37+BDS42+#REF!+#REF!,"")</f>
        <v/>
      </c>
      <c r="BDT48" s="84" t="str">
        <f>IF(ISNUMBER(outYear),BDT37+BDT42+#REF!+#REF!,"")</f>
        <v/>
      </c>
      <c r="BDU48" s="84" t="str">
        <f>IF(ISNUMBER(outYear),BDU37+BDU42+#REF!+#REF!,"")</f>
        <v/>
      </c>
      <c r="BDV48" s="84" t="str">
        <f>IF(ISNUMBER(outYear),BDV37+BDV42+#REF!+#REF!,"")</f>
        <v/>
      </c>
      <c r="BDW48" s="84" t="str">
        <f>IF(ISNUMBER(outYear),BDW37+BDW42+#REF!+#REF!,"")</f>
        <v/>
      </c>
      <c r="BDX48" s="84" t="str">
        <f>IF(ISNUMBER(outYear),BDX37+BDX42+#REF!+#REF!,"")</f>
        <v/>
      </c>
      <c r="BDY48" s="84" t="str">
        <f>IF(ISNUMBER(outYear),BDY37+BDY42+#REF!+#REF!,"")</f>
        <v/>
      </c>
      <c r="BDZ48" s="84" t="str">
        <f>IF(ISNUMBER(outYear),BDZ37+BDZ42+#REF!+#REF!,"")</f>
        <v/>
      </c>
      <c r="BEA48" s="84" t="str">
        <f>IF(ISNUMBER(outYear),BEA37+BEA42+#REF!+#REF!,"")</f>
        <v/>
      </c>
      <c r="BEB48" s="84" t="str">
        <f>IF(ISNUMBER(outYear),BEB37+BEB42+#REF!+#REF!,"")</f>
        <v/>
      </c>
      <c r="BEC48" s="84" t="str">
        <f>IF(ISNUMBER(outYear),BEC37+BEC42+#REF!+#REF!,"")</f>
        <v/>
      </c>
      <c r="BED48" s="84" t="str">
        <f>IF(ISNUMBER(outYear),BED37+BED42+#REF!+#REF!,"")</f>
        <v/>
      </c>
      <c r="BEE48" s="84" t="str">
        <f>IF(ISNUMBER(outYear),BEE37+BEE42+#REF!+#REF!,"")</f>
        <v/>
      </c>
      <c r="BEF48" s="84" t="str">
        <f>IF(ISNUMBER(outYear),BEF37+BEF42+#REF!+#REF!,"")</f>
        <v/>
      </c>
      <c r="BEG48" s="84" t="str">
        <f>IF(ISNUMBER(outYear),BEG37+BEG42+#REF!+#REF!,"")</f>
        <v/>
      </c>
      <c r="BEH48" s="84" t="str">
        <f>IF(ISNUMBER(outYear),BEH37+BEH42+#REF!+#REF!,"")</f>
        <v/>
      </c>
      <c r="BEI48" s="84" t="str">
        <f>IF(ISNUMBER(outYear),BEI37+BEI42+#REF!+#REF!,"")</f>
        <v/>
      </c>
      <c r="BEJ48" s="84" t="str">
        <f>IF(ISNUMBER(outYear),BEJ37+BEJ42+#REF!+#REF!,"")</f>
        <v/>
      </c>
      <c r="BEK48" s="84" t="str">
        <f>IF(ISNUMBER(outYear),BEK37+BEK42+#REF!+#REF!,"")</f>
        <v/>
      </c>
      <c r="BEL48" s="84" t="str">
        <f>IF(ISNUMBER(outYear),BEL37+BEL42+#REF!+#REF!,"")</f>
        <v/>
      </c>
      <c r="BEM48" s="84" t="str">
        <f>IF(ISNUMBER(outYear),BEM37+BEM42+#REF!+#REF!,"")</f>
        <v/>
      </c>
      <c r="BEN48" s="84" t="str">
        <f>IF(ISNUMBER(outYear),BEN37+BEN42+#REF!+#REF!,"")</f>
        <v/>
      </c>
      <c r="BEO48" s="84" t="str">
        <f>IF(ISNUMBER(outYear),BEO37+BEO42+#REF!+#REF!,"")</f>
        <v/>
      </c>
      <c r="BEP48" s="84" t="str">
        <f>IF(ISNUMBER(outYear),BEP37+BEP42+#REF!+#REF!,"")</f>
        <v/>
      </c>
      <c r="BEQ48" s="84" t="str">
        <f>IF(ISNUMBER(outYear),BEQ37+BEQ42+#REF!+#REF!,"")</f>
        <v/>
      </c>
      <c r="BER48" s="84" t="str">
        <f>IF(ISNUMBER(outYear),BER37+BER42+#REF!+#REF!,"")</f>
        <v/>
      </c>
      <c r="BES48" s="84" t="str">
        <f>IF(ISNUMBER(outYear),BES37+BES42+#REF!+#REF!,"")</f>
        <v/>
      </c>
      <c r="BET48" s="84" t="str">
        <f>IF(ISNUMBER(outYear),BET37+BET42+#REF!+#REF!,"")</f>
        <v/>
      </c>
      <c r="BEU48" s="84" t="str">
        <f>IF(ISNUMBER(outYear),BEU37+BEU42+#REF!+#REF!,"")</f>
        <v/>
      </c>
      <c r="BEV48" s="84" t="str">
        <f>IF(ISNUMBER(outYear),BEV37+BEV42+#REF!+#REF!,"")</f>
        <v/>
      </c>
      <c r="BEW48" s="84" t="str">
        <f>IF(ISNUMBER(outYear),BEW37+BEW42+#REF!+#REF!,"")</f>
        <v/>
      </c>
      <c r="BEX48" s="84" t="str">
        <f>IF(ISNUMBER(outYear),BEX37+BEX42+#REF!+#REF!,"")</f>
        <v/>
      </c>
      <c r="BEY48" s="84" t="str">
        <f>IF(ISNUMBER(outYear),BEY37+BEY42+#REF!+#REF!,"")</f>
        <v/>
      </c>
      <c r="BEZ48" s="84" t="str">
        <f>IF(ISNUMBER(outYear),BEZ37+BEZ42+#REF!+#REF!,"")</f>
        <v/>
      </c>
      <c r="BFA48" s="84" t="str">
        <f>IF(ISNUMBER(outYear),BFA37+BFA42+#REF!+#REF!,"")</f>
        <v/>
      </c>
      <c r="BFB48" s="84" t="str">
        <f>IF(ISNUMBER(outYear),BFB37+BFB42+#REF!+#REF!,"")</f>
        <v/>
      </c>
      <c r="BFC48" s="84" t="str">
        <f>IF(ISNUMBER(outYear),BFC37+BFC42+#REF!+#REF!,"")</f>
        <v/>
      </c>
      <c r="BFD48" s="84" t="str">
        <f>IF(ISNUMBER(outYear),BFD37+BFD42+#REF!+#REF!,"")</f>
        <v/>
      </c>
      <c r="BFE48" s="84" t="str">
        <f>IF(ISNUMBER(outYear),BFE37+BFE42+#REF!+#REF!,"")</f>
        <v/>
      </c>
      <c r="BFF48" s="84" t="str">
        <f>IF(ISNUMBER(outYear),BFF37+BFF42+#REF!+#REF!,"")</f>
        <v/>
      </c>
      <c r="BFG48" s="84" t="str">
        <f>IF(ISNUMBER(outYear),BFG37+BFG42+#REF!+#REF!,"")</f>
        <v/>
      </c>
      <c r="BFH48" s="84" t="str">
        <f>IF(ISNUMBER(outYear),BFH37+BFH42+#REF!+#REF!,"")</f>
        <v/>
      </c>
      <c r="BFI48" s="84" t="str">
        <f>IF(ISNUMBER(outYear),BFI37+BFI42+#REF!+#REF!,"")</f>
        <v/>
      </c>
      <c r="BFJ48" s="84" t="str">
        <f>IF(ISNUMBER(outYear),BFJ37+BFJ42+#REF!+#REF!,"")</f>
        <v/>
      </c>
      <c r="BFK48" s="84" t="str">
        <f>IF(ISNUMBER(outYear),BFK37+BFK42+#REF!+#REF!,"")</f>
        <v/>
      </c>
      <c r="BFL48" s="84" t="str">
        <f>IF(ISNUMBER(outYear),BFL37+BFL42+#REF!+#REF!,"")</f>
        <v/>
      </c>
      <c r="BFM48" s="84" t="str">
        <f>IF(ISNUMBER(outYear),BFM37+BFM42+#REF!+#REF!,"")</f>
        <v/>
      </c>
      <c r="BFN48" s="84" t="str">
        <f>IF(ISNUMBER(outYear),BFN37+BFN42+#REF!+#REF!,"")</f>
        <v/>
      </c>
      <c r="BFO48" s="84" t="str">
        <f>IF(ISNUMBER(outYear),BFO37+BFO42+#REF!+#REF!,"")</f>
        <v/>
      </c>
      <c r="BFP48" s="84" t="str">
        <f>IF(ISNUMBER(outYear),BFP37+BFP42+#REF!+#REF!,"")</f>
        <v/>
      </c>
      <c r="BFQ48" s="84" t="str">
        <f>IF(ISNUMBER(outYear),BFQ37+BFQ42+#REF!+#REF!,"")</f>
        <v/>
      </c>
      <c r="BFR48" s="84" t="str">
        <f>IF(ISNUMBER(outYear),BFR37+BFR42+#REF!+#REF!,"")</f>
        <v/>
      </c>
      <c r="BFS48" s="84" t="str">
        <f>IF(ISNUMBER(outYear),BFS37+BFS42+#REF!+#REF!,"")</f>
        <v/>
      </c>
      <c r="BFT48" s="84" t="str">
        <f>IF(ISNUMBER(outYear),BFT37+BFT42+#REF!+#REF!,"")</f>
        <v/>
      </c>
      <c r="BFU48" s="84" t="str">
        <f>IF(ISNUMBER(outYear),BFU37+BFU42+#REF!+#REF!,"")</f>
        <v/>
      </c>
      <c r="BFV48" s="84" t="str">
        <f>IF(ISNUMBER(outYear),BFV37+BFV42+#REF!+#REF!,"")</f>
        <v/>
      </c>
      <c r="BFW48" s="84" t="str">
        <f>IF(ISNUMBER(outYear),BFW37+BFW42+#REF!+#REF!,"")</f>
        <v/>
      </c>
      <c r="BFX48" s="84" t="str">
        <f>IF(ISNUMBER(outYear),BFX37+BFX42+#REF!+#REF!,"")</f>
        <v/>
      </c>
      <c r="BFY48" s="84" t="str">
        <f>IF(ISNUMBER(outYear),BFY37+BFY42+#REF!+#REF!,"")</f>
        <v/>
      </c>
      <c r="BFZ48" s="84" t="str">
        <f>IF(ISNUMBER(outYear),BFZ37+BFZ42+#REF!+#REF!,"")</f>
        <v/>
      </c>
      <c r="BGA48" s="84" t="str">
        <f>IF(ISNUMBER(outYear),BGA37+BGA42+#REF!+#REF!,"")</f>
        <v/>
      </c>
      <c r="BGB48" s="84" t="str">
        <f>IF(ISNUMBER(outYear),BGB37+BGB42+#REF!+#REF!,"")</f>
        <v/>
      </c>
      <c r="BGC48" s="84" t="str">
        <f>IF(ISNUMBER(outYear),BGC37+BGC42+#REF!+#REF!,"")</f>
        <v/>
      </c>
      <c r="BGD48" s="84" t="str">
        <f>IF(ISNUMBER(outYear),BGD37+BGD42+#REF!+#REF!,"")</f>
        <v/>
      </c>
      <c r="BGE48" s="84" t="str">
        <f>IF(ISNUMBER(outYear),BGE37+BGE42+#REF!+#REF!,"")</f>
        <v/>
      </c>
      <c r="BGF48" s="84" t="str">
        <f>IF(ISNUMBER(outYear),BGF37+BGF42+#REF!+#REF!,"")</f>
        <v/>
      </c>
      <c r="BGG48" s="84" t="str">
        <f>IF(ISNUMBER(outYear),BGG37+BGG42+#REF!+#REF!,"")</f>
        <v/>
      </c>
      <c r="BGH48" s="84" t="str">
        <f>IF(ISNUMBER(outYear),BGH37+BGH42+#REF!+#REF!,"")</f>
        <v/>
      </c>
      <c r="BGI48" s="84" t="str">
        <f>IF(ISNUMBER(outYear),BGI37+BGI42+#REF!+#REF!,"")</f>
        <v/>
      </c>
      <c r="BGJ48" s="84" t="str">
        <f>IF(ISNUMBER(outYear),BGJ37+BGJ42+#REF!+#REF!,"")</f>
        <v/>
      </c>
      <c r="BGK48" s="84" t="str">
        <f>IF(ISNUMBER(outYear),BGK37+BGK42+#REF!+#REF!,"")</f>
        <v/>
      </c>
      <c r="BGL48" s="84" t="str">
        <f>IF(ISNUMBER(outYear),BGL37+BGL42+#REF!+#REF!,"")</f>
        <v/>
      </c>
      <c r="BGM48" s="84" t="str">
        <f>IF(ISNUMBER(outYear),BGM37+BGM42+#REF!+#REF!,"")</f>
        <v/>
      </c>
      <c r="BGN48" s="84" t="str">
        <f>IF(ISNUMBER(outYear),BGN37+BGN42+#REF!+#REF!,"")</f>
        <v/>
      </c>
      <c r="BGO48" s="84" t="str">
        <f>IF(ISNUMBER(outYear),BGO37+BGO42+#REF!+#REF!,"")</f>
        <v/>
      </c>
      <c r="BGP48" s="84" t="str">
        <f>IF(ISNUMBER(outYear),BGP37+BGP42+#REF!+#REF!,"")</f>
        <v/>
      </c>
      <c r="BGQ48" s="84" t="str">
        <f>IF(ISNUMBER(outYear),BGQ37+BGQ42+#REF!+#REF!,"")</f>
        <v/>
      </c>
      <c r="BGR48" s="84" t="str">
        <f>IF(ISNUMBER(outYear),BGR37+BGR42+#REF!+#REF!,"")</f>
        <v/>
      </c>
      <c r="BGS48" s="84" t="str">
        <f>IF(ISNUMBER(outYear),BGS37+BGS42+#REF!+#REF!,"")</f>
        <v/>
      </c>
      <c r="BGT48" s="84" t="str">
        <f>IF(ISNUMBER(outYear),BGT37+BGT42+#REF!+#REF!,"")</f>
        <v/>
      </c>
      <c r="BGU48" s="84" t="str">
        <f>IF(ISNUMBER(outYear),BGU37+BGU42+#REF!+#REF!,"")</f>
        <v/>
      </c>
      <c r="BGV48" s="84" t="str">
        <f>IF(ISNUMBER(outYear),BGV37+BGV42+#REF!+#REF!,"")</f>
        <v/>
      </c>
      <c r="BGW48" s="84" t="str">
        <f>IF(ISNUMBER(outYear),BGW37+BGW42+#REF!+#REF!,"")</f>
        <v/>
      </c>
      <c r="BGX48" s="84" t="str">
        <f>IF(ISNUMBER(outYear),BGX37+BGX42+#REF!+#REF!,"")</f>
        <v/>
      </c>
      <c r="BGY48" s="84" t="str">
        <f>IF(ISNUMBER(outYear),BGY37+BGY42+#REF!+#REF!,"")</f>
        <v/>
      </c>
      <c r="BGZ48" s="84" t="str">
        <f>IF(ISNUMBER(outYear),BGZ37+BGZ42+#REF!+#REF!,"")</f>
        <v/>
      </c>
      <c r="BHA48" s="84" t="str">
        <f>IF(ISNUMBER(outYear),BHA37+BHA42+#REF!+#REF!,"")</f>
        <v/>
      </c>
      <c r="BHB48" s="84" t="str">
        <f>IF(ISNUMBER(outYear),BHB37+BHB42+#REF!+#REF!,"")</f>
        <v/>
      </c>
      <c r="BHC48" s="84" t="str">
        <f>IF(ISNUMBER(outYear),BHC37+BHC42+#REF!+#REF!,"")</f>
        <v/>
      </c>
      <c r="BHD48" s="84" t="str">
        <f>IF(ISNUMBER(outYear),BHD37+BHD42+#REF!+#REF!,"")</f>
        <v/>
      </c>
      <c r="BHE48" s="84" t="str">
        <f>IF(ISNUMBER(outYear),BHE37+BHE42+#REF!+#REF!,"")</f>
        <v/>
      </c>
      <c r="BHF48" s="84" t="str">
        <f>IF(ISNUMBER(outYear),BHF37+BHF42+#REF!+#REF!,"")</f>
        <v/>
      </c>
      <c r="BHG48" s="84" t="str">
        <f>IF(ISNUMBER(outYear),BHG37+BHG42+#REF!+#REF!,"")</f>
        <v/>
      </c>
      <c r="BHH48" s="84" t="str">
        <f>IF(ISNUMBER(outYear),BHH37+BHH42+#REF!+#REF!,"")</f>
        <v/>
      </c>
      <c r="BHI48" s="84" t="str">
        <f>IF(ISNUMBER(outYear),BHI37+BHI42+#REF!+#REF!,"")</f>
        <v/>
      </c>
      <c r="BHJ48" s="84" t="str">
        <f>IF(ISNUMBER(outYear),BHJ37+BHJ42+#REF!+#REF!,"")</f>
        <v/>
      </c>
      <c r="BHK48" s="84" t="str">
        <f>IF(ISNUMBER(outYear),BHK37+BHK42+#REF!+#REF!,"")</f>
        <v/>
      </c>
      <c r="BHL48" s="84" t="str">
        <f>IF(ISNUMBER(outYear),BHL37+BHL42+#REF!+#REF!,"")</f>
        <v/>
      </c>
      <c r="BHM48" s="84" t="str">
        <f>IF(ISNUMBER(outYear),BHM37+BHM42+#REF!+#REF!,"")</f>
        <v/>
      </c>
      <c r="BHN48" s="84" t="str">
        <f>IF(ISNUMBER(outYear),BHN37+BHN42+#REF!+#REF!,"")</f>
        <v/>
      </c>
      <c r="BHO48" s="84" t="str">
        <f>IF(ISNUMBER(outYear),BHO37+BHO42+#REF!+#REF!,"")</f>
        <v/>
      </c>
      <c r="BHP48" s="84" t="str">
        <f>IF(ISNUMBER(outYear),BHP37+BHP42+#REF!+#REF!,"")</f>
        <v/>
      </c>
      <c r="BHQ48" s="84" t="str">
        <f>IF(ISNUMBER(outYear),BHQ37+BHQ42+#REF!+#REF!,"")</f>
        <v/>
      </c>
      <c r="BHR48" s="84" t="str">
        <f>IF(ISNUMBER(outYear),BHR37+BHR42+#REF!+#REF!,"")</f>
        <v/>
      </c>
      <c r="BHS48" s="84" t="str">
        <f>IF(ISNUMBER(outYear),BHS37+BHS42+#REF!+#REF!,"")</f>
        <v/>
      </c>
      <c r="BHT48" s="84" t="str">
        <f>IF(ISNUMBER(outYear),BHT37+BHT42+#REF!+#REF!,"")</f>
        <v/>
      </c>
      <c r="BHU48" s="84" t="str">
        <f>IF(ISNUMBER(outYear),BHU37+BHU42+#REF!+#REF!,"")</f>
        <v/>
      </c>
      <c r="BHV48" s="84" t="str">
        <f>IF(ISNUMBER(outYear),BHV37+BHV42+#REF!+#REF!,"")</f>
        <v/>
      </c>
      <c r="BHW48" s="84" t="str">
        <f>IF(ISNUMBER(outYear),BHW37+BHW42+#REF!+#REF!,"")</f>
        <v/>
      </c>
      <c r="BHX48" s="84" t="str">
        <f>IF(ISNUMBER(outYear),BHX37+BHX42+#REF!+#REF!,"")</f>
        <v/>
      </c>
      <c r="BHY48" s="84" t="str">
        <f>IF(ISNUMBER(outYear),BHY37+BHY42+#REF!+#REF!,"")</f>
        <v/>
      </c>
      <c r="BHZ48" s="84" t="str">
        <f>IF(ISNUMBER(outYear),BHZ37+BHZ42+#REF!+#REF!,"")</f>
        <v/>
      </c>
      <c r="BIA48" s="84" t="str">
        <f>IF(ISNUMBER(outYear),BIA37+BIA42+#REF!+#REF!,"")</f>
        <v/>
      </c>
      <c r="BIB48" s="84" t="str">
        <f>IF(ISNUMBER(outYear),BIB37+BIB42+#REF!+#REF!,"")</f>
        <v/>
      </c>
      <c r="BIC48" s="84" t="str">
        <f>IF(ISNUMBER(outYear),BIC37+BIC42+#REF!+#REF!,"")</f>
        <v/>
      </c>
      <c r="BID48" s="84" t="str">
        <f>IF(ISNUMBER(outYear),BID37+BID42+#REF!+#REF!,"")</f>
        <v/>
      </c>
      <c r="BIE48" s="84" t="str">
        <f>IF(ISNUMBER(outYear),BIE37+BIE42+#REF!+#REF!,"")</f>
        <v/>
      </c>
      <c r="BIF48" s="84" t="str">
        <f>IF(ISNUMBER(outYear),BIF37+BIF42+#REF!+#REF!,"")</f>
        <v/>
      </c>
      <c r="BIG48" s="84" t="str">
        <f>IF(ISNUMBER(outYear),BIG37+BIG42+#REF!+#REF!,"")</f>
        <v/>
      </c>
      <c r="BIH48" s="84" t="str">
        <f>IF(ISNUMBER(outYear),BIH37+BIH42+#REF!+#REF!,"")</f>
        <v/>
      </c>
      <c r="BII48" s="84" t="str">
        <f>IF(ISNUMBER(outYear),BII37+BII42+#REF!+#REF!,"")</f>
        <v/>
      </c>
      <c r="BIJ48" s="84" t="str">
        <f>IF(ISNUMBER(outYear),BIJ37+BIJ42+#REF!+#REF!,"")</f>
        <v/>
      </c>
      <c r="BIK48" s="84" t="str">
        <f>IF(ISNUMBER(outYear),BIK37+BIK42+#REF!+#REF!,"")</f>
        <v/>
      </c>
      <c r="BIL48" s="84" t="str">
        <f>IF(ISNUMBER(outYear),BIL37+BIL42+#REF!+#REF!,"")</f>
        <v/>
      </c>
      <c r="BIM48" s="84" t="str">
        <f>IF(ISNUMBER(outYear),BIM37+BIM42+#REF!+#REF!,"")</f>
        <v/>
      </c>
      <c r="BIN48" s="84" t="str">
        <f>IF(ISNUMBER(outYear),BIN37+BIN42+#REF!+#REF!,"")</f>
        <v/>
      </c>
      <c r="BIO48" s="84" t="str">
        <f>IF(ISNUMBER(outYear),BIO37+BIO42+#REF!+#REF!,"")</f>
        <v/>
      </c>
      <c r="BIP48" s="84" t="str">
        <f>IF(ISNUMBER(outYear),BIP37+BIP42+#REF!+#REF!,"")</f>
        <v/>
      </c>
      <c r="BIQ48" s="84" t="str">
        <f>IF(ISNUMBER(outYear),BIQ37+BIQ42+#REF!+#REF!,"")</f>
        <v/>
      </c>
      <c r="BIR48" s="84" t="str">
        <f>IF(ISNUMBER(outYear),BIR37+BIR42+#REF!+#REF!,"")</f>
        <v/>
      </c>
      <c r="BIS48" s="84" t="str">
        <f>IF(ISNUMBER(outYear),BIS37+BIS42+#REF!+#REF!,"")</f>
        <v/>
      </c>
      <c r="BIT48" s="84" t="str">
        <f>IF(ISNUMBER(outYear),BIT37+BIT42+#REF!+#REF!,"")</f>
        <v/>
      </c>
      <c r="BIU48" s="84" t="str">
        <f>IF(ISNUMBER(outYear),BIU37+BIU42+#REF!+#REF!,"")</f>
        <v/>
      </c>
      <c r="BIV48" s="84" t="str">
        <f>IF(ISNUMBER(outYear),BIV37+BIV42+#REF!+#REF!,"")</f>
        <v/>
      </c>
      <c r="BIW48" s="84" t="str">
        <f>IF(ISNUMBER(outYear),BIW37+BIW42+#REF!+#REF!,"")</f>
        <v/>
      </c>
      <c r="BIX48" s="84" t="str">
        <f>IF(ISNUMBER(outYear),BIX37+BIX42+#REF!+#REF!,"")</f>
        <v/>
      </c>
      <c r="BIY48" s="84" t="str">
        <f>IF(ISNUMBER(outYear),BIY37+BIY42+#REF!+#REF!,"")</f>
        <v/>
      </c>
      <c r="BIZ48" s="84" t="str">
        <f>IF(ISNUMBER(outYear),BIZ37+BIZ42+#REF!+#REF!,"")</f>
        <v/>
      </c>
      <c r="BJA48" s="84" t="str">
        <f>IF(ISNUMBER(outYear),BJA37+BJA42+#REF!+#REF!,"")</f>
        <v/>
      </c>
      <c r="BJB48" s="84" t="str">
        <f>IF(ISNUMBER(outYear),BJB37+BJB42+#REF!+#REF!,"")</f>
        <v/>
      </c>
      <c r="BJC48" s="84" t="str">
        <f>IF(ISNUMBER(outYear),BJC37+BJC42+#REF!+#REF!,"")</f>
        <v/>
      </c>
      <c r="BJD48" s="84" t="str">
        <f>IF(ISNUMBER(outYear),BJD37+BJD42+#REF!+#REF!,"")</f>
        <v/>
      </c>
      <c r="BJE48" s="84" t="str">
        <f>IF(ISNUMBER(outYear),BJE37+BJE42+#REF!+#REF!,"")</f>
        <v/>
      </c>
      <c r="BJF48" s="84" t="str">
        <f>IF(ISNUMBER(outYear),BJF37+BJF42+#REF!+#REF!,"")</f>
        <v/>
      </c>
      <c r="BJG48" s="84" t="str">
        <f>IF(ISNUMBER(outYear),BJG37+BJG42+#REF!+#REF!,"")</f>
        <v/>
      </c>
      <c r="BJH48" s="84" t="str">
        <f>IF(ISNUMBER(outYear),BJH37+BJH42+#REF!+#REF!,"")</f>
        <v/>
      </c>
      <c r="BJI48" s="84" t="str">
        <f>IF(ISNUMBER(outYear),BJI37+BJI42+#REF!+#REF!,"")</f>
        <v/>
      </c>
      <c r="BJJ48" s="84" t="str">
        <f>IF(ISNUMBER(outYear),BJJ37+BJJ42+#REF!+#REF!,"")</f>
        <v/>
      </c>
      <c r="BJK48" s="84" t="str">
        <f>IF(ISNUMBER(outYear),BJK37+BJK42+#REF!+#REF!,"")</f>
        <v/>
      </c>
      <c r="BJL48" s="84" t="str">
        <f>IF(ISNUMBER(outYear),BJL37+BJL42+#REF!+#REF!,"")</f>
        <v/>
      </c>
      <c r="BJM48" s="84" t="str">
        <f>IF(ISNUMBER(outYear),BJM37+BJM42+#REF!+#REF!,"")</f>
        <v/>
      </c>
      <c r="BJN48" s="84" t="str">
        <f>IF(ISNUMBER(outYear),BJN37+BJN42+#REF!+#REF!,"")</f>
        <v/>
      </c>
      <c r="BJO48" s="84" t="str">
        <f>IF(ISNUMBER(outYear),BJO37+BJO42+#REF!+#REF!,"")</f>
        <v/>
      </c>
      <c r="BJP48" s="84" t="str">
        <f>IF(ISNUMBER(outYear),BJP37+BJP42+#REF!+#REF!,"")</f>
        <v/>
      </c>
      <c r="BJQ48" s="84" t="str">
        <f>IF(ISNUMBER(outYear),BJQ37+BJQ42+#REF!+#REF!,"")</f>
        <v/>
      </c>
      <c r="BJR48" s="84" t="str">
        <f>IF(ISNUMBER(outYear),BJR37+BJR42+#REF!+#REF!,"")</f>
        <v/>
      </c>
      <c r="BJS48" s="84" t="str">
        <f>IF(ISNUMBER(outYear),BJS37+BJS42+#REF!+#REF!,"")</f>
        <v/>
      </c>
      <c r="BJT48" s="84" t="str">
        <f>IF(ISNUMBER(outYear),BJT37+BJT42+#REF!+#REF!,"")</f>
        <v/>
      </c>
      <c r="BJU48" s="84" t="str">
        <f>IF(ISNUMBER(outYear),BJU37+BJU42+#REF!+#REF!,"")</f>
        <v/>
      </c>
      <c r="BJV48" s="84" t="str">
        <f>IF(ISNUMBER(outYear),BJV37+BJV42+#REF!+#REF!,"")</f>
        <v/>
      </c>
      <c r="BJW48" s="84" t="str">
        <f>IF(ISNUMBER(outYear),BJW37+BJW42+#REF!+#REF!,"")</f>
        <v/>
      </c>
      <c r="BJX48" s="84" t="str">
        <f>IF(ISNUMBER(outYear),BJX37+BJX42+#REF!+#REF!,"")</f>
        <v/>
      </c>
      <c r="BJY48" s="84" t="str">
        <f>IF(ISNUMBER(outYear),BJY37+BJY42+#REF!+#REF!,"")</f>
        <v/>
      </c>
      <c r="BJZ48" s="84" t="str">
        <f>IF(ISNUMBER(outYear),BJZ37+BJZ42+#REF!+#REF!,"")</f>
        <v/>
      </c>
      <c r="BKA48" s="84" t="str">
        <f>IF(ISNUMBER(outYear),BKA37+BKA42+#REF!+#REF!,"")</f>
        <v/>
      </c>
      <c r="BKB48" s="84" t="str">
        <f>IF(ISNUMBER(outYear),BKB37+BKB42+#REF!+#REF!,"")</f>
        <v/>
      </c>
      <c r="BKC48" s="84" t="str">
        <f>IF(ISNUMBER(outYear),BKC37+BKC42+#REF!+#REF!,"")</f>
        <v/>
      </c>
      <c r="BKD48" s="84" t="str">
        <f>IF(ISNUMBER(outYear),BKD37+BKD42+#REF!+#REF!,"")</f>
        <v/>
      </c>
      <c r="BKE48" s="84" t="str">
        <f>IF(ISNUMBER(outYear),BKE37+BKE42+#REF!+#REF!,"")</f>
        <v/>
      </c>
      <c r="BKF48" s="84" t="str">
        <f>IF(ISNUMBER(outYear),BKF37+BKF42+#REF!+#REF!,"")</f>
        <v/>
      </c>
      <c r="BKG48" s="84" t="str">
        <f>IF(ISNUMBER(outYear),BKG37+BKG42+#REF!+#REF!,"")</f>
        <v/>
      </c>
      <c r="BKH48" s="84" t="str">
        <f>IF(ISNUMBER(outYear),BKH37+BKH42+#REF!+#REF!,"")</f>
        <v/>
      </c>
      <c r="BKI48" s="84" t="str">
        <f>IF(ISNUMBER(outYear),BKI37+BKI42+#REF!+#REF!,"")</f>
        <v/>
      </c>
      <c r="BKJ48" s="84" t="str">
        <f>IF(ISNUMBER(outYear),BKJ37+BKJ42+#REF!+#REF!,"")</f>
        <v/>
      </c>
      <c r="BKK48" s="84" t="str">
        <f>IF(ISNUMBER(outYear),BKK37+BKK42+#REF!+#REF!,"")</f>
        <v/>
      </c>
      <c r="BKL48" s="84" t="str">
        <f>IF(ISNUMBER(outYear),BKL37+BKL42+#REF!+#REF!,"")</f>
        <v/>
      </c>
      <c r="BKM48" s="84" t="str">
        <f>IF(ISNUMBER(outYear),BKM37+BKM42+#REF!+#REF!,"")</f>
        <v/>
      </c>
      <c r="BKN48" s="84" t="str">
        <f>IF(ISNUMBER(outYear),BKN37+BKN42+#REF!+#REF!,"")</f>
        <v/>
      </c>
      <c r="BKO48" s="84" t="str">
        <f>IF(ISNUMBER(outYear),BKO37+BKO42+#REF!+#REF!,"")</f>
        <v/>
      </c>
      <c r="BKP48" s="84" t="str">
        <f>IF(ISNUMBER(outYear),BKP37+BKP42+#REF!+#REF!,"")</f>
        <v/>
      </c>
      <c r="BKQ48" s="84" t="str">
        <f>IF(ISNUMBER(outYear),BKQ37+BKQ42+#REF!+#REF!,"")</f>
        <v/>
      </c>
      <c r="BKR48" s="84" t="str">
        <f>IF(ISNUMBER(outYear),BKR37+BKR42+#REF!+#REF!,"")</f>
        <v/>
      </c>
      <c r="BKS48" s="84" t="str">
        <f>IF(ISNUMBER(outYear),BKS37+BKS42+#REF!+#REF!,"")</f>
        <v/>
      </c>
      <c r="BKT48" s="84" t="str">
        <f>IF(ISNUMBER(outYear),BKT37+BKT42+#REF!+#REF!,"")</f>
        <v/>
      </c>
      <c r="BKU48" s="84" t="str">
        <f>IF(ISNUMBER(outYear),BKU37+BKU42+#REF!+#REF!,"")</f>
        <v/>
      </c>
      <c r="BKV48" s="84" t="str">
        <f>IF(ISNUMBER(outYear),BKV37+BKV42+#REF!+#REF!,"")</f>
        <v/>
      </c>
      <c r="BKW48" s="84" t="str">
        <f>IF(ISNUMBER(outYear),BKW37+BKW42+#REF!+#REF!,"")</f>
        <v/>
      </c>
      <c r="BKX48" s="84" t="str">
        <f>IF(ISNUMBER(outYear),BKX37+BKX42+#REF!+#REF!,"")</f>
        <v/>
      </c>
      <c r="BKY48" s="84" t="str">
        <f>IF(ISNUMBER(outYear),BKY37+BKY42+#REF!+#REF!,"")</f>
        <v/>
      </c>
      <c r="BKZ48" s="84" t="str">
        <f>IF(ISNUMBER(outYear),BKZ37+BKZ42+#REF!+#REF!,"")</f>
        <v/>
      </c>
      <c r="BLA48" s="84" t="str">
        <f>IF(ISNUMBER(outYear),BLA37+BLA42+#REF!+#REF!,"")</f>
        <v/>
      </c>
      <c r="BLB48" s="84" t="str">
        <f>IF(ISNUMBER(outYear),BLB37+BLB42+#REF!+#REF!,"")</f>
        <v/>
      </c>
      <c r="BLC48" s="84" t="str">
        <f>IF(ISNUMBER(outYear),BLC37+BLC42+#REF!+#REF!,"")</f>
        <v/>
      </c>
      <c r="BLD48" s="84" t="str">
        <f>IF(ISNUMBER(outYear),BLD37+BLD42+#REF!+#REF!,"")</f>
        <v/>
      </c>
      <c r="BLE48" s="84" t="str">
        <f>IF(ISNUMBER(outYear),BLE37+BLE42+#REF!+#REF!,"")</f>
        <v/>
      </c>
      <c r="BLF48" s="84" t="str">
        <f>IF(ISNUMBER(outYear),BLF37+BLF42+#REF!+#REF!,"")</f>
        <v/>
      </c>
      <c r="BLG48" s="84" t="str">
        <f>IF(ISNUMBER(outYear),BLG37+BLG42+#REF!+#REF!,"")</f>
        <v/>
      </c>
      <c r="BLH48" s="84" t="str">
        <f>IF(ISNUMBER(outYear),BLH37+BLH42+#REF!+#REF!,"")</f>
        <v/>
      </c>
      <c r="BLI48" s="84" t="str">
        <f>IF(ISNUMBER(outYear),BLI37+BLI42+#REF!+#REF!,"")</f>
        <v/>
      </c>
      <c r="BLJ48" s="84" t="str">
        <f>IF(ISNUMBER(outYear),BLJ37+BLJ42+#REF!+#REF!,"")</f>
        <v/>
      </c>
      <c r="BLK48" s="84" t="str">
        <f>IF(ISNUMBER(outYear),BLK37+BLK42+#REF!+#REF!,"")</f>
        <v/>
      </c>
      <c r="BLL48" s="84" t="str">
        <f>IF(ISNUMBER(outYear),BLL37+BLL42+#REF!+#REF!,"")</f>
        <v/>
      </c>
      <c r="BLM48" s="84" t="str">
        <f>IF(ISNUMBER(outYear),BLM37+BLM42+#REF!+#REF!,"")</f>
        <v/>
      </c>
      <c r="BLN48" s="84" t="str">
        <f>IF(ISNUMBER(outYear),BLN37+BLN42+#REF!+#REF!,"")</f>
        <v/>
      </c>
      <c r="BLO48" s="84" t="str">
        <f>IF(ISNUMBER(outYear),BLO37+BLO42+#REF!+#REF!,"")</f>
        <v/>
      </c>
      <c r="BLP48" s="84" t="str">
        <f>IF(ISNUMBER(outYear),BLP37+BLP42+#REF!+#REF!,"")</f>
        <v/>
      </c>
      <c r="BLQ48" s="84" t="str">
        <f>IF(ISNUMBER(outYear),BLQ37+BLQ42+#REF!+#REF!,"")</f>
        <v/>
      </c>
      <c r="BLR48" s="84" t="str">
        <f>IF(ISNUMBER(outYear),BLR37+BLR42+#REF!+#REF!,"")</f>
        <v/>
      </c>
      <c r="BLS48" s="84" t="str">
        <f>IF(ISNUMBER(outYear),BLS37+BLS42+#REF!+#REF!,"")</f>
        <v/>
      </c>
      <c r="BLT48" s="84" t="str">
        <f>IF(ISNUMBER(outYear),BLT37+BLT42+#REF!+#REF!,"")</f>
        <v/>
      </c>
      <c r="BLU48" s="84" t="str">
        <f>IF(ISNUMBER(outYear),BLU37+BLU42+#REF!+#REF!,"")</f>
        <v/>
      </c>
      <c r="BLV48" s="84" t="str">
        <f>IF(ISNUMBER(outYear),BLV37+BLV42+#REF!+#REF!,"")</f>
        <v/>
      </c>
      <c r="BLW48" s="84" t="str">
        <f>IF(ISNUMBER(outYear),BLW37+BLW42+#REF!+#REF!,"")</f>
        <v/>
      </c>
      <c r="BLX48" s="84" t="str">
        <f>IF(ISNUMBER(outYear),BLX37+BLX42+#REF!+#REF!,"")</f>
        <v/>
      </c>
      <c r="BLY48" s="84" t="str">
        <f>IF(ISNUMBER(outYear),BLY37+BLY42+#REF!+#REF!,"")</f>
        <v/>
      </c>
      <c r="BLZ48" s="84" t="str">
        <f>IF(ISNUMBER(outYear),BLZ37+BLZ42+#REF!+#REF!,"")</f>
        <v/>
      </c>
      <c r="BMA48" s="84" t="str">
        <f>IF(ISNUMBER(outYear),BMA37+BMA42+#REF!+#REF!,"")</f>
        <v/>
      </c>
      <c r="BMB48" s="84" t="str">
        <f>IF(ISNUMBER(outYear),BMB37+BMB42+#REF!+#REF!,"")</f>
        <v/>
      </c>
      <c r="BMC48" s="84" t="str">
        <f>IF(ISNUMBER(outYear),BMC37+BMC42+#REF!+#REF!,"")</f>
        <v/>
      </c>
      <c r="BMD48" s="84" t="str">
        <f>IF(ISNUMBER(outYear),BMD37+BMD42+#REF!+#REF!,"")</f>
        <v/>
      </c>
      <c r="BME48" s="84" t="str">
        <f>IF(ISNUMBER(outYear),BME37+BME42+#REF!+#REF!,"")</f>
        <v/>
      </c>
      <c r="BMF48" s="84" t="str">
        <f>IF(ISNUMBER(outYear),BMF37+BMF42+#REF!+#REF!,"")</f>
        <v/>
      </c>
      <c r="BMG48" s="84" t="str">
        <f>IF(ISNUMBER(outYear),BMG37+BMG42+#REF!+#REF!,"")</f>
        <v/>
      </c>
      <c r="BMH48" s="84" t="str">
        <f>IF(ISNUMBER(outYear),BMH37+BMH42+#REF!+#REF!,"")</f>
        <v/>
      </c>
      <c r="BMI48" s="84" t="str">
        <f>IF(ISNUMBER(outYear),BMI37+BMI42+#REF!+#REF!,"")</f>
        <v/>
      </c>
      <c r="BMJ48" s="84" t="str">
        <f>IF(ISNUMBER(outYear),BMJ37+BMJ42+#REF!+#REF!,"")</f>
        <v/>
      </c>
      <c r="BMK48" s="84" t="str">
        <f>IF(ISNUMBER(outYear),BMK37+BMK42+#REF!+#REF!,"")</f>
        <v/>
      </c>
      <c r="BML48" s="84" t="str">
        <f>IF(ISNUMBER(outYear),BML37+BML42+#REF!+#REF!,"")</f>
        <v/>
      </c>
      <c r="BMM48" s="84" t="str">
        <f>IF(ISNUMBER(outYear),BMM37+BMM42+#REF!+#REF!,"")</f>
        <v/>
      </c>
      <c r="BMN48" s="84" t="str">
        <f>IF(ISNUMBER(outYear),BMN37+BMN42+#REF!+#REF!,"")</f>
        <v/>
      </c>
      <c r="BMO48" s="84" t="str">
        <f>IF(ISNUMBER(outYear),BMO37+BMO42+#REF!+#REF!,"")</f>
        <v/>
      </c>
      <c r="BMP48" s="84" t="str">
        <f>IF(ISNUMBER(outYear),BMP37+BMP42+#REF!+#REF!,"")</f>
        <v/>
      </c>
      <c r="BMQ48" s="84" t="str">
        <f>IF(ISNUMBER(outYear),BMQ37+BMQ42+#REF!+#REF!,"")</f>
        <v/>
      </c>
      <c r="BMR48" s="84" t="str">
        <f>IF(ISNUMBER(outYear),BMR37+BMR42+#REF!+#REF!,"")</f>
        <v/>
      </c>
      <c r="BMS48" s="84" t="str">
        <f>IF(ISNUMBER(outYear),BMS37+BMS42+#REF!+#REF!,"")</f>
        <v/>
      </c>
      <c r="BMT48" s="84" t="str">
        <f>IF(ISNUMBER(outYear),BMT37+BMT42+#REF!+#REF!,"")</f>
        <v/>
      </c>
      <c r="BMU48" s="84" t="str">
        <f>IF(ISNUMBER(outYear),BMU37+BMU42+#REF!+#REF!,"")</f>
        <v/>
      </c>
      <c r="BMV48" s="84" t="str">
        <f>IF(ISNUMBER(outYear),BMV37+BMV42+#REF!+#REF!,"")</f>
        <v/>
      </c>
      <c r="BMW48" s="84" t="str">
        <f>IF(ISNUMBER(outYear),BMW37+BMW42+#REF!+#REF!,"")</f>
        <v/>
      </c>
      <c r="BMX48" s="84" t="str">
        <f>IF(ISNUMBER(outYear),BMX37+BMX42+#REF!+#REF!,"")</f>
        <v/>
      </c>
      <c r="BMY48" s="84" t="str">
        <f>IF(ISNUMBER(outYear),BMY37+BMY42+#REF!+#REF!,"")</f>
        <v/>
      </c>
      <c r="BMZ48" s="84" t="str">
        <f>IF(ISNUMBER(outYear),BMZ37+BMZ42+#REF!+#REF!,"")</f>
        <v/>
      </c>
      <c r="BNA48" s="84" t="str">
        <f>IF(ISNUMBER(outYear),BNA37+BNA42+#REF!+#REF!,"")</f>
        <v/>
      </c>
      <c r="BNB48" s="84" t="str">
        <f>IF(ISNUMBER(outYear),BNB37+BNB42+#REF!+#REF!,"")</f>
        <v/>
      </c>
      <c r="BNC48" s="84" t="str">
        <f>IF(ISNUMBER(outYear),BNC37+BNC42+#REF!+#REF!,"")</f>
        <v/>
      </c>
      <c r="BND48" s="84" t="str">
        <f>IF(ISNUMBER(outYear),BND37+BND42+#REF!+#REF!,"")</f>
        <v/>
      </c>
      <c r="BNE48" s="84" t="str">
        <f>IF(ISNUMBER(outYear),BNE37+BNE42+#REF!+#REF!,"")</f>
        <v/>
      </c>
      <c r="BNF48" s="84" t="str">
        <f>IF(ISNUMBER(outYear),BNF37+BNF42+#REF!+#REF!,"")</f>
        <v/>
      </c>
      <c r="BNG48" s="84" t="str">
        <f>IF(ISNUMBER(outYear),BNG37+BNG42+#REF!+#REF!,"")</f>
        <v/>
      </c>
      <c r="BNH48" s="84" t="str">
        <f>IF(ISNUMBER(outYear),BNH37+BNH42+#REF!+#REF!,"")</f>
        <v/>
      </c>
      <c r="BNI48" s="84" t="str">
        <f>IF(ISNUMBER(outYear),BNI37+BNI42+#REF!+#REF!,"")</f>
        <v/>
      </c>
      <c r="BNJ48" s="84" t="str">
        <f>IF(ISNUMBER(outYear),BNJ37+BNJ42+#REF!+#REF!,"")</f>
        <v/>
      </c>
      <c r="BNK48" s="84" t="str">
        <f>IF(ISNUMBER(outYear),BNK37+BNK42+#REF!+#REF!,"")</f>
        <v/>
      </c>
      <c r="BNL48" s="84" t="str">
        <f>IF(ISNUMBER(outYear),BNL37+BNL42+#REF!+#REF!,"")</f>
        <v/>
      </c>
      <c r="BNM48" s="84" t="str">
        <f>IF(ISNUMBER(outYear),BNM37+BNM42+#REF!+#REF!,"")</f>
        <v/>
      </c>
      <c r="BNN48" s="84" t="str">
        <f>IF(ISNUMBER(outYear),BNN37+BNN42+#REF!+#REF!,"")</f>
        <v/>
      </c>
      <c r="BNO48" s="84" t="str">
        <f>IF(ISNUMBER(outYear),BNO37+BNO42+#REF!+#REF!,"")</f>
        <v/>
      </c>
      <c r="BNP48" s="84" t="str">
        <f>IF(ISNUMBER(outYear),BNP37+BNP42+#REF!+#REF!,"")</f>
        <v/>
      </c>
      <c r="BNQ48" s="84" t="str">
        <f>IF(ISNUMBER(outYear),BNQ37+BNQ42+#REF!+#REF!,"")</f>
        <v/>
      </c>
      <c r="BNR48" s="84" t="str">
        <f>IF(ISNUMBER(outYear),BNR37+BNR42+#REF!+#REF!,"")</f>
        <v/>
      </c>
      <c r="BNS48" s="84" t="str">
        <f>IF(ISNUMBER(outYear),BNS37+BNS42+#REF!+#REF!,"")</f>
        <v/>
      </c>
      <c r="BNT48" s="84" t="str">
        <f>IF(ISNUMBER(outYear),BNT37+BNT42+#REF!+#REF!,"")</f>
        <v/>
      </c>
      <c r="BNU48" s="84" t="str">
        <f>IF(ISNUMBER(outYear),BNU37+BNU42+#REF!+#REF!,"")</f>
        <v/>
      </c>
      <c r="BNV48" s="84" t="str">
        <f>IF(ISNUMBER(outYear),BNV37+BNV42+#REF!+#REF!,"")</f>
        <v/>
      </c>
      <c r="BNW48" s="84" t="str">
        <f>IF(ISNUMBER(outYear),BNW37+BNW42+#REF!+#REF!,"")</f>
        <v/>
      </c>
      <c r="BNX48" s="84" t="str">
        <f>IF(ISNUMBER(outYear),BNX37+BNX42+#REF!+#REF!,"")</f>
        <v/>
      </c>
      <c r="BNY48" s="84" t="str">
        <f>IF(ISNUMBER(outYear),BNY37+BNY42+#REF!+#REF!,"")</f>
        <v/>
      </c>
      <c r="BNZ48" s="84" t="str">
        <f>IF(ISNUMBER(outYear),BNZ37+BNZ42+#REF!+#REF!,"")</f>
        <v/>
      </c>
      <c r="BOA48" s="84" t="str">
        <f>IF(ISNUMBER(outYear),BOA37+BOA42+#REF!+#REF!,"")</f>
        <v/>
      </c>
      <c r="BOB48" s="84" t="str">
        <f>IF(ISNUMBER(outYear),BOB37+BOB42+#REF!+#REF!,"")</f>
        <v/>
      </c>
      <c r="BOC48" s="84" t="str">
        <f>IF(ISNUMBER(outYear),BOC37+BOC42+#REF!+#REF!,"")</f>
        <v/>
      </c>
      <c r="BOD48" s="84" t="str">
        <f>IF(ISNUMBER(outYear),BOD37+BOD42+#REF!+#REF!,"")</f>
        <v/>
      </c>
      <c r="BOE48" s="84" t="str">
        <f>IF(ISNUMBER(outYear),BOE37+BOE42+#REF!+#REF!,"")</f>
        <v/>
      </c>
      <c r="BOF48" s="84" t="str">
        <f>IF(ISNUMBER(outYear),BOF37+BOF42+#REF!+#REF!,"")</f>
        <v/>
      </c>
      <c r="BOG48" s="84" t="str">
        <f>IF(ISNUMBER(outYear),BOG37+BOG42+#REF!+#REF!,"")</f>
        <v/>
      </c>
      <c r="BOH48" s="84" t="str">
        <f>IF(ISNUMBER(outYear),BOH37+BOH42+#REF!+#REF!,"")</f>
        <v/>
      </c>
      <c r="BOI48" s="84" t="str">
        <f>IF(ISNUMBER(outYear),BOI37+BOI42+#REF!+#REF!,"")</f>
        <v/>
      </c>
      <c r="BOJ48" s="84" t="str">
        <f>IF(ISNUMBER(outYear),BOJ37+BOJ42+#REF!+#REF!,"")</f>
        <v/>
      </c>
      <c r="BOK48" s="84" t="str">
        <f>IF(ISNUMBER(outYear),BOK37+BOK42+#REF!+#REF!,"")</f>
        <v/>
      </c>
      <c r="BOL48" s="84" t="str">
        <f>IF(ISNUMBER(outYear),BOL37+BOL42+#REF!+#REF!,"")</f>
        <v/>
      </c>
      <c r="BOM48" s="84" t="str">
        <f>IF(ISNUMBER(outYear),BOM37+BOM42+#REF!+#REF!,"")</f>
        <v/>
      </c>
      <c r="BON48" s="84" t="str">
        <f>IF(ISNUMBER(outYear),BON37+BON42+#REF!+#REF!,"")</f>
        <v/>
      </c>
      <c r="BOO48" s="84" t="str">
        <f>IF(ISNUMBER(outYear),BOO37+BOO42+#REF!+#REF!,"")</f>
        <v/>
      </c>
      <c r="BOP48" s="84" t="str">
        <f>IF(ISNUMBER(outYear),BOP37+BOP42+#REF!+#REF!,"")</f>
        <v/>
      </c>
      <c r="BOQ48" s="84" t="str">
        <f>IF(ISNUMBER(outYear),BOQ37+BOQ42+#REF!+#REF!,"")</f>
        <v/>
      </c>
      <c r="BOR48" s="84" t="str">
        <f>IF(ISNUMBER(outYear),BOR37+BOR42+#REF!+#REF!,"")</f>
        <v/>
      </c>
      <c r="BOS48" s="84" t="str">
        <f>IF(ISNUMBER(outYear),BOS37+BOS42+#REF!+#REF!,"")</f>
        <v/>
      </c>
      <c r="BOT48" s="84" t="str">
        <f>IF(ISNUMBER(outYear),BOT37+BOT42+#REF!+#REF!,"")</f>
        <v/>
      </c>
      <c r="BOU48" s="84" t="str">
        <f>IF(ISNUMBER(outYear),BOU37+BOU42+#REF!+#REF!,"")</f>
        <v/>
      </c>
      <c r="BOV48" s="84" t="str">
        <f>IF(ISNUMBER(outYear),BOV37+BOV42+#REF!+#REF!,"")</f>
        <v/>
      </c>
      <c r="BOW48" s="84" t="str">
        <f>IF(ISNUMBER(outYear),BOW37+BOW42+#REF!+#REF!,"")</f>
        <v/>
      </c>
      <c r="BOX48" s="84" t="str">
        <f>IF(ISNUMBER(outYear),BOX37+BOX42+#REF!+#REF!,"")</f>
        <v/>
      </c>
      <c r="BOY48" s="84" t="str">
        <f>IF(ISNUMBER(outYear),BOY37+BOY42+#REF!+#REF!,"")</f>
        <v/>
      </c>
      <c r="BOZ48" s="84" t="str">
        <f>IF(ISNUMBER(outYear),BOZ37+BOZ42+#REF!+#REF!,"")</f>
        <v/>
      </c>
      <c r="BPA48" s="84" t="str">
        <f>IF(ISNUMBER(outYear),BPA37+BPA42+#REF!+#REF!,"")</f>
        <v/>
      </c>
      <c r="BPB48" s="84" t="str">
        <f>IF(ISNUMBER(outYear),BPB37+BPB42+#REF!+#REF!,"")</f>
        <v/>
      </c>
      <c r="BPC48" s="84" t="str">
        <f>IF(ISNUMBER(outYear),BPC37+BPC42+#REF!+#REF!,"")</f>
        <v/>
      </c>
      <c r="BPD48" s="84" t="str">
        <f>IF(ISNUMBER(outYear),BPD37+BPD42+#REF!+#REF!,"")</f>
        <v/>
      </c>
      <c r="BPE48" s="84" t="str">
        <f>IF(ISNUMBER(outYear),BPE37+BPE42+#REF!+#REF!,"")</f>
        <v/>
      </c>
      <c r="BPF48" s="84" t="str">
        <f>IF(ISNUMBER(outYear),BPF37+BPF42+#REF!+#REF!,"")</f>
        <v/>
      </c>
      <c r="BPG48" s="84" t="str">
        <f>IF(ISNUMBER(outYear),BPG37+BPG42+#REF!+#REF!,"")</f>
        <v/>
      </c>
      <c r="BPH48" s="84" t="str">
        <f>IF(ISNUMBER(outYear),BPH37+BPH42+#REF!+#REF!,"")</f>
        <v/>
      </c>
      <c r="BPI48" s="84" t="str">
        <f>IF(ISNUMBER(outYear),BPI37+BPI42+#REF!+#REF!,"")</f>
        <v/>
      </c>
      <c r="BPJ48" s="84" t="str">
        <f>IF(ISNUMBER(outYear),BPJ37+BPJ42+#REF!+#REF!,"")</f>
        <v/>
      </c>
      <c r="BPK48" s="84" t="str">
        <f>IF(ISNUMBER(outYear),BPK37+BPK42+#REF!+#REF!,"")</f>
        <v/>
      </c>
      <c r="BPL48" s="84" t="str">
        <f>IF(ISNUMBER(outYear),BPL37+BPL42+#REF!+#REF!,"")</f>
        <v/>
      </c>
      <c r="BPM48" s="84" t="str">
        <f>IF(ISNUMBER(outYear),BPM37+BPM42+#REF!+#REF!,"")</f>
        <v/>
      </c>
      <c r="BPN48" s="84" t="str">
        <f>IF(ISNUMBER(outYear),BPN37+BPN42+#REF!+#REF!,"")</f>
        <v/>
      </c>
      <c r="BPO48" s="84" t="str">
        <f>IF(ISNUMBER(outYear),BPO37+BPO42+#REF!+#REF!,"")</f>
        <v/>
      </c>
      <c r="BPP48" s="84" t="str">
        <f>IF(ISNUMBER(outYear),BPP37+BPP42+#REF!+#REF!,"")</f>
        <v/>
      </c>
      <c r="BPQ48" s="84" t="str">
        <f>IF(ISNUMBER(outYear),BPQ37+BPQ42+#REF!+#REF!,"")</f>
        <v/>
      </c>
      <c r="BPR48" s="84" t="str">
        <f>IF(ISNUMBER(outYear),BPR37+BPR42+#REF!+#REF!,"")</f>
        <v/>
      </c>
      <c r="BPS48" s="84" t="str">
        <f>IF(ISNUMBER(outYear),BPS37+BPS42+#REF!+#REF!,"")</f>
        <v/>
      </c>
      <c r="BPT48" s="84" t="str">
        <f>IF(ISNUMBER(outYear),BPT37+BPT42+#REF!+#REF!,"")</f>
        <v/>
      </c>
      <c r="BPU48" s="84" t="str">
        <f>IF(ISNUMBER(outYear),BPU37+BPU42+#REF!+#REF!,"")</f>
        <v/>
      </c>
      <c r="BPV48" s="84" t="str">
        <f>IF(ISNUMBER(outYear),BPV37+BPV42+#REF!+#REF!,"")</f>
        <v/>
      </c>
      <c r="BPW48" s="84" t="str">
        <f>IF(ISNUMBER(outYear),BPW37+BPW42+#REF!+#REF!,"")</f>
        <v/>
      </c>
      <c r="BPX48" s="84" t="str">
        <f>IF(ISNUMBER(outYear),BPX37+BPX42+#REF!+#REF!,"")</f>
        <v/>
      </c>
      <c r="BPY48" s="84" t="str">
        <f>IF(ISNUMBER(outYear),BPY37+BPY42+#REF!+#REF!,"")</f>
        <v/>
      </c>
      <c r="BPZ48" s="84" t="str">
        <f>IF(ISNUMBER(outYear),BPZ37+BPZ42+#REF!+#REF!,"")</f>
        <v/>
      </c>
      <c r="BQA48" s="84" t="str">
        <f>IF(ISNUMBER(outYear),BQA37+BQA42+#REF!+#REF!,"")</f>
        <v/>
      </c>
      <c r="BQB48" s="84" t="str">
        <f>IF(ISNUMBER(outYear),BQB37+BQB42+#REF!+#REF!,"")</f>
        <v/>
      </c>
      <c r="BQC48" s="84" t="str">
        <f>IF(ISNUMBER(outYear),BQC37+BQC42+#REF!+#REF!,"")</f>
        <v/>
      </c>
      <c r="BQD48" s="84" t="str">
        <f>IF(ISNUMBER(outYear),BQD37+BQD42+#REF!+#REF!,"")</f>
        <v/>
      </c>
      <c r="BQE48" s="84" t="str">
        <f>IF(ISNUMBER(outYear),BQE37+BQE42+#REF!+#REF!,"")</f>
        <v/>
      </c>
      <c r="BQF48" s="84" t="str">
        <f>IF(ISNUMBER(outYear),BQF37+BQF42+#REF!+#REF!,"")</f>
        <v/>
      </c>
      <c r="BQG48" s="84" t="str">
        <f>IF(ISNUMBER(outYear),BQG37+BQG42+#REF!+#REF!,"")</f>
        <v/>
      </c>
      <c r="BQH48" s="84" t="str">
        <f>IF(ISNUMBER(outYear),BQH37+BQH42+#REF!+#REF!,"")</f>
        <v/>
      </c>
      <c r="BQI48" s="84" t="str">
        <f>IF(ISNUMBER(outYear),BQI37+BQI42+#REF!+#REF!,"")</f>
        <v/>
      </c>
      <c r="BQJ48" s="84" t="str">
        <f>IF(ISNUMBER(outYear),BQJ37+BQJ42+#REF!+#REF!,"")</f>
        <v/>
      </c>
      <c r="BQK48" s="84" t="str">
        <f>IF(ISNUMBER(outYear),BQK37+BQK42+#REF!+#REF!,"")</f>
        <v/>
      </c>
      <c r="BQL48" s="84" t="str">
        <f>IF(ISNUMBER(outYear),BQL37+BQL42+#REF!+#REF!,"")</f>
        <v/>
      </c>
      <c r="BQM48" s="84" t="str">
        <f>IF(ISNUMBER(outYear),BQM37+BQM42+#REF!+#REF!,"")</f>
        <v/>
      </c>
      <c r="BQN48" s="84" t="str">
        <f>IF(ISNUMBER(outYear),BQN37+BQN42+#REF!+#REF!,"")</f>
        <v/>
      </c>
      <c r="BQO48" s="84" t="str">
        <f>IF(ISNUMBER(outYear),BQO37+BQO42+#REF!+#REF!,"")</f>
        <v/>
      </c>
      <c r="BQP48" s="84" t="str">
        <f>IF(ISNUMBER(outYear),BQP37+BQP42+#REF!+#REF!,"")</f>
        <v/>
      </c>
      <c r="BQQ48" s="84" t="str">
        <f>IF(ISNUMBER(outYear),BQQ37+BQQ42+#REF!+#REF!,"")</f>
        <v/>
      </c>
      <c r="BQR48" s="84" t="str">
        <f>IF(ISNUMBER(outYear),BQR37+BQR42+#REF!+#REF!,"")</f>
        <v/>
      </c>
      <c r="BQS48" s="84" t="str">
        <f>IF(ISNUMBER(outYear),BQS37+BQS42+#REF!+#REF!,"")</f>
        <v/>
      </c>
      <c r="BQT48" s="84" t="str">
        <f>IF(ISNUMBER(outYear),BQT37+BQT42+#REF!+#REF!,"")</f>
        <v/>
      </c>
      <c r="BQU48" s="84" t="str">
        <f>IF(ISNUMBER(outYear),BQU37+BQU42+#REF!+#REF!,"")</f>
        <v/>
      </c>
      <c r="BQV48" s="84" t="str">
        <f>IF(ISNUMBER(outYear),BQV37+BQV42+#REF!+#REF!,"")</f>
        <v/>
      </c>
      <c r="BQW48" s="84" t="str">
        <f>IF(ISNUMBER(outYear),BQW37+BQW42+#REF!+#REF!,"")</f>
        <v/>
      </c>
      <c r="BQX48" s="84" t="str">
        <f>IF(ISNUMBER(outYear),BQX37+BQX42+#REF!+#REF!,"")</f>
        <v/>
      </c>
      <c r="BQY48" s="84" t="str">
        <f>IF(ISNUMBER(outYear),BQY37+BQY42+#REF!+#REF!,"")</f>
        <v/>
      </c>
      <c r="BQZ48" s="84" t="str">
        <f>IF(ISNUMBER(outYear),BQZ37+BQZ42+#REF!+#REF!,"")</f>
        <v/>
      </c>
      <c r="BRA48" s="84" t="str">
        <f>IF(ISNUMBER(outYear),BRA37+BRA42+#REF!+#REF!,"")</f>
        <v/>
      </c>
      <c r="BRB48" s="84" t="str">
        <f>IF(ISNUMBER(outYear),BRB37+BRB42+#REF!+#REF!,"")</f>
        <v/>
      </c>
      <c r="BRC48" s="84" t="str">
        <f>IF(ISNUMBER(outYear),BRC37+BRC42+#REF!+#REF!,"")</f>
        <v/>
      </c>
      <c r="BRD48" s="84" t="str">
        <f>IF(ISNUMBER(outYear),BRD37+BRD42+#REF!+#REF!,"")</f>
        <v/>
      </c>
      <c r="BRE48" s="84" t="str">
        <f>IF(ISNUMBER(outYear),BRE37+BRE42+#REF!+#REF!,"")</f>
        <v/>
      </c>
      <c r="BRF48" s="84" t="str">
        <f>IF(ISNUMBER(outYear),BRF37+BRF42+#REF!+#REF!,"")</f>
        <v/>
      </c>
      <c r="BRG48" s="84" t="str">
        <f>IF(ISNUMBER(outYear),BRG37+BRG42+#REF!+#REF!,"")</f>
        <v/>
      </c>
      <c r="BRH48" s="84" t="str">
        <f>IF(ISNUMBER(outYear),BRH37+BRH42+#REF!+#REF!,"")</f>
        <v/>
      </c>
      <c r="BRI48" s="84" t="str">
        <f>IF(ISNUMBER(outYear),BRI37+BRI42+#REF!+#REF!,"")</f>
        <v/>
      </c>
      <c r="BRJ48" s="84" t="str">
        <f>IF(ISNUMBER(outYear),BRJ37+BRJ42+#REF!+#REF!,"")</f>
        <v/>
      </c>
      <c r="BRK48" s="84" t="str">
        <f>IF(ISNUMBER(outYear),BRK37+BRK42+#REF!+#REF!,"")</f>
        <v/>
      </c>
      <c r="BRL48" s="84" t="str">
        <f>IF(ISNUMBER(outYear),BRL37+BRL42+#REF!+#REF!,"")</f>
        <v/>
      </c>
      <c r="BRM48" s="84" t="str">
        <f>IF(ISNUMBER(outYear),BRM37+BRM42+#REF!+#REF!,"")</f>
        <v/>
      </c>
      <c r="BRN48" s="84" t="str">
        <f>IF(ISNUMBER(outYear),BRN37+BRN42+#REF!+#REF!,"")</f>
        <v/>
      </c>
      <c r="BRO48" s="84" t="str">
        <f>IF(ISNUMBER(outYear),BRO37+BRO42+#REF!+#REF!,"")</f>
        <v/>
      </c>
      <c r="BRP48" s="84" t="str">
        <f>IF(ISNUMBER(outYear),BRP37+BRP42+#REF!+#REF!,"")</f>
        <v/>
      </c>
      <c r="BRQ48" s="84" t="str">
        <f>IF(ISNUMBER(outYear),BRQ37+BRQ42+#REF!+#REF!,"")</f>
        <v/>
      </c>
      <c r="BRR48" s="84" t="str">
        <f>IF(ISNUMBER(outYear),BRR37+BRR42+#REF!+#REF!,"")</f>
        <v/>
      </c>
      <c r="BRS48" s="84" t="str">
        <f>IF(ISNUMBER(outYear),BRS37+BRS42+#REF!+#REF!,"")</f>
        <v/>
      </c>
      <c r="BRT48" s="84" t="str">
        <f>IF(ISNUMBER(outYear),BRT37+BRT42+#REF!+#REF!,"")</f>
        <v/>
      </c>
      <c r="BRU48" s="84" t="str">
        <f>IF(ISNUMBER(outYear),BRU37+BRU42+#REF!+#REF!,"")</f>
        <v/>
      </c>
      <c r="BRV48" s="84" t="str">
        <f>IF(ISNUMBER(outYear),BRV37+BRV42+#REF!+#REF!,"")</f>
        <v/>
      </c>
      <c r="BRW48" s="84" t="str">
        <f>IF(ISNUMBER(outYear),BRW37+BRW42+#REF!+#REF!,"")</f>
        <v/>
      </c>
      <c r="BRX48" s="84" t="str">
        <f>IF(ISNUMBER(outYear),BRX37+BRX42+#REF!+#REF!,"")</f>
        <v/>
      </c>
      <c r="BRY48" s="84" t="str">
        <f>IF(ISNUMBER(outYear),BRY37+BRY42+#REF!+#REF!,"")</f>
        <v/>
      </c>
      <c r="BRZ48" s="84" t="str">
        <f>IF(ISNUMBER(outYear),BRZ37+BRZ42+#REF!+#REF!,"")</f>
        <v/>
      </c>
      <c r="BSA48" s="84" t="str">
        <f>IF(ISNUMBER(outYear),BSA37+BSA42+#REF!+#REF!,"")</f>
        <v/>
      </c>
      <c r="BSB48" s="84" t="str">
        <f>IF(ISNUMBER(outYear),BSB37+BSB42+#REF!+#REF!,"")</f>
        <v/>
      </c>
      <c r="BSC48" s="84" t="str">
        <f>IF(ISNUMBER(outYear),BSC37+BSC42+#REF!+#REF!,"")</f>
        <v/>
      </c>
      <c r="BSD48" s="84" t="str">
        <f>IF(ISNUMBER(outYear),BSD37+BSD42+#REF!+#REF!,"")</f>
        <v/>
      </c>
      <c r="BSE48" s="84" t="str">
        <f>IF(ISNUMBER(outYear),BSE37+BSE42+#REF!+#REF!,"")</f>
        <v/>
      </c>
      <c r="BSF48" s="84" t="str">
        <f>IF(ISNUMBER(outYear),BSF37+BSF42+#REF!+#REF!,"")</f>
        <v/>
      </c>
      <c r="BSG48" s="84" t="str">
        <f>IF(ISNUMBER(outYear),BSG37+BSG42+#REF!+#REF!,"")</f>
        <v/>
      </c>
      <c r="BSH48" s="84" t="str">
        <f>IF(ISNUMBER(outYear),BSH37+BSH42+#REF!+#REF!,"")</f>
        <v/>
      </c>
      <c r="BSI48" s="84" t="str">
        <f>IF(ISNUMBER(outYear),BSI37+BSI42+#REF!+#REF!,"")</f>
        <v/>
      </c>
      <c r="BSJ48" s="84" t="str">
        <f>IF(ISNUMBER(outYear),BSJ37+BSJ42+#REF!+#REF!,"")</f>
        <v/>
      </c>
      <c r="BSK48" s="84" t="str">
        <f>IF(ISNUMBER(outYear),BSK37+BSK42+#REF!+#REF!,"")</f>
        <v/>
      </c>
      <c r="BSL48" s="84" t="str">
        <f>IF(ISNUMBER(outYear),BSL37+BSL42+#REF!+#REF!,"")</f>
        <v/>
      </c>
      <c r="BSM48" s="84" t="str">
        <f>IF(ISNUMBER(outYear),BSM37+BSM42+#REF!+#REF!,"")</f>
        <v/>
      </c>
      <c r="BSN48" s="84" t="str">
        <f>IF(ISNUMBER(outYear),BSN37+BSN42+#REF!+#REF!,"")</f>
        <v/>
      </c>
      <c r="BSO48" s="84" t="str">
        <f>IF(ISNUMBER(outYear),BSO37+BSO42+#REF!+#REF!,"")</f>
        <v/>
      </c>
      <c r="BSP48" s="84" t="str">
        <f>IF(ISNUMBER(outYear),BSP37+BSP42+#REF!+#REF!,"")</f>
        <v/>
      </c>
      <c r="BSQ48" s="84" t="str">
        <f>IF(ISNUMBER(outYear),BSQ37+BSQ42+#REF!+#REF!,"")</f>
        <v/>
      </c>
      <c r="BSR48" s="84" t="str">
        <f>IF(ISNUMBER(outYear),BSR37+BSR42+#REF!+#REF!,"")</f>
        <v/>
      </c>
      <c r="BSS48" s="84" t="str">
        <f>IF(ISNUMBER(outYear),BSS37+BSS42+#REF!+#REF!,"")</f>
        <v/>
      </c>
      <c r="BST48" s="84" t="str">
        <f>IF(ISNUMBER(outYear),BST37+BST42+#REF!+#REF!,"")</f>
        <v/>
      </c>
      <c r="BSU48" s="84" t="str">
        <f>IF(ISNUMBER(outYear),BSU37+BSU42+#REF!+#REF!,"")</f>
        <v/>
      </c>
      <c r="BSV48" s="84" t="str">
        <f>IF(ISNUMBER(outYear),BSV37+BSV42+#REF!+#REF!,"")</f>
        <v/>
      </c>
      <c r="BSW48" s="84" t="str">
        <f>IF(ISNUMBER(outYear),BSW37+BSW42+#REF!+#REF!,"")</f>
        <v/>
      </c>
      <c r="BSX48" s="84" t="str">
        <f>IF(ISNUMBER(outYear),BSX37+BSX42+#REF!+#REF!,"")</f>
        <v/>
      </c>
      <c r="BSY48" s="84" t="str">
        <f>IF(ISNUMBER(outYear),BSY37+BSY42+#REF!+#REF!,"")</f>
        <v/>
      </c>
      <c r="BSZ48" s="84" t="str">
        <f>IF(ISNUMBER(outYear),BSZ37+BSZ42+#REF!+#REF!,"")</f>
        <v/>
      </c>
      <c r="BTA48" s="84" t="str">
        <f>IF(ISNUMBER(outYear),BTA37+BTA42+#REF!+#REF!,"")</f>
        <v/>
      </c>
      <c r="BTB48" s="84" t="str">
        <f>IF(ISNUMBER(outYear),BTB37+BTB42+#REF!+#REF!,"")</f>
        <v/>
      </c>
      <c r="BTC48" s="84" t="str">
        <f>IF(ISNUMBER(outYear),BTC37+BTC42+#REF!+#REF!,"")</f>
        <v/>
      </c>
      <c r="BTD48" s="84" t="str">
        <f>IF(ISNUMBER(outYear),BTD37+BTD42+#REF!+#REF!,"")</f>
        <v/>
      </c>
      <c r="BTE48" s="84" t="str">
        <f>IF(ISNUMBER(outYear),BTE37+BTE42+#REF!+#REF!,"")</f>
        <v/>
      </c>
      <c r="BTF48" s="84" t="str">
        <f>IF(ISNUMBER(outYear),BTF37+BTF42+#REF!+#REF!,"")</f>
        <v/>
      </c>
      <c r="BTG48" s="84" t="str">
        <f>IF(ISNUMBER(outYear),BTG37+BTG42+#REF!+#REF!,"")</f>
        <v/>
      </c>
      <c r="BTH48" s="84" t="str">
        <f>IF(ISNUMBER(outYear),BTH37+BTH42+#REF!+#REF!,"")</f>
        <v/>
      </c>
      <c r="BTI48" s="84" t="str">
        <f>IF(ISNUMBER(outYear),BTI37+BTI42+#REF!+#REF!,"")</f>
        <v/>
      </c>
      <c r="BTJ48" s="84" t="str">
        <f>IF(ISNUMBER(outYear),BTJ37+BTJ42+#REF!+#REF!,"")</f>
        <v/>
      </c>
      <c r="BTK48" s="84" t="str">
        <f>IF(ISNUMBER(outYear),BTK37+BTK42+#REF!+#REF!,"")</f>
        <v/>
      </c>
      <c r="BTL48" s="84" t="str">
        <f>IF(ISNUMBER(outYear),BTL37+BTL42+#REF!+#REF!,"")</f>
        <v/>
      </c>
      <c r="BTM48" s="84" t="str">
        <f>IF(ISNUMBER(outYear),BTM37+BTM42+#REF!+#REF!,"")</f>
        <v/>
      </c>
      <c r="BTN48" s="84" t="str">
        <f>IF(ISNUMBER(outYear),BTN37+BTN42+#REF!+#REF!,"")</f>
        <v/>
      </c>
      <c r="BTO48" s="84" t="str">
        <f>IF(ISNUMBER(outYear),BTO37+BTO42+#REF!+#REF!,"")</f>
        <v/>
      </c>
      <c r="BTP48" s="84" t="str">
        <f>IF(ISNUMBER(outYear),BTP37+BTP42+#REF!+#REF!,"")</f>
        <v/>
      </c>
      <c r="BTQ48" s="84" t="str">
        <f>IF(ISNUMBER(outYear),BTQ37+BTQ42+#REF!+#REF!,"")</f>
        <v/>
      </c>
      <c r="BTR48" s="84" t="str">
        <f>IF(ISNUMBER(outYear),BTR37+BTR42+#REF!+#REF!,"")</f>
        <v/>
      </c>
      <c r="BTS48" s="84" t="str">
        <f>IF(ISNUMBER(outYear),BTS37+BTS42+#REF!+#REF!,"")</f>
        <v/>
      </c>
      <c r="BTT48" s="84" t="str">
        <f>IF(ISNUMBER(outYear),BTT37+BTT42+#REF!+#REF!,"")</f>
        <v/>
      </c>
      <c r="BTU48" s="84" t="str">
        <f>IF(ISNUMBER(outYear),BTU37+BTU42+#REF!+#REF!,"")</f>
        <v/>
      </c>
      <c r="BTV48" s="84" t="str">
        <f>IF(ISNUMBER(outYear),BTV37+BTV42+#REF!+#REF!,"")</f>
        <v/>
      </c>
      <c r="BTW48" s="84" t="str">
        <f>IF(ISNUMBER(outYear),BTW37+BTW42+#REF!+#REF!,"")</f>
        <v/>
      </c>
      <c r="BTX48" s="84" t="str">
        <f>IF(ISNUMBER(outYear),BTX37+BTX42+#REF!+#REF!,"")</f>
        <v/>
      </c>
      <c r="BTY48" s="84" t="str">
        <f>IF(ISNUMBER(outYear),BTY37+BTY42+#REF!+#REF!,"")</f>
        <v/>
      </c>
      <c r="BTZ48" s="84" t="str">
        <f>IF(ISNUMBER(outYear),BTZ37+BTZ42+#REF!+#REF!,"")</f>
        <v/>
      </c>
      <c r="BUA48" s="84" t="str">
        <f>IF(ISNUMBER(outYear),BUA37+BUA42+#REF!+#REF!,"")</f>
        <v/>
      </c>
      <c r="BUB48" s="84" t="str">
        <f>IF(ISNUMBER(outYear),BUB37+BUB42+#REF!+#REF!,"")</f>
        <v/>
      </c>
      <c r="BUC48" s="84" t="str">
        <f>IF(ISNUMBER(outYear),BUC37+BUC42+#REF!+#REF!,"")</f>
        <v/>
      </c>
      <c r="BUD48" s="84" t="str">
        <f>IF(ISNUMBER(outYear),BUD37+BUD42+#REF!+#REF!,"")</f>
        <v/>
      </c>
      <c r="BUE48" s="84" t="str">
        <f>IF(ISNUMBER(outYear),BUE37+BUE42+#REF!+#REF!,"")</f>
        <v/>
      </c>
      <c r="BUF48" s="84" t="str">
        <f>IF(ISNUMBER(outYear),BUF37+BUF42+#REF!+#REF!,"")</f>
        <v/>
      </c>
      <c r="BUG48" s="84" t="str">
        <f>IF(ISNUMBER(outYear),BUG37+BUG42+#REF!+#REF!,"")</f>
        <v/>
      </c>
      <c r="BUH48" s="84" t="str">
        <f>IF(ISNUMBER(outYear),BUH37+BUH42+#REF!+#REF!,"")</f>
        <v/>
      </c>
      <c r="BUI48" s="84" t="str">
        <f>IF(ISNUMBER(outYear),BUI37+BUI42+#REF!+#REF!,"")</f>
        <v/>
      </c>
      <c r="BUJ48" s="84" t="str">
        <f>IF(ISNUMBER(outYear),BUJ37+BUJ42+#REF!+#REF!,"")</f>
        <v/>
      </c>
      <c r="BUK48" s="84" t="str">
        <f>IF(ISNUMBER(outYear),BUK37+BUK42+#REF!+#REF!,"")</f>
        <v/>
      </c>
      <c r="BUL48" s="84" t="str">
        <f>IF(ISNUMBER(outYear),BUL37+BUL42+#REF!+#REF!,"")</f>
        <v/>
      </c>
      <c r="BUM48" s="84" t="str">
        <f>IF(ISNUMBER(outYear),BUM37+BUM42+#REF!+#REF!,"")</f>
        <v/>
      </c>
      <c r="BUN48" s="84" t="str">
        <f>IF(ISNUMBER(outYear),BUN37+BUN42+#REF!+#REF!,"")</f>
        <v/>
      </c>
      <c r="BUO48" s="84" t="str">
        <f>IF(ISNUMBER(outYear),BUO37+BUO42+#REF!+#REF!,"")</f>
        <v/>
      </c>
      <c r="BUP48" s="84" t="str">
        <f>IF(ISNUMBER(outYear),BUP37+BUP42+#REF!+#REF!,"")</f>
        <v/>
      </c>
      <c r="BUQ48" s="84" t="str">
        <f>IF(ISNUMBER(outYear),BUQ37+BUQ42+#REF!+#REF!,"")</f>
        <v/>
      </c>
      <c r="BUR48" s="84" t="str">
        <f>IF(ISNUMBER(outYear),BUR37+BUR42+#REF!+#REF!,"")</f>
        <v/>
      </c>
      <c r="BUS48" s="84" t="str">
        <f>IF(ISNUMBER(outYear),BUS37+BUS42+#REF!+#REF!,"")</f>
        <v/>
      </c>
      <c r="BUT48" s="84" t="str">
        <f>IF(ISNUMBER(outYear),BUT37+BUT42+#REF!+#REF!,"")</f>
        <v/>
      </c>
      <c r="BUU48" s="84" t="str">
        <f>IF(ISNUMBER(outYear),BUU37+BUU42+#REF!+#REF!,"")</f>
        <v/>
      </c>
      <c r="BUV48" s="84" t="str">
        <f>IF(ISNUMBER(outYear),BUV37+BUV42+#REF!+#REF!,"")</f>
        <v/>
      </c>
      <c r="BUW48" s="84" t="str">
        <f>IF(ISNUMBER(outYear),BUW37+BUW42+#REF!+#REF!,"")</f>
        <v/>
      </c>
      <c r="BUX48" s="84" t="str">
        <f>IF(ISNUMBER(outYear),BUX37+BUX42+#REF!+#REF!,"")</f>
        <v/>
      </c>
      <c r="BUY48" s="84" t="str">
        <f>IF(ISNUMBER(outYear),BUY37+BUY42+#REF!+#REF!,"")</f>
        <v/>
      </c>
      <c r="BUZ48" s="84" t="str">
        <f>IF(ISNUMBER(outYear),BUZ37+BUZ42+#REF!+#REF!,"")</f>
        <v/>
      </c>
      <c r="BVA48" s="84" t="str">
        <f>IF(ISNUMBER(outYear),BVA37+BVA42+#REF!+#REF!,"")</f>
        <v/>
      </c>
      <c r="BVB48" s="84" t="str">
        <f>IF(ISNUMBER(outYear),BVB37+BVB42+#REF!+#REF!,"")</f>
        <v/>
      </c>
      <c r="BVC48" s="84" t="str">
        <f>IF(ISNUMBER(outYear),BVC37+BVC42+#REF!+#REF!,"")</f>
        <v/>
      </c>
      <c r="BVD48" s="84" t="str">
        <f>IF(ISNUMBER(outYear),BVD37+BVD42+#REF!+#REF!,"")</f>
        <v/>
      </c>
      <c r="BVE48" s="84" t="str">
        <f>IF(ISNUMBER(outYear),BVE37+BVE42+#REF!+#REF!,"")</f>
        <v/>
      </c>
      <c r="BVF48" s="84" t="str">
        <f>IF(ISNUMBER(outYear),BVF37+BVF42+#REF!+#REF!,"")</f>
        <v/>
      </c>
      <c r="BVG48" s="84" t="str">
        <f>IF(ISNUMBER(outYear),BVG37+BVG42+#REF!+#REF!,"")</f>
        <v/>
      </c>
      <c r="BVH48" s="84" t="str">
        <f>IF(ISNUMBER(outYear),BVH37+BVH42+#REF!+#REF!,"")</f>
        <v/>
      </c>
      <c r="BVI48" s="84" t="str">
        <f>IF(ISNUMBER(outYear),BVI37+BVI42+#REF!+#REF!,"")</f>
        <v/>
      </c>
      <c r="BVJ48" s="84" t="str">
        <f>IF(ISNUMBER(outYear),BVJ37+BVJ42+#REF!+#REF!,"")</f>
        <v/>
      </c>
      <c r="BVK48" s="84" t="str">
        <f>IF(ISNUMBER(outYear),BVK37+BVK42+#REF!+#REF!,"")</f>
        <v/>
      </c>
      <c r="BVL48" s="84" t="str">
        <f>IF(ISNUMBER(outYear),BVL37+BVL42+#REF!+#REF!,"")</f>
        <v/>
      </c>
      <c r="BVM48" s="84" t="str">
        <f>IF(ISNUMBER(outYear),BVM37+BVM42+#REF!+#REF!,"")</f>
        <v/>
      </c>
      <c r="BVN48" s="84" t="str">
        <f>IF(ISNUMBER(outYear),BVN37+BVN42+#REF!+#REF!,"")</f>
        <v/>
      </c>
      <c r="BVO48" s="84" t="str">
        <f>IF(ISNUMBER(outYear),BVO37+BVO42+#REF!+#REF!,"")</f>
        <v/>
      </c>
      <c r="BVP48" s="84" t="str">
        <f>IF(ISNUMBER(outYear),BVP37+BVP42+#REF!+#REF!,"")</f>
        <v/>
      </c>
      <c r="BVQ48" s="84" t="str">
        <f>IF(ISNUMBER(outYear),BVQ37+BVQ42+#REF!+#REF!,"")</f>
        <v/>
      </c>
      <c r="BVR48" s="84" t="str">
        <f>IF(ISNUMBER(outYear),BVR37+BVR42+#REF!+#REF!,"")</f>
        <v/>
      </c>
      <c r="BVS48" s="84" t="str">
        <f>IF(ISNUMBER(outYear),BVS37+BVS42+#REF!+#REF!,"")</f>
        <v/>
      </c>
      <c r="BVT48" s="84" t="str">
        <f>IF(ISNUMBER(outYear),BVT37+BVT42+#REF!+#REF!,"")</f>
        <v/>
      </c>
      <c r="BVU48" s="84" t="str">
        <f>IF(ISNUMBER(outYear),BVU37+BVU42+#REF!+#REF!,"")</f>
        <v/>
      </c>
      <c r="BVV48" s="84" t="str">
        <f>IF(ISNUMBER(outYear),BVV37+BVV42+#REF!+#REF!,"")</f>
        <v/>
      </c>
      <c r="BVW48" s="84" t="str">
        <f>IF(ISNUMBER(outYear),BVW37+BVW42+#REF!+#REF!,"")</f>
        <v/>
      </c>
      <c r="BVX48" s="84" t="str">
        <f>IF(ISNUMBER(outYear),BVX37+BVX42+#REF!+#REF!,"")</f>
        <v/>
      </c>
      <c r="BVY48" s="84" t="str">
        <f>IF(ISNUMBER(outYear),BVY37+BVY42+#REF!+#REF!,"")</f>
        <v/>
      </c>
      <c r="BVZ48" s="84" t="str">
        <f>IF(ISNUMBER(outYear),BVZ37+BVZ42+#REF!+#REF!,"")</f>
        <v/>
      </c>
      <c r="BWA48" s="84" t="str">
        <f>IF(ISNUMBER(outYear),BWA37+BWA42+#REF!+#REF!,"")</f>
        <v/>
      </c>
      <c r="BWB48" s="84" t="str">
        <f>IF(ISNUMBER(outYear),BWB37+BWB42+#REF!+#REF!,"")</f>
        <v/>
      </c>
      <c r="BWC48" s="84" t="str">
        <f>IF(ISNUMBER(outYear),BWC37+BWC42+#REF!+#REF!,"")</f>
        <v/>
      </c>
      <c r="BWD48" s="84" t="str">
        <f>IF(ISNUMBER(outYear),BWD37+BWD42+#REF!+#REF!,"")</f>
        <v/>
      </c>
      <c r="BWE48" s="84" t="str">
        <f>IF(ISNUMBER(outYear),BWE37+BWE42+#REF!+#REF!,"")</f>
        <v/>
      </c>
      <c r="BWF48" s="84" t="str">
        <f>IF(ISNUMBER(outYear),BWF37+BWF42+#REF!+#REF!,"")</f>
        <v/>
      </c>
      <c r="BWG48" s="84" t="str">
        <f>IF(ISNUMBER(outYear),BWG37+BWG42+#REF!+#REF!,"")</f>
        <v/>
      </c>
      <c r="BWH48" s="84" t="str">
        <f>IF(ISNUMBER(outYear),BWH37+BWH42+#REF!+#REF!,"")</f>
        <v/>
      </c>
      <c r="BWI48" s="84" t="str">
        <f>IF(ISNUMBER(outYear),BWI37+BWI42+#REF!+#REF!,"")</f>
        <v/>
      </c>
      <c r="BWJ48" s="84" t="str">
        <f>IF(ISNUMBER(outYear),BWJ37+BWJ42+#REF!+#REF!,"")</f>
        <v/>
      </c>
      <c r="BWK48" s="84" t="str">
        <f>IF(ISNUMBER(outYear),BWK37+BWK42+#REF!+#REF!,"")</f>
        <v/>
      </c>
      <c r="BWL48" s="84" t="str">
        <f>IF(ISNUMBER(outYear),BWL37+BWL42+#REF!+#REF!,"")</f>
        <v/>
      </c>
      <c r="BWM48" s="84" t="str">
        <f>IF(ISNUMBER(outYear),BWM37+BWM42+#REF!+#REF!,"")</f>
        <v/>
      </c>
      <c r="BWN48" s="84" t="str">
        <f>IF(ISNUMBER(outYear),BWN37+BWN42+#REF!+#REF!,"")</f>
        <v/>
      </c>
      <c r="BWO48" s="84" t="str">
        <f>IF(ISNUMBER(outYear),BWO37+BWO42+#REF!+#REF!,"")</f>
        <v/>
      </c>
      <c r="BWP48" s="84" t="str">
        <f>IF(ISNUMBER(outYear),BWP37+BWP42+#REF!+#REF!,"")</f>
        <v/>
      </c>
      <c r="BWQ48" s="84" t="str">
        <f>IF(ISNUMBER(outYear),BWQ37+BWQ42+#REF!+#REF!,"")</f>
        <v/>
      </c>
      <c r="BWR48" s="84" t="str">
        <f>IF(ISNUMBER(outYear),BWR37+BWR42+#REF!+#REF!,"")</f>
        <v/>
      </c>
      <c r="BWS48" s="84" t="str">
        <f>IF(ISNUMBER(outYear),BWS37+BWS42+#REF!+#REF!,"")</f>
        <v/>
      </c>
      <c r="BWT48" s="84" t="str">
        <f>IF(ISNUMBER(outYear),BWT37+BWT42+#REF!+#REF!,"")</f>
        <v/>
      </c>
      <c r="BWU48" s="84" t="str">
        <f>IF(ISNUMBER(outYear),BWU37+BWU42+#REF!+#REF!,"")</f>
        <v/>
      </c>
      <c r="BWV48" s="84" t="str">
        <f>IF(ISNUMBER(outYear),BWV37+BWV42+#REF!+#REF!,"")</f>
        <v/>
      </c>
      <c r="BWW48" s="84" t="str">
        <f>IF(ISNUMBER(outYear),BWW37+BWW42+#REF!+#REF!,"")</f>
        <v/>
      </c>
      <c r="BWX48" s="84" t="str">
        <f>IF(ISNUMBER(outYear),BWX37+BWX42+#REF!+#REF!,"")</f>
        <v/>
      </c>
      <c r="BWY48" s="84" t="str">
        <f>IF(ISNUMBER(outYear),BWY37+BWY42+#REF!+#REF!,"")</f>
        <v/>
      </c>
      <c r="BWZ48" s="84" t="str">
        <f>IF(ISNUMBER(outYear),BWZ37+BWZ42+#REF!+#REF!,"")</f>
        <v/>
      </c>
      <c r="BXA48" s="84" t="str">
        <f>IF(ISNUMBER(outYear),BXA37+BXA42+#REF!+#REF!,"")</f>
        <v/>
      </c>
      <c r="BXB48" s="84" t="str">
        <f>IF(ISNUMBER(outYear),BXB37+BXB42+#REF!+#REF!,"")</f>
        <v/>
      </c>
      <c r="BXC48" s="84" t="str">
        <f>IF(ISNUMBER(outYear),BXC37+BXC42+#REF!+#REF!,"")</f>
        <v/>
      </c>
      <c r="BXD48" s="84" t="str">
        <f>IF(ISNUMBER(outYear),BXD37+BXD42+#REF!+#REF!,"")</f>
        <v/>
      </c>
      <c r="BXE48" s="84" t="str">
        <f>IF(ISNUMBER(outYear),BXE37+BXE42+#REF!+#REF!,"")</f>
        <v/>
      </c>
      <c r="BXF48" s="84" t="str">
        <f>IF(ISNUMBER(outYear),BXF37+BXF42+#REF!+#REF!,"")</f>
        <v/>
      </c>
      <c r="BXG48" s="84" t="str">
        <f>IF(ISNUMBER(outYear),BXG37+BXG42+#REF!+#REF!,"")</f>
        <v/>
      </c>
      <c r="BXH48" s="84" t="str">
        <f>IF(ISNUMBER(outYear),BXH37+BXH42+#REF!+#REF!,"")</f>
        <v/>
      </c>
      <c r="BXI48" s="84" t="str">
        <f>IF(ISNUMBER(outYear),BXI37+BXI42+#REF!+#REF!,"")</f>
        <v/>
      </c>
      <c r="BXJ48" s="84" t="str">
        <f>IF(ISNUMBER(outYear),BXJ37+BXJ42+#REF!+#REF!,"")</f>
        <v/>
      </c>
      <c r="BXK48" s="84" t="str">
        <f>IF(ISNUMBER(outYear),BXK37+BXK42+#REF!+#REF!,"")</f>
        <v/>
      </c>
      <c r="BXL48" s="84" t="str">
        <f>IF(ISNUMBER(outYear),BXL37+BXL42+#REF!+#REF!,"")</f>
        <v/>
      </c>
      <c r="BXM48" s="84" t="str">
        <f>IF(ISNUMBER(outYear),BXM37+BXM42+#REF!+#REF!,"")</f>
        <v/>
      </c>
      <c r="BXN48" s="84" t="str">
        <f>IF(ISNUMBER(outYear),BXN37+BXN42+#REF!+#REF!,"")</f>
        <v/>
      </c>
      <c r="BXO48" s="84" t="str">
        <f>IF(ISNUMBER(outYear),BXO37+BXO42+#REF!+#REF!,"")</f>
        <v/>
      </c>
      <c r="BXP48" s="84" t="str">
        <f>IF(ISNUMBER(outYear),BXP37+BXP42+#REF!+#REF!,"")</f>
        <v/>
      </c>
      <c r="BXQ48" s="84" t="str">
        <f>IF(ISNUMBER(outYear),BXQ37+BXQ42+#REF!+#REF!,"")</f>
        <v/>
      </c>
      <c r="BXR48" s="84" t="str">
        <f>IF(ISNUMBER(outYear),BXR37+BXR42+#REF!+#REF!,"")</f>
        <v/>
      </c>
      <c r="BXS48" s="84" t="str">
        <f>IF(ISNUMBER(outYear),BXS37+BXS42+#REF!+#REF!,"")</f>
        <v/>
      </c>
      <c r="BXT48" s="84" t="str">
        <f>IF(ISNUMBER(outYear),BXT37+BXT42+#REF!+#REF!,"")</f>
        <v/>
      </c>
      <c r="BXU48" s="84" t="str">
        <f>IF(ISNUMBER(outYear),BXU37+BXU42+#REF!+#REF!,"")</f>
        <v/>
      </c>
      <c r="BXV48" s="84" t="str">
        <f>IF(ISNUMBER(outYear),BXV37+BXV42+#REF!+#REF!,"")</f>
        <v/>
      </c>
      <c r="BXW48" s="84" t="str">
        <f>IF(ISNUMBER(outYear),BXW37+BXW42+#REF!+#REF!,"")</f>
        <v/>
      </c>
      <c r="BXX48" s="84" t="str">
        <f>IF(ISNUMBER(outYear),BXX37+BXX42+#REF!+#REF!,"")</f>
        <v/>
      </c>
      <c r="BXY48" s="84" t="str">
        <f>IF(ISNUMBER(outYear),BXY37+BXY42+#REF!+#REF!,"")</f>
        <v/>
      </c>
      <c r="BXZ48" s="84" t="str">
        <f>IF(ISNUMBER(outYear),BXZ37+BXZ42+#REF!+#REF!,"")</f>
        <v/>
      </c>
      <c r="BYA48" s="84" t="str">
        <f>IF(ISNUMBER(outYear),BYA37+BYA42+#REF!+#REF!,"")</f>
        <v/>
      </c>
      <c r="BYB48" s="84" t="str">
        <f>IF(ISNUMBER(outYear),BYB37+BYB42+#REF!+#REF!,"")</f>
        <v/>
      </c>
      <c r="BYC48" s="84" t="str">
        <f>IF(ISNUMBER(outYear),BYC37+BYC42+#REF!+#REF!,"")</f>
        <v/>
      </c>
      <c r="BYD48" s="84" t="str">
        <f>IF(ISNUMBER(outYear),BYD37+BYD42+#REF!+#REF!,"")</f>
        <v/>
      </c>
      <c r="BYE48" s="84" t="str">
        <f>IF(ISNUMBER(outYear),BYE37+BYE42+#REF!+#REF!,"")</f>
        <v/>
      </c>
      <c r="BYF48" s="84" t="str">
        <f>IF(ISNUMBER(outYear),BYF37+BYF42+#REF!+#REF!,"")</f>
        <v/>
      </c>
      <c r="BYG48" s="84" t="str">
        <f>IF(ISNUMBER(outYear),BYG37+BYG42+#REF!+#REF!,"")</f>
        <v/>
      </c>
      <c r="BYH48" s="84" t="str">
        <f>IF(ISNUMBER(outYear),BYH37+BYH42+#REF!+#REF!,"")</f>
        <v/>
      </c>
      <c r="BYI48" s="84" t="str">
        <f>IF(ISNUMBER(outYear),BYI37+BYI42+#REF!+#REF!,"")</f>
        <v/>
      </c>
      <c r="BYJ48" s="84" t="str">
        <f>IF(ISNUMBER(outYear),BYJ37+BYJ42+#REF!+#REF!,"")</f>
        <v/>
      </c>
      <c r="BYK48" s="84" t="str">
        <f>IF(ISNUMBER(outYear),BYK37+BYK42+#REF!+#REF!,"")</f>
        <v/>
      </c>
      <c r="BYL48" s="84" t="str">
        <f>IF(ISNUMBER(outYear),BYL37+BYL42+#REF!+#REF!,"")</f>
        <v/>
      </c>
      <c r="BYM48" s="84" t="str">
        <f>IF(ISNUMBER(outYear),BYM37+BYM42+#REF!+#REF!,"")</f>
        <v/>
      </c>
      <c r="BYN48" s="84" t="str">
        <f>IF(ISNUMBER(outYear),BYN37+BYN42+#REF!+#REF!,"")</f>
        <v/>
      </c>
      <c r="BYO48" s="84" t="str">
        <f>IF(ISNUMBER(outYear),BYO37+BYO42+#REF!+#REF!,"")</f>
        <v/>
      </c>
      <c r="BYP48" s="84" t="str">
        <f>IF(ISNUMBER(outYear),BYP37+BYP42+#REF!+#REF!,"")</f>
        <v/>
      </c>
      <c r="BYQ48" s="84" t="str">
        <f>IF(ISNUMBER(outYear),BYQ37+BYQ42+#REF!+#REF!,"")</f>
        <v/>
      </c>
      <c r="BYR48" s="84" t="str">
        <f>IF(ISNUMBER(outYear),BYR37+BYR42+#REF!+#REF!,"")</f>
        <v/>
      </c>
      <c r="BYS48" s="84" t="str">
        <f>IF(ISNUMBER(outYear),BYS37+BYS42+#REF!+#REF!,"")</f>
        <v/>
      </c>
      <c r="BYT48" s="84" t="str">
        <f>IF(ISNUMBER(outYear),BYT37+BYT42+#REF!+#REF!,"")</f>
        <v/>
      </c>
      <c r="BYU48" s="84" t="str">
        <f>IF(ISNUMBER(outYear),BYU37+BYU42+#REF!+#REF!,"")</f>
        <v/>
      </c>
      <c r="BYV48" s="84" t="str">
        <f>IF(ISNUMBER(outYear),BYV37+BYV42+#REF!+#REF!,"")</f>
        <v/>
      </c>
      <c r="BYW48" s="84" t="str">
        <f>IF(ISNUMBER(outYear),BYW37+BYW42+#REF!+#REF!,"")</f>
        <v/>
      </c>
      <c r="BYX48" s="84" t="str">
        <f>IF(ISNUMBER(outYear),BYX37+BYX42+#REF!+#REF!,"")</f>
        <v/>
      </c>
      <c r="BYY48" s="84" t="str">
        <f>IF(ISNUMBER(outYear),BYY37+BYY42+#REF!+#REF!,"")</f>
        <v/>
      </c>
      <c r="BYZ48" s="84" t="str">
        <f>IF(ISNUMBER(outYear),BYZ37+BYZ42+#REF!+#REF!,"")</f>
        <v/>
      </c>
      <c r="BZA48" s="84" t="str">
        <f>IF(ISNUMBER(outYear),BZA37+BZA42+#REF!+#REF!,"")</f>
        <v/>
      </c>
      <c r="BZB48" s="84" t="str">
        <f>IF(ISNUMBER(outYear),BZB37+BZB42+#REF!+#REF!,"")</f>
        <v/>
      </c>
      <c r="BZC48" s="84" t="str">
        <f>IF(ISNUMBER(outYear),BZC37+BZC42+#REF!+#REF!,"")</f>
        <v/>
      </c>
      <c r="BZD48" s="84" t="str">
        <f>IF(ISNUMBER(outYear),BZD37+BZD42+#REF!+#REF!,"")</f>
        <v/>
      </c>
      <c r="BZE48" s="84" t="str">
        <f>IF(ISNUMBER(outYear),BZE37+BZE42+#REF!+#REF!,"")</f>
        <v/>
      </c>
      <c r="BZF48" s="84" t="str">
        <f>IF(ISNUMBER(outYear),BZF37+BZF42+#REF!+#REF!,"")</f>
        <v/>
      </c>
      <c r="BZG48" s="84" t="str">
        <f>IF(ISNUMBER(outYear),BZG37+BZG42+#REF!+#REF!,"")</f>
        <v/>
      </c>
      <c r="BZH48" s="84" t="str">
        <f>IF(ISNUMBER(outYear),BZH37+BZH42+#REF!+#REF!,"")</f>
        <v/>
      </c>
      <c r="BZI48" s="84" t="str">
        <f>IF(ISNUMBER(outYear),BZI37+BZI42+#REF!+#REF!,"")</f>
        <v/>
      </c>
      <c r="BZJ48" s="84" t="str">
        <f>IF(ISNUMBER(outYear),BZJ37+BZJ42+#REF!+#REF!,"")</f>
        <v/>
      </c>
      <c r="BZK48" s="84" t="str">
        <f>IF(ISNUMBER(outYear),BZK37+BZK42+#REF!+#REF!,"")</f>
        <v/>
      </c>
      <c r="BZL48" s="84" t="str">
        <f>IF(ISNUMBER(outYear),BZL37+BZL42+#REF!+#REF!,"")</f>
        <v/>
      </c>
      <c r="BZM48" s="84" t="str">
        <f>IF(ISNUMBER(outYear),BZM37+BZM42+#REF!+#REF!,"")</f>
        <v/>
      </c>
      <c r="BZN48" s="84" t="str">
        <f>IF(ISNUMBER(outYear),BZN37+BZN42+#REF!+#REF!,"")</f>
        <v/>
      </c>
      <c r="BZO48" s="84" t="str">
        <f>IF(ISNUMBER(outYear),BZO37+BZO42+#REF!+#REF!,"")</f>
        <v/>
      </c>
      <c r="BZP48" s="84" t="str">
        <f>IF(ISNUMBER(outYear),BZP37+BZP42+#REF!+#REF!,"")</f>
        <v/>
      </c>
      <c r="BZQ48" s="84" t="str">
        <f>IF(ISNUMBER(outYear),BZQ37+BZQ42+#REF!+#REF!,"")</f>
        <v/>
      </c>
      <c r="BZR48" s="84" t="str">
        <f>IF(ISNUMBER(outYear),BZR37+BZR42+#REF!+#REF!,"")</f>
        <v/>
      </c>
      <c r="BZS48" s="84" t="str">
        <f>IF(ISNUMBER(outYear),BZS37+BZS42+#REF!+#REF!,"")</f>
        <v/>
      </c>
      <c r="BZT48" s="84" t="str">
        <f>IF(ISNUMBER(outYear),BZT37+BZT42+#REF!+#REF!,"")</f>
        <v/>
      </c>
      <c r="BZU48" s="84" t="str">
        <f>IF(ISNUMBER(outYear),BZU37+BZU42+#REF!+#REF!,"")</f>
        <v/>
      </c>
      <c r="BZV48" s="84" t="str">
        <f>IF(ISNUMBER(outYear),BZV37+BZV42+#REF!+#REF!,"")</f>
        <v/>
      </c>
      <c r="BZW48" s="84" t="str">
        <f>IF(ISNUMBER(outYear),BZW37+BZW42+#REF!+#REF!,"")</f>
        <v/>
      </c>
      <c r="BZX48" s="84" t="str">
        <f>IF(ISNUMBER(outYear),BZX37+BZX42+#REF!+#REF!,"")</f>
        <v/>
      </c>
      <c r="BZY48" s="84" t="str">
        <f>IF(ISNUMBER(outYear),BZY37+BZY42+#REF!+#REF!,"")</f>
        <v/>
      </c>
      <c r="BZZ48" s="84" t="str">
        <f>IF(ISNUMBER(outYear),BZZ37+BZZ42+#REF!+#REF!,"")</f>
        <v/>
      </c>
      <c r="CAA48" s="84" t="str">
        <f>IF(ISNUMBER(outYear),CAA37+CAA42+#REF!+#REF!,"")</f>
        <v/>
      </c>
      <c r="CAB48" s="84" t="str">
        <f>IF(ISNUMBER(outYear),CAB37+CAB42+#REF!+#REF!,"")</f>
        <v/>
      </c>
      <c r="CAC48" s="84" t="str">
        <f>IF(ISNUMBER(outYear),CAC37+CAC42+#REF!+#REF!,"")</f>
        <v/>
      </c>
      <c r="CAD48" s="84" t="str">
        <f>IF(ISNUMBER(outYear),CAD37+CAD42+#REF!+#REF!,"")</f>
        <v/>
      </c>
      <c r="CAE48" s="84" t="str">
        <f>IF(ISNUMBER(outYear),CAE37+CAE42+#REF!+#REF!,"")</f>
        <v/>
      </c>
      <c r="CAF48" s="84" t="str">
        <f>IF(ISNUMBER(outYear),CAF37+CAF42+#REF!+#REF!,"")</f>
        <v/>
      </c>
      <c r="CAG48" s="84" t="str">
        <f>IF(ISNUMBER(outYear),CAG37+CAG42+#REF!+#REF!,"")</f>
        <v/>
      </c>
      <c r="CAH48" s="84" t="str">
        <f>IF(ISNUMBER(outYear),CAH37+CAH42+#REF!+#REF!,"")</f>
        <v/>
      </c>
      <c r="CAI48" s="84" t="str">
        <f>IF(ISNUMBER(outYear),CAI37+CAI42+#REF!+#REF!,"")</f>
        <v/>
      </c>
      <c r="CAJ48" s="84" t="str">
        <f>IF(ISNUMBER(outYear),CAJ37+CAJ42+#REF!+#REF!,"")</f>
        <v/>
      </c>
      <c r="CAK48" s="84" t="str">
        <f>IF(ISNUMBER(outYear),CAK37+CAK42+#REF!+#REF!,"")</f>
        <v/>
      </c>
      <c r="CAL48" s="84" t="str">
        <f>IF(ISNUMBER(outYear),CAL37+CAL42+#REF!+#REF!,"")</f>
        <v/>
      </c>
      <c r="CAM48" s="84" t="str">
        <f>IF(ISNUMBER(outYear),CAM37+CAM42+#REF!+#REF!,"")</f>
        <v/>
      </c>
      <c r="CAN48" s="84" t="str">
        <f>IF(ISNUMBER(outYear),CAN37+CAN42+#REF!+#REF!,"")</f>
        <v/>
      </c>
      <c r="CAO48" s="84" t="str">
        <f>IF(ISNUMBER(outYear),CAO37+CAO42+#REF!+#REF!,"")</f>
        <v/>
      </c>
      <c r="CAP48" s="84" t="str">
        <f>IF(ISNUMBER(outYear),CAP37+CAP42+#REF!+#REF!,"")</f>
        <v/>
      </c>
      <c r="CAQ48" s="84" t="str">
        <f>IF(ISNUMBER(outYear),CAQ37+CAQ42+#REF!+#REF!,"")</f>
        <v/>
      </c>
      <c r="CAR48" s="84" t="str">
        <f>IF(ISNUMBER(outYear),CAR37+CAR42+#REF!+#REF!,"")</f>
        <v/>
      </c>
      <c r="CAS48" s="84" t="str">
        <f>IF(ISNUMBER(outYear),CAS37+CAS42+#REF!+#REF!,"")</f>
        <v/>
      </c>
      <c r="CAT48" s="84" t="str">
        <f>IF(ISNUMBER(outYear),CAT37+CAT42+#REF!+#REF!,"")</f>
        <v/>
      </c>
      <c r="CAU48" s="84" t="str">
        <f>IF(ISNUMBER(outYear),CAU37+CAU42+#REF!+#REF!,"")</f>
        <v/>
      </c>
      <c r="CAV48" s="84" t="str">
        <f>IF(ISNUMBER(outYear),CAV37+CAV42+#REF!+#REF!,"")</f>
        <v/>
      </c>
      <c r="CAW48" s="84" t="str">
        <f>IF(ISNUMBER(outYear),CAW37+CAW42+#REF!+#REF!,"")</f>
        <v/>
      </c>
      <c r="CAX48" s="84" t="str">
        <f>IF(ISNUMBER(outYear),CAX37+CAX42+#REF!+#REF!,"")</f>
        <v/>
      </c>
      <c r="CAY48" s="84" t="str">
        <f>IF(ISNUMBER(outYear),CAY37+CAY42+#REF!+#REF!,"")</f>
        <v/>
      </c>
      <c r="CAZ48" s="84" t="str">
        <f>IF(ISNUMBER(outYear),CAZ37+CAZ42+#REF!+#REF!,"")</f>
        <v/>
      </c>
      <c r="CBA48" s="84" t="str">
        <f>IF(ISNUMBER(outYear),CBA37+CBA42+#REF!+#REF!,"")</f>
        <v/>
      </c>
      <c r="CBB48" s="84" t="str">
        <f>IF(ISNUMBER(outYear),CBB37+CBB42+#REF!+#REF!,"")</f>
        <v/>
      </c>
      <c r="CBC48" s="84" t="str">
        <f>IF(ISNUMBER(outYear),CBC37+CBC42+#REF!+#REF!,"")</f>
        <v/>
      </c>
      <c r="CBD48" s="84" t="str">
        <f>IF(ISNUMBER(outYear),CBD37+CBD42+#REF!+#REF!,"")</f>
        <v/>
      </c>
      <c r="CBE48" s="84" t="str">
        <f>IF(ISNUMBER(outYear),CBE37+CBE42+#REF!+#REF!,"")</f>
        <v/>
      </c>
      <c r="CBF48" s="84" t="str">
        <f>IF(ISNUMBER(outYear),CBF37+CBF42+#REF!+#REF!,"")</f>
        <v/>
      </c>
      <c r="CBG48" s="84" t="str">
        <f>IF(ISNUMBER(outYear),CBG37+CBG42+#REF!+#REF!,"")</f>
        <v/>
      </c>
      <c r="CBH48" s="84" t="str">
        <f>IF(ISNUMBER(outYear),CBH37+CBH42+#REF!+#REF!,"")</f>
        <v/>
      </c>
      <c r="CBI48" s="84" t="str">
        <f>IF(ISNUMBER(outYear),CBI37+CBI42+#REF!+#REF!,"")</f>
        <v/>
      </c>
      <c r="CBJ48" s="84" t="str">
        <f>IF(ISNUMBER(outYear),CBJ37+CBJ42+#REF!+#REF!,"")</f>
        <v/>
      </c>
      <c r="CBK48" s="84" t="str">
        <f>IF(ISNUMBER(outYear),CBK37+CBK42+#REF!+#REF!,"")</f>
        <v/>
      </c>
      <c r="CBL48" s="84" t="str">
        <f>IF(ISNUMBER(outYear),CBL37+CBL42+#REF!+#REF!,"")</f>
        <v/>
      </c>
      <c r="CBM48" s="84" t="str">
        <f>IF(ISNUMBER(outYear),CBM37+CBM42+#REF!+#REF!,"")</f>
        <v/>
      </c>
      <c r="CBN48" s="84" t="str">
        <f>IF(ISNUMBER(outYear),CBN37+CBN42+#REF!+#REF!,"")</f>
        <v/>
      </c>
      <c r="CBO48" s="84" t="str">
        <f>IF(ISNUMBER(outYear),CBO37+CBO42+#REF!+#REF!,"")</f>
        <v/>
      </c>
      <c r="CBP48" s="84" t="str">
        <f>IF(ISNUMBER(outYear),CBP37+CBP42+#REF!+#REF!,"")</f>
        <v/>
      </c>
      <c r="CBQ48" s="84" t="str">
        <f>IF(ISNUMBER(outYear),CBQ37+CBQ42+#REF!+#REF!,"")</f>
        <v/>
      </c>
      <c r="CBR48" s="84" t="str">
        <f>IF(ISNUMBER(outYear),CBR37+CBR42+#REF!+#REF!,"")</f>
        <v/>
      </c>
      <c r="CBS48" s="84" t="str">
        <f>IF(ISNUMBER(outYear),CBS37+CBS42+#REF!+#REF!,"")</f>
        <v/>
      </c>
      <c r="CBT48" s="84" t="str">
        <f>IF(ISNUMBER(outYear),CBT37+CBT42+#REF!+#REF!,"")</f>
        <v/>
      </c>
      <c r="CBU48" s="84" t="str">
        <f>IF(ISNUMBER(outYear),CBU37+CBU42+#REF!+#REF!,"")</f>
        <v/>
      </c>
      <c r="CBV48" s="84" t="str">
        <f>IF(ISNUMBER(outYear),CBV37+CBV42+#REF!+#REF!,"")</f>
        <v/>
      </c>
      <c r="CBW48" s="84" t="str">
        <f>IF(ISNUMBER(outYear),CBW37+CBW42+#REF!+#REF!,"")</f>
        <v/>
      </c>
      <c r="CBX48" s="84" t="str">
        <f>IF(ISNUMBER(outYear),CBX37+CBX42+#REF!+#REF!,"")</f>
        <v/>
      </c>
      <c r="CBY48" s="84" t="str">
        <f>IF(ISNUMBER(outYear),CBY37+CBY42+#REF!+#REF!,"")</f>
        <v/>
      </c>
      <c r="CBZ48" s="84" t="str">
        <f>IF(ISNUMBER(outYear),CBZ37+CBZ42+#REF!+#REF!,"")</f>
        <v/>
      </c>
      <c r="CCA48" s="84" t="str">
        <f>IF(ISNUMBER(outYear),CCA37+CCA42+#REF!+#REF!,"")</f>
        <v/>
      </c>
      <c r="CCB48" s="84" t="str">
        <f>IF(ISNUMBER(outYear),CCB37+CCB42+#REF!+#REF!,"")</f>
        <v/>
      </c>
      <c r="CCC48" s="84" t="str">
        <f>IF(ISNUMBER(outYear),CCC37+CCC42+#REF!+#REF!,"")</f>
        <v/>
      </c>
      <c r="CCD48" s="84" t="str">
        <f>IF(ISNUMBER(outYear),CCD37+CCD42+#REF!+#REF!,"")</f>
        <v/>
      </c>
      <c r="CCE48" s="84" t="str">
        <f>IF(ISNUMBER(outYear),CCE37+CCE42+#REF!+#REF!,"")</f>
        <v/>
      </c>
      <c r="CCF48" s="84" t="str">
        <f>IF(ISNUMBER(outYear),CCF37+CCF42+#REF!+#REF!,"")</f>
        <v/>
      </c>
      <c r="CCG48" s="84" t="str">
        <f>IF(ISNUMBER(outYear),CCG37+CCG42+#REF!+#REF!,"")</f>
        <v/>
      </c>
      <c r="CCH48" s="84" t="str">
        <f>IF(ISNUMBER(outYear),CCH37+CCH42+#REF!+#REF!,"")</f>
        <v/>
      </c>
      <c r="CCI48" s="84" t="str">
        <f>IF(ISNUMBER(outYear),CCI37+CCI42+#REF!+#REF!,"")</f>
        <v/>
      </c>
      <c r="CCJ48" s="84" t="str">
        <f>IF(ISNUMBER(outYear),CCJ37+CCJ42+#REF!+#REF!,"")</f>
        <v/>
      </c>
      <c r="CCK48" s="84" t="str">
        <f>IF(ISNUMBER(outYear),CCK37+CCK42+#REF!+#REF!,"")</f>
        <v/>
      </c>
      <c r="CCL48" s="84" t="str">
        <f>IF(ISNUMBER(outYear),CCL37+CCL42+#REF!+#REF!,"")</f>
        <v/>
      </c>
      <c r="CCM48" s="84" t="str">
        <f>IF(ISNUMBER(outYear),CCM37+CCM42+#REF!+#REF!,"")</f>
        <v/>
      </c>
      <c r="CCN48" s="84" t="str">
        <f>IF(ISNUMBER(outYear),CCN37+CCN42+#REF!+#REF!,"")</f>
        <v/>
      </c>
      <c r="CCO48" s="84" t="str">
        <f>IF(ISNUMBER(outYear),CCO37+CCO42+#REF!+#REF!,"")</f>
        <v/>
      </c>
      <c r="CCP48" s="84" t="str">
        <f>IF(ISNUMBER(outYear),CCP37+CCP42+#REF!+#REF!,"")</f>
        <v/>
      </c>
      <c r="CCQ48" s="84" t="str">
        <f>IF(ISNUMBER(outYear),CCQ37+CCQ42+#REF!+#REF!,"")</f>
        <v/>
      </c>
      <c r="CCR48" s="84" t="str">
        <f>IF(ISNUMBER(outYear),CCR37+CCR42+#REF!+#REF!,"")</f>
        <v/>
      </c>
      <c r="CCS48" s="84" t="str">
        <f>IF(ISNUMBER(outYear),CCS37+CCS42+#REF!+#REF!,"")</f>
        <v/>
      </c>
      <c r="CCT48" s="84" t="str">
        <f>IF(ISNUMBER(outYear),CCT37+CCT42+#REF!+#REF!,"")</f>
        <v/>
      </c>
      <c r="CCU48" s="84" t="str">
        <f>IF(ISNUMBER(outYear),CCU37+CCU42+#REF!+#REF!,"")</f>
        <v/>
      </c>
      <c r="CCV48" s="84" t="str">
        <f>IF(ISNUMBER(outYear),CCV37+CCV42+#REF!+#REF!,"")</f>
        <v/>
      </c>
      <c r="CCW48" s="84" t="str">
        <f>IF(ISNUMBER(outYear),CCW37+CCW42+#REF!+#REF!,"")</f>
        <v/>
      </c>
      <c r="CCX48" s="84" t="str">
        <f>IF(ISNUMBER(outYear),CCX37+CCX42+#REF!+#REF!,"")</f>
        <v/>
      </c>
      <c r="CCY48" s="84" t="str">
        <f>IF(ISNUMBER(outYear),CCY37+CCY42+#REF!+#REF!,"")</f>
        <v/>
      </c>
      <c r="CCZ48" s="84" t="str">
        <f>IF(ISNUMBER(outYear),CCZ37+CCZ42+#REF!+#REF!,"")</f>
        <v/>
      </c>
      <c r="CDA48" s="84" t="str">
        <f>IF(ISNUMBER(outYear),CDA37+CDA42+#REF!+#REF!,"")</f>
        <v/>
      </c>
      <c r="CDB48" s="84" t="str">
        <f>IF(ISNUMBER(outYear),CDB37+CDB42+#REF!+#REF!,"")</f>
        <v/>
      </c>
      <c r="CDC48" s="84" t="str">
        <f>IF(ISNUMBER(outYear),CDC37+CDC42+#REF!+#REF!,"")</f>
        <v/>
      </c>
      <c r="CDD48" s="84" t="str">
        <f>IF(ISNUMBER(outYear),CDD37+CDD42+#REF!+#REF!,"")</f>
        <v/>
      </c>
      <c r="CDE48" s="84" t="str">
        <f>IF(ISNUMBER(outYear),CDE37+CDE42+#REF!+#REF!,"")</f>
        <v/>
      </c>
      <c r="CDF48" s="84" t="str">
        <f>IF(ISNUMBER(outYear),CDF37+CDF42+#REF!+#REF!,"")</f>
        <v/>
      </c>
      <c r="CDG48" s="84" t="str">
        <f>IF(ISNUMBER(outYear),CDG37+CDG42+#REF!+#REF!,"")</f>
        <v/>
      </c>
      <c r="CDH48" s="84" t="str">
        <f>IF(ISNUMBER(outYear),CDH37+CDH42+#REF!+#REF!,"")</f>
        <v/>
      </c>
      <c r="CDI48" s="84" t="str">
        <f>IF(ISNUMBER(outYear),CDI37+CDI42+#REF!+#REF!,"")</f>
        <v/>
      </c>
      <c r="CDJ48" s="84" t="str">
        <f>IF(ISNUMBER(outYear),CDJ37+CDJ42+#REF!+#REF!,"")</f>
        <v/>
      </c>
      <c r="CDK48" s="84" t="str">
        <f>IF(ISNUMBER(outYear),CDK37+CDK42+#REF!+#REF!,"")</f>
        <v/>
      </c>
      <c r="CDL48" s="84" t="str">
        <f>IF(ISNUMBER(outYear),CDL37+CDL42+#REF!+#REF!,"")</f>
        <v/>
      </c>
      <c r="CDM48" s="84" t="str">
        <f>IF(ISNUMBER(outYear),CDM37+CDM42+#REF!+#REF!,"")</f>
        <v/>
      </c>
      <c r="CDN48" s="84" t="str">
        <f>IF(ISNUMBER(outYear),CDN37+CDN42+#REF!+#REF!,"")</f>
        <v/>
      </c>
      <c r="CDO48" s="84" t="str">
        <f>IF(ISNUMBER(outYear),CDO37+CDO42+#REF!+#REF!,"")</f>
        <v/>
      </c>
      <c r="CDP48" s="84" t="str">
        <f>IF(ISNUMBER(outYear),CDP37+CDP42+#REF!+#REF!,"")</f>
        <v/>
      </c>
      <c r="CDQ48" s="84" t="str">
        <f>IF(ISNUMBER(outYear),CDQ37+CDQ42+#REF!+#REF!,"")</f>
        <v/>
      </c>
      <c r="CDR48" s="84" t="str">
        <f>IF(ISNUMBER(outYear),CDR37+CDR42+#REF!+#REF!,"")</f>
        <v/>
      </c>
      <c r="CDS48" s="84" t="str">
        <f>IF(ISNUMBER(outYear),CDS37+CDS42+#REF!+#REF!,"")</f>
        <v/>
      </c>
      <c r="CDT48" s="84" t="str">
        <f>IF(ISNUMBER(outYear),CDT37+CDT42+#REF!+#REF!,"")</f>
        <v/>
      </c>
      <c r="CDU48" s="84" t="str">
        <f>IF(ISNUMBER(outYear),CDU37+CDU42+#REF!+#REF!,"")</f>
        <v/>
      </c>
      <c r="CDV48" s="84" t="str">
        <f>IF(ISNUMBER(outYear),CDV37+CDV42+#REF!+#REF!,"")</f>
        <v/>
      </c>
      <c r="CDW48" s="84" t="str">
        <f>IF(ISNUMBER(outYear),CDW37+CDW42+#REF!+#REF!,"")</f>
        <v/>
      </c>
      <c r="CDX48" s="84" t="str">
        <f>IF(ISNUMBER(outYear),CDX37+CDX42+#REF!+#REF!,"")</f>
        <v/>
      </c>
      <c r="CDY48" s="84" t="str">
        <f>IF(ISNUMBER(outYear),CDY37+CDY42+#REF!+#REF!,"")</f>
        <v/>
      </c>
      <c r="CDZ48" s="84" t="str">
        <f>IF(ISNUMBER(outYear),CDZ37+CDZ42+#REF!+#REF!,"")</f>
        <v/>
      </c>
      <c r="CEA48" s="84" t="str">
        <f>IF(ISNUMBER(outYear),CEA37+CEA42+#REF!+#REF!,"")</f>
        <v/>
      </c>
      <c r="CEB48" s="84" t="str">
        <f>IF(ISNUMBER(outYear),CEB37+CEB42+#REF!+#REF!,"")</f>
        <v/>
      </c>
      <c r="CEC48" s="84" t="str">
        <f>IF(ISNUMBER(outYear),CEC37+CEC42+#REF!+#REF!,"")</f>
        <v/>
      </c>
      <c r="CED48" s="84" t="str">
        <f>IF(ISNUMBER(outYear),CED37+CED42+#REF!+#REF!,"")</f>
        <v/>
      </c>
      <c r="CEE48" s="84" t="str">
        <f>IF(ISNUMBER(outYear),CEE37+CEE42+#REF!+#REF!,"")</f>
        <v/>
      </c>
      <c r="CEF48" s="84" t="str">
        <f>IF(ISNUMBER(outYear),CEF37+CEF42+#REF!+#REF!,"")</f>
        <v/>
      </c>
      <c r="CEG48" s="84" t="str">
        <f>IF(ISNUMBER(outYear),CEG37+CEG42+#REF!+#REF!,"")</f>
        <v/>
      </c>
      <c r="CEH48" s="84" t="str">
        <f>IF(ISNUMBER(outYear),CEH37+CEH42+#REF!+#REF!,"")</f>
        <v/>
      </c>
      <c r="CEI48" s="84" t="str">
        <f>IF(ISNUMBER(outYear),CEI37+CEI42+#REF!+#REF!,"")</f>
        <v/>
      </c>
      <c r="CEJ48" s="84" t="str">
        <f>IF(ISNUMBER(outYear),CEJ37+CEJ42+#REF!+#REF!,"")</f>
        <v/>
      </c>
      <c r="CEK48" s="84" t="str">
        <f>IF(ISNUMBER(outYear),CEK37+CEK42+#REF!+#REF!,"")</f>
        <v/>
      </c>
      <c r="CEL48" s="84" t="str">
        <f>IF(ISNUMBER(outYear),CEL37+CEL42+#REF!+#REF!,"")</f>
        <v/>
      </c>
      <c r="CEM48" s="84" t="str">
        <f>IF(ISNUMBER(outYear),CEM37+CEM42+#REF!+#REF!,"")</f>
        <v/>
      </c>
      <c r="CEN48" s="84" t="str">
        <f>IF(ISNUMBER(outYear),CEN37+CEN42+#REF!+#REF!,"")</f>
        <v/>
      </c>
      <c r="CEO48" s="84" t="str">
        <f>IF(ISNUMBER(outYear),CEO37+CEO42+#REF!+#REF!,"")</f>
        <v/>
      </c>
      <c r="CEP48" s="84" t="str">
        <f>IF(ISNUMBER(outYear),CEP37+CEP42+#REF!+#REF!,"")</f>
        <v/>
      </c>
      <c r="CEQ48" s="84" t="str">
        <f>IF(ISNUMBER(outYear),CEQ37+CEQ42+#REF!+#REF!,"")</f>
        <v/>
      </c>
      <c r="CER48" s="84" t="str">
        <f>IF(ISNUMBER(outYear),CER37+CER42+#REF!+#REF!,"")</f>
        <v/>
      </c>
      <c r="CES48" s="84" t="str">
        <f>IF(ISNUMBER(outYear),CES37+CES42+#REF!+#REF!,"")</f>
        <v/>
      </c>
      <c r="CET48" s="84" t="str">
        <f>IF(ISNUMBER(outYear),CET37+CET42+#REF!+#REF!,"")</f>
        <v/>
      </c>
      <c r="CEU48" s="84" t="str">
        <f>IF(ISNUMBER(outYear),CEU37+CEU42+#REF!+#REF!,"")</f>
        <v/>
      </c>
      <c r="CEV48" s="84" t="str">
        <f>IF(ISNUMBER(outYear),CEV37+CEV42+#REF!+#REF!,"")</f>
        <v/>
      </c>
      <c r="CEW48" s="84" t="str">
        <f>IF(ISNUMBER(outYear),CEW37+CEW42+#REF!+#REF!,"")</f>
        <v/>
      </c>
      <c r="CEX48" s="84" t="str">
        <f>IF(ISNUMBER(outYear),CEX37+CEX42+#REF!+#REF!,"")</f>
        <v/>
      </c>
      <c r="CEY48" s="84" t="str">
        <f>IF(ISNUMBER(outYear),CEY37+CEY42+#REF!+#REF!,"")</f>
        <v/>
      </c>
      <c r="CEZ48" s="84" t="str">
        <f>IF(ISNUMBER(outYear),CEZ37+CEZ42+#REF!+#REF!,"")</f>
        <v/>
      </c>
      <c r="CFA48" s="84" t="str">
        <f>IF(ISNUMBER(outYear),CFA37+CFA42+#REF!+#REF!,"")</f>
        <v/>
      </c>
      <c r="CFB48" s="84" t="str">
        <f>IF(ISNUMBER(outYear),CFB37+CFB42+#REF!+#REF!,"")</f>
        <v/>
      </c>
      <c r="CFC48" s="84" t="str">
        <f>IF(ISNUMBER(outYear),CFC37+CFC42+#REF!+#REF!,"")</f>
        <v/>
      </c>
      <c r="CFD48" s="84" t="str">
        <f>IF(ISNUMBER(outYear),CFD37+CFD42+#REF!+#REF!,"")</f>
        <v/>
      </c>
      <c r="CFE48" s="84" t="str">
        <f>IF(ISNUMBER(outYear),CFE37+CFE42+#REF!+#REF!,"")</f>
        <v/>
      </c>
      <c r="CFF48" s="84" t="str">
        <f>IF(ISNUMBER(outYear),CFF37+CFF42+#REF!+#REF!,"")</f>
        <v/>
      </c>
      <c r="CFG48" s="84" t="str">
        <f>IF(ISNUMBER(outYear),CFG37+CFG42+#REF!+#REF!,"")</f>
        <v/>
      </c>
      <c r="CFH48" s="84" t="str">
        <f>IF(ISNUMBER(outYear),CFH37+CFH42+#REF!+#REF!,"")</f>
        <v/>
      </c>
      <c r="CFI48" s="84" t="str">
        <f>IF(ISNUMBER(outYear),CFI37+CFI42+#REF!+#REF!,"")</f>
        <v/>
      </c>
      <c r="CFJ48" s="84" t="str">
        <f>IF(ISNUMBER(outYear),CFJ37+CFJ42+#REF!+#REF!,"")</f>
        <v/>
      </c>
      <c r="CFK48" s="84" t="str">
        <f>IF(ISNUMBER(outYear),CFK37+CFK42+#REF!+#REF!,"")</f>
        <v/>
      </c>
      <c r="CFL48" s="84" t="str">
        <f>IF(ISNUMBER(outYear),CFL37+CFL42+#REF!+#REF!,"")</f>
        <v/>
      </c>
      <c r="CFM48" s="84" t="str">
        <f>IF(ISNUMBER(outYear),CFM37+CFM42+#REF!+#REF!,"")</f>
        <v/>
      </c>
      <c r="CFN48" s="84" t="str">
        <f>IF(ISNUMBER(outYear),CFN37+CFN42+#REF!+#REF!,"")</f>
        <v/>
      </c>
      <c r="CFO48" s="84" t="str">
        <f>IF(ISNUMBER(outYear),CFO37+CFO42+#REF!+#REF!,"")</f>
        <v/>
      </c>
      <c r="CFP48" s="84" t="str">
        <f>IF(ISNUMBER(outYear),CFP37+CFP42+#REF!+#REF!,"")</f>
        <v/>
      </c>
      <c r="CFQ48" s="84" t="str">
        <f>IF(ISNUMBER(outYear),CFQ37+CFQ42+#REF!+#REF!,"")</f>
        <v/>
      </c>
      <c r="CFR48" s="84" t="str">
        <f>IF(ISNUMBER(outYear),CFR37+CFR42+#REF!+#REF!,"")</f>
        <v/>
      </c>
      <c r="CFS48" s="84" t="str">
        <f>IF(ISNUMBER(outYear),CFS37+CFS42+#REF!+#REF!,"")</f>
        <v/>
      </c>
      <c r="CFT48" s="84" t="str">
        <f>IF(ISNUMBER(outYear),CFT37+CFT42+#REF!+#REF!,"")</f>
        <v/>
      </c>
      <c r="CFU48" s="84" t="str">
        <f>IF(ISNUMBER(outYear),CFU37+CFU42+#REF!+#REF!,"")</f>
        <v/>
      </c>
      <c r="CFV48" s="84" t="str">
        <f>IF(ISNUMBER(outYear),CFV37+CFV42+#REF!+#REF!,"")</f>
        <v/>
      </c>
      <c r="CFW48" s="84" t="str">
        <f>IF(ISNUMBER(outYear),CFW37+CFW42+#REF!+#REF!,"")</f>
        <v/>
      </c>
      <c r="CFX48" s="84" t="str">
        <f>IF(ISNUMBER(outYear),CFX37+CFX42+#REF!+#REF!,"")</f>
        <v/>
      </c>
      <c r="CFY48" s="84" t="str">
        <f>IF(ISNUMBER(outYear),CFY37+CFY42+#REF!+#REF!,"")</f>
        <v/>
      </c>
      <c r="CFZ48" s="84" t="str">
        <f>IF(ISNUMBER(outYear),CFZ37+CFZ42+#REF!+#REF!,"")</f>
        <v/>
      </c>
      <c r="CGA48" s="84" t="str">
        <f>IF(ISNUMBER(outYear),CGA37+CGA42+#REF!+#REF!,"")</f>
        <v/>
      </c>
      <c r="CGB48" s="84" t="str">
        <f>IF(ISNUMBER(outYear),CGB37+CGB42+#REF!+#REF!,"")</f>
        <v/>
      </c>
      <c r="CGC48" s="84" t="str">
        <f>IF(ISNUMBER(outYear),CGC37+CGC42+#REF!+#REF!,"")</f>
        <v/>
      </c>
      <c r="CGD48" s="84" t="str">
        <f>IF(ISNUMBER(outYear),CGD37+CGD42+#REF!+#REF!,"")</f>
        <v/>
      </c>
      <c r="CGE48" s="84" t="str">
        <f>IF(ISNUMBER(outYear),CGE37+CGE42+#REF!+#REF!,"")</f>
        <v/>
      </c>
      <c r="CGF48" s="84" t="str">
        <f>IF(ISNUMBER(outYear),CGF37+CGF42+#REF!+#REF!,"")</f>
        <v/>
      </c>
      <c r="CGG48" s="84" t="str">
        <f>IF(ISNUMBER(outYear),CGG37+CGG42+#REF!+#REF!,"")</f>
        <v/>
      </c>
      <c r="CGH48" s="84" t="str">
        <f>IF(ISNUMBER(outYear),CGH37+CGH42+#REF!+#REF!,"")</f>
        <v/>
      </c>
      <c r="CGI48" s="84" t="str">
        <f>IF(ISNUMBER(outYear),CGI37+CGI42+#REF!+#REF!,"")</f>
        <v/>
      </c>
      <c r="CGJ48" s="84" t="str">
        <f>IF(ISNUMBER(outYear),CGJ37+CGJ42+#REF!+#REF!,"")</f>
        <v/>
      </c>
      <c r="CGK48" s="84" t="str">
        <f>IF(ISNUMBER(outYear),CGK37+CGK42+#REF!+#REF!,"")</f>
        <v/>
      </c>
      <c r="CGL48" s="84" t="str">
        <f>IF(ISNUMBER(outYear),CGL37+CGL42+#REF!+#REF!,"")</f>
        <v/>
      </c>
      <c r="CGM48" s="84" t="str">
        <f>IF(ISNUMBER(outYear),CGM37+CGM42+#REF!+#REF!,"")</f>
        <v/>
      </c>
      <c r="CGN48" s="84" t="str">
        <f>IF(ISNUMBER(outYear),CGN37+CGN42+#REF!+#REF!,"")</f>
        <v/>
      </c>
      <c r="CGO48" s="84" t="str">
        <f>IF(ISNUMBER(outYear),CGO37+CGO42+#REF!+#REF!,"")</f>
        <v/>
      </c>
      <c r="CGP48" s="84" t="str">
        <f>IF(ISNUMBER(outYear),CGP37+CGP42+#REF!+#REF!,"")</f>
        <v/>
      </c>
      <c r="CGQ48" s="84" t="str">
        <f>IF(ISNUMBER(outYear),CGQ37+CGQ42+#REF!+#REF!,"")</f>
        <v/>
      </c>
      <c r="CGR48" s="84" t="str">
        <f>IF(ISNUMBER(outYear),CGR37+CGR42+#REF!+#REF!,"")</f>
        <v/>
      </c>
      <c r="CGS48" s="84" t="str">
        <f>IF(ISNUMBER(outYear),CGS37+CGS42+#REF!+#REF!,"")</f>
        <v/>
      </c>
      <c r="CGT48" s="84" t="str">
        <f>IF(ISNUMBER(outYear),CGT37+CGT42+#REF!+#REF!,"")</f>
        <v/>
      </c>
      <c r="CGU48" s="84" t="str">
        <f>IF(ISNUMBER(outYear),CGU37+CGU42+#REF!+#REF!,"")</f>
        <v/>
      </c>
      <c r="CGV48" s="84" t="str">
        <f>IF(ISNUMBER(outYear),CGV37+CGV42+#REF!+#REF!,"")</f>
        <v/>
      </c>
      <c r="CGW48" s="84" t="str">
        <f>IF(ISNUMBER(outYear),CGW37+CGW42+#REF!+#REF!,"")</f>
        <v/>
      </c>
      <c r="CGX48" s="84" t="str">
        <f>IF(ISNUMBER(outYear),CGX37+CGX42+#REF!+#REF!,"")</f>
        <v/>
      </c>
      <c r="CGY48" s="84" t="str">
        <f>IF(ISNUMBER(outYear),CGY37+CGY42+#REF!+#REF!,"")</f>
        <v/>
      </c>
      <c r="CGZ48" s="84" t="str">
        <f>IF(ISNUMBER(outYear),CGZ37+CGZ42+#REF!+#REF!,"")</f>
        <v/>
      </c>
      <c r="CHA48" s="84" t="str">
        <f>IF(ISNUMBER(outYear),CHA37+CHA42+#REF!+#REF!,"")</f>
        <v/>
      </c>
      <c r="CHB48" s="84" t="str">
        <f>IF(ISNUMBER(outYear),CHB37+CHB42+#REF!+#REF!,"")</f>
        <v/>
      </c>
      <c r="CHC48" s="84" t="str">
        <f>IF(ISNUMBER(outYear),CHC37+CHC42+#REF!+#REF!,"")</f>
        <v/>
      </c>
      <c r="CHD48" s="84" t="str">
        <f>IF(ISNUMBER(outYear),CHD37+CHD42+#REF!+#REF!,"")</f>
        <v/>
      </c>
      <c r="CHE48" s="84" t="str">
        <f>IF(ISNUMBER(outYear),CHE37+CHE42+#REF!+#REF!,"")</f>
        <v/>
      </c>
      <c r="CHF48" s="84" t="str">
        <f>IF(ISNUMBER(outYear),CHF37+CHF42+#REF!+#REF!,"")</f>
        <v/>
      </c>
      <c r="CHG48" s="84" t="str">
        <f>IF(ISNUMBER(outYear),CHG37+CHG42+#REF!+#REF!,"")</f>
        <v/>
      </c>
      <c r="CHH48" s="84" t="str">
        <f>IF(ISNUMBER(outYear),CHH37+CHH42+#REF!+#REF!,"")</f>
        <v/>
      </c>
      <c r="CHI48" s="84" t="str">
        <f>IF(ISNUMBER(outYear),CHI37+CHI42+#REF!+#REF!,"")</f>
        <v/>
      </c>
      <c r="CHJ48" s="84" t="str">
        <f>IF(ISNUMBER(outYear),CHJ37+CHJ42+#REF!+#REF!,"")</f>
        <v/>
      </c>
      <c r="CHK48" s="84" t="str">
        <f>IF(ISNUMBER(outYear),CHK37+CHK42+#REF!+#REF!,"")</f>
        <v/>
      </c>
      <c r="CHL48" s="84" t="str">
        <f>IF(ISNUMBER(outYear),CHL37+CHL42+#REF!+#REF!,"")</f>
        <v/>
      </c>
      <c r="CHM48" s="84" t="str">
        <f>IF(ISNUMBER(outYear),CHM37+CHM42+#REF!+#REF!,"")</f>
        <v/>
      </c>
      <c r="CHN48" s="84" t="str">
        <f>IF(ISNUMBER(outYear),CHN37+CHN42+#REF!+#REF!,"")</f>
        <v/>
      </c>
      <c r="CHO48" s="84" t="str">
        <f>IF(ISNUMBER(outYear),CHO37+CHO42+#REF!+#REF!,"")</f>
        <v/>
      </c>
      <c r="CHP48" s="84" t="str">
        <f>IF(ISNUMBER(outYear),CHP37+CHP42+#REF!+#REF!,"")</f>
        <v/>
      </c>
      <c r="CHQ48" s="84" t="str">
        <f>IF(ISNUMBER(outYear),CHQ37+CHQ42+#REF!+#REF!,"")</f>
        <v/>
      </c>
      <c r="CHR48" s="84" t="str">
        <f>IF(ISNUMBER(outYear),CHR37+CHR42+#REF!+#REF!,"")</f>
        <v/>
      </c>
      <c r="CHS48" s="84" t="str">
        <f>IF(ISNUMBER(outYear),CHS37+CHS42+#REF!+#REF!,"")</f>
        <v/>
      </c>
      <c r="CHT48" s="84" t="str">
        <f>IF(ISNUMBER(outYear),CHT37+CHT42+#REF!+#REF!,"")</f>
        <v/>
      </c>
      <c r="CHU48" s="84" t="str">
        <f>IF(ISNUMBER(outYear),CHU37+CHU42+#REF!+#REF!,"")</f>
        <v/>
      </c>
      <c r="CHV48" s="84" t="str">
        <f>IF(ISNUMBER(outYear),CHV37+CHV42+#REF!+#REF!,"")</f>
        <v/>
      </c>
      <c r="CHW48" s="84" t="str">
        <f>IF(ISNUMBER(outYear),CHW37+CHW42+#REF!+#REF!,"")</f>
        <v/>
      </c>
      <c r="CHX48" s="84" t="str">
        <f>IF(ISNUMBER(outYear),CHX37+CHX42+#REF!+#REF!,"")</f>
        <v/>
      </c>
      <c r="CHY48" s="84" t="str">
        <f>IF(ISNUMBER(outYear),CHY37+CHY42+#REF!+#REF!,"")</f>
        <v/>
      </c>
      <c r="CHZ48" s="84" t="str">
        <f>IF(ISNUMBER(outYear),CHZ37+CHZ42+#REF!+#REF!,"")</f>
        <v/>
      </c>
      <c r="CIA48" s="84" t="str">
        <f>IF(ISNUMBER(outYear),CIA37+CIA42+#REF!+#REF!,"")</f>
        <v/>
      </c>
      <c r="CIB48" s="84" t="str">
        <f>IF(ISNUMBER(outYear),CIB37+CIB42+#REF!+#REF!,"")</f>
        <v/>
      </c>
      <c r="CIC48" s="84" t="str">
        <f>IF(ISNUMBER(outYear),CIC37+CIC42+#REF!+#REF!,"")</f>
        <v/>
      </c>
      <c r="CID48" s="84" t="str">
        <f>IF(ISNUMBER(outYear),CID37+CID42+#REF!+#REF!,"")</f>
        <v/>
      </c>
      <c r="CIE48" s="84" t="str">
        <f>IF(ISNUMBER(outYear),CIE37+CIE42+#REF!+#REF!,"")</f>
        <v/>
      </c>
      <c r="CIF48" s="84" t="str">
        <f>IF(ISNUMBER(outYear),CIF37+CIF42+#REF!+#REF!,"")</f>
        <v/>
      </c>
      <c r="CIG48" s="84" t="str">
        <f>IF(ISNUMBER(outYear),CIG37+CIG42+#REF!+#REF!,"")</f>
        <v/>
      </c>
      <c r="CIH48" s="84" t="str">
        <f>IF(ISNUMBER(outYear),CIH37+CIH42+#REF!+#REF!,"")</f>
        <v/>
      </c>
      <c r="CII48" s="84" t="str">
        <f>IF(ISNUMBER(outYear),CII37+CII42+#REF!+#REF!,"")</f>
        <v/>
      </c>
      <c r="CIJ48" s="84" t="str">
        <f>IF(ISNUMBER(outYear),CIJ37+CIJ42+#REF!+#REF!,"")</f>
        <v/>
      </c>
      <c r="CIK48" s="84" t="str">
        <f>IF(ISNUMBER(outYear),CIK37+CIK42+#REF!+#REF!,"")</f>
        <v/>
      </c>
      <c r="CIL48" s="84" t="str">
        <f>IF(ISNUMBER(outYear),CIL37+CIL42+#REF!+#REF!,"")</f>
        <v/>
      </c>
      <c r="CIM48" s="84" t="str">
        <f>IF(ISNUMBER(outYear),CIM37+CIM42+#REF!+#REF!,"")</f>
        <v/>
      </c>
      <c r="CIN48" s="84" t="str">
        <f>IF(ISNUMBER(outYear),CIN37+CIN42+#REF!+#REF!,"")</f>
        <v/>
      </c>
      <c r="CIO48" s="84" t="str">
        <f>IF(ISNUMBER(outYear),CIO37+CIO42+#REF!+#REF!,"")</f>
        <v/>
      </c>
      <c r="CIP48" s="84" t="str">
        <f>IF(ISNUMBER(outYear),CIP37+CIP42+#REF!+#REF!,"")</f>
        <v/>
      </c>
      <c r="CIQ48" s="84" t="str">
        <f>IF(ISNUMBER(outYear),CIQ37+CIQ42+#REF!+#REF!,"")</f>
        <v/>
      </c>
      <c r="CIR48" s="84" t="str">
        <f>IF(ISNUMBER(outYear),CIR37+CIR42+#REF!+#REF!,"")</f>
        <v/>
      </c>
      <c r="CIS48" s="84" t="str">
        <f>IF(ISNUMBER(outYear),CIS37+CIS42+#REF!+#REF!,"")</f>
        <v/>
      </c>
      <c r="CIT48" s="84" t="str">
        <f>IF(ISNUMBER(outYear),CIT37+CIT42+#REF!+#REF!,"")</f>
        <v/>
      </c>
      <c r="CIU48" s="84" t="str">
        <f>IF(ISNUMBER(outYear),CIU37+CIU42+#REF!+#REF!,"")</f>
        <v/>
      </c>
      <c r="CIV48" s="84" t="str">
        <f>IF(ISNUMBER(outYear),CIV37+CIV42+#REF!+#REF!,"")</f>
        <v/>
      </c>
      <c r="CIW48" s="84" t="str">
        <f>IF(ISNUMBER(outYear),CIW37+CIW42+#REF!+#REF!,"")</f>
        <v/>
      </c>
      <c r="CIX48" s="84" t="str">
        <f>IF(ISNUMBER(outYear),CIX37+CIX42+#REF!+#REF!,"")</f>
        <v/>
      </c>
      <c r="CIY48" s="84" t="str">
        <f>IF(ISNUMBER(outYear),CIY37+CIY42+#REF!+#REF!,"")</f>
        <v/>
      </c>
      <c r="CIZ48" s="84" t="str">
        <f>IF(ISNUMBER(outYear),CIZ37+CIZ42+#REF!+#REF!,"")</f>
        <v/>
      </c>
      <c r="CJA48" s="84" t="str">
        <f>IF(ISNUMBER(outYear),CJA37+CJA42+#REF!+#REF!,"")</f>
        <v/>
      </c>
      <c r="CJB48" s="84" t="str">
        <f>IF(ISNUMBER(outYear),CJB37+CJB42+#REF!+#REF!,"")</f>
        <v/>
      </c>
      <c r="CJC48" s="84" t="str">
        <f>IF(ISNUMBER(outYear),CJC37+CJC42+#REF!+#REF!,"")</f>
        <v/>
      </c>
      <c r="CJD48" s="84" t="str">
        <f>IF(ISNUMBER(outYear),CJD37+CJD42+#REF!+#REF!,"")</f>
        <v/>
      </c>
      <c r="CJE48" s="84" t="str">
        <f>IF(ISNUMBER(outYear),CJE37+CJE42+#REF!+#REF!,"")</f>
        <v/>
      </c>
      <c r="CJF48" s="84" t="str">
        <f>IF(ISNUMBER(outYear),CJF37+CJF42+#REF!+#REF!,"")</f>
        <v/>
      </c>
      <c r="CJG48" s="84" t="str">
        <f>IF(ISNUMBER(outYear),CJG37+CJG42+#REF!+#REF!,"")</f>
        <v/>
      </c>
      <c r="CJH48" s="84" t="str">
        <f>IF(ISNUMBER(outYear),CJH37+CJH42+#REF!+#REF!,"")</f>
        <v/>
      </c>
      <c r="CJI48" s="84" t="str">
        <f>IF(ISNUMBER(outYear),CJI37+CJI42+#REF!+#REF!,"")</f>
        <v/>
      </c>
      <c r="CJJ48" s="84" t="str">
        <f>IF(ISNUMBER(outYear),CJJ37+CJJ42+#REF!+#REF!,"")</f>
        <v/>
      </c>
      <c r="CJK48" s="84" t="str">
        <f>IF(ISNUMBER(outYear),CJK37+CJK42+#REF!+#REF!,"")</f>
        <v/>
      </c>
      <c r="CJL48" s="84" t="str">
        <f>IF(ISNUMBER(outYear),CJL37+CJL42+#REF!+#REF!,"")</f>
        <v/>
      </c>
      <c r="CJM48" s="84" t="str">
        <f>IF(ISNUMBER(outYear),CJM37+CJM42+#REF!+#REF!,"")</f>
        <v/>
      </c>
      <c r="CJN48" s="84" t="str">
        <f>IF(ISNUMBER(outYear),CJN37+CJN42+#REF!+#REF!,"")</f>
        <v/>
      </c>
      <c r="CJO48" s="84" t="str">
        <f>IF(ISNUMBER(outYear),CJO37+CJO42+#REF!+#REF!,"")</f>
        <v/>
      </c>
      <c r="CJP48" s="84" t="str">
        <f>IF(ISNUMBER(outYear),CJP37+CJP42+#REF!+#REF!,"")</f>
        <v/>
      </c>
      <c r="CJQ48" s="84" t="str">
        <f>IF(ISNUMBER(outYear),CJQ37+CJQ42+#REF!+#REF!,"")</f>
        <v/>
      </c>
      <c r="CJR48" s="84" t="str">
        <f>IF(ISNUMBER(outYear),CJR37+CJR42+#REF!+#REF!,"")</f>
        <v/>
      </c>
      <c r="CJS48" s="84" t="str">
        <f>IF(ISNUMBER(outYear),CJS37+CJS42+#REF!+#REF!,"")</f>
        <v/>
      </c>
      <c r="CJT48" s="84" t="str">
        <f>IF(ISNUMBER(outYear),CJT37+CJT42+#REF!+#REF!,"")</f>
        <v/>
      </c>
      <c r="CJU48" s="84" t="str">
        <f>IF(ISNUMBER(outYear),CJU37+CJU42+#REF!+#REF!,"")</f>
        <v/>
      </c>
      <c r="CJV48" s="84" t="str">
        <f>IF(ISNUMBER(outYear),CJV37+CJV42+#REF!+#REF!,"")</f>
        <v/>
      </c>
      <c r="CJW48" s="84" t="str">
        <f>IF(ISNUMBER(outYear),CJW37+CJW42+#REF!+#REF!,"")</f>
        <v/>
      </c>
      <c r="CJX48" s="84" t="str">
        <f>IF(ISNUMBER(outYear),CJX37+CJX42+#REF!+#REF!,"")</f>
        <v/>
      </c>
      <c r="CJY48" s="84" t="str">
        <f>IF(ISNUMBER(outYear),CJY37+CJY42+#REF!+#REF!,"")</f>
        <v/>
      </c>
      <c r="CJZ48" s="84" t="str">
        <f>IF(ISNUMBER(outYear),CJZ37+CJZ42+#REF!+#REF!,"")</f>
        <v/>
      </c>
      <c r="CKA48" s="84" t="str">
        <f>IF(ISNUMBER(outYear),CKA37+CKA42+#REF!+#REF!,"")</f>
        <v/>
      </c>
      <c r="CKB48" s="84" t="str">
        <f>IF(ISNUMBER(outYear),CKB37+CKB42+#REF!+#REF!,"")</f>
        <v/>
      </c>
      <c r="CKC48" s="84" t="str">
        <f>IF(ISNUMBER(outYear),CKC37+CKC42+#REF!+#REF!,"")</f>
        <v/>
      </c>
      <c r="CKD48" s="84" t="str">
        <f>IF(ISNUMBER(outYear),CKD37+CKD42+#REF!+#REF!,"")</f>
        <v/>
      </c>
      <c r="CKE48" s="84" t="str">
        <f>IF(ISNUMBER(outYear),CKE37+CKE42+#REF!+#REF!,"")</f>
        <v/>
      </c>
      <c r="CKF48" s="84" t="str">
        <f>IF(ISNUMBER(outYear),CKF37+CKF42+#REF!+#REF!,"")</f>
        <v/>
      </c>
      <c r="CKG48" s="84" t="str">
        <f>IF(ISNUMBER(outYear),CKG37+CKG42+#REF!+#REF!,"")</f>
        <v/>
      </c>
      <c r="CKH48" s="84" t="str">
        <f>IF(ISNUMBER(outYear),CKH37+CKH42+#REF!+#REF!,"")</f>
        <v/>
      </c>
      <c r="CKI48" s="84" t="str">
        <f>IF(ISNUMBER(outYear),CKI37+CKI42+#REF!+#REF!,"")</f>
        <v/>
      </c>
      <c r="CKJ48" s="84" t="str">
        <f>IF(ISNUMBER(outYear),CKJ37+CKJ42+#REF!+#REF!,"")</f>
        <v/>
      </c>
      <c r="CKK48" s="84" t="str">
        <f>IF(ISNUMBER(outYear),CKK37+CKK42+#REF!+#REF!,"")</f>
        <v/>
      </c>
      <c r="CKL48" s="84" t="str">
        <f>IF(ISNUMBER(outYear),CKL37+CKL42+#REF!+#REF!,"")</f>
        <v/>
      </c>
      <c r="CKM48" s="84" t="str">
        <f>IF(ISNUMBER(outYear),CKM37+CKM42+#REF!+#REF!,"")</f>
        <v/>
      </c>
      <c r="CKN48" s="84" t="str">
        <f>IF(ISNUMBER(outYear),CKN37+CKN42+#REF!+#REF!,"")</f>
        <v/>
      </c>
      <c r="CKO48" s="84" t="str">
        <f>IF(ISNUMBER(outYear),CKO37+CKO42+#REF!+#REF!,"")</f>
        <v/>
      </c>
      <c r="CKP48" s="84" t="str">
        <f>IF(ISNUMBER(outYear),CKP37+CKP42+#REF!+#REF!,"")</f>
        <v/>
      </c>
      <c r="CKQ48" s="84" t="str">
        <f>IF(ISNUMBER(outYear),CKQ37+CKQ42+#REF!+#REF!,"")</f>
        <v/>
      </c>
      <c r="CKR48" s="84" t="str">
        <f>IF(ISNUMBER(outYear),CKR37+CKR42+#REF!+#REF!,"")</f>
        <v/>
      </c>
      <c r="CKS48" s="84" t="str">
        <f>IF(ISNUMBER(outYear),CKS37+CKS42+#REF!+#REF!,"")</f>
        <v/>
      </c>
      <c r="CKT48" s="84" t="str">
        <f>IF(ISNUMBER(outYear),CKT37+CKT42+#REF!+#REF!,"")</f>
        <v/>
      </c>
      <c r="CKU48" s="84" t="str">
        <f>IF(ISNUMBER(outYear),CKU37+CKU42+#REF!+#REF!,"")</f>
        <v/>
      </c>
      <c r="CKV48" s="84" t="str">
        <f>IF(ISNUMBER(outYear),CKV37+CKV42+#REF!+#REF!,"")</f>
        <v/>
      </c>
      <c r="CKW48" s="84" t="str">
        <f>IF(ISNUMBER(outYear),CKW37+CKW42+#REF!+#REF!,"")</f>
        <v/>
      </c>
      <c r="CKX48" s="84" t="str">
        <f>IF(ISNUMBER(outYear),CKX37+CKX42+#REF!+#REF!,"")</f>
        <v/>
      </c>
      <c r="CKY48" s="84" t="str">
        <f>IF(ISNUMBER(outYear),CKY37+CKY42+#REF!+#REF!,"")</f>
        <v/>
      </c>
      <c r="CKZ48" s="84" t="str">
        <f>IF(ISNUMBER(outYear),CKZ37+CKZ42+#REF!+#REF!,"")</f>
        <v/>
      </c>
      <c r="CLA48" s="84" t="str">
        <f>IF(ISNUMBER(outYear),CLA37+CLA42+#REF!+#REF!,"")</f>
        <v/>
      </c>
      <c r="CLB48" s="84" t="str">
        <f>IF(ISNUMBER(outYear),CLB37+CLB42+#REF!+#REF!,"")</f>
        <v/>
      </c>
      <c r="CLC48" s="84" t="str">
        <f>IF(ISNUMBER(outYear),CLC37+CLC42+#REF!+#REF!,"")</f>
        <v/>
      </c>
      <c r="CLD48" s="84" t="str">
        <f>IF(ISNUMBER(outYear),CLD37+CLD42+#REF!+#REF!,"")</f>
        <v/>
      </c>
      <c r="CLE48" s="84" t="str">
        <f>IF(ISNUMBER(outYear),CLE37+CLE42+#REF!+#REF!,"")</f>
        <v/>
      </c>
      <c r="CLF48" s="84" t="str">
        <f>IF(ISNUMBER(outYear),CLF37+CLF42+#REF!+#REF!,"")</f>
        <v/>
      </c>
      <c r="CLG48" s="84" t="str">
        <f>IF(ISNUMBER(outYear),CLG37+CLG42+#REF!+#REF!,"")</f>
        <v/>
      </c>
      <c r="CLH48" s="84" t="str">
        <f>IF(ISNUMBER(outYear),CLH37+CLH42+#REF!+#REF!,"")</f>
        <v/>
      </c>
      <c r="CLI48" s="84" t="str">
        <f>IF(ISNUMBER(outYear),CLI37+CLI42+#REF!+#REF!,"")</f>
        <v/>
      </c>
      <c r="CLJ48" s="84" t="str">
        <f>IF(ISNUMBER(outYear),CLJ37+CLJ42+#REF!+#REF!,"")</f>
        <v/>
      </c>
      <c r="CLK48" s="84" t="str">
        <f>IF(ISNUMBER(outYear),CLK37+CLK42+#REF!+#REF!,"")</f>
        <v/>
      </c>
      <c r="CLL48" s="84" t="str">
        <f>IF(ISNUMBER(outYear),CLL37+CLL42+#REF!+#REF!,"")</f>
        <v/>
      </c>
      <c r="CLM48" s="84" t="str">
        <f>IF(ISNUMBER(outYear),CLM37+CLM42+#REF!+#REF!,"")</f>
        <v/>
      </c>
      <c r="CLN48" s="84" t="str">
        <f>IF(ISNUMBER(outYear),CLN37+CLN42+#REF!+#REF!,"")</f>
        <v/>
      </c>
      <c r="CLO48" s="84" t="str">
        <f>IF(ISNUMBER(outYear),CLO37+CLO42+#REF!+#REF!,"")</f>
        <v/>
      </c>
      <c r="CLP48" s="84" t="str">
        <f>IF(ISNUMBER(outYear),CLP37+CLP42+#REF!+#REF!,"")</f>
        <v/>
      </c>
      <c r="CLQ48" s="84" t="str">
        <f>IF(ISNUMBER(outYear),CLQ37+CLQ42+#REF!+#REF!,"")</f>
        <v/>
      </c>
      <c r="CLR48" s="84" t="str">
        <f>IF(ISNUMBER(outYear),CLR37+CLR42+#REF!+#REF!,"")</f>
        <v/>
      </c>
      <c r="CLS48" s="84" t="str">
        <f>IF(ISNUMBER(outYear),CLS37+CLS42+#REF!+#REF!,"")</f>
        <v/>
      </c>
      <c r="CLT48" s="84" t="str">
        <f>IF(ISNUMBER(outYear),CLT37+CLT42+#REF!+#REF!,"")</f>
        <v/>
      </c>
      <c r="CLU48" s="84" t="str">
        <f>IF(ISNUMBER(outYear),CLU37+CLU42+#REF!+#REF!,"")</f>
        <v/>
      </c>
      <c r="CLV48" s="84" t="str">
        <f>IF(ISNUMBER(outYear),CLV37+CLV42+#REF!+#REF!,"")</f>
        <v/>
      </c>
      <c r="CLW48" s="84" t="str">
        <f>IF(ISNUMBER(outYear),CLW37+CLW42+#REF!+#REF!,"")</f>
        <v/>
      </c>
      <c r="CLX48" s="84" t="str">
        <f>IF(ISNUMBER(outYear),CLX37+CLX42+#REF!+#REF!,"")</f>
        <v/>
      </c>
      <c r="CLY48" s="84" t="str">
        <f>IF(ISNUMBER(outYear),CLY37+CLY42+#REF!+#REF!,"")</f>
        <v/>
      </c>
      <c r="CLZ48" s="84" t="str">
        <f>IF(ISNUMBER(outYear),CLZ37+CLZ42+#REF!+#REF!,"")</f>
        <v/>
      </c>
      <c r="CMA48" s="84" t="str">
        <f>IF(ISNUMBER(outYear),CMA37+CMA42+#REF!+#REF!,"")</f>
        <v/>
      </c>
      <c r="CMB48" s="84" t="str">
        <f>IF(ISNUMBER(outYear),CMB37+CMB42+#REF!+#REF!,"")</f>
        <v/>
      </c>
      <c r="CMC48" s="84" t="str">
        <f>IF(ISNUMBER(outYear),CMC37+CMC42+#REF!+#REF!,"")</f>
        <v/>
      </c>
      <c r="CMD48" s="84" t="str">
        <f>IF(ISNUMBER(outYear),CMD37+CMD42+#REF!+#REF!,"")</f>
        <v/>
      </c>
      <c r="CME48" s="84" t="str">
        <f>IF(ISNUMBER(outYear),CME37+CME42+#REF!+#REF!,"")</f>
        <v/>
      </c>
      <c r="CMF48" s="84" t="str">
        <f>IF(ISNUMBER(outYear),CMF37+CMF42+#REF!+#REF!,"")</f>
        <v/>
      </c>
      <c r="CMG48" s="84" t="str">
        <f>IF(ISNUMBER(outYear),CMG37+CMG42+#REF!+#REF!,"")</f>
        <v/>
      </c>
      <c r="CMH48" s="84" t="str">
        <f>IF(ISNUMBER(outYear),CMH37+CMH42+#REF!+#REF!,"")</f>
        <v/>
      </c>
      <c r="CMI48" s="84" t="str">
        <f>IF(ISNUMBER(outYear),CMI37+CMI42+#REF!+#REF!,"")</f>
        <v/>
      </c>
      <c r="CMJ48" s="84" t="str">
        <f>IF(ISNUMBER(outYear),CMJ37+CMJ42+#REF!+#REF!,"")</f>
        <v/>
      </c>
      <c r="CMK48" s="84" t="str">
        <f>IF(ISNUMBER(outYear),CMK37+CMK42+#REF!+#REF!,"")</f>
        <v/>
      </c>
      <c r="CML48" s="84" t="str">
        <f>IF(ISNUMBER(outYear),CML37+CML42+#REF!+#REF!,"")</f>
        <v/>
      </c>
      <c r="CMM48" s="84" t="str">
        <f>IF(ISNUMBER(outYear),CMM37+CMM42+#REF!+#REF!,"")</f>
        <v/>
      </c>
      <c r="CMN48" s="84" t="str">
        <f>IF(ISNUMBER(outYear),CMN37+CMN42+#REF!+#REF!,"")</f>
        <v/>
      </c>
      <c r="CMO48" s="84" t="str">
        <f>IF(ISNUMBER(outYear),CMO37+CMO42+#REF!+#REF!,"")</f>
        <v/>
      </c>
      <c r="CMP48" s="84" t="str">
        <f>IF(ISNUMBER(outYear),CMP37+CMP42+#REF!+#REF!,"")</f>
        <v/>
      </c>
      <c r="CMQ48" s="84" t="str">
        <f>IF(ISNUMBER(outYear),CMQ37+CMQ42+#REF!+#REF!,"")</f>
        <v/>
      </c>
      <c r="CMR48" s="84" t="str">
        <f>IF(ISNUMBER(outYear),CMR37+CMR42+#REF!+#REF!,"")</f>
        <v/>
      </c>
      <c r="CMS48" s="84" t="str">
        <f>IF(ISNUMBER(outYear),CMS37+CMS42+#REF!+#REF!,"")</f>
        <v/>
      </c>
      <c r="CMT48" s="84" t="str">
        <f>IF(ISNUMBER(outYear),CMT37+CMT42+#REF!+#REF!,"")</f>
        <v/>
      </c>
      <c r="CMU48" s="84" t="str">
        <f>IF(ISNUMBER(outYear),CMU37+CMU42+#REF!+#REF!,"")</f>
        <v/>
      </c>
      <c r="CMV48" s="84" t="str">
        <f>IF(ISNUMBER(outYear),CMV37+CMV42+#REF!+#REF!,"")</f>
        <v/>
      </c>
      <c r="CMW48" s="84" t="str">
        <f>IF(ISNUMBER(outYear),CMW37+CMW42+#REF!+#REF!,"")</f>
        <v/>
      </c>
      <c r="CMX48" s="84" t="str">
        <f>IF(ISNUMBER(outYear),CMX37+CMX42+#REF!+#REF!,"")</f>
        <v/>
      </c>
      <c r="CMY48" s="84" t="str">
        <f>IF(ISNUMBER(outYear),CMY37+CMY42+#REF!+#REF!,"")</f>
        <v/>
      </c>
      <c r="CMZ48" s="84" t="str">
        <f>IF(ISNUMBER(outYear),CMZ37+CMZ42+#REF!+#REF!,"")</f>
        <v/>
      </c>
      <c r="CNA48" s="84" t="str">
        <f>IF(ISNUMBER(outYear),CNA37+CNA42+#REF!+#REF!,"")</f>
        <v/>
      </c>
      <c r="CNB48" s="84" t="str">
        <f>IF(ISNUMBER(outYear),CNB37+CNB42+#REF!+#REF!,"")</f>
        <v/>
      </c>
      <c r="CNC48" s="84" t="str">
        <f>IF(ISNUMBER(outYear),CNC37+CNC42+#REF!+#REF!,"")</f>
        <v/>
      </c>
      <c r="CND48" s="84" t="str">
        <f>IF(ISNUMBER(outYear),CND37+CND42+#REF!+#REF!,"")</f>
        <v/>
      </c>
      <c r="CNE48" s="84" t="str">
        <f>IF(ISNUMBER(outYear),CNE37+CNE42+#REF!+#REF!,"")</f>
        <v/>
      </c>
      <c r="CNF48" s="84" t="str">
        <f>IF(ISNUMBER(outYear),CNF37+CNF42+#REF!+#REF!,"")</f>
        <v/>
      </c>
      <c r="CNG48" s="84" t="str">
        <f>IF(ISNUMBER(outYear),CNG37+CNG42+#REF!+#REF!,"")</f>
        <v/>
      </c>
      <c r="CNH48" s="84" t="str">
        <f>IF(ISNUMBER(outYear),CNH37+CNH42+#REF!+#REF!,"")</f>
        <v/>
      </c>
      <c r="CNI48" s="84" t="str">
        <f>IF(ISNUMBER(outYear),CNI37+CNI42+#REF!+#REF!,"")</f>
        <v/>
      </c>
      <c r="CNJ48" s="84" t="str">
        <f>IF(ISNUMBER(outYear),CNJ37+CNJ42+#REF!+#REF!,"")</f>
        <v/>
      </c>
      <c r="CNK48" s="84" t="str">
        <f>IF(ISNUMBER(outYear),CNK37+CNK42+#REF!+#REF!,"")</f>
        <v/>
      </c>
      <c r="CNL48" s="84" t="str">
        <f>IF(ISNUMBER(outYear),CNL37+CNL42+#REF!+#REF!,"")</f>
        <v/>
      </c>
      <c r="CNM48" s="84" t="str">
        <f>IF(ISNUMBER(outYear),CNM37+CNM42+#REF!+#REF!,"")</f>
        <v/>
      </c>
      <c r="CNN48" s="84" t="str">
        <f>IF(ISNUMBER(outYear),CNN37+CNN42+#REF!+#REF!,"")</f>
        <v/>
      </c>
      <c r="CNO48" s="84" t="str">
        <f>IF(ISNUMBER(outYear),CNO37+CNO42+#REF!+#REF!,"")</f>
        <v/>
      </c>
      <c r="CNP48" s="84" t="str">
        <f>IF(ISNUMBER(outYear),CNP37+CNP42+#REF!+#REF!,"")</f>
        <v/>
      </c>
      <c r="CNQ48" s="84" t="str">
        <f>IF(ISNUMBER(outYear),CNQ37+CNQ42+#REF!+#REF!,"")</f>
        <v/>
      </c>
      <c r="CNR48" s="84" t="str">
        <f>IF(ISNUMBER(outYear),CNR37+CNR42+#REF!+#REF!,"")</f>
        <v/>
      </c>
      <c r="CNS48" s="84" t="str">
        <f>IF(ISNUMBER(outYear),CNS37+CNS42+#REF!+#REF!,"")</f>
        <v/>
      </c>
      <c r="CNT48" s="84" t="str">
        <f>IF(ISNUMBER(outYear),CNT37+CNT42+#REF!+#REF!,"")</f>
        <v/>
      </c>
      <c r="CNU48" s="84" t="str">
        <f>IF(ISNUMBER(outYear),CNU37+CNU42+#REF!+#REF!,"")</f>
        <v/>
      </c>
      <c r="CNV48" s="84" t="str">
        <f>IF(ISNUMBER(outYear),CNV37+CNV42+#REF!+#REF!,"")</f>
        <v/>
      </c>
      <c r="CNW48" s="84" t="str">
        <f>IF(ISNUMBER(outYear),CNW37+CNW42+#REF!+#REF!,"")</f>
        <v/>
      </c>
      <c r="CNX48" s="84" t="str">
        <f>IF(ISNUMBER(outYear),CNX37+CNX42+#REF!+#REF!,"")</f>
        <v/>
      </c>
      <c r="CNY48" s="84" t="str">
        <f>IF(ISNUMBER(outYear),CNY37+CNY42+#REF!+#REF!,"")</f>
        <v/>
      </c>
      <c r="CNZ48" s="84" t="str">
        <f>IF(ISNUMBER(outYear),CNZ37+CNZ42+#REF!+#REF!,"")</f>
        <v/>
      </c>
      <c r="COA48" s="84" t="str">
        <f>IF(ISNUMBER(outYear),COA37+COA42+#REF!+#REF!,"")</f>
        <v/>
      </c>
      <c r="COB48" s="84" t="str">
        <f>IF(ISNUMBER(outYear),COB37+COB42+#REF!+#REF!,"")</f>
        <v/>
      </c>
      <c r="COC48" s="84" t="str">
        <f>IF(ISNUMBER(outYear),COC37+COC42+#REF!+#REF!,"")</f>
        <v/>
      </c>
      <c r="COD48" s="84" t="str">
        <f>IF(ISNUMBER(outYear),COD37+COD42+#REF!+#REF!,"")</f>
        <v/>
      </c>
      <c r="COE48" s="84" t="str">
        <f>IF(ISNUMBER(outYear),COE37+COE42+#REF!+#REF!,"")</f>
        <v/>
      </c>
      <c r="COF48" s="84" t="str">
        <f>IF(ISNUMBER(outYear),COF37+COF42+#REF!+#REF!,"")</f>
        <v/>
      </c>
      <c r="COG48" s="84" t="str">
        <f>IF(ISNUMBER(outYear),COG37+COG42+#REF!+#REF!,"")</f>
        <v/>
      </c>
      <c r="COH48" s="84" t="str">
        <f>IF(ISNUMBER(outYear),COH37+COH42+#REF!+#REF!,"")</f>
        <v/>
      </c>
      <c r="COI48" s="84" t="str">
        <f>IF(ISNUMBER(outYear),COI37+COI42+#REF!+#REF!,"")</f>
        <v/>
      </c>
      <c r="COJ48" s="84" t="str">
        <f>IF(ISNUMBER(outYear),COJ37+COJ42+#REF!+#REF!,"")</f>
        <v/>
      </c>
      <c r="COK48" s="84" t="str">
        <f>IF(ISNUMBER(outYear),COK37+COK42+#REF!+#REF!,"")</f>
        <v/>
      </c>
      <c r="COL48" s="84" t="str">
        <f>IF(ISNUMBER(outYear),COL37+COL42+#REF!+#REF!,"")</f>
        <v/>
      </c>
      <c r="COM48" s="84" t="str">
        <f>IF(ISNUMBER(outYear),COM37+COM42+#REF!+#REF!,"")</f>
        <v/>
      </c>
      <c r="CON48" s="84" t="str">
        <f>IF(ISNUMBER(outYear),CON37+CON42+#REF!+#REF!,"")</f>
        <v/>
      </c>
      <c r="COO48" s="84" t="str">
        <f>IF(ISNUMBER(outYear),COO37+COO42+#REF!+#REF!,"")</f>
        <v/>
      </c>
      <c r="COP48" s="84" t="str">
        <f>IF(ISNUMBER(outYear),COP37+COP42+#REF!+#REF!,"")</f>
        <v/>
      </c>
      <c r="COQ48" s="84" t="str">
        <f>IF(ISNUMBER(outYear),COQ37+COQ42+#REF!+#REF!,"")</f>
        <v/>
      </c>
      <c r="COR48" s="84" t="str">
        <f>IF(ISNUMBER(outYear),COR37+COR42+#REF!+#REF!,"")</f>
        <v/>
      </c>
      <c r="COS48" s="84" t="str">
        <f>IF(ISNUMBER(outYear),COS37+COS42+#REF!+#REF!,"")</f>
        <v/>
      </c>
      <c r="COT48" s="84" t="str">
        <f>IF(ISNUMBER(outYear),COT37+COT42+#REF!+#REF!,"")</f>
        <v/>
      </c>
      <c r="COU48" s="84" t="str">
        <f>IF(ISNUMBER(outYear),COU37+COU42+#REF!+#REF!,"")</f>
        <v/>
      </c>
      <c r="COV48" s="84" t="str">
        <f>IF(ISNUMBER(outYear),COV37+COV42+#REF!+#REF!,"")</f>
        <v/>
      </c>
      <c r="COW48" s="84" t="str">
        <f>IF(ISNUMBER(outYear),COW37+COW42+#REF!+#REF!,"")</f>
        <v/>
      </c>
      <c r="COX48" s="84" t="str">
        <f>IF(ISNUMBER(outYear),COX37+COX42+#REF!+#REF!,"")</f>
        <v/>
      </c>
      <c r="COY48" s="84" t="str">
        <f>IF(ISNUMBER(outYear),COY37+COY42+#REF!+#REF!,"")</f>
        <v/>
      </c>
      <c r="COZ48" s="84" t="str">
        <f>IF(ISNUMBER(outYear),COZ37+COZ42+#REF!+#REF!,"")</f>
        <v/>
      </c>
      <c r="CPA48" s="84" t="str">
        <f>IF(ISNUMBER(outYear),CPA37+CPA42+#REF!+#REF!,"")</f>
        <v/>
      </c>
      <c r="CPB48" s="84" t="str">
        <f>IF(ISNUMBER(outYear),CPB37+CPB42+#REF!+#REF!,"")</f>
        <v/>
      </c>
      <c r="CPC48" s="84" t="str">
        <f>IF(ISNUMBER(outYear),CPC37+CPC42+#REF!+#REF!,"")</f>
        <v/>
      </c>
      <c r="CPD48" s="84" t="str">
        <f>IF(ISNUMBER(outYear),CPD37+CPD42+#REF!+#REF!,"")</f>
        <v/>
      </c>
      <c r="CPE48" s="84" t="str">
        <f>IF(ISNUMBER(outYear),CPE37+CPE42+#REF!+#REF!,"")</f>
        <v/>
      </c>
      <c r="CPF48" s="84" t="str">
        <f>IF(ISNUMBER(outYear),CPF37+CPF42+#REF!+#REF!,"")</f>
        <v/>
      </c>
      <c r="CPG48" s="84" t="str">
        <f>IF(ISNUMBER(outYear),CPG37+CPG42+#REF!+#REF!,"")</f>
        <v/>
      </c>
      <c r="CPH48" s="84" t="str">
        <f>IF(ISNUMBER(outYear),CPH37+CPH42+#REF!+#REF!,"")</f>
        <v/>
      </c>
      <c r="CPI48" s="84" t="str">
        <f>IF(ISNUMBER(outYear),CPI37+CPI42+#REF!+#REF!,"")</f>
        <v/>
      </c>
      <c r="CPJ48" s="84" t="str">
        <f>IF(ISNUMBER(outYear),CPJ37+CPJ42+#REF!+#REF!,"")</f>
        <v/>
      </c>
      <c r="CPK48" s="84" t="str">
        <f>IF(ISNUMBER(outYear),CPK37+CPK42+#REF!+#REF!,"")</f>
        <v/>
      </c>
      <c r="CPL48" s="84" t="str">
        <f>IF(ISNUMBER(outYear),CPL37+CPL42+#REF!+#REF!,"")</f>
        <v/>
      </c>
      <c r="CPM48" s="84" t="str">
        <f>IF(ISNUMBER(outYear),CPM37+CPM42+#REF!+#REF!,"")</f>
        <v/>
      </c>
      <c r="CPN48" s="84" t="str">
        <f>IF(ISNUMBER(outYear),CPN37+CPN42+#REF!+#REF!,"")</f>
        <v/>
      </c>
      <c r="CPO48" s="84" t="str">
        <f>IF(ISNUMBER(outYear),CPO37+CPO42+#REF!+#REF!,"")</f>
        <v/>
      </c>
      <c r="CPP48" s="84" t="str">
        <f>IF(ISNUMBER(outYear),CPP37+CPP42+#REF!+#REF!,"")</f>
        <v/>
      </c>
      <c r="CPQ48" s="84" t="str">
        <f>IF(ISNUMBER(outYear),CPQ37+CPQ42+#REF!+#REF!,"")</f>
        <v/>
      </c>
      <c r="CPR48" s="84" t="str">
        <f>IF(ISNUMBER(outYear),CPR37+CPR42+#REF!+#REF!,"")</f>
        <v/>
      </c>
      <c r="CPS48" s="84" t="str">
        <f>IF(ISNUMBER(outYear),CPS37+CPS42+#REF!+#REF!,"")</f>
        <v/>
      </c>
      <c r="CPT48" s="84" t="str">
        <f>IF(ISNUMBER(outYear),CPT37+CPT42+#REF!+#REF!,"")</f>
        <v/>
      </c>
      <c r="CPU48" s="84" t="str">
        <f>IF(ISNUMBER(outYear),CPU37+CPU42+#REF!+#REF!,"")</f>
        <v/>
      </c>
      <c r="CPV48" s="84" t="str">
        <f>IF(ISNUMBER(outYear),CPV37+CPV42+#REF!+#REF!,"")</f>
        <v/>
      </c>
      <c r="CPW48" s="84" t="str">
        <f>IF(ISNUMBER(outYear),CPW37+CPW42+#REF!+#REF!,"")</f>
        <v/>
      </c>
      <c r="CPX48" s="84" t="str">
        <f>IF(ISNUMBER(outYear),CPX37+CPX42+#REF!+#REF!,"")</f>
        <v/>
      </c>
      <c r="CPY48" s="84" t="str">
        <f>IF(ISNUMBER(outYear),CPY37+CPY42+#REF!+#REF!,"")</f>
        <v/>
      </c>
      <c r="CPZ48" s="84" t="str">
        <f>IF(ISNUMBER(outYear),CPZ37+CPZ42+#REF!+#REF!,"")</f>
        <v/>
      </c>
      <c r="CQA48" s="84" t="str">
        <f>IF(ISNUMBER(outYear),CQA37+CQA42+#REF!+#REF!,"")</f>
        <v/>
      </c>
      <c r="CQB48" s="84" t="str">
        <f>IF(ISNUMBER(outYear),CQB37+CQB42+#REF!+#REF!,"")</f>
        <v/>
      </c>
      <c r="CQC48" s="84" t="str">
        <f>IF(ISNUMBER(outYear),CQC37+CQC42+#REF!+#REF!,"")</f>
        <v/>
      </c>
      <c r="CQD48" s="84" t="str">
        <f>IF(ISNUMBER(outYear),CQD37+CQD42+#REF!+#REF!,"")</f>
        <v/>
      </c>
      <c r="CQE48" s="84" t="str">
        <f>IF(ISNUMBER(outYear),CQE37+CQE42+#REF!+#REF!,"")</f>
        <v/>
      </c>
      <c r="CQF48" s="84" t="str">
        <f>IF(ISNUMBER(outYear),CQF37+CQF42+#REF!+#REF!,"")</f>
        <v/>
      </c>
      <c r="CQG48" s="84" t="str">
        <f>IF(ISNUMBER(outYear),CQG37+CQG42+#REF!+#REF!,"")</f>
        <v/>
      </c>
      <c r="CQH48" s="84" t="str">
        <f>IF(ISNUMBER(outYear),CQH37+CQH42+#REF!+#REF!,"")</f>
        <v/>
      </c>
      <c r="CQI48" s="84" t="str">
        <f>IF(ISNUMBER(outYear),CQI37+CQI42+#REF!+#REF!,"")</f>
        <v/>
      </c>
      <c r="CQJ48" s="84" t="str">
        <f>IF(ISNUMBER(outYear),CQJ37+CQJ42+#REF!+#REF!,"")</f>
        <v/>
      </c>
      <c r="CQK48" s="84" t="str">
        <f>IF(ISNUMBER(outYear),CQK37+CQK42+#REF!+#REF!,"")</f>
        <v/>
      </c>
      <c r="CQL48" s="84" t="str">
        <f>IF(ISNUMBER(outYear),CQL37+CQL42+#REF!+#REF!,"")</f>
        <v/>
      </c>
      <c r="CQM48" s="84" t="str">
        <f>IF(ISNUMBER(outYear),CQM37+CQM42+#REF!+#REF!,"")</f>
        <v/>
      </c>
      <c r="CQN48" s="84" t="str">
        <f>IF(ISNUMBER(outYear),CQN37+CQN42+#REF!+#REF!,"")</f>
        <v/>
      </c>
      <c r="CQO48" s="84" t="str">
        <f>IF(ISNUMBER(outYear),CQO37+CQO42+#REF!+#REF!,"")</f>
        <v/>
      </c>
      <c r="CQP48" s="84" t="str">
        <f>IF(ISNUMBER(outYear),CQP37+CQP42+#REF!+#REF!,"")</f>
        <v/>
      </c>
      <c r="CQQ48" s="84" t="str">
        <f>IF(ISNUMBER(outYear),CQQ37+CQQ42+#REF!+#REF!,"")</f>
        <v/>
      </c>
      <c r="CQR48" s="84" t="str">
        <f>IF(ISNUMBER(outYear),CQR37+CQR42+#REF!+#REF!,"")</f>
        <v/>
      </c>
      <c r="CQS48" s="84" t="str">
        <f>IF(ISNUMBER(outYear),CQS37+CQS42+#REF!+#REF!,"")</f>
        <v/>
      </c>
      <c r="CQT48" s="84" t="str">
        <f>IF(ISNUMBER(outYear),CQT37+CQT42+#REF!+#REF!,"")</f>
        <v/>
      </c>
      <c r="CQU48" s="84" t="str">
        <f>IF(ISNUMBER(outYear),CQU37+CQU42+#REF!+#REF!,"")</f>
        <v/>
      </c>
      <c r="CQV48" s="84" t="str">
        <f>IF(ISNUMBER(outYear),CQV37+CQV42+#REF!+#REF!,"")</f>
        <v/>
      </c>
      <c r="CQW48" s="84" t="str">
        <f>IF(ISNUMBER(outYear),CQW37+CQW42+#REF!+#REF!,"")</f>
        <v/>
      </c>
      <c r="CQX48" s="84" t="str">
        <f>IF(ISNUMBER(outYear),CQX37+CQX42+#REF!+#REF!,"")</f>
        <v/>
      </c>
      <c r="CQY48" s="84" t="str">
        <f>IF(ISNUMBER(outYear),CQY37+CQY42+#REF!+#REF!,"")</f>
        <v/>
      </c>
      <c r="CQZ48" s="84" t="str">
        <f>IF(ISNUMBER(outYear),CQZ37+CQZ42+#REF!+#REF!,"")</f>
        <v/>
      </c>
      <c r="CRA48" s="84" t="str">
        <f>IF(ISNUMBER(outYear),CRA37+CRA42+#REF!+#REF!,"")</f>
        <v/>
      </c>
      <c r="CRB48" s="84" t="str">
        <f>IF(ISNUMBER(outYear),CRB37+CRB42+#REF!+#REF!,"")</f>
        <v/>
      </c>
      <c r="CRC48" s="84" t="str">
        <f>IF(ISNUMBER(outYear),CRC37+CRC42+#REF!+#REF!,"")</f>
        <v/>
      </c>
      <c r="CRD48" s="84" t="str">
        <f>IF(ISNUMBER(outYear),CRD37+CRD42+#REF!+#REF!,"")</f>
        <v/>
      </c>
      <c r="CRE48" s="84" t="str">
        <f>IF(ISNUMBER(outYear),CRE37+CRE42+#REF!+#REF!,"")</f>
        <v/>
      </c>
      <c r="CRF48" s="84" t="str">
        <f>IF(ISNUMBER(outYear),CRF37+CRF42+#REF!+#REF!,"")</f>
        <v/>
      </c>
      <c r="CRG48" s="84" t="str">
        <f>IF(ISNUMBER(outYear),CRG37+CRG42+#REF!+#REF!,"")</f>
        <v/>
      </c>
      <c r="CRH48" s="84" t="str">
        <f>IF(ISNUMBER(outYear),CRH37+CRH42+#REF!+#REF!,"")</f>
        <v/>
      </c>
      <c r="CRI48" s="84" t="str">
        <f>IF(ISNUMBER(outYear),CRI37+CRI42+#REF!+#REF!,"")</f>
        <v/>
      </c>
      <c r="CRJ48" s="84" t="str">
        <f>IF(ISNUMBER(outYear),CRJ37+CRJ42+#REF!+#REF!,"")</f>
        <v/>
      </c>
      <c r="CRK48" s="84" t="str">
        <f>IF(ISNUMBER(outYear),CRK37+CRK42+#REF!+#REF!,"")</f>
        <v/>
      </c>
      <c r="CRL48" s="84" t="str">
        <f>IF(ISNUMBER(outYear),CRL37+CRL42+#REF!+#REF!,"")</f>
        <v/>
      </c>
      <c r="CRM48" s="84" t="str">
        <f>IF(ISNUMBER(outYear),CRM37+CRM42+#REF!+#REF!,"")</f>
        <v/>
      </c>
      <c r="CRN48" s="84" t="str">
        <f>IF(ISNUMBER(outYear),CRN37+CRN42+#REF!+#REF!,"")</f>
        <v/>
      </c>
      <c r="CRO48" s="84" t="str">
        <f>IF(ISNUMBER(outYear),CRO37+CRO42+#REF!+#REF!,"")</f>
        <v/>
      </c>
      <c r="CRP48" s="84" t="str">
        <f>IF(ISNUMBER(outYear),CRP37+CRP42+#REF!+#REF!,"")</f>
        <v/>
      </c>
      <c r="CRQ48" s="84" t="str">
        <f>IF(ISNUMBER(outYear),CRQ37+CRQ42+#REF!+#REF!,"")</f>
        <v/>
      </c>
      <c r="CRR48" s="84" t="str">
        <f>IF(ISNUMBER(outYear),CRR37+CRR42+#REF!+#REF!,"")</f>
        <v/>
      </c>
      <c r="CRS48" s="84" t="str">
        <f>IF(ISNUMBER(outYear),CRS37+CRS42+#REF!+#REF!,"")</f>
        <v/>
      </c>
      <c r="CRT48" s="84" t="str">
        <f>IF(ISNUMBER(outYear),CRT37+CRT42+#REF!+#REF!,"")</f>
        <v/>
      </c>
      <c r="CRU48" s="84" t="str">
        <f>IF(ISNUMBER(outYear),CRU37+CRU42+#REF!+#REF!,"")</f>
        <v/>
      </c>
      <c r="CRV48" s="84" t="str">
        <f>IF(ISNUMBER(outYear),CRV37+CRV42+#REF!+#REF!,"")</f>
        <v/>
      </c>
      <c r="CRW48" s="84" t="str">
        <f>IF(ISNUMBER(outYear),CRW37+CRW42+#REF!+#REF!,"")</f>
        <v/>
      </c>
      <c r="CRX48" s="84" t="str">
        <f>IF(ISNUMBER(outYear),CRX37+CRX42+#REF!+#REF!,"")</f>
        <v/>
      </c>
      <c r="CRY48" s="84" t="str">
        <f>IF(ISNUMBER(outYear),CRY37+CRY42+#REF!+#REF!,"")</f>
        <v/>
      </c>
      <c r="CRZ48" s="84" t="str">
        <f>IF(ISNUMBER(outYear),CRZ37+CRZ42+#REF!+#REF!,"")</f>
        <v/>
      </c>
      <c r="CSA48" s="84" t="str">
        <f>IF(ISNUMBER(outYear),CSA37+CSA42+#REF!+#REF!,"")</f>
        <v/>
      </c>
      <c r="CSB48" s="84" t="str">
        <f>IF(ISNUMBER(outYear),CSB37+CSB42+#REF!+#REF!,"")</f>
        <v/>
      </c>
      <c r="CSC48" s="84" t="str">
        <f>IF(ISNUMBER(outYear),CSC37+CSC42+#REF!+#REF!,"")</f>
        <v/>
      </c>
      <c r="CSD48" s="84" t="str">
        <f>IF(ISNUMBER(outYear),CSD37+CSD42+#REF!+#REF!,"")</f>
        <v/>
      </c>
      <c r="CSE48" s="84" t="str">
        <f>IF(ISNUMBER(outYear),CSE37+CSE42+#REF!+#REF!,"")</f>
        <v/>
      </c>
      <c r="CSF48" s="84" t="str">
        <f>IF(ISNUMBER(outYear),CSF37+CSF42+#REF!+#REF!,"")</f>
        <v/>
      </c>
      <c r="CSG48" s="84" t="str">
        <f>IF(ISNUMBER(outYear),CSG37+CSG42+#REF!+#REF!,"")</f>
        <v/>
      </c>
      <c r="CSH48" s="84" t="str">
        <f>IF(ISNUMBER(outYear),CSH37+CSH42+#REF!+#REF!,"")</f>
        <v/>
      </c>
      <c r="CSI48" s="84" t="str">
        <f>IF(ISNUMBER(outYear),CSI37+CSI42+#REF!+#REF!,"")</f>
        <v/>
      </c>
      <c r="CSJ48" s="84" t="str">
        <f>IF(ISNUMBER(outYear),CSJ37+CSJ42+#REF!+#REF!,"")</f>
        <v/>
      </c>
      <c r="CSK48" s="84" t="str">
        <f>IF(ISNUMBER(outYear),CSK37+CSK42+#REF!+#REF!,"")</f>
        <v/>
      </c>
      <c r="CSL48" s="84" t="str">
        <f>IF(ISNUMBER(outYear),CSL37+CSL42+#REF!+#REF!,"")</f>
        <v/>
      </c>
      <c r="CSM48" s="84" t="str">
        <f>IF(ISNUMBER(outYear),CSM37+CSM42+#REF!+#REF!,"")</f>
        <v/>
      </c>
      <c r="CSN48" s="84" t="str">
        <f>IF(ISNUMBER(outYear),CSN37+CSN42+#REF!+#REF!,"")</f>
        <v/>
      </c>
      <c r="CSO48" s="84" t="str">
        <f>IF(ISNUMBER(outYear),CSO37+CSO42+#REF!+#REF!,"")</f>
        <v/>
      </c>
      <c r="CSP48" s="84" t="str">
        <f>IF(ISNUMBER(outYear),CSP37+CSP42+#REF!+#REF!,"")</f>
        <v/>
      </c>
      <c r="CSQ48" s="84" t="str">
        <f>IF(ISNUMBER(outYear),CSQ37+CSQ42+#REF!+#REF!,"")</f>
        <v/>
      </c>
      <c r="CSR48" s="84" t="str">
        <f>IF(ISNUMBER(outYear),CSR37+CSR42+#REF!+#REF!,"")</f>
        <v/>
      </c>
      <c r="CSS48" s="84" t="str">
        <f>IF(ISNUMBER(outYear),CSS37+CSS42+#REF!+#REF!,"")</f>
        <v/>
      </c>
      <c r="CST48" s="84" t="str">
        <f>IF(ISNUMBER(outYear),CST37+CST42+#REF!+#REF!,"")</f>
        <v/>
      </c>
      <c r="CSU48" s="84" t="str">
        <f>IF(ISNUMBER(outYear),CSU37+CSU42+#REF!+#REF!,"")</f>
        <v/>
      </c>
      <c r="CSV48" s="84" t="str">
        <f>IF(ISNUMBER(outYear),CSV37+CSV42+#REF!+#REF!,"")</f>
        <v/>
      </c>
      <c r="CSW48" s="84" t="str">
        <f>IF(ISNUMBER(outYear),CSW37+CSW42+#REF!+#REF!,"")</f>
        <v/>
      </c>
      <c r="CSX48" s="84" t="str">
        <f>IF(ISNUMBER(outYear),CSX37+CSX42+#REF!+#REF!,"")</f>
        <v/>
      </c>
      <c r="CSY48" s="84" t="str">
        <f>IF(ISNUMBER(outYear),CSY37+CSY42+#REF!+#REF!,"")</f>
        <v/>
      </c>
      <c r="CSZ48" s="84" t="str">
        <f>IF(ISNUMBER(outYear),CSZ37+CSZ42+#REF!+#REF!,"")</f>
        <v/>
      </c>
      <c r="CTA48" s="84" t="str">
        <f>IF(ISNUMBER(outYear),CTA37+CTA42+#REF!+#REF!,"")</f>
        <v/>
      </c>
      <c r="CTB48" s="84" t="str">
        <f>IF(ISNUMBER(outYear),CTB37+CTB42+#REF!+#REF!,"")</f>
        <v/>
      </c>
      <c r="CTC48" s="84" t="str">
        <f>IF(ISNUMBER(outYear),CTC37+CTC42+#REF!+#REF!,"")</f>
        <v/>
      </c>
      <c r="CTD48" s="84" t="str">
        <f>IF(ISNUMBER(outYear),CTD37+CTD42+#REF!+#REF!,"")</f>
        <v/>
      </c>
      <c r="CTE48" s="84" t="str">
        <f>IF(ISNUMBER(outYear),CTE37+CTE42+#REF!+#REF!,"")</f>
        <v/>
      </c>
      <c r="CTF48" s="84" t="str">
        <f>IF(ISNUMBER(outYear),CTF37+CTF42+#REF!+#REF!,"")</f>
        <v/>
      </c>
      <c r="CTG48" s="84" t="str">
        <f>IF(ISNUMBER(outYear),CTG37+CTG42+#REF!+#REF!,"")</f>
        <v/>
      </c>
      <c r="CTH48" s="84" t="str">
        <f>IF(ISNUMBER(outYear),CTH37+CTH42+#REF!+#REF!,"")</f>
        <v/>
      </c>
      <c r="CTI48" s="84" t="str">
        <f>IF(ISNUMBER(outYear),CTI37+CTI42+#REF!+#REF!,"")</f>
        <v/>
      </c>
      <c r="CTJ48" s="84" t="str">
        <f>IF(ISNUMBER(outYear),CTJ37+CTJ42+#REF!+#REF!,"")</f>
        <v/>
      </c>
      <c r="CTK48" s="84" t="str">
        <f>IF(ISNUMBER(outYear),CTK37+CTK42+#REF!+#REF!,"")</f>
        <v/>
      </c>
      <c r="CTL48" s="84" t="str">
        <f>IF(ISNUMBER(outYear),CTL37+CTL42+#REF!+#REF!,"")</f>
        <v/>
      </c>
      <c r="CTM48" s="84" t="str">
        <f>IF(ISNUMBER(outYear),CTM37+CTM42+#REF!+#REF!,"")</f>
        <v/>
      </c>
      <c r="CTN48" s="84" t="str">
        <f>IF(ISNUMBER(outYear),CTN37+CTN42+#REF!+#REF!,"")</f>
        <v/>
      </c>
      <c r="CTO48" s="84" t="str">
        <f>IF(ISNUMBER(outYear),CTO37+CTO42+#REF!+#REF!,"")</f>
        <v/>
      </c>
      <c r="CTP48" s="84" t="str">
        <f>IF(ISNUMBER(outYear),CTP37+CTP42+#REF!+#REF!,"")</f>
        <v/>
      </c>
      <c r="CTQ48" s="84" t="str">
        <f>IF(ISNUMBER(outYear),CTQ37+CTQ42+#REF!+#REF!,"")</f>
        <v/>
      </c>
      <c r="CTR48" s="84" t="str">
        <f>IF(ISNUMBER(outYear),CTR37+CTR42+#REF!+#REF!,"")</f>
        <v/>
      </c>
      <c r="CTS48" s="84" t="str">
        <f>IF(ISNUMBER(outYear),CTS37+CTS42+#REF!+#REF!,"")</f>
        <v/>
      </c>
      <c r="CTT48" s="84" t="str">
        <f>IF(ISNUMBER(outYear),CTT37+CTT42+#REF!+#REF!,"")</f>
        <v/>
      </c>
      <c r="CTU48" s="84" t="str">
        <f>IF(ISNUMBER(outYear),CTU37+CTU42+#REF!+#REF!,"")</f>
        <v/>
      </c>
      <c r="CTV48" s="84" t="str">
        <f>IF(ISNUMBER(outYear),CTV37+CTV42+#REF!+#REF!,"")</f>
        <v/>
      </c>
      <c r="CTW48" s="84" t="str">
        <f>IF(ISNUMBER(outYear),CTW37+CTW42+#REF!+#REF!,"")</f>
        <v/>
      </c>
      <c r="CTX48" s="84" t="str">
        <f>IF(ISNUMBER(outYear),CTX37+CTX42+#REF!+#REF!,"")</f>
        <v/>
      </c>
      <c r="CTY48" s="84" t="str">
        <f>IF(ISNUMBER(outYear),CTY37+CTY42+#REF!+#REF!,"")</f>
        <v/>
      </c>
      <c r="CTZ48" s="84" t="str">
        <f>IF(ISNUMBER(outYear),CTZ37+CTZ42+#REF!+#REF!,"")</f>
        <v/>
      </c>
      <c r="CUA48" s="84" t="str">
        <f>IF(ISNUMBER(outYear),CUA37+CUA42+#REF!+#REF!,"")</f>
        <v/>
      </c>
      <c r="CUB48" s="84" t="str">
        <f>IF(ISNUMBER(outYear),CUB37+CUB42+#REF!+#REF!,"")</f>
        <v/>
      </c>
      <c r="CUC48" s="84" t="str">
        <f>IF(ISNUMBER(outYear),CUC37+CUC42+#REF!+#REF!,"")</f>
        <v/>
      </c>
      <c r="CUD48" s="84" t="str">
        <f>IF(ISNUMBER(outYear),CUD37+CUD42+#REF!+#REF!,"")</f>
        <v/>
      </c>
      <c r="CUE48" s="84" t="str">
        <f>IF(ISNUMBER(outYear),CUE37+CUE42+#REF!+#REF!,"")</f>
        <v/>
      </c>
      <c r="CUF48" s="84" t="str">
        <f>IF(ISNUMBER(outYear),CUF37+CUF42+#REF!+#REF!,"")</f>
        <v/>
      </c>
      <c r="CUG48" s="84" t="str">
        <f>IF(ISNUMBER(outYear),CUG37+CUG42+#REF!+#REF!,"")</f>
        <v/>
      </c>
      <c r="CUH48" s="84" t="str">
        <f>IF(ISNUMBER(outYear),CUH37+CUH42+#REF!+#REF!,"")</f>
        <v/>
      </c>
      <c r="CUI48" s="84" t="str">
        <f>IF(ISNUMBER(outYear),CUI37+CUI42+#REF!+#REF!,"")</f>
        <v/>
      </c>
      <c r="CUJ48" s="84" t="str">
        <f>IF(ISNUMBER(outYear),CUJ37+CUJ42+#REF!+#REF!,"")</f>
        <v/>
      </c>
      <c r="CUK48" s="84" t="str">
        <f>IF(ISNUMBER(outYear),CUK37+CUK42+#REF!+#REF!,"")</f>
        <v/>
      </c>
      <c r="CUL48" s="84" t="str">
        <f>IF(ISNUMBER(outYear),CUL37+CUL42+#REF!+#REF!,"")</f>
        <v/>
      </c>
      <c r="CUM48" s="84" t="str">
        <f>IF(ISNUMBER(outYear),CUM37+CUM42+#REF!+#REF!,"")</f>
        <v/>
      </c>
      <c r="CUN48" s="84" t="str">
        <f>IF(ISNUMBER(outYear),CUN37+CUN42+#REF!+#REF!,"")</f>
        <v/>
      </c>
      <c r="CUO48" s="84" t="str">
        <f>IF(ISNUMBER(outYear),CUO37+CUO42+#REF!+#REF!,"")</f>
        <v/>
      </c>
      <c r="CUP48" s="84" t="str">
        <f>IF(ISNUMBER(outYear),CUP37+CUP42+#REF!+#REF!,"")</f>
        <v/>
      </c>
      <c r="CUQ48" s="84" t="str">
        <f>IF(ISNUMBER(outYear),CUQ37+CUQ42+#REF!+#REF!,"")</f>
        <v/>
      </c>
      <c r="CUR48" s="84" t="str">
        <f>IF(ISNUMBER(outYear),CUR37+CUR42+#REF!+#REF!,"")</f>
        <v/>
      </c>
      <c r="CUS48" s="84" t="str">
        <f>IF(ISNUMBER(outYear),CUS37+CUS42+#REF!+#REF!,"")</f>
        <v/>
      </c>
      <c r="CUT48" s="84" t="str">
        <f>IF(ISNUMBER(outYear),CUT37+CUT42+#REF!+#REF!,"")</f>
        <v/>
      </c>
      <c r="CUU48" s="84" t="str">
        <f>IF(ISNUMBER(outYear),CUU37+CUU42+#REF!+#REF!,"")</f>
        <v/>
      </c>
      <c r="CUV48" s="84" t="str">
        <f>IF(ISNUMBER(outYear),CUV37+CUV42+#REF!+#REF!,"")</f>
        <v/>
      </c>
      <c r="CUW48" s="84" t="str">
        <f>IF(ISNUMBER(outYear),CUW37+CUW42+#REF!+#REF!,"")</f>
        <v/>
      </c>
      <c r="CUX48" s="84" t="str">
        <f>IF(ISNUMBER(outYear),CUX37+CUX42+#REF!+#REF!,"")</f>
        <v/>
      </c>
      <c r="CUY48" s="84" t="str">
        <f>IF(ISNUMBER(outYear),CUY37+CUY42+#REF!+#REF!,"")</f>
        <v/>
      </c>
      <c r="CUZ48" s="84" t="str">
        <f>IF(ISNUMBER(outYear),CUZ37+CUZ42+#REF!+#REF!,"")</f>
        <v/>
      </c>
      <c r="CVA48" s="84" t="str">
        <f>IF(ISNUMBER(outYear),CVA37+CVA42+#REF!+#REF!,"")</f>
        <v/>
      </c>
      <c r="CVB48" s="84" t="str">
        <f>IF(ISNUMBER(outYear),CVB37+CVB42+#REF!+#REF!,"")</f>
        <v/>
      </c>
      <c r="CVC48" s="84" t="str">
        <f>IF(ISNUMBER(outYear),CVC37+CVC42+#REF!+#REF!,"")</f>
        <v/>
      </c>
      <c r="CVD48" s="84" t="str">
        <f>IF(ISNUMBER(outYear),CVD37+CVD42+#REF!+#REF!,"")</f>
        <v/>
      </c>
      <c r="CVE48" s="84" t="str">
        <f>IF(ISNUMBER(outYear),CVE37+CVE42+#REF!+#REF!,"")</f>
        <v/>
      </c>
      <c r="CVF48" s="84" t="str">
        <f>IF(ISNUMBER(outYear),CVF37+CVF42+#REF!+#REF!,"")</f>
        <v/>
      </c>
      <c r="CVG48" s="84" t="str">
        <f>IF(ISNUMBER(outYear),CVG37+CVG42+#REF!+#REF!,"")</f>
        <v/>
      </c>
      <c r="CVH48" s="84" t="str">
        <f>IF(ISNUMBER(outYear),CVH37+CVH42+#REF!+#REF!,"")</f>
        <v/>
      </c>
      <c r="CVI48" s="84" t="str">
        <f>IF(ISNUMBER(outYear),CVI37+CVI42+#REF!+#REF!,"")</f>
        <v/>
      </c>
      <c r="CVJ48" s="84" t="str">
        <f>IF(ISNUMBER(outYear),CVJ37+CVJ42+#REF!+#REF!,"")</f>
        <v/>
      </c>
      <c r="CVK48" s="84" t="str">
        <f>IF(ISNUMBER(outYear),CVK37+CVK42+#REF!+#REF!,"")</f>
        <v/>
      </c>
      <c r="CVL48" s="84" t="str">
        <f>IF(ISNUMBER(outYear),CVL37+CVL42+#REF!+#REF!,"")</f>
        <v/>
      </c>
      <c r="CVM48" s="84" t="str">
        <f>IF(ISNUMBER(outYear),CVM37+CVM42+#REF!+#REF!,"")</f>
        <v/>
      </c>
      <c r="CVN48" s="84" t="str">
        <f>IF(ISNUMBER(outYear),CVN37+CVN42+#REF!+#REF!,"")</f>
        <v/>
      </c>
      <c r="CVO48" s="84" t="str">
        <f>IF(ISNUMBER(outYear),CVO37+CVO42+#REF!+#REF!,"")</f>
        <v/>
      </c>
      <c r="CVP48" s="84" t="str">
        <f>IF(ISNUMBER(outYear),CVP37+CVP42+#REF!+#REF!,"")</f>
        <v/>
      </c>
      <c r="CVQ48" s="84" t="str">
        <f>IF(ISNUMBER(outYear),CVQ37+CVQ42+#REF!+#REF!,"")</f>
        <v/>
      </c>
      <c r="CVR48" s="84" t="str">
        <f>IF(ISNUMBER(outYear),CVR37+CVR42+#REF!+#REF!,"")</f>
        <v/>
      </c>
      <c r="CVS48" s="84" t="str">
        <f>IF(ISNUMBER(outYear),CVS37+CVS42+#REF!+#REF!,"")</f>
        <v/>
      </c>
      <c r="CVT48" s="84" t="str">
        <f>IF(ISNUMBER(outYear),CVT37+CVT42+#REF!+#REF!,"")</f>
        <v/>
      </c>
      <c r="CVU48" s="84" t="str">
        <f>IF(ISNUMBER(outYear),CVU37+CVU42+#REF!+#REF!,"")</f>
        <v/>
      </c>
      <c r="CVV48" s="84" t="str">
        <f>IF(ISNUMBER(outYear),CVV37+CVV42+#REF!+#REF!,"")</f>
        <v/>
      </c>
      <c r="CVW48" s="84" t="str">
        <f>IF(ISNUMBER(outYear),CVW37+CVW42+#REF!+#REF!,"")</f>
        <v/>
      </c>
      <c r="CVX48" s="84" t="str">
        <f>IF(ISNUMBER(outYear),CVX37+CVX42+#REF!+#REF!,"")</f>
        <v/>
      </c>
      <c r="CVY48" s="84" t="str">
        <f>IF(ISNUMBER(outYear),CVY37+CVY42+#REF!+#REF!,"")</f>
        <v/>
      </c>
      <c r="CVZ48" s="84" t="str">
        <f>IF(ISNUMBER(outYear),CVZ37+CVZ42+#REF!+#REF!,"")</f>
        <v/>
      </c>
      <c r="CWA48" s="84" t="str">
        <f>IF(ISNUMBER(outYear),CWA37+CWA42+#REF!+#REF!,"")</f>
        <v/>
      </c>
      <c r="CWB48" s="84" t="str">
        <f>IF(ISNUMBER(outYear),CWB37+CWB42+#REF!+#REF!,"")</f>
        <v/>
      </c>
      <c r="CWC48" s="84" t="str">
        <f>IF(ISNUMBER(outYear),CWC37+CWC42+#REF!+#REF!,"")</f>
        <v/>
      </c>
      <c r="CWD48" s="84" t="str">
        <f>IF(ISNUMBER(outYear),CWD37+CWD42+#REF!+#REF!,"")</f>
        <v/>
      </c>
      <c r="CWE48" s="84" t="str">
        <f>IF(ISNUMBER(outYear),CWE37+CWE42+#REF!+#REF!,"")</f>
        <v/>
      </c>
      <c r="CWF48" s="84" t="str">
        <f>IF(ISNUMBER(outYear),CWF37+CWF42+#REF!+#REF!,"")</f>
        <v/>
      </c>
      <c r="CWG48" s="84" t="str">
        <f>IF(ISNUMBER(outYear),CWG37+CWG42+#REF!+#REF!,"")</f>
        <v/>
      </c>
      <c r="CWH48" s="84" t="str">
        <f>IF(ISNUMBER(outYear),CWH37+CWH42+#REF!+#REF!,"")</f>
        <v/>
      </c>
      <c r="CWI48" s="84" t="str">
        <f>IF(ISNUMBER(outYear),CWI37+CWI42+#REF!+#REF!,"")</f>
        <v/>
      </c>
      <c r="CWJ48" s="84" t="str">
        <f>IF(ISNUMBER(outYear),CWJ37+CWJ42+#REF!+#REF!,"")</f>
        <v/>
      </c>
      <c r="CWK48" s="84" t="str">
        <f>IF(ISNUMBER(outYear),CWK37+CWK42+#REF!+#REF!,"")</f>
        <v/>
      </c>
      <c r="CWL48" s="84" t="str">
        <f>IF(ISNUMBER(outYear),CWL37+CWL42+#REF!+#REF!,"")</f>
        <v/>
      </c>
      <c r="CWM48" s="84" t="str">
        <f>IF(ISNUMBER(outYear),CWM37+CWM42+#REF!+#REF!,"")</f>
        <v/>
      </c>
      <c r="CWN48" s="84" t="str">
        <f>IF(ISNUMBER(outYear),CWN37+CWN42+#REF!+#REF!,"")</f>
        <v/>
      </c>
      <c r="CWO48" s="84" t="str">
        <f>IF(ISNUMBER(outYear),CWO37+CWO42+#REF!+#REF!,"")</f>
        <v/>
      </c>
      <c r="CWP48" s="84" t="str">
        <f>IF(ISNUMBER(outYear),CWP37+CWP42+#REF!+#REF!,"")</f>
        <v/>
      </c>
      <c r="CWQ48" s="84" t="str">
        <f>IF(ISNUMBER(outYear),CWQ37+CWQ42+#REF!+#REF!,"")</f>
        <v/>
      </c>
      <c r="CWR48" s="84" t="str">
        <f>IF(ISNUMBER(outYear),CWR37+CWR42+#REF!+#REF!,"")</f>
        <v/>
      </c>
      <c r="CWS48" s="84" t="str">
        <f>IF(ISNUMBER(outYear),CWS37+CWS42+#REF!+#REF!,"")</f>
        <v/>
      </c>
      <c r="CWT48" s="84" t="str">
        <f>IF(ISNUMBER(outYear),CWT37+CWT42+#REF!+#REF!,"")</f>
        <v/>
      </c>
      <c r="CWU48" s="84" t="str">
        <f>IF(ISNUMBER(outYear),CWU37+CWU42+#REF!+#REF!,"")</f>
        <v/>
      </c>
      <c r="CWV48" s="84" t="str">
        <f>IF(ISNUMBER(outYear),CWV37+CWV42+#REF!+#REF!,"")</f>
        <v/>
      </c>
      <c r="CWW48" s="84" t="str">
        <f>IF(ISNUMBER(outYear),CWW37+CWW42+#REF!+#REF!,"")</f>
        <v/>
      </c>
      <c r="CWX48" s="84" t="str">
        <f>IF(ISNUMBER(outYear),CWX37+CWX42+#REF!+#REF!,"")</f>
        <v/>
      </c>
      <c r="CWY48" s="84" t="str">
        <f>IF(ISNUMBER(outYear),CWY37+CWY42+#REF!+#REF!,"")</f>
        <v/>
      </c>
      <c r="CWZ48" s="84" t="str">
        <f>IF(ISNUMBER(outYear),CWZ37+CWZ42+#REF!+#REF!,"")</f>
        <v/>
      </c>
      <c r="CXA48" s="84" t="str">
        <f>IF(ISNUMBER(outYear),CXA37+CXA42+#REF!+#REF!,"")</f>
        <v/>
      </c>
      <c r="CXB48" s="84" t="str">
        <f>IF(ISNUMBER(outYear),CXB37+CXB42+#REF!+#REF!,"")</f>
        <v/>
      </c>
      <c r="CXC48" s="84" t="str">
        <f>IF(ISNUMBER(outYear),CXC37+CXC42+#REF!+#REF!,"")</f>
        <v/>
      </c>
      <c r="CXD48" s="84" t="str">
        <f>IF(ISNUMBER(outYear),CXD37+CXD42+#REF!+#REF!,"")</f>
        <v/>
      </c>
      <c r="CXE48" s="84" t="str">
        <f>IF(ISNUMBER(outYear),CXE37+CXE42+#REF!+#REF!,"")</f>
        <v/>
      </c>
      <c r="CXF48" s="84" t="str">
        <f>IF(ISNUMBER(outYear),CXF37+CXF42+#REF!+#REF!,"")</f>
        <v/>
      </c>
      <c r="CXG48" s="84" t="str">
        <f>IF(ISNUMBER(outYear),CXG37+CXG42+#REF!+#REF!,"")</f>
        <v/>
      </c>
      <c r="CXH48" s="84" t="str">
        <f>IF(ISNUMBER(outYear),CXH37+CXH42+#REF!+#REF!,"")</f>
        <v/>
      </c>
      <c r="CXI48" s="84" t="str">
        <f>IF(ISNUMBER(outYear),CXI37+CXI42+#REF!+#REF!,"")</f>
        <v/>
      </c>
      <c r="CXJ48" s="84" t="str">
        <f>IF(ISNUMBER(outYear),CXJ37+CXJ42+#REF!+#REF!,"")</f>
        <v/>
      </c>
      <c r="CXK48" s="84" t="str">
        <f>IF(ISNUMBER(outYear),CXK37+CXK42+#REF!+#REF!,"")</f>
        <v/>
      </c>
      <c r="CXL48" s="84" t="str">
        <f>IF(ISNUMBER(outYear),CXL37+CXL42+#REF!+#REF!,"")</f>
        <v/>
      </c>
      <c r="CXM48" s="84" t="str">
        <f>IF(ISNUMBER(outYear),CXM37+CXM42+#REF!+#REF!,"")</f>
        <v/>
      </c>
      <c r="CXN48" s="84" t="str">
        <f>IF(ISNUMBER(outYear),CXN37+CXN42+#REF!+#REF!,"")</f>
        <v/>
      </c>
      <c r="CXO48" s="84" t="str">
        <f>IF(ISNUMBER(outYear),CXO37+CXO42+#REF!+#REF!,"")</f>
        <v/>
      </c>
      <c r="CXP48" s="84" t="str">
        <f>IF(ISNUMBER(outYear),CXP37+CXP42+#REF!+#REF!,"")</f>
        <v/>
      </c>
      <c r="CXQ48" s="84" t="str">
        <f>IF(ISNUMBER(outYear),CXQ37+CXQ42+#REF!+#REF!,"")</f>
        <v/>
      </c>
      <c r="CXR48" s="84" t="str">
        <f>IF(ISNUMBER(outYear),CXR37+CXR42+#REF!+#REF!,"")</f>
        <v/>
      </c>
      <c r="CXS48" s="84" t="str">
        <f>IF(ISNUMBER(outYear),CXS37+CXS42+#REF!+#REF!,"")</f>
        <v/>
      </c>
      <c r="CXT48" s="84" t="str">
        <f>IF(ISNUMBER(outYear),CXT37+CXT42+#REF!+#REF!,"")</f>
        <v/>
      </c>
      <c r="CXU48" s="84" t="str">
        <f>IF(ISNUMBER(outYear),CXU37+CXU42+#REF!+#REF!,"")</f>
        <v/>
      </c>
      <c r="CXV48" s="84" t="str">
        <f>IF(ISNUMBER(outYear),CXV37+CXV42+#REF!+#REF!,"")</f>
        <v/>
      </c>
      <c r="CXW48" s="84" t="str">
        <f>IF(ISNUMBER(outYear),CXW37+CXW42+#REF!+#REF!,"")</f>
        <v/>
      </c>
      <c r="CXX48" s="84" t="str">
        <f>IF(ISNUMBER(outYear),CXX37+CXX42+#REF!+#REF!,"")</f>
        <v/>
      </c>
      <c r="CXY48" s="84" t="str">
        <f>IF(ISNUMBER(outYear),CXY37+CXY42+#REF!+#REF!,"")</f>
        <v/>
      </c>
      <c r="CXZ48" s="84" t="str">
        <f>IF(ISNUMBER(outYear),CXZ37+CXZ42+#REF!+#REF!,"")</f>
        <v/>
      </c>
      <c r="CYA48" s="84" t="str">
        <f>IF(ISNUMBER(outYear),CYA37+CYA42+#REF!+#REF!,"")</f>
        <v/>
      </c>
      <c r="CYB48" s="84" t="str">
        <f>IF(ISNUMBER(outYear),CYB37+CYB42+#REF!+#REF!,"")</f>
        <v/>
      </c>
      <c r="CYC48" s="84" t="str">
        <f>IF(ISNUMBER(outYear),CYC37+CYC42+#REF!+#REF!,"")</f>
        <v/>
      </c>
      <c r="CYD48" s="84" t="str">
        <f>IF(ISNUMBER(outYear),CYD37+CYD42+#REF!+#REF!,"")</f>
        <v/>
      </c>
      <c r="CYE48" s="84" t="str">
        <f>IF(ISNUMBER(outYear),CYE37+CYE42+#REF!+#REF!,"")</f>
        <v/>
      </c>
      <c r="CYF48" s="84" t="str">
        <f>IF(ISNUMBER(outYear),CYF37+CYF42+#REF!+#REF!,"")</f>
        <v/>
      </c>
      <c r="CYG48" s="84" t="str">
        <f>IF(ISNUMBER(outYear),CYG37+CYG42+#REF!+#REF!,"")</f>
        <v/>
      </c>
      <c r="CYH48" s="84" t="str">
        <f>IF(ISNUMBER(outYear),CYH37+CYH42+#REF!+#REF!,"")</f>
        <v/>
      </c>
      <c r="CYI48" s="84" t="str">
        <f>IF(ISNUMBER(outYear),CYI37+CYI42+#REF!+#REF!,"")</f>
        <v/>
      </c>
      <c r="CYJ48" s="84" t="str">
        <f>IF(ISNUMBER(outYear),CYJ37+CYJ42+#REF!+#REF!,"")</f>
        <v/>
      </c>
      <c r="CYK48" s="84" t="str">
        <f>IF(ISNUMBER(outYear),CYK37+CYK42+#REF!+#REF!,"")</f>
        <v/>
      </c>
      <c r="CYL48" s="84" t="str">
        <f>IF(ISNUMBER(outYear),CYL37+CYL42+#REF!+#REF!,"")</f>
        <v/>
      </c>
      <c r="CYM48" s="84" t="str">
        <f>IF(ISNUMBER(outYear),CYM37+CYM42+#REF!+#REF!,"")</f>
        <v/>
      </c>
      <c r="CYN48" s="84" t="str">
        <f>IF(ISNUMBER(outYear),CYN37+CYN42+#REF!+#REF!,"")</f>
        <v/>
      </c>
      <c r="CYO48" s="84" t="str">
        <f>IF(ISNUMBER(outYear),CYO37+CYO42+#REF!+#REF!,"")</f>
        <v/>
      </c>
      <c r="CYP48" s="84" t="str">
        <f>IF(ISNUMBER(outYear),CYP37+CYP42+#REF!+#REF!,"")</f>
        <v/>
      </c>
      <c r="CYQ48" s="84" t="str">
        <f>IF(ISNUMBER(outYear),CYQ37+CYQ42+#REF!+#REF!,"")</f>
        <v/>
      </c>
      <c r="CYR48" s="84" t="str">
        <f>IF(ISNUMBER(outYear),CYR37+CYR42+#REF!+#REF!,"")</f>
        <v/>
      </c>
      <c r="CYS48" s="84" t="str">
        <f>IF(ISNUMBER(outYear),CYS37+CYS42+#REF!+#REF!,"")</f>
        <v/>
      </c>
      <c r="CYT48" s="84" t="str">
        <f>IF(ISNUMBER(outYear),CYT37+CYT42+#REF!+#REF!,"")</f>
        <v/>
      </c>
      <c r="CYU48" s="84" t="str">
        <f>IF(ISNUMBER(outYear),CYU37+CYU42+#REF!+#REF!,"")</f>
        <v/>
      </c>
      <c r="CYV48" s="84" t="str">
        <f>IF(ISNUMBER(outYear),CYV37+CYV42+#REF!+#REF!,"")</f>
        <v/>
      </c>
      <c r="CYW48" s="84" t="str">
        <f>IF(ISNUMBER(outYear),CYW37+CYW42+#REF!+#REF!,"")</f>
        <v/>
      </c>
      <c r="CYX48" s="84" t="str">
        <f>IF(ISNUMBER(outYear),CYX37+CYX42+#REF!+#REF!,"")</f>
        <v/>
      </c>
      <c r="CYY48" s="84" t="str">
        <f>IF(ISNUMBER(outYear),CYY37+CYY42+#REF!+#REF!,"")</f>
        <v/>
      </c>
      <c r="CYZ48" s="84" t="str">
        <f>IF(ISNUMBER(outYear),CYZ37+CYZ42+#REF!+#REF!,"")</f>
        <v/>
      </c>
      <c r="CZA48" s="84" t="str">
        <f>IF(ISNUMBER(outYear),CZA37+CZA42+#REF!+#REF!,"")</f>
        <v/>
      </c>
      <c r="CZB48" s="84" t="str">
        <f>IF(ISNUMBER(outYear),CZB37+CZB42+#REF!+#REF!,"")</f>
        <v/>
      </c>
      <c r="CZC48" s="84" t="str">
        <f>IF(ISNUMBER(outYear),CZC37+CZC42+#REF!+#REF!,"")</f>
        <v/>
      </c>
      <c r="CZD48" s="84" t="str">
        <f>IF(ISNUMBER(outYear),CZD37+CZD42+#REF!+#REF!,"")</f>
        <v/>
      </c>
      <c r="CZE48" s="84" t="str">
        <f>IF(ISNUMBER(outYear),CZE37+CZE42+#REF!+#REF!,"")</f>
        <v/>
      </c>
      <c r="CZF48" s="84" t="str">
        <f>IF(ISNUMBER(outYear),CZF37+CZF42+#REF!+#REF!,"")</f>
        <v/>
      </c>
      <c r="CZG48" s="84" t="str">
        <f>IF(ISNUMBER(outYear),CZG37+CZG42+#REF!+#REF!,"")</f>
        <v/>
      </c>
      <c r="CZH48" s="84" t="str">
        <f>IF(ISNUMBER(outYear),CZH37+CZH42+#REF!+#REF!,"")</f>
        <v/>
      </c>
      <c r="CZI48" s="84" t="str">
        <f>IF(ISNUMBER(outYear),CZI37+CZI42+#REF!+#REF!,"")</f>
        <v/>
      </c>
      <c r="CZJ48" s="84" t="str">
        <f>IF(ISNUMBER(outYear),CZJ37+CZJ42+#REF!+#REF!,"")</f>
        <v/>
      </c>
      <c r="CZK48" s="84" t="str">
        <f>IF(ISNUMBER(outYear),CZK37+CZK42+#REF!+#REF!,"")</f>
        <v/>
      </c>
      <c r="CZL48" s="84" t="str">
        <f>IF(ISNUMBER(outYear),CZL37+CZL42+#REF!+#REF!,"")</f>
        <v/>
      </c>
      <c r="CZM48" s="84" t="str">
        <f>IF(ISNUMBER(outYear),CZM37+CZM42+#REF!+#REF!,"")</f>
        <v/>
      </c>
      <c r="CZN48" s="84" t="str">
        <f>IF(ISNUMBER(outYear),CZN37+CZN42+#REF!+#REF!,"")</f>
        <v/>
      </c>
      <c r="CZO48" s="84" t="str">
        <f>IF(ISNUMBER(outYear),CZO37+CZO42+#REF!+#REF!,"")</f>
        <v/>
      </c>
      <c r="CZP48" s="84" t="str">
        <f>IF(ISNUMBER(outYear),CZP37+CZP42+#REF!+#REF!,"")</f>
        <v/>
      </c>
      <c r="CZQ48" s="84" t="str">
        <f>IF(ISNUMBER(outYear),CZQ37+CZQ42+#REF!+#REF!,"")</f>
        <v/>
      </c>
      <c r="CZR48" s="84" t="str">
        <f>IF(ISNUMBER(outYear),CZR37+CZR42+#REF!+#REF!,"")</f>
        <v/>
      </c>
      <c r="CZS48" s="84" t="str">
        <f>IF(ISNUMBER(outYear),CZS37+CZS42+#REF!+#REF!,"")</f>
        <v/>
      </c>
      <c r="CZT48" s="84" t="str">
        <f>IF(ISNUMBER(outYear),CZT37+CZT42+#REF!+#REF!,"")</f>
        <v/>
      </c>
      <c r="CZU48" s="84" t="str">
        <f>IF(ISNUMBER(outYear),CZU37+CZU42+#REF!+#REF!,"")</f>
        <v/>
      </c>
      <c r="CZV48" s="84" t="str">
        <f>IF(ISNUMBER(outYear),CZV37+CZV42+#REF!+#REF!,"")</f>
        <v/>
      </c>
      <c r="CZW48" s="84" t="str">
        <f>IF(ISNUMBER(outYear),CZW37+CZW42+#REF!+#REF!,"")</f>
        <v/>
      </c>
      <c r="CZX48" s="84" t="str">
        <f>IF(ISNUMBER(outYear),CZX37+CZX42+#REF!+#REF!,"")</f>
        <v/>
      </c>
      <c r="CZY48" s="84" t="str">
        <f>IF(ISNUMBER(outYear),CZY37+CZY42+#REF!+#REF!,"")</f>
        <v/>
      </c>
      <c r="CZZ48" s="84" t="str">
        <f>IF(ISNUMBER(outYear),CZZ37+CZZ42+#REF!+#REF!,"")</f>
        <v/>
      </c>
      <c r="DAA48" s="84" t="str">
        <f>IF(ISNUMBER(outYear),DAA37+DAA42+#REF!+#REF!,"")</f>
        <v/>
      </c>
      <c r="DAB48" s="84" t="str">
        <f>IF(ISNUMBER(outYear),DAB37+DAB42+#REF!+#REF!,"")</f>
        <v/>
      </c>
      <c r="DAC48" s="84" t="str">
        <f>IF(ISNUMBER(outYear),DAC37+DAC42+#REF!+#REF!,"")</f>
        <v/>
      </c>
      <c r="DAD48" s="84" t="str">
        <f>IF(ISNUMBER(outYear),DAD37+DAD42+#REF!+#REF!,"")</f>
        <v/>
      </c>
      <c r="DAE48" s="84" t="str">
        <f>IF(ISNUMBER(outYear),DAE37+DAE42+#REF!+#REF!,"")</f>
        <v/>
      </c>
      <c r="DAF48" s="84" t="str">
        <f>IF(ISNUMBER(outYear),DAF37+DAF42+#REF!+#REF!,"")</f>
        <v/>
      </c>
      <c r="DAG48" s="84" t="str">
        <f>IF(ISNUMBER(outYear),DAG37+DAG42+#REF!+#REF!,"")</f>
        <v/>
      </c>
      <c r="DAH48" s="84" t="str">
        <f>IF(ISNUMBER(outYear),DAH37+DAH42+#REF!+#REF!,"")</f>
        <v/>
      </c>
      <c r="DAI48" s="84" t="str">
        <f>IF(ISNUMBER(outYear),DAI37+DAI42+#REF!+#REF!,"")</f>
        <v/>
      </c>
      <c r="DAJ48" s="84" t="str">
        <f>IF(ISNUMBER(outYear),DAJ37+DAJ42+#REF!+#REF!,"")</f>
        <v/>
      </c>
      <c r="DAK48" s="84" t="str">
        <f>IF(ISNUMBER(outYear),DAK37+DAK42+#REF!+#REF!,"")</f>
        <v/>
      </c>
      <c r="DAL48" s="84" t="str">
        <f>IF(ISNUMBER(outYear),DAL37+DAL42+#REF!+#REF!,"")</f>
        <v/>
      </c>
      <c r="DAM48" s="84" t="str">
        <f>IF(ISNUMBER(outYear),DAM37+DAM42+#REF!+#REF!,"")</f>
        <v/>
      </c>
      <c r="DAN48" s="84" t="str">
        <f>IF(ISNUMBER(outYear),DAN37+DAN42+#REF!+#REF!,"")</f>
        <v/>
      </c>
      <c r="DAO48" s="84" t="str">
        <f>IF(ISNUMBER(outYear),DAO37+DAO42+#REF!+#REF!,"")</f>
        <v/>
      </c>
      <c r="DAP48" s="84" t="str">
        <f>IF(ISNUMBER(outYear),DAP37+DAP42+#REF!+#REF!,"")</f>
        <v/>
      </c>
      <c r="DAQ48" s="84" t="str">
        <f>IF(ISNUMBER(outYear),DAQ37+DAQ42+#REF!+#REF!,"")</f>
        <v/>
      </c>
      <c r="DAR48" s="84" t="str">
        <f>IF(ISNUMBER(outYear),DAR37+DAR42+#REF!+#REF!,"")</f>
        <v/>
      </c>
      <c r="DAS48" s="84" t="str">
        <f>IF(ISNUMBER(outYear),DAS37+DAS42+#REF!+#REF!,"")</f>
        <v/>
      </c>
      <c r="DAT48" s="84" t="str">
        <f>IF(ISNUMBER(outYear),DAT37+DAT42+#REF!+#REF!,"")</f>
        <v/>
      </c>
      <c r="DAU48" s="84" t="str">
        <f>IF(ISNUMBER(outYear),DAU37+DAU42+#REF!+#REF!,"")</f>
        <v/>
      </c>
      <c r="DAV48" s="84" t="str">
        <f>IF(ISNUMBER(outYear),DAV37+DAV42+#REF!+#REF!,"")</f>
        <v/>
      </c>
      <c r="DAW48" s="84" t="str">
        <f>IF(ISNUMBER(outYear),DAW37+DAW42+#REF!+#REF!,"")</f>
        <v/>
      </c>
      <c r="DAX48" s="84" t="str">
        <f>IF(ISNUMBER(outYear),DAX37+DAX42+#REF!+#REF!,"")</f>
        <v/>
      </c>
      <c r="DAY48" s="84" t="str">
        <f>IF(ISNUMBER(outYear),DAY37+DAY42+#REF!+#REF!,"")</f>
        <v/>
      </c>
      <c r="DAZ48" s="84" t="str">
        <f>IF(ISNUMBER(outYear),DAZ37+DAZ42+#REF!+#REF!,"")</f>
        <v/>
      </c>
      <c r="DBA48" s="84" t="str">
        <f>IF(ISNUMBER(outYear),DBA37+DBA42+#REF!+#REF!,"")</f>
        <v/>
      </c>
      <c r="DBB48" s="84" t="str">
        <f>IF(ISNUMBER(outYear),DBB37+DBB42+#REF!+#REF!,"")</f>
        <v/>
      </c>
      <c r="DBC48" s="84" t="str">
        <f>IF(ISNUMBER(outYear),DBC37+DBC42+#REF!+#REF!,"")</f>
        <v/>
      </c>
      <c r="DBD48" s="84" t="str">
        <f>IF(ISNUMBER(outYear),DBD37+DBD42+#REF!+#REF!,"")</f>
        <v/>
      </c>
      <c r="DBE48" s="84" t="str">
        <f>IF(ISNUMBER(outYear),DBE37+DBE42+#REF!+#REF!,"")</f>
        <v/>
      </c>
      <c r="DBF48" s="84" t="str">
        <f>IF(ISNUMBER(outYear),DBF37+DBF42+#REF!+#REF!,"")</f>
        <v/>
      </c>
      <c r="DBG48" s="84" t="str">
        <f>IF(ISNUMBER(outYear),DBG37+DBG42+#REF!+#REF!,"")</f>
        <v/>
      </c>
      <c r="DBH48" s="84" t="str">
        <f>IF(ISNUMBER(outYear),DBH37+DBH42+#REF!+#REF!,"")</f>
        <v/>
      </c>
      <c r="DBI48" s="84" t="str">
        <f>IF(ISNUMBER(outYear),DBI37+DBI42+#REF!+#REF!,"")</f>
        <v/>
      </c>
      <c r="DBJ48" s="84" t="str">
        <f>IF(ISNUMBER(outYear),DBJ37+DBJ42+#REF!+#REF!,"")</f>
        <v/>
      </c>
      <c r="DBK48" s="84" t="str">
        <f>IF(ISNUMBER(outYear),DBK37+DBK42+#REF!+#REF!,"")</f>
        <v/>
      </c>
      <c r="DBL48" s="84" t="str">
        <f>IF(ISNUMBER(outYear),DBL37+DBL42+#REF!+#REF!,"")</f>
        <v/>
      </c>
      <c r="DBM48" s="84" t="str">
        <f>IF(ISNUMBER(outYear),DBM37+DBM42+#REF!+#REF!,"")</f>
        <v/>
      </c>
      <c r="DBN48" s="84" t="str">
        <f>IF(ISNUMBER(outYear),DBN37+DBN42+#REF!+#REF!,"")</f>
        <v/>
      </c>
      <c r="DBO48" s="84" t="str">
        <f>IF(ISNUMBER(outYear),DBO37+DBO42+#REF!+#REF!,"")</f>
        <v/>
      </c>
      <c r="DBP48" s="84" t="str">
        <f>IF(ISNUMBER(outYear),DBP37+DBP42+#REF!+#REF!,"")</f>
        <v/>
      </c>
      <c r="DBQ48" s="84" t="str">
        <f>IF(ISNUMBER(outYear),DBQ37+DBQ42+#REF!+#REF!,"")</f>
        <v/>
      </c>
      <c r="DBR48" s="84" t="str">
        <f>IF(ISNUMBER(outYear),DBR37+DBR42+#REF!+#REF!,"")</f>
        <v/>
      </c>
      <c r="DBS48" s="84" t="str">
        <f>IF(ISNUMBER(outYear),DBS37+DBS42+#REF!+#REF!,"")</f>
        <v/>
      </c>
      <c r="DBT48" s="84" t="str">
        <f>IF(ISNUMBER(outYear),DBT37+DBT42+#REF!+#REF!,"")</f>
        <v/>
      </c>
      <c r="DBU48" s="84" t="str">
        <f>IF(ISNUMBER(outYear),DBU37+DBU42+#REF!+#REF!,"")</f>
        <v/>
      </c>
      <c r="DBV48" s="84" t="str">
        <f>IF(ISNUMBER(outYear),DBV37+DBV42+#REF!+#REF!,"")</f>
        <v/>
      </c>
      <c r="DBW48" s="84" t="str">
        <f>IF(ISNUMBER(outYear),DBW37+DBW42+#REF!+#REF!,"")</f>
        <v/>
      </c>
      <c r="DBX48" s="84" t="str">
        <f>IF(ISNUMBER(outYear),DBX37+DBX42+#REF!+#REF!,"")</f>
        <v/>
      </c>
      <c r="DBY48" s="84" t="str">
        <f>IF(ISNUMBER(outYear),DBY37+DBY42+#REF!+#REF!,"")</f>
        <v/>
      </c>
      <c r="DBZ48" s="84" t="str">
        <f>IF(ISNUMBER(outYear),DBZ37+DBZ42+#REF!+#REF!,"")</f>
        <v/>
      </c>
      <c r="DCA48" s="84" t="str">
        <f>IF(ISNUMBER(outYear),DCA37+DCA42+#REF!+#REF!,"")</f>
        <v/>
      </c>
      <c r="DCB48" s="84" t="str">
        <f>IF(ISNUMBER(outYear),DCB37+DCB42+#REF!+#REF!,"")</f>
        <v/>
      </c>
      <c r="DCC48" s="84" t="str">
        <f>IF(ISNUMBER(outYear),DCC37+DCC42+#REF!+#REF!,"")</f>
        <v/>
      </c>
      <c r="DCD48" s="84" t="str">
        <f>IF(ISNUMBER(outYear),DCD37+DCD42+#REF!+#REF!,"")</f>
        <v/>
      </c>
      <c r="DCE48" s="84" t="str">
        <f>IF(ISNUMBER(outYear),DCE37+DCE42+#REF!+#REF!,"")</f>
        <v/>
      </c>
      <c r="DCF48" s="84" t="str">
        <f>IF(ISNUMBER(outYear),DCF37+DCF42+#REF!+#REF!,"")</f>
        <v/>
      </c>
      <c r="DCG48" s="84" t="str">
        <f>IF(ISNUMBER(outYear),DCG37+DCG42+#REF!+#REF!,"")</f>
        <v/>
      </c>
      <c r="DCH48" s="84" t="str">
        <f>IF(ISNUMBER(outYear),DCH37+DCH42+#REF!+#REF!,"")</f>
        <v/>
      </c>
      <c r="DCI48" s="84" t="str">
        <f>IF(ISNUMBER(outYear),DCI37+DCI42+#REF!+#REF!,"")</f>
        <v/>
      </c>
      <c r="DCJ48" s="84" t="str">
        <f>IF(ISNUMBER(outYear),DCJ37+DCJ42+#REF!+#REF!,"")</f>
        <v/>
      </c>
      <c r="DCK48" s="84" t="str">
        <f>IF(ISNUMBER(outYear),DCK37+DCK42+#REF!+#REF!,"")</f>
        <v/>
      </c>
      <c r="DCL48" s="84" t="str">
        <f>IF(ISNUMBER(outYear),DCL37+DCL42+#REF!+#REF!,"")</f>
        <v/>
      </c>
      <c r="DCM48" s="84" t="str">
        <f>IF(ISNUMBER(outYear),DCM37+DCM42+#REF!+#REF!,"")</f>
        <v/>
      </c>
      <c r="DCN48" s="84" t="str">
        <f>IF(ISNUMBER(outYear),DCN37+DCN42+#REF!+#REF!,"")</f>
        <v/>
      </c>
      <c r="DCO48" s="84" t="str">
        <f>IF(ISNUMBER(outYear),DCO37+DCO42+#REF!+#REF!,"")</f>
        <v/>
      </c>
      <c r="DCP48" s="84" t="str">
        <f>IF(ISNUMBER(outYear),DCP37+DCP42+#REF!+#REF!,"")</f>
        <v/>
      </c>
      <c r="DCQ48" s="84" t="str">
        <f>IF(ISNUMBER(outYear),DCQ37+DCQ42+#REF!+#REF!,"")</f>
        <v/>
      </c>
      <c r="DCR48" s="84" t="str">
        <f>IF(ISNUMBER(outYear),DCR37+DCR42+#REF!+#REF!,"")</f>
        <v/>
      </c>
      <c r="DCS48" s="84" t="str">
        <f>IF(ISNUMBER(outYear),DCS37+DCS42+#REF!+#REF!,"")</f>
        <v/>
      </c>
      <c r="DCT48" s="84" t="str">
        <f>IF(ISNUMBER(outYear),DCT37+DCT42+#REF!+#REF!,"")</f>
        <v/>
      </c>
      <c r="DCU48" s="84" t="str">
        <f>IF(ISNUMBER(outYear),DCU37+DCU42+#REF!+#REF!,"")</f>
        <v/>
      </c>
      <c r="DCV48" s="84" t="str">
        <f>IF(ISNUMBER(outYear),DCV37+DCV42+#REF!+#REF!,"")</f>
        <v/>
      </c>
      <c r="DCW48" s="84" t="str">
        <f>IF(ISNUMBER(outYear),DCW37+DCW42+#REF!+#REF!,"")</f>
        <v/>
      </c>
      <c r="DCX48" s="84" t="str">
        <f>IF(ISNUMBER(outYear),DCX37+DCX42+#REF!+#REF!,"")</f>
        <v/>
      </c>
      <c r="DCY48" s="84" t="str">
        <f>IF(ISNUMBER(outYear),DCY37+DCY42+#REF!+#REF!,"")</f>
        <v/>
      </c>
      <c r="DCZ48" s="84" t="str">
        <f>IF(ISNUMBER(outYear),DCZ37+DCZ42+#REF!+#REF!,"")</f>
        <v/>
      </c>
      <c r="DDA48" s="84" t="str">
        <f>IF(ISNUMBER(outYear),DDA37+DDA42+#REF!+#REF!,"")</f>
        <v/>
      </c>
      <c r="DDB48" s="84" t="str">
        <f>IF(ISNUMBER(outYear),DDB37+DDB42+#REF!+#REF!,"")</f>
        <v/>
      </c>
      <c r="DDC48" s="84" t="str">
        <f>IF(ISNUMBER(outYear),DDC37+DDC42+#REF!+#REF!,"")</f>
        <v/>
      </c>
      <c r="DDD48" s="84" t="str">
        <f>IF(ISNUMBER(outYear),DDD37+DDD42+#REF!+#REF!,"")</f>
        <v/>
      </c>
      <c r="DDE48" s="84" t="str">
        <f>IF(ISNUMBER(outYear),DDE37+DDE42+#REF!+#REF!,"")</f>
        <v/>
      </c>
      <c r="DDF48" s="84" t="str">
        <f>IF(ISNUMBER(outYear),DDF37+DDF42+#REF!+#REF!,"")</f>
        <v/>
      </c>
      <c r="DDG48" s="84" t="str">
        <f>IF(ISNUMBER(outYear),DDG37+DDG42+#REF!+#REF!,"")</f>
        <v/>
      </c>
      <c r="DDH48" s="84" t="str">
        <f>IF(ISNUMBER(outYear),DDH37+DDH42+#REF!+#REF!,"")</f>
        <v/>
      </c>
      <c r="DDI48" s="84" t="str">
        <f>IF(ISNUMBER(outYear),DDI37+DDI42+#REF!+#REF!,"")</f>
        <v/>
      </c>
      <c r="DDJ48" s="84" t="str">
        <f>IF(ISNUMBER(outYear),DDJ37+DDJ42+#REF!+#REF!,"")</f>
        <v/>
      </c>
      <c r="DDK48" s="84" t="str">
        <f>IF(ISNUMBER(outYear),DDK37+DDK42+#REF!+#REF!,"")</f>
        <v/>
      </c>
      <c r="DDL48" s="84" t="str">
        <f>IF(ISNUMBER(outYear),DDL37+DDL42+#REF!+#REF!,"")</f>
        <v/>
      </c>
      <c r="DDM48" s="84" t="str">
        <f>IF(ISNUMBER(outYear),DDM37+DDM42+#REF!+#REF!,"")</f>
        <v/>
      </c>
      <c r="DDN48" s="84" t="str">
        <f>IF(ISNUMBER(outYear),DDN37+DDN42+#REF!+#REF!,"")</f>
        <v/>
      </c>
      <c r="DDO48" s="84" t="str">
        <f>IF(ISNUMBER(outYear),DDO37+DDO42+#REF!+#REF!,"")</f>
        <v/>
      </c>
      <c r="DDP48" s="84" t="str">
        <f>IF(ISNUMBER(outYear),DDP37+DDP42+#REF!+#REF!,"")</f>
        <v/>
      </c>
      <c r="DDQ48" s="84" t="str">
        <f>IF(ISNUMBER(outYear),DDQ37+DDQ42+#REF!+#REF!,"")</f>
        <v/>
      </c>
      <c r="DDR48" s="84" t="str">
        <f>IF(ISNUMBER(outYear),DDR37+DDR42+#REF!+#REF!,"")</f>
        <v/>
      </c>
      <c r="DDS48" s="84" t="str">
        <f>IF(ISNUMBER(outYear),DDS37+DDS42+#REF!+#REF!,"")</f>
        <v/>
      </c>
      <c r="DDT48" s="84" t="str">
        <f>IF(ISNUMBER(outYear),DDT37+DDT42+#REF!+#REF!,"")</f>
        <v/>
      </c>
      <c r="DDU48" s="84" t="str">
        <f>IF(ISNUMBER(outYear),DDU37+DDU42+#REF!+#REF!,"")</f>
        <v/>
      </c>
      <c r="DDV48" s="84" t="str">
        <f>IF(ISNUMBER(outYear),DDV37+DDV42+#REF!+#REF!,"")</f>
        <v/>
      </c>
      <c r="DDW48" s="84" t="str">
        <f>IF(ISNUMBER(outYear),DDW37+DDW42+#REF!+#REF!,"")</f>
        <v/>
      </c>
      <c r="DDX48" s="84" t="str">
        <f>IF(ISNUMBER(outYear),DDX37+DDX42+#REF!+#REF!,"")</f>
        <v/>
      </c>
      <c r="DDY48" s="84" t="str">
        <f>IF(ISNUMBER(outYear),DDY37+DDY42+#REF!+#REF!,"")</f>
        <v/>
      </c>
      <c r="DDZ48" s="84" t="str">
        <f>IF(ISNUMBER(outYear),DDZ37+DDZ42+#REF!+#REF!,"")</f>
        <v/>
      </c>
      <c r="DEA48" s="84" t="str">
        <f>IF(ISNUMBER(outYear),DEA37+DEA42+#REF!+#REF!,"")</f>
        <v/>
      </c>
      <c r="DEB48" s="84" t="str">
        <f>IF(ISNUMBER(outYear),DEB37+DEB42+#REF!+#REF!,"")</f>
        <v/>
      </c>
      <c r="DEC48" s="84" t="str">
        <f>IF(ISNUMBER(outYear),DEC37+DEC42+#REF!+#REF!,"")</f>
        <v/>
      </c>
      <c r="DED48" s="84" t="str">
        <f>IF(ISNUMBER(outYear),DED37+DED42+#REF!+#REF!,"")</f>
        <v/>
      </c>
      <c r="DEE48" s="84" t="str">
        <f>IF(ISNUMBER(outYear),DEE37+DEE42+#REF!+#REF!,"")</f>
        <v/>
      </c>
      <c r="DEF48" s="84" t="str">
        <f>IF(ISNUMBER(outYear),DEF37+DEF42+#REF!+#REF!,"")</f>
        <v/>
      </c>
      <c r="DEG48" s="84" t="str">
        <f>IF(ISNUMBER(outYear),DEG37+DEG42+#REF!+#REF!,"")</f>
        <v/>
      </c>
      <c r="DEH48" s="84" t="str">
        <f>IF(ISNUMBER(outYear),DEH37+DEH42+#REF!+#REF!,"")</f>
        <v/>
      </c>
      <c r="DEI48" s="84" t="str">
        <f>IF(ISNUMBER(outYear),DEI37+DEI42+#REF!+#REF!,"")</f>
        <v/>
      </c>
      <c r="DEJ48" s="84" t="str">
        <f>IF(ISNUMBER(outYear),DEJ37+DEJ42+#REF!+#REF!,"")</f>
        <v/>
      </c>
      <c r="DEK48" s="84" t="str">
        <f>IF(ISNUMBER(outYear),DEK37+DEK42+#REF!+#REF!,"")</f>
        <v/>
      </c>
      <c r="DEL48" s="84" t="str">
        <f>IF(ISNUMBER(outYear),DEL37+DEL42+#REF!+#REF!,"")</f>
        <v/>
      </c>
      <c r="DEM48" s="84" t="str">
        <f>IF(ISNUMBER(outYear),DEM37+DEM42+#REF!+#REF!,"")</f>
        <v/>
      </c>
      <c r="DEN48" s="84" t="str">
        <f>IF(ISNUMBER(outYear),DEN37+DEN42+#REF!+#REF!,"")</f>
        <v/>
      </c>
      <c r="DEO48" s="84" t="str">
        <f>IF(ISNUMBER(outYear),DEO37+DEO42+#REF!+#REF!,"")</f>
        <v/>
      </c>
      <c r="DEP48" s="84" t="str">
        <f>IF(ISNUMBER(outYear),DEP37+DEP42+#REF!+#REF!,"")</f>
        <v/>
      </c>
      <c r="DEQ48" s="84" t="str">
        <f>IF(ISNUMBER(outYear),DEQ37+DEQ42+#REF!+#REF!,"")</f>
        <v/>
      </c>
      <c r="DER48" s="84" t="str">
        <f>IF(ISNUMBER(outYear),DER37+DER42+#REF!+#REF!,"")</f>
        <v/>
      </c>
      <c r="DES48" s="84" t="str">
        <f>IF(ISNUMBER(outYear),DES37+DES42+#REF!+#REF!,"")</f>
        <v/>
      </c>
      <c r="DET48" s="84" t="str">
        <f>IF(ISNUMBER(outYear),DET37+DET42+#REF!+#REF!,"")</f>
        <v/>
      </c>
      <c r="DEU48" s="84" t="str">
        <f>IF(ISNUMBER(outYear),DEU37+DEU42+#REF!+#REF!,"")</f>
        <v/>
      </c>
      <c r="DEV48" s="84" t="str">
        <f>IF(ISNUMBER(outYear),DEV37+DEV42+#REF!+#REF!,"")</f>
        <v/>
      </c>
      <c r="DEW48" s="84" t="str">
        <f>IF(ISNUMBER(outYear),DEW37+DEW42+#REF!+#REF!,"")</f>
        <v/>
      </c>
      <c r="DEX48" s="84" t="str">
        <f>IF(ISNUMBER(outYear),DEX37+DEX42+#REF!+#REF!,"")</f>
        <v/>
      </c>
      <c r="DEY48" s="84" t="str">
        <f>IF(ISNUMBER(outYear),DEY37+DEY42+#REF!+#REF!,"")</f>
        <v/>
      </c>
      <c r="DEZ48" s="84" t="str">
        <f>IF(ISNUMBER(outYear),DEZ37+DEZ42+#REF!+#REF!,"")</f>
        <v/>
      </c>
      <c r="DFA48" s="84" t="str">
        <f>IF(ISNUMBER(outYear),DFA37+DFA42+#REF!+#REF!,"")</f>
        <v/>
      </c>
      <c r="DFB48" s="84" t="str">
        <f>IF(ISNUMBER(outYear),DFB37+DFB42+#REF!+#REF!,"")</f>
        <v/>
      </c>
      <c r="DFC48" s="84" t="str">
        <f>IF(ISNUMBER(outYear),DFC37+DFC42+#REF!+#REF!,"")</f>
        <v/>
      </c>
      <c r="DFD48" s="84" t="str">
        <f>IF(ISNUMBER(outYear),DFD37+DFD42+#REF!+#REF!,"")</f>
        <v/>
      </c>
      <c r="DFE48" s="84" t="str">
        <f>IF(ISNUMBER(outYear),DFE37+DFE42+#REF!+#REF!,"")</f>
        <v/>
      </c>
      <c r="DFF48" s="84" t="str">
        <f>IF(ISNUMBER(outYear),DFF37+DFF42+#REF!+#REF!,"")</f>
        <v/>
      </c>
      <c r="DFG48" s="84" t="str">
        <f>IF(ISNUMBER(outYear),DFG37+DFG42+#REF!+#REF!,"")</f>
        <v/>
      </c>
      <c r="DFH48" s="84" t="str">
        <f>IF(ISNUMBER(outYear),DFH37+DFH42+#REF!+#REF!,"")</f>
        <v/>
      </c>
      <c r="DFI48" s="84" t="str">
        <f>IF(ISNUMBER(outYear),DFI37+DFI42+#REF!+#REF!,"")</f>
        <v/>
      </c>
      <c r="DFJ48" s="84" t="str">
        <f>IF(ISNUMBER(outYear),DFJ37+DFJ42+#REF!+#REF!,"")</f>
        <v/>
      </c>
      <c r="DFK48" s="84" t="str">
        <f>IF(ISNUMBER(outYear),DFK37+DFK42+#REF!+#REF!,"")</f>
        <v/>
      </c>
      <c r="DFL48" s="84" t="str">
        <f>IF(ISNUMBER(outYear),DFL37+DFL42+#REF!+#REF!,"")</f>
        <v/>
      </c>
      <c r="DFM48" s="84" t="str">
        <f>IF(ISNUMBER(outYear),DFM37+DFM42+#REF!+#REF!,"")</f>
        <v/>
      </c>
      <c r="DFN48" s="84" t="str">
        <f>IF(ISNUMBER(outYear),DFN37+DFN42+#REF!+#REF!,"")</f>
        <v/>
      </c>
      <c r="DFO48" s="84" t="str">
        <f>IF(ISNUMBER(outYear),DFO37+DFO42+#REF!+#REF!,"")</f>
        <v/>
      </c>
      <c r="DFP48" s="84" t="str">
        <f>IF(ISNUMBER(outYear),DFP37+DFP42+#REF!+#REF!,"")</f>
        <v/>
      </c>
      <c r="DFQ48" s="84" t="str">
        <f>IF(ISNUMBER(outYear),DFQ37+DFQ42+#REF!+#REF!,"")</f>
        <v/>
      </c>
      <c r="DFR48" s="84" t="str">
        <f>IF(ISNUMBER(outYear),DFR37+DFR42+#REF!+#REF!,"")</f>
        <v/>
      </c>
      <c r="DFS48" s="84" t="str">
        <f>IF(ISNUMBER(outYear),DFS37+DFS42+#REF!+#REF!,"")</f>
        <v/>
      </c>
      <c r="DFT48" s="84" t="str">
        <f>IF(ISNUMBER(outYear),DFT37+DFT42+#REF!+#REF!,"")</f>
        <v/>
      </c>
      <c r="DFU48" s="84" t="str">
        <f>IF(ISNUMBER(outYear),DFU37+DFU42+#REF!+#REF!,"")</f>
        <v/>
      </c>
      <c r="DFV48" s="84" t="str">
        <f>IF(ISNUMBER(outYear),DFV37+DFV42+#REF!+#REF!,"")</f>
        <v/>
      </c>
      <c r="DFW48" s="84" t="str">
        <f>IF(ISNUMBER(outYear),DFW37+DFW42+#REF!+#REF!,"")</f>
        <v/>
      </c>
      <c r="DFX48" s="84" t="str">
        <f>IF(ISNUMBER(outYear),DFX37+DFX42+#REF!+#REF!,"")</f>
        <v/>
      </c>
      <c r="DFY48" s="84" t="str">
        <f>IF(ISNUMBER(outYear),DFY37+DFY42+#REF!+#REF!,"")</f>
        <v/>
      </c>
      <c r="DFZ48" s="84" t="str">
        <f>IF(ISNUMBER(outYear),DFZ37+DFZ42+#REF!+#REF!,"")</f>
        <v/>
      </c>
      <c r="DGA48" s="84" t="str">
        <f>IF(ISNUMBER(outYear),DGA37+DGA42+#REF!+#REF!,"")</f>
        <v/>
      </c>
      <c r="DGB48" s="84" t="str">
        <f>IF(ISNUMBER(outYear),DGB37+DGB42+#REF!+#REF!,"")</f>
        <v/>
      </c>
      <c r="DGC48" s="84" t="str">
        <f>IF(ISNUMBER(outYear),DGC37+DGC42+#REF!+#REF!,"")</f>
        <v/>
      </c>
      <c r="DGD48" s="84" t="str">
        <f>IF(ISNUMBER(outYear),DGD37+DGD42+#REF!+#REF!,"")</f>
        <v/>
      </c>
      <c r="DGE48" s="84" t="str">
        <f>IF(ISNUMBER(outYear),DGE37+DGE42+#REF!+#REF!,"")</f>
        <v/>
      </c>
      <c r="DGF48" s="84" t="str">
        <f>IF(ISNUMBER(outYear),DGF37+DGF42+#REF!+#REF!,"")</f>
        <v/>
      </c>
      <c r="DGG48" s="84" t="str">
        <f>IF(ISNUMBER(outYear),DGG37+DGG42+#REF!+#REF!,"")</f>
        <v/>
      </c>
      <c r="DGH48" s="84" t="str">
        <f>IF(ISNUMBER(outYear),DGH37+DGH42+#REF!+#REF!,"")</f>
        <v/>
      </c>
      <c r="DGI48" s="84" t="str">
        <f>IF(ISNUMBER(outYear),DGI37+DGI42+#REF!+#REF!,"")</f>
        <v/>
      </c>
      <c r="DGJ48" s="84" t="str">
        <f>IF(ISNUMBER(outYear),DGJ37+DGJ42+#REF!+#REF!,"")</f>
        <v/>
      </c>
      <c r="DGK48" s="84" t="str">
        <f>IF(ISNUMBER(outYear),DGK37+DGK42+#REF!+#REF!,"")</f>
        <v/>
      </c>
      <c r="DGL48" s="84" t="str">
        <f>IF(ISNUMBER(outYear),DGL37+DGL42+#REF!+#REF!,"")</f>
        <v/>
      </c>
      <c r="DGM48" s="84" t="str">
        <f>IF(ISNUMBER(outYear),DGM37+DGM42+#REF!+#REF!,"")</f>
        <v/>
      </c>
      <c r="DGN48" s="84" t="str">
        <f>IF(ISNUMBER(outYear),DGN37+DGN42+#REF!+#REF!,"")</f>
        <v/>
      </c>
      <c r="DGO48" s="84" t="str">
        <f>IF(ISNUMBER(outYear),DGO37+DGO42+#REF!+#REF!,"")</f>
        <v/>
      </c>
      <c r="DGP48" s="84" t="str">
        <f>IF(ISNUMBER(outYear),DGP37+DGP42+#REF!+#REF!,"")</f>
        <v/>
      </c>
      <c r="DGQ48" s="84" t="str">
        <f>IF(ISNUMBER(outYear),DGQ37+DGQ42+#REF!+#REF!,"")</f>
        <v/>
      </c>
      <c r="DGR48" s="84" t="str">
        <f>IF(ISNUMBER(outYear),DGR37+DGR42+#REF!+#REF!,"")</f>
        <v/>
      </c>
      <c r="DGS48" s="84" t="str">
        <f>IF(ISNUMBER(outYear),DGS37+DGS42+#REF!+#REF!,"")</f>
        <v/>
      </c>
      <c r="DGT48" s="84" t="str">
        <f>IF(ISNUMBER(outYear),DGT37+DGT42+#REF!+#REF!,"")</f>
        <v/>
      </c>
      <c r="DGU48" s="84" t="str">
        <f>IF(ISNUMBER(outYear),DGU37+DGU42+#REF!+#REF!,"")</f>
        <v/>
      </c>
      <c r="DGV48" s="84" t="str">
        <f>IF(ISNUMBER(outYear),DGV37+DGV42+#REF!+#REF!,"")</f>
        <v/>
      </c>
      <c r="DGW48" s="84" t="str">
        <f>IF(ISNUMBER(outYear),DGW37+DGW42+#REF!+#REF!,"")</f>
        <v/>
      </c>
      <c r="DGX48" s="84" t="str">
        <f>IF(ISNUMBER(outYear),DGX37+DGX42+#REF!+#REF!,"")</f>
        <v/>
      </c>
      <c r="DGY48" s="84" t="str">
        <f>IF(ISNUMBER(outYear),DGY37+DGY42+#REF!+#REF!,"")</f>
        <v/>
      </c>
      <c r="DGZ48" s="84" t="str">
        <f>IF(ISNUMBER(outYear),DGZ37+DGZ42+#REF!+#REF!,"")</f>
        <v/>
      </c>
      <c r="DHA48" s="84" t="str">
        <f>IF(ISNUMBER(outYear),DHA37+DHA42+#REF!+#REF!,"")</f>
        <v/>
      </c>
      <c r="DHB48" s="84" t="str">
        <f>IF(ISNUMBER(outYear),DHB37+DHB42+#REF!+#REF!,"")</f>
        <v/>
      </c>
      <c r="DHC48" s="84" t="str">
        <f>IF(ISNUMBER(outYear),DHC37+DHC42+#REF!+#REF!,"")</f>
        <v/>
      </c>
      <c r="DHD48" s="84" t="str">
        <f>IF(ISNUMBER(outYear),DHD37+DHD42+#REF!+#REF!,"")</f>
        <v/>
      </c>
      <c r="DHE48" s="84" t="str">
        <f>IF(ISNUMBER(outYear),DHE37+DHE42+#REF!+#REF!,"")</f>
        <v/>
      </c>
      <c r="DHF48" s="84" t="str">
        <f>IF(ISNUMBER(outYear),DHF37+DHF42+#REF!+#REF!,"")</f>
        <v/>
      </c>
      <c r="DHG48" s="84" t="str">
        <f>IF(ISNUMBER(outYear),DHG37+DHG42+#REF!+#REF!,"")</f>
        <v/>
      </c>
      <c r="DHH48" s="84" t="str">
        <f>IF(ISNUMBER(outYear),DHH37+DHH42+#REF!+#REF!,"")</f>
        <v/>
      </c>
      <c r="DHI48" s="84" t="str">
        <f>IF(ISNUMBER(outYear),DHI37+DHI42+#REF!+#REF!,"")</f>
        <v/>
      </c>
      <c r="DHJ48" s="84" t="str">
        <f>IF(ISNUMBER(outYear),DHJ37+DHJ42+#REF!+#REF!,"")</f>
        <v/>
      </c>
      <c r="DHK48" s="84" t="str">
        <f>IF(ISNUMBER(outYear),DHK37+DHK42+#REF!+#REF!,"")</f>
        <v/>
      </c>
      <c r="DHL48" s="84" t="str">
        <f>IF(ISNUMBER(outYear),DHL37+DHL42+#REF!+#REF!,"")</f>
        <v/>
      </c>
      <c r="DHM48" s="84" t="str">
        <f>IF(ISNUMBER(outYear),DHM37+DHM42+#REF!+#REF!,"")</f>
        <v/>
      </c>
      <c r="DHN48" s="84" t="str">
        <f>IF(ISNUMBER(outYear),DHN37+DHN42+#REF!+#REF!,"")</f>
        <v/>
      </c>
      <c r="DHO48" s="84" t="str">
        <f>IF(ISNUMBER(outYear),DHO37+DHO42+#REF!+#REF!,"")</f>
        <v/>
      </c>
      <c r="DHP48" s="84" t="str">
        <f>IF(ISNUMBER(outYear),DHP37+DHP42+#REF!+#REF!,"")</f>
        <v/>
      </c>
      <c r="DHQ48" s="84" t="str">
        <f>IF(ISNUMBER(outYear),DHQ37+DHQ42+#REF!+#REF!,"")</f>
        <v/>
      </c>
      <c r="DHR48" s="84" t="str">
        <f>IF(ISNUMBER(outYear),DHR37+DHR42+#REF!+#REF!,"")</f>
        <v/>
      </c>
      <c r="DHS48" s="84" t="str">
        <f>IF(ISNUMBER(outYear),DHS37+DHS42+#REF!+#REF!,"")</f>
        <v/>
      </c>
      <c r="DHT48" s="84" t="str">
        <f>IF(ISNUMBER(outYear),DHT37+DHT42+#REF!+#REF!,"")</f>
        <v/>
      </c>
      <c r="DHU48" s="84" t="str">
        <f>IF(ISNUMBER(outYear),DHU37+DHU42+#REF!+#REF!,"")</f>
        <v/>
      </c>
      <c r="DHV48" s="84" t="str">
        <f>IF(ISNUMBER(outYear),DHV37+DHV42+#REF!+#REF!,"")</f>
        <v/>
      </c>
      <c r="DHW48" s="84" t="str">
        <f>IF(ISNUMBER(outYear),DHW37+DHW42+#REF!+#REF!,"")</f>
        <v/>
      </c>
      <c r="DHX48" s="84" t="str">
        <f>IF(ISNUMBER(outYear),DHX37+DHX42+#REF!+#REF!,"")</f>
        <v/>
      </c>
      <c r="DHY48" s="84" t="str">
        <f>IF(ISNUMBER(outYear),DHY37+DHY42+#REF!+#REF!,"")</f>
        <v/>
      </c>
      <c r="DHZ48" s="84" t="str">
        <f>IF(ISNUMBER(outYear),DHZ37+DHZ42+#REF!+#REF!,"")</f>
        <v/>
      </c>
      <c r="DIA48" s="84" t="str">
        <f>IF(ISNUMBER(outYear),DIA37+DIA42+#REF!+#REF!,"")</f>
        <v/>
      </c>
      <c r="DIB48" s="84" t="str">
        <f>IF(ISNUMBER(outYear),DIB37+DIB42+#REF!+#REF!,"")</f>
        <v/>
      </c>
      <c r="DIC48" s="84" t="str">
        <f>IF(ISNUMBER(outYear),DIC37+DIC42+#REF!+#REF!,"")</f>
        <v/>
      </c>
      <c r="DID48" s="84" t="str">
        <f>IF(ISNUMBER(outYear),DID37+DID42+#REF!+#REF!,"")</f>
        <v/>
      </c>
      <c r="DIE48" s="84" t="str">
        <f>IF(ISNUMBER(outYear),DIE37+DIE42+#REF!+#REF!,"")</f>
        <v/>
      </c>
      <c r="DIF48" s="84" t="str">
        <f>IF(ISNUMBER(outYear),DIF37+DIF42+#REF!+#REF!,"")</f>
        <v/>
      </c>
      <c r="DIG48" s="84" t="str">
        <f>IF(ISNUMBER(outYear),DIG37+DIG42+#REF!+#REF!,"")</f>
        <v/>
      </c>
      <c r="DIH48" s="84" t="str">
        <f>IF(ISNUMBER(outYear),DIH37+DIH42+#REF!+#REF!,"")</f>
        <v/>
      </c>
      <c r="DII48" s="84" t="str">
        <f>IF(ISNUMBER(outYear),DII37+DII42+#REF!+#REF!,"")</f>
        <v/>
      </c>
      <c r="DIJ48" s="84" t="str">
        <f>IF(ISNUMBER(outYear),DIJ37+DIJ42+#REF!+#REF!,"")</f>
        <v/>
      </c>
      <c r="DIK48" s="84" t="str">
        <f>IF(ISNUMBER(outYear),DIK37+DIK42+#REF!+#REF!,"")</f>
        <v/>
      </c>
      <c r="DIL48" s="84" t="str">
        <f>IF(ISNUMBER(outYear),DIL37+DIL42+#REF!+#REF!,"")</f>
        <v/>
      </c>
      <c r="DIM48" s="84" t="str">
        <f>IF(ISNUMBER(outYear),DIM37+DIM42+#REF!+#REF!,"")</f>
        <v/>
      </c>
      <c r="DIN48" s="84" t="str">
        <f>IF(ISNUMBER(outYear),DIN37+DIN42+#REF!+#REF!,"")</f>
        <v/>
      </c>
      <c r="DIO48" s="84" t="str">
        <f>IF(ISNUMBER(outYear),DIO37+DIO42+#REF!+#REF!,"")</f>
        <v/>
      </c>
      <c r="DIP48" s="84" t="str">
        <f>IF(ISNUMBER(outYear),DIP37+DIP42+#REF!+#REF!,"")</f>
        <v/>
      </c>
      <c r="DIQ48" s="84" t="str">
        <f>IF(ISNUMBER(outYear),DIQ37+DIQ42+#REF!+#REF!,"")</f>
        <v/>
      </c>
      <c r="DIR48" s="84" t="str">
        <f>IF(ISNUMBER(outYear),DIR37+DIR42+#REF!+#REF!,"")</f>
        <v/>
      </c>
      <c r="DIS48" s="84" t="str">
        <f>IF(ISNUMBER(outYear),DIS37+DIS42+#REF!+#REF!,"")</f>
        <v/>
      </c>
      <c r="DIT48" s="84" t="str">
        <f>IF(ISNUMBER(outYear),DIT37+DIT42+#REF!+#REF!,"")</f>
        <v/>
      </c>
      <c r="DIU48" s="84" t="str">
        <f>IF(ISNUMBER(outYear),DIU37+DIU42+#REF!+#REF!,"")</f>
        <v/>
      </c>
      <c r="DIV48" s="84" t="str">
        <f>IF(ISNUMBER(outYear),DIV37+DIV42+#REF!+#REF!,"")</f>
        <v/>
      </c>
      <c r="DIW48" s="84" t="str">
        <f>IF(ISNUMBER(outYear),DIW37+DIW42+#REF!+#REF!,"")</f>
        <v/>
      </c>
      <c r="DIX48" s="84" t="str">
        <f>IF(ISNUMBER(outYear),DIX37+DIX42+#REF!+#REF!,"")</f>
        <v/>
      </c>
      <c r="DIY48" s="84" t="str">
        <f>IF(ISNUMBER(outYear),DIY37+DIY42+#REF!+#REF!,"")</f>
        <v/>
      </c>
      <c r="DIZ48" s="84" t="str">
        <f>IF(ISNUMBER(outYear),DIZ37+DIZ42+#REF!+#REF!,"")</f>
        <v/>
      </c>
      <c r="DJA48" s="84" t="str">
        <f>IF(ISNUMBER(outYear),DJA37+DJA42+#REF!+#REF!,"")</f>
        <v/>
      </c>
      <c r="DJB48" s="84" t="str">
        <f>IF(ISNUMBER(outYear),DJB37+DJB42+#REF!+#REF!,"")</f>
        <v/>
      </c>
      <c r="DJC48" s="84" t="str">
        <f>IF(ISNUMBER(outYear),DJC37+DJC42+#REF!+#REF!,"")</f>
        <v/>
      </c>
      <c r="DJD48" s="84" t="str">
        <f>IF(ISNUMBER(outYear),DJD37+DJD42+#REF!+#REF!,"")</f>
        <v/>
      </c>
      <c r="DJE48" s="84" t="str">
        <f>IF(ISNUMBER(outYear),DJE37+DJE42+#REF!+#REF!,"")</f>
        <v/>
      </c>
      <c r="DJF48" s="84" t="str">
        <f>IF(ISNUMBER(outYear),DJF37+DJF42+#REF!+#REF!,"")</f>
        <v/>
      </c>
      <c r="DJG48" s="84" t="str">
        <f>IF(ISNUMBER(outYear),DJG37+DJG42+#REF!+#REF!,"")</f>
        <v/>
      </c>
      <c r="DJH48" s="84" t="str">
        <f>IF(ISNUMBER(outYear),DJH37+DJH42+#REF!+#REF!,"")</f>
        <v/>
      </c>
      <c r="DJI48" s="84" t="str">
        <f>IF(ISNUMBER(outYear),DJI37+DJI42+#REF!+#REF!,"")</f>
        <v/>
      </c>
      <c r="DJJ48" s="84" t="str">
        <f>IF(ISNUMBER(outYear),DJJ37+DJJ42+#REF!+#REF!,"")</f>
        <v/>
      </c>
      <c r="DJK48" s="84" t="str">
        <f>IF(ISNUMBER(outYear),DJK37+DJK42+#REF!+#REF!,"")</f>
        <v/>
      </c>
      <c r="DJL48" s="84" t="str">
        <f>IF(ISNUMBER(outYear),DJL37+DJL42+#REF!+#REF!,"")</f>
        <v/>
      </c>
      <c r="DJM48" s="84" t="str">
        <f>IF(ISNUMBER(outYear),DJM37+DJM42+#REF!+#REF!,"")</f>
        <v/>
      </c>
      <c r="DJN48" s="84" t="str">
        <f>IF(ISNUMBER(outYear),DJN37+DJN42+#REF!+#REF!,"")</f>
        <v/>
      </c>
      <c r="DJO48" s="84" t="str">
        <f>IF(ISNUMBER(outYear),DJO37+DJO42+#REF!+#REF!,"")</f>
        <v/>
      </c>
      <c r="DJP48" s="84" t="str">
        <f>IF(ISNUMBER(outYear),DJP37+DJP42+#REF!+#REF!,"")</f>
        <v/>
      </c>
      <c r="DJQ48" s="84" t="str">
        <f>IF(ISNUMBER(outYear),DJQ37+DJQ42+#REF!+#REF!,"")</f>
        <v/>
      </c>
      <c r="DJR48" s="84" t="str">
        <f>IF(ISNUMBER(outYear),DJR37+DJR42+#REF!+#REF!,"")</f>
        <v/>
      </c>
      <c r="DJS48" s="84" t="str">
        <f>IF(ISNUMBER(outYear),DJS37+DJS42+#REF!+#REF!,"")</f>
        <v/>
      </c>
      <c r="DJT48" s="84" t="str">
        <f>IF(ISNUMBER(outYear),DJT37+DJT42+#REF!+#REF!,"")</f>
        <v/>
      </c>
      <c r="DJU48" s="84" t="str">
        <f>IF(ISNUMBER(outYear),DJU37+DJU42+#REF!+#REF!,"")</f>
        <v/>
      </c>
      <c r="DJV48" s="84" t="str">
        <f>IF(ISNUMBER(outYear),DJV37+DJV42+#REF!+#REF!,"")</f>
        <v/>
      </c>
      <c r="DJW48" s="84" t="str">
        <f>IF(ISNUMBER(outYear),DJW37+DJW42+#REF!+#REF!,"")</f>
        <v/>
      </c>
      <c r="DJX48" s="84" t="str">
        <f>IF(ISNUMBER(outYear),DJX37+DJX42+#REF!+#REF!,"")</f>
        <v/>
      </c>
      <c r="DJY48" s="84" t="str">
        <f>IF(ISNUMBER(outYear),DJY37+DJY42+#REF!+#REF!,"")</f>
        <v/>
      </c>
      <c r="DJZ48" s="84" t="str">
        <f>IF(ISNUMBER(outYear),DJZ37+DJZ42+#REF!+#REF!,"")</f>
        <v/>
      </c>
      <c r="DKA48" s="84" t="str">
        <f>IF(ISNUMBER(outYear),DKA37+DKA42+#REF!+#REF!,"")</f>
        <v/>
      </c>
      <c r="DKB48" s="84" t="str">
        <f>IF(ISNUMBER(outYear),DKB37+DKB42+#REF!+#REF!,"")</f>
        <v/>
      </c>
      <c r="DKC48" s="84" t="str">
        <f>IF(ISNUMBER(outYear),DKC37+DKC42+#REF!+#REF!,"")</f>
        <v/>
      </c>
      <c r="DKD48" s="84" t="str">
        <f>IF(ISNUMBER(outYear),DKD37+DKD42+#REF!+#REF!,"")</f>
        <v/>
      </c>
      <c r="DKE48" s="84" t="str">
        <f>IF(ISNUMBER(outYear),DKE37+DKE42+#REF!+#REF!,"")</f>
        <v/>
      </c>
      <c r="DKF48" s="84" t="str">
        <f>IF(ISNUMBER(outYear),DKF37+DKF42+#REF!+#REF!,"")</f>
        <v/>
      </c>
      <c r="DKG48" s="84" t="str">
        <f>IF(ISNUMBER(outYear),DKG37+DKG42+#REF!+#REF!,"")</f>
        <v/>
      </c>
      <c r="DKH48" s="84" t="str">
        <f>IF(ISNUMBER(outYear),DKH37+DKH42+#REF!+#REF!,"")</f>
        <v/>
      </c>
      <c r="DKI48" s="84" t="str">
        <f>IF(ISNUMBER(outYear),DKI37+DKI42+#REF!+#REF!,"")</f>
        <v/>
      </c>
      <c r="DKJ48" s="84" t="str">
        <f>IF(ISNUMBER(outYear),DKJ37+DKJ42+#REF!+#REF!,"")</f>
        <v/>
      </c>
      <c r="DKK48" s="84" t="str">
        <f>IF(ISNUMBER(outYear),DKK37+DKK42+#REF!+#REF!,"")</f>
        <v/>
      </c>
      <c r="DKL48" s="84" t="str">
        <f>IF(ISNUMBER(outYear),DKL37+DKL42+#REF!+#REF!,"")</f>
        <v/>
      </c>
      <c r="DKM48" s="84" t="str">
        <f>IF(ISNUMBER(outYear),DKM37+DKM42+#REF!+#REF!,"")</f>
        <v/>
      </c>
      <c r="DKN48" s="84" t="str">
        <f>IF(ISNUMBER(outYear),DKN37+DKN42+#REF!+#REF!,"")</f>
        <v/>
      </c>
      <c r="DKO48" s="84" t="str">
        <f>IF(ISNUMBER(outYear),DKO37+DKO42+#REF!+#REF!,"")</f>
        <v/>
      </c>
      <c r="DKP48" s="84" t="str">
        <f>IF(ISNUMBER(outYear),DKP37+DKP42+#REF!+#REF!,"")</f>
        <v/>
      </c>
      <c r="DKQ48" s="84" t="str">
        <f>IF(ISNUMBER(outYear),DKQ37+DKQ42+#REF!+#REF!,"")</f>
        <v/>
      </c>
      <c r="DKR48" s="84" t="str">
        <f>IF(ISNUMBER(outYear),DKR37+DKR42+#REF!+#REF!,"")</f>
        <v/>
      </c>
      <c r="DKS48" s="84" t="str">
        <f>IF(ISNUMBER(outYear),DKS37+DKS42+#REF!+#REF!,"")</f>
        <v/>
      </c>
      <c r="DKT48" s="84" t="str">
        <f>IF(ISNUMBER(outYear),DKT37+DKT42+#REF!+#REF!,"")</f>
        <v/>
      </c>
      <c r="DKU48" s="84" t="str">
        <f>IF(ISNUMBER(outYear),DKU37+DKU42+#REF!+#REF!,"")</f>
        <v/>
      </c>
      <c r="DKV48" s="84" t="str">
        <f>IF(ISNUMBER(outYear),DKV37+DKV42+#REF!+#REF!,"")</f>
        <v/>
      </c>
      <c r="DKW48" s="84" t="str">
        <f>IF(ISNUMBER(outYear),DKW37+DKW42+#REF!+#REF!,"")</f>
        <v/>
      </c>
      <c r="DKX48" s="84" t="str">
        <f>IF(ISNUMBER(outYear),DKX37+DKX42+#REF!+#REF!,"")</f>
        <v/>
      </c>
      <c r="DKY48" s="84" t="str">
        <f>IF(ISNUMBER(outYear),DKY37+DKY42+#REF!+#REF!,"")</f>
        <v/>
      </c>
      <c r="DKZ48" s="84" t="str">
        <f>IF(ISNUMBER(outYear),DKZ37+DKZ42+#REF!+#REF!,"")</f>
        <v/>
      </c>
      <c r="DLA48" s="84" t="str">
        <f>IF(ISNUMBER(outYear),DLA37+DLA42+#REF!+#REF!,"")</f>
        <v/>
      </c>
      <c r="DLB48" s="84" t="str">
        <f>IF(ISNUMBER(outYear),DLB37+DLB42+#REF!+#REF!,"")</f>
        <v/>
      </c>
      <c r="DLC48" s="84" t="str">
        <f>IF(ISNUMBER(outYear),DLC37+DLC42+#REF!+#REF!,"")</f>
        <v/>
      </c>
      <c r="DLD48" s="84" t="str">
        <f>IF(ISNUMBER(outYear),DLD37+DLD42+#REF!+#REF!,"")</f>
        <v/>
      </c>
      <c r="DLE48" s="84" t="str">
        <f>IF(ISNUMBER(outYear),DLE37+DLE42+#REF!+#REF!,"")</f>
        <v/>
      </c>
      <c r="DLF48" s="84" t="str">
        <f>IF(ISNUMBER(outYear),DLF37+DLF42+#REF!+#REF!,"")</f>
        <v/>
      </c>
      <c r="DLG48" s="84" t="str">
        <f>IF(ISNUMBER(outYear),DLG37+DLG42+#REF!+#REF!,"")</f>
        <v/>
      </c>
      <c r="DLH48" s="84" t="str">
        <f>IF(ISNUMBER(outYear),DLH37+DLH42+#REF!+#REF!,"")</f>
        <v/>
      </c>
      <c r="DLI48" s="84" t="str">
        <f>IF(ISNUMBER(outYear),DLI37+DLI42+#REF!+#REF!,"")</f>
        <v/>
      </c>
      <c r="DLJ48" s="84" t="str">
        <f>IF(ISNUMBER(outYear),DLJ37+DLJ42+#REF!+#REF!,"")</f>
        <v/>
      </c>
      <c r="DLK48" s="84" t="str">
        <f>IF(ISNUMBER(outYear),DLK37+DLK42+#REF!+#REF!,"")</f>
        <v/>
      </c>
      <c r="DLL48" s="84" t="str">
        <f>IF(ISNUMBER(outYear),DLL37+DLL42+#REF!+#REF!,"")</f>
        <v/>
      </c>
      <c r="DLM48" s="84" t="str">
        <f>IF(ISNUMBER(outYear),DLM37+DLM42+#REF!+#REF!,"")</f>
        <v/>
      </c>
      <c r="DLN48" s="84" t="str">
        <f>IF(ISNUMBER(outYear),DLN37+DLN42+#REF!+#REF!,"")</f>
        <v/>
      </c>
      <c r="DLO48" s="84" t="str">
        <f>IF(ISNUMBER(outYear),DLO37+DLO42+#REF!+#REF!,"")</f>
        <v/>
      </c>
      <c r="DLP48" s="84" t="str">
        <f>IF(ISNUMBER(outYear),DLP37+DLP42+#REF!+#REF!,"")</f>
        <v/>
      </c>
      <c r="DLQ48" s="84" t="str">
        <f>IF(ISNUMBER(outYear),DLQ37+DLQ42+#REF!+#REF!,"")</f>
        <v/>
      </c>
      <c r="DLR48" s="84" t="str">
        <f>IF(ISNUMBER(outYear),DLR37+DLR42+#REF!+#REF!,"")</f>
        <v/>
      </c>
      <c r="DLS48" s="84" t="str">
        <f>IF(ISNUMBER(outYear),DLS37+DLS42+#REF!+#REF!,"")</f>
        <v/>
      </c>
      <c r="DLT48" s="84" t="str">
        <f>IF(ISNUMBER(outYear),DLT37+DLT42+#REF!+#REF!,"")</f>
        <v/>
      </c>
      <c r="DLU48" s="84" t="str">
        <f>IF(ISNUMBER(outYear),DLU37+DLU42+#REF!+#REF!,"")</f>
        <v/>
      </c>
      <c r="DLV48" s="84" t="str">
        <f>IF(ISNUMBER(outYear),DLV37+DLV42+#REF!+#REF!,"")</f>
        <v/>
      </c>
      <c r="DLW48" s="84" t="str">
        <f>IF(ISNUMBER(outYear),DLW37+DLW42+#REF!+#REF!,"")</f>
        <v/>
      </c>
      <c r="DLX48" s="84" t="str">
        <f>IF(ISNUMBER(outYear),DLX37+DLX42+#REF!+#REF!,"")</f>
        <v/>
      </c>
      <c r="DLY48" s="84" t="str">
        <f>IF(ISNUMBER(outYear),DLY37+DLY42+#REF!+#REF!,"")</f>
        <v/>
      </c>
      <c r="DLZ48" s="84" t="str">
        <f>IF(ISNUMBER(outYear),DLZ37+DLZ42+#REF!+#REF!,"")</f>
        <v/>
      </c>
      <c r="DMA48" s="84" t="str">
        <f>IF(ISNUMBER(outYear),DMA37+DMA42+#REF!+#REF!,"")</f>
        <v/>
      </c>
      <c r="DMB48" s="84" t="str">
        <f>IF(ISNUMBER(outYear),DMB37+DMB42+#REF!+#REF!,"")</f>
        <v/>
      </c>
      <c r="DMC48" s="84" t="str">
        <f>IF(ISNUMBER(outYear),DMC37+DMC42+#REF!+#REF!,"")</f>
        <v/>
      </c>
      <c r="DMD48" s="84" t="str">
        <f>IF(ISNUMBER(outYear),DMD37+DMD42+#REF!+#REF!,"")</f>
        <v/>
      </c>
      <c r="DME48" s="84" t="str">
        <f>IF(ISNUMBER(outYear),DME37+DME42+#REF!+#REF!,"")</f>
        <v/>
      </c>
      <c r="DMF48" s="84" t="str">
        <f>IF(ISNUMBER(outYear),DMF37+DMF42+#REF!+#REF!,"")</f>
        <v/>
      </c>
      <c r="DMG48" s="84" t="str">
        <f>IF(ISNUMBER(outYear),DMG37+DMG42+#REF!+#REF!,"")</f>
        <v/>
      </c>
      <c r="DMH48" s="84" t="str">
        <f>IF(ISNUMBER(outYear),DMH37+DMH42+#REF!+#REF!,"")</f>
        <v/>
      </c>
      <c r="DMI48" s="84" t="str">
        <f>IF(ISNUMBER(outYear),DMI37+DMI42+#REF!+#REF!,"")</f>
        <v/>
      </c>
      <c r="DMJ48" s="84" t="str">
        <f>IF(ISNUMBER(outYear),DMJ37+DMJ42+#REF!+#REF!,"")</f>
        <v/>
      </c>
      <c r="DMK48" s="84" t="str">
        <f>IF(ISNUMBER(outYear),DMK37+DMK42+#REF!+#REF!,"")</f>
        <v/>
      </c>
      <c r="DML48" s="84" t="str">
        <f>IF(ISNUMBER(outYear),DML37+DML42+#REF!+#REF!,"")</f>
        <v/>
      </c>
      <c r="DMM48" s="84" t="str">
        <f>IF(ISNUMBER(outYear),DMM37+DMM42+#REF!+#REF!,"")</f>
        <v/>
      </c>
      <c r="DMN48" s="84" t="str">
        <f>IF(ISNUMBER(outYear),DMN37+DMN42+#REF!+#REF!,"")</f>
        <v/>
      </c>
      <c r="DMO48" s="84" t="str">
        <f>IF(ISNUMBER(outYear),DMO37+DMO42+#REF!+#REF!,"")</f>
        <v/>
      </c>
      <c r="DMP48" s="84" t="str">
        <f>IF(ISNUMBER(outYear),DMP37+DMP42+#REF!+#REF!,"")</f>
        <v/>
      </c>
      <c r="DMQ48" s="84" t="str">
        <f>IF(ISNUMBER(outYear),DMQ37+DMQ42+#REF!+#REF!,"")</f>
        <v/>
      </c>
      <c r="DMR48" s="84" t="str">
        <f>IF(ISNUMBER(outYear),DMR37+DMR42+#REF!+#REF!,"")</f>
        <v/>
      </c>
      <c r="DMS48" s="84" t="str">
        <f>IF(ISNUMBER(outYear),DMS37+DMS42+#REF!+#REF!,"")</f>
        <v/>
      </c>
      <c r="DMT48" s="84" t="str">
        <f>IF(ISNUMBER(outYear),DMT37+DMT42+#REF!+#REF!,"")</f>
        <v/>
      </c>
      <c r="DMU48" s="84" t="str">
        <f>IF(ISNUMBER(outYear),DMU37+DMU42+#REF!+#REF!,"")</f>
        <v/>
      </c>
      <c r="DMV48" s="84" t="str">
        <f>IF(ISNUMBER(outYear),DMV37+DMV42+#REF!+#REF!,"")</f>
        <v/>
      </c>
      <c r="DMW48" s="84" t="str">
        <f>IF(ISNUMBER(outYear),DMW37+DMW42+#REF!+#REF!,"")</f>
        <v/>
      </c>
      <c r="DMX48" s="84" t="str">
        <f>IF(ISNUMBER(outYear),DMX37+DMX42+#REF!+#REF!,"")</f>
        <v/>
      </c>
      <c r="DMY48" s="84" t="str">
        <f>IF(ISNUMBER(outYear),DMY37+DMY42+#REF!+#REF!,"")</f>
        <v/>
      </c>
      <c r="DMZ48" s="84" t="str">
        <f>IF(ISNUMBER(outYear),DMZ37+DMZ42+#REF!+#REF!,"")</f>
        <v/>
      </c>
      <c r="DNA48" s="84" t="str">
        <f>IF(ISNUMBER(outYear),DNA37+DNA42+#REF!+#REF!,"")</f>
        <v/>
      </c>
      <c r="DNB48" s="84" t="str">
        <f>IF(ISNUMBER(outYear),DNB37+DNB42+#REF!+#REF!,"")</f>
        <v/>
      </c>
      <c r="DNC48" s="84" t="str">
        <f>IF(ISNUMBER(outYear),DNC37+DNC42+#REF!+#REF!,"")</f>
        <v/>
      </c>
      <c r="DND48" s="84" t="str">
        <f>IF(ISNUMBER(outYear),DND37+DND42+#REF!+#REF!,"")</f>
        <v/>
      </c>
      <c r="DNE48" s="84" t="str">
        <f>IF(ISNUMBER(outYear),DNE37+DNE42+#REF!+#REF!,"")</f>
        <v/>
      </c>
      <c r="DNF48" s="84" t="str">
        <f>IF(ISNUMBER(outYear),DNF37+DNF42+#REF!+#REF!,"")</f>
        <v/>
      </c>
      <c r="DNG48" s="84" t="str">
        <f>IF(ISNUMBER(outYear),DNG37+DNG42+#REF!+#REF!,"")</f>
        <v/>
      </c>
      <c r="DNH48" s="84" t="str">
        <f>IF(ISNUMBER(outYear),DNH37+DNH42+#REF!+#REF!,"")</f>
        <v/>
      </c>
      <c r="DNI48" s="84" t="str">
        <f>IF(ISNUMBER(outYear),DNI37+DNI42+#REF!+#REF!,"")</f>
        <v/>
      </c>
      <c r="DNJ48" s="84" t="str">
        <f>IF(ISNUMBER(outYear),DNJ37+DNJ42+#REF!+#REF!,"")</f>
        <v/>
      </c>
      <c r="DNK48" s="84" t="str">
        <f>IF(ISNUMBER(outYear),DNK37+DNK42+#REF!+#REF!,"")</f>
        <v/>
      </c>
      <c r="DNL48" s="84" t="str">
        <f>IF(ISNUMBER(outYear),DNL37+DNL42+#REF!+#REF!,"")</f>
        <v/>
      </c>
      <c r="DNM48" s="84" t="str">
        <f>IF(ISNUMBER(outYear),DNM37+DNM42+#REF!+#REF!,"")</f>
        <v/>
      </c>
      <c r="DNN48" s="84" t="str">
        <f>IF(ISNUMBER(outYear),DNN37+DNN42+#REF!+#REF!,"")</f>
        <v/>
      </c>
      <c r="DNO48" s="84" t="str">
        <f>IF(ISNUMBER(outYear),DNO37+DNO42+#REF!+#REF!,"")</f>
        <v/>
      </c>
      <c r="DNP48" s="84" t="str">
        <f>IF(ISNUMBER(outYear),DNP37+DNP42+#REF!+#REF!,"")</f>
        <v/>
      </c>
      <c r="DNQ48" s="84" t="str">
        <f>IF(ISNUMBER(outYear),DNQ37+DNQ42+#REF!+#REF!,"")</f>
        <v/>
      </c>
      <c r="DNR48" s="84" t="str">
        <f>IF(ISNUMBER(outYear),DNR37+DNR42+#REF!+#REF!,"")</f>
        <v/>
      </c>
      <c r="DNS48" s="84" t="str">
        <f>IF(ISNUMBER(outYear),DNS37+DNS42+#REF!+#REF!,"")</f>
        <v/>
      </c>
      <c r="DNT48" s="84" t="str">
        <f>IF(ISNUMBER(outYear),DNT37+DNT42+#REF!+#REF!,"")</f>
        <v/>
      </c>
      <c r="DNU48" s="84" t="str">
        <f>IF(ISNUMBER(outYear),DNU37+DNU42+#REF!+#REF!,"")</f>
        <v/>
      </c>
      <c r="DNV48" s="84" t="str">
        <f>IF(ISNUMBER(outYear),DNV37+DNV42+#REF!+#REF!,"")</f>
        <v/>
      </c>
      <c r="DNW48" s="84" t="str">
        <f>IF(ISNUMBER(outYear),DNW37+DNW42+#REF!+#REF!,"")</f>
        <v/>
      </c>
      <c r="DNX48" s="84" t="str">
        <f>IF(ISNUMBER(outYear),DNX37+DNX42+#REF!+#REF!,"")</f>
        <v/>
      </c>
      <c r="DNY48" s="84" t="str">
        <f>IF(ISNUMBER(outYear),DNY37+DNY42+#REF!+#REF!,"")</f>
        <v/>
      </c>
      <c r="DNZ48" s="84" t="str">
        <f>IF(ISNUMBER(outYear),DNZ37+DNZ42+#REF!+#REF!,"")</f>
        <v/>
      </c>
      <c r="DOA48" s="84" t="str">
        <f>IF(ISNUMBER(outYear),DOA37+DOA42+#REF!+#REF!,"")</f>
        <v/>
      </c>
      <c r="DOB48" s="84" t="str">
        <f>IF(ISNUMBER(outYear),DOB37+DOB42+#REF!+#REF!,"")</f>
        <v/>
      </c>
      <c r="DOC48" s="84" t="str">
        <f>IF(ISNUMBER(outYear),DOC37+DOC42+#REF!+#REF!,"")</f>
        <v/>
      </c>
      <c r="DOD48" s="84" t="str">
        <f>IF(ISNUMBER(outYear),DOD37+DOD42+#REF!+#REF!,"")</f>
        <v/>
      </c>
      <c r="DOE48" s="84" t="str">
        <f>IF(ISNUMBER(outYear),DOE37+DOE42+#REF!+#REF!,"")</f>
        <v/>
      </c>
      <c r="DOF48" s="84" t="str">
        <f>IF(ISNUMBER(outYear),DOF37+DOF42+#REF!+#REF!,"")</f>
        <v/>
      </c>
      <c r="DOG48" s="84" t="str">
        <f>IF(ISNUMBER(outYear),DOG37+DOG42+#REF!+#REF!,"")</f>
        <v/>
      </c>
      <c r="DOH48" s="84" t="str">
        <f>IF(ISNUMBER(outYear),DOH37+DOH42+#REF!+#REF!,"")</f>
        <v/>
      </c>
      <c r="DOI48" s="84" t="str">
        <f>IF(ISNUMBER(outYear),DOI37+DOI42+#REF!+#REF!,"")</f>
        <v/>
      </c>
      <c r="DOJ48" s="84" t="str">
        <f>IF(ISNUMBER(outYear),DOJ37+DOJ42+#REF!+#REF!,"")</f>
        <v/>
      </c>
      <c r="DOK48" s="84" t="str">
        <f>IF(ISNUMBER(outYear),DOK37+DOK42+#REF!+#REF!,"")</f>
        <v/>
      </c>
      <c r="DOL48" s="84" t="str">
        <f>IF(ISNUMBER(outYear),DOL37+DOL42+#REF!+#REF!,"")</f>
        <v/>
      </c>
      <c r="DOM48" s="84" t="str">
        <f>IF(ISNUMBER(outYear),DOM37+DOM42+#REF!+#REF!,"")</f>
        <v/>
      </c>
      <c r="DON48" s="84" t="str">
        <f>IF(ISNUMBER(outYear),DON37+DON42+#REF!+#REF!,"")</f>
        <v/>
      </c>
      <c r="DOO48" s="84" t="str">
        <f>IF(ISNUMBER(outYear),DOO37+DOO42+#REF!+#REF!,"")</f>
        <v/>
      </c>
      <c r="DOP48" s="84" t="str">
        <f>IF(ISNUMBER(outYear),DOP37+DOP42+#REF!+#REF!,"")</f>
        <v/>
      </c>
      <c r="DOQ48" s="84" t="str">
        <f>IF(ISNUMBER(outYear),DOQ37+DOQ42+#REF!+#REF!,"")</f>
        <v/>
      </c>
      <c r="DOR48" s="84" t="str">
        <f>IF(ISNUMBER(outYear),DOR37+DOR42+#REF!+#REF!,"")</f>
        <v/>
      </c>
      <c r="DOS48" s="84" t="str">
        <f>IF(ISNUMBER(outYear),DOS37+DOS42+#REF!+#REF!,"")</f>
        <v/>
      </c>
      <c r="DOT48" s="84" t="str">
        <f>IF(ISNUMBER(outYear),DOT37+DOT42+#REF!+#REF!,"")</f>
        <v/>
      </c>
      <c r="DOU48" s="84" t="str">
        <f>IF(ISNUMBER(outYear),DOU37+DOU42+#REF!+#REF!,"")</f>
        <v/>
      </c>
      <c r="DOV48" s="84" t="str">
        <f>IF(ISNUMBER(outYear),DOV37+DOV42+#REF!+#REF!,"")</f>
        <v/>
      </c>
      <c r="DOW48" s="84" t="str">
        <f>IF(ISNUMBER(outYear),DOW37+DOW42+#REF!+#REF!,"")</f>
        <v/>
      </c>
      <c r="DOX48" s="84" t="str">
        <f>IF(ISNUMBER(outYear),DOX37+DOX42+#REF!+#REF!,"")</f>
        <v/>
      </c>
      <c r="DOY48" s="84" t="str">
        <f>IF(ISNUMBER(outYear),DOY37+DOY42+#REF!+#REF!,"")</f>
        <v/>
      </c>
      <c r="DOZ48" s="84" t="str">
        <f>IF(ISNUMBER(outYear),DOZ37+DOZ42+#REF!+#REF!,"")</f>
        <v/>
      </c>
      <c r="DPA48" s="84" t="str">
        <f>IF(ISNUMBER(outYear),DPA37+DPA42+#REF!+#REF!,"")</f>
        <v/>
      </c>
      <c r="DPB48" s="84" t="str">
        <f>IF(ISNUMBER(outYear),DPB37+DPB42+#REF!+#REF!,"")</f>
        <v/>
      </c>
      <c r="DPC48" s="84" t="str">
        <f>IF(ISNUMBER(outYear),DPC37+DPC42+#REF!+#REF!,"")</f>
        <v/>
      </c>
      <c r="DPD48" s="84" t="str">
        <f>IF(ISNUMBER(outYear),DPD37+DPD42+#REF!+#REF!,"")</f>
        <v/>
      </c>
      <c r="DPE48" s="84" t="str">
        <f>IF(ISNUMBER(outYear),DPE37+DPE42+#REF!+#REF!,"")</f>
        <v/>
      </c>
      <c r="DPF48" s="84" t="str">
        <f>IF(ISNUMBER(outYear),DPF37+DPF42+#REF!+#REF!,"")</f>
        <v/>
      </c>
      <c r="DPG48" s="84" t="str">
        <f>IF(ISNUMBER(outYear),DPG37+DPG42+#REF!+#REF!,"")</f>
        <v/>
      </c>
      <c r="DPH48" s="84" t="str">
        <f>IF(ISNUMBER(outYear),DPH37+DPH42+#REF!+#REF!,"")</f>
        <v/>
      </c>
      <c r="DPI48" s="84" t="str">
        <f>IF(ISNUMBER(outYear),DPI37+DPI42+#REF!+#REF!,"")</f>
        <v/>
      </c>
      <c r="DPJ48" s="84" t="str">
        <f>IF(ISNUMBER(outYear),DPJ37+DPJ42+#REF!+#REF!,"")</f>
        <v/>
      </c>
      <c r="DPK48" s="84" t="str">
        <f>IF(ISNUMBER(outYear),DPK37+DPK42+#REF!+#REF!,"")</f>
        <v/>
      </c>
      <c r="DPL48" s="84" t="str">
        <f>IF(ISNUMBER(outYear),DPL37+DPL42+#REF!+#REF!,"")</f>
        <v/>
      </c>
      <c r="DPM48" s="84" t="str">
        <f>IF(ISNUMBER(outYear),DPM37+DPM42+#REF!+#REF!,"")</f>
        <v/>
      </c>
      <c r="DPN48" s="84" t="str">
        <f>IF(ISNUMBER(outYear),DPN37+DPN42+#REF!+#REF!,"")</f>
        <v/>
      </c>
      <c r="DPO48" s="84" t="str">
        <f>IF(ISNUMBER(outYear),DPO37+DPO42+#REF!+#REF!,"")</f>
        <v/>
      </c>
      <c r="DPP48" s="84" t="str">
        <f>IF(ISNUMBER(outYear),DPP37+DPP42+#REF!+#REF!,"")</f>
        <v/>
      </c>
      <c r="DPQ48" s="84" t="str">
        <f>IF(ISNUMBER(outYear),DPQ37+DPQ42+#REF!+#REF!,"")</f>
        <v/>
      </c>
      <c r="DPR48" s="84" t="str">
        <f>IF(ISNUMBER(outYear),DPR37+DPR42+#REF!+#REF!,"")</f>
        <v/>
      </c>
      <c r="DPS48" s="84" t="str">
        <f>IF(ISNUMBER(outYear),DPS37+DPS42+#REF!+#REF!,"")</f>
        <v/>
      </c>
      <c r="DPT48" s="84" t="str">
        <f>IF(ISNUMBER(outYear),DPT37+DPT42+#REF!+#REF!,"")</f>
        <v/>
      </c>
      <c r="DPU48" s="84" t="str">
        <f>IF(ISNUMBER(outYear),DPU37+DPU42+#REF!+#REF!,"")</f>
        <v/>
      </c>
      <c r="DPV48" s="84" t="str">
        <f>IF(ISNUMBER(outYear),DPV37+DPV42+#REF!+#REF!,"")</f>
        <v/>
      </c>
      <c r="DPW48" s="84" t="str">
        <f>IF(ISNUMBER(outYear),DPW37+DPW42+#REF!+#REF!,"")</f>
        <v/>
      </c>
      <c r="DPX48" s="84" t="str">
        <f>IF(ISNUMBER(outYear),DPX37+DPX42+#REF!+#REF!,"")</f>
        <v/>
      </c>
      <c r="DPY48" s="84" t="str">
        <f>IF(ISNUMBER(outYear),DPY37+DPY42+#REF!+#REF!,"")</f>
        <v/>
      </c>
      <c r="DPZ48" s="84" t="str">
        <f>IF(ISNUMBER(outYear),DPZ37+DPZ42+#REF!+#REF!,"")</f>
        <v/>
      </c>
      <c r="DQA48" s="84" t="str">
        <f>IF(ISNUMBER(outYear),DQA37+DQA42+#REF!+#REF!,"")</f>
        <v/>
      </c>
      <c r="DQB48" s="84" t="str">
        <f>IF(ISNUMBER(outYear),DQB37+DQB42+#REF!+#REF!,"")</f>
        <v/>
      </c>
      <c r="DQC48" s="84" t="str">
        <f>IF(ISNUMBER(outYear),DQC37+DQC42+#REF!+#REF!,"")</f>
        <v/>
      </c>
      <c r="DQD48" s="84" t="str">
        <f>IF(ISNUMBER(outYear),DQD37+DQD42+#REF!+#REF!,"")</f>
        <v/>
      </c>
      <c r="DQE48" s="84" t="str">
        <f>IF(ISNUMBER(outYear),DQE37+DQE42+#REF!+#REF!,"")</f>
        <v/>
      </c>
      <c r="DQF48" s="84" t="str">
        <f>IF(ISNUMBER(outYear),DQF37+DQF42+#REF!+#REF!,"")</f>
        <v/>
      </c>
      <c r="DQG48" s="84" t="str">
        <f>IF(ISNUMBER(outYear),DQG37+DQG42+#REF!+#REF!,"")</f>
        <v/>
      </c>
      <c r="DQH48" s="84" t="str">
        <f>IF(ISNUMBER(outYear),DQH37+DQH42+#REF!+#REF!,"")</f>
        <v/>
      </c>
      <c r="DQI48" s="84" t="str">
        <f>IF(ISNUMBER(outYear),DQI37+DQI42+#REF!+#REF!,"")</f>
        <v/>
      </c>
      <c r="DQJ48" s="84" t="str">
        <f>IF(ISNUMBER(outYear),DQJ37+DQJ42+#REF!+#REF!,"")</f>
        <v/>
      </c>
      <c r="DQK48" s="84" t="str">
        <f>IF(ISNUMBER(outYear),DQK37+DQK42+#REF!+#REF!,"")</f>
        <v/>
      </c>
      <c r="DQL48" s="84" t="str">
        <f>IF(ISNUMBER(outYear),DQL37+DQL42+#REF!+#REF!,"")</f>
        <v/>
      </c>
      <c r="DQM48" s="84" t="str">
        <f>IF(ISNUMBER(outYear),DQM37+DQM42+#REF!+#REF!,"")</f>
        <v/>
      </c>
      <c r="DQN48" s="84" t="str">
        <f>IF(ISNUMBER(outYear),DQN37+DQN42+#REF!+#REF!,"")</f>
        <v/>
      </c>
      <c r="DQO48" s="84" t="str">
        <f>IF(ISNUMBER(outYear),DQO37+DQO42+#REF!+#REF!,"")</f>
        <v/>
      </c>
      <c r="DQP48" s="84" t="str">
        <f>IF(ISNUMBER(outYear),DQP37+DQP42+#REF!+#REF!,"")</f>
        <v/>
      </c>
      <c r="DQQ48" s="84" t="str">
        <f>IF(ISNUMBER(outYear),DQQ37+DQQ42+#REF!+#REF!,"")</f>
        <v/>
      </c>
      <c r="DQR48" s="84" t="str">
        <f>IF(ISNUMBER(outYear),DQR37+DQR42+#REF!+#REF!,"")</f>
        <v/>
      </c>
      <c r="DQS48" s="84" t="str">
        <f>IF(ISNUMBER(outYear),DQS37+DQS42+#REF!+#REF!,"")</f>
        <v/>
      </c>
      <c r="DQT48" s="84" t="str">
        <f>IF(ISNUMBER(outYear),DQT37+DQT42+#REF!+#REF!,"")</f>
        <v/>
      </c>
      <c r="DQU48" s="84" t="str">
        <f>IF(ISNUMBER(outYear),DQU37+DQU42+#REF!+#REF!,"")</f>
        <v/>
      </c>
      <c r="DQV48" s="84" t="str">
        <f>IF(ISNUMBER(outYear),DQV37+DQV42+#REF!+#REF!,"")</f>
        <v/>
      </c>
      <c r="DQW48" s="84" t="str">
        <f>IF(ISNUMBER(outYear),DQW37+DQW42+#REF!+#REF!,"")</f>
        <v/>
      </c>
      <c r="DQX48" s="84" t="str">
        <f>IF(ISNUMBER(outYear),DQX37+DQX42+#REF!+#REF!,"")</f>
        <v/>
      </c>
      <c r="DQY48" s="84" t="str">
        <f>IF(ISNUMBER(outYear),DQY37+DQY42+#REF!+#REF!,"")</f>
        <v/>
      </c>
      <c r="DQZ48" s="84" t="str">
        <f>IF(ISNUMBER(outYear),DQZ37+DQZ42+#REF!+#REF!,"")</f>
        <v/>
      </c>
      <c r="DRA48" s="84" t="str">
        <f>IF(ISNUMBER(outYear),DRA37+DRA42+#REF!+#REF!,"")</f>
        <v/>
      </c>
      <c r="DRB48" s="84" t="str">
        <f>IF(ISNUMBER(outYear),DRB37+DRB42+#REF!+#REF!,"")</f>
        <v/>
      </c>
      <c r="DRC48" s="84" t="str">
        <f>IF(ISNUMBER(outYear),DRC37+DRC42+#REF!+#REF!,"")</f>
        <v/>
      </c>
      <c r="DRD48" s="84" t="str">
        <f>IF(ISNUMBER(outYear),DRD37+DRD42+#REF!+#REF!,"")</f>
        <v/>
      </c>
      <c r="DRE48" s="84" t="str">
        <f>IF(ISNUMBER(outYear),DRE37+DRE42+#REF!+#REF!,"")</f>
        <v/>
      </c>
      <c r="DRF48" s="84" t="str">
        <f>IF(ISNUMBER(outYear),DRF37+DRF42+#REF!+#REF!,"")</f>
        <v/>
      </c>
      <c r="DRG48" s="84" t="str">
        <f>IF(ISNUMBER(outYear),DRG37+DRG42+#REF!+#REF!,"")</f>
        <v/>
      </c>
      <c r="DRH48" s="84" t="str">
        <f>IF(ISNUMBER(outYear),DRH37+DRH42+#REF!+#REF!,"")</f>
        <v/>
      </c>
      <c r="DRI48" s="84" t="str">
        <f>IF(ISNUMBER(outYear),DRI37+DRI42+#REF!+#REF!,"")</f>
        <v/>
      </c>
      <c r="DRJ48" s="84" t="str">
        <f>IF(ISNUMBER(outYear),DRJ37+DRJ42+#REF!+#REF!,"")</f>
        <v/>
      </c>
      <c r="DRK48" s="84" t="str">
        <f>IF(ISNUMBER(outYear),DRK37+DRK42+#REF!+#REF!,"")</f>
        <v/>
      </c>
      <c r="DRL48" s="84" t="str">
        <f>IF(ISNUMBER(outYear),DRL37+DRL42+#REF!+#REF!,"")</f>
        <v/>
      </c>
      <c r="DRM48" s="84" t="str">
        <f>IF(ISNUMBER(outYear),DRM37+DRM42+#REF!+#REF!,"")</f>
        <v/>
      </c>
      <c r="DRN48" s="84" t="str">
        <f>IF(ISNUMBER(outYear),DRN37+DRN42+#REF!+#REF!,"")</f>
        <v/>
      </c>
      <c r="DRO48" s="84" t="str">
        <f>IF(ISNUMBER(outYear),DRO37+DRO42+#REF!+#REF!,"")</f>
        <v/>
      </c>
      <c r="DRP48" s="84" t="str">
        <f>IF(ISNUMBER(outYear),DRP37+DRP42+#REF!+#REF!,"")</f>
        <v/>
      </c>
      <c r="DRQ48" s="84" t="str">
        <f>IF(ISNUMBER(outYear),DRQ37+DRQ42+#REF!+#REF!,"")</f>
        <v/>
      </c>
      <c r="DRR48" s="84" t="str">
        <f>IF(ISNUMBER(outYear),DRR37+DRR42+#REF!+#REF!,"")</f>
        <v/>
      </c>
      <c r="DRS48" s="84" t="str">
        <f>IF(ISNUMBER(outYear),DRS37+DRS42+#REF!+#REF!,"")</f>
        <v/>
      </c>
      <c r="DRT48" s="84" t="str">
        <f>IF(ISNUMBER(outYear),DRT37+DRT42+#REF!+#REF!,"")</f>
        <v/>
      </c>
      <c r="DRU48" s="84" t="str">
        <f>IF(ISNUMBER(outYear),DRU37+DRU42+#REF!+#REF!,"")</f>
        <v/>
      </c>
      <c r="DRV48" s="84" t="str">
        <f>IF(ISNUMBER(outYear),DRV37+DRV42+#REF!+#REF!,"")</f>
        <v/>
      </c>
      <c r="DRW48" s="84" t="str">
        <f>IF(ISNUMBER(outYear),DRW37+DRW42+#REF!+#REF!,"")</f>
        <v/>
      </c>
      <c r="DRX48" s="84" t="str">
        <f>IF(ISNUMBER(outYear),DRX37+DRX42+#REF!+#REF!,"")</f>
        <v/>
      </c>
      <c r="DRY48" s="84" t="str">
        <f>IF(ISNUMBER(outYear),DRY37+DRY42+#REF!+#REF!,"")</f>
        <v/>
      </c>
      <c r="DRZ48" s="84" t="str">
        <f>IF(ISNUMBER(outYear),DRZ37+DRZ42+#REF!+#REF!,"")</f>
        <v/>
      </c>
      <c r="DSA48" s="84" t="str">
        <f>IF(ISNUMBER(outYear),DSA37+DSA42+#REF!+#REF!,"")</f>
        <v/>
      </c>
      <c r="DSB48" s="84" t="str">
        <f>IF(ISNUMBER(outYear),DSB37+DSB42+#REF!+#REF!,"")</f>
        <v/>
      </c>
      <c r="DSC48" s="84" t="str">
        <f>IF(ISNUMBER(outYear),DSC37+DSC42+#REF!+#REF!,"")</f>
        <v/>
      </c>
      <c r="DSD48" s="84" t="str">
        <f>IF(ISNUMBER(outYear),DSD37+DSD42+#REF!+#REF!,"")</f>
        <v/>
      </c>
      <c r="DSE48" s="84" t="str">
        <f>IF(ISNUMBER(outYear),DSE37+DSE42+#REF!+#REF!,"")</f>
        <v/>
      </c>
      <c r="DSF48" s="84" t="str">
        <f>IF(ISNUMBER(outYear),DSF37+DSF42+#REF!+#REF!,"")</f>
        <v/>
      </c>
      <c r="DSG48" s="84" t="str">
        <f>IF(ISNUMBER(outYear),DSG37+DSG42+#REF!+#REF!,"")</f>
        <v/>
      </c>
      <c r="DSH48" s="84" t="str">
        <f>IF(ISNUMBER(outYear),DSH37+DSH42+#REF!+#REF!,"")</f>
        <v/>
      </c>
      <c r="DSI48" s="84" t="str">
        <f>IF(ISNUMBER(outYear),DSI37+DSI42+#REF!+#REF!,"")</f>
        <v/>
      </c>
      <c r="DSJ48" s="84" t="str">
        <f>IF(ISNUMBER(outYear),DSJ37+DSJ42+#REF!+#REF!,"")</f>
        <v/>
      </c>
      <c r="DSK48" s="84" t="str">
        <f>IF(ISNUMBER(outYear),DSK37+DSK42+#REF!+#REF!,"")</f>
        <v/>
      </c>
      <c r="DSL48" s="84" t="str">
        <f>IF(ISNUMBER(outYear),DSL37+DSL42+#REF!+#REF!,"")</f>
        <v/>
      </c>
      <c r="DSM48" s="84" t="str">
        <f>IF(ISNUMBER(outYear),DSM37+DSM42+#REF!+#REF!,"")</f>
        <v/>
      </c>
      <c r="DSN48" s="84" t="str">
        <f>IF(ISNUMBER(outYear),DSN37+DSN42+#REF!+#REF!,"")</f>
        <v/>
      </c>
      <c r="DSO48" s="84" t="str">
        <f>IF(ISNUMBER(outYear),DSO37+DSO42+#REF!+#REF!,"")</f>
        <v/>
      </c>
      <c r="DSP48" s="84" t="str">
        <f>IF(ISNUMBER(outYear),DSP37+DSP42+#REF!+#REF!,"")</f>
        <v/>
      </c>
      <c r="DSQ48" s="84" t="str">
        <f>IF(ISNUMBER(outYear),DSQ37+DSQ42+#REF!+#REF!,"")</f>
        <v/>
      </c>
      <c r="DSR48" s="84" t="str">
        <f>IF(ISNUMBER(outYear),DSR37+DSR42+#REF!+#REF!,"")</f>
        <v/>
      </c>
      <c r="DSS48" s="84" t="str">
        <f>IF(ISNUMBER(outYear),DSS37+DSS42+#REF!+#REF!,"")</f>
        <v/>
      </c>
      <c r="DST48" s="84" t="str">
        <f>IF(ISNUMBER(outYear),DST37+DST42+#REF!+#REF!,"")</f>
        <v/>
      </c>
      <c r="DSU48" s="84" t="str">
        <f>IF(ISNUMBER(outYear),DSU37+DSU42+#REF!+#REF!,"")</f>
        <v/>
      </c>
      <c r="DSV48" s="84" t="str">
        <f>IF(ISNUMBER(outYear),DSV37+DSV42+#REF!+#REF!,"")</f>
        <v/>
      </c>
      <c r="DSW48" s="84" t="str">
        <f>IF(ISNUMBER(outYear),DSW37+DSW42+#REF!+#REF!,"")</f>
        <v/>
      </c>
      <c r="DSX48" s="84" t="str">
        <f>IF(ISNUMBER(outYear),DSX37+DSX42+#REF!+#REF!,"")</f>
        <v/>
      </c>
      <c r="DSY48" s="84" t="str">
        <f>IF(ISNUMBER(outYear),DSY37+DSY42+#REF!+#REF!,"")</f>
        <v/>
      </c>
      <c r="DSZ48" s="84" t="str">
        <f>IF(ISNUMBER(outYear),DSZ37+DSZ42+#REF!+#REF!,"")</f>
        <v/>
      </c>
      <c r="DTA48" s="84" t="str">
        <f>IF(ISNUMBER(outYear),DTA37+DTA42+#REF!+#REF!,"")</f>
        <v/>
      </c>
      <c r="DTB48" s="84" t="str">
        <f>IF(ISNUMBER(outYear),DTB37+DTB42+#REF!+#REF!,"")</f>
        <v/>
      </c>
      <c r="DTC48" s="84" t="str">
        <f>IF(ISNUMBER(outYear),DTC37+DTC42+#REF!+#REF!,"")</f>
        <v/>
      </c>
      <c r="DTD48" s="84" t="str">
        <f>IF(ISNUMBER(outYear),DTD37+DTD42+#REF!+#REF!,"")</f>
        <v/>
      </c>
      <c r="DTE48" s="84" t="str">
        <f>IF(ISNUMBER(outYear),DTE37+DTE42+#REF!+#REF!,"")</f>
        <v/>
      </c>
      <c r="DTF48" s="84" t="str">
        <f>IF(ISNUMBER(outYear),DTF37+DTF42+#REF!+#REF!,"")</f>
        <v/>
      </c>
      <c r="DTG48" s="84" t="str">
        <f>IF(ISNUMBER(outYear),DTG37+DTG42+#REF!+#REF!,"")</f>
        <v/>
      </c>
      <c r="DTH48" s="84" t="str">
        <f>IF(ISNUMBER(outYear),DTH37+DTH42+#REF!+#REF!,"")</f>
        <v/>
      </c>
      <c r="DTI48" s="84" t="str">
        <f>IF(ISNUMBER(outYear),DTI37+DTI42+#REF!+#REF!,"")</f>
        <v/>
      </c>
      <c r="DTJ48" s="84" t="str">
        <f>IF(ISNUMBER(outYear),DTJ37+DTJ42+#REF!+#REF!,"")</f>
        <v/>
      </c>
      <c r="DTK48" s="84" t="str">
        <f>IF(ISNUMBER(outYear),DTK37+DTK42+#REF!+#REF!,"")</f>
        <v/>
      </c>
      <c r="DTL48" s="84" t="str">
        <f>IF(ISNUMBER(outYear),DTL37+DTL42+#REF!+#REF!,"")</f>
        <v/>
      </c>
      <c r="DTM48" s="84" t="str">
        <f>IF(ISNUMBER(outYear),DTM37+DTM42+#REF!+#REF!,"")</f>
        <v/>
      </c>
      <c r="DTN48" s="84" t="str">
        <f>IF(ISNUMBER(outYear),DTN37+DTN42+#REF!+#REF!,"")</f>
        <v/>
      </c>
      <c r="DTO48" s="84" t="str">
        <f>IF(ISNUMBER(outYear),DTO37+DTO42+#REF!+#REF!,"")</f>
        <v/>
      </c>
      <c r="DTP48" s="84" t="str">
        <f>IF(ISNUMBER(outYear),DTP37+DTP42+#REF!+#REF!,"")</f>
        <v/>
      </c>
      <c r="DTQ48" s="84" t="str">
        <f>IF(ISNUMBER(outYear),DTQ37+DTQ42+#REF!+#REF!,"")</f>
        <v/>
      </c>
      <c r="DTR48" s="84" t="str">
        <f>IF(ISNUMBER(outYear),DTR37+DTR42+#REF!+#REF!,"")</f>
        <v/>
      </c>
      <c r="DTS48" s="84" t="str">
        <f>IF(ISNUMBER(outYear),DTS37+DTS42+#REF!+#REF!,"")</f>
        <v/>
      </c>
      <c r="DTT48" s="84" t="str">
        <f>IF(ISNUMBER(outYear),DTT37+DTT42+#REF!+#REF!,"")</f>
        <v/>
      </c>
      <c r="DTU48" s="84" t="str">
        <f>IF(ISNUMBER(outYear),DTU37+DTU42+#REF!+#REF!,"")</f>
        <v/>
      </c>
      <c r="DTV48" s="84" t="str">
        <f>IF(ISNUMBER(outYear),DTV37+DTV42+#REF!+#REF!,"")</f>
        <v/>
      </c>
      <c r="DTW48" s="84" t="str">
        <f>IF(ISNUMBER(outYear),DTW37+DTW42+#REF!+#REF!,"")</f>
        <v/>
      </c>
      <c r="DTX48" s="84" t="str">
        <f>IF(ISNUMBER(outYear),DTX37+DTX42+#REF!+#REF!,"")</f>
        <v/>
      </c>
      <c r="DTY48" s="84" t="str">
        <f>IF(ISNUMBER(outYear),DTY37+DTY42+#REF!+#REF!,"")</f>
        <v/>
      </c>
      <c r="DTZ48" s="84" t="str">
        <f>IF(ISNUMBER(outYear),DTZ37+DTZ42+#REF!+#REF!,"")</f>
        <v/>
      </c>
      <c r="DUA48" s="84" t="str">
        <f>IF(ISNUMBER(outYear),DUA37+DUA42+#REF!+#REF!,"")</f>
        <v/>
      </c>
      <c r="DUB48" s="84" t="str">
        <f>IF(ISNUMBER(outYear),DUB37+DUB42+#REF!+#REF!,"")</f>
        <v/>
      </c>
      <c r="DUC48" s="84" t="str">
        <f>IF(ISNUMBER(outYear),DUC37+DUC42+#REF!+#REF!,"")</f>
        <v/>
      </c>
      <c r="DUD48" s="84" t="str">
        <f>IF(ISNUMBER(outYear),DUD37+DUD42+#REF!+#REF!,"")</f>
        <v/>
      </c>
      <c r="DUE48" s="84" t="str">
        <f>IF(ISNUMBER(outYear),DUE37+DUE42+#REF!+#REF!,"")</f>
        <v/>
      </c>
      <c r="DUF48" s="84" t="str">
        <f>IF(ISNUMBER(outYear),DUF37+DUF42+#REF!+#REF!,"")</f>
        <v/>
      </c>
      <c r="DUG48" s="84" t="str">
        <f>IF(ISNUMBER(outYear),DUG37+DUG42+#REF!+#REF!,"")</f>
        <v/>
      </c>
      <c r="DUH48" s="84" t="str">
        <f>IF(ISNUMBER(outYear),DUH37+DUH42+#REF!+#REF!,"")</f>
        <v/>
      </c>
      <c r="DUI48" s="84" t="str">
        <f>IF(ISNUMBER(outYear),DUI37+DUI42+#REF!+#REF!,"")</f>
        <v/>
      </c>
      <c r="DUJ48" s="84" t="str">
        <f>IF(ISNUMBER(outYear),DUJ37+DUJ42+#REF!+#REF!,"")</f>
        <v/>
      </c>
      <c r="DUK48" s="84" t="str">
        <f>IF(ISNUMBER(outYear),DUK37+DUK42+#REF!+#REF!,"")</f>
        <v/>
      </c>
      <c r="DUL48" s="84" t="str">
        <f>IF(ISNUMBER(outYear),DUL37+DUL42+#REF!+#REF!,"")</f>
        <v/>
      </c>
      <c r="DUM48" s="84" t="str">
        <f>IF(ISNUMBER(outYear),DUM37+DUM42+#REF!+#REF!,"")</f>
        <v/>
      </c>
      <c r="DUN48" s="84" t="str">
        <f>IF(ISNUMBER(outYear),DUN37+DUN42+#REF!+#REF!,"")</f>
        <v/>
      </c>
      <c r="DUO48" s="84" t="str">
        <f>IF(ISNUMBER(outYear),DUO37+DUO42+#REF!+#REF!,"")</f>
        <v/>
      </c>
      <c r="DUP48" s="84" t="str">
        <f>IF(ISNUMBER(outYear),DUP37+DUP42+#REF!+#REF!,"")</f>
        <v/>
      </c>
      <c r="DUQ48" s="84" t="str">
        <f>IF(ISNUMBER(outYear),DUQ37+DUQ42+#REF!+#REF!,"")</f>
        <v/>
      </c>
      <c r="DUR48" s="84" t="str">
        <f>IF(ISNUMBER(outYear),DUR37+DUR42+#REF!+#REF!,"")</f>
        <v/>
      </c>
      <c r="DUS48" s="84" t="str">
        <f>IF(ISNUMBER(outYear),DUS37+DUS42+#REF!+#REF!,"")</f>
        <v/>
      </c>
      <c r="DUT48" s="84" t="str">
        <f>IF(ISNUMBER(outYear),DUT37+DUT42+#REF!+#REF!,"")</f>
        <v/>
      </c>
      <c r="DUU48" s="84" t="str">
        <f>IF(ISNUMBER(outYear),DUU37+DUU42+#REF!+#REF!,"")</f>
        <v/>
      </c>
      <c r="DUV48" s="84" t="str">
        <f>IF(ISNUMBER(outYear),DUV37+DUV42+#REF!+#REF!,"")</f>
        <v/>
      </c>
      <c r="DUW48" s="84" t="str">
        <f>IF(ISNUMBER(outYear),DUW37+DUW42+#REF!+#REF!,"")</f>
        <v/>
      </c>
      <c r="DUX48" s="84" t="str">
        <f>IF(ISNUMBER(outYear),DUX37+DUX42+#REF!+#REF!,"")</f>
        <v/>
      </c>
      <c r="DUY48" s="84" t="str">
        <f>IF(ISNUMBER(outYear),DUY37+DUY42+#REF!+#REF!,"")</f>
        <v/>
      </c>
      <c r="DUZ48" s="84" t="str">
        <f>IF(ISNUMBER(outYear),DUZ37+DUZ42+#REF!+#REF!,"")</f>
        <v/>
      </c>
      <c r="DVA48" s="84" t="str">
        <f>IF(ISNUMBER(outYear),DVA37+DVA42+#REF!+#REF!,"")</f>
        <v/>
      </c>
      <c r="DVB48" s="84" t="str">
        <f>IF(ISNUMBER(outYear),DVB37+DVB42+#REF!+#REF!,"")</f>
        <v/>
      </c>
      <c r="DVC48" s="84" t="str">
        <f>IF(ISNUMBER(outYear),DVC37+DVC42+#REF!+#REF!,"")</f>
        <v/>
      </c>
      <c r="DVD48" s="84" t="str">
        <f>IF(ISNUMBER(outYear),DVD37+DVD42+#REF!+#REF!,"")</f>
        <v/>
      </c>
      <c r="DVE48" s="84" t="str">
        <f>IF(ISNUMBER(outYear),DVE37+DVE42+#REF!+#REF!,"")</f>
        <v/>
      </c>
      <c r="DVF48" s="84" t="str">
        <f>IF(ISNUMBER(outYear),DVF37+DVF42+#REF!+#REF!,"")</f>
        <v/>
      </c>
      <c r="DVG48" s="84" t="str">
        <f>IF(ISNUMBER(outYear),DVG37+DVG42+#REF!+#REF!,"")</f>
        <v/>
      </c>
      <c r="DVH48" s="84" t="str">
        <f>IF(ISNUMBER(outYear),DVH37+DVH42+#REF!+#REF!,"")</f>
        <v/>
      </c>
      <c r="DVI48" s="84" t="str">
        <f>IF(ISNUMBER(outYear),DVI37+DVI42+#REF!+#REF!,"")</f>
        <v/>
      </c>
      <c r="DVJ48" s="84" t="str">
        <f>IF(ISNUMBER(outYear),DVJ37+DVJ42+#REF!+#REF!,"")</f>
        <v/>
      </c>
      <c r="DVK48" s="84" t="str">
        <f>IF(ISNUMBER(outYear),DVK37+DVK42+#REF!+#REF!,"")</f>
        <v/>
      </c>
      <c r="DVL48" s="84" t="str">
        <f>IF(ISNUMBER(outYear),DVL37+DVL42+#REF!+#REF!,"")</f>
        <v/>
      </c>
      <c r="DVM48" s="84" t="str">
        <f>IF(ISNUMBER(outYear),DVM37+DVM42+#REF!+#REF!,"")</f>
        <v/>
      </c>
      <c r="DVN48" s="84" t="str">
        <f>IF(ISNUMBER(outYear),DVN37+DVN42+#REF!+#REF!,"")</f>
        <v/>
      </c>
      <c r="DVO48" s="84" t="str">
        <f>IF(ISNUMBER(outYear),DVO37+DVO42+#REF!+#REF!,"")</f>
        <v/>
      </c>
      <c r="DVP48" s="84" t="str">
        <f>IF(ISNUMBER(outYear),DVP37+DVP42+#REF!+#REF!,"")</f>
        <v/>
      </c>
      <c r="DVQ48" s="84" t="str">
        <f>IF(ISNUMBER(outYear),DVQ37+DVQ42+#REF!+#REF!,"")</f>
        <v/>
      </c>
      <c r="DVR48" s="84" t="str">
        <f>IF(ISNUMBER(outYear),DVR37+DVR42+#REF!+#REF!,"")</f>
        <v/>
      </c>
      <c r="DVS48" s="84" t="str">
        <f>IF(ISNUMBER(outYear),DVS37+DVS42+#REF!+#REF!,"")</f>
        <v/>
      </c>
      <c r="DVT48" s="84" t="str">
        <f>IF(ISNUMBER(outYear),DVT37+DVT42+#REF!+#REF!,"")</f>
        <v/>
      </c>
      <c r="DVU48" s="84" t="str">
        <f>IF(ISNUMBER(outYear),DVU37+DVU42+#REF!+#REF!,"")</f>
        <v/>
      </c>
      <c r="DVV48" s="84" t="str">
        <f>IF(ISNUMBER(outYear),DVV37+DVV42+#REF!+#REF!,"")</f>
        <v/>
      </c>
      <c r="DVW48" s="84" t="str">
        <f>IF(ISNUMBER(outYear),DVW37+DVW42+#REF!+#REF!,"")</f>
        <v/>
      </c>
      <c r="DVX48" s="84" t="str">
        <f>IF(ISNUMBER(outYear),DVX37+DVX42+#REF!+#REF!,"")</f>
        <v/>
      </c>
      <c r="DVY48" s="84" t="str">
        <f>IF(ISNUMBER(outYear),DVY37+DVY42+#REF!+#REF!,"")</f>
        <v/>
      </c>
      <c r="DVZ48" s="84" t="str">
        <f>IF(ISNUMBER(outYear),DVZ37+DVZ42+#REF!+#REF!,"")</f>
        <v/>
      </c>
      <c r="DWA48" s="84" t="str">
        <f>IF(ISNUMBER(outYear),DWA37+DWA42+#REF!+#REF!,"")</f>
        <v/>
      </c>
      <c r="DWB48" s="84" t="str">
        <f>IF(ISNUMBER(outYear),DWB37+DWB42+#REF!+#REF!,"")</f>
        <v/>
      </c>
      <c r="DWC48" s="84" t="str">
        <f>IF(ISNUMBER(outYear),DWC37+DWC42+#REF!+#REF!,"")</f>
        <v/>
      </c>
      <c r="DWD48" s="84" t="str">
        <f>IF(ISNUMBER(outYear),DWD37+DWD42+#REF!+#REF!,"")</f>
        <v/>
      </c>
      <c r="DWE48" s="84" t="str">
        <f>IF(ISNUMBER(outYear),DWE37+DWE42+#REF!+#REF!,"")</f>
        <v/>
      </c>
      <c r="DWF48" s="84" t="str">
        <f>IF(ISNUMBER(outYear),DWF37+DWF42+#REF!+#REF!,"")</f>
        <v/>
      </c>
      <c r="DWG48" s="84" t="str">
        <f>IF(ISNUMBER(outYear),DWG37+DWG42+#REF!+#REF!,"")</f>
        <v/>
      </c>
      <c r="DWH48" s="84" t="str">
        <f>IF(ISNUMBER(outYear),DWH37+DWH42+#REF!+#REF!,"")</f>
        <v/>
      </c>
      <c r="DWI48" s="84" t="str">
        <f>IF(ISNUMBER(outYear),DWI37+DWI42+#REF!+#REF!,"")</f>
        <v/>
      </c>
      <c r="DWJ48" s="84" t="str">
        <f>IF(ISNUMBER(outYear),DWJ37+DWJ42+#REF!+#REF!,"")</f>
        <v/>
      </c>
      <c r="DWK48" s="84" t="str">
        <f>IF(ISNUMBER(outYear),DWK37+DWK42+#REF!+#REF!,"")</f>
        <v/>
      </c>
      <c r="DWL48" s="84" t="str">
        <f>IF(ISNUMBER(outYear),DWL37+DWL42+#REF!+#REF!,"")</f>
        <v/>
      </c>
      <c r="DWM48" s="84" t="str">
        <f>IF(ISNUMBER(outYear),DWM37+DWM42+#REF!+#REF!,"")</f>
        <v/>
      </c>
      <c r="DWN48" s="84" t="str">
        <f>IF(ISNUMBER(outYear),DWN37+DWN42+#REF!+#REF!,"")</f>
        <v/>
      </c>
      <c r="DWO48" s="84" t="str">
        <f>IF(ISNUMBER(outYear),DWO37+DWO42+#REF!+#REF!,"")</f>
        <v/>
      </c>
      <c r="DWP48" s="84" t="str">
        <f>IF(ISNUMBER(outYear),DWP37+DWP42+#REF!+#REF!,"")</f>
        <v/>
      </c>
      <c r="DWQ48" s="84" t="str">
        <f>IF(ISNUMBER(outYear),DWQ37+DWQ42+#REF!+#REF!,"")</f>
        <v/>
      </c>
      <c r="DWR48" s="84" t="str">
        <f>IF(ISNUMBER(outYear),DWR37+DWR42+#REF!+#REF!,"")</f>
        <v/>
      </c>
      <c r="DWS48" s="84" t="str">
        <f>IF(ISNUMBER(outYear),DWS37+DWS42+#REF!+#REF!,"")</f>
        <v/>
      </c>
      <c r="DWT48" s="84" t="str">
        <f>IF(ISNUMBER(outYear),DWT37+DWT42+#REF!+#REF!,"")</f>
        <v/>
      </c>
      <c r="DWU48" s="84" t="str">
        <f>IF(ISNUMBER(outYear),DWU37+DWU42+#REF!+#REF!,"")</f>
        <v/>
      </c>
      <c r="DWV48" s="84" t="str">
        <f>IF(ISNUMBER(outYear),DWV37+DWV42+#REF!+#REF!,"")</f>
        <v/>
      </c>
      <c r="DWW48" s="84" t="str">
        <f>IF(ISNUMBER(outYear),DWW37+DWW42+#REF!+#REF!,"")</f>
        <v/>
      </c>
      <c r="DWX48" s="84" t="str">
        <f>IF(ISNUMBER(outYear),DWX37+DWX42+#REF!+#REF!,"")</f>
        <v/>
      </c>
      <c r="DWY48" s="84" t="str">
        <f>IF(ISNUMBER(outYear),DWY37+DWY42+#REF!+#REF!,"")</f>
        <v/>
      </c>
      <c r="DWZ48" s="84" t="str">
        <f>IF(ISNUMBER(outYear),DWZ37+DWZ42+#REF!+#REF!,"")</f>
        <v/>
      </c>
      <c r="DXA48" s="84" t="str">
        <f>IF(ISNUMBER(outYear),DXA37+DXA42+#REF!+#REF!,"")</f>
        <v/>
      </c>
      <c r="DXB48" s="84" t="str">
        <f>IF(ISNUMBER(outYear),DXB37+DXB42+#REF!+#REF!,"")</f>
        <v/>
      </c>
      <c r="DXC48" s="84" t="str">
        <f>IF(ISNUMBER(outYear),DXC37+DXC42+#REF!+#REF!,"")</f>
        <v/>
      </c>
      <c r="DXD48" s="84" t="str">
        <f>IF(ISNUMBER(outYear),DXD37+DXD42+#REF!+#REF!,"")</f>
        <v/>
      </c>
      <c r="DXE48" s="84" t="str">
        <f>IF(ISNUMBER(outYear),DXE37+DXE42+#REF!+#REF!,"")</f>
        <v/>
      </c>
      <c r="DXF48" s="84" t="str">
        <f>IF(ISNUMBER(outYear),DXF37+DXF42+#REF!+#REF!,"")</f>
        <v/>
      </c>
      <c r="DXG48" s="84" t="str">
        <f>IF(ISNUMBER(outYear),DXG37+DXG42+#REF!+#REF!,"")</f>
        <v/>
      </c>
      <c r="DXH48" s="84" t="str">
        <f>IF(ISNUMBER(outYear),DXH37+DXH42+#REF!+#REF!,"")</f>
        <v/>
      </c>
      <c r="DXI48" s="84" t="str">
        <f>IF(ISNUMBER(outYear),DXI37+DXI42+#REF!+#REF!,"")</f>
        <v/>
      </c>
      <c r="DXJ48" s="84" t="str">
        <f>IF(ISNUMBER(outYear),DXJ37+DXJ42+#REF!+#REF!,"")</f>
        <v/>
      </c>
      <c r="DXK48" s="84" t="str">
        <f>IF(ISNUMBER(outYear),DXK37+DXK42+#REF!+#REF!,"")</f>
        <v/>
      </c>
      <c r="DXL48" s="84" t="str">
        <f>IF(ISNUMBER(outYear),DXL37+DXL42+#REF!+#REF!,"")</f>
        <v/>
      </c>
      <c r="DXM48" s="84" t="str">
        <f>IF(ISNUMBER(outYear),DXM37+DXM42+#REF!+#REF!,"")</f>
        <v/>
      </c>
      <c r="DXN48" s="84" t="str">
        <f>IF(ISNUMBER(outYear),DXN37+DXN42+#REF!+#REF!,"")</f>
        <v/>
      </c>
      <c r="DXO48" s="84" t="str">
        <f>IF(ISNUMBER(outYear),DXO37+DXO42+#REF!+#REF!,"")</f>
        <v/>
      </c>
      <c r="DXP48" s="84" t="str">
        <f>IF(ISNUMBER(outYear),DXP37+DXP42+#REF!+#REF!,"")</f>
        <v/>
      </c>
      <c r="DXQ48" s="84" t="str">
        <f>IF(ISNUMBER(outYear),DXQ37+DXQ42+#REF!+#REF!,"")</f>
        <v/>
      </c>
      <c r="DXR48" s="84" t="str">
        <f>IF(ISNUMBER(outYear),DXR37+DXR42+#REF!+#REF!,"")</f>
        <v/>
      </c>
      <c r="DXS48" s="84" t="str">
        <f>IF(ISNUMBER(outYear),DXS37+DXS42+#REF!+#REF!,"")</f>
        <v/>
      </c>
      <c r="DXT48" s="84" t="str">
        <f>IF(ISNUMBER(outYear),DXT37+DXT42+#REF!+#REF!,"")</f>
        <v/>
      </c>
      <c r="DXU48" s="84" t="str">
        <f>IF(ISNUMBER(outYear),DXU37+DXU42+#REF!+#REF!,"")</f>
        <v/>
      </c>
      <c r="DXV48" s="84" t="str">
        <f>IF(ISNUMBER(outYear),DXV37+DXV42+#REF!+#REF!,"")</f>
        <v/>
      </c>
      <c r="DXW48" s="84" t="str">
        <f>IF(ISNUMBER(outYear),DXW37+DXW42+#REF!+#REF!,"")</f>
        <v/>
      </c>
      <c r="DXX48" s="84" t="str">
        <f>IF(ISNUMBER(outYear),DXX37+DXX42+#REF!+#REF!,"")</f>
        <v/>
      </c>
      <c r="DXY48" s="84" t="str">
        <f>IF(ISNUMBER(outYear),DXY37+DXY42+#REF!+#REF!,"")</f>
        <v/>
      </c>
      <c r="DXZ48" s="84" t="str">
        <f>IF(ISNUMBER(outYear),DXZ37+DXZ42+#REF!+#REF!,"")</f>
        <v/>
      </c>
      <c r="DYA48" s="84" t="str">
        <f>IF(ISNUMBER(outYear),DYA37+DYA42+#REF!+#REF!,"")</f>
        <v/>
      </c>
      <c r="DYB48" s="84" t="str">
        <f>IF(ISNUMBER(outYear),DYB37+DYB42+#REF!+#REF!,"")</f>
        <v/>
      </c>
      <c r="DYC48" s="84" t="str">
        <f>IF(ISNUMBER(outYear),DYC37+DYC42+#REF!+#REF!,"")</f>
        <v/>
      </c>
      <c r="DYD48" s="84" t="str">
        <f>IF(ISNUMBER(outYear),DYD37+DYD42+#REF!+#REF!,"")</f>
        <v/>
      </c>
      <c r="DYE48" s="84" t="str">
        <f>IF(ISNUMBER(outYear),DYE37+DYE42+#REF!+#REF!,"")</f>
        <v/>
      </c>
      <c r="DYF48" s="84" t="str">
        <f>IF(ISNUMBER(outYear),DYF37+DYF42+#REF!+#REF!,"")</f>
        <v/>
      </c>
      <c r="DYG48" s="84" t="str">
        <f>IF(ISNUMBER(outYear),DYG37+DYG42+#REF!+#REF!,"")</f>
        <v/>
      </c>
      <c r="DYH48" s="84" t="str">
        <f>IF(ISNUMBER(outYear),DYH37+DYH42+#REF!+#REF!,"")</f>
        <v/>
      </c>
      <c r="DYI48" s="84" t="str">
        <f>IF(ISNUMBER(outYear),DYI37+DYI42+#REF!+#REF!,"")</f>
        <v/>
      </c>
      <c r="DYJ48" s="84" t="str">
        <f>IF(ISNUMBER(outYear),DYJ37+DYJ42+#REF!+#REF!,"")</f>
        <v/>
      </c>
      <c r="DYK48" s="84" t="str">
        <f>IF(ISNUMBER(outYear),DYK37+DYK42+#REF!+#REF!,"")</f>
        <v/>
      </c>
      <c r="DYL48" s="84" t="str">
        <f>IF(ISNUMBER(outYear),DYL37+DYL42+#REF!+#REF!,"")</f>
        <v/>
      </c>
      <c r="DYM48" s="84" t="str">
        <f>IF(ISNUMBER(outYear),DYM37+DYM42+#REF!+#REF!,"")</f>
        <v/>
      </c>
      <c r="DYN48" s="84" t="str">
        <f>IF(ISNUMBER(outYear),DYN37+DYN42+#REF!+#REF!,"")</f>
        <v/>
      </c>
      <c r="DYO48" s="84" t="str">
        <f>IF(ISNUMBER(outYear),DYO37+DYO42+#REF!+#REF!,"")</f>
        <v/>
      </c>
      <c r="DYP48" s="84" t="str">
        <f>IF(ISNUMBER(outYear),DYP37+DYP42+#REF!+#REF!,"")</f>
        <v/>
      </c>
      <c r="DYQ48" s="84" t="str">
        <f>IF(ISNUMBER(outYear),DYQ37+DYQ42+#REF!+#REF!,"")</f>
        <v/>
      </c>
      <c r="DYR48" s="84" t="str">
        <f>IF(ISNUMBER(outYear),DYR37+DYR42+#REF!+#REF!,"")</f>
        <v/>
      </c>
      <c r="DYS48" s="84" t="str">
        <f>IF(ISNUMBER(outYear),DYS37+DYS42+#REF!+#REF!,"")</f>
        <v/>
      </c>
      <c r="DYT48" s="84" t="str">
        <f>IF(ISNUMBER(outYear),DYT37+DYT42+#REF!+#REF!,"")</f>
        <v/>
      </c>
      <c r="DYU48" s="84" t="str">
        <f>IF(ISNUMBER(outYear),DYU37+DYU42+#REF!+#REF!,"")</f>
        <v/>
      </c>
      <c r="DYV48" s="84" t="str">
        <f>IF(ISNUMBER(outYear),DYV37+DYV42+#REF!+#REF!,"")</f>
        <v/>
      </c>
      <c r="DYW48" s="84" t="str">
        <f>IF(ISNUMBER(outYear),DYW37+DYW42+#REF!+#REF!,"")</f>
        <v/>
      </c>
      <c r="DYX48" s="84" t="str">
        <f>IF(ISNUMBER(outYear),DYX37+DYX42+#REF!+#REF!,"")</f>
        <v/>
      </c>
      <c r="DYY48" s="84" t="str">
        <f>IF(ISNUMBER(outYear),DYY37+DYY42+#REF!+#REF!,"")</f>
        <v/>
      </c>
      <c r="DYZ48" s="84" t="str">
        <f>IF(ISNUMBER(outYear),DYZ37+DYZ42+#REF!+#REF!,"")</f>
        <v/>
      </c>
      <c r="DZA48" s="84" t="str">
        <f>IF(ISNUMBER(outYear),DZA37+DZA42+#REF!+#REF!,"")</f>
        <v/>
      </c>
      <c r="DZB48" s="84" t="str">
        <f>IF(ISNUMBER(outYear),DZB37+DZB42+#REF!+#REF!,"")</f>
        <v/>
      </c>
      <c r="DZC48" s="84" t="str">
        <f>IF(ISNUMBER(outYear),DZC37+DZC42+#REF!+#REF!,"")</f>
        <v/>
      </c>
      <c r="DZD48" s="84" t="str">
        <f>IF(ISNUMBER(outYear),DZD37+DZD42+#REF!+#REF!,"")</f>
        <v/>
      </c>
      <c r="DZE48" s="84" t="str">
        <f>IF(ISNUMBER(outYear),DZE37+DZE42+#REF!+#REF!,"")</f>
        <v/>
      </c>
      <c r="DZF48" s="84" t="str">
        <f>IF(ISNUMBER(outYear),DZF37+DZF42+#REF!+#REF!,"")</f>
        <v/>
      </c>
      <c r="DZG48" s="84" t="str">
        <f>IF(ISNUMBER(outYear),DZG37+DZG42+#REF!+#REF!,"")</f>
        <v/>
      </c>
      <c r="DZH48" s="84" t="str">
        <f>IF(ISNUMBER(outYear),DZH37+DZH42+#REF!+#REF!,"")</f>
        <v/>
      </c>
      <c r="DZI48" s="84" t="str">
        <f>IF(ISNUMBER(outYear),DZI37+DZI42+#REF!+#REF!,"")</f>
        <v/>
      </c>
      <c r="DZJ48" s="84" t="str">
        <f>IF(ISNUMBER(outYear),DZJ37+DZJ42+#REF!+#REF!,"")</f>
        <v/>
      </c>
      <c r="DZK48" s="84" t="str">
        <f>IF(ISNUMBER(outYear),DZK37+DZK42+#REF!+#REF!,"")</f>
        <v/>
      </c>
      <c r="DZL48" s="84" t="str">
        <f>IF(ISNUMBER(outYear),DZL37+DZL42+#REF!+#REF!,"")</f>
        <v/>
      </c>
      <c r="DZM48" s="84" t="str">
        <f>IF(ISNUMBER(outYear),DZM37+DZM42+#REF!+#REF!,"")</f>
        <v/>
      </c>
      <c r="DZN48" s="84" t="str">
        <f>IF(ISNUMBER(outYear),DZN37+DZN42+#REF!+#REF!,"")</f>
        <v/>
      </c>
      <c r="DZO48" s="84" t="str">
        <f>IF(ISNUMBER(outYear),DZO37+DZO42+#REF!+#REF!,"")</f>
        <v/>
      </c>
      <c r="DZP48" s="84" t="str">
        <f>IF(ISNUMBER(outYear),DZP37+DZP42+#REF!+#REF!,"")</f>
        <v/>
      </c>
      <c r="DZQ48" s="84" t="str">
        <f>IF(ISNUMBER(outYear),DZQ37+DZQ42+#REF!+#REF!,"")</f>
        <v/>
      </c>
      <c r="DZR48" s="84" t="str">
        <f>IF(ISNUMBER(outYear),DZR37+DZR42+#REF!+#REF!,"")</f>
        <v/>
      </c>
      <c r="DZS48" s="84" t="str">
        <f>IF(ISNUMBER(outYear),DZS37+DZS42+#REF!+#REF!,"")</f>
        <v/>
      </c>
      <c r="DZT48" s="84" t="str">
        <f>IF(ISNUMBER(outYear),DZT37+DZT42+#REF!+#REF!,"")</f>
        <v/>
      </c>
      <c r="DZU48" s="84" t="str">
        <f>IF(ISNUMBER(outYear),DZU37+DZU42+#REF!+#REF!,"")</f>
        <v/>
      </c>
      <c r="DZV48" s="84" t="str">
        <f>IF(ISNUMBER(outYear),DZV37+DZV42+#REF!+#REF!,"")</f>
        <v/>
      </c>
      <c r="DZW48" s="84" t="str">
        <f>IF(ISNUMBER(outYear),DZW37+DZW42+#REF!+#REF!,"")</f>
        <v/>
      </c>
      <c r="DZX48" s="84" t="str">
        <f>IF(ISNUMBER(outYear),DZX37+DZX42+#REF!+#REF!,"")</f>
        <v/>
      </c>
      <c r="DZY48" s="84" t="str">
        <f>IF(ISNUMBER(outYear),DZY37+DZY42+#REF!+#REF!,"")</f>
        <v/>
      </c>
      <c r="DZZ48" s="84" t="str">
        <f>IF(ISNUMBER(outYear),DZZ37+DZZ42+#REF!+#REF!,"")</f>
        <v/>
      </c>
      <c r="EAA48" s="84" t="str">
        <f>IF(ISNUMBER(outYear),EAA37+EAA42+#REF!+#REF!,"")</f>
        <v/>
      </c>
      <c r="EAB48" s="84" t="str">
        <f>IF(ISNUMBER(outYear),EAB37+EAB42+#REF!+#REF!,"")</f>
        <v/>
      </c>
      <c r="EAC48" s="84" t="str">
        <f>IF(ISNUMBER(outYear),EAC37+EAC42+#REF!+#REF!,"")</f>
        <v/>
      </c>
      <c r="EAD48" s="84" t="str">
        <f>IF(ISNUMBER(outYear),EAD37+EAD42+#REF!+#REF!,"")</f>
        <v/>
      </c>
      <c r="EAE48" s="84" t="str">
        <f>IF(ISNUMBER(outYear),EAE37+EAE42+#REF!+#REF!,"")</f>
        <v/>
      </c>
      <c r="EAF48" s="84" t="str">
        <f>IF(ISNUMBER(outYear),EAF37+EAF42+#REF!+#REF!,"")</f>
        <v/>
      </c>
      <c r="EAG48" s="84" t="str">
        <f>IF(ISNUMBER(outYear),EAG37+EAG42+#REF!+#REF!,"")</f>
        <v/>
      </c>
      <c r="EAH48" s="84" t="str">
        <f>IF(ISNUMBER(outYear),EAH37+EAH42+#REF!+#REF!,"")</f>
        <v/>
      </c>
      <c r="EAI48" s="84" t="str">
        <f>IF(ISNUMBER(outYear),EAI37+EAI42+#REF!+#REF!,"")</f>
        <v/>
      </c>
      <c r="EAJ48" s="84" t="str">
        <f>IF(ISNUMBER(outYear),EAJ37+EAJ42+#REF!+#REF!,"")</f>
        <v/>
      </c>
      <c r="EAK48" s="84" t="str">
        <f>IF(ISNUMBER(outYear),EAK37+EAK42+#REF!+#REF!,"")</f>
        <v/>
      </c>
      <c r="EAL48" s="84" t="str">
        <f>IF(ISNUMBER(outYear),EAL37+EAL42+#REF!+#REF!,"")</f>
        <v/>
      </c>
      <c r="EAM48" s="84" t="str">
        <f>IF(ISNUMBER(outYear),EAM37+EAM42+#REF!+#REF!,"")</f>
        <v/>
      </c>
      <c r="EAN48" s="84" t="str">
        <f>IF(ISNUMBER(outYear),EAN37+EAN42+#REF!+#REF!,"")</f>
        <v/>
      </c>
      <c r="EAO48" s="84" t="str">
        <f>IF(ISNUMBER(outYear),EAO37+EAO42+#REF!+#REF!,"")</f>
        <v/>
      </c>
      <c r="EAP48" s="84" t="str">
        <f>IF(ISNUMBER(outYear),EAP37+EAP42+#REF!+#REF!,"")</f>
        <v/>
      </c>
      <c r="EAQ48" s="84" t="str">
        <f>IF(ISNUMBER(outYear),EAQ37+EAQ42+#REF!+#REF!,"")</f>
        <v/>
      </c>
      <c r="EAR48" s="84" t="str">
        <f>IF(ISNUMBER(outYear),EAR37+EAR42+#REF!+#REF!,"")</f>
        <v/>
      </c>
      <c r="EAS48" s="84" t="str">
        <f>IF(ISNUMBER(outYear),EAS37+EAS42+#REF!+#REF!,"")</f>
        <v/>
      </c>
      <c r="EAT48" s="84" t="str">
        <f>IF(ISNUMBER(outYear),EAT37+EAT42+#REF!+#REF!,"")</f>
        <v/>
      </c>
      <c r="EAU48" s="84" t="str">
        <f>IF(ISNUMBER(outYear),EAU37+EAU42+#REF!+#REF!,"")</f>
        <v/>
      </c>
      <c r="EAV48" s="84" t="str">
        <f>IF(ISNUMBER(outYear),EAV37+EAV42+#REF!+#REF!,"")</f>
        <v/>
      </c>
      <c r="EAW48" s="84" t="str">
        <f>IF(ISNUMBER(outYear),EAW37+EAW42+#REF!+#REF!,"")</f>
        <v/>
      </c>
      <c r="EAX48" s="84" t="str">
        <f>IF(ISNUMBER(outYear),EAX37+EAX42+#REF!+#REF!,"")</f>
        <v/>
      </c>
      <c r="EAY48" s="84" t="str">
        <f>IF(ISNUMBER(outYear),EAY37+EAY42+#REF!+#REF!,"")</f>
        <v/>
      </c>
      <c r="EAZ48" s="84" t="str">
        <f>IF(ISNUMBER(outYear),EAZ37+EAZ42+#REF!+#REF!,"")</f>
        <v/>
      </c>
      <c r="EBA48" s="84" t="str">
        <f>IF(ISNUMBER(outYear),EBA37+EBA42+#REF!+#REF!,"")</f>
        <v/>
      </c>
      <c r="EBB48" s="84" t="str">
        <f>IF(ISNUMBER(outYear),EBB37+EBB42+#REF!+#REF!,"")</f>
        <v/>
      </c>
      <c r="EBC48" s="84" t="str">
        <f>IF(ISNUMBER(outYear),EBC37+EBC42+#REF!+#REF!,"")</f>
        <v/>
      </c>
      <c r="EBD48" s="84" t="str">
        <f>IF(ISNUMBER(outYear),EBD37+EBD42+#REF!+#REF!,"")</f>
        <v/>
      </c>
      <c r="EBE48" s="84" t="str">
        <f>IF(ISNUMBER(outYear),EBE37+EBE42+#REF!+#REF!,"")</f>
        <v/>
      </c>
      <c r="EBF48" s="84" t="str">
        <f>IF(ISNUMBER(outYear),EBF37+EBF42+#REF!+#REF!,"")</f>
        <v/>
      </c>
      <c r="EBG48" s="84" t="str">
        <f>IF(ISNUMBER(outYear),EBG37+EBG42+#REF!+#REF!,"")</f>
        <v/>
      </c>
      <c r="EBH48" s="84" t="str">
        <f>IF(ISNUMBER(outYear),EBH37+EBH42+#REF!+#REF!,"")</f>
        <v/>
      </c>
      <c r="EBI48" s="84" t="str">
        <f>IF(ISNUMBER(outYear),EBI37+EBI42+#REF!+#REF!,"")</f>
        <v/>
      </c>
      <c r="EBJ48" s="84" t="str">
        <f>IF(ISNUMBER(outYear),EBJ37+EBJ42+#REF!+#REF!,"")</f>
        <v/>
      </c>
      <c r="EBK48" s="84" t="str">
        <f>IF(ISNUMBER(outYear),EBK37+EBK42+#REF!+#REF!,"")</f>
        <v/>
      </c>
      <c r="EBL48" s="84" t="str">
        <f>IF(ISNUMBER(outYear),EBL37+EBL42+#REF!+#REF!,"")</f>
        <v/>
      </c>
      <c r="EBM48" s="84" t="str">
        <f>IF(ISNUMBER(outYear),EBM37+EBM42+#REF!+#REF!,"")</f>
        <v/>
      </c>
      <c r="EBN48" s="84" t="str">
        <f>IF(ISNUMBER(outYear),EBN37+EBN42+#REF!+#REF!,"")</f>
        <v/>
      </c>
      <c r="EBO48" s="84" t="str">
        <f>IF(ISNUMBER(outYear),EBO37+EBO42+#REF!+#REF!,"")</f>
        <v/>
      </c>
      <c r="EBP48" s="84" t="str">
        <f>IF(ISNUMBER(outYear),EBP37+EBP42+#REF!+#REF!,"")</f>
        <v/>
      </c>
      <c r="EBQ48" s="84" t="str">
        <f>IF(ISNUMBER(outYear),EBQ37+EBQ42+#REF!+#REF!,"")</f>
        <v/>
      </c>
      <c r="EBR48" s="84" t="str">
        <f>IF(ISNUMBER(outYear),EBR37+EBR42+#REF!+#REF!,"")</f>
        <v/>
      </c>
      <c r="EBS48" s="84" t="str">
        <f>IF(ISNUMBER(outYear),EBS37+EBS42+#REF!+#REF!,"")</f>
        <v/>
      </c>
      <c r="EBT48" s="84" t="str">
        <f>IF(ISNUMBER(outYear),EBT37+EBT42+#REF!+#REF!,"")</f>
        <v/>
      </c>
      <c r="EBU48" s="84" t="str">
        <f>IF(ISNUMBER(outYear),EBU37+EBU42+#REF!+#REF!,"")</f>
        <v/>
      </c>
      <c r="EBV48" s="84" t="str">
        <f>IF(ISNUMBER(outYear),EBV37+EBV42+#REF!+#REF!,"")</f>
        <v/>
      </c>
      <c r="EBW48" s="84" t="str">
        <f>IF(ISNUMBER(outYear),EBW37+EBW42+#REF!+#REF!,"")</f>
        <v/>
      </c>
      <c r="EBX48" s="84" t="str">
        <f>IF(ISNUMBER(outYear),EBX37+EBX42+#REF!+#REF!,"")</f>
        <v/>
      </c>
      <c r="EBY48" s="84" t="str">
        <f>IF(ISNUMBER(outYear),EBY37+EBY42+#REF!+#REF!,"")</f>
        <v/>
      </c>
      <c r="EBZ48" s="84" t="str">
        <f>IF(ISNUMBER(outYear),EBZ37+EBZ42+#REF!+#REF!,"")</f>
        <v/>
      </c>
      <c r="ECA48" s="84" t="str">
        <f>IF(ISNUMBER(outYear),ECA37+ECA42+#REF!+#REF!,"")</f>
        <v/>
      </c>
      <c r="ECB48" s="84" t="str">
        <f>IF(ISNUMBER(outYear),ECB37+ECB42+#REF!+#REF!,"")</f>
        <v/>
      </c>
      <c r="ECC48" s="84" t="str">
        <f>IF(ISNUMBER(outYear),ECC37+ECC42+#REF!+#REF!,"")</f>
        <v/>
      </c>
      <c r="ECD48" s="84" t="str">
        <f>IF(ISNUMBER(outYear),ECD37+ECD42+#REF!+#REF!,"")</f>
        <v/>
      </c>
      <c r="ECE48" s="84" t="str">
        <f>IF(ISNUMBER(outYear),ECE37+ECE42+#REF!+#REF!,"")</f>
        <v/>
      </c>
      <c r="ECF48" s="84" t="str">
        <f>IF(ISNUMBER(outYear),ECF37+ECF42+#REF!+#REF!,"")</f>
        <v/>
      </c>
      <c r="ECG48" s="84" t="str">
        <f>IF(ISNUMBER(outYear),ECG37+ECG42+#REF!+#REF!,"")</f>
        <v/>
      </c>
      <c r="ECH48" s="84" t="str">
        <f>IF(ISNUMBER(outYear),ECH37+ECH42+#REF!+#REF!,"")</f>
        <v/>
      </c>
      <c r="ECI48" s="84" t="str">
        <f>IF(ISNUMBER(outYear),ECI37+ECI42+#REF!+#REF!,"")</f>
        <v/>
      </c>
      <c r="ECJ48" s="84" t="str">
        <f>IF(ISNUMBER(outYear),ECJ37+ECJ42+#REF!+#REF!,"")</f>
        <v/>
      </c>
      <c r="ECK48" s="84" t="str">
        <f>IF(ISNUMBER(outYear),ECK37+ECK42+#REF!+#REF!,"")</f>
        <v/>
      </c>
      <c r="ECL48" s="84" t="str">
        <f>IF(ISNUMBER(outYear),ECL37+ECL42+#REF!+#REF!,"")</f>
        <v/>
      </c>
      <c r="ECM48" s="84" t="str">
        <f>IF(ISNUMBER(outYear),ECM37+ECM42+#REF!+#REF!,"")</f>
        <v/>
      </c>
      <c r="ECN48" s="84" t="str">
        <f>IF(ISNUMBER(outYear),ECN37+ECN42+#REF!+#REF!,"")</f>
        <v/>
      </c>
      <c r="ECO48" s="84" t="str">
        <f>IF(ISNUMBER(outYear),ECO37+ECO42+#REF!+#REF!,"")</f>
        <v/>
      </c>
      <c r="ECP48" s="84" t="str">
        <f>IF(ISNUMBER(outYear),ECP37+ECP42+#REF!+#REF!,"")</f>
        <v/>
      </c>
      <c r="ECQ48" s="84" t="str">
        <f>IF(ISNUMBER(outYear),ECQ37+ECQ42+#REF!+#REF!,"")</f>
        <v/>
      </c>
      <c r="ECR48" s="84" t="str">
        <f>IF(ISNUMBER(outYear),ECR37+ECR42+#REF!+#REF!,"")</f>
        <v/>
      </c>
      <c r="ECS48" s="84" t="str">
        <f>IF(ISNUMBER(outYear),ECS37+ECS42+#REF!+#REF!,"")</f>
        <v/>
      </c>
      <c r="ECT48" s="84" t="str">
        <f>IF(ISNUMBER(outYear),ECT37+ECT42+#REF!+#REF!,"")</f>
        <v/>
      </c>
      <c r="ECU48" s="84" t="str">
        <f>IF(ISNUMBER(outYear),ECU37+ECU42+#REF!+#REF!,"")</f>
        <v/>
      </c>
      <c r="ECV48" s="84" t="str">
        <f>IF(ISNUMBER(outYear),ECV37+ECV42+#REF!+#REF!,"")</f>
        <v/>
      </c>
      <c r="ECW48" s="84" t="str">
        <f>IF(ISNUMBER(outYear),ECW37+ECW42+#REF!+#REF!,"")</f>
        <v/>
      </c>
      <c r="ECX48" s="84" t="str">
        <f>IF(ISNUMBER(outYear),ECX37+ECX42+#REF!+#REF!,"")</f>
        <v/>
      </c>
      <c r="ECY48" s="84" t="str">
        <f>IF(ISNUMBER(outYear),ECY37+ECY42+#REF!+#REF!,"")</f>
        <v/>
      </c>
      <c r="ECZ48" s="84" t="str">
        <f>IF(ISNUMBER(outYear),ECZ37+ECZ42+#REF!+#REF!,"")</f>
        <v/>
      </c>
      <c r="EDA48" s="84" t="str">
        <f>IF(ISNUMBER(outYear),EDA37+EDA42+#REF!+#REF!,"")</f>
        <v/>
      </c>
      <c r="EDB48" s="84" t="str">
        <f>IF(ISNUMBER(outYear),EDB37+EDB42+#REF!+#REF!,"")</f>
        <v/>
      </c>
      <c r="EDC48" s="84" t="str">
        <f>IF(ISNUMBER(outYear),EDC37+EDC42+#REF!+#REF!,"")</f>
        <v/>
      </c>
      <c r="EDD48" s="84" t="str">
        <f>IF(ISNUMBER(outYear),EDD37+EDD42+#REF!+#REF!,"")</f>
        <v/>
      </c>
      <c r="EDE48" s="84" t="str">
        <f>IF(ISNUMBER(outYear),EDE37+EDE42+#REF!+#REF!,"")</f>
        <v/>
      </c>
      <c r="EDF48" s="84" t="str">
        <f>IF(ISNUMBER(outYear),EDF37+EDF42+#REF!+#REF!,"")</f>
        <v/>
      </c>
      <c r="EDG48" s="84" t="str">
        <f>IF(ISNUMBER(outYear),EDG37+EDG42+#REF!+#REF!,"")</f>
        <v/>
      </c>
      <c r="EDH48" s="84" t="str">
        <f>IF(ISNUMBER(outYear),EDH37+EDH42+#REF!+#REF!,"")</f>
        <v/>
      </c>
      <c r="EDI48" s="84" t="str">
        <f>IF(ISNUMBER(outYear),EDI37+EDI42+#REF!+#REF!,"")</f>
        <v/>
      </c>
      <c r="EDJ48" s="84" t="str">
        <f>IF(ISNUMBER(outYear),EDJ37+EDJ42+#REF!+#REF!,"")</f>
        <v/>
      </c>
      <c r="EDK48" s="84" t="str">
        <f>IF(ISNUMBER(outYear),EDK37+EDK42+#REF!+#REF!,"")</f>
        <v/>
      </c>
      <c r="EDL48" s="84" t="str">
        <f>IF(ISNUMBER(outYear),EDL37+EDL42+#REF!+#REF!,"")</f>
        <v/>
      </c>
      <c r="EDM48" s="84" t="str">
        <f>IF(ISNUMBER(outYear),EDM37+EDM42+#REF!+#REF!,"")</f>
        <v/>
      </c>
      <c r="EDN48" s="84" t="str">
        <f>IF(ISNUMBER(outYear),EDN37+EDN42+#REF!+#REF!,"")</f>
        <v/>
      </c>
      <c r="EDO48" s="84" t="str">
        <f>IF(ISNUMBER(outYear),EDO37+EDO42+#REF!+#REF!,"")</f>
        <v/>
      </c>
      <c r="EDP48" s="84" t="str">
        <f>IF(ISNUMBER(outYear),EDP37+EDP42+#REF!+#REF!,"")</f>
        <v/>
      </c>
      <c r="EDQ48" s="84" t="str">
        <f>IF(ISNUMBER(outYear),EDQ37+EDQ42+#REF!+#REF!,"")</f>
        <v/>
      </c>
      <c r="EDR48" s="84" t="str">
        <f>IF(ISNUMBER(outYear),EDR37+EDR42+#REF!+#REF!,"")</f>
        <v/>
      </c>
      <c r="EDS48" s="84" t="str">
        <f>IF(ISNUMBER(outYear),EDS37+EDS42+#REF!+#REF!,"")</f>
        <v/>
      </c>
      <c r="EDT48" s="84" t="str">
        <f>IF(ISNUMBER(outYear),EDT37+EDT42+#REF!+#REF!,"")</f>
        <v/>
      </c>
      <c r="EDU48" s="84" t="str">
        <f>IF(ISNUMBER(outYear),EDU37+EDU42+#REF!+#REF!,"")</f>
        <v/>
      </c>
      <c r="EDV48" s="84" t="str">
        <f>IF(ISNUMBER(outYear),EDV37+EDV42+#REF!+#REF!,"")</f>
        <v/>
      </c>
      <c r="EDW48" s="84" t="str">
        <f>IF(ISNUMBER(outYear),EDW37+EDW42+#REF!+#REF!,"")</f>
        <v/>
      </c>
      <c r="EDX48" s="84" t="str">
        <f>IF(ISNUMBER(outYear),EDX37+EDX42+#REF!+#REF!,"")</f>
        <v/>
      </c>
      <c r="EDY48" s="84" t="str">
        <f>IF(ISNUMBER(outYear),EDY37+EDY42+#REF!+#REF!,"")</f>
        <v/>
      </c>
      <c r="EDZ48" s="84" t="str">
        <f>IF(ISNUMBER(outYear),EDZ37+EDZ42+#REF!+#REF!,"")</f>
        <v/>
      </c>
      <c r="EEA48" s="84" t="str">
        <f>IF(ISNUMBER(outYear),EEA37+EEA42+#REF!+#REF!,"")</f>
        <v/>
      </c>
      <c r="EEB48" s="84" t="str">
        <f>IF(ISNUMBER(outYear),EEB37+EEB42+#REF!+#REF!,"")</f>
        <v/>
      </c>
      <c r="EEC48" s="84" t="str">
        <f>IF(ISNUMBER(outYear),EEC37+EEC42+#REF!+#REF!,"")</f>
        <v/>
      </c>
      <c r="EED48" s="84" t="str">
        <f>IF(ISNUMBER(outYear),EED37+EED42+#REF!+#REF!,"")</f>
        <v/>
      </c>
      <c r="EEE48" s="84" t="str">
        <f>IF(ISNUMBER(outYear),EEE37+EEE42+#REF!+#REF!,"")</f>
        <v/>
      </c>
      <c r="EEF48" s="84" t="str">
        <f>IF(ISNUMBER(outYear),EEF37+EEF42+#REF!+#REF!,"")</f>
        <v/>
      </c>
      <c r="EEG48" s="84" t="str">
        <f>IF(ISNUMBER(outYear),EEG37+EEG42+#REF!+#REF!,"")</f>
        <v/>
      </c>
      <c r="EEH48" s="84" t="str">
        <f>IF(ISNUMBER(outYear),EEH37+EEH42+#REF!+#REF!,"")</f>
        <v/>
      </c>
      <c r="EEI48" s="84" t="str">
        <f>IF(ISNUMBER(outYear),EEI37+EEI42+#REF!+#REF!,"")</f>
        <v/>
      </c>
      <c r="EEJ48" s="84" t="str">
        <f>IF(ISNUMBER(outYear),EEJ37+EEJ42+#REF!+#REF!,"")</f>
        <v/>
      </c>
      <c r="EEK48" s="84" t="str">
        <f>IF(ISNUMBER(outYear),EEK37+EEK42+#REF!+#REF!,"")</f>
        <v/>
      </c>
      <c r="EEL48" s="84" t="str">
        <f>IF(ISNUMBER(outYear),EEL37+EEL42+#REF!+#REF!,"")</f>
        <v/>
      </c>
      <c r="EEM48" s="84" t="str">
        <f>IF(ISNUMBER(outYear),EEM37+EEM42+#REF!+#REF!,"")</f>
        <v/>
      </c>
      <c r="EEN48" s="84" t="str">
        <f>IF(ISNUMBER(outYear),EEN37+EEN42+#REF!+#REF!,"")</f>
        <v/>
      </c>
      <c r="EEO48" s="84" t="str">
        <f>IF(ISNUMBER(outYear),EEO37+EEO42+#REF!+#REF!,"")</f>
        <v/>
      </c>
      <c r="EEP48" s="84" t="str">
        <f>IF(ISNUMBER(outYear),EEP37+EEP42+#REF!+#REF!,"")</f>
        <v/>
      </c>
      <c r="EEQ48" s="84" t="str">
        <f>IF(ISNUMBER(outYear),EEQ37+EEQ42+#REF!+#REF!,"")</f>
        <v/>
      </c>
      <c r="EER48" s="84" t="str">
        <f>IF(ISNUMBER(outYear),EER37+EER42+#REF!+#REF!,"")</f>
        <v/>
      </c>
      <c r="EES48" s="84" t="str">
        <f>IF(ISNUMBER(outYear),EES37+EES42+#REF!+#REF!,"")</f>
        <v/>
      </c>
      <c r="EET48" s="84" t="str">
        <f>IF(ISNUMBER(outYear),EET37+EET42+#REF!+#REF!,"")</f>
        <v/>
      </c>
      <c r="EEU48" s="84" t="str">
        <f>IF(ISNUMBER(outYear),EEU37+EEU42+#REF!+#REF!,"")</f>
        <v/>
      </c>
      <c r="EEV48" s="84" t="str">
        <f>IF(ISNUMBER(outYear),EEV37+EEV42+#REF!+#REF!,"")</f>
        <v/>
      </c>
      <c r="EEW48" s="84" t="str">
        <f>IF(ISNUMBER(outYear),EEW37+EEW42+#REF!+#REF!,"")</f>
        <v/>
      </c>
      <c r="EEX48" s="84" t="str">
        <f>IF(ISNUMBER(outYear),EEX37+EEX42+#REF!+#REF!,"")</f>
        <v/>
      </c>
      <c r="EEY48" s="84" t="str">
        <f>IF(ISNUMBER(outYear),EEY37+EEY42+#REF!+#REF!,"")</f>
        <v/>
      </c>
      <c r="EEZ48" s="84" t="str">
        <f>IF(ISNUMBER(outYear),EEZ37+EEZ42+#REF!+#REF!,"")</f>
        <v/>
      </c>
      <c r="EFA48" s="84" t="str">
        <f>IF(ISNUMBER(outYear),EFA37+EFA42+#REF!+#REF!,"")</f>
        <v/>
      </c>
      <c r="EFB48" s="84" t="str">
        <f>IF(ISNUMBER(outYear),EFB37+EFB42+#REF!+#REF!,"")</f>
        <v/>
      </c>
      <c r="EFC48" s="84" t="str">
        <f>IF(ISNUMBER(outYear),EFC37+EFC42+#REF!+#REF!,"")</f>
        <v/>
      </c>
      <c r="EFD48" s="84" t="str">
        <f>IF(ISNUMBER(outYear),EFD37+EFD42+#REF!+#REF!,"")</f>
        <v/>
      </c>
      <c r="EFE48" s="84" t="str">
        <f>IF(ISNUMBER(outYear),EFE37+EFE42+#REF!+#REF!,"")</f>
        <v/>
      </c>
      <c r="EFF48" s="84" t="str">
        <f>IF(ISNUMBER(outYear),EFF37+EFF42+#REF!+#REF!,"")</f>
        <v/>
      </c>
      <c r="EFG48" s="84" t="str">
        <f>IF(ISNUMBER(outYear),EFG37+EFG42+#REF!+#REF!,"")</f>
        <v/>
      </c>
      <c r="EFH48" s="84" t="str">
        <f>IF(ISNUMBER(outYear),EFH37+EFH42+#REF!+#REF!,"")</f>
        <v/>
      </c>
      <c r="EFI48" s="84" t="str">
        <f>IF(ISNUMBER(outYear),EFI37+EFI42+#REF!+#REF!,"")</f>
        <v/>
      </c>
      <c r="EFJ48" s="84" t="str">
        <f>IF(ISNUMBER(outYear),EFJ37+EFJ42+#REF!+#REF!,"")</f>
        <v/>
      </c>
      <c r="EFK48" s="84" t="str">
        <f>IF(ISNUMBER(outYear),EFK37+EFK42+#REF!+#REF!,"")</f>
        <v/>
      </c>
      <c r="EFL48" s="84" t="str">
        <f>IF(ISNUMBER(outYear),EFL37+EFL42+#REF!+#REF!,"")</f>
        <v/>
      </c>
      <c r="EFM48" s="84" t="str">
        <f>IF(ISNUMBER(outYear),EFM37+EFM42+#REF!+#REF!,"")</f>
        <v/>
      </c>
      <c r="EFN48" s="84" t="str">
        <f>IF(ISNUMBER(outYear),EFN37+EFN42+#REF!+#REF!,"")</f>
        <v/>
      </c>
      <c r="EFO48" s="84" t="str">
        <f>IF(ISNUMBER(outYear),EFO37+EFO42+#REF!+#REF!,"")</f>
        <v/>
      </c>
      <c r="EFP48" s="84" t="str">
        <f>IF(ISNUMBER(outYear),EFP37+EFP42+#REF!+#REF!,"")</f>
        <v/>
      </c>
      <c r="EFQ48" s="84" t="str">
        <f>IF(ISNUMBER(outYear),EFQ37+EFQ42+#REF!+#REF!,"")</f>
        <v/>
      </c>
      <c r="EFR48" s="84" t="str">
        <f>IF(ISNUMBER(outYear),EFR37+EFR42+#REF!+#REF!,"")</f>
        <v/>
      </c>
      <c r="EFS48" s="84" t="str">
        <f>IF(ISNUMBER(outYear),EFS37+EFS42+#REF!+#REF!,"")</f>
        <v/>
      </c>
      <c r="EFT48" s="84" t="str">
        <f>IF(ISNUMBER(outYear),EFT37+EFT42+#REF!+#REF!,"")</f>
        <v/>
      </c>
      <c r="EFU48" s="84" t="str">
        <f>IF(ISNUMBER(outYear),EFU37+EFU42+#REF!+#REF!,"")</f>
        <v/>
      </c>
      <c r="EFV48" s="84" t="str">
        <f>IF(ISNUMBER(outYear),EFV37+EFV42+#REF!+#REF!,"")</f>
        <v/>
      </c>
      <c r="EFW48" s="84" t="str">
        <f>IF(ISNUMBER(outYear),EFW37+EFW42+#REF!+#REF!,"")</f>
        <v/>
      </c>
      <c r="EFX48" s="84" t="str">
        <f>IF(ISNUMBER(outYear),EFX37+EFX42+#REF!+#REF!,"")</f>
        <v/>
      </c>
      <c r="EFY48" s="84" t="str">
        <f>IF(ISNUMBER(outYear),EFY37+EFY42+#REF!+#REF!,"")</f>
        <v/>
      </c>
      <c r="EFZ48" s="84" t="str">
        <f>IF(ISNUMBER(outYear),EFZ37+EFZ42+#REF!+#REF!,"")</f>
        <v/>
      </c>
      <c r="EGA48" s="84" t="str">
        <f>IF(ISNUMBER(outYear),EGA37+EGA42+#REF!+#REF!,"")</f>
        <v/>
      </c>
      <c r="EGB48" s="84" t="str">
        <f>IF(ISNUMBER(outYear),EGB37+EGB42+#REF!+#REF!,"")</f>
        <v/>
      </c>
      <c r="EGC48" s="84" t="str">
        <f>IF(ISNUMBER(outYear),EGC37+EGC42+#REF!+#REF!,"")</f>
        <v/>
      </c>
      <c r="EGD48" s="84" t="str">
        <f>IF(ISNUMBER(outYear),EGD37+EGD42+#REF!+#REF!,"")</f>
        <v/>
      </c>
      <c r="EGE48" s="84" t="str">
        <f>IF(ISNUMBER(outYear),EGE37+EGE42+#REF!+#REF!,"")</f>
        <v/>
      </c>
      <c r="EGF48" s="84" t="str">
        <f>IF(ISNUMBER(outYear),EGF37+EGF42+#REF!+#REF!,"")</f>
        <v/>
      </c>
      <c r="EGG48" s="84" t="str">
        <f>IF(ISNUMBER(outYear),EGG37+EGG42+#REF!+#REF!,"")</f>
        <v/>
      </c>
      <c r="EGH48" s="84" t="str">
        <f>IF(ISNUMBER(outYear),EGH37+EGH42+#REF!+#REF!,"")</f>
        <v/>
      </c>
      <c r="EGI48" s="84" t="str">
        <f>IF(ISNUMBER(outYear),EGI37+EGI42+#REF!+#REF!,"")</f>
        <v/>
      </c>
      <c r="EGJ48" s="84" t="str">
        <f>IF(ISNUMBER(outYear),EGJ37+EGJ42+#REF!+#REF!,"")</f>
        <v/>
      </c>
      <c r="EGK48" s="84" t="str">
        <f>IF(ISNUMBER(outYear),EGK37+EGK42+#REF!+#REF!,"")</f>
        <v/>
      </c>
      <c r="EGL48" s="84" t="str">
        <f>IF(ISNUMBER(outYear),EGL37+EGL42+#REF!+#REF!,"")</f>
        <v/>
      </c>
      <c r="EGM48" s="84" t="str">
        <f>IF(ISNUMBER(outYear),EGM37+EGM42+#REF!+#REF!,"")</f>
        <v/>
      </c>
      <c r="EGN48" s="84" t="str">
        <f>IF(ISNUMBER(outYear),EGN37+EGN42+#REF!+#REF!,"")</f>
        <v/>
      </c>
      <c r="EGO48" s="84" t="str">
        <f>IF(ISNUMBER(outYear),EGO37+EGO42+#REF!+#REF!,"")</f>
        <v/>
      </c>
      <c r="EGP48" s="84" t="str">
        <f>IF(ISNUMBER(outYear),EGP37+EGP42+#REF!+#REF!,"")</f>
        <v/>
      </c>
      <c r="EGQ48" s="84" t="str">
        <f>IF(ISNUMBER(outYear),EGQ37+EGQ42+#REF!+#REF!,"")</f>
        <v/>
      </c>
      <c r="EGR48" s="84" t="str">
        <f>IF(ISNUMBER(outYear),EGR37+EGR42+#REF!+#REF!,"")</f>
        <v/>
      </c>
      <c r="EGS48" s="84" t="str">
        <f>IF(ISNUMBER(outYear),EGS37+EGS42+#REF!+#REF!,"")</f>
        <v/>
      </c>
      <c r="EGT48" s="84" t="str">
        <f>IF(ISNUMBER(outYear),EGT37+EGT42+#REF!+#REF!,"")</f>
        <v/>
      </c>
      <c r="EGU48" s="84" t="str">
        <f>IF(ISNUMBER(outYear),EGU37+EGU42+#REF!+#REF!,"")</f>
        <v/>
      </c>
      <c r="EGV48" s="84" t="str">
        <f>IF(ISNUMBER(outYear),EGV37+EGV42+#REF!+#REF!,"")</f>
        <v/>
      </c>
      <c r="EGW48" s="84" t="str">
        <f>IF(ISNUMBER(outYear),EGW37+EGW42+#REF!+#REF!,"")</f>
        <v/>
      </c>
      <c r="EGX48" s="84" t="str">
        <f>IF(ISNUMBER(outYear),EGX37+EGX42+#REF!+#REF!,"")</f>
        <v/>
      </c>
      <c r="EGY48" s="84" t="str">
        <f>IF(ISNUMBER(outYear),EGY37+EGY42+#REF!+#REF!,"")</f>
        <v/>
      </c>
      <c r="EGZ48" s="84" t="str">
        <f>IF(ISNUMBER(outYear),EGZ37+EGZ42+#REF!+#REF!,"")</f>
        <v/>
      </c>
      <c r="EHA48" s="84" t="str">
        <f>IF(ISNUMBER(outYear),EHA37+EHA42+#REF!+#REF!,"")</f>
        <v/>
      </c>
      <c r="EHB48" s="84" t="str">
        <f>IF(ISNUMBER(outYear),EHB37+EHB42+#REF!+#REF!,"")</f>
        <v/>
      </c>
      <c r="EHC48" s="84" t="str">
        <f>IF(ISNUMBER(outYear),EHC37+EHC42+#REF!+#REF!,"")</f>
        <v/>
      </c>
      <c r="EHD48" s="84" t="str">
        <f>IF(ISNUMBER(outYear),EHD37+EHD42+#REF!+#REF!,"")</f>
        <v/>
      </c>
      <c r="EHE48" s="84" t="str">
        <f>IF(ISNUMBER(outYear),EHE37+EHE42+#REF!+#REF!,"")</f>
        <v/>
      </c>
      <c r="EHF48" s="84" t="str">
        <f>IF(ISNUMBER(outYear),EHF37+EHF42+#REF!+#REF!,"")</f>
        <v/>
      </c>
      <c r="EHG48" s="84" t="str">
        <f>IF(ISNUMBER(outYear),EHG37+EHG42+#REF!+#REF!,"")</f>
        <v/>
      </c>
      <c r="EHH48" s="84" t="str">
        <f>IF(ISNUMBER(outYear),EHH37+EHH42+#REF!+#REF!,"")</f>
        <v/>
      </c>
      <c r="EHI48" s="84" t="str">
        <f>IF(ISNUMBER(outYear),EHI37+EHI42+#REF!+#REF!,"")</f>
        <v/>
      </c>
      <c r="EHJ48" s="84" t="str">
        <f>IF(ISNUMBER(outYear),EHJ37+EHJ42+#REF!+#REF!,"")</f>
        <v/>
      </c>
      <c r="EHK48" s="84" t="str">
        <f>IF(ISNUMBER(outYear),EHK37+EHK42+#REF!+#REF!,"")</f>
        <v/>
      </c>
      <c r="EHL48" s="84" t="str">
        <f>IF(ISNUMBER(outYear),EHL37+EHL42+#REF!+#REF!,"")</f>
        <v/>
      </c>
      <c r="EHM48" s="84" t="str">
        <f>IF(ISNUMBER(outYear),EHM37+EHM42+#REF!+#REF!,"")</f>
        <v/>
      </c>
      <c r="EHN48" s="84" t="str">
        <f>IF(ISNUMBER(outYear),EHN37+EHN42+#REF!+#REF!,"")</f>
        <v/>
      </c>
      <c r="EHO48" s="84" t="str">
        <f>IF(ISNUMBER(outYear),EHO37+EHO42+#REF!+#REF!,"")</f>
        <v/>
      </c>
      <c r="EHP48" s="84" t="str">
        <f>IF(ISNUMBER(outYear),EHP37+EHP42+#REF!+#REF!,"")</f>
        <v/>
      </c>
      <c r="EHQ48" s="84" t="str">
        <f>IF(ISNUMBER(outYear),EHQ37+EHQ42+#REF!+#REF!,"")</f>
        <v/>
      </c>
      <c r="EHR48" s="84" t="str">
        <f>IF(ISNUMBER(outYear),EHR37+EHR42+#REF!+#REF!,"")</f>
        <v/>
      </c>
      <c r="EHS48" s="84" t="str">
        <f>IF(ISNUMBER(outYear),EHS37+EHS42+#REF!+#REF!,"")</f>
        <v/>
      </c>
      <c r="EHT48" s="84" t="str">
        <f>IF(ISNUMBER(outYear),EHT37+EHT42+#REF!+#REF!,"")</f>
        <v/>
      </c>
      <c r="EHU48" s="84" t="str">
        <f>IF(ISNUMBER(outYear),EHU37+EHU42+#REF!+#REF!,"")</f>
        <v/>
      </c>
      <c r="EHV48" s="84" t="str">
        <f>IF(ISNUMBER(outYear),EHV37+EHV42+#REF!+#REF!,"")</f>
        <v/>
      </c>
      <c r="EHW48" s="84" t="str">
        <f>IF(ISNUMBER(outYear),EHW37+EHW42+#REF!+#REF!,"")</f>
        <v/>
      </c>
      <c r="EHX48" s="84" t="str">
        <f>IF(ISNUMBER(outYear),EHX37+EHX42+#REF!+#REF!,"")</f>
        <v/>
      </c>
      <c r="EHY48" s="84" t="str">
        <f>IF(ISNUMBER(outYear),EHY37+EHY42+#REF!+#REF!,"")</f>
        <v/>
      </c>
      <c r="EHZ48" s="84" t="str">
        <f>IF(ISNUMBER(outYear),EHZ37+EHZ42+#REF!+#REF!,"")</f>
        <v/>
      </c>
      <c r="EIA48" s="84" t="str">
        <f>IF(ISNUMBER(outYear),EIA37+EIA42+#REF!+#REF!,"")</f>
        <v/>
      </c>
      <c r="EIB48" s="84" t="str">
        <f>IF(ISNUMBER(outYear),EIB37+EIB42+#REF!+#REF!,"")</f>
        <v/>
      </c>
      <c r="EIC48" s="84" t="str">
        <f>IF(ISNUMBER(outYear),EIC37+EIC42+#REF!+#REF!,"")</f>
        <v/>
      </c>
      <c r="EID48" s="84" t="str">
        <f>IF(ISNUMBER(outYear),EID37+EID42+#REF!+#REF!,"")</f>
        <v/>
      </c>
      <c r="EIE48" s="84" t="str">
        <f>IF(ISNUMBER(outYear),EIE37+EIE42+#REF!+#REF!,"")</f>
        <v/>
      </c>
      <c r="EIF48" s="84" t="str">
        <f>IF(ISNUMBER(outYear),EIF37+EIF42+#REF!+#REF!,"")</f>
        <v/>
      </c>
      <c r="EIG48" s="84" t="str">
        <f>IF(ISNUMBER(outYear),EIG37+EIG42+#REF!+#REF!,"")</f>
        <v/>
      </c>
      <c r="EIH48" s="84" t="str">
        <f>IF(ISNUMBER(outYear),EIH37+EIH42+#REF!+#REF!,"")</f>
        <v/>
      </c>
      <c r="EII48" s="84" t="str">
        <f>IF(ISNUMBER(outYear),EII37+EII42+#REF!+#REF!,"")</f>
        <v/>
      </c>
      <c r="EIJ48" s="84" t="str">
        <f>IF(ISNUMBER(outYear),EIJ37+EIJ42+#REF!+#REF!,"")</f>
        <v/>
      </c>
      <c r="EIK48" s="84" t="str">
        <f>IF(ISNUMBER(outYear),EIK37+EIK42+#REF!+#REF!,"")</f>
        <v/>
      </c>
      <c r="EIL48" s="84" t="str">
        <f>IF(ISNUMBER(outYear),EIL37+EIL42+#REF!+#REF!,"")</f>
        <v/>
      </c>
      <c r="EIM48" s="84" t="str">
        <f>IF(ISNUMBER(outYear),EIM37+EIM42+#REF!+#REF!,"")</f>
        <v/>
      </c>
      <c r="EIN48" s="84" t="str">
        <f>IF(ISNUMBER(outYear),EIN37+EIN42+#REF!+#REF!,"")</f>
        <v/>
      </c>
      <c r="EIO48" s="84" t="str">
        <f>IF(ISNUMBER(outYear),EIO37+EIO42+#REF!+#REF!,"")</f>
        <v/>
      </c>
      <c r="EIP48" s="84" t="str">
        <f>IF(ISNUMBER(outYear),EIP37+EIP42+#REF!+#REF!,"")</f>
        <v/>
      </c>
      <c r="EIQ48" s="84" t="str">
        <f>IF(ISNUMBER(outYear),EIQ37+EIQ42+#REF!+#REF!,"")</f>
        <v/>
      </c>
      <c r="EIR48" s="84" t="str">
        <f>IF(ISNUMBER(outYear),EIR37+EIR42+#REF!+#REF!,"")</f>
        <v/>
      </c>
      <c r="EIS48" s="84" t="str">
        <f>IF(ISNUMBER(outYear),EIS37+EIS42+#REF!+#REF!,"")</f>
        <v/>
      </c>
      <c r="EIT48" s="84" t="str">
        <f>IF(ISNUMBER(outYear),EIT37+EIT42+#REF!+#REF!,"")</f>
        <v/>
      </c>
      <c r="EIU48" s="84" t="str">
        <f>IF(ISNUMBER(outYear),EIU37+EIU42+#REF!+#REF!,"")</f>
        <v/>
      </c>
      <c r="EIV48" s="84" t="str">
        <f>IF(ISNUMBER(outYear),EIV37+EIV42+#REF!+#REF!,"")</f>
        <v/>
      </c>
      <c r="EIW48" s="84" t="str">
        <f>IF(ISNUMBER(outYear),EIW37+EIW42+#REF!+#REF!,"")</f>
        <v/>
      </c>
      <c r="EIX48" s="84" t="str">
        <f>IF(ISNUMBER(outYear),EIX37+EIX42+#REF!+#REF!,"")</f>
        <v/>
      </c>
      <c r="EIY48" s="84" t="str">
        <f>IF(ISNUMBER(outYear),EIY37+EIY42+#REF!+#REF!,"")</f>
        <v/>
      </c>
      <c r="EIZ48" s="84" t="str">
        <f>IF(ISNUMBER(outYear),EIZ37+EIZ42+#REF!+#REF!,"")</f>
        <v/>
      </c>
      <c r="EJA48" s="84" t="str">
        <f>IF(ISNUMBER(outYear),EJA37+EJA42+#REF!+#REF!,"")</f>
        <v/>
      </c>
      <c r="EJB48" s="84" t="str">
        <f>IF(ISNUMBER(outYear),EJB37+EJB42+#REF!+#REF!,"")</f>
        <v/>
      </c>
      <c r="EJC48" s="84" t="str">
        <f>IF(ISNUMBER(outYear),EJC37+EJC42+#REF!+#REF!,"")</f>
        <v/>
      </c>
      <c r="EJD48" s="84" t="str">
        <f>IF(ISNUMBER(outYear),EJD37+EJD42+#REF!+#REF!,"")</f>
        <v/>
      </c>
      <c r="EJE48" s="84" t="str">
        <f>IF(ISNUMBER(outYear),EJE37+EJE42+#REF!+#REF!,"")</f>
        <v/>
      </c>
      <c r="EJF48" s="84" t="str">
        <f>IF(ISNUMBER(outYear),EJF37+EJF42+#REF!+#REF!,"")</f>
        <v/>
      </c>
      <c r="EJG48" s="84" t="str">
        <f>IF(ISNUMBER(outYear),EJG37+EJG42+#REF!+#REF!,"")</f>
        <v/>
      </c>
      <c r="EJH48" s="84" t="str">
        <f>IF(ISNUMBER(outYear),EJH37+EJH42+#REF!+#REF!,"")</f>
        <v/>
      </c>
      <c r="EJI48" s="84" t="str">
        <f>IF(ISNUMBER(outYear),EJI37+EJI42+#REF!+#REF!,"")</f>
        <v/>
      </c>
      <c r="EJJ48" s="84" t="str">
        <f>IF(ISNUMBER(outYear),EJJ37+EJJ42+#REF!+#REF!,"")</f>
        <v/>
      </c>
      <c r="EJK48" s="84" t="str">
        <f>IF(ISNUMBER(outYear),EJK37+EJK42+#REF!+#REF!,"")</f>
        <v/>
      </c>
      <c r="EJL48" s="84" t="str">
        <f>IF(ISNUMBER(outYear),EJL37+EJL42+#REF!+#REF!,"")</f>
        <v/>
      </c>
      <c r="EJM48" s="84" t="str">
        <f>IF(ISNUMBER(outYear),EJM37+EJM42+#REF!+#REF!,"")</f>
        <v/>
      </c>
      <c r="EJN48" s="84" t="str">
        <f>IF(ISNUMBER(outYear),EJN37+EJN42+#REF!+#REF!,"")</f>
        <v/>
      </c>
      <c r="EJO48" s="84" t="str">
        <f>IF(ISNUMBER(outYear),EJO37+EJO42+#REF!+#REF!,"")</f>
        <v/>
      </c>
      <c r="EJP48" s="84" t="str">
        <f>IF(ISNUMBER(outYear),EJP37+EJP42+#REF!+#REF!,"")</f>
        <v/>
      </c>
      <c r="EJQ48" s="84" t="str">
        <f>IF(ISNUMBER(outYear),EJQ37+EJQ42+#REF!+#REF!,"")</f>
        <v/>
      </c>
      <c r="EJR48" s="84" t="str">
        <f>IF(ISNUMBER(outYear),EJR37+EJR42+#REF!+#REF!,"")</f>
        <v/>
      </c>
      <c r="EJS48" s="84" t="str">
        <f>IF(ISNUMBER(outYear),EJS37+EJS42+#REF!+#REF!,"")</f>
        <v/>
      </c>
      <c r="EJT48" s="84" t="str">
        <f>IF(ISNUMBER(outYear),EJT37+EJT42+#REF!+#REF!,"")</f>
        <v/>
      </c>
      <c r="EJU48" s="84" t="str">
        <f>IF(ISNUMBER(outYear),EJU37+EJU42+#REF!+#REF!,"")</f>
        <v/>
      </c>
      <c r="EJV48" s="84" t="str">
        <f>IF(ISNUMBER(outYear),EJV37+EJV42+#REF!+#REF!,"")</f>
        <v/>
      </c>
      <c r="EJW48" s="84" t="str">
        <f>IF(ISNUMBER(outYear),EJW37+EJW42+#REF!+#REF!,"")</f>
        <v/>
      </c>
      <c r="EJX48" s="84" t="str">
        <f>IF(ISNUMBER(outYear),EJX37+EJX42+#REF!+#REF!,"")</f>
        <v/>
      </c>
      <c r="EJY48" s="84" t="str">
        <f>IF(ISNUMBER(outYear),EJY37+EJY42+#REF!+#REF!,"")</f>
        <v/>
      </c>
      <c r="EJZ48" s="84" t="str">
        <f>IF(ISNUMBER(outYear),EJZ37+EJZ42+#REF!+#REF!,"")</f>
        <v/>
      </c>
      <c r="EKA48" s="84" t="str">
        <f>IF(ISNUMBER(outYear),EKA37+EKA42+#REF!+#REF!,"")</f>
        <v/>
      </c>
      <c r="EKB48" s="84" t="str">
        <f>IF(ISNUMBER(outYear),EKB37+EKB42+#REF!+#REF!,"")</f>
        <v/>
      </c>
      <c r="EKC48" s="84" t="str">
        <f>IF(ISNUMBER(outYear),EKC37+EKC42+#REF!+#REF!,"")</f>
        <v/>
      </c>
      <c r="EKD48" s="84" t="str">
        <f>IF(ISNUMBER(outYear),EKD37+EKD42+#REF!+#REF!,"")</f>
        <v/>
      </c>
      <c r="EKE48" s="84" t="str">
        <f>IF(ISNUMBER(outYear),EKE37+EKE42+#REF!+#REF!,"")</f>
        <v/>
      </c>
      <c r="EKF48" s="84" t="str">
        <f>IF(ISNUMBER(outYear),EKF37+EKF42+#REF!+#REF!,"")</f>
        <v/>
      </c>
      <c r="EKG48" s="84" t="str">
        <f>IF(ISNUMBER(outYear),EKG37+EKG42+#REF!+#REF!,"")</f>
        <v/>
      </c>
      <c r="EKH48" s="84" t="str">
        <f>IF(ISNUMBER(outYear),EKH37+EKH42+#REF!+#REF!,"")</f>
        <v/>
      </c>
      <c r="EKI48" s="84" t="str">
        <f>IF(ISNUMBER(outYear),EKI37+EKI42+#REF!+#REF!,"")</f>
        <v/>
      </c>
      <c r="EKJ48" s="84" t="str">
        <f>IF(ISNUMBER(outYear),EKJ37+EKJ42+#REF!+#REF!,"")</f>
        <v/>
      </c>
      <c r="EKK48" s="84" t="str">
        <f>IF(ISNUMBER(outYear),EKK37+EKK42+#REF!+#REF!,"")</f>
        <v/>
      </c>
      <c r="EKL48" s="84" t="str">
        <f>IF(ISNUMBER(outYear),EKL37+EKL42+#REF!+#REF!,"")</f>
        <v/>
      </c>
      <c r="EKM48" s="84" t="str">
        <f>IF(ISNUMBER(outYear),EKM37+EKM42+#REF!+#REF!,"")</f>
        <v/>
      </c>
      <c r="EKN48" s="84" t="str">
        <f>IF(ISNUMBER(outYear),EKN37+EKN42+#REF!+#REF!,"")</f>
        <v/>
      </c>
      <c r="EKO48" s="84" t="str">
        <f>IF(ISNUMBER(outYear),EKO37+EKO42+#REF!+#REF!,"")</f>
        <v/>
      </c>
      <c r="EKP48" s="84" t="str">
        <f>IF(ISNUMBER(outYear),EKP37+EKP42+#REF!+#REF!,"")</f>
        <v/>
      </c>
      <c r="EKQ48" s="84" t="str">
        <f>IF(ISNUMBER(outYear),EKQ37+EKQ42+#REF!+#REF!,"")</f>
        <v/>
      </c>
      <c r="EKR48" s="84" t="str">
        <f>IF(ISNUMBER(outYear),EKR37+EKR42+#REF!+#REF!,"")</f>
        <v/>
      </c>
      <c r="EKS48" s="84" t="str">
        <f>IF(ISNUMBER(outYear),EKS37+EKS42+#REF!+#REF!,"")</f>
        <v/>
      </c>
      <c r="EKT48" s="84" t="str">
        <f>IF(ISNUMBER(outYear),EKT37+EKT42+#REF!+#REF!,"")</f>
        <v/>
      </c>
      <c r="EKU48" s="84" t="str">
        <f>IF(ISNUMBER(outYear),EKU37+EKU42+#REF!+#REF!,"")</f>
        <v/>
      </c>
      <c r="EKV48" s="84" t="str">
        <f>IF(ISNUMBER(outYear),EKV37+EKV42+#REF!+#REF!,"")</f>
        <v/>
      </c>
      <c r="EKW48" s="84" t="str">
        <f>IF(ISNUMBER(outYear),EKW37+EKW42+#REF!+#REF!,"")</f>
        <v/>
      </c>
      <c r="EKX48" s="84" t="str">
        <f>IF(ISNUMBER(outYear),EKX37+EKX42+#REF!+#REF!,"")</f>
        <v/>
      </c>
      <c r="EKY48" s="84" t="str">
        <f>IF(ISNUMBER(outYear),EKY37+EKY42+#REF!+#REF!,"")</f>
        <v/>
      </c>
      <c r="EKZ48" s="84" t="str">
        <f>IF(ISNUMBER(outYear),EKZ37+EKZ42+#REF!+#REF!,"")</f>
        <v/>
      </c>
      <c r="ELA48" s="84" t="str">
        <f>IF(ISNUMBER(outYear),ELA37+ELA42+#REF!+#REF!,"")</f>
        <v/>
      </c>
      <c r="ELB48" s="84" t="str">
        <f>IF(ISNUMBER(outYear),ELB37+ELB42+#REF!+#REF!,"")</f>
        <v/>
      </c>
      <c r="ELC48" s="84" t="str">
        <f>IF(ISNUMBER(outYear),ELC37+ELC42+#REF!+#REF!,"")</f>
        <v/>
      </c>
      <c r="ELD48" s="84" t="str">
        <f>IF(ISNUMBER(outYear),ELD37+ELD42+#REF!+#REF!,"")</f>
        <v/>
      </c>
      <c r="ELE48" s="84" t="str">
        <f>IF(ISNUMBER(outYear),ELE37+ELE42+#REF!+#REF!,"")</f>
        <v/>
      </c>
      <c r="ELF48" s="84" t="str">
        <f>IF(ISNUMBER(outYear),ELF37+ELF42+#REF!+#REF!,"")</f>
        <v/>
      </c>
      <c r="ELG48" s="84" t="str">
        <f>IF(ISNUMBER(outYear),ELG37+ELG42+#REF!+#REF!,"")</f>
        <v/>
      </c>
      <c r="ELH48" s="84" t="str">
        <f>IF(ISNUMBER(outYear),ELH37+ELH42+#REF!+#REF!,"")</f>
        <v/>
      </c>
      <c r="ELI48" s="84" t="str">
        <f>IF(ISNUMBER(outYear),ELI37+ELI42+#REF!+#REF!,"")</f>
        <v/>
      </c>
      <c r="ELJ48" s="84" t="str">
        <f>IF(ISNUMBER(outYear),ELJ37+ELJ42+#REF!+#REF!,"")</f>
        <v/>
      </c>
      <c r="ELK48" s="84" t="str">
        <f>IF(ISNUMBER(outYear),ELK37+ELK42+#REF!+#REF!,"")</f>
        <v/>
      </c>
      <c r="ELL48" s="84" t="str">
        <f>IF(ISNUMBER(outYear),ELL37+ELL42+#REF!+#REF!,"")</f>
        <v/>
      </c>
      <c r="ELM48" s="84" t="str">
        <f>IF(ISNUMBER(outYear),ELM37+ELM42+#REF!+#REF!,"")</f>
        <v/>
      </c>
      <c r="ELN48" s="84" t="str">
        <f>IF(ISNUMBER(outYear),ELN37+ELN42+#REF!+#REF!,"")</f>
        <v/>
      </c>
      <c r="ELO48" s="84" t="str">
        <f>IF(ISNUMBER(outYear),ELO37+ELO42+#REF!+#REF!,"")</f>
        <v/>
      </c>
      <c r="ELP48" s="84" t="str">
        <f>IF(ISNUMBER(outYear),ELP37+ELP42+#REF!+#REF!,"")</f>
        <v/>
      </c>
      <c r="ELQ48" s="84" t="str">
        <f>IF(ISNUMBER(outYear),ELQ37+ELQ42+#REF!+#REF!,"")</f>
        <v/>
      </c>
      <c r="ELR48" s="84" t="str">
        <f>IF(ISNUMBER(outYear),ELR37+ELR42+#REF!+#REF!,"")</f>
        <v/>
      </c>
      <c r="ELS48" s="84" t="str">
        <f>IF(ISNUMBER(outYear),ELS37+ELS42+#REF!+#REF!,"")</f>
        <v/>
      </c>
      <c r="ELT48" s="84" t="str">
        <f>IF(ISNUMBER(outYear),ELT37+ELT42+#REF!+#REF!,"")</f>
        <v/>
      </c>
      <c r="ELU48" s="84" t="str">
        <f>IF(ISNUMBER(outYear),ELU37+ELU42+#REF!+#REF!,"")</f>
        <v/>
      </c>
      <c r="ELV48" s="84" t="str">
        <f>IF(ISNUMBER(outYear),ELV37+ELV42+#REF!+#REF!,"")</f>
        <v/>
      </c>
      <c r="ELW48" s="84" t="str">
        <f>IF(ISNUMBER(outYear),ELW37+ELW42+#REF!+#REF!,"")</f>
        <v/>
      </c>
      <c r="ELX48" s="84" t="str">
        <f>IF(ISNUMBER(outYear),ELX37+ELX42+#REF!+#REF!,"")</f>
        <v/>
      </c>
      <c r="ELY48" s="84" t="str">
        <f>IF(ISNUMBER(outYear),ELY37+ELY42+#REF!+#REF!,"")</f>
        <v/>
      </c>
      <c r="ELZ48" s="84" t="str">
        <f>IF(ISNUMBER(outYear),ELZ37+ELZ42+#REF!+#REF!,"")</f>
        <v/>
      </c>
      <c r="EMA48" s="84" t="str">
        <f>IF(ISNUMBER(outYear),EMA37+EMA42+#REF!+#REF!,"")</f>
        <v/>
      </c>
      <c r="EMB48" s="84" t="str">
        <f>IF(ISNUMBER(outYear),EMB37+EMB42+#REF!+#REF!,"")</f>
        <v/>
      </c>
      <c r="EMC48" s="84" t="str">
        <f>IF(ISNUMBER(outYear),EMC37+EMC42+#REF!+#REF!,"")</f>
        <v/>
      </c>
      <c r="EMD48" s="84" t="str">
        <f>IF(ISNUMBER(outYear),EMD37+EMD42+#REF!+#REF!,"")</f>
        <v/>
      </c>
      <c r="EME48" s="84" t="str">
        <f>IF(ISNUMBER(outYear),EME37+EME42+#REF!+#REF!,"")</f>
        <v/>
      </c>
      <c r="EMF48" s="84" t="str">
        <f>IF(ISNUMBER(outYear),EMF37+EMF42+#REF!+#REF!,"")</f>
        <v/>
      </c>
      <c r="EMG48" s="84" t="str">
        <f>IF(ISNUMBER(outYear),EMG37+EMG42+#REF!+#REF!,"")</f>
        <v/>
      </c>
      <c r="EMH48" s="84" t="str">
        <f>IF(ISNUMBER(outYear),EMH37+EMH42+#REF!+#REF!,"")</f>
        <v/>
      </c>
      <c r="EMI48" s="84" t="str">
        <f>IF(ISNUMBER(outYear),EMI37+EMI42+#REF!+#REF!,"")</f>
        <v/>
      </c>
      <c r="EMJ48" s="84" t="str">
        <f>IF(ISNUMBER(outYear),EMJ37+EMJ42+#REF!+#REF!,"")</f>
        <v/>
      </c>
      <c r="EMK48" s="84" t="str">
        <f>IF(ISNUMBER(outYear),EMK37+EMK42+#REF!+#REF!,"")</f>
        <v/>
      </c>
      <c r="EML48" s="84" t="str">
        <f>IF(ISNUMBER(outYear),EML37+EML42+#REF!+#REF!,"")</f>
        <v/>
      </c>
      <c r="EMM48" s="84" t="str">
        <f>IF(ISNUMBER(outYear),EMM37+EMM42+#REF!+#REF!,"")</f>
        <v/>
      </c>
      <c r="EMN48" s="84" t="str">
        <f>IF(ISNUMBER(outYear),EMN37+EMN42+#REF!+#REF!,"")</f>
        <v/>
      </c>
      <c r="EMO48" s="84" t="str">
        <f>IF(ISNUMBER(outYear),EMO37+EMO42+#REF!+#REF!,"")</f>
        <v/>
      </c>
      <c r="EMP48" s="84" t="str">
        <f>IF(ISNUMBER(outYear),EMP37+EMP42+#REF!+#REF!,"")</f>
        <v/>
      </c>
      <c r="EMQ48" s="84" t="str">
        <f>IF(ISNUMBER(outYear),EMQ37+EMQ42+#REF!+#REF!,"")</f>
        <v/>
      </c>
      <c r="EMR48" s="84" t="str">
        <f>IF(ISNUMBER(outYear),EMR37+EMR42+#REF!+#REF!,"")</f>
        <v/>
      </c>
      <c r="EMS48" s="84" t="str">
        <f>IF(ISNUMBER(outYear),EMS37+EMS42+#REF!+#REF!,"")</f>
        <v/>
      </c>
      <c r="EMT48" s="84" t="str">
        <f>IF(ISNUMBER(outYear),EMT37+EMT42+#REF!+#REF!,"")</f>
        <v/>
      </c>
      <c r="EMU48" s="84" t="str">
        <f>IF(ISNUMBER(outYear),EMU37+EMU42+#REF!+#REF!,"")</f>
        <v/>
      </c>
      <c r="EMV48" s="84" t="str">
        <f>IF(ISNUMBER(outYear),EMV37+EMV42+#REF!+#REF!,"")</f>
        <v/>
      </c>
      <c r="EMW48" s="84" t="str">
        <f>IF(ISNUMBER(outYear),EMW37+EMW42+#REF!+#REF!,"")</f>
        <v/>
      </c>
      <c r="EMX48" s="84" t="str">
        <f>IF(ISNUMBER(outYear),EMX37+EMX42+#REF!+#REF!,"")</f>
        <v/>
      </c>
      <c r="EMY48" s="84" t="str">
        <f>IF(ISNUMBER(outYear),EMY37+EMY42+#REF!+#REF!,"")</f>
        <v/>
      </c>
      <c r="EMZ48" s="84" t="str">
        <f>IF(ISNUMBER(outYear),EMZ37+EMZ42+#REF!+#REF!,"")</f>
        <v/>
      </c>
      <c r="ENA48" s="84" t="str">
        <f>IF(ISNUMBER(outYear),ENA37+ENA42+#REF!+#REF!,"")</f>
        <v/>
      </c>
      <c r="ENB48" s="84" t="str">
        <f>IF(ISNUMBER(outYear),ENB37+ENB42+#REF!+#REF!,"")</f>
        <v/>
      </c>
      <c r="ENC48" s="84" t="str">
        <f>IF(ISNUMBER(outYear),ENC37+ENC42+#REF!+#REF!,"")</f>
        <v/>
      </c>
      <c r="END48" s="84" t="str">
        <f>IF(ISNUMBER(outYear),END37+END42+#REF!+#REF!,"")</f>
        <v/>
      </c>
      <c r="ENE48" s="84" t="str">
        <f>IF(ISNUMBER(outYear),ENE37+ENE42+#REF!+#REF!,"")</f>
        <v/>
      </c>
      <c r="ENF48" s="84" t="str">
        <f>IF(ISNUMBER(outYear),ENF37+ENF42+#REF!+#REF!,"")</f>
        <v/>
      </c>
      <c r="ENG48" s="84" t="str">
        <f>IF(ISNUMBER(outYear),ENG37+ENG42+#REF!+#REF!,"")</f>
        <v/>
      </c>
      <c r="ENH48" s="84" t="str">
        <f>IF(ISNUMBER(outYear),ENH37+ENH42+#REF!+#REF!,"")</f>
        <v/>
      </c>
      <c r="ENI48" s="84" t="str">
        <f>IF(ISNUMBER(outYear),ENI37+ENI42+#REF!+#REF!,"")</f>
        <v/>
      </c>
      <c r="ENJ48" s="84" t="str">
        <f>IF(ISNUMBER(outYear),ENJ37+ENJ42+#REF!+#REF!,"")</f>
        <v/>
      </c>
      <c r="ENK48" s="84" t="str">
        <f>IF(ISNUMBER(outYear),ENK37+ENK42+#REF!+#REF!,"")</f>
        <v/>
      </c>
      <c r="ENL48" s="84" t="str">
        <f>IF(ISNUMBER(outYear),ENL37+ENL42+#REF!+#REF!,"")</f>
        <v/>
      </c>
      <c r="ENM48" s="84" t="str">
        <f>IF(ISNUMBER(outYear),ENM37+ENM42+#REF!+#REF!,"")</f>
        <v/>
      </c>
      <c r="ENN48" s="84" t="str">
        <f>IF(ISNUMBER(outYear),ENN37+ENN42+#REF!+#REF!,"")</f>
        <v/>
      </c>
      <c r="ENO48" s="84" t="str">
        <f>IF(ISNUMBER(outYear),ENO37+ENO42+#REF!+#REF!,"")</f>
        <v/>
      </c>
      <c r="ENP48" s="84" t="str">
        <f>IF(ISNUMBER(outYear),ENP37+ENP42+#REF!+#REF!,"")</f>
        <v/>
      </c>
      <c r="ENQ48" s="84" t="str">
        <f>IF(ISNUMBER(outYear),ENQ37+ENQ42+#REF!+#REF!,"")</f>
        <v/>
      </c>
      <c r="ENR48" s="84" t="str">
        <f>IF(ISNUMBER(outYear),ENR37+ENR42+#REF!+#REF!,"")</f>
        <v/>
      </c>
      <c r="ENS48" s="84" t="str">
        <f>IF(ISNUMBER(outYear),ENS37+ENS42+#REF!+#REF!,"")</f>
        <v/>
      </c>
      <c r="ENT48" s="84" t="str">
        <f>IF(ISNUMBER(outYear),ENT37+ENT42+#REF!+#REF!,"")</f>
        <v/>
      </c>
      <c r="ENU48" s="84" t="str">
        <f>IF(ISNUMBER(outYear),ENU37+ENU42+#REF!+#REF!,"")</f>
        <v/>
      </c>
      <c r="ENV48" s="84" t="str">
        <f>IF(ISNUMBER(outYear),ENV37+ENV42+#REF!+#REF!,"")</f>
        <v/>
      </c>
      <c r="ENW48" s="84" t="str">
        <f>IF(ISNUMBER(outYear),ENW37+ENW42+#REF!+#REF!,"")</f>
        <v/>
      </c>
      <c r="ENX48" s="84" t="str">
        <f>IF(ISNUMBER(outYear),ENX37+ENX42+#REF!+#REF!,"")</f>
        <v/>
      </c>
      <c r="ENY48" s="84" t="str">
        <f>IF(ISNUMBER(outYear),ENY37+ENY42+#REF!+#REF!,"")</f>
        <v/>
      </c>
      <c r="ENZ48" s="84" t="str">
        <f>IF(ISNUMBER(outYear),ENZ37+ENZ42+#REF!+#REF!,"")</f>
        <v/>
      </c>
      <c r="EOA48" s="84" t="str">
        <f>IF(ISNUMBER(outYear),EOA37+EOA42+#REF!+#REF!,"")</f>
        <v/>
      </c>
      <c r="EOB48" s="84" t="str">
        <f>IF(ISNUMBER(outYear),EOB37+EOB42+#REF!+#REF!,"")</f>
        <v/>
      </c>
      <c r="EOC48" s="84" t="str">
        <f>IF(ISNUMBER(outYear),EOC37+EOC42+#REF!+#REF!,"")</f>
        <v/>
      </c>
      <c r="EOD48" s="84" t="str">
        <f>IF(ISNUMBER(outYear),EOD37+EOD42+#REF!+#REF!,"")</f>
        <v/>
      </c>
      <c r="EOE48" s="84" t="str">
        <f>IF(ISNUMBER(outYear),EOE37+EOE42+#REF!+#REF!,"")</f>
        <v/>
      </c>
      <c r="EOF48" s="84" t="str">
        <f>IF(ISNUMBER(outYear),EOF37+EOF42+#REF!+#REF!,"")</f>
        <v/>
      </c>
      <c r="EOG48" s="84" t="str">
        <f>IF(ISNUMBER(outYear),EOG37+EOG42+#REF!+#REF!,"")</f>
        <v/>
      </c>
      <c r="EOH48" s="84" t="str">
        <f>IF(ISNUMBER(outYear),EOH37+EOH42+#REF!+#REF!,"")</f>
        <v/>
      </c>
      <c r="EOI48" s="84" t="str">
        <f>IF(ISNUMBER(outYear),EOI37+EOI42+#REF!+#REF!,"")</f>
        <v/>
      </c>
      <c r="EOJ48" s="84" t="str">
        <f>IF(ISNUMBER(outYear),EOJ37+EOJ42+#REF!+#REF!,"")</f>
        <v/>
      </c>
      <c r="EOK48" s="84" t="str">
        <f>IF(ISNUMBER(outYear),EOK37+EOK42+#REF!+#REF!,"")</f>
        <v/>
      </c>
      <c r="EOL48" s="84" t="str">
        <f>IF(ISNUMBER(outYear),EOL37+EOL42+#REF!+#REF!,"")</f>
        <v/>
      </c>
      <c r="EOM48" s="84" t="str">
        <f>IF(ISNUMBER(outYear),EOM37+EOM42+#REF!+#REF!,"")</f>
        <v/>
      </c>
      <c r="EON48" s="84" t="str">
        <f>IF(ISNUMBER(outYear),EON37+EON42+#REF!+#REF!,"")</f>
        <v/>
      </c>
      <c r="EOO48" s="84" t="str">
        <f>IF(ISNUMBER(outYear),EOO37+EOO42+#REF!+#REF!,"")</f>
        <v/>
      </c>
      <c r="EOP48" s="84" t="str">
        <f>IF(ISNUMBER(outYear),EOP37+EOP42+#REF!+#REF!,"")</f>
        <v/>
      </c>
      <c r="EOQ48" s="84" t="str">
        <f>IF(ISNUMBER(outYear),EOQ37+EOQ42+#REF!+#REF!,"")</f>
        <v/>
      </c>
      <c r="EOR48" s="84" t="str">
        <f>IF(ISNUMBER(outYear),EOR37+EOR42+#REF!+#REF!,"")</f>
        <v/>
      </c>
      <c r="EOS48" s="84" t="str">
        <f>IF(ISNUMBER(outYear),EOS37+EOS42+#REF!+#REF!,"")</f>
        <v/>
      </c>
      <c r="EOT48" s="84" t="str">
        <f>IF(ISNUMBER(outYear),EOT37+EOT42+#REF!+#REF!,"")</f>
        <v/>
      </c>
      <c r="EOU48" s="84" t="str">
        <f>IF(ISNUMBER(outYear),EOU37+EOU42+#REF!+#REF!,"")</f>
        <v/>
      </c>
      <c r="EOV48" s="84" t="str">
        <f>IF(ISNUMBER(outYear),EOV37+EOV42+#REF!+#REF!,"")</f>
        <v/>
      </c>
      <c r="EOW48" s="84" t="str">
        <f>IF(ISNUMBER(outYear),EOW37+EOW42+#REF!+#REF!,"")</f>
        <v/>
      </c>
      <c r="EOX48" s="84" t="str">
        <f>IF(ISNUMBER(outYear),EOX37+EOX42+#REF!+#REF!,"")</f>
        <v/>
      </c>
      <c r="EOY48" s="84" t="str">
        <f>IF(ISNUMBER(outYear),EOY37+EOY42+#REF!+#REF!,"")</f>
        <v/>
      </c>
      <c r="EOZ48" s="84" t="str">
        <f>IF(ISNUMBER(outYear),EOZ37+EOZ42+#REF!+#REF!,"")</f>
        <v/>
      </c>
      <c r="EPA48" s="84" t="str">
        <f>IF(ISNUMBER(outYear),EPA37+EPA42+#REF!+#REF!,"")</f>
        <v/>
      </c>
      <c r="EPB48" s="84" t="str">
        <f>IF(ISNUMBER(outYear),EPB37+EPB42+#REF!+#REF!,"")</f>
        <v/>
      </c>
      <c r="EPC48" s="84" t="str">
        <f>IF(ISNUMBER(outYear),EPC37+EPC42+#REF!+#REF!,"")</f>
        <v/>
      </c>
      <c r="EPD48" s="84" t="str">
        <f>IF(ISNUMBER(outYear),EPD37+EPD42+#REF!+#REF!,"")</f>
        <v/>
      </c>
      <c r="EPE48" s="84" t="str">
        <f>IF(ISNUMBER(outYear),EPE37+EPE42+#REF!+#REF!,"")</f>
        <v/>
      </c>
      <c r="EPF48" s="84" t="str">
        <f>IF(ISNUMBER(outYear),EPF37+EPF42+#REF!+#REF!,"")</f>
        <v/>
      </c>
      <c r="EPG48" s="84" t="str">
        <f>IF(ISNUMBER(outYear),EPG37+EPG42+#REF!+#REF!,"")</f>
        <v/>
      </c>
      <c r="EPH48" s="84" t="str">
        <f>IF(ISNUMBER(outYear),EPH37+EPH42+#REF!+#REF!,"")</f>
        <v/>
      </c>
      <c r="EPI48" s="84" t="str">
        <f>IF(ISNUMBER(outYear),EPI37+EPI42+#REF!+#REF!,"")</f>
        <v/>
      </c>
      <c r="EPJ48" s="84" t="str">
        <f>IF(ISNUMBER(outYear),EPJ37+EPJ42+#REF!+#REF!,"")</f>
        <v/>
      </c>
      <c r="EPK48" s="84" t="str">
        <f>IF(ISNUMBER(outYear),EPK37+EPK42+#REF!+#REF!,"")</f>
        <v/>
      </c>
      <c r="EPL48" s="84" t="str">
        <f>IF(ISNUMBER(outYear),EPL37+EPL42+#REF!+#REF!,"")</f>
        <v/>
      </c>
      <c r="EPM48" s="84" t="str">
        <f>IF(ISNUMBER(outYear),EPM37+EPM42+#REF!+#REF!,"")</f>
        <v/>
      </c>
      <c r="EPN48" s="84" t="str">
        <f>IF(ISNUMBER(outYear),EPN37+EPN42+#REF!+#REF!,"")</f>
        <v/>
      </c>
      <c r="EPO48" s="84" t="str">
        <f>IF(ISNUMBER(outYear),EPO37+EPO42+#REF!+#REF!,"")</f>
        <v/>
      </c>
      <c r="EPP48" s="84" t="str">
        <f>IF(ISNUMBER(outYear),EPP37+EPP42+#REF!+#REF!,"")</f>
        <v/>
      </c>
      <c r="EPQ48" s="84" t="str">
        <f>IF(ISNUMBER(outYear),EPQ37+EPQ42+#REF!+#REF!,"")</f>
        <v/>
      </c>
      <c r="EPR48" s="84" t="str">
        <f>IF(ISNUMBER(outYear),EPR37+EPR42+#REF!+#REF!,"")</f>
        <v/>
      </c>
      <c r="EPS48" s="84" t="str">
        <f>IF(ISNUMBER(outYear),EPS37+EPS42+#REF!+#REF!,"")</f>
        <v/>
      </c>
      <c r="EPT48" s="84" t="str">
        <f>IF(ISNUMBER(outYear),EPT37+EPT42+#REF!+#REF!,"")</f>
        <v/>
      </c>
      <c r="EPU48" s="84" t="str">
        <f>IF(ISNUMBER(outYear),EPU37+EPU42+#REF!+#REF!,"")</f>
        <v/>
      </c>
      <c r="EPV48" s="84" t="str">
        <f>IF(ISNUMBER(outYear),EPV37+EPV42+#REF!+#REF!,"")</f>
        <v/>
      </c>
      <c r="EPW48" s="84" t="str">
        <f>IF(ISNUMBER(outYear),EPW37+EPW42+#REF!+#REF!,"")</f>
        <v/>
      </c>
      <c r="EPX48" s="84" t="str">
        <f>IF(ISNUMBER(outYear),EPX37+EPX42+#REF!+#REF!,"")</f>
        <v/>
      </c>
      <c r="EPY48" s="84" t="str">
        <f>IF(ISNUMBER(outYear),EPY37+EPY42+#REF!+#REF!,"")</f>
        <v/>
      </c>
      <c r="EPZ48" s="84" t="str">
        <f>IF(ISNUMBER(outYear),EPZ37+EPZ42+#REF!+#REF!,"")</f>
        <v/>
      </c>
      <c r="EQA48" s="84" t="str">
        <f>IF(ISNUMBER(outYear),EQA37+EQA42+#REF!+#REF!,"")</f>
        <v/>
      </c>
      <c r="EQB48" s="84" t="str">
        <f>IF(ISNUMBER(outYear),EQB37+EQB42+#REF!+#REF!,"")</f>
        <v/>
      </c>
      <c r="EQC48" s="84" t="str">
        <f>IF(ISNUMBER(outYear),EQC37+EQC42+#REF!+#REF!,"")</f>
        <v/>
      </c>
      <c r="EQD48" s="84" t="str">
        <f>IF(ISNUMBER(outYear),EQD37+EQD42+#REF!+#REF!,"")</f>
        <v/>
      </c>
      <c r="EQE48" s="84" t="str">
        <f>IF(ISNUMBER(outYear),EQE37+EQE42+#REF!+#REF!,"")</f>
        <v/>
      </c>
      <c r="EQF48" s="84" t="str">
        <f>IF(ISNUMBER(outYear),EQF37+EQF42+#REF!+#REF!,"")</f>
        <v/>
      </c>
      <c r="EQG48" s="84" t="str">
        <f>IF(ISNUMBER(outYear),EQG37+EQG42+#REF!+#REF!,"")</f>
        <v/>
      </c>
      <c r="EQH48" s="84" t="str">
        <f>IF(ISNUMBER(outYear),EQH37+EQH42+#REF!+#REF!,"")</f>
        <v/>
      </c>
      <c r="EQI48" s="84" t="str">
        <f>IF(ISNUMBER(outYear),EQI37+EQI42+#REF!+#REF!,"")</f>
        <v/>
      </c>
      <c r="EQJ48" s="84" t="str">
        <f>IF(ISNUMBER(outYear),EQJ37+EQJ42+#REF!+#REF!,"")</f>
        <v/>
      </c>
      <c r="EQK48" s="84" t="str">
        <f>IF(ISNUMBER(outYear),EQK37+EQK42+#REF!+#REF!,"")</f>
        <v/>
      </c>
      <c r="EQL48" s="84" t="str">
        <f>IF(ISNUMBER(outYear),EQL37+EQL42+#REF!+#REF!,"")</f>
        <v/>
      </c>
      <c r="EQM48" s="84" t="str">
        <f>IF(ISNUMBER(outYear),EQM37+EQM42+#REF!+#REF!,"")</f>
        <v/>
      </c>
      <c r="EQN48" s="84" t="str">
        <f>IF(ISNUMBER(outYear),EQN37+EQN42+#REF!+#REF!,"")</f>
        <v/>
      </c>
      <c r="EQO48" s="84" t="str">
        <f>IF(ISNUMBER(outYear),EQO37+EQO42+#REF!+#REF!,"")</f>
        <v/>
      </c>
      <c r="EQP48" s="84" t="str">
        <f>IF(ISNUMBER(outYear),EQP37+EQP42+#REF!+#REF!,"")</f>
        <v/>
      </c>
      <c r="EQQ48" s="84" t="str">
        <f>IF(ISNUMBER(outYear),EQQ37+EQQ42+#REF!+#REF!,"")</f>
        <v/>
      </c>
      <c r="EQR48" s="84" t="str">
        <f>IF(ISNUMBER(outYear),EQR37+EQR42+#REF!+#REF!,"")</f>
        <v/>
      </c>
      <c r="EQS48" s="84" t="str">
        <f>IF(ISNUMBER(outYear),EQS37+EQS42+#REF!+#REF!,"")</f>
        <v/>
      </c>
      <c r="EQT48" s="84" t="str">
        <f>IF(ISNUMBER(outYear),EQT37+EQT42+#REF!+#REF!,"")</f>
        <v/>
      </c>
      <c r="EQU48" s="84" t="str">
        <f>IF(ISNUMBER(outYear),EQU37+EQU42+#REF!+#REF!,"")</f>
        <v/>
      </c>
      <c r="EQV48" s="84" t="str">
        <f>IF(ISNUMBER(outYear),EQV37+EQV42+#REF!+#REF!,"")</f>
        <v/>
      </c>
      <c r="EQW48" s="84" t="str">
        <f>IF(ISNUMBER(outYear),EQW37+EQW42+#REF!+#REF!,"")</f>
        <v/>
      </c>
      <c r="EQX48" s="84" t="str">
        <f>IF(ISNUMBER(outYear),EQX37+EQX42+#REF!+#REF!,"")</f>
        <v/>
      </c>
      <c r="EQY48" s="84" t="str">
        <f>IF(ISNUMBER(outYear),EQY37+EQY42+#REF!+#REF!,"")</f>
        <v/>
      </c>
      <c r="EQZ48" s="84" t="str">
        <f>IF(ISNUMBER(outYear),EQZ37+EQZ42+#REF!+#REF!,"")</f>
        <v/>
      </c>
      <c r="ERA48" s="84" t="str">
        <f>IF(ISNUMBER(outYear),ERA37+ERA42+#REF!+#REF!,"")</f>
        <v/>
      </c>
      <c r="ERB48" s="84" t="str">
        <f>IF(ISNUMBER(outYear),ERB37+ERB42+#REF!+#REF!,"")</f>
        <v/>
      </c>
      <c r="ERC48" s="84" t="str">
        <f>IF(ISNUMBER(outYear),ERC37+ERC42+#REF!+#REF!,"")</f>
        <v/>
      </c>
      <c r="ERD48" s="84" t="str">
        <f>IF(ISNUMBER(outYear),ERD37+ERD42+#REF!+#REF!,"")</f>
        <v/>
      </c>
      <c r="ERE48" s="84" t="str">
        <f>IF(ISNUMBER(outYear),ERE37+ERE42+#REF!+#REF!,"")</f>
        <v/>
      </c>
      <c r="ERF48" s="84" t="str">
        <f>IF(ISNUMBER(outYear),ERF37+ERF42+#REF!+#REF!,"")</f>
        <v/>
      </c>
      <c r="ERG48" s="84" t="str">
        <f>IF(ISNUMBER(outYear),ERG37+ERG42+#REF!+#REF!,"")</f>
        <v/>
      </c>
      <c r="ERH48" s="84" t="str">
        <f>IF(ISNUMBER(outYear),ERH37+ERH42+#REF!+#REF!,"")</f>
        <v/>
      </c>
      <c r="ERI48" s="84" t="str">
        <f>IF(ISNUMBER(outYear),ERI37+ERI42+#REF!+#REF!,"")</f>
        <v/>
      </c>
      <c r="ERJ48" s="84" t="str">
        <f>IF(ISNUMBER(outYear),ERJ37+ERJ42+#REF!+#REF!,"")</f>
        <v/>
      </c>
      <c r="ERK48" s="84" t="str">
        <f>IF(ISNUMBER(outYear),ERK37+ERK42+#REF!+#REF!,"")</f>
        <v/>
      </c>
      <c r="ERL48" s="84" t="str">
        <f>IF(ISNUMBER(outYear),ERL37+ERL42+#REF!+#REF!,"")</f>
        <v/>
      </c>
      <c r="ERM48" s="84" t="str">
        <f>IF(ISNUMBER(outYear),ERM37+ERM42+#REF!+#REF!,"")</f>
        <v/>
      </c>
      <c r="ERN48" s="84" t="str">
        <f>IF(ISNUMBER(outYear),ERN37+ERN42+#REF!+#REF!,"")</f>
        <v/>
      </c>
      <c r="ERO48" s="84" t="str">
        <f>IF(ISNUMBER(outYear),ERO37+ERO42+#REF!+#REF!,"")</f>
        <v/>
      </c>
      <c r="ERP48" s="84" t="str">
        <f>IF(ISNUMBER(outYear),ERP37+ERP42+#REF!+#REF!,"")</f>
        <v/>
      </c>
      <c r="ERQ48" s="84" t="str">
        <f>IF(ISNUMBER(outYear),ERQ37+ERQ42+#REF!+#REF!,"")</f>
        <v/>
      </c>
      <c r="ERR48" s="84" t="str">
        <f>IF(ISNUMBER(outYear),ERR37+ERR42+#REF!+#REF!,"")</f>
        <v/>
      </c>
      <c r="ERS48" s="84" t="str">
        <f>IF(ISNUMBER(outYear),ERS37+ERS42+#REF!+#REF!,"")</f>
        <v/>
      </c>
      <c r="ERT48" s="84" t="str">
        <f>IF(ISNUMBER(outYear),ERT37+ERT42+#REF!+#REF!,"")</f>
        <v/>
      </c>
      <c r="ERU48" s="84" t="str">
        <f>IF(ISNUMBER(outYear),ERU37+ERU42+#REF!+#REF!,"")</f>
        <v/>
      </c>
      <c r="ERV48" s="84" t="str">
        <f>IF(ISNUMBER(outYear),ERV37+ERV42+#REF!+#REF!,"")</f>
        <v/>
      </c>
      <c r="ERW48" s="84" t="str">
        <f>IF(ISNUMBER(outYear),ERW37+ERW42+#REF!+#REF!,"")</f>
        <v/>
      </c>
      <c r="ERX48" s="84" t="str">
        <f>IF(ISNUMBER(outYear),ERX37+ERX42+#REF!+#REF!,"")</f>
        <v/>
      </c>
      <c r="ERY48" s="84" t="str">
        <f>IF(ISNUMBER(outYear),ERY37+ERY42+#REF!+#REF!,"")</f>
        <v/>
      </c>
      <c r="ERZ48" s="84" t="str">
        <f>IF(ISNUMBER(outYear),ERZ37+ERZ42+#REF!+#REF!,"")</f>
        <v/>
      </c>
      <c r="ESA48" s="84" t="str">
        <f>IF(ISNUMBER(outYear),ESA37+ESA42+#REF!+#REF!,"")</f>
        <v/>
      </c>
      <c r="ESB48" s="84" t="str">
        <f>IF(ISNUMBER(outYear),ESB37+ESB42+#REF!+#REF!,"")</f>
        <v/>
      </c>
      <c r="ESC48" s="84" t="str">
        <f>IF(ISNUMBER(outYear),ESC37+ESC42+#REF!+#REF!,"")</f>
        <v/>
      </c>
      <c r="ESD48" s="84" t="str">
        <f>IF(ISNUMBER(outYear),ESD37+ESD42+#REF!+#REF!,"")</f>
        <v/>
      </c>
      <c r="ESE48" s="84" t="str">
        <f>IF(ISNUMBER(outYear),ESE37+ESE42+#REF!+#REF!,"")</f>
        <v/>
      </c>
      <c r="ESF48" s="84" t="str">
        <f>IF(ISNUMBER(outYear),ESF37+ESF42+#REF!+#REF!,"")</f>
        <v/>
      </c>
      <c r="ESG48" s="84" t="str">
        <f>IF(ISNUMBER(outYear),ESG37+ESG42+#REF!+#REF!,"")</f>
        <v/>
      </c>
      <c r="ESH48" s="84" t="str">
        <f>IF(ISNUMBER(outYear),ESH37+ESH42+#REF!+#REF!,"")</f>
        <v/>
      </c>
      <c r="ESI48" s="84" t="str">
        <f>IF(ISNUMBER(outYear),ESI37+ESI42+#REF!+#REF!,"")</f>
        <v/>
      </c>
      <c r="ESJ48" s="84" t="str">
        <f>IF(ISNUMBER(outYear),ESJ37+ESJ42+#REF!+#REF!,"")</f>
        <v/>
      </c>
      <c r="ESK48" s="84" t="str">
        <f>IF(ISNUMBER(outYear),ESK37+ESK42+#REF!+#REF!,"")</f>
        <v/>
      </c>
      <c r="ESL48" s="84" t="str">
        <f>IF(ISNUMBER(outYear),ESL37+ESL42+#REF!+#REF!,"")</f>
        <v/>
      </c>
      <c r="ESM48" s="84" t="str">
        <f>IF(ISNUMBER(outYear),ESM37+ESM42+#REF!+#REF!,"")</f>
        <v/>
      </c>
      <c r="ESN48" s="84" t="str">
        <f>IF(ISNUMBER(outYear),ESN37+ESN42+#REF!+#REF!,"")</f>
        <v/>
      </c>
      <c r="ESO48" s="84" t="str">
        <f>IF(ISNUMBER(outYear),ESO37+ESO42+#REF!+#REF!,"")</f>
        <v/>
      </c>
      <c r="ESP48" s="84" t="str">
        <f>IF(ISNUMBER(outYear),ESP37+ESP42+#REF!+#REF!,"")</f>
        <v/>
      </c>
      <c r="ESQ48" s="84" t="str">
        <f>IF(ISNUMBER(outYear),ESQ37+ESQ42+#REF!+#REF!,"")</f>
        <v/>
      </c>
      <c r="ESR48" s="84" t="str">
        <f>IF(ISNUMBER(outYear),ESR37+ESR42+#REF!+#REF!,"")</f>
        <v/>
      </c>
      <c r="ESS48" s="84" t="str">
        <f>IF(ISNUMBER(outYear),ESS37+ESS42+#REF!+#REF!,"")</f>
        <v/>
      </c>
      <c r="EST48" s="84" t="str">
        <f>IF(ISNUMBER(outYear),EST37+EST42+#REF!+#REF!,"")</f>
        <v/>
      </c>
      <c r="ESU48" s="84" t="str">
        <f>IF(ISNUMBER(outYear),ESU37+ESU42+#REF!+#REF!,"")</f>
        <v/>
      </c>
      <c r="ESV48" s="84" t="str">
        <f>IF(ISNUMBER(outYear),ESV37+ESV42+#REF!+#REF!,"")</f>
        <v/>
      </c>
      <c r="ESW48" s="84" t="str">
        <f>IF(ISNUMBER(outYear),ESW37+ESW42+#REF!+#REF!,"")</f>
        <v/>
      </c>
      <c r="ESX48" s="84" t="str">
        <f>IF(ISNUMBER(outYear),ESX37+ESX42+#REF!+#REF!,"")</f>
        <v/>
      </c>
      <c r="ESY48" s="84" t="str">
        <f>IF(ISNUMBER(outYear),ESY37+ESY42+#REF!+#REF!,"")</f>
        <v/>
      </c>
      <c r="ESZ48" s="84" t="str">
        <f>IF(ISNUMBER(outYear),ESZ37+ESZ42+#REF!+#REF!,"")</f>
        <v/>
      </c>
      <c r="ETA48" s="84" t="str">
        <f>IF(ISNUMBER(outYear),ETA37+ETA42+#REF!+#REF!,"")</f>
        <v/>
      </c>
      <c r="ETB48" s="84" t="str">
        <f>IF(ISNUMBER(outYear),ETB37+ETB42+#REF!+#REF!,"")</f>
        <v/>
      </c>
      <c r="ETC48" s="84" t="str">
        <f>IF(ISNUMBER(outYear),ETC37+ETC42+#REF!+#REF!,"")</f>
        <v/>
      </c>
      <c r="ETD48" s="84" t="str">
        <f>IF(ISNUMBER(outYear),ETD37+ETD42+#REF!+#REF!,"")</f>
        <v/>
      </c>
      <c r="ETE48" s="84" t="str">
        <f>IF(ISNUMBER(outYear),ETE37+ETE42+#REF!+#REF!,"")</f>
        <v/>
      </c>
      <c r="ETF48" s="84" t="str">
        <f>IF(ISNUMBER(outYear),ETF37+ETF42+#REF!+#REF!,"")</f>
        <v/>
      </c>
      <c r="ETG48" s="84" t="str">
        <f>IF(ISNUMBER(outYear),ETG37+ETG42+#REF!+#REF!,"")</f>
        <v/>
      </c>
      <c r="ETH48" s="84" t="str">
        <f>IF(ISNUMBER(outYear),ETH37+ETH42+#REF!+#REF!,"")</f>
        <v/>
      </c>
      <c r="ETI48" s="84" t="str">
        <f>IF(ISNUMBER(outYear),ETI37+ETI42+#REF!+#REF!,"")</f>
        <v/>
      </c>
      <c r="ETJ48" s="84" t="str">
        <f>IF(ISNUMBER(outYear),ETJ37+ETJ42+#REF!+#REF!,"")</f>
        <v/>
      </c>
      <c r="ETK48" s="84" t="str">
        <f>IF(ISNUMBER(outYear),ETK37+ETK42+#REF!+#REF!,"")</f>
        <v/>
      </c>
      <c r="ETL48" s="84" t="str">
        <f>IF(ISNUMBER(outYear),ETL37+ETL42+#REF!+#REF!,"")</f>
        <v/>
      </c>
      <c r="ETM48" s="84" t="str">
        <f>IF(ISNUMBER(outYear),ETM37+ETM42+#REF!+#REF!,"")</f>
        <v/>
      </c>
      <c r="ETN48" s="84" t="str">
        <f>IF(ISNUMBER(outYear),ETN37+ETN42+#REF!+#REF!,"")</f>
        <v/>
      </c>
      <c r="ETO48" s="84" t="str">
        <f>IF(ISNUMBER(outYear),ETO37+ETO42+#REF!+#REF!,"")</f>
        <v/>
      </c>
      <c r="ETP48" s="84" t="str">
        <f>IF(ISNUMBER(outYear),ETP37+ETP42+#REF!+#REF!,"")</f>
        <v/>
      </c>
      <c r="ETQ48" s="84" t="str">
        <f>IF(ISNUMBER(outYear),ETQ37+ETQ42+#REF!+#REF!,"")</f>
        <v/>
      </c>
      <c r="ETR48" s="84" t="str">
        <f>IF(ISNUMBER(outYear),ETR37+ETR42+#REF!+#REF!,"")</f>
        <v/>
      </c>
      <c r="ETS48" s="84" t="str">
        <f>IF(ISNUMBER(outYear),ETS37+ETS42+#REF!+#REF!,"")</f>
        <v/>
      </c>
      <c r="ETT48" s="84" t="str">
        <f>IF(ISNUMBER(outYear),ETT37+ETT42+#REF!+#REF!,"")</f>
        <v/>
      </c>
      <c r="ETU48" s="84" t="str">
        <f>IF(ISNUMBER(outYear),ETU37+ETU42+#REF!+#REF!,"")</f>
        <v/>
      </c>
      <c r="ETV48" s="84" t="str">
        <f>IF(ISNUMBER(outYear),ETV37+ETV42+#REF!+#REF!,"")</f>
        <v/>
      </c>
      <c r="ETW48" s="84" t="str">
        <f>IF(ISNUMBER(outYear),ETW37+ETW42+#REF!+#REF!,"")</f>
        <v/>
      </c>
      <c r="ETX48" s="84" t="str">
        <f>IF(ISNUMBER(outYear),ETX37+ETX42+#REF!+#REF!,"")</f>
        <v/>
      </c>
      <c r="ETY48" s="84" t="str">
        <f>IF(ISNUMBER(outYear),ETY37+ETY42+#REF!+#REF!,"")</f>
        <v/>
      </c>
      <c r="ETZ48" s="84" t="str">
        <f>IF(ISNUMBER(outYear),ETZ37+ETZ42+#REF!+#REF!,"")</f>
        <v/>
      </c>
      <c r="EUA48" s="84" t="str">
        <f>IF(ISNUMBER(outYear),EUA37+EUA42+#REF!+#REF!,"")</f>
        <v/>
      </c>
      <c r="EUB48" s="84" t="str">
        <f>IF(ISNUMBER(outYear),EUB37+EUB42+#REF!+#REF!,"")</f>
        <v/>
      </c>
      <c r="EUC48" s="84" t="str">
        <f>IF(ISNUMBER(outYear),EUC37+EUC42+#REF!+#REF!,"")</f>
        <v/>
      </c>
      <c r="EUD48" s="84" t="str">
        <f>IF(ISNUMBER(outYear),EUD37+EUD42+#REF!+#REF!,"")</f>
        <v/>
      </c>
      <c r="EUE48" s="84" t="str">
        <f>IF(ISNUMBER(outYear),EUE37+EUE42+#REF!+#REF!,"")</f>
        <v/>
      </c>
      <c r="EUF48" s="84" t="str">
        <f>IF(ISNUMBER(outYear),EUF37+EUF42+#REF!+#REF!,"")</f>
        <v/>
      </c>
      <c r="EUG48" s="84" t="str">
        <f>IF(ISNUMBER(outYear),EUG37+EUG42+#REF!+#REF!,"")</f>
        <v/>
      </c>
      <c r="EUH48" s="84" t="str">
        <f>IF(ISNUMBER(outYear),EUH37+EUH42+#REF!+#REF!,"")</f>
        <v/>
      </c>
      <c r="EUI48" s="84" t="str">
        <f>IF(ISNUMBER(outYear),EUI37+EUI42+#REF!+#REF!,"")</f>
        <v/>
      </c>
      <c r="EUJ48" s="84" t="str">
        <f>IF(ISNUMBER(outYear),EUJ37+EUJ42+#REF!+#REF!,"")</f>
        <v/>
      </c>
      <c r="EUK48" s="84" t="str">
        <f>IF(ISNUMBER(outYear),EUK37+EUK42+#REF!+#REF!,"")</f>
        <v/>
      </c>
      <c r="EUL48" s="84" t="str">
        <f>IF(ISNUMBER(outYear),EUL37+EUL42+#REF!+#REF!,"")</f>
        <v/>
      </c>
      <c r="EUM48" s="84" t="str">
        <f>IF(ISNUMBER(outYear),EUM37+EUM42+#REF!+#REF!,"")</f>
        <v/>
      </c>
      <c r="EUN48" s="84" t="str">
        <f>IF(ISNUMBER(outYear),EUN37+EUN42+#REF!+#REF!,"")</f>
        <v/>
      </c>
      <c r="EUO48" s="84" t="str">
        <f>IF(ISNUMBER(outYear),EUO37+EUO42+#REF!+#REF!,"")</f>
        <v/>
      </c>
      <c r="EUP48" s="84" t="str">
        <f>IF(ISNUMBER(outYear),EUP37+EUP42+#REF!+#REF!,"")</f>
        <v/>
      </c>
      <c r="EUQ48" s="84" t="str">
        <f>IF(ISNUMBER(outYear),EUQ37+EUQ42+#REF!+#REF!,"")</f>
        <v/>
      </c>
      <c r="EUR48" s="84" t="str">
        <f>IF(ISNUMBER(outYear),EUR37+EUR42+#REF!+#REF!,"")</f>
        <v/>
      </c>
      <c r="EUS48" s="84" t="str">
        <f>IF(ISNUMBER(outYear),EUS37+EUS42+#REF!+#REF!,"")</f>
        <v/>
      </c>
      <c r="EUT48" s="84" t="str">
        <f>IF(ISNUMBER(outYear),EUT37+EUT42+#REF!+#REF!,"")</f>
        <v/>
      </c>
      <c r="EUU48" s="84" t="str">
        <f>IF(ISNUMBER(outYear),EUU37+EUU42+#REF!+#REF!,"")</f>
        <v/>
      </c>
      <c r="EUV48" s="84" t="str">
        <f>IF(ISNUMBER(outYear),EUV37+EUV42+#REF!+#REF!,"")</f>
        <v/>
      </c>
      <c r="EUW48" s="84" t="str">
        <f>IF(ISNUMBER(outYear),EUW37+EUW42+#REF!+#REF!,"")</f>
        <v/>
      </c>
      <c r="EUX48" s="84" t="str">
        <f>IF(ISNUMBER(outYear),EUX37+EUX42+#REF!+#REF!,"")</f>
        <v/>
      </c>
      <c r="EUY48" s="84" t="str">
        <f>IF(ISNUMBER(outYear),EUY37+EUY42+#REF!+#REF!,"")</f>
        <v/>
      </c>
      <c r="EUZ48" s="84" t="str">
        <f>IF(ISNUMBER(outYear),EUZ37+EUZ42+#REF!+#REF!,"")</f>
        <v/>
      </c>
      <c r="EVA48" s="84" t="str">
        <f>IF(ISNUMBER(outYear),EVA37+EVA42+#REF!+#REF!,"")</f>
        <v/>
      </c>
      <c r="EVB48" s="84" t="str">
        <f>IF(ISNUMBER(outYear),EVB37+EVB42+#REF!+#REF!,"")</f>
        <v/>
      </c>
      <c r="EVC48" s="84" t="str">
        <f>IF(ISNUMBER(outYear),EVC37+EVC42+#REF!+#REF!,"")</f>
        <v/>
      </c>
      <c r="EVD48" s="84" t="str">
        <f>IF(ISNUMBER(outYear),EVD37+EVD42+#REF!+#REF!,"")</f>
        <v/>
      </c>
      <c r="EVE48" s="84" t="str">
        <f>IF(ISNUMBER(outYear),EVE37+EVE42+#REF!+#REF!,"")</f>
        <v/>
      </c>
      <c r="EVF48" s="84" t="str">
        <f>IF(ISNUMBER(outYear),EVF37+EVF42+#REF!+#REF!,"")</f>
        <v/>
      </c>
      <c r="EVG48" s="84" t="str">
        <f>IF(ISNUMBER(outYear),EVG37+EVG42+#REF!+#REF!,"")</f>
        <v/>
      </c>
      <c r="EVH48" s="84" t="str">
        <f>IF(ISNUMBER(outYear),EVH37+EVH42+#REF!+#REF!,"")</f>
        <v/>
      </c>
      <c r="EVI48" s="84" t="str">
        <f>IF(ISNUMBER(outYear),EVI37+EVI42+#REF!+#REF!,"")</f>
        <v/>
      </c>
      <c r="EVJ48" s="84" t="str">
        <f>IF(ISNUMBER(outYear),EVJ37+EVJ42+#REF!+#REF!,"")</f>
        <v/>
      </c>
      <c r="EVK48" s="84" t="str">
        <f>IF(ISNUMBER(outYear),EVK37+EVK42+#REF!+#REF!,"")</f>
        <v/>
      </c>
      <c r="EVL48" s="84" t="str">
        <f>IF(ISNUMBER(outYear),EVL37+EVL42+#REF!+#REF!,"")</f>
        <v/>
      </c>
      <c r="EVM48" s="84" t="str">
        <f>IF(ISNUMBER(outYear),EVM37+EVM42+#REF!+#REF!,"")</f>
        <v/>
      </c>
      <c r="EVN48" s="84" t="str">
        <f>IF(ISNUMBER(outYear),EVN37+EVN42+#REF!+#REF!,"")</f>
        <v/>
      </c>
      <c r="EVO48" s="84" t="str">
        <f>IF(ISNUMBER(outYear),EVO37+EVO42+#REF!+#REF!,"")</f>
        <v/>
      </c>
      <c r="EVP48" s="84" t="str">
        <f>IF(ISNUMBER(outYear),EVP37+EVP42+#REF!+#REF!,"")</f>
        <v/>
      </c>
      <c r="EVQ48" s="84" t="str">
        <f>IF(ISNUMBER(outYear),EVQ37+EVQ42+#REF!+#REF!,"")</f>
        <v/>
      </c>
      <c r="EVR48" s="84" t="str">
        <f>IF(ISNUMBER(outYear),EVR37+EVR42+#REF!+#REF!,"")</f>
        <v/>
      </c>
      <c r="EVS48" s="84" t="str">
        <f>IF(ISNUMBER(outYear),EVS37+EVS42+#REF!+#REF!,"")</f>
        <v/>
      </c>
      <c r="EVT48" s="84" t="str">
        <f>IF(ISNUMBER(outYear),EVT37+EVT42+#REF!+#REF!,"")</f>
        <v/>
      </c>
      <c r="EVU48" s="84" t="str">
        <f>IF(ISNUMBER(outYear),EVU37+EVU42+#REF!+#REF!,"")</f>
        <v/>
      </c>
      <c r="EVV48" s="84" t="str">
        <f>IF(ISNUMBER(outYear),EVV37+EVV42+#REF!+#REF!,"")</f>
        <v/>
      </c>
      <c r="EVW48" s="84" t="str">
        <f>IF(ISNUMBER(outYear),EVW37+EVW42+#REF!+#REF!,"")</f>
        <v/>
      </c>
      <c r="EVX48" s="84" t="str">
        <f>IF(ISNUMBER(outYear),EVX37+EVX42+#REF!+#REF!,"")</f>
        <v/>
      </c>
      <c r="EVY48" s="84" t="str">
        <f>IF(ISNUMBER(outYear),EVY37+EVY42+#REF!+#REF!,"")</f>
        <v/>
      </c>
      <c r="EVZ48" s="84" t="str">
        <f>IF(ISNUMBER(outYear),EVZ37+EVZ42+#REF!+#REF!,"")</f>
        <v/>
      </c>
      <c r="EWA48" s="84" t="str">
        <f>IF(ISNUMBER(outYear),EWA37+EWA42+#REF!+#REF!,"")</f>
        <v/>
      </c>
      <c r="EWB48" s="84" t="str">
        <f>IF(ISNUMBER(outYear),EWB37+EWB42+#REF!+#REF!,"")</f>
        <v/>
      </c>
      <c r="EWC48" s="84" t="str">
        <f>IF(ISNUMBER(outYear),EWC37+EWC42+#REF!+#REF!,"")</f>
        <v/>
      </c>
      <c r="EWD48" s="84" t="str">
        <f>IF(ISNUMBER(outYear),EWD37+EWD42+#REF!+#REF!,"")</f>
        <v/>
      </c>
      <c r="EWE48" s="84" t="str">
        <f>IF(ISNUMBER(outYear),EWE37+EWE42+#REF!+#REF!,"")</f>
        <v/>
      </c>
      <c r="EWF48" s="84" t="str">
        <f>IF(ISNUMBER(outYear),EWF37+EWF42+#REF!+#REF!,"")</f>
        <v/>
      </c>
      <c r="EWG48" s="84" t="str">
        <f>IF(ISNUMBER(outYear),EWG37+EWG42+#REF!+#REF!,"")</f>
        <v/>
      </c>
      <c r="EWH48" s="84" t="str">
        <f>IF(ISNUMBER(outYear),EWH37+EWH42+#REF!+#REF!,"")</f>
        <v/>
      </c>
      <c r="EWI48" s="84" t="str">
        <f>IF(ISNUMBER(outYear),EWI37+EWI42+#REF!+#REF!,"")</f>
        <v/>
      </c>
      <c r="EWJ48" s="84" t="str">
        <f>IF(ISNUMBER(outYear),EWJ37+EWJ42+#REF!+#REF!,"")</f>
        <v/>
      </c>
      <c r="EWK48" s="84" t="str">
        <f>IF(ISNUMBER(outYear),EWK37+EWK42+#REF!+#REF!,"")</f>
        <v/>
      </c>
      <c r="EWL48" s="84" t="str">
        <f>IF(ISNUMBER(outYear),EWL37+EWL42+#REF!+#REF!,"")</f>
        <v/>
      </c>
      <c r="EWM48" s="84" t="str">
        <f>IF(ISNUMBER(outYear),EWM37+EWM42+#REF!+#REF!,"")</f>
        <v/>
      </c>
      <c r="EWN48" s="84" t="str">
        <f>IF(ISNUMBER(outYear),EWN37+EWN42+#REF!+#REF!,"")</f>
        <v/>
      </c>
      <c r="EWO48" s="84" t="str">
        <f>IF(ISNUMBER(outYear),EWO37+EWO42+#REF!+#REF!,"")</f>
        <v/>
      </c>
      <c r="EWP48" s="84" t="str">
        <f>IF(ISNUMBER(outYear),EWP37+EWP42+#REF!+#REF!,"")</f>
        <v/>
      </c>
      <c r="EWQ48" s="84" t="str">
        <f>IF(ISNUMBER(outYear),EWQ37+EWQ42+#REF!+#REF!,"")</f>
        <v/>
      </c>
      <c r="EWR48" s="84" t="str">
        <f>IF(ISNUMBER(outYear),EWR37+EWR42+#REF!+#REF!,"")</f>
        <v/>
      </c>
      <c r="EWS48" s="84" t="str">
        <f>IF(ISNUMBER(outYear),EWS37+EWS42+#REF!+#REF!,"")</f>
        <v/>
      </c>
      <c r="EWT48" s="84" t="str">
        <f>IF(ISNUMBER(outYear),EWT37+EWT42+#REF!+#REF!,"")</f>
        <v/>
      </c>
      <c r="EWU48" s="84" t="str">
        <f>IF(ISNUMBER(outYear),EWU37+EWU42+#REF!+#REF!,"")</f>
        <v/>
      </c>
      <c r="EWV48" s="84" t="str">
        <f>IF(ISNUMBER(outYear),EWV37+EWV42+#REF!+#REF!,"")</f>
        <v/>
      </c>
      <c r="EWW48" s="84" t="str">
        <f>IF(ISNUMBER(outYear),EWW37+EWW42+#REF!+#REF!,"")</f>
        <v/>
      </c>
      <c r="EWX48" s="84" t="str">
        <f>IF(ISNUMBER(outYear),EWX37+EWX42+#REF!+#REF!,"")</f>
        <v/>
      </c>
      <c r="EWY48" s="84" t="str">
        <f>IF(ISNUMBER(outYear),EWY37+EWY42+#REF!+#REF!,"")</f>
        <v/>
      </c>
      <c r="EWZ48" s="84" t="str">
        <f>IF(ISNUMBER(outYear),EWZ37+EWZ42+#REF!+#REF!,"")</f>
        <v/>
      </c>
      <c r="EXA48" s="84" t="str">
        <f>IF(ISNUMBER(outYear),EXA37+EXA42+#REF!+#REF!,"")</f>
        <v/>
      </c>
      <c r="EXB48" s="84" t="str">
        <f>IF(ISNUMBER(outYear),EXB37+EXB42+#REF!+#REF!,"")</f>
        <v/>
      </c>
      <c r="EXC48" s="84" t="str">
        <f>IF(ISNUMBER(outYear),EXC37+EXC42+#REF!+#REF!,"")</f>
        <v/>
      </c>
      <c r="EXD48" s="84" t="str">
        <f>IF(ISNUMBER(outYear),EXD37+EXD42+#REF!+#REF!,"")</f>
        <v/>
      </c>
      <c r="EXE48" s="84" t="str">
        <f>IF(ISNUMBER(outYear),EXE37+EXE42+#REF!+#REF!,"")</f>
        <v/>
      </c>
      <c r="EXF48" s="84" t="str">
        <f>IF(ISNUMBER(outYear),EXF37+EXF42+#REF!+#REF!,"")</f>
        <v/>
      </c>
      <c r="EXG48" s="84" t="str">
        <f>IF(ISNUMBER(outYear),EXG37+EXG42+#REF!+#REF!,"")</f>
        <v/>
      </c>
      <c r="EXH48" s="84" t="str">
        <f>IF(ISNUMBER(outYear),EXH37+EXH42+#REF!+#REF!,"")</f>
        <v/>
      </c>
      <c r="EXI48" s="84" t="str">
        <f>IF(ISNUMBER(outYear),EXI37+EXI42+#REF!+#REF!,"")</f>
        <v/>
      </c>
      <c r="EXJ48" s="84" t="str">
        <f>IF(ISNUMBER(outYear),EXJ37+EXJ42+#REF!+#REF!,"")</f>
        <v/>
      </c>
      <c r="EXK48" s="84" t="str">
        <f>IF(ISNUMBER(outYear),EXK37+EXK42+#REF!+#REF!,"")</f>
        <v/>
      </c>
      <c r="EXL48" s="84" t="str">
        <f>IF(ISNUMBER(outYear),EXL37+EXL42+#REF!+#REF!,"")</f>
        <v/>
      </c>
      <c r="EXM48" s="84" t="str">
        <f>IF(ISNUMBER(outYear),EXM37+EXM42+#REF!+#REF!,"")</f>
        <v/>
      </c>
      <c r="EXN48" s="84" t="str">
        <f>IF(ISNUMBER(outYear),EXN37+EXN42+#REF!+#REF!,"")</f>
        <v/>
      </c>
      <c r="EXO48" s="84" t="str">
        <f>IF(ISNUMBER(outYear),EXO37+EXO42+#REF!+#REF!,"")</f>
        <v/>
      </c>
      <c r="EXP48" s="84" t="str">
        <f>IF(ISNUMBER(outYear),EXP37+EXP42+#REF!+#REF!,"")</f>
        <v/>
      </c>
      <c r="EXQ48" s="84" t="str">
        <f>IF(ISNUMBER(outYear),EXQ37+EXQ42+#REF!+#REF!,"")</f>
        <v/>
      </c>
      <c r="EXR48" s="84" t="str">
        <f>IF(ISNUMBER(outYear),EXR37+EXR42+#REF!+#REF!,"")</f>
        <v/>
      </c>
      <c r="EXS48" s="84" t="str">
        <f>IF(ISNUMBER(outYear),EXS37+EXS42+#REF!+#REF!,"")</f>
        <v/>
      </c>
      <c r="EXT48" s="84" t="str">
        <f>IF(ISNUMBER(outYear),EXT37+EXT42+#REF!+#REF!,"")</f>
        <v/>
      </c>
      <c r="EXU48" s="84" t="str">
        <f>IF(ISNUMBER(outYear),EXU37+EXU42+#REF!+#REF!,"")</f>
        <v/>
      </c>
      <c r="EXV48" s="84" t="str">
        <f>IF(ISNUMBER(outYear),EXV37+EXV42+#REF!+#REF!,"")</f>
        <v/>
      </c>
      <c r="EXW48" s="84" t="str">
        <f>IF(ISNUMBER(outYear),EXW37+EXW42+#REF!+#REF!,"")</f>
        <v/>
      </c>
      <c r="EXX48" s="84" t="str">
        <f>IF(ISNUMBER(outYear),EXX37+EXX42+#REF!+#REF!,"")</f>
        <v/>
      </c>
      <c r="EXY48" s="84" t="str">
        <f>IF(ISNUMBER(outYear),EXY37+EXY42+#REF!+#REF!,"")</f>
        <v/>
      </c>
      <c r="EXZ48" s="84" t="str">
        <f>IF(ISNUMBER(outYear),EXZ37+EXZ42+#REF!+#REF!,"")</f>
        <v/>
      </c>
      <c r="EYA48" s="84" t="str">
        <f>IF(ISNUMBER(outYear),EYA37+EYA42+#REF!+#REF!,"")</f>
        <v/>
      </c>
      <c r="EYB48" s="84" t="str">
        <f>IF(ISNUMBER(outYear),EYB37+EYB42+#REF!+#REF!,"")</f>
        <v/>
      </c>
      <c r="EYC48" s="84" t="str">
        <f>IF(ISNUMBER(outYear),EYC37+EYC42+#REF!+#REF!,"")</f>
        <v/>
      </c>
      <c r="EYD48" s="84" t="str">
        <f>IF(ISNUMBER(outYear),EYD37+EYD42+#REF!+#REF!,"")</f>
        <v/>
      </c>
      <c r="EYE48" s="84" t="str">
        <f>IF(ISNUMBER(outYear),EYE37+EYE42+#REF!+#REF!,"")</f>
        <v/>
      </c>
      <c r="EYF48" s="84" t="str">
        <f>IF(ISNUMBER(outYear),EYF37+EYF42+#REF!+#REF!,"")</f>
        <v/>
      </c>
      <c r="EYG48" s="84" t="str">
        <f>IF(ISNUMBER(outYear),EYG37+EYG42+#REF!+#REF!,"")</f>
        <v/>
      </c>
      <c r="EYH48" s="84" t="str">
        <f>IF(ISNUMBER(outYear),EYH37+EYH42+#REF!+#REF!,"")</f>
        <v/>
      </c>
      <c r="EYI48" s="84" t="str">
        <f>IF(ISNUMBER(outYear),EYI37+EYI42+#REF!+#REF!,"")</f>
        <v/>
      </c>
      <c r="EYJ48" s="84" t="str">
        <f>IF(ISNUMBER(outYear),EYJ37+EYJ42+#REF!+#REF!,"")</f>
        <v/>
      </c>
      <c r="EYK48" s="84" t="str">
        <f>IF(ISNUMBER(outYear),EYK37+EYK42+#REF!+#REF!,"")</f>
        <v/>
      </c>
      <c r="EYL48" s="84" t="str">
        <f>IF(ISNUMBER(outYear),EYL37+EYL42+#REF!+#REF!,"")</f>
        <v/>
      </c>
      <c r="EYM48" s="84" t="str">
        <f>IF(ISNUMBER(outYear),EYM37+EYM42+#REF!+#REF!,"")</f>
        <v/>
      </c>
      <c r="EYN48" s="84" t="str">
        <f>IF(ISNUMBER(outYear),EYN37+EYN42+#REF!+#REF!,"")</f>
        <v/>
      </c>
      <c r="EYO48" s="84" t="str">
        <f>IF(ISNUMBER(outYear),EYO37+EYO42+#REF!+#REF!,"")</f>
        <v/>
      </c>
      <c r="EYP48" s="84" t="str">
        <f>IF(ISNUMBER(outYear),EYP37+EYP42+#REF!+#REF!,"")</f>
        <v/>
      </c>
      <c r="EYQ48" s="84" t="str">
        <f>IF(ISNUMBER(outYear),EYQ37+EYQ42+#REF!+#REF!,"")</f>
        <v/>
      </c>
      <c r="EYR48" s="84" t="str">
        <f>IF(ISNUMBER(outYear),EYR37+EYR42+#REF!+#REF!,"")</f>
        <v/>
      </c>
      <c r="EYS48" s="84" t="str">
        <f>IF(ISNUMBER(outYear),EYS37+EYS42+#REF!+#REF!,"")</f>
        <v/>
      </c>
      <c r="EYT48" s="84" t="str">
        <f>IF(ISNUMBER(outYear),EYT37+EYT42+#REF!+#REF!,"")</f>
        <v/>
      </c>
      <c r="EYU48" s="84" t="str">
        <f>IF(ISNUMBER(outYear),EYU37+EYU42+#REF!+#REF!,"")</f>
        <v/>
      </c>
      <c r="EYV48" s="84" t="str">
        <f>IF(ISNUMBER(outYear),EYV37+EYV42+#REF!+#REF!,"")</f>
        <v/>
      </c>
      <c r="EYW48" s="84" t="str">
        <f>IF(ISNUMBER(outYear),EYW37+EYW42+#REF!+#REF!,"")</f>
        <v/>
      </c>
      <c r="EYX48" s="84" t="str">
        <f>IF(ISNUMBER(outYear),EYX37+EYX42+#REF!+#REF!,"")</f>
        <v/>
      </c>
      <c r="EYY48" s="84" t="str">
        <f>IF(ISNUMBER(outYear),EYY37+EYY42+#REF!+#REF!,"")</f>
        <v/>
      </c>
      <c r="EYZ48" s="84" t="str">
        <f>IF(ISNUMBER(outYear),EYZ37+EYZ42+#REF!+#REF!,"")</f>
        <v/>
      </c>
      <c r="EZA48" s="84" t="str">
        <f>IF(ISNUMBER(outYear),EZA37+EZA42+#REF!+#REF!,"")</f>
        <v/>
      </c>
      <c r="EZB48" s="84" t="str">
        <f>IF(ISNUMBER(outYear),EZB37+EZB42+#REF!+#REF!,"")</f>
        <v/>
      </c>
      <c r="EZC48" s="84" t="str">
        <f>IF(ISNUMBER(outYear),EZC37+EZC42+#REF!+#REF!,"")</f>
        <v/>
      </c>
      <c r="EZD48" s="84" t="str">
        <f>IF(ISNUMBER(outYear),EZD37+EZD42+#REF!+#REF!,"")</f>
        <v/>
      </c>
      <c r="EZE48" s="84" t="str">
        <f>IF(ISNUMBER(outYear),EZE37+EZE42+#REF!+#REF!,"")</f>
        <v/>
      </c>
      <c r="EZF48" s="84" t="str">
        <f>IF(ISNUMBER(outYear),EZF37+EZF42+#REF!+#REF!,"")</f>
        <v/>
      </c>
      <c r="EZG48" s="84" t="str">
        <f>IF(ISNUMBER(outYear),EZG37+EZG42+#REF!+#REF!,"")</f>
        <v/>
      </c>
      <c r="EZH48" s="84" t="str">
        <f>IF(ISNUMBER(outYear),EZH37+EZH42+#REF!+#REF!,"")</f>
        <v/>
      </c>
      <c r="EZI48" s="84" t="str">
        <f>IF(ISNUMBER(outYear),EZI37+EZI42+#REF!+#REF!,"")</f>
        <v/>
      </c>
      <c r="EZJ48" s="84" t="str">
        <f>IF(ISNUMBER(outYear),EZJ37+EZJ42+#REF!+#REF!,"")</f>
        <v/>
      </c>
      <c r="EZK48" s="84" t="str">
        <f>IF(ISNUMBER(outYear),EZK37+EZK42+#REF!+#REF!,"")</f>
        <v/>
      </c>
      <c r="EZL48" s="84" t="str">
        <f>IF(ISNUMBER(outYear),EZL37+EZL42+#REF!+#REF!,"")</f>
        <v/>
      </c>
      <c r="EZM48" s="84" t="str">
        <f>IF(ISNUMBER(outYear),EZM37+EZM42+#REF!+#REF!,"")</f>
        <v/>
      </c>
      <c r="EZN48" s="84" t="str">
        <f>IF(ISNUMBER(outYear),EZN37+EZN42+#REF!+#REF!,"")</f>
        <v/>
      </c>
      <c r="EZO48" s="84" t="str">
        <f>IF(ISNUMBER(outYear),EZO37+EZO42+#REF!+#REF!,"")</f>
        <v/>
      </c>
      <c r="EZP48" s="84" t="str">
        <f>IF(ISNUMBER(outYear),EZP37+EZP42+#REF!+#REF!,"")</f>
        <v/>
      </c>
      <c r="EZQ48" s="84" t="str">
        <f>IF(ISNUMBER(outYear),EZQ37+EZQ42+#REF!+#REF!,"")</f>
        <v/>
      </c>
      <c r="EZR48" s="84" t="str">
        <f>IF(ISNUMBER(outYear),EZR37+EZR42+#REF!+#REF!,"")</f>
        <v/>
      </c>
      <c r="EZS48" s="84" t="str">
        <f>IF(ISNUMBER(outYear),EZS37+EZS42+#REF!+#REF!,"")</f>
        <v/>
      </c>
      <c r="EZT48" s="84" t="str">
        <f>IF(ISNUMBER(outYear),EZT37+EZT42+#REF!+#REF!,"")</f>
        <v/>
      </c>
      <c r="EZU48" s="84" t="str">
        <f>IF(ISNUMBER(outYear),EZU37+EZU42+#REF!+#REF!,"")</f>
        <v/>
      </c>
      <c r="EZV48" s="84" t="str">
        <f>IF(ISNUMBER(outYear),EZV37+EZV42+#REF!+#REF!,"")</f>
        <v/>
      </c>
      <c r="EZW48" s="84" t="str">
        <f>IF(ISNUMBER(outYear),EZW37+EZW42+#REF!+#REF!,"")</f>
        <v/>
      </c>
      <c r="EZX48" s="84" t="str">
        <f>IF(ISNUMBER(outYear),EZX37+EZX42+#REF!+#REF!,"")</f>
        <v/>
      </c>
      <c r="EZY48" s="84" t="str">
        <f>IF(ISNUMBER(outYear),EZY37+EZY42+#REF!+#REF!,"")</f>
        <v/>
      </c>
      <c r="EZZ48" s="84" t="str">
        <f>IF(ISNUMBER(outYear),EZZ37+EZZ42+#REF!+#REF!,"")</f>
        <v/>
      </c>
      <c r="FAA48" s="84" t="str">
        <f>IF(ISNUMBER(outYear),FAA37+FAA42+#REF!+#REF!,"")</f>
        <v/>
      </c>
      <c r="FAB48" s="84" t="str">
        <f>IF(ISNUMBER(outYear),FAB37+FAB42+#REF!+#REF!,"")</f>
        <v/>
      </c>
      <c r="FAC48" s="84" t="str">
        <f>IF(ISNUMBER(outYear),FAC37+FAC42+#REF!+#REF!,"")</f>
        <v/>
      </c>
      <c r="FAD48" s="84" t="str">
        <f>IF(ISNUMBER(outYear),FAD37+FAD42+#REF!+#REF!,"")</f>
        <v/>
      </c>
      <c r="FAE48" s="84" t="str">
        <f>IF(ISNUMBER(outYear),FAE37+FAE42+#REF!+#REF!,"")</f>
        <v/>
      </c>
      <c r="FAF48" s="84" t="str">
        <f>IF(ISNUMBER(outYear),FAF37+FAF42+#REF!+#REF!,"")</f>
        <v/>
      </c>
      <c r="FAG48" s="84" t="str">
        <f>IF(ISNUMBER(outYear),FAG37+FAG42+#REF!+#REF!,"")</f>
        <v/>
      </c>
      <c r="FAH48" s="84" t="str">
        <f>IF(ISNUMBER(outYear),FAH37+FAH42+#REF!+#REF!,"")</f>
        <v/>
      </c>
      <c r="FAI48" s="84" t="str">
        <f>IF(ISNUMBER(outYear),FAI37+FAI42+#REF!+#REF!,"")</f>
        <v/>
      </c>
      <c r="FAJ48" s="84" t="str">
        <f>IF(ISNUMBER(outYear),FAJ37+FAJ42+#REF!+#REF!,"")</f>
        <v/>
      </c>
      <c r="FAK48" s="84" t="str">
        <f>IF(ISNUMBER(outYear),FAK37+FAK42+#REF!+#REF!,"")</f>
        <v/>
      </c>
      <c r="FAL48" s="84" t="str">
        <f>IF(ISNUMBER(outYear),FAL37+FAL42+#REF!+#REF!,"")</f>
        <v/>
      </c>
      <c r="FAM48" s="84" t="str">
        <f>IF(ISNUMBER(outYear),FAM37+FAM42+#REF!+#REF!,"")</f>
        <v/>
      </c>
      <c r="FAN48" s="84" t="str">
        <f>IF(ISNUMBER(outYear),FAN37+FAN42+#REF!+#REF!,"")</f>
        <v/>
      </c>
      <c r="FAO48" s="84" t="str">
        <f>IF(ISNUMBER(outYear),FAO37+FAO42+#REF!+#REF!,"")</f>
        <v/>
      </c>
      <c r="FAP48" s="84" t="str">
        <f>IF(ISNUMBER(outYear),FAP37+FAP42+#REF!+#REF!,"")</f>
        <v/>
      </c>
      <c r="FAQ48" s="84" t="str">
        <f>IF(ISNUMBER(outYear),FAQ37+FAQ42+#REF!+#REF!,"")</f>
        <v/>
      </c>
      <c r="FAR48" s="84" t="str">
        <f>IF(ISNUMBER(outYear),FAR37+FAR42+#REF!+#REF!,"")</f>
        <v/>
      </c>
      <c r="FAS48" s="84" t="str">
        <f>IF(ISNUMBER(outYear),FAS37+FAS42+#REF!+#REF!,"")</f>
        <v/>
      </c>
      <c r="FAT48" s="84" t="str">
        <f>IF(ISNUMBER(outYear),FAT37+FAT42+#REF!+#REF!,"")</f>
        <v/>
      </c>
      <c r="FAU48" s="84" t="str">
        <f>IF(ISNUMBER(outYear),FAU37+FAU42+#REF!+#REF!,"")</f>
        <v/>
      </c>
      <c r="FAV48" s="84" t="str">
        <f>IF(ISNUMBER(outYear),FAV37+FAV42+#REF!+#REF!,"")</f>
        <v/>
      </c>
      <c r="FAW48" s="84" t="str">
        <f>IF(ISNUMBER(outYear),FAW37+FAW42+#REF!+#REF!,"")</f>
        <v/>
      </c>
      <c r="FAX48" s="84" t="str">
        <f>IF(ISNUMBER(outYear),FAX37+FAX42+#REF!+#REF!,"")</f>
        <v/>
      </c>
      <c r="FAY48" s="84" t="str">
        <f>IF(ISNUMBER(outYear),FAY37+FAY42+#REF!+#REF!,"")</f>
        <v/>
      </c>
      <c r="FAZ48" s="84" t="str">
        <f>IF(ISNUMBER(outYear),FAZ37+FAZ42+#REF!+#REF!,"")</f>
        <v/>
      </c>
      <c r="FBA48" s="84" t="str">
        <f>IF(ISNUMBER(outYear),FBA37+FBA42+#REF!+#REF!,"")</f>
        <v/>
      </c>
      <c r="FBB48" s="84" t="str">
        <f>IF(ISNUMBER(outYear),FBB37+FBB42+#REF!+#REF!,"")</f>
        <v/>
      </c>
      <c r="FBC48" s="84" t="str">
        <f>IF(ISNUMBER(outYear),FBC37+FBC42+#REF!+#REF!,"")</f>
        <v/>
      </c>
      <c r="FBD48" s="84" t="str">
        <f>IF(ISNUMBER(outYear),FBD37+FBD42+#REF!+#REF!,"")</f>
        <v/>
      </c>
      <c r="FBE48" s="84" t="str">
        <f>IF(ISNUMBER(outYear),FBE37+FBE42+#REF!+#REF!,"")</f>
        <v/>
      </c>
      <c r="FBF48" s="84" t="str">
        <f>IF(ISNUMBER(outYear),FBF37+FBF42+#REF!+#REF!,"")</f>
        <v/>
      </c>
      <c r="FBG48" s="84" t="str">
        <f>IF(ISNUMBER(outYear),FBG37+FBG42+#REF!+#REF!,"")</f>
        <v/>
      </c>
      <c r="FBH48" s="84" t="str">
        <f>IF(ISNUMBER(outYear),FBH37+FBH42+#REF!+#REF!,"")</f>
        <v/>
      </c>
      <c r="FBI48" s="84" t="str">
        <f>IF(ISNUMBER(outYear),FBI37+FBI42+#REF!+#REF!,"")</f>
        <v/>
      </c>
      <c r="FBJ48" s="84" t="str">
        <f>IF(ISNUMBER(outYear),FBJ37+FBJ42+#REF!+#REF!,"")</f>
        <v/>
      </c>
      <c r="FBK48" s="84" t="str">
        <f>IF(ISNUMBER(outYear),FBK37+FBK42+#REF!+#REF!,"")</f>
        <v/>
      </c>
      <c r="FBL48" s="84" t="str">
        <f>IF(ISNUMBER(outYear),FBL37+FBL42+#REF!+#REF!,"")</f>
        <v/>
      </c>
      <c r="FBM48" s="84" t="str">
        <f>IF(ISNUMBER(outYear),FBM37+FBM42+#REF!+#REF!,"")</f>
        <v/>
      </c>
      <c r="FBN48" s="84" t="str">
        <f>IF(ISNUMBER(outYear),FBN37+FBN42+#REF!+#REF!,"")</f>
        <v/>
      </c>
      <c r="FBO48" s="84" t="str">
        <f>IF(ISNUMBER(outYear),FBO37+FBO42+#REF!+#REF!,"")</f>
        <v/>
      </c>
      <c r="FBP48" s="84" t="str">
        <f>IF(ISNUMBER(outYear),FBP37+FBP42+#REF!+#REF!,"")</f>
        <v/>
      </c>
      <c r="FBQ48" s="84" t="str">
        <f>IF(ISNUMBER(outYear),FBQ37+FBQ42+#REF!+#REF!,"")</f>
        <v/>
      </c>
      <c r="FBR48" s="84" t="str">
        <f>IF(ISNUMBER(outYear),FBR37+FBR42+#REF!+#REF!,"")</f>
        <v/>
      </c>
      <c r="FBS48" s="84" t="str">
        <f>IF(ISNUMBER(outYear),FBS37+FBS42+#REF!+#REF!,"")</f>
        <v/>
      </c>
      <c r="FBT48" s="84" t="str">
        <f>IF(ISNUMBER(outYear),FBT37+FBT42+#REF!+#REF!,"")</f>
        <v/>
      </c>
      <c r="FBU48" s="84" t="str">
        <f>IF(ISNUMBER(outYear),FBU37+FBU42+#REF!+#REF!,"")</f>
        <v/>
      </c>
      <c r="FBV48" s="84" t="str">
        <f>IF(ISNUMBER(outYear),FBV37+FBV42+#REF!+#REF!,"")</f>
        <v/>
      </c>
      <c r="FBW48" s="84" t="str">
        <f>IF(ISNUMBER(outYear),FBW37+FBW42+#REF!+#REF!,"")</f>
        <v/>
      </c>
      <c r="FBX48" s="84" t="str">
        <f>IF(ISNUMBER(outYear),FBX37+FBX42+#REF!+#REF!,"")</f>
        <v/>
      </c>
      <c r="FBY48" s="84" t="str">
        <f>IF(ISNUMBER(outYear),FBY37+FBY42+#REF!+#REF!,"")</f>
        <v/>
      </c>
      <c r="FBZ48" s="84" t="str">
        <f>IF(ISNUMBER(outYear),FBZ37+FBZ42+#REF!+#REF!,"")</f>
        <v/>
      </c>
      <c r="FCA48" s="84" t="str">
        <f>IF(ISNUMBER(outYear),FCA37+FCA42+#REF!+#REF!,"")</f>
        <v/>
      </c>
      <c r="FCB48" s="84" t="str">
        <f>IF(ISNUMBER(outYear),FCB37+FCB42+#REF!+#REF!,"")</f>
        <v/>
      </c>
      <c r="FCC48" s="84" t="str">
        <f>IF(ISNUMBER(outYear),FCC37+FCC42+#REF!+#REF!,"")</f>
        <v/>
      </c>
      <c r="FCD48" s="84" t="str">
        <f>IF(ISNUMBER(outYear),FCD37+FCD42+#REF!+#REF!,"")</f>
        <v/>
      </c>
      <c r="FCE48" s="84" t="str">
        <f>IF(ISNUMBER(outYear),FCE37+FCE42+#REF!+#REF!,"")</f>
        <v/>
      </c>
      <c r="FCF48" s="84" t="str">
        <f>IF(ISNUMBER(outYear),FCF37+FCF42+#REF!+#REF!,"")</f>
        <v/>
      </c>
      <c r="FCG48" s="84" t="str">
        <f>IF(ISNUMBER(outYear),FCG37+FCG42+#REF!+#REF!,"")</f>
        <v/>
      </c>
      <c r="FCH48" s="84" t="str">
        <f>IF(ISNUMBER(outYear),FCH37+FCH42+#REF!+#REF!,"")</f>
        <v/>
      </c>
      <c r="FCI48" s="84" t="str">
        <f>IF(ISNUMBER(outYear),FCI37+FCI42+#REF!+#REF!,"")</f>
        <v/>
      </c>
      <c r="FCJ48" s="84" t="str">
        <f>IF(ISNUMBER(outYear),FCJ37+FCJ42+#REF!+#REF!,"")</f>
        <v/>
      </c>
      <c r="FCK48" s="84" t="str">
        <f>IF(ISNUMBER(outYear),FCK37+FCK42+#REF!+#REF!,"")</f>
        <v/>
      </c>
      <c r="FCL48" s="84" t="str">
        <f>IF(ISNUMBER(outYear),FCL37+FCL42+#REF!+#REF!,"")</f>
        <v/>
      </c>
      <c r="FCM48" s="84" t="str">
        <f>IF(ISNUMBER(outYear),FCM37+FCM42+#REF!+#REF!,"")</f>
        <v/>
      </c>
      <c r="FCN48" s="84" t="str">
        <f>IF(ISNUMBER(outYear),FCN37+FCN42+#REF!+#REF!,"")</f>
        <v/>
      </c>
      <c r="FCO48" s="84" t="str">
        <f>IF(ISNUMBER(outYear),FCO37+FCO42+#REF!+#REF!,"")</f>
        <v/>
      </c>
      <c r="FCP48" s="84" t="str">
        <f>IF(ISNUMBER(outYear),FCP37+FCP42+#REF!+#REF!,"")</f>
        <v/>
      </c>
      <c r="FCQ48" s="84" t="str">
        <f>IF(ISNUMBER(outYear),FCQ37+FCQ42+#REF!+#REF!,"")</f>
        <v/>
      </c>
      <c r="FCR48" s="84" t="str">
        <f>IF(ISNUMBER(outYear),FCR37+FCR42+#REF!+#REF!,"")</f>
        <v/>
      </c>
      <c r="FCS48" s="84" t="str">
        <f>IF(ISNUMBER(outYear),FCS37+FCS42+#REF!+#REF!,"")</f>
        <v/>
      </c>
      <c r="FCT48" s="84" t="str">
        <f>IF(ISNUMBER(outYear),FCT37+FCT42+#REF!+#REF!,"")</f>
        <v/>
      </c>
      <c r="FCU48" s="84" t="str">
        <f>IF(ISNUMBER(outYear),FCU37+FCU42+#REF!+#REF!,"")</f>
        <v/>
      </c>
      <c r="FCV48" s="84" t="str">
        <f>IF(ISNUMBER(outYear),FCV37+FCV42+#REF!+#REF!,"")</f>
        <v/>
      </c>
      <c r="FCW48" s="84" t="str">
        <f>IF(ISNUMBER(outYear),FCW37+FCW42+#REF!+#REF!,"")</f>
        <v/>
      </c>
      <c r="FCX48" s="84" t="str">
        <f>IF(ISNUMBER(outYear),FCX37+FCX42+#REF!+#REF!,"")</f>
        <v/>
      </c>
      <c r="FCY48" s="84" t="str">
        <f>IF(ISNUMBER(outYear),FCY37+FCY42+#REF!+#REF!,"")</f>
        <v/>
      </c>
      <c r="FCZ48" s="84" t="str">
        <f>IF(ISNUMBER(outYear),FCZ37+FCZ42+#REF!+#REF!,"")</f>
        <v/>
      </c>
      <c r="FDA48" s="84" t="str">
        <f>IF(ISNUMBER(outYear),FDA37+FDA42+#REF!+#REF!,"")</f>
        <v/>
      </c>
      <c r="FDB48" s="84" t="str">
        <f>IF(ISNUMBER(outYear),FDB37+FDB42+#REF!+#REF!,"")</f>
        <v/>
      </c>
      <c r="FDC48" s="84" t="str">
        <f>IF(ISNUMBER(outYear),FDC37+FDC42+#REF!+#REF!,"")</f>
        <v/>
      </c>
      <c r="FDD48" s="84" t="str">
        <f>IF(ISNUMBER(outYear),FDD37+FDD42+#REF!+#REF!,"")</f>
        <v/>
      </c>
      <c r="FDE48" s="84" t="str">
        <f>IF(ISNUMBER(outYear),FDE37+FDE42+#REF!+#REF!,"")</f>
        <v/>
      </c>
      <c r="FDF48" s="84" t="str">
        <f>IF(ISNUMBER(outYear),FDF37+FDF42+#REF!+#REF!,"")</f>
        <v/>
      </c>
      <c r="FDG48" s="84" t="str">
        <f>IF(ISNUMBER(outYear),FDG37+FDG42+#REF!+#REF!,"")</f>
        <v/>
      </c>
      <c r="FDH48" s="84" t="str">
        <f>IF(ISNUMBER(outYear),FDH37+FDH42+#REF!+#REF!,"")</f>
        <v/>
      </c>
      <c r="FDI48" s="84" t="str">
        <f>IF(ISNUMBER(outYear),FDI37+FDI42+#REF!+#REF!,"")</f>
        <v/>
      </c>
      <c r="FDJ48" s="84" t="str">
        <f>IF(ISNUMBER(outYear),FDJ37+FDJ42+#REF!+#REF!,"")</f>
        <v/>
      </c>
      <c r="FDK48" s="84" t="str">
        <f>IF(ISNUMBER(outYear),FDK37+FDK42+#REF!+#REF!,"")</f>
        <v/>
      </c>
      <c r="FDL48" s="84" t="str">
        <f>IF(ISNUMBER(outYear),FDL37+FDL42+#REF!+#REF!,"")</f>
        <v/>
      </c>
      <c r="FDM48" s="84" t="str">
        <f>IF(ISNUMBER(outYear),FDM37+FDM42+#REF!+#REF!,"")</f>
        <v/>
      </c>
      <c r="FDN48" s="84" t="str">
        <f>IF(ISNUMBER(outYear),FDN37+FDN42+#REF!+#REF!,"")</f>
        <v/>
      </c>
      <c r="FDO48" s="84" t="str">
        <f>IF(ISNUMBER(outYear),FDO37+FDO42+#REF!+#REF!,"")</f>
        <v/>
      </c>
      <c r="FDP48" s="84" t="str">
        <f>IF(ISNUMBER(outYear),FDP37+FDP42+#REF!+#REF!,"")</f>
        <v/>
      </c>
      <c r="FDQ48" s="84" t="str">
        <f>IF(ISNUMBER(outYear),FDQ37+FDQ42+#REF!+#REF!,"")</f>
        <v/>
      </c>
      <c r="FDR48" s="84" t="str">
        <f>IF(ISNUMBER(outYear),FDR37+FDR42+#REF!+#REF!,"")</f>
        <v/>
      </c>
      <c r="FDS48" s="84" t="str">
        <f>IF(ISNUMBER(outYear),FDS37+FDS42+#REF!+#REF!,"")</f>
        <v/>
      </c>
      <c r="FDT48" s="84" t="str">
        <f>IF(ISNUMBER(outYear),FDT37+FDT42+#REF!+#REF!,"")</f>
        <v/>
      </c>
      <c r="FDU48" s="84" t="str">
        <f>IF(ISNUMBER(outYear),FDU37+FDU42+#REF!+#REF!,"")</f>
        <v/>
      </c>
      <c r="FDV48" s="84" t="str">
        <f>IF(ISNUMBER(outYear),FDV37+FDV42+#REF!+#REF!,"")</f>
        <v/>
      </c>
      <c r="FDW48" s="84" t="str">
        <f>IF(ISNUMBER(outYear),FDW37+FDW42+#REF!+#REF!,"")</f>
        <v/>
      </c>
      <c r="FDX48" s="84" t="str">
        <f>IF(ISNUMBER(outYear),FDX37+FDX42+#REF!+#REF!,"")</f>
        <v/>
      </c>
      <c r="FDY48" s="84" t="str">
        <f>IF(ISNUMBER(outYear),FDY37+FDY42+#REF!+#REF!,"")</f>
        <v/>
      </c>
      <c r="FDZ48" s="84" t="str">
        <f>IF(ISNUMBER(outYear),FDZ37+FDZ42+#REF!+#REF!,"")</f>
        <v/>
      </c>
      <c r="FEA48" s="84" t="str">
        <f>IF(ISNUMBER(outYear),FEA37+FEA42+#REF!+#REF!,"")</f>
        <v/>
      </c>
      <c r="FEB48" s="84" t="str">
        <f>IF(ISNUMBER(outYear),FEB37+FEB42+#REF!+#REF!,"")</f>
        <v/>
      </c>
      <c r="FEC48" s="84" t="str">
        <f>IF(ISNUMBER(outYear),FEC37+FEC42+#REF!+#REF!,"")</f>
        <v/>
      </c>
      <c r="FED48" s="84" t="str">
        <f>IF(ISNUMBER(outYear),FED37+FED42+#REF!+#REF!,"")</f>
        <v/>
      </c>
      <c r="FEE48" s="84" t="str">
        <f>IF(ISNUMBER(outYear),FEE37+FEE42+#REF!+#REF!,"")</f>
        <v/>
      </c>
      <c r="FEF48" s="84" t="str">
        <f>IF(ISNUMBER(outYear),FEF37+FEF42+#REF!+#REF!,"")</f>
        <v/>
      </c>
      <c r="FEG48" s="84" t="str">
        <f>IF(ISNUMBER(outYear),FEG37+FEG42+#REF!+#REF!,"")</f>
        <v/>
      </c>
      <c r="FEH48" s="84" t="str">
        <f>IF(ISNUMBER(outYear),FEH37+FEH42+#REF!+#REF!,"")</f>
        <v/>
      </c>
      <c r="FEI48" s="84" t="str">
        <f>IF(ISNUMBER(outYear),FEI37+FEI42+#REF!+#REF!,"")</f>
        <v/>
      </c>
      <c r="FEJ48" s="84" t="str">
        <f>IF(ISNUMBER(outYear),FEJ37+FEJ42+#REF!+#REF!,"")</f>
        <v/>
      </c>
      <c r="FEK48" s="84" t="str">
        <f>IF(ISNUMBER(outYear),FEK37+FEK42+#REF!+#REF!,"")</f>
        <v/>
      </c>
      <c r="FEL48" s="84" t="str">
        <f>IF(ISNUMBER(outYear),FEL37+FEL42+#REF!+#REF!,"")</f>
        <v/>
      </c>
      <c r="FEM48" s="84" t="str">
        <f>IF(ISNUMBER(outYear),FEM37+FEM42+#REF!+#REF!,"")</f>
        <v/>
      </c>
      <c r="FEN48" s="84" t="str">
        <f>IF(ISNUMBER(outYear),FEN37+FEN42+#REF!+#REF!,"")</f>
        <v/>
      </c>
      <c r="FEO48" s="84" t="str">
        <f>IF(ISNUMBER(outYear),FEO37+FEO42+#REF!+#REF!,"")</f>
        <v/>
      </c>
      <c r="FEP48" s="84" t="str">
        <f>IF(ISNUMBER(outYear),FEP37+FEP42+#REF!+#REF!,"")</f>
        <v/>
      </c>
      <c r="FEQ48" s="84" t="str">
        <f>IF(ISNUMBER(outYear),FEQ37+FEQ42+#REF!+#REF!,"")</f>
        <v/>
      </c>
      <c r="FER48" s="84" t="str">
        <f>IF(ISNUMBER(outYear),FER37+FER42+#REF!+#REF!,"")</f>
        <v/>
      </c>
      <c r="FES48" s="84" t="str">
        <f>IF(ISNUMBER(outYear),FES37+FES42+#REF!+#REF!,"")</f>
        <v/>
      </c>
      <c r="FET48" s="84" t="str">
        <f>IF(ISNUMBER(outYear),FET37+FET42+#REF!+#REF!,"")</f>
        <v/>
      </c>
      <c r="FEU48" s="84" t="str">
        <f>IF(ISNUMBER(outYear),FEU37+FEU42+#REF!+#REF!,"")</f>
        <v/>
      </c>
      <c r="FEV48" s="84" t="str">
        <f>IF(ISNUMBER(outYear),FEV37+FEV42+#REF!+#REF!,"")</f>
        <v/>
      </c>
      <c r="FEW48" s="84" t="str">
        <f>IF(ISNUMBER(outYear),FEW37+FEW42+#REF!+#REF!,"")</f>
        <v/>
      </c>
      <c r="FEX48" s="84" t="str">
        <f>IF(ISNUMBER(outYear),FEX37+FEX42+#REF!+#REF!,"")</f>
        <v/>
      </c>
      <c r="FEY48" s="84" t="str">
        <f>IF(ISNUMBER(outYear),FEY37+FEY42+#REF!+#REF!,"")</f>
        <v/>
      </c>
      <c r="FEZ48" s="84" t="str">
        <f>IF(ISNUMBER(outYear),FEZ37+FEZ42+#REF!+#REF!,"")</f>
        <v/>
      </c>
      <c r="FFA48" s="84" t="str">
        <f>IF(ISNUMBER(outYear),FFA37+FFA42+#REF!+#REF!,"")</f>
        <v/>
      </c>
      <c r="FFB48" s="84" t="str">
        <f>IF(ISNUMBER(outYear),FFB37+FFB42+#REF!+#REF!,"")</f>
        <v/>
      </c>
      <c r="FFC48" s="84" t="str">
        <f>IF(ISNUMBER(outYear),FFC37+FFC42+#REF!+#REF!,"")</f>
        <v/>
      </c>
      <c r="FFD48" s="84" t="str">
        <f>IF(ISNUMBER(outYear),FFD37+FFD42+#REF!+#REF!,"")</f>
        <v/>
      </c>
      <c r="FFE48" s="84" t="str">
        <f>IF(ISNUMBER(outYear),FFE37+FFE42+#REF!+#REF!,"")</f>
        <v/>
      </c>
      <c r="FFF48" s="84" t="str">
        <f>IF(ISNUMBER(outYear),FFF37+FFF42+#REF!+#REF!,"")</f>
        <v/>
      </c>
      <c r="FFG48" s="84" t="str">
        <f>IF(ISNUMBER(outYear),FFG37+FFG42+#REF!+#REF!,"")</f>
        <v/>
      </c>
      <c r="FFH48" s="84" t="str">
        <f>IF(ISNUMBER(outYear),FFH37+FFH42+#REF!+#REF!,"")</f>
        <v/>
      </c>
      <c r="FFI48" s="84" t="str">
        <f>IF(ISNUMBER(outYear),FFI37+FFI42+#REF!+#REF!,"")</f>
        <v/>
      </c>
      <c r="FFJ48" s="84" t="str">
        <f>IF(ISNUMBER(outYear),FFJ37+FFJ42+#REF!+#REF!,"")</f>
        <v/>
      </c>
      <c r="FFK48" s="84" t="str">
        <f>IF(ISNUMBER(outYear),FFK37+FFK42+#REF!+#REF!,"")</f>
        <v/>
      </c>
      <c r="FFL48" s="84" t="str">
        <f>IF(ISNUMBER(outYear),FFL37+FFL42+#REF!+#REF!,"")</f>
        <v/>
      </c>
      <c r="FFM48" s="84" t="str">
        <f>IF(ISNUMBER(outYear),FFM37+FFM42+#REF!+#REF!,"")</f>
        <v/>
      </c>
      <c r="FFN48" s="84" t="str">
        <f>IF(ISNUMBER(outYear),FFN37+FFN42+#REF!+#REF!,"")</f>
        <v/>
      </c>
      <c r="FFO48" s="84" t="str">
        <f>IF(ISNUMBER(outYear),FFO37+FFO42+#REF!+#REF!,"")</f>
        <v/>
      </c>
      <c r="FFP48" s="84" t="str">
        <f>IF(ISNUMBER(outYear),FFP37+FFP42+#REF!+#REF!,"")</f>
        <v/>
      </c>
      <c r="FFQ48" s="84" t="str">
        <f>IF(ISNUMBER(outYear),FFQ37+FFQ42+#REF!+#REF!,"")</f>
        <v/>
      </c>
      <c r="FFR48" s="84" t="str">
        <f>IF(ISNUMBER(outYear),FFR37+FFR42+#REF!+#REF!,"")</f>
        <v/>
      </c>
      <c r="FFS48" s="84" t="str">
        <f>IF(ISNUMBER(outYear),FFS37+FFS42+#REF!+#REF!,"")</f>
        <v/>
      </c>
      <c r="FFT48" s="84" t="str">
        <f>IF(ISNUMBER(outYear),FFT37+FFT42+#REF!+#REF!,"")</f>
        <v/>
      </c>
      <c r="FFU48" s="84" t="str">
        <f>IF(ISNUMBER(outYear),FFU37+FFU42+#REF!+#REF!,"")</f>
        <v/>
      </c>
      <c r="FFV48" s="84" t="str">
        <f>IF(ISNUMBER(outYear),FFV37+FFV42+#REF!+#REF!,"")</f>
        <v/>
      </c>
      <c r="FFW48" s="84" t="str">
        <f>IF(ISNUMBER(outYear),FFW37+FFW42+#REF!+#REF!,"")</f>
        <v/>
      </c>
      <c r="FFX48" s="84" t="str">
        <f>IF(ISNUMBER(outYear),FFX37+FFX42+#REF!+#REF!,"")</f>
        <v/>
      </c>
      <c r="FFY48" s="84" t="str">
        <f>IF(ISNUMBER(outYear),FFY37+FFY42+#REF!+#REF!,"")</f>
        <v/>
      </c>
      <c r="FFZ48" s="84" t="str">
        <f>IF(ISNUMBER(outYear),FFZ37+FFZ42+#REF!+#REF!,"")</f>
        <v/>
      </c>
      <c r="FGA48" s="84" t="str">
        <f>IF(ISNUMBER(outYear),FGA37+FGA42+#REF!+#REF!,"")</f>
        <v/>
      </c>
      <c r="FGB48" s="84" t="str">
        <f>IF(ISNUMBER(outYear),FGB37+FGB42+#REF!+#REF!,"")</f>
        <v/>
      </c>
      <c r="FGC48" s="84" t="str">
        <f>IF(ISNUMBER(outYear),FGC37+FGC42+#REF!+#REF!,"")</f>
        <v/>
      </c>
      <c r="FGD48" s="84" t="str">
        <f>IF(ISNUMBER(outYear),FGD37+FGD42+#REF!+#REF!,"")</f>
        <v/>
      </c>
      <c r="FGE48" s="84" t="str">
        <f>IF(ISNUMBER(outYear),FGE37+FGE42+#REF!+#REF!,"")</f>
        <v/>
      </c>
      <c r="FGF48" s="84" t="str">
        <f>IF(ISNUMBER(outYear),FGF37+FGF42+#REF!+#REF!,"")</f>
        <v/>
      </c>
      <c r="FGG48" s="84" t="str">
        <f>IF(ISNUMBER(outYear),FGG37+FGG42+#REF!+#REF!,"")</f>
        <v/>
      </c>
      <c r="FGH48" s="84" t="str">
        <f>IF(ISNUMBER(outYear),FGH37+FGH42+#REF!+#REF!,"")</f>
        <v/>
      </c>
      <c r="FGI48" s="84" t="str">
        <f>IF(ISNUMBER(outYear),FGI37+FGI42+#REF!+#REF!,"")</f>
        <v/>
      </c>
      <c r="FGJ48" s="84" t="str">
        <f>IF(ISNUMBER(outYear),FGJ37+FGJ42+#REF!+#REF!,"")</f>
        <v/>
      </c>
      <c r="FGK48" s="84" t="str">
        <f>IF(ISNUMBER(outYear),FGK37+FGK42+#REF!+#REF!,"")</f>
        <v/>
      </c>
      <c r="FGL48" s="84" t="str">
        <f>IF(ISNUMBER(outYear),FGL37+FGL42+#REF!+#REF!,"")</f>
        <v/>
      </c>
      <c r="FGM48" s="84" t="str">
        <f>IF(ISNUMBER(outYear),FGM37+FGM42+#REF!+#REF!,"")</f>
        <v/>
      </c>
      <c r="FGN48" s="84" t="str">
        <f>IF(ISNUMBER(outYear),FGN37+FGN42+#REF!+#REF!,"")</f>
        <v/>
      </c>
      <c r="FGO48" s="84" t="str">
        <f>IF(ISNUMBER(outYear),FGO37+FGO42+#REF!+#REF!,"")</f>
        <v/>
      </c>
      <c r="FGP48" s="84" t="str">
        <f>IF(ISNUMBER(outYear),FGP37+FGP42+#REF!+#REF!,"")</f>
        <v/>
      </c>
      <c r="FGQ48" s="84" t="str">
        <f>IF(ISNUMBER(outYear),FGQ37+FGQ42+#REF!+#REF!,"")</f>
        <v/>
      </c>
      <c r="FGR48" s="84" t="str">
        <f>IF(ISNUMBER(outYear),FGR37+FGR42+#REF!+#REF!,"")</f>
        <v/>
      </c>
      <c r="FGS48" s="84" t="str">
        <f>IF(ISNUMBER(outYear),FGS37+FGS42+#REF!+#REF!,"")</f>
        <v/>
      </c>
      <c r="FGT48" s="84" t="str">
        <f>IF(ISNUMBER(outYear),FGT37+FGT42+#REF!+#REF!,"")</f>
        <v/>
      </c>
      <c r="FGU48" s="84" t="str">
        <f>IF(ISNUMBER(outYear),FGU37+FGU42+#REF!+#REF!,"")</f>
        <v/>
      </c>
      <c r="FGV48" s="84" t="str">
        <f>IF(ISNUMBER(outYear),FGV37+FGV42+#REF!+#REF!,"")</f>
        <v/>
      </c>
      <c r="FGW48" s="84" t="str">
        <f>IF(ISNUMBER(outYear),FGW37+FGW42+#REF!+#REF!,"")</f>
        <v/>
      </c>
      <c r="FGX48" s="84" t="str">
        <f>IF(ISNUMBER(outYear),FGX37+FGX42+#REF!+#REF!,"")</f>
        <v/>
      </c>
      <c r="FGY48" s="84" t="str">
        <f>IF(ISNUMBER(outYear),FGY37+FGY42+#REF!+#REF!,"")</f>
        <v/>
      </c>
      <c r="FGZ48" s="84" t="str">
        <f>IF(ISNUMBER(outYear),FGZ37+FGZ42+#REF!+#REF!,"")</f>
        <v/>
      </c>
      <c r="FHA48" s="84" t="str">
        <f>IF(ISNUMBER(outYear),FHA37+FHA42+#REF!+#REF!,"")</f>
        <v/>
      </c>
      <c r="FHB48" s="84" t="str">
        <f>IF(ISNUMBER(outYear),FHB37+FHB42+#REF!+#REF!,"")</f>
        <v/>
      </c>
      <c r="FHC48" s="84" t="str">
        <f>IF(ISNUMBER(outYear),FHC37+FHC42+#REF!+#REF!,"")</f>
        <v/>
      </c>
      <c r="FHD48" s="84" t="str">
        <f>IF(ISNUMBER(outYear),FHD37+FHD42+#REF!+#REF!,"")</f>
        <v/>
      </c>
      <c r="FHE48" s="84" t="str">
        <f>IF(ISNUMBER(outYear),FHE37+FHE42+#REF!+#REF!,"")</f>
        <v/>
      </c>
      <c r="FHF48" s="84" t="str">
        <f>IF(ISNUMBER(outYear),FHF37+FHF42+#REF!+#REF!,"")</f>
        <v/>
      </c>
      <c r="FHG48" s="84" t="str">
        <f>IF(ISNUMBER(outYear),FHG37+FHG42+#REF!+#REF!,"")</f>
        <v/>
      </c>
      <c r="FHH48" s="84" t="str">
        <f>IF(ISNUMBER(outYear),FHH37+FHH42+#REF!+#REF!,"")</f>
        <v/>
      </c>
      <c r="FHI48" s="84" t="str">
        <f>IF(ISNUMBER(outYear),FHI37+FHI42+#REF!+#REF!,"")</f>
        <v/>
      </c>
      <c r="FHJ48" s="84" t="str">
        <f>IF(ISNUMBER(outYear),FHJ37+FHJ42+#REF!+#REF!,"")</f>
        <v/>
      </c>
      <c r="FHK48" s="84" t="str">
        <f>IF(ISNUMBER(outYear),FHK37+FHK42+#REF!+#REF!,"")</f>
        <v/>
      </c>
      <c r="FHL48" s="84" t="str">
        <f>IF(ISNUMBER(outYear),FHL37+FHL42+#REF!+#REF!,"")</f>
        <v/>
      </c>
      <c r="FHM48" s="84" t="str">
        <f>IF(ISNUMBER(outYear),FHM37+FHM42+#REF!+#REF!,"")</f>
        <v/>
      </c>
      <c r="FHN48" s="84" t="str">
        <f>IF(ISNUMBER(outYear),FHN37+FHN42+#REF!+#REF!,"")</f>
        <v/>
      </c>
      <c r="FHO48" s="84" t="str">
        <f>IF(ISNUMBER(outYear),FHO37+FHO42+#REF!+#REF!,"")</f>
        <v/>
      </c>
      <c r="FHP48" s="84" t="str">
        <f>IF(ISNUMBER(outYear),FHP37+FHP42+#REF!+#REF!,"")</f>
        <v/>
      </c>
      <c r="FHQ48" s="84" t="str">
        <f>IF(ISNUMBER(outYear),FHQ37+FHQ42+#REF!+#REF!,"")</f>
        <v/>
      </c>
      <c r="FHR48" s="84" t="str">
        <f>IF(ISNUMBER(outYear),FHR37+FHR42+#REF!+#REF!,"")</f>
        <v/>
      </c>
      <c r="FHS48" s="84" t="str">
        <f>IF(ISNUMBER(outYear),FHS37+FHS42+#REF!+#REF!,"")</f>
        <v/>
      </c>
      <c r="FHT48" s="84" t="str">
        <f>IF(ISNUMBER(outYear),FHT37+FHT42+#REF!+#REF!,"")</f>
        <v/>
      </c>
      <c r="FHU48" s="84" t="str">
        <f>IF(ISNUMBER(outYear),FHU37+FHU42+#REF!+#REF!,"")</f>
        <v/>
      </c>
      <c r="FHV48" s="84" t="str">
        <f>IF(ISNUMBER(outYear),FHV37+FHV42+#REF!+#REF!,"")</f>
        <v/>
      </c>
      <c r="FHW48" s="84" t="str">
        <f>IF(ISNUMBER(outYear),FHW37+FHW42+#REF!+#REF!,"")</f>
        <v/>
      </c>
      <c r="FHX48" s="84" t="str">
        <f>IF(ISNUMBER(outYear),FHX37+FHX42+#REF!+#REF!,"")</f>
        <v/>
      </c>
      <c r="FHY48" s="84" t="str">
        <f>IF(ISNUMBER(outYear),FHY37+FHY42+#REF!+#REF!,"")</f>
        <v/>
      </c>
      <c r="FHZ48" s="84" t="str">
        <f>IF(ISNUMBER(outYear),FHZ37+FHZ42+#REF!+#REF!,"")</f>
        <v/>
      </c>
      <c r="FIA48" s="84" t="str">
        <f>IF(ISNUMBER(outYear),FIA37+FIA42+#REF!+#REF!,"")</f>
        <v/>
      </c>
      <c r="FIB48" s="84" t="str">
        <f>IF(ISNUMBER(outYear),FIB37+FIB42+#REF!+#REF!,"")</f>
        <v/>
      </c>
      <c r="FIC48" s="84" t="str">
        <f>IF(ISNUMBER(outYear),FIC37+FIC42+#REF!+#REF!,"")</f>
        <v/>
      </c>
      <c r="FID48" s="84" t="str">
        <f>IF(ISNUMBER(outYear),FID37+FID42+#REF!+#REF!,"")</f>
        <v/>
      </c>
      <c r="FIE48" s="84" t="str">
        <f>IF(ISNUMBER(outYear),FIE37+FIE42+#REF!+#REF!,"")</f>
        <v/>
      </c>
      <c r="FIF48" s="84" t="str">
        <f>IF(ISNUMBER(outYear),FIF37+FIF42+#REF!+#REF!,"")</f>
        <v/>
      </c>
      <c r="FIG48" s="84" t="str">
        <f>IF(ISNUMBER(outYear),FIG37+FIG42+#REF!+#REF!,"")</f>
        <v/>
      </c>
      <c r="FIH48" s="84" t="str">
        <f>IF(ISNUMBER(outYear),FIH37+FIH42+#REF!+#REF!,"")</f>
        <v/>
      </c>
      <c r="FII48" s="84" t="str">
        <f>IF(ISNUMBER(outYear),FII37+FII42+#REF!+#REF!,"")</f>
        <v/>
      </c>
      <c r="FIJ48" s="84" t="str">
        <f>IF(ISNUMBER(outYear),FIJ37+FIJ42+#REF!+#REF!,"")</f>
        <v/>
      </c>
      <c r="FIK48" s="84" t="str">
        <f>IF(ISNUMBER(outYear),FIK37+FIK42+#REF!+#REF!,"")</f>
        <v/>
      </c>
      <c r="FIL48" s="84" t="str">
        <f>IF(ISNUMBER(outYear),FIL37+FIL42+#REF!+#REF!,"")</f>
        <v/>
      </c>
      <c r="FIM48" s="84" t="str">
        <f>IF(ISNUMBER(outYear),FIM37+FIM42+#REF!+#REF!,"")</f>
        <v/>
      </c>
      <c r="FIN48" s="84" t="str">
        <f>IF(ISNUMBER(outYear),FIN37+FIN42+#REF!+#REF!,"")</f>
        <v/>
      </c>
      <c r="FIO48" s="84" t="str">
        <f>IF(ISNUMBER(outYear),FIO37+FIO42+#REF!+#REF!,"")</f>
        <v/>
      </c>
      <c r="FIP48" s="84" t="str">
        <f>IF(ISNUMBER(outYear),FIP37+FIP42+#REF!+#REF!,"")</f>
        <v/>
      </c>
      <c r="FIQ48" s="84" t="str">
        <f>IF(ISNUMBER(outYear),FIQ37+FIQ42+#REF!+#REF!,"")</f>
        <v/>
      </c>
      <c r="FIR48" s="84" t="str">
        <f>IF(ISNUMBER(outYear),FIR37+FIR42+#REF!+#REF!,"")</f>
        <v/>
      </c>
      <c r="FIS48" s="84" t="str">
        <f>IF(ISNUMBER(outYear),FIS37+FIS42+#REF!+#REF!,"")</f>
        <v/>
      </c>
      <c r="FIT48" s="84" t="str">
        <f>IF(ISNUMBER(outYear),FIT37+FIT42+#REF!+#REF!,"")</f>
        <v/>
      </c>
      <c r="FIU48" s="84" t="str">
        <f>IF(ISNUMBER(outYear),FIU37+FIU42+#REF!+#REF!,"")</f>
        <v/>
      </c>
      <c r="FIV48" s="84" t="str">
        <f>IF(ISNUMBER(outYear),FIV37+FIV42+#REF!+#REF!,"")</f>
        <v/>
      </c>
      <c r="FIW48" s="84" t="str">
        <f>IF(ISNUMBER(outYear),FIW37+FIW42+#REF!+#REF!,"")</f>
        <v/>
      </c>
      <c r="FIX48" s="84" t="str">
        <f>IF(ISNUMBER(outYear),FIX37+FIX42+#REF!+#REF!,"")</f>
        <v/>
      </c>
      <c r="FIY48" s="84" t="str">
        <f>IF(ISNUMBER(outYear),FIY37+FIY42+#REF!+#REF!,"")</f>
        <v/>
      </c>
      <c r="FIZ48" s="84" t="str">
        <f>IF(ISNUMBER(outYear),FIZ37+FIZ42+#REF!+#REF!,"")</f>
        <v/>
      </c>
      <c r="FJA48" s="84" t="str">
        <f>IF(ISNUMBER(outYear),FJA37+FJA42+#REF!+#REF!,"")</f>
        <v/>
      </c>
      <c r="FJB48" s="84" t="str">
        <f>IF(ISNUMBER(outYear),FJB37+FJB42+#REF!+#REF!,"")</f>
        <v/>
      </c>
      <c r="FJC48" s="84" t="str">
        <f>IF(ISNUMBER(outYear),FJC37+FJC42+#REF!+#REF!,"")</f>
        <v/>
      </c>
      <c r="FJD48" s="84" t="str">
        <f>IF(ISNUMBER(outYear),FJD37+FJD42+#REF!+#REF!,"")</f>
        <v/>
      </c>
      <c r="FJE48" s="84" t="str">
        <f>IF(ISNUMBER(outYear),FJE37+FJE42+#REF!+#REF!,"")</f>
        <v/>
      </c>
      <c r="FJF48" s="84" t="str">
        <f>IF(ISNUMBER(outYear),FJF37+FJF42+#REF!+#REF!,"")</f>
        <v/>
      </c>
      <c r="FJG48" s="84" t="str">
        <f>IF(ISNUMBER(outYear),FJG37+FJG42+#REF!+#REF!,"")</f>
        <v/>
      </c>
      <c r="FJH48" s="84" t="str">
        <f>IF(ISNUMBER(outYear),FJH37+FJH42+#REF!+#REF!,"")</f>
        <v/>
      </c>
      <c r="FJI48" s="84" t="str">
        <f>IF(ISNUMBER(outYear),FJI37+FJI42+#REF!+#REF!,"")</f>
        <v/>
      </c>
      <c r="FJJ48" s="84" t="str">
        <f>IF(ISNUMBER(outYear),FJJ37+FJJ42+#REF!+#REF!,"")</f>
        <v/>
      </c>
      <c r="FJK48" s="84" t="str">
        <f>IF(ISNUMBER(outYear),FJK37+FJK42+#REF!+#REF!,"")</f>
        <v/>
      </c>
      <c r="FJL48" s="84" t="str">
        <f>IF(ISNUMBER(outYear),FJL37+FJL42+#REF!+#REF!,"")</f>
        <v/>
      </c>
      <c r="FJM48" s="84" t="str">
        <f>IF(ISNUMBER(outYear),FJM37+FJM42+#REF!+#REF!,"")</f>
        <v/>
      </c>
      <c r="FJN48" s="84" t="str">
        <f>IF(ISNUMBER(outYear),FJN37+FJN42+#REF!+#REF!,"")</f>
        <v/>
      </c>
      <c r="FJO48" s="84" t="str">
        <f>IF(ISNUMBER(outYear),FJO37+FJO42+#REF!+#REF!,"")</f>
        <v/>
      </c>
      <c r="FJP48" s="84" t="str">
        <f>IF(ISNUMBER(outYear),FJP37+FJP42+#REF!+#REF!,"")</f>
        <v/>
      </c>
      <c r="FJQ48" s="84" t="str">
        <f>IF(ISNUMBER(outYear),FJQ37+FJQ42+#REF!+#REF!,"")</f>
        <v/>
      </c>
      <c r="FJR48" s="84" t="str">
        <f>IF(ISNUMBER(outYear),FJR37+FJR42+#REF!+#REF!,"")</f>
        <v/>
      </c>
      <c r="FJS48" s="84" t="str">
        <f>IF(ISNUMBER(outYear),FJS37+FJS42+#REF!+#REF!,"")</f>
        <v/>
      </c>
      <c r="FJT48" s="84" t="str">
        <f>IF(ISNUMBER(outYear),FJT37+FJT42+#REF!+#REF!,"")</f>
        <v/>
      </c>
      <c r="FJU48" s="84" t="str">
        <f>IF(ISNUMBER(outYear),FJU37+FJU42+#REF!+#REF!,"")</f>
        <v/>
      </c>
      <c r="FJV48" s="84" t="str">
        <f>IF(ISNUMBER(outYear),FJV37+FJV42+#REF!+#REF!,"")</f>
        <v/>
      </c>
      <c r="FJW48" s="84" t="str">
        <f>IF(ISNUMBER(outYear),FJW37+FJW42+#REF!+#REF!,"")</f>
        <v/>
      </c>
      <c r="FJX48" s="84" t="str">
        <f>IF(ISNUMBER(outYear),FJX37+FJX42+#REF!+#REF!,"")</f>
        <v/>
      </c>
      <c r="FJY48" s="84" t="str">
        <f>IF(ISNUMBER(outYear),FJY37+FJY42+#REF!+#REF!,"")</f>
        <v/>
      </c>
      <c r="FJZ48" s="84" t="str">
        <f>IF(ISNUMBER(outYear),FJZ37+FJZ42+#REF!+#REF!,"")</f>
        <v/>
      </c>
      <c r="FKA48" s="84" t="str">
        <f>IF(ISNUMBER(outYear),FKA37+FKA42+#REF!+#REF!,"")</f>
        <v/>
      </c>
      <c r="FKB48" s="84" t="str">
        <f>IF(ISNUMBER(outYear),FKB37+FKB42+#REF!+#REF!,"")</f>
        <v/>
      </c>
      <c r="FKC48" s="84" t="str">
        <f>IF(ISNUMBER(outYear),FKC37+FKC42+#REF!+#REF!,"")</f>
        <v/>
      </c>
      <c r="FKD48" s="84" t="str">
        <f>IF(ISNUMBER(outYear),FKD37+FKD42+#REF!+#REF!,"")</f>
        <v/>
      </c>
      <c r="FKE48" s="84" t="str">
        <f>IF(ISNUMBER(outYear),FKE37+FKE42+#REF!+#REF!,"")</f>
        <v/>
      </c>
      <c r="FKF48" s="84" t="str">
        <f>IF(ISNUMBER(outYear),FKF37+FKF42+#REF!+#REF!,"")</f>
        <v/>
      </c>
      <c r="FKG48" s="84" t="str">
        <f>IF(ISNUMBER(outYear),FKG37+FKG42+#REF!+#REF!,"")</f>
        <v/>
      </c>
      <c r="FKH48" s="84" t="str">
        <f>IF(ISNUMBER(outYear),FKH37+FKH42+#REF!+#REF!,"")</f>
        <v/>
      </c>
      <c r="FKI48" s="84" t="str">
        <f>IF(ISNUMBER(outYear),FKI37+FKI42+#REF!+#REF!,"")</f>
        <v/>
      </c>
      <c r="FKJ48" s="84" t="str">
        <f>IF(ISNUMBER(outYear),FKJ37+FKJ42+#REF!+#REF!,"")</f>
        <v/>
      </c>
      <c r="FKK48" s="84" t="str">
        <f>IF(ISNUMBER(outYear),FKK37+FKK42+#REF!+#REF!,"")</f>
        <v/>
      </c>
      <c r="FKL48" s="84" t="str">
        <f>IF(ISNUMBER(outYear),FKL37+FKL42+#REF!+#REF!,"")</f>
        <v/>
      </c>
      <c r="FKM48" s="84" t="str">
        <f>IF(ISNUMBER(outYear),FKM37+FKM42+#REF!+#REF!,"")</f>
        <v/>
      </c>
      <c r="FKN48" s="84" t="str">
        <f>IF(ISNUMBER(outYear),FKN37+FKN42+#REF!+#REF!,"")</f>
        <v/>
      </c>
      <c r="FKO48" s="84" t="str">
        <f>IF(ISNUMBER(outYear),FKO37+FKO42+#REF!+#REF!,"")</f>
        <v/>
      </c>
      <c r="FKP48" s="84" t="str">
        <f>IF(ISNUMBER(outYear),FKP37+FKP42+#REF!+#REF!,"")</f>
        <v/>
      </c>
      <c r="FKQ48" s="84" t="str">
        <f>IF(ISNUMBER(outYear),FKQ37+FKQ42+#REF!+#REF!,"")</f>
        <v/>
      </c>
      <c r="FKR48" s="84" t="str">
        <f>IF(ISNUMBER(outYear),FKR37+FKR42+#REF!+#REF!,"")</f>
        <v/>
      </c>
      <c r="FKS48" s="84" t="str">
        <f>IF(ISNUMBER(outYear),FKS37+FKS42+#REF!+#REF!,"")</f>
        <v/>
      </c>
      <c r="FKT48" s="84" t="str">
        <f>IF(ISNUMBER(outYear),FKT37+FKT42+#REF!+#REF!,"")</f>
        <v/>
      </c>
      <c r="FKU48" s="84" t="str">
        <f>IF(ISNUMBER(outYear),FKU37+FKU42+#REF!+#REF!,"")</f>
        <v/>
      </c>
      <c r="FKV48" s="84" t="str">
        <f>IF(ISNUMBER(outYear),FKV37+FKV42+#REF!+#REF!,"")</f>
        <v/>
      </c>
      <c r="FKW48" s="84" t="str">
        <f>IF(ISNUMBER(outYear),FKW37+FKW42+#REF!+#REF!,"")</f>
        <v/>
      </c>
      <c r="FKX48" s="84" t="str">
        <f>IF(ISNUMBER(outYear),FKX37+FKX42+#REF!+#REF!,"")</f>
        <v/>
      </c>
      <c r="FKY48" s="84" t="str">
        <f>IF(ISNUMBER(outYear),FKY37+FKY42+#REF!+#REF!,"")</f>
        <v/>
      </c>
      <c r="FKZ48" s="84" t="str">
        <f>IF(ISNUMBER(outYear),FKZ37+FKZ42+#REF!+#REF!,"")</f>
        <v/>
      </c>
      <c r="FLA48" s="84" t="str">
        <f>IF(ISNUMBER(outYear),FLA37+FLA42+#REF!+#REF!,"")</f>
        <v/>
      </c>
      <c r="FLB48" s="84" t="str">
        <f>IF(ISNUMBER(outYear),FLB37+FLB42+#REF!+#REF!,"")</f>
        <v/>
      </c>
      <c r="FLC48" s="84" t="str">
        <f>IF(ISNUMBER(outYear),FLC37+FLC42+#REF!+#REF!,"")</f>
        <v/>
      </c>
      <c r="FLD48" s="84" t="str">
        <f>IF(ISNUMBER(outYear),FLD37+FLD42+#REF!+#REF!,"")</f>
        <v/>
      </c>
      <c r="FLE48" s="84" t="str">
        <f>IF(ISNUMBER(outYear),FLE37+FLE42+#REF!+#REF!,"")</f>
        <v/>
      </c>
      <c r="FLF48" s="84" t="str">
        <f>IF(ISNUMBER(outYear),FLF37+FLF42+#REF!+#REF!,"")</f>
        <v/>
      </c>
      <c r="FLG48" s="84" t="str">
        <f>IF(ISNUMBER(outYear),FLG37+FLG42+#REF!+#REF!,"")</f>
        <v/>
      </c>
      <c r="FLH48" s="84" t="str">
        <f>IF(ISNUMBER(outYear),FLH37+FLH42+#REF!+#REF!,"")</f>
        <v/>
      </c>
      <c r="FLI48" s="84" t="str">
        <f>IF(ISNUMBER(outYear),FLI37+FLI42+#REF!+#REF!,"")</f>
        <v/>
      </c>
      <c r="FLJ48" s="84" t="str">
        <f>IF(ISNUMBER(outYear),FLJ37+FLJ42+#REF!+#REF!,"")</f>
        <v/>
      </c>
      <c r="FLK48" s="84" t="str">
        <f>IF(ISNUMBER(outYear),FLK37+FLK42+#REF!+#REF!,"")</f>
        <v/>
      </c>
      <c r="FLL48" s="84" t="str">
        <f>IF(ISNUMBER(outYear),FLL37+FLL42+#REF!+#REF!,"")</f>
        <v/>
      </c>
      <c r="FLM48" s="84" t="str">
        <f>IF(ISNUMBER(outYear),FLM37+FLM42+#REF!+#REF!,"")</f>
        <v/>
      </c>
      <c r="FLN48" s="84" t="str">
        <f>IF(ISNUMBER(outYear),FLN37+FLN42+#REF!+#REF!,"")</f>
        <v/>
      </c>
      <c r="FLO48" s="84" t="str">
        <f>IF(ISNUMBER(outYear),FLO37+FLO42+#REF!+#REF!,"")</f>
        <v/>
      </c>
      <c r="FLP48" s="84" t="str">
        <f>IF(ISNUMBER(outYear),FLP37+FLP42+#REF!+#REF!,"")</f>
        <v/>
      </c>
      <c r="FLQ48" s="84" t="str">
        <f>IF(ISNUMBER(outYear),FLQ37+FLQ42+#REF!+#REF!,"")</f>
        <v/>
      </c>
      <c r="FLR48" s="84" t="str">
        <f>IF(ISNUMBER(outYear),FLR37+FLR42+#REF!+#REF!,"")</f>
        <v/>
      </c>
      <c r="FLS48" s="84" t="str">
        <f>IF(ISNUMBER(outYear),FLS37+FLS42+#REF!+#REF!,"")</f>
        <v/>
      </c>
      <c r="FLT48" s="84" t="str">
        <f>IF(ISNUMBER(outYear),FLT37+FLT42+#REF!+#REF!,"")</f>
        <v/>
      </c>
      <c r="FLU48" s="84" t="str">
        <f>IF(ISNUMBER(outYear),FLU37+FLU42+#REF!+#REF!,"")</f>
        <v/>
      </c>
      <c r="FLV48" s="84" t="str">
        <f>IF(ISNUMBER(outYear),FLV37+FLV42+#REF!+#REF!,"")</f>
        <v/>
      </c>
      <c r="FLW48" s="84" t="str">
        <f>IF(ISNUMBER(outYear),FLW37+FLW42+#REF!+#REF!,"")</f>
        <v/>
      </c>
      <c r="FLX48" s="84" t="str">
        <f>IF(ISNUMBER(outYear),FLX37+FLX42+#REF!+#REF!,"")</f>
        <v/>
      </c>
      <c r="FLY48" s="84" t="str">
        <f>IF(ISNUMBER(outYear),FLY37+FLY42+#REF!+#REF!,"")</f>
        <v/>
      </c>
      <c r="FLZ48" s="84" t="str">
        <f>IF(ISNUMBER(outYear),FLZ37+FLZ42+#REF!+#REF!,"")</f>
        <v/>
      </c>
      <c r="FMA48" s="84" t="str">
        <f>IF(ISNUMBER(outYear),FMA37+FMA42+#REF!+#REF!,"")</f>
        <v/>
      </c>
      <c r="FMB48" s="84" t="str">
        <f>IF(ISNUMBER(outYear),FMB37+FMB42+#REF!+#REF!,"")</f>
        <v/>
      </c>
      <c r="FMC48" s="84" t="str">
        <f>IF(ISNUMBER(outYear),FMC37+FMC42+#REF!+#REF!,"")</f>
        <v/>
      </c>
      <c r="FMD48" s="84" t="str">
        <f>IF(ISNUMBER(outYear),FMD37+FMD42+#REF!+#REF!,"")</f>
        <v/>
      </c>
      <c r="FME48" s="84" t="str">
        <f>IF(ISNUMBER(outYear),FME37+FME42+#REF!+#REF!,"")</f>
        <v/>
      </c>
      <c r="FMF48" s="84" t="str">
        <f>IF(ISNUMBER(outYear),FMF37+FMF42+#REF!+#REF!,"")</f>
        <v/>
      </c>
      <c r="FMG48" s="84" t="str">
        <f>IF(ISNUMBER(outYear),FMG37+FMG42+#REF!+#REF!,"")</f>
        <v/>
      </c>
      <c r="FMH48" s="84" t="str">
        <f>IF(ISNUMBER(outYear),FMH37+FMH42+#REF!+#REF!,"")</f>
        <v/>
      </c>
      <c r="FMI48" s="84" t="str">
        <f>IF(ISNUMBER(outYear),FMI37+FMI42+#REF!+#REF!,"")</f>
        <v/>
      </c>
      <c r="FMJ48" s="84" t="str">
        <f>IF(ISNUMBER(outYear),FMJ37+FMJ42+#REF!+#REF!,"")</f>
        <v/>
      </c>
      <c r="FMK48" s="84" t="str">
        <f>IF(ISNUMBER(outYear),FMK37+FMK42+#REF!+#REF!,"")</f>
        <v/>
      </c>
      <c r="FML48" s="84" t="str">
        <f>IF(ISNUMBER(outYear),FML37+FML42+#REF!+#REF!,"")</f>
        <v/>
      </c>
      <c r="FMM48" s="84" t="str">
        <f>IF(ISNUMBER(outYear),FMM37+FMM42+#REF!+#REF!,"")</f>
        <v/>
      </c>
      <c r="FMN48" s="84" t="str">
        <f>IF(ISNUMBER(outYear),FMN37+FMN42+#REF!+#REF!,"")</f>
        <v/>
      </c>
      <c r="FMO48" s="84" t="str">
        <f>IF(ISNUMBER(outYear),FMO37+FMO42+#REF!+#REF!,"")</f>
        <v/>
      </c>
      <c r="FMP48" s="84" t="str">
        <f>IF(ISNUMBER(outYear),FMP37+FMP42+#REF!+#REF!,"")</f>
        <v/>
      </c>
      <c r="FMQ48" s="84" t="str">
        <f>IF(ISNUMBER(outYear),FMQ37+FMQ42+#REF!+#REF!,"")</f>
        <v/>
      </c>
      <c r="FMR48" s="84" t="str">
        <f>IF(ISNUMBER(outYear),FMR37+FMR42+#REF!+#REF!,"")</f>
        <v/>
      </c>
      <c r="FMS48" s="84" t="str">
        <f>IF(ISNUMBER(outYear),FMS37+FMS42+#REF!+#REF!,"")</f>
        <v/>
      </c>
      <c r="FMT48" s="84" t="str">
        <f>IF(ISNUMBER(outYear),FMT37+FMT42+#REF!+#REF!,"")</f>
        <v/>
      </c>
      <c r="FMU48" s="84" t="str">
        <f>IF(ISNUMBER(outYear),FMU37+FMU42+#REF!+#REF!,"")</f>
        <v/>
      </c>
      <c r="FMV48" s="84" t="str">
        <f>IF(ISNUMBER(outYear),FMV37+FMV42+#REF!+#REF!,"")</f>
        <v/>
      </c>
      <c r="FMW48" s="84" t="str">
        <f>IF(ISNUMBER(outYear),FMW37+FMW42+#REF!+#REF!,"")</f>
        <v/>
      </c>
      <c r="FMX48" s="84" t="str">
        <f>IF(ISNUMBER(outYear),FMX37+FMX42+#REF!+#REF!,"")</f>
        <v/>
      </c>
      <c r="FMY48" s="84" t="str">
        <f>IF(ISNUMBER(outYear),FMY37+FMY42+#REF!+#REF!,"")</f>
        <v/>
      </c>
      <c r="FMZ48" s="84" t="str">
        <f>IF(ISNUMBER(outYear),FMZ37+FMZ42+#REF!+#REF!,"")</f>
        <v/>
      </c>
      <c r="FNA48" s="84" t="str">
        <f>IF(ISNUMBER(outYear),FNA37+FNA42+#REF!+#REF!,"")</f>
        <v/>
      </c>
      <c r="FNB48" s="84" t="str">
        <f>IF(ISNUMBER(outYear),FNB37+FNB42+#REF!+#REF!,"")</f>
        <v/>
      </c>
      <c r="FNC48" s="84" t="str">
        <f>IF(ISNUMBER(outYear),FNC37+FNC42+#REF!+#REF!,"")</f>
        <v/>
      </c>
      <c r="FND48" s="84" t="str">
        <f>IF(ISNUMBER(outYear),FND37+FND42+#REF!+#REF!,"")</f>
        <v/>
      </c>
      <c r="FNE48" s="84" t="str">
        <f>IF(ISNUMBER(outYear),FNE37+FNE42+#REF!+#REF!,"")</f>
        <v/>
      </c>
      <c r="FNF48" s="84" t="str">
        <f>IF(ISNUMBER(outYear),FNF37+FNF42+#REF!+#REF!,"")</f>
        <v/>
      </c>
      <c r="FNG48" s="84" t="str">
        <f>IF(ISNUMBER(outYear),FNG37+FNG42+#REF!+#REF!,"")</f>
        <v/>
      </c>
      <c r="FNH48" s="84" t="str">
        <f>IF(ISNUMBER(outYear),FNH37+FNH42+#REF!+#REF!,"")</f>
        <v/>
      </c>
      <c r="FNI48" s="84" t="str">
        <f>IF(ISNUMBER(outYear),FNI37+FNI42+#REF!+#REF!,"")</f>
        <v/>
      </c>
      <c r="FNJ48" s="84" t="str">
        <f>IF(ISNUMBER(outYear),FNJ37+FNJ42+#REF!+#REF!,"")</f>
        <v/>
      </c>
      <c r="FNK48" s="84" t="str">
        <f>IF(ISNUMBER(outYear),FNK37+FNK42+#REF!+#REF!,"")</f>
        <v/>
      </c>
      <c r="FNL48" s="84" t="str">
        <f>IF(ISNUMBER(outYear),FNL37+FNL42+#REF!+#REF!,"")</f>
        <v/>
      </c>
      <c r="FNM48" s="84" t="str">
        <f>IF(ISNUMBER(outYear),FNM37+FNM42+#REF!+#REF!,"")</f>
        <v/>
      </c>
      <c r="FNN48" s="84" t="str">
        <f>IF(ISNUMBER(outYear),FNN37+FNN42+#REF!+#REF!,"")</f>
        <v/>
      </c>
      <c r="FNO48" s="84" t="str">
        <f>IF(ISNUMBER(outYear),FNO37+FNO42+#REF!+#REF!,"")</f>
        <v/>
      </c>
      <c r="FNP48" s="84" t="str">
        <f>IF(ISNUMBER(outYear),FNP37+FNP42+#REF!+#REF!,"")</f>
        <v/>
      </c>
      <c r="FNQ48" s="84" t="str">
        <f>IF(ISNUMBER(outYear),FNQ37+FNQ42+#REF!+#REF!,"")</f>
        <v/>
      </c>
      <c r="FNR48" s="84" t="str">
        <f>IF(ISNUMBER(outYear),FNR37+FNR42+#REF!+#REF!,"")</f>
        <v/>
      </c>
      <c r="FNS48" s="84" t="str">
        <f>IF(ISNUMBER(outYear),FNS37+FNS42+#REF!+#REF!,"")</f>
        <v/>
      </c>
      <c r="FNT48" s="84" t="str">
        <f>IF(ISNUMBER(outYear),FNT37+FNT42+#REF!+#REF!,"")</f>
        <v/>
      </c>
      <c r="FNU48" s="84" t="str">
        <f>IF(ISNUMBER(outYear),FNU37+FNU42+#REF!+#REF!,"")</f>
        <v/>
      </c>
      <c r="FNV48" s="84" t="str">
        <f>IF(ISNUMBER(outYear),FNV37+FNV42+#REF!+#REF!,"")</f>
        <v/>
      </c>
      <c r="FNW48" s="84" t="str">
        <f>IF(ISNUMBER(outYear),FNW37+FNW42+#REF!+#REF!,"")</f>
        <v/>
      </c>
      <c r="FNX48" s="84" t="str">
        <f>IF(ISNUMBER(outYear),FNX37+FNX42+#REF!+#REF!,"")</f>
        <v/>
      </c>
      <c r="FNY48" s="84" t="str">
        <f>IF(ISNUMBER(outYear),FNY37+FNY42+#REF!+#REF!,"")</f>
        <v/>
      </c>
      <c r="FNZ48" s="84" t="str">
        <f>IF(ISNUMBER(outYear),FNZ37+FNZ42+#REF!+#REF!,"")</f>
        <v/>
      </c>
      <c r="FOA48" s="84" t="str">
        <f>IF(ISNUMBER(outYear),FOA37+FOA42+#REF!+#REF!,"")</f>
        <v/>
      </c>
      <c r="FOB48" s="84" t="str">
        <f>IF(ISNUMBER(outYear),FOB37+FOB42+#REF!+#REF!,"")</f>
        <v/>
      </c>
      <c r="FOC48" s="84" t="str">
        <f>IF(ISNUMBER(outYear),FOC37+FOC42+#REF!+#REF!,"")</f>
        <v/>
      </c>
      <c r="FOD48" s="84" t="str">
        <f>IF(ISNUMBER(outYear),FOD37+FOD42+#REF!+#REF!,"")</f>
        <v/>
      </c>
      <c r="FOE48" s="84" t="str">
        <f>IF(ISNUMBER(outYear),FOE37+FOE42+#REF!+#REF!,"")</f>
        <v/>
      </c>
      <c r="FOF48" s="84" t="str">
        <f>IF(ISNUMBER(outYear),FOF37+FOF42+#REF!+#REF!,"")</f>
        <v/>
      </c>
      <c r="FOG48" s="84" t="str">
        <f>IF(ISNUMBER(outYear),FOG37+FOG42+#REF!+#REF!,"")</f>
        <v/>
      </c>
      <c r="FOH48" s="84" t="str">
        <f>IF(ISNUMBER(outYear),FOH37+FOH42+#REF!+#REF!,"")</f>
        <v/>
      </c>
      <c r="FOI48" s="84" t="str">
        <f>IF(ISNUMBER(outYear),FOI37+FOI42+#REF!+#REF!,"")</f>
        <v/>
      </c>
      <c r="FOJ48" s="84" t="str">
        <f>IF(ISNUMBER(outYear),FOJ37+FOJ42+#REF!+#REF!,"")</f>
        <v/>
      </c>
      <c r="FOK48" s="84" t="str">
        <f>IF(ISNUMBER(outYear),FOK37+FOK42+#REF!+#REF!,"")</f>
        <v/>
      </c>
      <c r="FOL48" s="84" t="str">
        <f>IF(ISNUMBER(outYear),FOL37+FOL42+#REF!+#REF!,"")</f>
        <v/>
      </c>
      <c r="FOM48" s="84" t="str">
        <f>IF(ISNUMBER(outYear),FOM37+FOM42+#REF!+#REF!,"")</f>
        <v/>
      </c>
      <c r="FON48" s="84" t="str">
        <f>IF(ISNUMBER(outYear),FON37+FON42+#REF!+#REF!,"")</f>
        <v/>
      </c>
      <c r="FOO48" s="84" t="str">
        <f>IF(ISNUMBER(outYear),FOO37+FOO42+#REF!+#REF!,"")</f>
        <v/>
      </c>
      <c r="FOP48" s="84" t="str">
        <f>IF(ISNUMBER(outYear),FOP37+FOP42+#REF!+#REF!,"")</f>
        <v/>
      </c>
      <c r="FOQ48" s="84" t="str">
        <f>IF(ISNUMBER(outYear),FOQ37+FOQ42+#REF!+#REF!,"")</f>
        <v/>
      </c>
      <c r="FOR48" s="84" t="str">
        <f>IF(ISNUMBER(outYear),FOR37+FOR42+#REF!+#REF!,"")</f>
        <v/>
      </c>
      <c r="FOS48" s="84" t="str">
        <f>IF(ISNUMBER(outYear),FOS37+FOS42+#REF!+#REF!,"")</f>
        <v/>
      </c>
      <c r="FOT48" s="84" t="str">
        <f>IF(ISNUMBER(outYear),FOT37+FOT42+#REF!+#REF!,"")</f>
        <v/>
      </c>
      <c r="FOU48" s="84" t="str">
        <f>IF(ISNUMBER(outYear),FOU37+FOU42+#REF!+#REF!,"")</f>
        <v/>
      </c>
      <c r="FOV48" s="84" t="str">
        <f>IF(ISNUMBER(outYear),FOV37+FOV42+#REF!+#REF!,"")</f>
        <v/>
      </c>
      <c r="FOW48" s="84" t="str">
        <f>IF(ISNUMBER(outYear),FOW37+FOW42+#REF!+#REF!,"")</f>
        <v/>
      </c>
      <c r="FOX48" s="84" t="str">
        <f>IF(ISNUMBER(outYear),FOX37+FOX42+#REF!+#REF!,"")</f>
        <v/>
      </c>
      <c r="FOY48" s="84" t="str">
        <f>IF(ISNUMBER(outYear),FOY37+FOY42+#REF!+#REF!,"")</f>
        <v/>
      </c>
      <c r="FOZ48" s="84" t="str">
        <f>IF(ISNUMBER(outYear),FOZ37+FOZ42+#REF!+#REF!,"")</f>
        <v/>
      </c>
      <c r="FPA48" s="84" t="str">
        <f>IF(ISNUMBER(outYear),FPA37+FPA42+#REF!+#REF!,"")</f>
        <v/>
      </c>
      <c r="FPB48" s="84" t="str">
        <f>IF(ISNUMBER(outYear),FPB37+FPB42+#REF!+#REF!,"")</f>
        <v/>
      </c>
      <c r="FPC48" s="84" t="str">
        <f>IF(ISNUMBER(outYear),FPC37+FPC42+#REF!+#REF!,"")</f>
        <v/>
      </c>
      <c r="FPD48" s="84" t="str">
        <f>IF(ISNUMBER(outYear),FPD37+FPD42+#REF!+#REF!,"")</f>
        <v/>
      </c>
      <c r="FPE48" s="84" t="str">
        <f>IF(ISNUMBER(outYear),FPE37+FPE42+#REF!+#REF!,"")</f>
        <v/>
      </c>
      <c r="FPF48" s="84" t="str">
        <f>IF(ISNUMBER(outYear),FPF37+FPF42+#REF!+#REF!,"")</f>
        <v/>
      </c>
      <c r="FPG48" s="84" t="str">
        <f>IF(ISNUMBER(outYear),FPG37+FPG42+#REF!+#REF!,"")</f>
        <v/>
      </c>
      <c r="FPH48" s="84" t="str">
        <f>IF(ISNUMBER(outYear),FPH37+FPH42+#REF!+#REF!,"")</f>
        <v/>
      </c>
      <c r="FPI48" s="84" t="str">
        <f>IF(ISNUMBER(outYear),FPI37+FPI42+#REF!+#REF!,"")</f>
        <v/>
      </c>
      <c r="FPJ48" s="84" t="str">
        <f>IF(ISNUMBER(outYear),FPJ37+FPJ42+#REF!+#REF!,"")</f>
        <v/>
      </c>
      <c r="FPK48" s="84" t="str">
        <f>IF(ISNUMBER(outYear),FPK37+FPK42+#REF!+#REF!,"")</f>
        <v/>
      </c>
      <c r="FPL48" s="84" t="str">
        <f>IF(ISNUMBER(outYear),FPL37+FPL42+#REF!+#REF!,"")</f>
        <v/>
      </c>
      <c r="FPM48" s="84" t="str">
        <f>IF(ISNUMBER(outYear),FPM37+FPM42+#REF!+#REF!,"")</f>
        <v/>
      </c>
      <c r="FPN48" s="84" t="str">
        <f>IF(ISNUMBER(outYear),FPN37+FPN42+#REF!+#REF!,"")</f>
        <v/>
      </c>
      <c r="FPO48" s="84" t="str">
        <f>IF(ISNUMBER(outYear),FPO37+FPO42+#REF!+#REF!,"")</f>
        <v/>
      </c>
      <c r="FPP48" s="84" t="str">
        <f>IF(ISNUMBER(outYear),FPP37+FPP42+#REF!+#REF!,"")</f>
        <v/>
      </c>
      <c r="FPQ48" s="84" t="str">
        <f>IF(ISNUMBER(outYear),FPQ37+FPQ42+#REF!+#REF!,"")</f>
        <v/>
      </c>
      <c r="FPR48" s="84" t="str">
        <f>IF(ISNUMBER(outYear),FPR37+FPR42+#REF!+#REF!,"")</f>
        <v/>
      </c>
      <c r="FPS48" s="84" t="str">
        <f>IF(ISNUMBER(outYear),FPS37+FPS42+#REF!+#REF!,"")</f>
        <v/>
      </c>
      <c r="FPT48" s="84" t="str">
        <f>IF(ISNUMBER(outYear),FPT37+FPT42+#REF!+#REF!,"")</f>
        <v/>
      </c>
      <c r="FPU48" s="84" t="str">
        <f>IF(ISNUMBER(outYear),FPU37+FPU42+#REF!+#REF!,"")</f>
        <v/>
      </c>
      <c r="FPV48" s="84" t="str">
        <f>IF(ISNUMBER(outYear),FPV37+FPV42+#REF!+#REF!,"")</f>
        <v/>
      </c>
      <c r="FPW48" s="84" t="str">
        <f>IF(ISNUMBER(outYear),FPW37+FPW42+#REF!+#REF!,"")</f>
        <v/>
      </c>
      <c r="FPX48" s="84" t="str">
        <f>IF(ISNUMBER(outYear),FPX37+FPX42+#REF!+#REF!,"")</f>
        <v/>
      </c>
      <c r="FPY48" s="84" t="str">
        <f>IF(ISNUMBER(outYear),FPY37+FPY42+#REF!+#REF!,"")</f>
        <v/>
      </c>
      <c r="FPZ48" s="84" t="str">
        <f>IF(ISNUMBER(outYear),FPZ37+FPZ42+#REF!+#REF!,"")</f>
        <v/>
      </c>
      <c r="FQA48" s="84" t="str">
        <f>IF(ISNUMBER(outYear),FQA37+FQA42+#REF!+#REF!,"")</f>
        <v/>
      </c>
      <c r="FQB48" s="84" t="str">
        <f>IF(ISNUMBER(outYear),FQB37+FQB42+#REF!+#REF!,"")</f>
        <v/>
      </c>
      <c r="FQC48" s="84" t="str">
        <f>IF(ISNUMBER(outYear),FQC37+FQC42+#REF!+#REF!,"")</f>
        <v/>
      </c>
      <c r="FQD48" s="84" t="str">
        <f>IF(ISNUMBER(outYear),FQD37+FQD42+#REF!+#REF!,"")</f>
        <v/>
      </c>
      <c r="FQE48" s="84" t="str">
        <f>IF(ISNUMBER(outYear),FQE37+FQE42+#REF!+#REF!,"")</f>
        <v/>
      </c>
      <c r="FQF48" s="84" t="str">
        <f>IF(ISNUMBER(outYear),FQF37+FQF42+#REF!+#REF!,"")</f>
        <v/>
      </c>
      <c r="FQG48" s="84" t="str">
        <f>IF(ISNUMBER(outYear),FQG37+FQG42+#REF!+#REF!,"")</f>
        <v/>
      </c>
      <c r="FQH48" s="84" t="str">
        <f>IF(ISNUMBER(outYear),FQH37+FQH42+#REF!+#REF!,"")</f>
        <v/>
      </c>
      <c r="FQI48" s="84" t="str">
        <f>IF(ISNUMBER(outYear),FQI37+FQI42+#REF!+#REF!,"")</f>
        <v/>
      </c>
      <c r="FQJ48" s="84" t="str">
        <f>IF(ISNUMBER(outYear),FQJ37+FQJ42+#REF!+#REF!,"")</f>
        <v/>
      </c>
      <c r="FQK48" s="84" t="str">
        <f>IF(ISNUMBER(outYear),FQK37+FQK42+#REF!+#REF!,"")</f>
        <v/>
      </c>
      <c r="FQL48" s="84" t="str">
        <f>IF(ISNUMBER(outYear),FQL37+FQL42+#REF!+#REF!,"")</f>
        <v/>
      </c>
      <c r="FQM48" s="84" t="str">
        <f>IF(ISNUMBER(outYear),FQM37+FQM42+#REF!+#REF!,"")</f>
        <v/>
      </c>
      <c r="FQN48" s="84" t="str">
        <f>IF(ISNUMBER(outYear),FQN37+FQN42+#REF!+#REF!,"")</f>
        <v/>
      </c>
      <c r="FQO48" s="84" t="str">
        <f>IF(ISNUMBER(outYear),FQO37+FQO42+#REF!+#REF!,"")</f>
        <v/>
      </c>
      <c r="FQP48" s="84" t="str">
        <f>IF(ISNUMBER(outYear),FQP37+FQP42+#REF!+#REF!,"")</f>
        <v/>
      </c>
      <c r="FQQ48" s="84" t="str">
        <f>IF(ISNUMBER(outYear),FQQ37+FQQ42+#REF!+#REF!,"")</f>
        <v/>
      </c>
      <c r="FQR48" s="84" t="str">
        <f>IF(ISNUMBER(outYear),FQR37+FQR42+#REF!+#REF!,"")</f>
        <v/>
      </c>
      <c r="FQS48" s="84" t="str">
        <f>IF(ISNUMBER(outYear),FQS37+FQS42+#REF!+#REF!,"")</f>
        <v/>
      </c>
      <c r="FQT48" s="84" t="str">
        <f>IF(ISNUMBER(outYear),FQT37+FQT42+#REF!+#REF!,"")</f>
        <v/>
      </c>
      <c r="FQU48" s="84" t="str">
        <f>IF(ISNUMBER(outYear),FQU37+FQU42+#REF!+#REF!,"")</f>
        <v/>
      </c>
      <c r="FQV48" s="84" t="str">
        <f>IF(ISNUMBER(outYear),FQV37+FQV42+#REF!+#REF!,"")</f>
        <v/>
      </c>
      <c r="FQW48" s="84" t="str">
        <f>IF(ISNUMBER(outYear),FQW37+FQW42+#REF!+#REF!,"")</f>
        <v/>
      </c>
      <c r="FQX48" s="84" t="str">
        <f>IF(ISNUMBER(outYear),FQX37+FQX42+#REF!+#REF!,"")</f>
        <v/>
      </c>
      <c r="FQY48" s="84" t="str">
        <f>IF(ISNUMBER(outYear),FQY37+FQY42+#REF!+#REF!,"")</f>
        <v/>
      </c>
      <c r="FQZ48" s="84" t="str">
        <f>IF(ISNUMBER(outYear),FQZ37+FQZ42+#REF!+#REF!,"")</f>
        <v/>
      </c>
      <c r="FRA48" s="84" t="str">
        <f>IF(ISNUMBER(outYear),FRA37+FRA42+#REF!+#REF!,"")</f>
        <v/>
      </c>
      <c r="FRB48" s="84" t="str">
        <f>IF(ISNUMBER(outYear),FRB37+FRB42+#REF!+#REF!,"")</f>
        <v/>
      </c>
      <c r="FRC48" s="84" t="str">
        <f>IF(ISNUMBER(outYear),FRC37+FRC42+#REF!+#REF!,"")</f>
        <v/>
      </c>
      <c r="FRD48" s="84" t="str">
        <f>IF(ISNUMBER(outYear),FRD37+FRD42+#REF!+#REF!,"")</f>
        <v/>
      </c>
      <c r="FRE48" s="84" t="str">
        <f>IF(ISNUMBER(outYear),FRE37+FRE42+#REF!+#REF!,"")</f>
        <v/>
      </c>
      <c r="FRF48" s="84" t="str">
        <f>IF(ISNUMBER(outYear),FRF37+FRF42+#REF!+#REF!,"")</f>
        <v/>
      </c>
      <c r="FRG48" s="84" t="str">
        <f>IF(ISNUMBER(outYear),FRG37+FRG42+#REF!+#REF!,"")</f>
        <v/>
      </c>
      <c r="FRH48" s="84" t="str">
        <f>IF(ISNUMBER(outYear),FRH37+FRH42+#REF!+#REF!,"")</f>
        <v/>
      </c>
      <c r="FRI48" s="84" t="str">
        <f>IF(ISNUMBER(outYear),FRI37+FRI42+#REF!+#REF!,"")</f>
        <v/>
      </c>
      <c r="FRJ48" s="84" t="str">
        <f>IF(ISNUMBER(outYear),FRJ37+FRJ42+#REF!+#REF!,"")</f>
        <v/>
      </c>
      <c r="FRK48" s="84" t="str">
        <f>IF(ISNUMBER(outYear),FRK37+FRK42+#REF!+#REF!,"")</f>
        <v/>
      </c>
      <c r="FRL48" s="84" t="str">
        <f>IF(ISNUMBER(outYear),FRL37+FRL42+#REF!+#REF!,"")</f>
        <v/>
      </c>
      <c r="FRM48" s="84" t="str">
        <f>IF(ISNUMBER(outYear),FRM37+FRM42+#REF!+#REF!,"")</f>
        <v/>
      </c>
      <c r="FRN48" s="84" t="str">
        <f>IF(ISNUMBER(outYear),FRN37+FRN42+#REF!+#REF!,"")</f>
        <v/>
      </c>
      <c r="FRO48" s="84" t="str">
        <f>IF(ISNUMBER(outYear),FRO37+FRO42+#REF!+#REF!,"")</f>
        <v/>
      </c>
      <c r="FRP48" s="84" t="str">
        <f>IF(ISNUMBER(outYear),FRP37+FRP42+#REF!+#REF!,"")</f>
        <v/>
      </c>
      <c r="FRQ48" s="84" t="str">
        <f>IF(ISNUMBER(outYear),FRQ37+FRQ42+#REF!+#REF!,"")</f>
        <v/>
      </c>
      <c r="FRR48" s="84" t="str">
        <f>IF(ISNUMBER(outYear),FRR37+FRR42+#REF!+#REF!,"")</f>
        <v/>
      </c>
      <c r="FRS48" s="84" t="str">
        <f>IF(ISNUMBER(outYear),FRS37+FRS42+#REF!+#REF!,"")</f>
        <v/>
      </c>
      <c r="FRT48" s="84" t="str">
        <f>IF(ISNUMBER(outYear),FRT37+FRT42+#REF!+#REF!,"")</f>
        <v/>
      </c>
      <c r="FRU48" s="84" t="str">
        <f>IF(ISNUMBER(outYear),FRU37+FRU42+#REF!+#REF!,"")</f>
        <v/>
      </c>
      <c r="FRV48" s="84" t="str">
        <f>IF(ISNUMBER(outYear),FRV37+FRV42+#REF!+#REF!,"")</f>
        <v/>
      </c>
      <c r="FRW48" s="84" t="str">
        <f>IF(ISNUMBER(outYear),FRW37+FRW42+#REF!+#REF!,"")</f>
        <v/>
      </c>
      <c r="FRX48" s="84" t="str">
        <f>IF(ISNUMBER(outYear),FRX37+FRX42+#REF!+#REF!,"")</f>
        <v/>
      </c>
      <c r="FRY48" s="84" t="str">
        <f>IF(ISNUMBER(outYear),FRY37+FRY42+#REF!+#REF!,"")</f>
        <v/>
      </c>
      <c r="FRZ48" s="84" t="str">
        <f>IF(ISNUMBER(outYear),FRZ37+FRZ42+#REF!+#REF!,"")</f>
        <v/>
      </c>
      <c r="FSA48" s="84" t="str">
        <f>IF(ISNUMBER(outYear),FSA37+FSA42+#REF!+#REF!,"")</f>
        <v/>
      </c>
      <c r="FSB48" s="84" t="str">
        <f>IF(ISNUMBER(outYear),FSB37+FSB42+#REF!+#REF!,"")</f>
        <v/>
      </c>
      <c r="FSC48" s="84" t="str">
        <f>IF(ISNUMBER(outYear),FSC37+FSC42+#REF!+#REF!,"")</f>
        <v/>
      </c>
      <c r="FSD48" s="84" t="str">
        <f>IF(ISNUMBER(outYear),FSD37+FSD42+#REF!+#REF!,"")</f>
        <v/>
      </c>
      <c r="FSE48" s="84" t="str">
        <f>IF(ISNUMBER(outYear),FSE37+FSE42+#REF!+#REF!,"")</f>
        <v/>
      </c>
      <c r="FSF48" s="84" t="str">
        <f>IF(ISNUMBER(outYear),FSF37+FSF42+#REF!+#REF!,"")</f>
        <v/>
      </c>
      <c r="FSG48" s="84" t="str">
        <f>IF(ISNUMBER(outYear),FSG37+FSG42+#REF!+#REF!,"")</f>
        <v/>
      </c>
      <c r="FSH48" s="84" t="str">
        <f>IF(ISNUMBER(outYear),FSH37+FSH42+#REF!+#REF!,"")</f>
        <v/>
      </c>
      <c r="FSI48" s="84" t="str">
        <f>IF(ISNUMBER(outYear),FSI37+FSI42+#REF!+#REF!,"")</f>
        <v/>
      </c>
      <c r="FSJ48" s="84" t="str">
        <f>IF(ISNUMBER(outYear),FSJ37+FSJ42+#REF!+#REF!,"")</f>
        <v/>
      </c>
      <c r="FSK48" s="84" t="str">
        <f>IF(ISNUMBER(outYear),FSK37+FSK42+#REF!+#REF!,"")</f>
        <v/>
      </c>
      <c r="FSL48" s="84" t="str">
        <f>IF(ISNUMBER(outYear),FSL37+FSL42+#REF!+#REF!,"")</f>
        <v/>
      </c>
      <c r="FSM48" s="84" t="str">
        <f>IF(ISNUMBER(outYear),FSM37+FSM42+#REF!+#REF!,"")</f>
        <v/>
      </c>
      <c r="FSN48" s="84" t="str">
        <f>IF(ISNUMBER(outYear),FSN37+FSN42+#REF!+#REF!,"")</f>
        <v/>
      </c>
      <c r="FSO48" s="84" t="str">
        <f>IF(ISNUMBER(outYear),FSO37+FSO42+#REF!+#REF!,"")</f>
        <v/>
      </c>
      <c r="FSP48" s="84" t="str">
        <f>IF(ISNUMBER(outYear),FSP37+FSP42+#REF!+#REF!,"")</f>
        <v/>
      </c>
      <c r="FSQ48" s="84" t="str">
        <f>IF(ISNUMBER(outYear),FSQ37+FSQ42+#REF!+#REF!,"")</f>
        <v/>
      </c>
      <c r="FSR48" s="84" t="str">
        <f>IF(ISNUMBER(outYear),FSR37+FSR42+#REF!+#REF!,"")</f>
        <v/>
      </c>
      <c r="FSS48" s="84" t="str">
        <f>IF(ISNUMBER(outYear),FSS37+FSS42+#REF!+#REF!,"")</f>
        <v/>
      </c>
      <c r="FST48" s="84" t="str">
        <f>IF(ISNUMBER(outYear),FST37+FST42+#REF!+#REF!,"")</f>
        <v/>
      </c>
      <c r="FSU48" s="84" t="str">
        <f>IF(ISNUMBER(outYear),FSU37+FSU42+#REF!+#REF!,"")</f>
        <v/>
      </c>
      <c r="FSV48" s="84" t="str">
        <f>IF(ISNUMBER(outYear),FSV37+FSV42+#REF!+#REF!,"")</f>
        <v/>
      </c>
      <c r="FSW48" s="84" t="str">
        <f>IF(ISNUMBER(outYear),FSW37+FSW42+#REF!+#REF!,"")</f>
        <v/>
      </c>
      <c r="FSX48" s="84" t="str">
        <f>IF(ISNUMBER(outYear),FSX37+FSX42+#REF!+#REF!,"")</f>
        <v/>
      </c>
      <c r="FSY48" s="84" t="str">
        <f>IF(ISNUMBER(outYear),FSY37+FSY42+#REF!+#REF!,"")</f>
        <v/>
      </c>
      <c r="FSZ48" s="84" t="str">
        <f>IF(ISNUMBER(outYear),FSZ37+FSZ42+#REF!+#REF!,"")</f>
        <v/>
      </c>
      <c r="FTA48" s="84" t="str">
        <f>IF(ISNUMBER(outYear),FTA37+FTA42+#REF!+#REF!,"")</f>
        <v/>
      </c>
      <c r="FTB48" s="84" t="str">
        <f>IF(ISNUMBER(outYear),FTB37+FTB42+#REF!+#REF!,"")</f>
        <v/>
      </c>
      <c r="FTC48" s="84" t="str">
        <f>IF(ISNUMBER(outYear),FTC37+FTC42+#REF!+#REF!,"")</f>
        <v/>
      </c>
      <c r="FTD48" s="84" t="str">
        <f>IF(ISNUMBER(outYear),FTD37+FTD42+#REF!+#REF!,"")</f>
        <v/>
      </c>
      <c r="FTE48" s="84" t="str">
        <f>IF(ISNUMBER(outYear),FTE37+FTE42+#REF!+#REF!,"")</f>
        <v/>
      </c>
      <c r="FTF48" s="84" t="str">
        <f>IF(ISNUMBER(outYear),FTF37+FTF42+#REF!+#REF!,"")</f>
        <v/>
      </c>
      <c r="FTG48" s="84" t="str">
        <f>IF(ISNUMBER(outYear),FTG37+FTG42+#REF!+#REF!,"")</f>
        <v/>
      </c>
      <c r="FTH48" s="84" t="str">
        <f>IF(ISNUMBER(outYear),FTH37+FTH42+#REF!+#REF!,"")</f>
        <v/>
      </c>
      <c r="FTI48" s="84" t="str">
        <f>IF(ISNUMBER(outYear),FTI37+FTI42+#REF!+#REF!,"")</f>
        <v/>
      </c>
      <c r="FTJ48" s="84" t="str">
        <f>IF(ISNUMBER(outYear),FTJ37+FTJ42+#REF!+#REF!,"")</f>
        <v/>
      </c>
      <c r="FTK48" s="84" t="str">
        <f>IF(ISNUMBER(outYear),FTK37+FTK42+#REF!+#REF!,"")</f>
        <v/>
      </c>
      <c r="FTL48" s="84" t="str">
        <f>IF(ISNUMBER(outYear),FTL37+FTL42+#REF!+#REF!,"")</f>
        <v/>
      </c>
      <c r="FTM48" s="84" t="str">
        <f>IF(ISNUMBER(outYear),FTM37+FTM42+#REF!+#REF!,"")</f>
        <v/>
      </c>
      <c r="FTN48" s="84" t="str">
        <f>IF(ISNUMBER(outYear),FTN37+FTN42+#REF!+#REF!,"")</f>
        <v/>
      </c>
      <c r="FTO48" s="84" t="str">
        <f>IF(ISNUMBER(outYear),FTO37+FTO42+#REF!+#REF!,"")</f>
        <v/>
      </c>
      <c r="FTP48" s="84" t="str">
        <f>IF(ISNUMBER(outYear),FTP37+FTP42+#REF!+#REF!,"")</f>
        <v/>
      </c>
      <c r="FTQ48" s="84" t="str">
        <f>IF(ISNUMBER(outYear),FTQ37+FTQ42+#REF!+#REF!,"")</f>
        <v/>
      </c>
      <c r="FTR48" s="84" t="str">
        <f>IF(ISNUMBER(outYear),FTR37+FTR42+#REF!+#REF!,"")</f>
        <v/>
      </c>
      <c r="FTS48" s="84" t="str">
        <f>IF(ISNUMBER(outYear),FTS37+FTS42+#REF!+#REF!,"")</f>
        <v/>
      </c>
      <c r="FTT48" s="84" t="str">
        <f>IF(ISNUMBER(outYear),FTT37+FTT42+#REF!+#REF!,"")</f>
        <v/>
      </c>
      <c r="FTU48" s="84" t="str">
        <f>IF(ISNUMBER(outYear),FTU37+FTU42+#REF!+#REF!,"")</f>
        <v/>
      </c>
      <c r="FTV48" s="84" t="str">
        <f>IF(ISNUMBER(outYear),FTV37+FTV42+#REF!+#REF!,"")</f>
        <v/>
      </c>
      <c r="FTW48" s="84" t="str">
        <f>IF(ISNUMBER(outYear),FTW37+FTW42+#REF!+#REF!,"")</f>
        <v/>
      </c>
      <c r="FTX48" s="84" t="str">
        <f>IF(ISNUMBER(outYear),FTX37+FTX42+#REF!+#REF!,"")</f>
        <v/>
      </c>
      <c r="FTY48" s="84" t="str">
        <f>IF(ISNUMBER(outYear),FTY37+FTY42+#REF!+#REF!,"")</f>
        <v/>
      </c>
      <c r="FTZ48" s="84" t="str">
        <f>IF(ISNUMBER(outYear),FTZ37+FTZ42+#REF!+#REF!,"")</f>
        <v/>
      </c>
      <c r="FUA48" s="84" t="str">
        <f>IF(ISNUMBER(outYear),FUA37+FUA42+#REF!+#REF!,"")</f>
        <v/>
      </c>
      <c r="FUB48" s="84" t="str">
        <f>IF(ISNUMBER(outYear),FUB37+FUB42+#REF!+#REF!,"")</f>
        <v/>
      </c>
      <c r="FUC48" s="84" t="str">
        <f>IF(ISNUMBER(outYear),FUC37+FUC42+#REF!+#REF!,"")</f>
        <v/>
      </c>
      <c r="FUD48" s="84" t="str">
        <f>IF(ISNUMBER(outYear),FUD37+FUD42+#REF!+#REF!,"")</f>
        <v/>
      </c>
      <c r="FUE48" s="84" t="str">
        <f>IF(ISNUMBER(outYear),FUE37+FUE42+#REF!+#REF!,"")</f>
        <v/>
      </c>
      <c r="FUF48" s="84" t="str">
        <f>IF(ISNUMBER(outYear),FUF37+FUF42+#REF!+#REF!,"")</f>
        <v/>
      </c>
      <c r="FUG48" s="84" t="str">
        <f>IF(ISNUMBER(outYear),FUG37+FUG42+#REF!+#REF!,"")</f>
        <v/>
      </c>
      <c r="FUH48" s="84" t="str">
        <f>IF(ISNUMBER(outYear),FUH37+FUH42+#REF!+#REF!,"")</f>
        <v/>
      </c>
      <c r="FUI48" s="84" t="str">
        <f>IF(ISNUMBER(outYear),FUI37+FUI42+#REF!+#REF!,"")</f>
        <v/>
      </c>
      <c r="FUJ48" s="84" t="str">
        <f>IF(ISNUMBER(outYear),FUJ37+FUJ42+#REF!+#REF!,"")</f>
        <v/>
      </c>
      <c r="FUK48" s="84" t="str">
        <f>IF(ISNUMBER(outYear),FUK37+FUK42+#REF!+#REF!,"")</f>
        <v/>
      </c>
      <c r="FUL48" s="84" t="str">
        <f>IF(ISNUMBER(outYear),FUL37+FUL42+#REF!+#REF!,"")</f>
        <v/>
      </c>
      <c r="FUM48" s="84" t="str">
        <f>IF(ISNUMBER(outYear),FUM37+FUM42+#REF!+#REF!,"")</f>
        <v/>
      </c>
      <c r="FUN48" s="84" t="str">
        <f>IF(ISNUMBER(outYear),FUN37+FUN42+#REF!+#REF!,"")</f>
        <v/>
      </c>
      <c r="FUO48" s="84" t="str">
        <f>IF(ISNUMBER(outYear),FUO37+FUO42+#REF!+#REF!,"")</f>
        <v/>
      </c>
      <c r="FUP48" s="84" t="str">
        <f>IF(ISNUMBER(outYear),FUP37+FUP42+#REF!+#REF!,"")</f>
        <v/>
      </c>
      <c r="FUQ48" s="84" t="str">
        <f>IF(ISNUMBER(outYear),FUQ37+FUQ42+#REF!+#REF!,"")</f>
        <v/>
      </c>
      <c r="FUR48" s="84" t="str">
        <f>IF(ISNUMBER(outYear),FUR37+FUR42+#REF!+#REF!,"")</f>
        <v/>
      </c>
      <c r="FUS48" s="84" t="str">
        <f>IF(ISNUMBER(outYear),FUS37+FUS42+#REF!+#REF!,"")</f>
        <v/>
      </c>
      <c r="FUT48" s="84" t="str">
        <f>IF(ISNUMBER(outYear),FUT37+FUT42+#REF!+#REF!,"")</f>
        <v/>
      </c>
      <c r="FUU48" s="84" t="str">
        <f>IF(ISNUMBER(outYear),FUU37+FUU42+#REF!+#REF!,"")</f>
        <v/>
      </c>
      <c r="FUV48" s="84" t="str">
        <f>IF(ISNUMBER(outYear),FUV37+FUV42+#REF!+#REF!,"")</f>
        <v/>
      </c>
      <c r="FUW48" s="84" t="str">
        <f>IF(ISNUMBER(outYear),FUW37+FUW42+#REF!+#REF!,"")</f>
        <v/>
      </c>
      <c r="FUX48" s="84" t="str">
        <f>IF(ISNUMBER(outYear),FUX37+FUX42+#REF!+#REF!,"")</f>
        <v/>
      </c>
      <c r="FUY48" s="84" t="str">
        <f>IF(ISNUMBER(outYear),FUY37+FUY42+#REF!+#REF!,"")</f>
        <v/>
      </c>
      <c r="FUZ48" s="84" t="str">
        <f>IF(ISNUMBER(outYear),FUZ37+FUZ42+#REF!+#REF!,"")</f>
        <v/>
      </c>
      <c r="FVA48" s="84" t="str">
        <f>IF(ISNUMBER(outYear),FVA37+FVA42+#REF!+#REF!,"")</f>
        <v/>
      </c>
      <c r="FVB48" s="84" t="str">
        <f>IF(ISNUMBER(outYear),FVB37+FVB42+#REF!+#REF!,"")</f>
        <v/>
      </c>
      <c r="FVC48" s="84" t="str">
        <f>IF(ISNUMBER(outYear),FVC37+FVC42+#REF!+#REF!,"")</f>
        <v/>
      </c>
      <c r="FVD48" s="84" t="str">
        <f>IF(ISNUMBER(outYear),FVD37+FVD42+#REF!+#REF!,"")</f>
        <v/>
      </c>
      <c r="FVE48" s="84" t="str">
        <f>IF(ISNUMBER(outYear),FVE37+FVE42+#REF!+#REF!,"")</f>
        <v/>
      </c>
      <c r="FVF48" s="84" t="str">
        <f>IF(ISNUMBER(outYear),FVF37+FVF42+#REF!+#REF!,"")</f>
        <v/>
      </c>
      <c r="FVG48" s="84" t="str">
        <f>IF(ISNUMBER(outYear),FVG37+FVG42+#REF!+#REF!,"")</f>
        <v/>
      </c>
      <c r="FVH48" s="84" t="str">
        <f>IF(ISNUMBER(outYear),FVH37+FVH42+#REF!+#REF!,"")</f>
        <v/>
      </c>
      <c r="FVI48" s="84" t="str">
        <f>IF(ISNUMBER(outYear),FVI37+FVI42+#REF!+#REF!,"")</f>
        <v/>
      </c>
      <c r="FVJ48" s="84" t="str">
        <f>IF(ISNUMBER(outYear),FVJ37+FVJ42+#REF!+#REF!,"")</f>
        <v/>
      </c>
      <c r="FVK48" s="84" t="str">
        <f>IF(ISNUMBER(outYear),FVK37+FVK42+#REF!+#REF!,"")</f>
        <v/>
      </c>
      <c r="FVL48" s="84" t="str">
        <f>IF(ISNUMBER(outYear),FVL37+FVL42+#REF!+#REF!,"")</f>
        <v/>
      </c>
      <c r="FVM48" s="84" t="str">
        <f>IF(ISNUMBER(outYear),FVM37+FVM42+#REF!+#REF!,"")</f>
        <v/>
      </c>
      <c r="FVN48" s="84" t="str">
        <f>IF(ISNUMBER(outYear),FVN37+FVN42+#REF!+#REF!,"")</f>
        <v/>
      </c>
      <c r="FVO48" s="84" t="str">
        <f>IF(ISNUMBER(outYear),FVO37+FVO42+#REF!+#REF!,"")</f>
        <v/>
      </c>
      <c r="FVP48" s="84" t="str">
        <f>IF(ISNUMBER(outYear),FVP37+FVP42+#REF!+#REF!,"")</f>
        <v/>
      </c>
      <c r="FVQ48" s="84" t="str">
        <f>IF(ISNUMBER(outYear),FVQ37+FVQ42+#REF!+#REF!,"")</f>
        <v/>
      </c>
      <c r="FVR48" s="84" t="str">
        <f>IF(ISNUMBER(outYear),FVR37+FVR42+#REF!+#REF!,"")</f>
        <v/>
      </c>
      <c r="FVS48" s="84" t="str">
        <f>IF(ISNUMBER(outYear),FVS37+FVS42+#REF!+#REF!,"")</f>
        <v/>
      </c>
      <c r="FVT48" s="84" t="str">
        <f>IF(ISNUMBER(outYear),FVT37+FVT42+#REF!+#REF!,"")</f>
        <v/>
      </c>
      <c r="FVU48" s="84" t="str">
        <f>IF(ISNUMBER(outYear),FVU37+FVU42+#REF!+#REF!,"")</f>
        <v/>
      </c>
      <c r="FVV48" s="84" t="str">
        <f>IF(ISNUMBER(outYear),FVV37+FVV42+#REF!+#REF!,"")</f>
        <v/>
      </c>
      <c r="FVW48" s="84" t="str">
        <f>IF(ISNUMBER(outYear),FVW37+FVW42+#REF!+#REF!,"")</f>
        <v/>
      </c>
      <c r="FVX48" s="84" t="str">
        <f>IF(ISNUMBER(outYear),FVX37+FVX42+#REF!+#REF!,"")</f>
        <v/>
      </c>
      <c r="FVY48" s="84" t="str">
        <f>IF(ISNUMBER(outYear),FVY37+FVY42+#REF!+#REF!,"")</f>
        <v/>
      </c>
      <c r="FVZ48" s="84" t="str">
        <f>IF(ISNUMBER(outYear),FVZ37+FVZ42+#REF!+#REF!,"")</f>
        <v/>
      </c>
      <c r="FWA48" s="84" t="str">
        <f>IF(ISNUMBER(outYear),FWA37+FWA42+#REF!+#REF!,"")</f>
        <v/>
      </c>
      <c r="FWB48" s="84" t="str">
        <f>IF(ISNUMBER(outYear),FWB37+FWB42+#REF!+#REF!,"")</f>
        <v/>
      </c>
      <c r="FWC48" s="84" t="str">
        <f>IF(ISNUMBER(outYear),FWC37+FWC42+#REF!+#REF!,"")</f>
        <v/>
      </c>
      <c r="FWD48" s="84" t="str">
        <f>IF(ISNUMBER(outYear),FWD37+FWD42+#REF!+#REF!,"")</f>
        <v/>
      </c>
      <c r="FWE48" s="84" t="str">
        <f>IF(ISNUMBER(outYear),FWE37+FWE42+#REF!+#REF!,"")</f>
        <v/>
      </c>
      <c r="FWF48" s="84" t="str">
        <f>IF(ISNUMBER(outYear),FWF37+FWF42+#REF!+#REF!,"")</f>
        <v/>
      </c>
      <c r="FWG48" s="84" t="str">
        <f>IF(ISNUMBER(outYear),FWG37+FWG42+#REF!+#REF!,"")</f>
        <v/>
      </c>
      <c r="FWH48" s="84" t="str">
        <f>IF(ISNUMBER(outYear),FWH37+FWH42+#REF!+#REF!,"")</f>
        <v/>
      </c>
      <c r="FWI48" s="84" t="str">
        <f>IF(ISNUMBER(outYear),FWI37+FWI42+#REF!+#REF!,"")</f>
        <v/>
      </c>
      <c r="FWJ48" s="84" t="str">
        <f>IF(ISNUMBER(outYear),FWJ37+FWJ42+#REF!+#REF!,"")</f>
        <v/>
      </c>
      <c r="FWK48" s="84" t="str">
        <f>IF(ISNUMBER(outYear),FWK37+FWK42+#REF!+#REF!,"")</f>
        <v/>
      </c>
      <c r="FWL48" s="84" t="str">
        <f>IF(ISNUMBER(outYear),FWL37+FWL42+#REF!+#REF!,"")</f>
        <v/>
      </c>
      <c r="FWM48" s="84" t="str">
        <f>IF(ISNUMBER(outYear),FWM37+FWM42+#REF!+#REF!,"")</f>
        <v/>
      </c>
      <c r="FWN48" s="84" t="str">
        <f>IF(ISNUMBER(outYear),FWN37+FWN42+#REF!+#REF!,"")</f>
        <v/>
      </c>
      <c r="FWO48" s="84" t="str">
        <f>IF(ISNUMBER(outYear),FWO37+FWO42+#REF!+#REF!,"")</f>
        <v/>
      </c>
      <c r="FWP48" s="84" t="str">
        <f>IF(ISNUMBER(outYear),FWP37+FWP42+#REF!+#REF!,"")</f>
        <v/>
      </c>
      <c r="FWQ48" s="84" t="str">
        <f>IF(ISNUMBER(outYear),FWQ37+FWQ42+#REF!+#REF!,"")</f>
        <v/>
      </c>
      <c r="FWR48" s="84" t="str">
        <f>IF(ISNUMBER(outYear),FWR37+FWR42+#REF!+#REF!,"")</f>
        <v/>
      </c>
      <c r="FWS48" s="84" t="str">
        <f>IF(ISNUMBER(outYear),FWS37+FWS42+#REF!+#REF!,"")</f>
        <v/>
      </c>
      <c r="FWT48" s="84" t="str">
        <f>IF(ISNUMBER(outYear),FWT37+FWT42+#REF!+#REF!,"")</f>
        <v/>
      </c>
      <c r="FWU48" s="84" t="str">
        <f>IF(ISNUMBER(outYear),FWU37+FWU42+#REF!+#REF!,"")</f>
        <v/>
      </c>
      <c r="FWV48" s="84" t="str">
        <f>IF(ISNUMBER(outYear),FWV37+FWV42+#REF!+#REF!,"")</f>
        <v/>
      </c>
      <c r="FWW48" s="84" t="str">
        <f>IF(ISNUMBER(outYear),FWW37+FWW42+#REF!+#REF!,"")</f>
        <v/>
      </c>
      <c r="FWX48" s="84" t="str">
        <f>IF(ISNUMBER(outYear),FWX37+FWX42+#REF!+#REF!,"")</f>
        <v/>
      </c>
      <c r="FWY48" s="84" t="str">
        <f>IF(ISNUMBER(outYear),FWY37+FWY42+#REF!+#REF!,"")</f>
        <v/>
      </c>
      <c r="FWZ48" s="84" t="str">
        <f>IF(ISNUMBER(outYear),FWZ37+FWZ42+#REF!+#REF!,"")</f>
        <v/>
      </c>
      <c r="FXA48" s="84" t="str">
        <f>IF(ISNUMBER(outYear),FXA37+FXA42+#REF!+#REF!,"")</f>
        <v/>
      </c>
      <c r="FXB48" s="84" t="str">
        <f>IF(ISNUMBER(outYear),FXB37+FXB42+#REF!+#REF!,"")</f>
        <v/>
      </c>
      <c r="FXC48" s="84" t="str">
        <f>IF(ISNUMBER(outYear),FXC37+FXC42+#REF!+#REF!,"")</f>
        <v/>
      </c>
      <c r="FXD48" s="84" t="str">
        <f>IF(ISNUMBER(outYear),FXD37+FXD42+#REF!+#REF!,"")</f>
        <v/>
      </c>
      <c r="FXE48" s="84" t="str">
        <f>IF(ISNUMBER(outYear),FXE37+FXE42+#REF!+#REF!,"")</f>
        <v/>
      </c>
      <c r="FXF48" s="84" t="str">
        <f>IF(ISNUMBER(outYear),FXF37+FXF42+#REF!+#REF!,"")</f>
        <v/>
      </c>
      <c r="FXG48" s="84" t="str">
        <f>IF(ISNUMBER(outYear),FXG37+FXG42+#REF!+#REF!,"")</f>
        <v/>
      </c>
      <c r="FXH48" s="84" t="str">
        <f>IF(ISNUMBER(outYear),FXH37+FXH42+#REF!+#REF!,"")</f>
        <v/>
      </c>
      <c r="FXI48" s="84" t="str">
        <f>IF(ISNUMBER(outYear),FXI37+FXI42+#REF!+#REF!,"")</f>
        <v/>
      </c>
      <c r="FXJ48" s="84" t="str">
        <f>IF(ISNUMBER(outYear),FXJ37+FXJ42+#REF!+#REF!,"")</f>
        <v/>
      </c>
      <c r="FXK48" s="84" t="str">
        <f>IF(ISNUMBER(outYear),FXK37+FXK42+#REF!+#REF!,"")</f>
        <v/>
      </c>
      <c r="FXL48" s="84" t="str">
        <f>IF(ISNUMBER(outYear),FXL37+FXL42+#REF!+#REF!,"")</f>
        <v/>
      </c>
      <c r="FXM48" s="84" t="str">
        <f>IF(ISNUMBER(outYear),FXM37+FXM42+#REF!+#REF!,"")</f>
        <v/>
      </c>
      <c r="FXN48" s="84" t="str">
        <f>IF(ISNUMBER(outYear),FXN37+FXN42+#REF!+#REF!,"")</f>
        <v/>
      </c>
      <c r="FXO48" s="84" t="str">
        <f>IF(ISNUMBER(outYear),FXO37+FXO42+#REF!+#REF!,"")</f>
        <v/>
      </c>
      <c r="FXP48" s="84" t="str">
        <f>IF(ISNUMBER(outYear),FXP37+FXP42+#REF!+#REF!,"")</f>
        <v/>
      </c>
      <c r="FXQ48" s="84" t="str">
        <f>IF(ISNUMBER(outYear),FXQ37+FXQ42+#REF!+#REF!,"")</f>
        <v/>
      </c>
      <c r="FXR48" s="84" t="str">
        <f>IF(ISNUMBER(outYear),FXR37+FXR42+#REF!+#REF!,"")</f>
        <v/>
      </c>
      <c r="FXS48" s="84" t="str">
        <f>IF(ISNUMBER(outYear),FXS37+FXS42+#REF!+#REF!,"")</f>
        <v/>
      </c>
      <c r="FXT48" s="84" t="str">
        <f>IF(ISNUMBER(outYear),FXT37+FXT42+#REF!+#REF!,"")</f>
        <v/>
      </c>
      <c r="FXU48" s="84" t="str">
        <f>IF(ISNUMBER(outYear),FXU37+FXU42+#REF!+#REF!,"")</f>
        <v/>
      </c>
      <c r="FXV48" s="84" t="str">
        <f>IF(ISNUMBER(outYear),FXV37+FXV42+#REF!+#REF!,"")</f>
        <v/>
      </c>
      <c r="FXW48" s="84" t="str">
        <f>IF(ISNUMBER(outYear),FXW37+FXW42+#REF!+#REF!,"")</f>
        <v/>
      </c>
      <c r="FXX48" s="84" t="str">
        <f>IF(ISNUMBER(outYear),FXX37+FXX42+#REF!+#REF!,"")</f>
        <v/>
      </c>
      <c r="FXY48" s="84" t="str">
        <f>IF(ISNUMBER(outYear),FXY37+FXY42+#REF!+#REF!,"")</f>
        <v/>
      </c>
      <c r="FXZ48" s="84" t="str">
        <f>IF(ISNUMBER(outYear),FXZ37+FXZ42+#REF!+#REF!,"")</f>
        <v/>
      </c>
      <c r="FYA48" s="84" t="str">
        <f>IF(ISNUMBER(outYear),FYA37+FYA42+#REF!+#REF!,"")</f>
        <v/>
      </c>
      <c r="FYB48" s="84" t="str">
        <f>IF(ISNUMBER(outYear),FYB37+FYB42+#REF!+#REF!,"")</f>
        <v/>
      </c>
      <c r="FYC48" s="84" t="str">
        <f>IF(ISNUMBER(outYear),FYC37+FYC42+#REF!+#REF!,"")</f>
        <v/>
      </c>
      <c r="FYD48" s="84" t="str">
        <f>IF(ISNUMBER(outYear),FYD37+FYD42+#REF!+#REF!,"")</f>
        <v/>
      </c>
      <c r="FYE48" s="84" t="str">
        <f>IF(ISNUMBER(outYear),FYE37+FYE42+#REF!+#REF!,"")</f>
        <v/>
      </c>
      <c r="FYF48" s="84" t="str">
        <f>IF(ISNUMBER(outYear),FYF37+FYF42+#REF!+#REF!,"")</f>
        <v/>
      </c>
      <c r="FYG48" s="84" t="str">
        <f>IF(ISNUMBER(outYear),FYG37+FYG42+#REF!+#REF!,"")</f>
        <v/>
      </c>
      <c r="FYH48" s="84" t="str">
        <f>IF(ISNUMBER(outYear),FYH37+FYH42+#REF!+#REF!,"")</f>
        <v/>
      </c>
      <c r="FYI48" s="84" t="str">
        <f>IF(ISNUMBER(outYear),FYI37+FYI42+#REF!+#REF!,"")</f>
        <v/>
      </c>
      <c r="FYJ48" s="84" t="str">
        <f>IF(ISNUMBER(outYear),FYJ37+FYJ42+#REF!+#REF!,"")</f>
        <v/>
      </c>
      <c r="FYK48" s="84" t="str">
        <f>IF(ISNUMBER(outYear),FYK37+FYK42+#REF!+#REF!,"")</f>
        <v/>
      </c>
      <c r="FYL48" s="84" t="str">
        <f>IF(ISNUMBER(outYear),FYL37+FYL42+#REF!+#REF!,"")</f>
        <v/>
      </c>
      <c r="FYM48" s="84" t="str">
        <f>IF(ISNUMBER(outYear),FYM37+FYM42+#REF!+#REF!,"")</f>
        <v/>
      </c>
      <c r="FYN48" s="84" t="str">
        <f>IF(ISNUMBER(outYear),FYN37+FYN42+#REF!+#REF!,"")</f>
        <v/>
      </c>
      <c r="FYO48" s="84" t="str">
        <f>IF(ISNUMBER(outYear),FYO37+FYO42+#REF!+#REF!,"")</f>
        <v/>
      </c>
      <c r="FYP48" s="84" t="str">
        <f>IF(ISNUMBER(outYear),FYP37+FYP42+#REF!+#REF!,"")</f>
        <v/>
      </c>
      <c r="FYQ48" s="84" t="str">
        <f>IF(ISNUMBER(outYear),FYQ37+FYQ42+#REF!+#REF!,"")</f>
        <v/>
      </c>
      <c r="FYR48" s="84" t="str">
        <f>IF(ISNUMBER(outYear),FYR37+FYR42+#REF!+#REF!,"")</f>
        <v/>
      </c>
      <c r="FYS48" s="84" t="str">
        <f>IF(ISNUMBER(outYear),FYS37+FYS42+#REF!+#REF!,"")</f>
        <v/>
      </c>
      <c r="FYT48" s="84" t="str">
        <f>IF(ISNUMBER(outYear),FYT37+FYT42+#REF!+#REF!,"")</f>
        <v/>
      </c>
      <c r="FYU48" s="84" t="str">
        <f>IF(ISNUMBER(outYear),FYU37+FYU42+#REF!+#REF!,"")</f>
        <v/>
      </c>
      <c r="FYV48" s="84" t="str">
        <f>IF(ISNUMBER(outYear),FYV37+FYV42+#REF!+#REF!,"")</f>
        <v/>
      </c>
      <c r="FYW48" s="84" t="str">
        <f>IF(ISNUMBER(outYear),FYW37+FYW42+#REF!+#REF!,"")</f>
        <v/>
      </c>
      <c r="FYX48" s="84" t="str">
        <f>IF(ISNUMBER(outYear),FYX37+FYX42+#REF!+#REF!,"")</f>
        <v/>
      </c>
      <c r="FYY48" s="84" t="str">
        <f>IF(ISNUMBER(outYear),FYY37+FYY42+#REF!+#REF!,"")</f>
        <v/>
      </c>
      <c r="FYZ48" s="84" t="str">
        <f>IF(ISNUMBER(outYear),FYZ37+FYZ42+#REF!+#REF!,"")</f>
        <v/>
      </c>
      <c r="FZA48" s="84" t="str">
        <f>IF(ISNUMBER(outYear),FZA37+FZA42+#REF!+#REF!,"")</f>
        <v/>
      </c>
      <c r="FZB48" s="84" t="str">
        <f>IF(ISNUMBER(outYear),FZB37+FZB42+#REF!+#REF!,"")</f>
        <v/>
      </c>
      <c r="FZC48" s="84" t="str">
        <f>IF(ISNUMBER(outYear),FZC37+FZC42+#REF!+#REF!,"")</f>
        <v/>
      </c>
      <c r="FZD48" s="84" t="str">
        <f>IF(ISNUMBER(outYear),FZD37+FZD42+#REF!+#REF!,"")</f>
        <v/>
      </c>
      <c r="FZE48" s="84" t="str">
        <f>IF(ISNUMBER(outYear),FZE37+FZE42+#REF!+#REF!,"")</f>
        <v/>
      </c>
      <c r="FZF48" s="84" t="str">
        <f>IF(ISNUMBER(outYear),FZF37+FZF42+#REF!+#REF!,"")</f>
        <v/>
      </c>
      <c r="FZG48" s="84" t="str">
        <f>IF(ISNUMBER(outYear),FZG37+FZG42+#REF!+#REF!,"")</f>
        <v/>
      </c>
      <c r="FZH48" s="84" t="str">
        <f>IF(ISNUMBER(outYear),FZH37+FZH42+#REF!+#REF!,"")</f>
        <v/>
      </c>
      <c r="FZI48" s="84" t="str">
        <f>IF(ISNUMBER(outYear),FZI37+FZI42+#REF!+#REF!,"")</f>
        <v/>
      </c>
      <c r="FZJ48" s="84" t="str">
        <f>IF(ISNUMBER(outYear),FZJ37+FZJ42+#REF!+#REF!,"")</f>
        <v/>
      </c>
      <c r="FZK48" s="84" t="str">
        <f>IF(ISNUMBER(outYear),FZK37+FZK42+#REF!+#REF!,"")</f>
        <v/>
      </c>
      <c r="FZL48" s="84" t="str">
        <f>IF(ISNUMBER(outYear),FZL37+FZL42+#REF!+#REF!,"")</f>
        <v/>
      </c>
      <c r="FZM48" s="84" t="str">
        <f>IF(ISNUMBER(outYear),FZM37+FZM42+#REF!+#REF!,"")</f>
        <v/>
      </c>
      <c r="FZN48" s="84" t="str">
        <f>IF(ISNUMBER(outYear),FZN37+FZN42+#REF!+#REF!,"")</f>
        <v/>
      </c>
      <c r="FZO48" s="84" t="str">
        <f>IF(ISNUMBER(outYear),FZO37+FZO42+#REF!+#REF!,"")</f>
        <v/>
      </c>
      <c r="FZP48" s="84" t="str">
        <f>IF(ISNUMBER(outYear),FZP37+FZP42+#REF!+#REF!,"")</f>
        <v/>
      </c>
      <c r="FZQ48" s="84" t="str">
        <f>IF(ISNUMBER(outYear),FZQ37+FZQ42+#REF!+#REF!,"")</f>
        <v/>
      </c>
      <c r="FZR48" s="84" t="str">
        <f>IF(ISNUMBER(outYear),FZR37+FZR42+#REF!+#REF!,"")</f>
        <v/>
      </c>
      <c r="FZS48" s="84" t="str">
        <f>IF(ISNUMBER(outYear),FZS37+FZS42+#REF!+#REF!,"")</f>
        <v/>
      </c>
      <c r="FZT48" s="84" t="str">
        <f>IF(ISNUMBER(outYear),FZT37+FZT42+#REF!+#REF!,"")</f>
        <v/>
      </c>
      <c r="FZU48" s="84" t="str">
        <f>IF(ISNUMBER(outYear),FZU37+FZU42+#REF!+#REF!,"")</f>
        <v/>
      </c>
      <c r="FZV48" s="84" t="str">
        <f>IF(ISNUMBER(outYear),FZV37+FZV42+#REF!+#REF!,"")</f>
        <v/>
      </c>
      <c r="FZW48" s="84" t="str">
        <f>IF(ISNUMBER(outYear),FZW37+FZW42+#REF!+#REF!,"")</f>
        <v/>
      </c>
      <c r="FZX48" s="84" t="str">
        <f>IF(ISNUMBER(outYear),FZX37+FZX42+#REF!+#REF!,"")</f>
        <v/>
      </c>
      <c r="FZY48" s="84" t="str">
        <f>IF(ISNUMBER(outYear),FZY37+FZY42+#REF!+#REF!,"")</f>
        <v/>
      </c>
      <c r="FZZ48" s="84" t="str">
        <f>IF(ISNUMBER(outYear),FZZ37+FZZ42+#REF!+#REF!,"")</f>
        <v/>
      </c>
      <c r="GAA48" s="84" t="str">
        <f>IF(ISNUMBER(outYear),GAA37+GAA42+#REF!+#REF!,"")</f>
        <v/>
      </c>
      <c r="GAB48" s="84" t="str">
        <f>IF(ISNUMBER(outYear),GAB37+GAB42+#REF!+#REF!,"")</f>
        <v/>
      </c>
      <c r="GAC48" s="84" t="str">
        <f>IF(ISNUMBER(outYear),GAC37+GAC42+#REF!+#REF!,"")</f>
        <v/>
      </c>
      <c r="GAD48" s="84" t="str">
        <f>IF(ISNUMBER(outYear),GAD37+GAD42+#REF!+#REF!,"")</f>
        <v/>
      </c>
      <c r="GAE48" s="84" t="str">
        <f>IF(ISNUMBER(outYear),GAE37+GAE42+#REF!+#REF!,"")</f>
        <v/>
      </c>
      <c r="GAF48" s="84" t="str">
        <f>IF(ISNUMBER(outYear),GAF37+GAF42+#REF!+#REF!,"")</f>
        <v/>
      </c>
      <c r="GAG48" s="84" t="str">
        <f>IF(ISNUMBER(outYear),GAG37+GAG42+#REF!+#REF!,"")</f>
        <v/>
      </c>
      <c r="GAH48" s="84" t="str">
        <f>IF(ISNUMBER(outYear),GAH37+GAH42+#REF!+#REF!,"")</f>
        <v/>
      </c>
      <c r="GAI48" s="84" t="str">
        <f>IF(ISNUMBER(outYear),GAI37+GAI42+#REF!+#REF!,"")</f>
        <v/>
      </c>
      <c r="GAJ48" s="84" t="str">
        <f>IF(ISNUMBER(outYear),GAJ37+GAJ42+#REF!+#REF!,"")</f>
        <v/>
      </c>
      <c r="GAK48" s="84" t="str">
        <f>IF(ISNUMBER(outYear),GAK37+GAK42+#REF!+#REF!,"")</f>
        <v/>
      </c>
      <c r="GAL48" s="84" t="str">
        <f>IF(ISNUMBER(outYear),GAL37+GAL42+#REF!+#REF!,"")</f>
        <v/>
      </c>
      <c r="GAM48" s="84" t="str">
        <f>IF(ISNUMBER(outYear),GAM37+GAM42+#REF!+#REF!,"")</f>
        <v/>
      </c>
      <c r="GAN48" s="84" t="str">
        <f>IF(ISNUMBER(outYear),GAN37+GAN42+#REF!+#REF!,"")</f>
        <v/>
      </c>
      <c r="GAO48" s="84" t="str">
        <f>IF(ISNUMBER(outYear),GAO37+GAO42+#REF!+#REF!,"")</f>
        <v/>
      </c>
      <c r="GAP48" s="84" t="str">
        <f>IF(ISNUMBER(outYear),GAP37+GAP42+#REF!+#REF!,"")</f>
        <v/>
      </c>
      <c r="GAQ48" s="84" t="str">
        <f>IF(ISNUMBER(outYear),GAQ37+GAQ42+#REF!+#REF!,"")</f>
        <v/>
      </c>
      <c r="GAR48" s="84" t="str">
        <f>IF(ISNUMBER(outYear),GAR37+GAR42+#REF!+#REF!,"")</f>
        <v/>
      </c>
      <c r="GAS48" s="84" t="str">
        <f>IF(ISNUMBER(outYear),GAS37+GAS42+#REF!+#REF!,"")</f>
        <v/>
      </c>
      <c r="GAT48" s="84" t="str">
        <f>IF(ISNUMBER(outYear),GAT37+GAT42+#REF!+#REF!,"")</f>
        <v/>
      </c>
      <c r="GAU48" s="84" t="str">
        <f>IF(ISNUMBER(outYear),GAU37+GAU42+#REF!+#REF!,"")</f>
        <v/>
      </c>
      <c r="GAV48" s="84" t="str">
        <f>IF(ISNUMBER(outYear),GAV37+GAV42+#REF!+#REF!,"")</f>
        <v/>
      </c>
      <c r="GAW48" s="84" t="str">
        <f>IF(ISNUMBER(outYear),GAW37+GAW42+#REF!+#REF!,"")</f>
        <v/>
      </c>
      <c r="GAX48" s="84" t="str">
        <f>IF(ISNUMBER(outYear),GAX37+GAX42+#REF!+#REF!,"")</f>
        <v/>
      </c>
      <c r="GAY48" s="84" t="str">
        <f>IF(ISNUMBER(outYear),GAY37+GAY42+#REF!+#REF!,"")</f>
        <v/>
      </c>
      <c r="GAZ48" s="84" t="str">
        <f>IF(ISNUMBER(outYear),GAZ37+GAZ42+#REF!+#REF!,"")</f>
        <v/>
      </c>
      <c r="GBA48" s="84" t="str">
        <f>IF(ISNUMBER(outYear),GBA37+GBA42+#REF!+#REF!,"")</f>
        <v/>
      </c>
      <c r="GBB48" s="84" t="str">
        <f>IF(ISNUMBER(outYear),GBB37+GBB42+#REF!+#REF!,"")</f>
        <v/>
      </c>
      <c r="GBC48" s="84" t="str">
        <f>IF(ISNUMBER(outYear),GBC37+GBC42+#REF!+#REF!,"")</f>
        <v/>
      </c>
      <c r="GBD48" s="84" t="str">
        <f>IF(ISNUMBER(outYear),GBD37+GBD42+#REF!+#REF!,"")</f>
        <v/>
      </c>
      <c r="GBE48" s="84" t="str">
        <f>IF(ISNUMBER(outYear),GBE37+GBE42+#REF!+#REF!,"")</f>
        <v/>
      </c>
      <c r="GBF48" s="84" t="str">
        <f>IF(ISNUMBER(outYear),GBF37+GBF42+#REF!+#REF!,"")</f>
        <v/>
      </c>
      <c r="GBG48" s="84" t="str">
        <f>IF(ISNUMBER(outYear),GBG37+GBG42+#REF!+#REF!,"")</f>
        <v/>
      </c>
      <c r="GBH48" s="84" t="str">
        <f>IF(ISNUMBER(outYear),GBH37+GBH42+#REF!+#REF!,"")</f>
        <v/>
      </c>
      <c r="GBI48" s="84" t="str">
        <f>IF(ISNUMBER(outYear),GBI37+GBI42+#REF!+#REF!,"")</f>
        <v/>
      </c>
      <c r="GBJ48" s="84" t="str">
        <f>IF(ISNUMBER(outYear),GBJ37+GBJ42+#REF!+#REF!,"")</f>
        <v/>
      </c>
      <c r="GBK48" s="84" t="str">
        <f>IF(ISNUMBER(outYear),GBK37+GBK42+#REF!+#REF!,"")</f>
        <v/>
      </c>
      <c r="GBL48" s="84" t="str">
        <f>IF(ISNUMBER(outYear),GBL37+GBL42+#REF!+#REF!,"")</f>
        <v/>
      </c>
      <c r="GBM48" s="84" t="str">
        <f>IF(ISNUMBER(outYear),GBM37+GBM42+#REF!+#REF!,"")</f>
        <v/>
      </c>
      <c r="GBN48" s="84" t="str">
        <f>IF(ISNUMBER(outYear),GBN37+GBN42+#REF!+#REF!,"")</f>
        <v/>
      </c>
      <c r="GBO48" s="84" t="str">
        <f>IF(ISNUMBER(outYear),GBO37+GBO42+#REF!+#REF!,"")</f>
        <v/>
      </c>
      <c r="GBP48" s="84" t="str">
        <f>IF(ISNUMBER(outYear),GBP37+GBP42+#REF!+#REF!,"")</f>
        <v/>
      </c>
      <c r="GBQ48" s="84" t="str">
        <f>IF(ISNUMBER(outYear),GBQ37+GBQ42+#REF!+#REF!,"")</f>
        <v/>
      </c>
      <c r="GBR48" s="84" t="str">
        <f>IF(ISNUMBER(outYear),GBR37+GBR42+#REF!+#REF!,"")</f>
        <v/>
      </c>
      <c r="GBS48" s="84" t="str">
        <f>IF(ISNUMBER(outYear),GBS37+GBS42+#REF!+#REF!,"")</f>
        <v/>
      </c>
      <c r="GBT48" s="84" t="str">
        <f>IF(ISNUMBER(outYear),GBT37+GBT42+#REF!+#REF!,"")</f>
        <v/>
      </c>
      <c r="GBU48" s="84" t="str">
        <f>IF(ISNUMBER(outYear),GBU37+GBU42+#REF!+#REF!,"")</f>
        <v/>
      </c>
      <c r="GBV48" s="84" t="str">
        <f>IF(ISNUMBER(outYear),GBV37+GBV42+#REF!+#REF!,"")</f>
        <v/>
      </c>
      <c r="GBW48" s="84" t="str">
        <f>IF(ISNUMBER(outYear),GBW37+GBW42+#REF!+#REF!,"")</f>
        <v/>
      </c>
      <c r="GBX48" s="84" t="str">
        <f>IF(ISNUMBER(outYear),GBX37+GBX42+#REF!+#REF!,"")</f>
        <v/>
      </c>
      <c r="GBY48" s="84" t="str">
        <f>IF(ISNUMBER(outYear),GBY37+GBY42+#REF!+#REF!,"")</f>
        <v/>
      </c>
      <c r="GBZ48" s="84" t="str">
        <f>IF(ISNUMBER(outYear),GBZ37+GBZ42+#REF!+#REF!,"")</f>
        <v/>
      </c>
      <c r="GCA48" s="84" t="str">
        <f>IF(ISNUMBER(outYear),GCA37+GCA42+#REF!+#REF!,"")</f>
        <v/>
      </c>
      <c r="GCB48" s="84" t="str">
        <f>IF(ISNUMBER(outYear),GCB37+GCB42+#REF!+#REF!,"")</f>
        <v/>
      </c>
      <c r="GCC48" s="84" t="str">
        <f>IF(ISNUMBER(outYear),GCC37+GCC42+#REF!+#REF!,"")</f>
        <v/>
      </c>
      <c r="GCD48" s="84" t="str">
        <f>IF(ISNUMBER(outYear),GCD37+GCD42+#REF!+#REF!,"")</f>
        <v/>
      </c>
      <c r="GCE48" s="84" t="str">
        <f>IF(ISNUMBER(outYear),GCE37+GCE42+#REF!+#REF!,"")</f>
        <v/>
      </c>
      <c r="GCF48" s="84" t="str">
        <f>IF(ISNUMBER(outYear),GCF37+GCF42+#REF!+#REF!,"")</f>
        <v/>
      </c>
      <c r="GCG48" s="84" t="str">
        <f>IF(ISNUMBER(outYear),GCG37+GCG42+#REF!+#REF!,"")</f>
        <v/>
      </c>
      <c r="GCH48" s="84" t="str">
        <f>IF(ISNUMBER(outYear),GCH37+GCH42+#REF!+#REF!,"")</f>
        <v/>
      </c>
      <c r="GCI48" s="84" t="str">
        <f>IF(ISNUMBER(outYear),GCI37+GCI42+#REF!+#REF!,"")</f>
        <v/>
      </c>
      <c r="GCJ48" s="84" t="str">
        <f>IF(ISNUMBER(outYear),GCJ37+GCJ42+#REF!+#REF!,"")</f>
        <v/>
      </c>
      <c r="GCK48" s="84" t="str">
        <f>IF(ISNUMBER(outYear),GCK37+GCK42+#REF!+#REF!,"")</f>
        <v/>
      </c>
      <c r="GCL48" s="84" t="str">
        <f>IF(ISNUMBER(outYear),GCL37+GCL42+#REF!+#REF!,"")</f>
        <v/>
      </c>
      <c r="GCM48" s="84" t="str">
        <f>IF(ISNUMBER(outYear),GCM37+GCM42+#REF!+#REF!,"")</f>
        <v/>
      </c>
      <c r="GCN48" s="84" t="str">
        <f>IF(ISNUMBER(outYear),GCN37+GCN42+#REF!+#REF!,"")</f>
        <v/>
      </c>
      <c r="GCO48" s="84" t="str">
        <f>IF(ISNUMBER(outYear),GCO37+GCO42+#REF!+#REF!,"")</f>
        <v/>
      </c>
      <c r="GCP48" s="84" t="str">
        <f>IF(ISNUMBER(outYear),GCP37+GCP42+#REF!+#REF!,"")</f>
        <v/>
      </c>
      <c r="GCQ48" s="84" t="str">
        <f>IF(ISNUMBER(outYear),GCQ37+GCQ42+#REF!+#REF!,"")</f>
        <v/>
      </c>
      <c r="GCR48" s="84" t="str">
        <f>IF(ISNUMBER(outYear),GCR37+GCR42+#REF!+#REF!,"")</f>
        <v/>
      </c>
      <c r="GCS48" s="84" t="str">
        <f>IF(ISNUMBER(outYear),GCS37+GCS42+#REF!+#REF!,"")</f>
        <v/>
      </c>
      <c r="GCT48" s="84" t="str">
        <f>IF(ISNUMBER(outYear),GCT37+GCT42+#REF!+#REF!,"")</f>
        <v/>
      </c>
      <c r="GCU48" s="84" t="str">
        <f>IF(ISNUMBER(outYear),GCU37+GCU42+#REF!+#REF!,"")</f>
        <v/>
      </c>
      <c r="GCV48" s="84" t="str">
        <f>IF(ISNUMBER(outYear),GCV37+GCV42+#REF!+#REF!,"")</f>
        <v/>
      </c>
      <c r="GCW48" s="84" t="str">
        <f>IF(ISNUMBER(outYear),GCW37+GCW42+#REF!+#REF!,"")</f>
        <v/>
      </c>
      <c r="GCX48" s="84" t="str">
        <f>IF(ISNUMBER(outYear),GCX37+GCX42+#REF!+#REF!,"")</f>
        <v/>
      </c>
      <c r="GCY48" s="84" t="str">
        <f>IF(ISNUMBER(outYear),GCY37+GCY42+#REF!+#REF!,"")</f>
        <v/>
      </c>
      <c r="GCZ48" s="84" t="str">
        <f>IF(ISNUMBER(outYear),GCZ37+GCZ42+#REF!+#REF!,"")</f>
        <v/>
      </c>
      <c r="GDA48" s="84" t="str">
        <f>IF(ISNUMBER(outYear),GDA37+GDA42+#REF!+#REF!,"")</f>
        <v/>
      </c>
      <c r="GDB48" s="84" t="str">
        <f>IF(ISNUMBER(outYear),GDB37+GDB42+#REF!+#REF!,"")</f>
        <v/>
      </c>
      <c r="GDC48" s="84" t="str">
        <f>IF(ISNUMBER(outYear),GDC37+GDC42+#REF!+#REF!,"")</f>
        <v/>
      </c>
      <c r="GDD48" s="84" t="str">
        <f>IF(ISNUMBER(outYear),GDD37+GDD42+#REF!+#REF!,"")</f>
        <v/>
      </c>
      <c r="GDE48" s="84" t="str">
        <f>IF(ISNUMBER(outYear),GDE37+GDE42+#REF!+#REF!,"")</f>
        <v/>
      </c>
      <c r="GDF48" s="84" t="str">
        <f>IF(ISNUMBER(outYear),GDF37+GDF42+#REF!+#REF!,"")</f>
        <v/>
      </c>
      <c r="GDG48" s="84" t="str">
        <f>IF(ISNUMBER(outYear),GDG37+GDG42+#REF!+#REF!,"")</f>
        <v/>
      </c>
      <c r="GDH48" s="84" t="str">
        <f>IF(ISNUMBER(outYear),GDH37+GDH42+#REF!+#REF!,"")</f>
        <v/>
      </c>
      <c r="GDI48" s="84" t="str">
        <f>IF(ISNUMBER(outYear),GDI37+GDI42+#REF!+#REF!,"")</f>
        <v/>
      </c>
      <c r="GDJ48" s="84" t="str">
        <f>IF(ISNUMBER(outYear),GDJ37+GDJ42+#REF!+#REF!,"")</f>
        <v/>
      </c>
      <c r="GDK48" s="84" t="str">
        <f>IF(ISNUMBER(outYear),GDK37+GDK42+#REF!+#REF!,"")</f>
        <v/>
      </c>
      <c r="GDL48" s="84" t="str">
        <f>IF(ISNUMBER(outYear),GDL37+GDL42+#REF!+#REF!,"")</f>
        <v/>
      </c>
      <c r="GDM48" s="84" t="str">
        <f>IF(ISNUMBER(outYear),GDM37+GDM42+#REF!+#REF!,"")</f>
        <v/>
      </c>
      <c r="GDN48" s="84" t="str">
        <f>IF(ISNUMBER(outYear),GDN37+GDN42+#REF!+#REF!,"")</f>
        <v/>
      </c>
      <c r="GDO48" s="84" t="str">
        <f>IF(ISNUMBER(outYear),GDO37+GDO42+#REF!+#REF!,"")</f>
        <v/>
      </c>
      <c r="GDP48" s="84" t="str">
        <f>IF(ISNUMBER(outYear),GDP37+GDP42+#REF!+#REF!,"")</f>
        <v/>
      </c>
      <c r="GDQ48" s="84" t="str">
        <f>IF(ISNUMBER(outYear),GDQ37+GDQ42+#REF!+#REF!,"")</f>
        <v/>
      </c>
      <c r="GDR48" s="84" t="str">
        <f>IF(ISNUMBER(outYear),GDR37+GDR42+#REF!+#REF!,"")</f>
        <v/>
      </c>
      <c r="GDS48" s="84" t="str">
        <f>IF(ISNUMBER(outYear),GDS37+GDS42+#REF!+#REF!,"")</f>
        <v/>
      </c>
      <c r="GDT48" s="84" t="str">
        <f>IF(ISNUMBER(outYear),GDT37+GDT42+#REF!+#REF!,"")</f>
        <v/>
      </c>
      <c r="GDU48" s="84" t="str">
        <f>IF(ISNUMBER(outYear),GDU37+GDU42+#REF!+#REF!,"")</f>
        <v/>
      </c>
      <c r="GDV48" s="84" t="str">
        <f>IF(ISNUMBER(outYear),GDV37+GDV42+#REF!+#REF!,"")</f>
        <v/>
      </c>
      <c r="GDW48" s="84" t="str">
        <f>IF(ISNUMBER(outYear),GDW37+GDW42+#REF!+#REF!,"")</f>
        <v/>
      </c>
      <c r="GDX48" s="84" t="str">
        <f>IF(ISNUMBER(outYear),GDX37+GDX42+#REF!+#REF!,"")</f>
        <v/>
      </c>
      <c r="GDY48" s="84" t="str">
        <f>IF(ISNUMBER(outYear),GDY37+GDY42+#REF!+#REF!,"")</f>
        <v/>
      </c>
      <c r="GDZ48" s="84" t="str">
        <f>IF(ISNUMBER(outYear),GDZ37+GDZ42+#REF!+#REF!,"")</f>
        <v/>
      </c>
      <c r="GEA48" s="84" t="str">
        <f>IF(ISNUMBER(outYear),GEA37+GEA42+#REF!+#REF!,"")</f>
        <v/>
      </c>
      <c r="GEB48" s="84" t="str">
        <f>IF(ISNUMBER(outYear),GEB37+GEB42+#REF!+#REF!,"")</f>
        <v/>
      </c>
      <c r="GEC48" s="84" t="str">
        <f>IF(ISNUMBER(outYear),GEC37+GEC42+#REF!+#REF!,"")</f>
        <v/>
      </c>
      <c r="GED48" s="84" t="str">
        <f>IF(ISNUMBER(outYear),GED37+GED42+#REF!+#REF!,"")</f>
        <v/>
      </c>
      <c r="GEE48" s="84" t="str">
        <f>IF(ISNUMBER(outYear),GEE37+GEE42+#REF!+#REF!,"")</f>
        <v/>
      </c>
      <c r="GEF48" s="84" t="str">
        <f>IF(ISNUMBER(outYear),GEF37+GEF42+#REF!+#REF!,"")</f>
        <v/>
      </c>
      <c r="GEG48" s="84" t="str">
        <f>IF(ISNUMBER(outYear),GEG37+GEG42+#REF!+#REF!,"")</f>
        <v/>
      </c>
      <c r="GEH48" s="84" t="str">
        <f>IF(ISNUMBER(outYear),GEH37+GEH42+#REF!+#REF!,"")</f>
        <v/>
      </c>
      <c r="GEI48" s="84" t="str">
        <f>IF(ISNUMBER(outYear),GEI37+GEI42+#REF!+#REF!,"")</f>
        <v/>
      </c>
      <c r="GEJ48" s="84" t="str">
        <f>IF(ISNUMBER(outYear),GEJ37+GEJ42+#REF!+#REF!,"")</f>
        <v/>
      </c>
      <c r="GEK48" s="84" t="str">
        <f>IF(ISNUMBER(outYear),GEK37+GEK42+#REF!+#REF!,"")</f>
        <v/>
      </c>
      <c r="GEL48" s="84" t="str">
        <f>IF(ISNUMBER(outYear),GEL37+GEL42+#REF!+#REF!,"")</f>
        <v/>
      </c>
      <c r="GEM48" s="84" t="str">
        <f>IF(ISNUMBER(outYear),GEM37+GEM42+#REF!+#REF!,"")</f>
        <v/>
      </c>
      <c r="GEN48" s="84" t="str">
        <f>IF(ISNUMBER(outYear),GEN37+GEN42+#REF!+#REF!,"")</f>
        <v/>
      </c>
      <c r="GEO48" s="84" t="str">
        <f>IF(ISNUMBER(outYear),GEO37+GEO42+#REF!+#REF!,"")</f>
        <v/>
      </c>
      <c r="GEP48" s="84" t="str">
        <f>IF(ISNUMBER(outYear),GEP37+GEP42+#REF!+#REF!,"")</f>
        <v/>
      </c>
      <c r="GEQ48" s="84" t="str">
        <f>IF(ISNUMBER(outYear),GEQ37+GEQ42+#REF!+#REF!,"")</f>
        <v/>
      </c>
      <c r="GER48" s="84" t="str">
        <f>IF(ISNUMBER(outYear),GER37+GER42+#REF!+#REF!,"")</f>
        <v/>
      </c>
      <c r="GES48" s="84" t="str">
        <f>IF(ISNUMBER(outYear),GES37+GES42+#REF!+#REF!,"")</f>
        <v/>
      </c>
      <c r="GET48" s="84" t="str">
        <f>IF(ISNUMBER(outYear),GET37+GET42+#REF!+#REF!,"")</f>
        <v/>
      </c>
      <c r="GEU48" s="84" t="str">
        <f>IF(ISNUMBER(outYear),GEU37+GEU42+#REF!+#REF!,"")</f>
        <v/>
      </c>
      <c r="GEV48" s="84" t="str">
        <f>IF(ISNUMBER(outYear),GEV37+GEV42+#REF!+#REF!,"")</f>
        <v/>
      </c>
      <c r="GEW48" s="84" t="str">
        <f>IF(ISNUMBER(outYear),GEW37+GEW42+#REF!+#REF!,"")</f>
        <v/>
      </c>
      <c r="GEX48" s="84" t="str">
        <f>IF(ISNUMBER(outYear),GEX37+GEX42+#REF!+#REF!,"")</f>
        <v/>
      </c>
      <c r="GEY48" s="84" t="str">
        <f>IF(ISNUMBER(outYear),GEY37+GEY42+#REF!+#REF!,"")</f>
        <v/>
      </c>
      <c r="GEZ48" s="84" t="str">
        <f>IF(ISNUMBER(outYear),GEZ37+GEZ42+#REF!+#REF!,"")</f>
        <v/>
      </c>
      <c r="GFA48" s="84" t="str">
        <f>IF(ISNUMBER(outYear),GFA37+GFA42+#REF!+#REF!,"")</f>
        <v/>
      </c>
      <c r="GFB48" s="84" t="str">
        <f>IF(ISNUMBER(outYear),GFB37+GFB42+#REF!+#REF!,"")</f>
        <v/>
      </c>
      <c r="GFC48" s="84" t="str">
        <f>IF(ISNUMBER(outYear),GFC37+GFC42+#REF!+#REF!,"")</f>
        <v/>
      </c>
      <c r="GFD48" s="84" t="str">
        <f>IF(ISNUMBER(outYear),GFD37+GFD42+#REF!+#REF!,"")</f>
        <v/>
      </c>
      <c r="GFE48" s="84" t="str">
        <f>IF(ISNUMBER(outYear),GFE37+GFE42+#REF!+#REF!,"")</f>
        <v/>
      </c>
      <c r="GFF48" s="84" t="str">
        <f>IF(ISNUMBER(outYear),GFF37+GFF42+#REF!+#REF!,"")</f>
        <v/>
      </c>
      <c r="GFG48" s="84" t="str">
        <f>IF(ISNUMBER(outYear),GFG37+GFG42+#REF!+#REF!,"")</f>
        <v/>
      </c>
      <c r="GFH48" s="84" t="str">
        <f>IF(ISNUMBER(outYear),GFH37+GFH42+#REF!+#REF!,"")</f>
        <v/>
      </c>
      <c r="GFI48" s="84" t="str">
        <f>IF(ISNUMBER(outYear),GFI37+GFI42+#REF!+#REF!,"")</f>
        <v/>
      </c>
      <c r="GFJ48" s="84" t="str">
        <f>IF(ISNUMBER(outYear),GFJ37+GFJ42+#REF!+#REF!,"")</f>
        <v/>
      </c>
      <c r="GFK48" s="84" t="str">
        <f>IF(ISNUMBER(outYear),GFK37+GFK42+#REF!+#REF!,"")</f>
        <v/>
      </c>
      <c r="GFL48" s="84" t="str">
        <f>IF(ISNUMBER(outYear),GFL37+GFL42+#REF!+#REF!,"")</f>
        <v/>
      </c>
      <c r="GFM48" s="84" t="str">
        <f>IF(ISNUMBER(outYear),GFM37+GFM42+#REF!+#REF!,"")</f>
        <v/>
      </c>
      <c r="GFN48" s="84" t="str">
        <f>IF(ISNUMBER(outYear),GFN37+GFN42+#REF!+#REF!,"")</f>
        <v/>
      </c>
      <c r="GFO48" s="84" t="str">
        <f>IF(ISNUMBER(outYear),GFO37+GFO42+#REF!+#REF!,"")</f>
        <v/>
      </c>
      <c r="GFP48" s="84" t="str">
        <f>IF(ISNUMBER(outYear),GFP37+GFP42+#REF!+#REF!,"")</f>
        <v/>
      </c>
      <c r="GFQ48" s="84" t="str">
        <f>IF(ISNUMBER(outYear),GFQ37+GFQ42+#REF!+#REF!,"")</f>
        <v/>
      </c>
      <c r="GFR48" s="84" t="str">
        <f>IF(ISNUMBER(outYear),GFR37+GFR42+#REF!+#REF!,"")</f>
        <v/>
      </c>
      <c r="GFS48" s="84" t="str">
        <f>IF(ISNUMBER(outYear),GFS37+GFS42+#REF!+#REF!,"")</f>
        <v/>
      </c>
      <c r="GFT48" s="84" t="str">
        <f>IF(ISNUMBER(outYear),GFT37+GFT42+#REF!+#REF!,"")</f>
        <v/>
      </c>
      <c r="GFU48" s="84" t="str">
        <f>IF(ISNUMBER(outYear),GFU37+GFU42+#REF!+#REF!,"")</f>
        <v/>
      </c>
      <c r="GFV48" s="84" t="str">
        <f>IF(ISNUMBER(outYear),GFV37+GFV42+#REF!+#REF!,"")</f>
        <v/>
      </c>
      <c r="GFW48" s="84" t="str">
        <f>IF(ISNUMBER(outYear),GFW37+GFW42+#REF!+#REF!,"")</f>
        <v/>
      </c>
      <c r="GFX48" s="84" t="str">
        <f>IF(ISNUMBER(outYear),GFX37+GFX42+#REF!+#REF!,"")</f>
        <v/>
      </c>
      <c r="GFY48" s="84" t="str">
        <f>IF(ISNUMBER(outYear),GFY37+GFY42+#REF!+#REF!,"")</f>
        <v/>
      </c>
      <c r="GFZ48" s="84" t="str">
        <f>IF(ISNUMBER(outYear),GFZ37+GFZ42+#REF!+#REF!,"")</f>
        <v/>
      </c>
      <c r="GGA48" s="84" t="str">
        <f>IF(ISNUMBER(outYear),GGA37+GGA42+#REF!+#REF!,"")</f>
        <v/>
      </c>
      <c r="GGB48" s="84" t="str">
        <f>IF(ISNUMBER(outYear),GGB37+GGB42+#REF!+#REF!,"")</f>
        <v/>
      </c>
      <c r="GGC48" s="84" t="str">
        <f>IF(ISNUMBER(outYear),GGC37+GGC42+#REF!+#REF!,"")</f>
        <v/>
      </c>
      <c r="GGD48" s="84" t="str">
        <f>IF(ISNUMBER(outYear),GGD37+GGD42+#REF!+#REF!,"")</f>
        <v/>
      </c>
      <c r="GGE48" s="84" t="str">
        <f>IF(ISNUMBER(outYear),GGE37+GGE42+#REF!+#REF!,"")</f>
        <v/>
      </c>
      <c r="GGF48" s="84" t="str">
        <f>IF(ISNUMBER(outYear),GGF37+GGF42+#REF!+#REF!,"")</f>
        <v/>
      </c>
      <c r="GGG48" s="84" t="str">
        <f>IF(ISNUMBER(outYear),GGG37+GGG42+#REF!+#REF!,"")</f>
        <v/>
      </c>
      <c r="GGH48" s="84" t="str">
        <f>IF(ISNUMBER(outYear),GGH37+GGH42+#REF!+#REF!,"")</f>
        <v/>
      </c>
      <c r="GGI48" s="84" t="str">
        <f>IF(ISNUMBER(outYear),GGI37+GGI42+#REF!+#REF!,"")</f>
        <v/>
      </c>
      <c r="GGJ48" s="84" t="str">
        <f>IF(ISNUMBER(outYear),GGJ37+GGJ42+#REF!+#REF!,"")</f>
        <v/>
      </c>
      <c r="GGK48" s="84" t="str">
        <f>IF(ISNUMBER(outYear),GGK37+GGK42+#REF!+#REF!,"")</f>
        <v/>
      </c>
      <c r="GGL48" s="84" t="str">
        <f>IF(ISNUMBER(outYear),GGL37+GGL42+#REF!+#REF!,"")</f>
        <v/>
      </c>
      <c r="GGM48" s="84" t="str">
        <f>IF(ISNUMBER(outYear),GGM37+GGM42+#REF!+#REF!,"")</f>
        <v/>
      </c>
      <c r="GGN48" s="84" t="str">
        <f>IF(ISNUMBER(outYear),GGN37+GGN42+#REF!+#REF!,"")</f>
        <v/>
      </c>
      <c r="GGO48" s="84" t="str">
        <f>IF(ISNUMBER(outYear),GGO37+GGO42+#REF!+#REF!,"")</f>
        <v/>
      </c>
      <c r="GGP48" s="84" t="str">
        <f>IF(ISNUMBER(outYear),GGP37+GGP42+#REF!+#REF!,"")</f>
        <v/>
      </c>
      <c r="GGQ48" s="84" t="str">
        <f>IF(ISNUMBER(outYear),GGQ37+GGQ42+#REF!+#REF!,"")</f>
        <v/>
      </c>
      <c r="GGR48" s="84" t="str">
        <f>IF(ISNUMBER(outYear),GGR37+GGR42+#REF!+#REF!,"")</f>
        <v/>
      </c>
      <c r="GGS48" s="84" t="str">
        <f>IF(ISNUMBER(outYear),GGS37+GGS42+#REF!+#REF!,"")</f>
        <v/>
      </c>
      <c r="GGT48" s="84" t="str">
        <f>IF(ISNUMBER(outYear),GGT37+GGT42+#REF!+#REF!,"")</f>
        <v/>
      </c>
      <c r="GGU48" s="84" t="str">
        <f>IF(ISNUMBER(outYear),GGU37+GGU42+#REF!+#REF!,"")</f>
        <v/>
      </c>
      <c r="GGV48" s="84" t="str">
        <f>IF(ISNUMBER(outYear),GGV37+GGV42+#REF!+#REF!,"")</f>
        <v/>
      </c>
      <c r="GGW48" s="84" t="str">
        <f>IF(ISNUMBER(outYear),GGW37+GGW42+#REF!+#REF!,"")</f>
        <v/>
      </c>
      <c r="GGX48" s="84" t="str">
        <f>IF(ISNUMBER(outYear),GGX37+GGX42+#REF!+#REF!,"")</f>
        <v/>
      </c>
      <c r="GGY48" s="84" t="str">
        <f>IF(ISNUMBER(outYear),GGY37+GGY42+#REF!+#REF!,"")</f>
        <v/>
      </c>
      <c r="GGZ48" s="84" t="str">
        <f>IF(ISNUMBER(outYear),GGZ37+GGZ42+#REF!+#REF!,"")</f>
        <v/>
      </c>
      <c r="GHA48" s="84" t="str">
        <f>IF(ISNUMBER(outYear),GHA37+GHA42+#REF!+#REF!,"")</f>
        <v/>
      </c>
      <c r="GHB48" s="84" t="str">
        <f>IF(ISNUMBER(outYear),GHB37+GHB42+#REF!+#REF!,"")</f>
        <v/>
      </c>
      <c r="GHC48" s="84" t="str">
        <f>IF(ISNUMBER(outYear),GHC37+GHC42+#REF!+#REF!,"")</f>
        <v/>
      </c>
      <c r="GHD48" s="84" t="str">
        <f>IF(ISNUMBER(outYear),GHD37+GHD42+#REF!+#REF!,"")</f>
        <v/>
      </c>
      <c r="GHE48" s="84" t="str">
        <f>IF(ISNUMBER(outYear),GHE37+GHE42+#REF!+#REF!,"")</f>
        <v/>
      </c>
      <c r="GHF48" s="84" t="str">
        <f>IF(ISNUMBER(outYear),GHF37+GHF42+#REF!+#REF!,"")</f>
        <v/>
      </c>
      <c r="GHG48" s="84" t="str">
        <f>IF(ISNUMBER(outYear),GHG37+GHG42+#REF!+#REF!,"")</f>
        <v/>
      </c>
      <c r="GHH48" s="84" t="str">
        <f>IF(ISNUMBER(outYear),GHH37+GHH42+#REF!+#REF!,"")</f>
        <v/>
      </c>
      <c r="GHI48" s="84" t="str">
        <f>IF(ISNUMBER(outYear),GHI37+GHI42+#REF!+#REF!,"")</f>
        <v/>
      </c>
      <c r="GHJ48" s="84" t="str">
        <f>IF(ISNUMBER(outYear),GHJ37+GHJ42+#REF!+#REF!,"")</f>
        <v/>
      </c>
      <c r="GHK48" s="84" t="str">
        <f>IF(ISNUMBER(outYear),GHK37+GHK42+#REF!+#REF!,"")</f>
        <v/>
      </c>
      <c r="GHL48" s="84" t="str">
        <f>IF(ISNUMBER(outYear),GHL37+GHL42+#REF!+#REF!,"")</f>
        <v/>
      </c>
      <c r="GHM48" s="84" t="str">
        <f>IF(ISNUMBER(outYear),GHM37+GHM42+#REF!+#REF!,"")</f>
        <v/>
      </c>
      <c r="GHN48" s="84" t="str">
        <f>IF(ISNUMBER(outYear),GHN37+GHN42+#REF!+#REF!,"")</f>
        <v/>
      </c>
      <c r="GHO48" s="84" t="str">
        <f>IF(ISNUMBER(outYear),GHO37+GHO42+#REF!+#REF!,"")</f>
        <v/>
      </c>
      <c r="GHP48" s="84" t="str">
        <f>IF(ISNUMBER(outYear),GHP37+GHP42+#REF!+#REF!,"")</f>
        <v/>
      </c>
      <c r="GHQ48" s="84" t="str">
        <f>IF(ISNUMBER(outYear),GHQ37+GHQ42+#REF!+#REF!,"")</f>
        <v/>
      </c>
      <c r="GHR48" s="84" t="str">
        <f>IF(ISNUMBER(outYear),GHR37+GHR42+#REF!+#REF!,"")</f>
        <v/>
      </c>
      <c r="GHS48" s="84" t="str">
        <f>IF(ISNUMBER(outYear),GHS37+GHS42+#REF!+#REF!,"")</f>
        <v/>
      </c>
      <c r="GHT48" s="84" t="str">
        <f>IF(ISNUMBER(outYear),GHT37+GHT42+#REF!+#REF!,"")</f>
        <v/>
      </c>
      <c r="GHU48" s="84" t="str">
        <f>IF(ISNUMBER(outYear),GHU37+GHU42+#REF!+#REF!,"")</f>
        <v/>
      </c>
      <c r="GHV48" s="84" t="str">
        <f>IF(ISNUMBER(outYear),GHV37+GHV42+#REF!+#REF!,"")</f>
        <v/>
      </c>
      <c r="GHW48" s="84" t="str">
        <f>IF(ISNUMBER(outYear),GHW37+GHW42+#REF!+#REF!,"")</f>
        <v/>
      </c>
      <c r="GHX48" s="84" t="str">
        <f>IF(ISNUMBER(outYear),GHX37+GHX42+#REF!+#REF!,"")</f>
        <v/>
      </c>
      <c r="GHY48" s="84" t="str">
        <f>IF(ISNUMBER(outYear),GHY37+GHY42+#REF!+#REF!,"")</f>
        <v/>
      </c>
      <c r="GHZ48" s="84" t="str">
        <f>IF(ISNUMBER(outYear),GHZ37+GHZ42+#REF!+#REF!,"")</f>
        <v/>
      </c>
      <c r="GIA48" s="84" t="str">
        <f>IF(ISNUMBER(outYear),GIA37+GIA42+#REF!+#REF!,"")</f>
        <v/>
      </c>
      <c r="GIB48" s="84" t="str">
        <f>IF(ISNUMBER(outYear),GIB37+GIB42+#REF!+#REF!,"")</f>
        <v/>
      </c>
      <c r="GIC48" s="84" t="str">
        <f>IF(ISNUMBER(outYear),GIC37+GIC42+#REF!+#REF!,"")</f>
        <v/>
      </c>
      <c r="GID48" s="84" t="str">
        <f>IF(ISNUMBER(outYear),GID37+GID42+#REF!+#REF!,"")</f>
        <v/>
      </c>
      <c r="GIE48" s="84" t="str">
        <f>IF(ISNUMBER(outYear),GIE37+GIE42+#REF!+#REF!,"")</f>
        <v/>
      </c>
      <c r="GIF48" s="84" t="str">
        <f>IF(ISNUMBER(outYear),GIF37+GIF42+#REF!+#REF!,"")</f>
        <v/>
      </c>
      <c r="GIG48" s="84" t="str">
        <f>IF(ISNUMBER(outYear),GIG37+GIG42+#REF!+#REF!,"")</f>
        <v/>
      </c>
      <c r="GIH48" s="84" t="str">
        <f>IF(ISNUMBER(outYear),GIH37+GIH42+#REF!+#REF!,"")</f>
        <v/>
      </c>
      <c r="GII48" s="84" t="str">
        <f>IF(ISNUMBER(outYear),GII37+GII42+#REF!+#REF!,"")</f>
        <v/>
      </c>
      <c r="GIJ48" s="84" t="str">
        <f>IF(ISNUMBER(outYear),GIJ37+GIJ42+#REF!+#REF!,"")</f>
        <v/>
      </c>
      <c r="GIK48" s="84" t="str">
        <f>IF(ISNUMBER(outYear),GIK37+GIK42+#REF!+#REF!,"")</f>
        <v/>
      </c>
      <c r="GIL48" s="84" t="str">
        <f>IF(ISNUMBER(outYear),GIL37+GIL42+#REF!+#REF!,"")</f>
        <v/>
      </c>
      <c r="GIM48" s="84" t="str">
        <f>IF(ISNUMBER(outYear),GIM37+GIM42+#REF!+#REF!,"")</f>
        <v/>
      </c>
      <c r="GIN48" s="84" t="str">
        <f>IF(ISNUMBER(outYear),GIN37+GIN42+#REF!+#REF!,"")</f>
        <v/>
      </c>
      <c r="GIO48" s="84" t="str">
        <f>IF(ISNUMBER(outYear),GIO37+GIO42+#REF!+#REF!,"")</f>
        <v/>
      </c>
      <c r="GIP48" s="84" t="str">
        <f>IF(ISNUMBER(outYear),GIP37+GIP42+#REF!+#REF!,"")</f>
        <v/>
      </c>
      <c r="GIQ48" s="84" t="str">
        <f>IF(ISNUMBER(outYear),GIQ37+GIQ42+#REF!+#REF!,"")</f>
        <v/>
      </c>
      <c r="GIR48" s="84" t="str">
        <f>IF(ISNUMBER(outYear),GIR37+GIR42+#REF!+#REF!,"")</f>
        <v/>
      </c>
      <c r="GIS48" s="84" t="str">
        <f>IF(ISNUMBER(outYear),GIS37+GIS42+#REF!+#REF!,"")</f>
        <v/>
      </c>
      <c r="GIT48" s="84" t="str">
        <f>IF(ISNUMBER(outYear),GIT37+GIT42+#REF!+#REF!,"")</f>
        <v/>
      </c>
      <c r="GIU48" s="84" t="str">
        <f>IF(ISNUMBER(outYear),GIU37+GIU42+#REF!+#REF!,"")</f>
        <v/>
      </c>
      <c r="GIV48" s="84" t="str">
        <f>IF(ISNUMBER(outYear),GIV37+GIV42+#REF!+#REF!,"")</f>
        <v/>
      </c>
      <c r="GIW48" s="84" t="str">
        <f>IF(ISNUMBER(outYear),GIW37+GIW42+#REF!+#REF!,"")</f>
        <v/>
      </c>
      <c r="GIX48" s="84" t="str">
        <f>IF(ISNUMBER(outYear),GIX37+GIX42+#REF!+#REF!,"")</f>
        <v/>
      </c>
      <c r="GIY48" s="84" t="str">
        <f>IF(ISNUMBER(outYear),GIY37+GIY42+#REF!+#REF!,"")</f>
        <v/>
      </c>
      <c r="GIZ48" s="84" t="str">
        <f>IF(ISNUMBER(outYear),GIZ37+GIZ42+#REF!+#REF!,"")</f>
        <v/>
      </c>
      <c r="GJA48" s="84" t="str">
        <f>IF(ISNUMBER(outYear),GJA37+GJA42+#REF!+#REF!,"")</f>
        <v/>
      </c>
      <c r="GJB48" s="84" t="str">
        <f>IF(ISNUMBER(outYear),GJB37+GJB42+#REF!+#REF!,"")</f>
        <v/>
      </c>
      <c r="GJC48" s="84" t="str">
        <f>IF(ISNUMBER(outYear),GJC37+GJC42+#REF!+#REF!,"")</f>
        <v/>
      </c>
      <c r="GJD48" s="84" t="str">
        <f>IF(ISNUMBER(outYear),GJD37+GJD42+#REF!+#REF!,"")</f>
        <v/>
      </c>
      <c r="GJE48" s="84" t="str">
        <f>IF(ISNUMBER(outYear),GJE37+GJE42+#REF!+#REF!,"")</f>
        <v/>
      </c>
      <c r="GJF48" s="84" t="str">
        <f>IF(ISNUMBER(outYear),GJF37+GJF42+#REF!+#REF!,"")</f>
        <v/>
      </c>
      <c r="GJG48" s="84" t="str">
        <f>IF(ISNUMBER(outYear),GJG37+GJG42+#REF!+#REF!,"")</f>
        <v/>
      </c>
      <c r="GJH48" s="84" t="str">
        <f>IF(ISNUMBER(outYear),GJH37+GJH42+#REF!+#REF!,"")</f>
        <v/>
      </c>
      <c r="GJI48" s="84" t="str">
        <f>IF(ISNUMBER(outYear),GJI37+GJI42+#REF!+#REF!,"")</f>
        <v/>
      </c>
      <c r="GJJ48" s="84" t="str">
        <f>IF(ISNUMBER(outYear),GJJ37+GJJ42+#REF!+#REF!,"")</f>
        <v/>
      </c>
      <c r="GJK48" s="84" t="str">
        <f>IF(ISNUMBER(outYear),GJK37+GJK42+#REF!+#REF!,"")</f>
        <v/>
      </c>
      <c r="GJL48" s="84" t="str">
        <f>IF(ISNUMBER(outYear),GJL37+GJL42+#REF!+#REF!,"")</f>
        <v/>
      </c>
      <c r="GJM48" s="84" t="str">
        <f>IF(ISNUMBER(outYear),GJM37+GJM42+#REF!+#REF!,"")</f>
        <v/>
      </c>
      <c r="GJN48" s="84" t="str">
        <f>IF(ISNUMBER(outYear),GJN37+GJN42+#REF!+#REF!,"")</f>
        <v/>
      </c>
      <c r="GJO48" s="84" t="str">
        <f>IF(ISNUMBER(outYear),GJO37+GJO42+#REF!+#REF!,"")</f>
        <v/>
      </c>
      <c r="GJP48" s="84" t="str">
        <f>IF(ISNUMBER(outYear),GJP37+GJP42+#REF!+#REF!,"")</f>
        <v/>
      </c>
      <c r="GJQ48" s="84" t="str">
        <f>IF(ISNUMBER(outYear),GJQ37+GJQ42+#REF!+#REF!,"")</f>
        <v/>
      </c>
      <c r="GJR48" s="84" t="str">
        <f>IF(ISNUMBER(outYear),GJR37+GJR42+#REF!+#REF!,"")</f>
        <v/>
      </c>
      <c r="GJS48" s="84" t="str">
        <f>IF(ISNUMBER(outYear),GJS37+GJS42+#REF!+#REF!,"")</f>
        <v/>
      </c>
      <c r="GJT48" s="84" t="str">
        <f>IF(ISNUMBER(outYear),GJT37+GJT42+#REF!+#REF!,"")</f>
        <v/>
      </c>
      <c r="GJU48" s="84" t="str">
        <f>IF(ISNUMBER(outYear),GJU37+GJU42+#REF!+#REF!,"")</f>
        <v/>
      </c>
      <c r="GJV48" s="84" t="str">
        <f>IF(ISNUMBER(outYear),GJV37+GJV42+#REF!+#REF!,"")</f>
        <v/>
      </c>
      <c r="GJW48" s="84" t="str">
        <f>IF(ISNUMBER(outYear),GJW37+GJW42+#REF!+#REF!,"")</f>
        <v/>
      </c>
      <c r="GJX48" s="84" t="str">
        <f>IF(ISNUMBER(outYear),GJX37+GJX42+#REF!+#REF!,"")</f>
        <v/>
      </c>
      <c r="GJY48" s="84" t="str">
        <f>IF(ISNUMBER(outYear),GJY37+GJY42+#REF!+#REF!,"")</f>
        <v/>
      </c>
      <c r="GJZ48" s="84" t="str">
        <f>IF(ISNUMBER(outYear),GJZ37+GJZ42+#REF!+#REF!,"")</f>
        <v/>
      </c>
      <c r="GKA48" s="84" t="str">
        <f>IF(ISNUMBER(outYear),GKA37+GKA42+#REF!+#REF!,"")</f>
        <v/>
      </c>
      <c r="GKB48" s="84" t="str">
        <f>IF(ISNUMBER(outYear),GKB37+GKB42+#REF!+#REF!,"")</f>
        <v/>
      </c>
      <c r="GKC48" s="84" t="str">
        <f>IF(ISNUMBER(outYear),GKC37+GKC42+#REF!+#REF!,"")</f>
        <v/>
      </c>
      <c r="GKD48" s="84" t="str">
        <f>IF(ISNUMBER(outYear),GKD37+GKD42+#REF!+#REF!,"")</f>
        <v/>
      </c>
      <c r="GKE48" s="84" t="str">
        <f>IF(ISNUMBER(outYear),GKE37+GKE42+#REF!+#REF!,"")</f>
        <v/>
      </c>
      <c r="GKF48" s="84" t="str">
        <f>IF(ISNUMBER(outYear),GKF37+GKF42+#REF!+#REF!,"")</f>
        <v/>
      </c>
      <c r="GKG48" s="84" t="str">
        <f>IF(ISNUMBER(outYear),GKG37+GKG42+#REF!+#REF!,"")</f>
        <v/>
      </c>
      <c r="GKH48" s="84" t="str">
        <f>IF(ISNUMBER(outYear),GKH37+GKH42+#REF!+#REF!,"")</f>
        <v/>
      </c>
      <c r="GKI48" s="84" t="str">
        <f>IF(ISNUMBER(outYear),GKI37+GKI42+#REF!+#REF!,"")</f>
        <v/>
      </c>
      <c r="GKJ48" s="84" t="str">
        <f>IF(ISNUMBER(outYear),GKJ37+GKJ42+#REF!+#REF!,"")</f>
        <v/>
      </c>
      <c r="GKK48" s="84" t="str">
        <f>IF(ISNUMBER(outYear),GKK37+GKK42+#REF!+#REF!,"")</f>
        <v/>
      </c>
      <c r="GKL48" s="84" t="str">
        <f>IF(ISNUMBER(outYear),GKL37+GKL42+#REF!+#REF!,"")</f>
        <v/>
      </c>
      <c r="GKM48" s="84" t="str">
        <f>IF(ISNUMBER(outYear),GKM37+GKM42+#REF!+#REF!,"")</f>
        <v/>
      </c>
      <c r="GKN48" s="84" t="str">
        <f>IF(ISNUMBER(outYear),GKN37+GKN42+#REF!+#REF!,"")</f>
        <v/>
      </c>
      <c r="GKO48" s="84" t="str">
        <f>IF(ISNUMBER(outYear),GKO37+GKO42+#REF!+#REF!,"")</f>
        <v/>
      </c>
      <c r="GKP48" s="84" t="str">
        <f>IF(ISNUMBER(outYear),GKP37+GKP42+#REF!+#REF!,"")</f>
        <v/>
      </c>
      <c r="GKQ48" s="84" t="str">
        <f>IF(ISNUMBER(outYear),GKQ37+GKQ42+#REF!+#REF!,"")</f>
        <v/>
      </c>
      <c r="GKR48" s="84" t="str">
        <f>IF(ISNUMBER(outYear),GKR37+GKR42+#REF!+#REF!,"")</f>
        <v/>
      </c>
      <c r="GKS48" s="84" t="str">
        <f>IF(ISNUMBER(outYear),GKS37+GKS42+#REF!+#REF!,"")</f>
        <v/>
      </c>
      <c r="GKT48" s="84" t="str">
        <f>IF(ISNUMBER(outYear),GKT37+GKT42+#REF!+#REF!,"")</f>
        <v/>
      </c>
      <c r="GKU48" s="84" t="str">
        <f>IF(ISNUMBER(outYear),GKU37+GKU42+#REF!+#REF!,"")</f>
        <v/>
      </c>
      <c r="GKV48" s="84" t="str">
        <f>IF(ISNUMBER(outYear),GKV37+GKV42+#REF!+#REF!,"")</f>
        <v/>
      </c>
      <c r="GKW48" s="84" t="str">
        <f>IF(ISNUMBER(outYear),GKW37+GKW42+#REF!+#REF!,"")</f>
        <v/>
      </c>
      <c r="GKX48" s="84" t="str">
        <f>IF(ISNUMBER(outYear),GKX37+GKX42+#REF!+#REF!,"")</f>
        <v/>
      </c>
      <c r="GKY48" s="84" t="str">
        <f>IF(ISNUMBER(outYear),GKY37+GKY42+#REF!+#REF!,"")</f>
        <v/>
      </c>
      <c r="GKZ48" s="84" t="str">
        <f>IF(ISNUMBER(outYear),GKZ37+GKZ42+#REF!+#REF!,"")</f>
        <v/>
      </c>
      <c r="GLA48" s="84" t="str">
        <f>IF(ISNUMBER(outYear),GLA37+GLA42+#REF!+#REF!,"")</f>
        <v/>
      </c>
      <c r="GLB48" s="84" t="str">
        <f>IF(ISNUMBER(outYear),GLB37+GLB42+#REF!+#REF!,"")</f>
        <v/>
      </c>
      <c r="GLC48" s="84" t="str">
        <f>IF(ISNUMBER(outYear),GLC37+GLC42+#REF!+#REF!,"")</f>
        <v/>
      </c>
      <c r="GLD48" s="84" t="str">
        <f>IF(ISNUMBER(outYear),GLD37+GLD42+#REF!+#REF!,"")</f>
        <v/>
      </c>
      <c r="GLE48" s="84" t="str">
        <f>IF(ISNUMBER(outYear),GLE37+GLE42+#REF!+#REF!,"")</f>
        <v/>
      </c>
      <c r="GLF48" s="84" t="str">
        <f>IF(ISNUMBER(outYear),GLF37+GLF42+#REF!+#REF!,"")</f>
        <v/>
      </c>
      <c r="GLG48" s="84" t="str">
        <f>IF(ISNUMBER(outYear),GLG37+GLG42+#REF!+#REF!,"")</f>
        <v/>
      </c>
      <c r="GLH48" s="84" t="str">
        <f>IF(ISNUMBER(outYear),GLH37+GLH42+#REF!+#REF!,"")</f>
        <v/>
      </c>
      <c r="GLI48" s="84" t="str">
        <f>IF(ISNUMBER(outYear),GLI37+GLI42+#REF!+#REF!,"")</f>
        <v/>
      </c>
      <c r="GLJ48" s="84" t="str">
        <f>IF(ISNUMBER(outYear),GLJ37+GLJ42+#REF!+#REF!,"")</f>
        <v/>
      </c>
      <c r="GLK48" s="84" t="str">
        <f>IF(ISNUMBER(outYear),GLK37+GLK42+#REF!+#REF!,"")</f>
        <v/>
      </c>
      <c r="GLL48" s="84" t="str">
        <f>IF(ISNUMBER(outYear),GLL37+GLL42+#REF!+#REF!,"")</f>
        <v/>
      </c>
      <c r="GLM48" s="84" t="str">
        <f>IF(ISNUMBER(outYear),GLM37+GLM42+#REF!+#REF!,"")</f>
        <v/>
      </c>
      <c r="GLN48" s="84" t="str">
        <f>IF(ISNUMBER(outYear),GLN37+GLN42+#REF!+#REF!,"")</f>
        <v/>
      </c>
      <c r="GLO48" s="84" t="str">
        <f>IF(ISNUMBER(outYear),GLO37+GLO42+#REF!+#REF!,"")</f>
        <v/>
      </c>
      <c r="GLP48" s="84" t="str">
        <f>IF(ISNUMBER(outYear),GLP37+GLP42+#REF!+#REF!,"")</f>
        <v/>
      </c>
      <c r="GLQ48" s="84" t="str">
        <f>IF(ISNUMBER(outYear),GLQ37+GLQ42+#REF!+#REF!,"")</f>
        <v/>
      </c>
      <c r="GLR48" s="84" t="str">
        <f>IF(ISNUMBER(outYear),GLR37+GLR42+#REF!+#REF!,"")</f>
        <v/>
      </c>
      <c r="GLS48" s="84" t="str">
        <f>IF(ISNUMBER(outYear),GLS37+GLS42+#REF!+#REF!,"")</f>
        <v/>
      </c>
      <c r="GLT48" s="84" t="str">
        <f>IF(ISNUMBER(outYear),GLT37+GLT42+#REF!+#REF!,"")</f>
        <v/>
      </c>
      <c r="GLU48" s="84" t="str">
        <f>IF(ISNUMBER(outYear),GLU37+GLU42+#REF!+#REF!,"")</f>
        <v/>
      </c>
      <c r="GLV48" s="84" t="str">
        <f>IF(ISNUMBER(outYear),GLV37+GLV42+#REF!+#REF!,"")</f>
        <v/>
      </c>
      <c r="GLW48" s="84" t="str">
        <f>IF(ISNUMBER(outYear),GLW37+GLW42+#REF!+#REF!,"")</f>
        <v/>
      </c>
      <c r="GLX48" s="84" t="str">
        <f>IF(ISNUMBER(outYear),GLX37+GLX42+#REF!+#REF!,"")</f>
        <v/>
      </c>
      <c r="GLY48" s="84" t="str">
        <f>IF(ISNUMBER(outYear),GLY37+GLY42+#REF!+#REF!,"")</f>
        <v/>
      </c>
      <c r="GLZ48" s="84" t="str">
        <f>IF(ISNUMBER(outYear),GLZ37+GLZ42+#REF!+#REF!,"")</f>
        <v/>
      </c>
      <c r="GMA48" s="84" t="str">
        <f>IF(ISNUMBER(outYear),GMA37+GMA42+#REF!+#REF!,"")</f>
        <v/>
      </c>
      <c r="GMB48" s="84" t="str">
        <f>IF(ISNUMBER(outYear),GMB37+GMB42+#REF!+#REF!,"")</f>
        <v/>
      </c>
      <c r="GMC48" s="84" t="str">
        <f>IF(ISNUMBER(outYear),GMC37+GMC42+#REF!+#REF!,"")</f>
        <v/>
      </c>
      <c r="GMD48" s="84" t="str">
        <f>IF(ISNUMBER(outYear),GMD37+GMD42+#REF!+#REF!,"")</f>
        <v/>
      </c>
      <c r="GME48" s="84" t="str">
        <f>IF(ISNUMBER(outYear),GME37+GME42+#REF!+#REF!,"")</f>
        <v/>
      </c>
      <c r="GMF48" s="84" t="str">
        <f>IF(ISNUMBER(outYear),GMF37+GMF42+#REF!+#REF!,"")</f>
        <v/>
      </c>
      <c r="GMG48" s="84" t="str">
        <f>IF(ISNUMBER(outYear),GMG37+GMG42+#REF!+#REF!,"")</f>
        <v/>
      </c>
      <c r="GMH48" s="84" t="str">
        <f>IF(ISNUMBER(outYear),GMH37+GMH42+#REF!+#REF!,"")</f>
        <v/>
      </c>
      <c r="GMI48" s="84" t="str">
        <f>IF(ISNUMBER(outYear),GMI37+GMI42+#REF!+#REF!,"")</f>
        <v/>
      </c>
      <c r="GMJ48" s="84" t="str">
        <f>IF(ISNUMBER(outYear),GMJ37+GMJ42+#REF!+#REF!,"")</f>
        <v/>
      </c>
      <c r="GMK48" s="84" t="str">
        <f>IF(ISNUMBER(outYear),GMK37+GMK42+#REF!+#REF!,"")</f>
        <v/>
      </c>
      <c r="GML48" s="84" t="str">
        <f>IF(ISNUMBER(outYear),GML37+GML42+#REF!+#REF!,"")</f>
        <v/>
      </c>
      <c r="GMM48" s="84" t="str">
        <f>IF(ISNUMBER(outYear),GMM37+GMM42+#REF!+#REF!,"")</f>
        <v/>
      </c>
      <c r="GMN48" s="84" t="str">
        <f>IF(ISNUMBER(outYear),GMN37+GMN42+#REF!+#REF!,"")</f>
        <v/>
      </c>
      <c r="GMO48" s="84" t="str">
        <f>IF(ISNUMBER(outYear),GMO37+GMO42+#REF!+#REF!,"")</f>
        <v/>
      </c>
      <c r="GMP48" s="84" t="str">
        <f>IF(ISNUMBER(outYear),GMP37+GMP42+#REF!+#REF!,"")</f>
        <v/>
      </c>
      <c r="GMQ48" s="84" t="str">
        <f>IF(ISNUMBER(outYear),GMQ37+GMQ42+#REF!+#REF!,"")</f>
        <v/>
      </c>
      <c r="GMR48" s="84" t="str">
        <f>IF(ISNUMBER(outYear),GMR37+GMR42+#REF!+#REF!,"")</f>
        <v/>
      </c>
      <c r="GMS48" s="84" t="str">
        <f>IF(ISNUMBER(outYear),GMS37+GMS42+#REF!+#REF!,"")</f>
        <v/>
      </c>
      <c r="GMT48" s="84" t="str">
        <f>IF(ISNUMBER(outYear),GMT37+GMT42+#REF!+#REF!,"")</f>
        <v/>
      </c>
      <c r="GMU48" s="84" t="str">
        <f>IF(ISNUMBER(outYear),GMU37+GMU42+#REF!+#REF!,"")</f>
        <v/>
      </c>
      <c r="GMV48" s="84" t="str">
        <f>IF(ISNUMBER(outYear),GMV37+GMV42+#REF!+#REF!,"")</f>
        <v/>
      </c>
      <c r="GMW48" s="84" t="str">
        <f>IF(ISNUMBER(outYear),GMW37+GMW42+#REF!+#REF!,"")</f>
        <v/>
      </c>
      <c r="GMX48" s="84" t="str">
        <f>IF(ISNUMBER(outYear),GMX37+GMX42+#REF!+#REF!,"")</f>
        <v/>
      </c>
      <c r="GMY48" s="84" t="str">
        <f>IF(ISNUMBER(outYear),GMY37+GMY42+#REF!+#REF!,"")</f>
        <v/>
      </c>
      <c r="GMZ48" s="84" t="str">
        <f>IF(ISNUMBER(outYear),GMZ37+GMZ42+#REF!+#REF!,"")</f>
        <v/>
      </c>
      <c r="GNA48" s="84" t="str">
        <f>IF(ISNUMBER(outYear),GNA37+GNA42+#REF!+#REF!,"")</f>
        <v/>
      </c>
      <c r="GNB48" s="84" t="str">
        <f>IF(ISNUMBER(outYear),GNB37+GNB42+#REF!+#REF!,"")</f>
        <v/>
      </c>
      <c r="GNC48" s="84" t="str">
        <f>IF(ISNUMBER(outYear),GNC37+GNC42+#REF!+#REF!,"")</f>
        <v/>
      </c>
      <c r="GND48" s="84" t="str">
        <f>IF(ISNUMBER(outYear),GND37+GND42+#REF!+#REF!,"")</f>
        <v/>
      </c>
      <c r="GNE48" s="84" t="str">
        <f>IF(ISNUMBER(outYear),GNE37+GNE42+#REF!+#REF!,"")</f>
        <v/>
      </c>
      <c r="GNF48" s="84" t="str">
        <f>IF(ISNUMBER(outYear),GNF37+GNF42+#REF!+#REF!,"")</f>
        <v/>
      </c>
      <c r="GNG48" s="84" t="str">
        <f>IF(ISNUMBER(outYear),GNG37+GNG42+#REF!+#REF!,"")</f>
        <v/>
      </c>
      <c r="GNH48" s="84" t="str">
        <f>IF(ISNUMBER(outYear),GNH37+GNH42+#REF!+#REF!,"")</f>
        <v/>
      </c>
      <c r="GNI48" s="84" t="str">
        <f>IF(ISNUMBER(outYear),GNI37+GNI42+#REF!+#REF!,"")</f>
        <v/>
      </c>
      <c r="GNJ48" s="84" t="str">
        <f>IF(ISNUMBER(outYear),GNJ37+GNJ42+#REF!+#REF!,"")</f>
        <v/>
      </c>
      <c r="GNK48" s="84" t="str">
        <f>IF(ISNUMBER(outYear),GNK37+GNK42+#REF!+#REF!,"")</f>
        <v/>
      </c>
      <c r="GNL48" s="84" t="str">
        <f>IF(ISNUMBER(outYear),GNL37+GNL42+#REF!+#REF!,"")</f>
        <v/>
      </c>
      <c r="GNM48" s="84" t="str">
        <f>IF(ISNUMBER(outYear),GNM37+GNM42+#REF!+#REF!,"")</f>
        <v/>
      </c>
      <c r="GNN48" s="84" t="str">
        <f>IF(ISNUMBER(outYear),GNN37+GNN42+#REF!+#REF!,"")</f>
        <v/>
      </c>
      <c r="GNO48" s="84" t="str">
        <f>IF(ISNUMBER(outYear),GNO37+GNO42+#REF!+#REF!,"")</f>
        <v/>
      </c>
      <c r="GNP48" s="84" t="str">
        <f>IF(ISNUMBER(outYear),GNP37+GNP42+#REF!+#REF!,"")</f>
        <v/>
      </c>
      <c r="GNQ48" s="84" t="str">
        <f>IF(ISNUMBER(outYear),GNQ37+GNQ42+#REF!+#REF!,"")</f>
        <v/>
      </c>
      <c r="GNR48" s="84" t="str">
        <f>IF(ISNUMBER(outYear),GNR37+GNR42+#REF!+#REF!,"")</f>
        <v/>
      </c>
      <c r="GNS48" s="84" t="str">
        <f>IF(ISNUMBER(outYear),GNS37+GNS42+#REF!+#REF!,"")</f>
        <v/>
      </c>
      <c r="GNT48" s="84" t="str">
        <f>IF(ISNUMBER(outYear),GNT37+GNT42+#REF!+#REF!,"")</f>
        <v/>
      </c>
      <c r="GNU48" s="84" t="str">
        <f>IF(ISNUMBER(outYear),GNU37+GNU42+#REF!+#REF!,"")</f>
        <v/>
      </c>
      <c r="GNV48" s="84" t="str">
        <f>IF(ISNUMBER(outYear),GNV37+GNV42+#REF!+#REF!,"")</f>
        <v/>
      </c>
      <c r="GNW48" s="84" t="str">
        <f>IF(ISNUMBER(outYear),GNW37+GNW42+#REF!+#REF!,"")</f>
        <v/>
      </c>
      <c r="GNX48" s="84" t="str">
        <f>IF(ISNUMBER(outYear),GNX37+GNX42+#REF!+#REF!,"")</f>
        <v/>
      </c>
      <c r="GNY48" s="84" t="str">
        <f>IF(ISNUMBER(outYear),GNY37+GNY42+#REF!+#REF!,"")</f>
        <v/>
      </c>
      <c r="GNZ48" s="84" t="str">
        <f>IF(ISNUMBER(outYear),GNZ37+GNZ42+#REF!+#REF!,"")</f>
        <v/>
      </c>
      <c r="GOA48" s="84" t="str">
        <f>IF(ISNUMBER(outYear),GOA37+GOA42+#REF!+#REF!,"")</f>
        <v/>
      </c>
      <c r="GOB48" s="84" t="str">
        <f>IF(ISNUMBER(outYear),GOB37+GOB42+#REF!+#REF!,"")</f>
        <v/>
      </c>
      <c r="GOC48" s="84" t="str">
        <f>IF(ISNUMBER(outYear),GOC37+GOC42+#REF!+#REF!,"")</f>
        <v/>
      </c>
      <c r="GOD48" s="84" t="str">
        <f>IF(ISNUMBER(outYear),GOD37+GOD42+#REF!+#REF!,"")</f>
        <v/>
      </c>
      <c r="GOE48" s="84" t="str">
        <f>IF(ISNUMBER(outYear),GOE37+GOE42+#REF!+#REF!,"")</f>
        <v/>
      </c>
      <c r="GOF48" s="84" t="str">
        <f>IF(ISNUMBER(outYear),GOF37+GOF42+#REF!+#REF!,"")</f>
        <v/>
      </c>
      <c r="GOG48" s="84" t="str">
        <f>IF(ISNUMBER(outYear),GOG37+GOG42+#REF!+#REF!,"")</f>
        <v/>
      </c>
      <c r="GOH48" s="84" t="str">
        <f>IF(ISNUMBER(outYear),GOH37+GOH42+#REF!+#REF!,"")</f>
        <v/>
      </c>
      <c r="GOI48" s="84" t="str">
        <f>IF(ISNUMBER(outYear),GOI37+GOI42+#REF!+#REF!,"")</f>
        <v/>
      </c>
      <c r="GOJ48" s="84" t="str">
        <f>IF(ISNUMBER(outYear),GOJ37+GOJ42+#REF!+#REF!,"")</f>
        <v/>
      </c>
      <c r="GOK48" s="84" t="str">
        <f>IF(ISNUMBER(outYear),GOK37+GOK42+#REF!+#REF!,"")</f>
        <v/>
      </c>
      <c r="GOL48" s="84" t="str">
        <f>IF(ISNUMBER(outYear),GOL37+GOL42+#REF!+#REF!,"")</f>
        <v/>
      </c>
      <c r="GOM48" s="84" t="str">
        <f>IF(ISNUMBER(outYear),GOM37+GOM42+#REF!+#REF!,"")</f>
        <v/>
      </c>
      <c r="GON48" s="84" t="str">
        <f>IF(ISNUMBER(outYear),GON37+GON42+#REF!+#REF!,"")</f>
        <v/>
      </c>
      <c r="GOO48" s="84" t="str">
        <f>IF(ISNUMBER(outYear),GOO37+GOO42+#REF!+#REF!,"")</f>
        <v/>
      </c>
      <c r="GOP48" s="84" t="str">
        <f>IF(ISNUMBER(outYear),GOP37+GOP42+#REF!+#REF!,"")</f>
        <v/>
      </c>
      <c r="GOQ48" s="84" t="str">
        <f>IF(ISNUMBER(outYear),GOQ37+GOQ42+#REF!+#REF!,"")</f>
        <v/>
      </c>
      <c r="GOR48" s="84" t="str">
        <f>IF(ISNUMBER(outYear),GOR37+GOR42+#REF!+#REF!,"")</f>
        <v/>
      </c>
      <c r="GOS48" s="84" t="str">
        <f>IF(ISNUMBER(outYear),GOS37+GOS42+#REF!+#REF!,"")</f>
        <v/>
      </c>
      <c r="GOT48" s="84" t="str">
        <f>IF(ISNUMBER(outYear),GOT37+GOT42+#REF!+#REF!,"")</f>
        <v/>
      </c>
      <c r="GOU48" s="84" t="str">
        <f>IF(ISNUMBER(outYear),GOU37+GOU42+#REF!+#REF!,"")</f>
        <v/>
      </c>
      <c r="GOV48" s="84" t="str">
        <f>IF(ISNUMBER(outYear),GOV37+GOV42+#REF!+#REF!,"")</f>
        <v/>
      </c>
      <c r="GOW48" s="84" t="str">
        <f>IF(ISNUMBER(outYear),GOW37+GOW42+#REF!+#REF!,"")</f>
        <v/>
      </c>
      <c r="GOX48" s="84" t="str">
        <f>IF(ISNUMBER(outYear),GOX37+GOX42+#REF!+#REF!,"")</f>
        <v/>
      </c>
      <c r="GOY48" s="84" t="str">
        <f>IF(ISNUMBER(outYear),GOY37+GOY42+#REF!+#REF!,"")</f>
        <v/>
      </c>
      <c r="GOZ48" s="84" t="str">
        <f>IF(ISNUMBER(outYear),GOZ37+GOZ42+#REF!+#REF!,"")</f>
        <v/>
      </c>
      <c r="GPA48" s="84" t="str">
        <f>IF(ISNUMBER(outYear),GPA37+GPA42+#REF!+#REF!,"")</f>
        <v/>
      </c>
      <c r="GPB48" s="84" t="str">
        <f>IF(ISNUMBER(outYear),GPB37+GPB42+#REF!+#REF!,"")</f>
        <v/>
      </c>
      <c r="GPC48" s="84" t="str">
        <f>IF(ISNUMBER(outYear),GPC37+GPC42+#REF!+#REF!,"")</f>
        <v/>
      </c>
      <c r="GPD48" s="84" t="str">
        <f>IF(ISNUMBER(outYear),GPD37+GPD42+#REF!+#REF!,"")</f>
        <v/>
      </c>
      <c r="GPE48" s="84" t="str">
        <f>IF(ISNUMBER(outYear),GPE37+GPE42+#REF!+#REF!,"")</f>
        <v/>
      </c>
      <c r="GPF48" s="84" t="str">
        <f>IF(ISNUMBER(outYear),GPF37+GPF42+#REF!+#REF!,"")</f>
        <v/>
      </c>
      <c r="GPG48" s="84" t="str">
        <f>IF(ISNUMBER(outYear),GPG37+GPG42+#REF!+#REF!,"")</f>
        <v/>
      </c>
      <c r="GPH48" s="84" t="str">
        <f>IF(ISNUMBER(outYear),GPH37+GPH42+#REF!+#REF!,"")</f>
        <v/>
      </c>
      <c r="GPI48" s="84" t="str">
        <f>IF(ISNUMBER(outYear),GPI37+GPI42+#REF!+#REF!,"")</f>
        <v/>
      </c>
      <c r="GPJ48" s="84" t="str">
        <f>IF(ISNUMBER(outYear),GPJ37+GPJ42+#REF!+#REF!,"")</f>
        <v/>
      </c>
      <c r="GPK48" s="84" t="str">
        <f>IF(ISNUMBER(outYear),GPK37+GPK42+#REF!+#REF!,"")</f>
        <v/>
      </c>
      <c r="GPL48" s="84" t="str">
        <f>IF(ISNUMBER(outYear),GPL37+GPL42+#REF!+#REF!,"")</f>
        <v/>
      </c>
      <c r="GPM48" s="84" t="str">
        <f>IF(ISNUMBER(outYear),GPM37+GPM42+#REF!+#REF!,"")</f>
        <v/>
      </c>
      <c r="GPN48" s="84" t="str">
        <f>IF(ISNUMBER(outYear),GPN37+GPN42+#REF!+#REF!,"")</f>
        <v/>
      </c>
      <c r="GPO48" s="84" t="str">
        <f>IF(ISNUMBER(outYear),GPO37+GPO42+#REF!+#REF!,"")</f>
        <v/>
      </c>
      <c r="GPP48" s="84" t="str">
        <f>IF(ISNUMBER(outYear),GPP37+GPP42+#REF!+#REF!,"")</f>
        <v/>
      </c>
      <c r="GPQ48" s="84" t="str">
        <f>IF(ISNUMBER(outYear),GPQ37+GPQ42+#REF!+#REF!,"")</f>
        <v/>
      </c>
      <c r="GPR48" s="84" t="str">
        <f>IF(ISNUMBER(outYear),GPR37+GPR42+#REF!+#REF!,"")</f>
        <v/>
      </c>
      <c r="GPS48" s="84" t="str">
        <f>IF(ISNUMBER(outYear),GPS37+GPS42+#REF!+#REF!,"")</f>
        <v/>
      </c>
      <c r="GPT48" s="84" t="str">
        <f>IF(ISNUMBER(outYear),GPT37+GPT42+#REF!+#REF!,"")</f>
        <v/>
      </c>
      <c r="GPU48" s="84" t="str">
        <f>IF(ISNUMBER(outYear),GPU37+GPU42+#REF!+#REF!,"")</f>
        <v/>
      </c>
      <c r="GPV48" s="84" t="str">
        <f>IF(ISNUMBER(outYear),GPV37+GPV42+#REF!+#REF!,"")</f>
        <v/>
      </c>
      <c r="GPW48" s="84" t="str">
        <f>IF(ISNUMBER(outYear),GPW37+GPW42+#REF!+#REF!,"")</f>
        <v/>
      </c>
      <c r="GPX48" s="84" t="str">
        <f>IF(ISNUMBER(outYear),GPX37+GPX42+#REF!+#REF!,"")</f>
        <v/>
      </c>
      <c r="GPY48" s="84" t="str">
        <f>IF(ISNUMBER(outYear),GPY37+GPY42+#REF!+#REF!,"")</f>
        <v/>
      </c>
      <c r="GPZ48" s="84" t="str">
        <f>IF(ISNUMBER(outYear),GPZ37+GPZ42+#REF!+#REF!,"")</f>
        <v/>
      </c>
      <c r="GQA48" s="84" t="str">
        <f>IF(ISNUMBER(outYear),GQA37+GQA42+#REF!+#REF!,"")</f>
        <v/>
      </c>
      <c r="GQB48" s="84" t="str">
        <f>IF(ISNUMBER(outYear),GQB37+GQB42+#REF!+#REF!,"")</f>
        <v/>
      </c>
      <c r="GQC48" s="84" t="str">
        <f>IF(ISNUMBER(outYear),GQC37+GQC42+#REF!+#REF!,"")</f>
        <v/>
      </c>
      <c r="GQD48" s="84" t="str">
        <f>IF(ISNUMBER(outYear),GQD37+GQD42+#REF!+#REF!,"")</f>
        <v/>
      </c>
      <c r="GQE48" s="84" t="str">
        <f>IF(ISNUMBER(outYear),GQE37+GQE42+#REF!+#REF!,"")</f>
        <v/>
      </c>
      <c r="GQF48" s="84" t="str">
        <f>IF(ISNUMBER(outYear),GQF37+GQF42+#REF!+#REF!,"")</f>
        <v/>
      </c>
      <c r="GQG48" s="84" t="str">
        <f>IF(ISNUMBER(outYear),GQG37+GQG42+#REF!+#REF!,"")</f>
        <v/>
      </c>
      <c r="GQH48" s="84" t="str">
        <f>IF(ISNUMBER(outYear),GQH37+GQH42+#REF!+#REF!,"")</f>
        <v/>
      </c>
      <c r="GQI48" s="84" t="str">
        <f>IF(ISNUMBER(outYear),GQI37+GQI42+#REF!+#REF!,"")</f>
        <v/>
      </c>
      <c r="GQJ48" s="84" t="str">
        <f>IF(ISNUMBER(outYear),GQJ37+GQJ42+#REF!+#REF!,"")</f>
        <v/>
      </c>
      <c r="GQK48" s="84" t="str">
        <f>IF(ISNUMBER(outYear),GQK37+GQK42+#REF!+#REF!,"")</f>
        <v/>
      </c>
      <c r="GQL48" s="84" t="str">
        <f>IF(ISNUMBER(outYear),GQL37+GQL42+#REF!+#REF!,"")</f>
        <v/>
      </c>
      <c r="GQM48" s="84" t="str">
        <f>IF(ISNUMBER(outYear),GQM37+GQM42+#REF!+#REF!,"")</f>
        <v/>
      </c>
      <c r="GQN48" s="84" t="str">
        <f>IF(ISNUMBER(outYear),GQN37+GQN42+#REF!+#REF!,"")</f>
        <v/>
      </c>
      <c r="GQO48" s="84" t="str">
        <f>IF(ISNUMBER(outYear),GQO37+GQO42+#REF!+#REF!,"")</f>
        <v/>
      </c>
      <c r="GQP48" s="84" t="str">
        <f>IF(ISNUMBER(outYear),GQP37+GQP42+#REF!+#REF!,"")</f>
        <v/>
      </c>
      <c r="GQQ48" s="84" t="str">
        <f>IF(ISNUMBER(outYear),GQQ37+GQQ42+#REF!+#REF!,"")</f>
        <v/>
      </c>
      <c r="GQR48" s="84" t="str">
        <f>IF(ISNUMBER(outYear),GQR37+GQR42+#REF!+#REF!,"")</f>
        <v/>
      </c>
      <c r="GQS48" s="84" t="str">
        <f>IF(ISNUMBER(outYear),GQS37+GQS42+#REF!+#REF!,"")</f>
        <v/>
      </c>
      <c r="GQT48" s="84" t="str">
        <f>IF(ISNUMBER(outYear),GQT37+GQT42+#REF!+#REF!,"")</f>
        <v/>
      </c>
      <c r="GQU48" s="84" t="str">
        <f>IF(ISNUMBER(outYear),GQU37+GQU42+#REF!+#REF!,"")</f>
        <v/>
      </c>
      <c r="GQV48" s="84" t="str">
        <f>IF(ISNUMBER(outYear),GQV37+GQV42+#REF!+#REF!,"")</f>
        <v/>
      </c>
      <c r="GQW48" s="84" t="str">
        <f>IF(ISNUMBER(outYear),GQW37+GQW42+#REF!+#REF!,"")</f>
        <v/>
      </c>
      <c r="GQX48" s="84" t="str">
        <f>IF(ISNUMBER(outYear),GQX37+GQX42+#REF!+#REF!,"")</f>
        <v/>
      </c>
      <c r="GQY48" s="84" t="str">
        <f>IF(ISNUMBER(outYear),GQY37+GQY42+#REF!+#REF!,"")</f>
        <v/>
      </c>
      <c r="GQZ48" s="84" t="str">
        <f>IF(ISNUMBER(outYear),GQZ37+GQZ42+#REF!+#REF!,"")</f>
        <v/>
      </c>
      <c r="GRA48" s="84" t="str">
        <f>IF(ISNUMBER(outYear),GRA37+GRA42+#REF!+#REF!,"")</f>
        <v/>
      </c>
      <c r="GRB48" s="84" t="str">
        <f>IF(ISNUMBER(outYear),GRB37+GRB42+#REF!+#REF!,"")</f>
        <v/>
      </c>
      <c r="GRC48" s="84" t="str">
        <f>IF(ISNUMBER(outYear),GRC37+GRC42+#REF!+#REF!,"")</f>
        <v/>
      </c>
      <c r="GRD48" s="84" t="str">
        <f>IF(ISNUMBER(outYear),GRD37+GRD42+#REF!+#REF!,"")</f>
        <v/>
      </c>
      <c r="GRE48" s="84" t="str">
        <f>IF(ISNUMBER(outYear),GRE37+GRE42+#REF!+#REF!,"")</f>
        <v/>
      </c>
      <c r="GRF48" s="84" t="str">
        <f>IF(ISNUMBER(outYear),GRF37+GRF42+#REF!+#REF!,"")</f>
        <v/>
      </c>
      <c r="GRG48" s="84" t="str">
        <f>IF(ISNUMBER(outYear),GRG37+GRG42+#REF!+#REF!,"")</f>
        <v/>
      </c>
      <c r="GRH48" s="84" t="str">
        <f>IF(ISNUMBER(outYear),GRH37+GRH42+#REF!+#REF!,"")</f>
        <v/>
      </c>
      <c r="GRI48" s="84" t="str">
        <f>IF(ISNUMBER(outYear),GRI37+GRI42+#REF!+#REF!,"")</f>
        <v/>
      </c>
      <c r="GRJ48" s="84" t="str">
        <f>IF(ISNUMBER(outYear),GRJ37+GRJ42+#REF!+#REF!,"")</f>
        <v/>
      </c>
      <c r="GRK48" s="84" t="str">
        <f>IF(ISNUMBER(outYear),GRK37+GRK42+#REF!+#REF!,"")</f>
        <v/>
      </c>
      <c r="GRL48" s="84" t="str">
        <f>IF(ISNUMBER(outYear),GRL37+GRL42+#REF!+#REF!,"")</f>
        <v/>
      </c>
      <c r="GRM48" s="84" t="str">
        <f>IF(ISNUMBER(outYear),GRM37+GRM42+#REF!+#REF!,"")</f>
        <v/>
      </c>
      <c r="GRN48" s="84" t="str">
        <f>IF(ISNUMBER(outYear),GRN37+GRN42+#REF!+#REF!,"")</f>
        <v/>
      </c>
      <c r="GRO48" s="84" t="str">
        <f>IF(ISNUMBER(outYear),GRO37+GRO42+#REF!+#REF!,"")</f>
        <v/>
      </c>
      <c r="GRP48" s="84" t="str">
        <f>IF(ISNUMBER(outYear),GRP37+GRP42+#REF!+#REF!,"")</f>
        <v/>
      </c>
      <c r="GRQ48" s="84" t="str">
        <f>IF(ISNUMBER(outYear),GRQ37+GRQ42+#REF!+#REF!,"")</f>
        <v/>
      </c>
      <c r="GRR48" s="84" t="str">
        <f>IF(ISNUMBER(outYear),GRR37+GRR42+#REF!+#REF!,"")</f>
        <v/>
      </c>
      <c r="GRS48" s="84" t="str">
        <f>IF(ISNUMBER(outYear),GRS37+GRS42+#REF!+#REF!,"")</f>
        <v/>
      </c>
      <c r="GRT48" s="84" t="str">
        <f>IF(ISNUMBER(outYear),GRT37+GRT42+#REF!+#REF!,"")</f>
        <v/>
      </c>
      <c r="GRU48" s="84" t="str">
        <f>IF(ISNUMBER(outYear),GRU37+GRU42+#REF!+#REF!,"")</f>
        <v/>
      </c>
      <c r="GRV48" s="84" t="str">
        <f>IF(ISNUMBER(outYear),GRV37+GRV42+#REF!+#REF!,"")</f>
        <v/>
      </c>
      <c r="GRW48" s="84" t="str">
        <f>IF(ISNUMBER(outYear),GRW37+GRW42+#REF!+#REF!,"")</f>
        <v/>
      </c>
      <c r="GRX48" s="84" t="str">
        <f>IF(ISNUMBER(outYear),GRX37+GRX42+#REF!+#REF!,"")</f>
        <v/>
      </c>
      <c r="GRY48" s="84" t="str">
        <f>IF(ISNUMBER(outYear),GRY37+GRY42+#REF!+#REF!,"")</f>
        <v/>
      </c>
      <c r="GRZ48" s="84" t="str">
        <f>IF(ISNUMBER(outYear),GRZ37+GRZ42+#REF!+#REF!,"")</f>
        <v/>
      </c>
      <c r="GSA48" s="84" t="str">
        <f>IF(ISNUMBER(outYear),GSA37+GSA42+#REF!+#REF!,"")</f>
        <v/>
      </c>
      <c r="GSB48" s="84" t="str">
        <f>IF(ISNUMBER(outYear),GSB37+GSB42+#REF!+#REF!,"")</f>
        <v/>
      </c>
      <c r="GSC48" s="84" t="str">
        <f>IF(ISNUMBER(outYear),GSC37+GSC42+#REF!+#REF!,"")</f>
        <v/>
      </c>
      <c r="GSD48" s="84" t="str">
        <f>IF(ISNUMBER(outYear),GSD37+GSD42+#REF!+#REF!,"")</f>
        <v/>
      </c>
      <c r="GSE48" s="84" t="str">
        <f>IF(ISNUMBER(outYear),GSE37+GSE42+#REF!+#REF!,"")</f>
        <v/>
      </c>
      <c r="GSF48" s="84" t="str">
        <f>IF(ISNUMBER(outYear),GSF37+GSF42+#REF!+#REF!,"")</f>
        <v/>
      </c>
      <c r="GSG48" s="84" t="str">
        <f>IF(ISNUMBER(outYear),GSG37+GSG42+#REF!+#REF!,"")</f>
        <v/>
      </c>
      <c r="GSH48" s="84" t="str">
        <f>IF(ISNUMBER(outYear),GSH37+GSH42+#REF!+#REF!,"")</f>
        <v/>
      </c>
      <c r="GSI48" s="84" t="str">
        <f>IF(ISNUMBER(outYear),GSI37+GSI42+#REF!+#REF!,"")</f>
        <v/>
      </c>
      <c r="GSJ48" s="84" t="str">
        <f>IF(ISNUMBER(outYear),GSJ37+GSJ42+#REF!+#REF!,"")</f>
        <v/>
      </c>
      <c r="GSK48" s="84" t="str">
        <f>IF(ISNUMBER(outYear),GSK37+GSK42+#REF!+#REF!,"")</f>
        <v/>
      </c>
      <c r="GSL48" s="84" t="str">
        <f>IF(ISNUMBER(outYear),GSL37+GSL42+#REF!+#REF!,"")</f>
        <v/>
      </c>
      <c r="GSM48" s="84" t="str">
        <f>IF(ISNUMBER(outYear),GSM37+GSM42+#REF!+#REF!,"")</f>
        <v/>
      </c>
      <c r="GSN48" s="84" t="str">
        <f>IF(ISNUMBER(outYear),GSN37+GSN42+#REF!+#REF!,"")</f>
        <v/>
      </c>
      <c r="GSO48" s="84" t="str">
        <f>IF(ISNUMBER(outYear),GSO37+GSO42+#REF!+#REF!,"")</f>
        <v/>
      </c>
      <c r="GSP48" s="84" t="str">
        <f>IF(ISNUMBER(outYear),GSP37+GSP42+#REF!+#REF!,"")</f>
        <v/>
      </c>
      <c r="GSQ48" s="84" t="str">
        <f>IF(ISNUMBER(outYear),GSQ37+GSQ42+#REF!+#REF!,"")</f>
        <v/>
      </c>
      <c r="GSR48" s="84" t="str">
        <f>IF(ISNUMBER(outYear),GSR37+GSR42+#REF!+#REF!,"")</f>
        <v/>
      </c>
      <c r="GSS48" s="84" t="str">
        <f>IF(ISNUMBER(outYear),GSS37+GSS42+#REF!+#REF!,"")</f>
        <v/>
      </c>
      <c r="GST48" s="84" t="str">
        <f>IF(ISNUMBER(outYear),GST37+GST42+#REF!+#REF!,"")</f>
        <v/>
      </c>
      <c r="GSU48" s="84" t="str">
        <f>IF(ISNUMBER(outYear),GSU37+GSU42+#REF!+#REF!,"")</f>
        <v/>
      </c>
      <c r="GSV48" s="84" t="str">
        <f>IF(ISNUMBER(outYear),GSV37+GSV42+#REF!+#REF!,"")</f>
        <v/>
      </c>
      <c r="GSW48" s="84" t="str">
        <f>IF(ISNUMBER(outYear),GSW37+GSW42+#REF!+#REF!,"")</f>
        <v/>
      </c>
      <c r="GSX48" s="84" t="str">
        <f>IF(ISNUMBER(outYear),GSX37+GSX42+#REF!+#REF!,"")</f>
        <v/>
      </c>
      <c r="GSY48" s="84" t="str">
        <f>IF(ISNUMBER(outYear),GSY37+GSY42+#REF!+#REF!,"")</f>
        <v/>
      </c>
      <c r="GSZ48" s="84" t="str">
        <f>IF(ISNUMBER(outYear),GSZ37+GSZ42+#REF!+#REF!,"")</f>
        <v/>
      </c>
      <c r="GTA48" s="84" t="str">
        <f>IF(ISNUMBER(outYear),GTA37+GTA42+#REF!+#REF!,"")</f>
        <v/>
      </c>
      <c r="GTB48" s="84" t="str">
        <f>IF(ISNUMBER(outYear),GTB37+GTB42+#REF!+#REF!,"")</f>
        <v/>
      </c>
      <c r="GTC48" s="84" t="str">
        <f>IF(ISNUMBER(outYear),GTC37+GTC42+#REF!+#REF!,"")</f>
        <v/>
      </c>
      <c r="GTD48" s="84" t="str">
        <f>IF(ISNUMBER(outYear),GTD37+GTD42+#REF!+#REF!,"")</f>
        <v/>
      </c>
      <c r="GTE48" s="84" t="str">
        <f>IF(ISNUMBER(outYear),GTE37+GTE42+#REF!+#REF!,"")</f>
        <v/>
      </c>
      <c r="GTF48" s="84" t="str">
        <f>IF(ISNUMBER(outYear),GTF37+GTF42+#REF!+#REF!,"")</f>
        <v/>
      </c>
      <c r="GTG48" s="84" t="str">
        <f>IF(ISNUMBER(outYear),GTG37+GTG42+#REF!+#REF!,"")</f>
        <v/>
      </c>
      <c r="GTH48" s="84" t="str">
        <f>IF(ISNUMBER(outYear),GTH37+GTH42+#REF!+#REF!,"")</f>
        <v/>
      </c>
      <c r="GTI48" s="84" t="str">
        <f>IF(ISNUMBER(outYear),GTI37+GTI42+#REF!+#REF!,"")</f>
        <v/>
      </c>
      <c r="GTJ48" s="84" t="str">
        <f>IF(ISNUMBER(outYear),GTJ37+GTJ42+#REF!+#REF!,"")</f>
        <v/>
      </c>
      <c r="GTK48" s="84" t="str">
        <f>IF(ISNUMBER(outYear),GTK37+GTK42+#REF!+#REF!,"")</f>
        <v/>
      </c>
      <c r="GTL48" s="84" t="str">
        <f>IF(ISNUMBER(outYear),GTL37+GTL42+#REF!+#REF!,"")</f>
        <v/>
      </c>
      <c r="GTM48" s="84" t="str">
        <f>IF(ISNUMBER(outYear),GTM37+GTM42+#REF!+#REF!,"")</f>
        <v/>
      </c>
      <c r="GTN48" s="84" t="str">
        <f>IF(ISNUMBER(outYear),GTN37+GTN42+#REF!+#REF!,"")</f>
        <v/>
      </c>
      <c r="GTO48" s="84" t="str">
        <f>IF(ISNUMBER(outYear),GTO37+GTO42+#REF!+#REF!,"")</f>
        <v/>
      </c>
      <c r="GTP48" s="84" t="str">
        <f>IF(ISNUMBER(outYear),GTP37+GTP42+#REF!+#REF!,"")</f>
        <v/>
      </c>
      <c r="GTQ48" s="84" t="str">
        <f>IF(ISNUMBER(outYear),GTQ37+GTQ42+#REF!+#REF!,"")</f>
        <v/>
      </c>
      <c r="GTR48" s="84" t="str">
        <f>IF(ISNUMBER(outYear),GTR37+GTR42+#REF!+#REF!,"")</f>
        <v/>
      </c>
      <c r="GTS48" s="84" t="str">
        <f>IF(ISNUMBER(outYear),GTS37+GTS42+#REF!+#REF!,"")</f>
        <v/>
      </c>
      <c r="GTT48" s="84" t="str">
        <f>IF(ISNUMBER(outYear),GTT37+GTT42+#REF!+#REF!,"")</f>
        <v/>
      </c>
      <c r="GTU48" s="84" t="str">
        <f>IF(ISNUMBER(outYear),GTU37+GTU42+#REF!+#REF!,"")</f>
        <v/>
      </c>
      <c r="GTV48" s="84" t="str">
        <f>IF(ISNUMBER(outYear),GTV37+GTV42+#REF!+#REF!,"")</f>
        <v/>
      </c>
      <c r="GTW48" s="84" t="str">
        <f>IF(ISNUMBER(outYear),GTW37+GTW42+#REF!+#REF!,"")</f>
        <v/>
      </c>
      <c r="GTX48" s="84" t="str">
        <f>IF(ISNUMBER(outYear),GTX37+GTX42+#REF!+#REF!,"")</f>
        <v/>
      </c>
      <c r="GTY48" s="84" t="str">
        <f>IF(ISNUMBER(outYear),GTY37+GTY42+#REF!+#REF!,"")</f>
        <v/>
      </c>
      <c r="GTZ48" s="84" t="str">
        <f>IF(ISNUMBER(outYear),GTZ37+GTZ42+#REF!+#REF!,"")</f>
        <v/>
      </c>
      <c r="GUA48" s="84" t="str">
        <f>IF(ISNUMBER(outYear),GUA37+GUA42+#REF!+#REF!,"")</f>
        <v/>
      </c>
      <c r="GUB48" s="84" t="str">
        <f>IF(ISNUMBER(outYear),GUB37+GUB42+#REF!+#REF!,"")</f>
        <v/>
      </c>
      <c r="GUC48" s="84" t="str">
        <f>IF(ISNUMBER(outYear),GUC37+GUC42+#REF!+#REF!,"")</f>
        <v/>
      </c>
      <c r="GUD48" s="84" t="str">
        <f>IF(ISNUMBER(outYear),GUD37+GUD42+#REF!+#REF!,"")</f>
        <v/>
      </c>
      <c r="GUE48" s="84" t="str">
        <f>IF(ISNUMBER(outYear),GUE37+GUE42+#REF!+#REF!,"")</f>
        <v/>
      </c>
      <c r="GUF48" s="84" t="str">
        <f>IF(ISNUMBER(outYear),GUF37+GUF42+#REF!+#REF!,"")</f>
        <v/>
      </c>
      <c r="GUG48" s="84" t="str">
        <f>IF(ISNUMBER(outYear),GUG37+GUG42+#REF!+#REF!,"")</f>
        <v/>
      </c>
      <c r="GUH48" s="84" t="str">
        <f>IF(ISNUMBER(outYear),GUH37+GUH42+#REF!+#REF!,"")</f>
        <v/>
      </c>
      <c r="GUI48" s="84" t="str">
        <f>IF(ISNUMBER(outYear),GUI37+GUI42+#REF!+#REF!,"")</f>
        <v/>
      </c>
      <c r="GUJ48" s="84" t="str">
        <f>IF(ISNUMBER(outYear),GUJ37+GUJ42+#REF!+#REF!,"")</f>
        <v/>
      </c>
      <c r="GUK48" s="84" t="str">
        <f>IF(ISNUMBER(outYear),GUK37+GUK42+#REF!+#REF!,"")</f>
        <v/>
      </c>
      <c r="GUL48" s="84" t="str">
        <f>IF(ISNUMBER(outYear),GUL37+GUL42+#REF!+#REF!,"")</f>
        <v/>
      </c>
      <c r="GUM48" s="84" t="str">
        <f>IF(ISNUMBER(outYear),GUM37+GUM42+#REF!+#REF!,"")</f>
        <v/>
      </c>
      <c r="GUN48" s="84" t="str">
        <f>IF(ISNUMBER(outYear),GUN37+GUN42+#REF!+#REF!,"")</f>
        <v/>
      </c>
      <c r="GUO48" s="84" t="str">
        <f>IF(ISNUMBER(outYear),GUO37+GUO42+#REF!+#REF!,"")</f>
        <v/>
      </c>
      <c r="GUP48" s="84" t="str">
        <f>IF(ISNUMBER(outYear),GUP37+GUP42+#REF!+#REF!,"")</f>
        <v/>
      </c>
      <c r="GUQ48" s="84" t="str">
        <f>IF(ISNUMBER(outYear),GUQ37+GUQ42+#REF!+#REF!,"")</f>
        <v/>
      </c>
      <c r="GUR48" s="84" t="str">
        <f>IF(ISNUMBER(outYear),GUR37+GUR42+#REF!+#REF!,"")</f>
        <v/>
      </c>
      <c r="GUS48" s="84" t="str">
        <f>IF(ISNUMBER(outYear),GUS37+GUS42+#REF!+#REF!,"")</f>
        <v/>
      </c>
      <c r="GUT48" s="84" t="str">
        <f>IF(ISNUMBER(outYear),GUT37+GUT42+#REF!+#REF!,"")</f>
        <v/>
      </c>
      <c r="GUU48" s="84" t="str">
        <f>IF(ISNUMBER(outYear),GUU37+GUU42+#REF!+#REF!,"")</f>
        <v/>
      </c>
      <c r="GUV48" s="84" t="str">
        <f>IF(ISNUMBER(outYear),GUV37+GUV42+#REF!+#REF!,"")</f>
        <v/>
      </c>
      <c r="GUW48" s="84" t="str">
        <f>IF(ISNUMBER(outYear),GUW37+GUW42+#REF!+#REF!,"")</f>
        <v/>
      </c>
      <c r="GUX48" s="84" t="str">
        <f>IF(ISNUMBER(outYear),GUX37+GUX42+#REF!+#REF!,"")</f>
        <v/>
      </c>
      <c r="GUY48" s="84" t="str">
        <f>IF(ISNUMBER(outYear),GUY37+GUY42+#REF!+#REF!,"")</f>
        <v/>
      </c>
      <c r="GUZ48" s="84" t="str">
        <f>IF(ISNUMBER(outYear),GUZ37+GUZ42+#REF!+#REF!,"")</f>
        <v/>
      </c>
      <c r="GVA48" s="84" t="str">
        <f>IF(ISNUMBER(outYear),GVA37+GVA42+#REF!+#REF!,"")</f>
        <v/>
      </c>
      <c r="GVB48" s="84" t="str">
        <f>IF(ISNUMBER(outYear),GVB37+GVB42+#REF!+#REF!,"")</f>
        <v/>
      </c>
      <c r="GVC48" s="84" t="str">
        <f>IF(ISNUMBER(outYear),GVC37+GVC42+#REF!+#REF!,"")</f>
        <v/>
      </c>
      <c r="GVD48" s="84" t="str">
        <f>IF(ISNUMBER(outYear),GVD37+GVD42+#REF!+#REF!,"")</f>
        <v/>
      </c>
      <c r="GVE48" s="84" t="str">
        <f>IF(ISNUMBER(outYear),GVE37+GVE42+#REF!+#REF!,"")</f>
        <v/>
      </c>
      <c r="GVF48" s="84" t="str">
        <f>IF(ISNUMBER(outYear),GVF37+GVF42+#REF!+#REF!,"")</f>
        <v/>
      </c>
      <c r="GVG48" s="84" t="str">
        <f>IF(ISNUMBER(outYear),GVG37+GVG42+#REF!+#REF!,"")</f>
        <v/>
      </c>
      <c r="GVH48" s="84" t="str">
        <f>IF(ISNUMBER(outYear),GVH37+GVH42+#REF!+#REF!,"")</f>
        <v/>
      </c>
      <c r="GVI48" s="84" t="str">
        <f>IF(ISNUMBER(outYear),GVI37+GVI42+#REF!+#REF!,"")</f>
        <v/>
      </c>
      <c r="GVJ48" s="84" t="str">
        <f>IF(ISNUMBER(outYear),GVJ37+GVJ42+#REF!+#REF!,"")</f>
        <v/>
      </c>
      <c r="GVK48" s="84" t="str">
        <f>IF(ISNUMBER(outYear),GVK37+GVK42+#REF!+#REF!,"")</f>
        <v/>
      </c>
      <c r="GVL48" s="84" t="str">
        <f>IF(ISNUMBER(outYear),GVL37+GVL42+#REF!+#REF!,"")</f>
        <v/>
      </c>
      <c r="GVM48" s="84" t="str">
        <f>IF(ISNUMBER(outYear),GVM37+GVM42+#REF!+#REF!,"")</f>
        <v/>
      </c>
      <c r="GVN48" s="84" t="str">
        <f>IF(ISNUMBER(outYear),GVN37+GVN42+#REF!+#REF!,"")</f>
        <v/>
      </c>
      <c r="GVO48" s="84" t="str">
        <f>IF(ISNUMBER(outYear),GVO37+GVO42+#REF!+#REF!,"")</f>
        <v/>
      </c>
      <c r="GVP48" s="84" t="str">
        <f>IF(ISNUMBER(outYear),GVP37+GVP42+#REF!+#REF!,"")</f>
        <v/>
      </c>
      <c r="GVQ48" s="84" t="str">
        <f>IF(ISNUMBER(outYear),GVQ37+GVQ42+#REF!+#REF!,"")</f>
        <v/>
      </c>
      <c r="GVR48" s="84" t="str">
        <f>IF(ISNUMBER(outYear),GVR37+GVR42+#REF!+#REF!,"")</f>
        <v/>
      </c>
      <c r="GVS48" s="84" t="str">
        <f>IF(ISNUMBER(outYear),GVS37+GVS42+#REF!+#REF!,"")</f>
        <v/>
      </c>
      <c r="GVT48" s="84" t="str">
        <f>IF(ISNUMBER(outYear),GVT37+GVT42+#REF!+#REF!,"")</f>
        <v/>
      </c>
      <c r="GVU48" s="84" t="str">
        <f>IF(ISNUMBER(outYear),GVU37+GVU42+#REF!+#REF!,"")</f>
        <v/>
      </c>
      <c r="GVV48" s="84" t="str">
        <f>IF(ISNUMBER(outYear),GVV37+GVV42+#REF!+#REF!,"")</f>
        <v/>
      </c>
      <c r="GVW48" s="84" t="str">
        <f>IF(ISNUMBER(outYear),GVW37+GVW42+#REF!+#REF!,"")</f>
        <v/>
      </c>
      <c r="GVX48" s="84" t="str">
        <f>IF(ISNUMBER(outYear),GVX37+GVX42+#REF!+#REF!,"")</f>
        <v/>
      </c>
      <c r="GVY48" s="84" t="str">
        <f>IF(ISNUMBER(outYear),GVY37+GVY42+#REF!+#REF!,"")</f>
        <v/>
      </c>
      <c r="GVZ48" s="84" t="str">
        <f>IF(ISNUMBER(outYear),GVZ37+GVZ42+#REF!+#REF!,"")</f>
        <v/>
      </c>
      <c r="GWA48" s="84" t="str">
        <f>IF(ISNUMBER(outYear),GWA37+GWA42+#REF!+#REF!,"")</f>
        <v/>
      </c>
      <c r="GWB48" s="84" t="str">
        <f>IF(ISNUMBER(outYear),GWB37+GWB42+#REF!+#REF!,"")</f>
        <v/>
      </c>
      <c r="GWC48" s="84" t="str">
        <f>IF(ISNUMBER(outYear),GWC37+GWC42+#REF!+#REF!,"")</f>
        <v/>
      </c>
      <c r="GWD48" s="84" t="str">
        <f>IF(ISNUMBER(outYear),GWD37+GWD42+#REF!+#REF!,"")</f>
        <v/>
      </c>
      <c r="GWE48" s="84" t="str">
        <f>IF(ISNUMBER(outYear),GWE37+GWE42+#REF!+#REF!,"")</f>
        <v/>
      </c>
      <c r="GWF48" s="84" t="str">
        <f>IF(ISNUMBER(outYear),GWF37+GWF42+#REF!+#REF!,"")</f>
        <v/>
      </c>
      <c r="GWG48" s="84" t="str">
        <f>IF(ISNUMBER(outYear),GWG37+GWG42+#REF!+#REF!,"")</f>
        <v/>
      </c>
      <c r="GWH48" s="84" t="str">
        <f>IF(ISNUMBER(outYear),GWH37+GWH42+#REF!+#REF!,"")</f>
        <v/>
      </c>
      <c r="GWI48" s="84" t="str">
        <f>IF(ISNUMBER(outYear),GWI37+GWI42+#REF!+#REF!,"")</f>
        <v/>
      </c>
      <c r="GWJ48" s="84" t="str">
        <f>IF(ISNUMBER(outYear),GWJ37+GWJ42+#REF!+#REF!,"")</f>
        <v/>
      </c>
      <c r="GWK48" s="84" t="str">
        <f>IF(ISNUMBER(outYear),GWK37+GWK42+#REF!+#REF!,"")</f>
        <v/>
      </c>
      <c r="GWL48" s="84" t="str">
        <f>IF(ISNUMBER(outYear),GWL37+GWL42+#REF!+#REF!,"")</f>
        <v/>
      </c>
      <c r="GWM48" s="84" t="str">
        <f>IF(ISNUMBER(outYear),GWM37+GWM42+#REF!+#REF!,"")</f>
        <v/>
      </c>
      <c r="GWN48" s="84" t="str">
        <f>IF(ISNUMBER(outYear),GWN37+GWN42+#REF!+#REF!,"")</f>
        <v/>
      </c>
      <c r="GWO48" s="84" t="str">
        <f>IF(ISNUMBER(outYear),GWO37+GWO42+#REF!+#REF!,"")</f>
        <v/>
      </c>
      <c r="GWP48" s="84" t="str">
        <f>IF(ISNUMBER(outYear),GWP37+GWP42+#REF!+#REF!,"")</f>
        <v/>
      </c>
      <c r="GWQ48" s="84" t="str">
        <f>IF(ISNUMBER(outYear),GWQ37+GWQ42+#REF!+#REF!,"")</f>
        <v/>
      </c>
      <c r="GWR48" s="84" t="str">
        <f>IF(ISNUMBER(outYear),GWR37+GWR42+#REF!+#REF!,"")</f>
        <v/>
      </c>
      <c r="GWS48" s="84" t="str">
        <f>IF(ISNUMBER(outYear),GWS37+GWS42+#REF!+#REF!,"")</f>
        <v/>
      </c>
      <c r="GWT48" s="84" t="str">
        <f>IF(ISNUMBER(outYear),GWT37+GWT42+#REF!+#REF!,"")</f>
        <v/>
      </c>
      <c r="GWU48" s="84" t="str">
        <f>IF(ISNUMBER(outYear),GWU37+GWU42+#REF!+#REF!,"")</f>
        <v/>
      </c>
      <c r="GWV48" s="84" t="str">
        <f>IF(ISNUMBER(outYear),GWV37+GWV42+#REF!+#REF!,"")</f>
        <v/>
      </c>
      <c r="GWW48" s="84" t="str">
        <f>IF(ISNUMBER(outYear),GWW37+GWW42+#REF!+#REF!,"")</f>
        <v/>
      </c>
      <c r="GWX48" s="84" t="str">
        <f>IF(ISNUMBER(outYear),GWX37+GWX42+#REF!+#REF!,"")</f>
        <v/>
      </c>
      <c r="GWY48" s="84" t="str">
        <f>IF(ISNUMBER(outYear),GWY37+GWY42+#REF!+#REF!,"")</f>
        <v/>
      </c>
      <c r="GWZ48" s="84" t="str">
        <f>IF(ISNUMBER(outYear),GWZ37+GWZ42+#REF!+#REF!,"")</f>
        <v/>
      </c>
      <c r="GXA48" s="84" t="str">
        <f>IF(ISNUMBER(outYear),GXA37+GXA42+#REF!+#REF!,"")</f>
        <v/>
      </c>
      <c r="GXB48" s="84" t="str">
        <f>IF(ISNUMBER(outYear),GXB37+GXB42+#REF!+#REF!,"")</f>
        <v/>
      </c>
      <c r="GXC48" s="84" t="str">
        <f>IF(ISNUMBER(outYear),GXC37+GXC42+#REF!+#REF!,"")</f>
        <v/>
      </c>
      <c r="GXD48" s="84" t="str">
        <f>IF(ISNUMBER(outYear),GXD37+GXD42+#REF!+#REF!,"")</f>
        <v/>
      </c>
      <c r="GXE48" s="84" t="str">
        <f>IF(ISNUMBER(outYear),GXE37+GXE42+#REF!+#REF!,"")</f>
        <v/>
      </c>
      <c r="GXF48" s="84" t="str">
        <f>IF(ISNUMBER(outYear),GXF37+GXF42+#REF!+#REF!,"")</f>
        <v/>
      </c>
      <c r="GXG48" s="84" t="str">
        <f>IF(ISNUMBER(outYear),GXG37+GXG42+#REF!+#REF!,"")</f>
        <v/>
      </c>
      <c r="GXH48" s="84" t="str">
        <f>IF(ISNUMBER(outYear),GXH37+GXH42+#REF!+#REF!,"")</f>
        <v/>
      </c>
      <c r="GXI48" s="84" t="str">
        <f>IF(ISNUMBER(outYear),GXI37+GXI42+#REF!+#REF!,"")</f>
        <v/>
      </c>
      <c r="GXJ48" s="84" t="str">
        <f>IF(ISNUMBER(outYear),GXJ37+GXJ42+#REF!+#REF!,"")</f>
        <v/>
      </c>
      <c r="GXK48" s="84" t="str">
        <f>IF(ISNUMBER(outYear),GXK37+GXK42+#REF!+#REF!,"")</f>
        <v/>
      </c>
      <c r="GXL48" s="84" t="str">
        <f>IF(ISNUMBER(outYear),GXL37+GXL42+#REF!+#REF!,"")</f>
        <v/>
      </c>
      <c r="GXM48" s="84" t="str">
        <f>IF(ISNUMBER(outYear),GXM37+GXM42+#REF!+#REF!,"")</f>
        <v/>
      </c>
      <c r="GXN48" s="84" t="str">
        <f>IF(ISNUMBER(outYear),GXN37+GXN42+#REF!+#REF!,"")</f>
        <v/>
      </c>
      <c r="GXO48" s="84" t="str">
        <f>IF(ISNUMBER(outYear),GXO37+GXO42+#REF!+#REF!,"")</f>
        <v/>
      </c>
      <c r="GXP48" s="84" t="str">
        <f>IF(ISNUMBER(outYear),GXP37+GXP42+#REF!+#REF!,"")</f>
        <v/>
      </c>
      <c r="GXQ48" s="84" t="str">
        <f>IF(ISNUMBER(outYear),GXQ37+GXQ42+#REF!+#REF!,"")</f>
        <v/>
      </c>
      <c r="GXR48" s="84" t="str">
        <f>IF(ISNUMBER(outYear),GXR37+GXR42+#REF!+#REF!,"")</f>
        <v/>
      </c>
      <c r="GXS48" s="84" t="str">
        <f>IF(ISNUMBER(outYear),GXS37+GXS42+#REF!+#REF!,"")</f>
        <v/>
      </c>
      <c r="GXT48" s="84" t="str">
        <f>IF(ISNUMBER(outYear),GXT37+GXT42+#REF!+#REF!,"")</f>
        <v/>
      </c>
      <c r="GXU48" s="84" t="str">
        <f>IF(ISNUMBER(outYear),GXU37+GXU42+#REF!+#REF!,"")</f>
        <v/>
      </c>
      <c r="GXV48" s="84" t="str">
        <f>IF(ISNUMBER(outYear),GXV37+GXV42+#REF!+#REF!,"")</f>
        <v/>
      </c>
      <c r="GXW48" s="84" t="str">
        <f>IF(ISNUMBER(outYear),GXW37+GXW42+#REF!+#REF!,"")</f>
        <v/>
      </c>
      <c r="GXX48" s="84" t="str">
        <f>IF(ISNUMBER(outYear),GXX37+GXX42+#REF!+#REF!,"")</f>
        <v/>
      </c>
      <c r="GXY48" s="84" t="str">
        <f>IF(ISNUMBER(outYear),GXY37+GXY42+#REF!+#REF!,"")</f>
        <v/>
      </c>
      <c r="GXZ48" s="84" t="str">
        <f>IF(ISNUMBER(outYear),GXZ37+GXZ42+#REF!+#REF!,"")</f>
        <v/>
      </c>
      <c r="GYA48" s="84" t="str">
        <f>IF(ISNUMBER(outYear),GYA37+GYA42+#REF!+#REF!,"")</f>
        <v/>
      </c>
      <c r="GYB48" s="84" t="str">
        <f>IF(ISNUMBER(outYear),GYB37+GYB42+#REF!+#REF!,"")</f>
        <v/>
      </c>
      <c r="GYC48" s="84" t="str">
        <f>IF(ISNUMBER(outYear),GYC37+GYC42+#REF!+#REF!,"")</f>
        <v/>
      </c>
      <c r="GYD48" s="84" t="str">
        <f>IF(ISNUMBER(outYear),GYD37+GYD42+#REF!+#REF!,"")</f>
        <v/>
      </c>
      <c r="GYE48" s="84" t="str">
        <f>IF(ISNUMBER(outYear),GYE37+GYE42+#REF!+#REF!,"")</f>
        <v/>
      </c>
      <c r="GYF48" s="84" t="str">
        <f>IF(ISNUMBER(outYear),GYF37+GYF42+#REF!+#REF!,"")</f>
        <v/>
      </c>
      <c r="GYG48" s="84" t="str">
        <f>IF(ISNUMBER(outYear),GYG37+GYG42+#REF!+#REF!,"")</f>
        <v/>
      </c>
      <c r="GYH48" s="84" t="str">
        <f>IF(ISNUMBER(outYear),GYH37+GYH42+#REF!+#REF!,"")</f>
        <v/>
      </c>
      <c r="GYI48" s="84" t="str">
        <f>IF(ISNUMBER(outYear),GYI37+GYI42+#REF!+#REF!,"")</f>
        <v/>
      </c>
      <c r="GYJ48" s="84" t="str">
        <f>IF(ISNUMBER(outYear),GYJ37+GYJ42+#REF!+#REF!,"")</f>
        <v/>
      </c>
      <c r="GYK48" s="84" t="str">
        <f>IF(ISNUMBER(outYear),GYK37+GYK42+#REF!+#REF!,"")</f>
        <v/>
      </c>
      <c r="GYL48" s="84" t="str">
        <f>IF(ISNUMBER(outYear),GYL37+GYL42+#REF!+#REF!,"")</f>
        <v/>
      </c>
      <c r="GYM48" s="84" t="str">
        <f>IF(ISNUMBER(outYear),GYM37+GYM42+#REF!+#REF!,"")</f>
        <v/>
      </c>
      <c r="GYN48" s="84" t="str">
        <f>IF(ISNUMBER(outYear),GYN37+GYN42+#REF!+#REF!,"")</f>
        <v/>
      </c>
      <c r="GYO48" s="84" t="str">
        <f>IF(ISNUMBER(outYear),GYO37+GYO42+#REF!+#REF!,"")</f>
        <v/>
      </c>
      <c r="GYP48" s="84" t="str">
        <f>IF(ISNUMBER(outYear),GYP37+GYP42+#REF!+#REF!,"")</f>
        <v/>
      </c>
      <c r="GYQ48" s="84" t="str">
        <f>IF(ISNUMBER(outYear),GYQ37+GYQ42+#REF!+#REF!,"")</f>
        <v/>
      </c>
      <c r="GYR48" s="84" t="str">
        <f>IF(ISNUMBER(outYear),GYR37+GYR42+#REF!+#REF!,"")</f>
        <v/>
      </c>
      <c r="GYS48" s="84" t="str">
        <f>IF(ISNUMBER(outYear),GYS37+GYS42+#REF!+#REF!,"")</f>
        <v/>
      </c>
      <c r="GYT48" s="84" t="str">
        <f>IF(ISNUMBER(outYear),GYT37+GYT42+#REF!+#REF!,"")</f>
        <v/>
      </c>
      <c r="GYU48" s="84" t="str">
        <f>IF(ISNUMBER(outYear),GYU37+GYU42+#REF!+#REF!,"")</f>
        <v/>
      </c>
      <c r="GYV48" s="84" t="str">
        <f>IF(ISNUMBER(outYear),GYV37+GYV42+#REF!+#REF!,"")</f>
        <v/>
      </c>
      <c r="GYW48" s="84" t="str">
        <f>IF(ISNUMBER(outYear),GYW37+GYW42+#REF!+#REF!,"")</f>
        <v/>
      </c>
      <c r="GYX48" s="84" t="str">
        <f>IF(ISNUMBER(outYear),GYX37+GYX42+#REF!+#REF!,"")</f>
        <v/>
      </c>
      <c r="GYY48" s="84" t="str">
        <f>IF(ISNUMBER(outYear),GYY37+GYY42+#REF!+#REF!,"")</f>
        <v/>
      </c>
      <c r="GYZ48" s="84" t="str">
        <f>IF(ISNUMBER(outYear),GYZ37+GYZ42+#REF!+#REF!,"")</f>
        <v/>
      </c>
      <c r="GZA48" s="84" t="str">
        <f>IF(ISNUMBER(outYear),GZA37+GZA42+#REF!+#REF!,"")</f>
        <v/>
      </c>
      <c r="GZB48" s="84" t="str">
        <f>IF(ISNUMBER(outYear),GZB37+GZB42+#REF!+#REF!,"")</f>
        <v/>
      </c>
      <c r="GZC48" s="84" t="str">
        <f>IF(ISNUMBER(outYear),GZC37+GZC42+#REF!+#REF!,"")</f>
        <v/>
      </c>
      <c r="GZD48" s="84" t="str">
        <f>IF(ISNUMBER(outYear),GZD37+GZD42+#REF!+#REF!,"")</f>
        <v/>
      </c>
      <c r="GZE48" s="84" t="str">
        <f>IF(ISNUMBER(outYear),GZE37+GZE42+#REF!+#REF!,"")</f>
        <v/>
      </c>
      <c r="GZF48" s="84" t="str">
        <f>IF(ISNUMBER(outYear),GZF37+GZF42+#REF!+#REF!,"")</f>
        <v/>
      </c>
      <c r="GZG48" s="84" t="str">
        <f>IF(ISNUMBER(outYear),GZG37+GZG42+#REF!+#REF!,"")</f>
        <v/>
      </c>
      <c r="GZH48" s="84" t="str">
        <f>IF(ISNUMBER(outYear),GZH37+GZH42+#REF!+#REF!,"")</f>
        <v/>
      </c>
      <c r="GZI48" s="84" t="str">
        <f>IF(ISNUMBER(outYear),GZI37+GZI42+#REF!+#REF!,"")</f>
        <v/>
      </c>
      <c r="GZJ48" s="84" t="str">
        <f>IF(ISNUMBER(outYear),GZJ37+GZJ42+#REF!+#REF!,"")</f>
        <v/>
      </c>
      <c r="GZK48" s="84" t="str">
        <f>IF(ISNUMBER(outYear),GZK37+GZK42+#REF!+#REF!,"")</f>
        <v/>
      </c>
      <c r="GZL48" s="84" t="str">
        <f>IF(ISNUMBER(outYear),GZL37+GZL42+#REF!+#REF!,"")</f>
        <v/>
      </c>
      <c r="GZM48" s="84" t="str">
        <f>IF(ISNUMBER(outYear),GZM37+GZM42+#REF!+#REF!,"")</f>
        <v/>
      </c>
      <c r="GZN48" s="84" t="str">
        <f>IF(ISNUMBER(outYear),GZN37+GZN42+#REF!+#REF!,"")</f>
        <v/>
      </c>
      <c r="GZO48" s="84" t="str">
        <f>IF(ISNUMBER(outYear),GZO37+GZO42+#REF!+#REF!,"")</f>
        <v/>
      </c>
      <c r="GZP48" s="84" t="str">
        <f>IF(ISNUMBER(outYear),GZP37+GZP42+#REF!+#REF!,"")</f>
        <v/>
      </c>
      <c r="GZQ48" s="84" t="str">
        <f>IF(ISNUMBER(outYear),GZQ37+GZQ42+#REF!+#REF!,"")</f>
        <v/>
      </c>
      <c r="GZR48" s="84" t="str">
        <f>IF(ISNUMBER(outYear),GZR37+GZR42+#REF!+#REF!,"")</f>
        <v/>
      </c>
      <c r="GZS48" s="84" t="str">
        <f>IF(ISNUMBER(outYear),GZS37+GZS42+#REF!+#REF!,"")</f>
        <v/>
      </c>
      <c r="GZT48" s="84" t="str">
        <f>IF(ISNUMBER(outYear),GZT37+GZT42+#REF!+#REF!,"")</f>
        <v/>
      </c>
      <c r="GZU48" s="84" t="str">
        <f>IF(ISNUMBER(outYear),GZU37+GZU42+#REF!+#REF!,"")</f>
        <v/>
      </c>
      <c r="GZV48" s="84" t="str">
        <f>IF(ISNUMBER(outYear),GZV37+GZV42+#REF!+#REF!,"")</f>
        <v/>
      </c>
      <c r="GZW48" s="84" t="str">
        <f>IF(ISNUMBER(outYear),GZW37+GZW42+#REF!+#REF!,"")</f>
        <v/>
      </c>
      <c r="GZX48" s="84" t="str">
        <f>IF(ISNUMBER(outYear),GZX37+GZX42+#REF!+#REF!,"")</f>
        <v/>
      </c>
      <c r="GZY48" s="84" t="str">
        <f>IF(ISNUMBER(outYear),GZY37+GZY42+#REF!+#REF!,"")</f>
        <v/>
      </c>
      <c r="GZZ48" s="84" t="str">
        <f>IF(ISNUMBER(outYear),GZZ37+GZZ42+#REF!+#REF!,"")</f>
        <v/>
      </c>
      <c r="HAA48" s="84" t="str">
        <f>IF(ISNUMBER(outYear),HAA37+HAA42+#REF!+#REF!,"")</f>
        <v/>
      </c>
      <c r="HAB48" s="84" t="str">
        <f>IF(ISNUMBER(outYear),HAB37+HAB42+#REF!+#REF!,"")</f>
        <v/>
      </c>
      <c r="HAC48" s="84" t="str">
        <f>IF(ISNUMBER(outYear),HAC37+HAC42+#REF!+#REF!,"")</f>
        <v/>
      </c>
      <c r="HAD48" s="84" t="str">
        <f>IF(ISNUMBER(outYear),HAD37+HAD42+#REF!+#REF!,"")</f>
        <v/>
      </c>
      <c r="HAE48" s="84" t="str">
        <f>IF(ISNUMBER(outYear),HAE37+HAE42+#REF!+#REF!,"")</f>
        <v/>
      </c>
      <c r="HAF48" s="84" t="str">
        <f>IF(ISNUMBER(outYear),HAF37+HAF42+#REF!+#REF!,"")</f>
        <v/>
      </c>
      <c r="HAG48" s="84" t="str">
        <f>IF(ISNUMBER(outYear),HAG37+HAG42+#REF!+#REF!,"")</f>
        <v/>
      </c>
      <c r="HAH48" s="84" t="str">
        <f>IF(ISNUMBER(outYear),HAH37+HAH42+#REF!+#REF!,"")</f>
        <v/>
      </c>
      <c r="HAI48" s="84" t="str">
        <f>IF(ISNUMBER(outYear),HAI37+HAI42+#REF!+#REF!,"")</f>
        <v/>
      </c>
      <c r="HAJ48" s="84" t="str">
        <f>IF(ISNUMBER(outYear),HAJ37+HAJ42+#REF!+#REF!,"")</f>
        <v/>
      </c>
      <c r="HAK48" s="84" t="str">
        <f>IF(ISNUMBER(outYear),HAK37+HAK42+#REF!+#REF!,"")</f>
        <v/>
      </c>
      <c r="HAL48" s="84" t="str">
        <f>IF(ISNUMBER(outYear),HAL37+HAL42+#REF!+#REF!,"")</f>
        <v/>
      </c>
      <c r="HAM48" s="84" t="str">
        <f>IF(ISNUMBER(outYear),HAM37+HAM42+#REF!+#REF!,"")</f>
        <v/>
      </c>
      <c r="HAN48" s="84" t="str">
        <f>IF(ISNUMBER(outYear),HAN37+HAN42+#REF!+#REF!,"")</f>
        <v/>
      </c>
      <c r="HAO48" s="84" t="str">
        <f>IF(ISNUMBER(outYear),HAO37+HAO42+#REF!+#REF!,"")</f>
        <v/>
      </c>
      <c r="HAP48" s="84" t="str">
        <f>IF(ISNUMBER(outYear),HAP37+HAP42+#REF!+#REF!,"")</f>
        <v/>
      </c>
      <c r="HAQ48" s="84" t="str">
        <f>IF(ISNUMBER(outYear),HAQ37+HAQ42+#REF!+#REF!,"")</f>
        <v/>
      </c>
      <c r="HAR48" s="84" t="str">
        <f>IF(ISNUMBER(outYear),HAR37+HAR42+#REF!+#REF!,"")</f>
        <v/>
      </c>
      <c r="HAS48" s="84" t="str">
        <f>IF(ISNUMBER(outYear),HAS37+HAS42+#REF!+#REF!,"")</f>
        <v/>
      </c>
      <c r="HAT48" s="84" t="str">
        <f>IF(ISNUMBER(outYear),HAT37+HAT42+#REF!+#REF!,"")</f>
        <v/>
      </c>
      <c r="HAU48" s="84" t="str">
        <f>IF(ISNUMBER(outYear),HAU37+HAU42+#REF!+#REF!,"")</f>
        <v/>
      </c>
      <c r="HAV48" s="84" t="str">
        <f>IF(ISNUMBER(outYear),HAV37+HAV42+#REF!+#REF!,"")</f>
        <v/>
      </c>
      <c r="HAW48" s="84" t="str">
        <f>IF(ISNUMBER(outYear),HAW37+HAW42+#REF!+#REF!,"")</f>
        <v/>
      </c>
      <c r="HAX48" s="84" t="str">
        <f>IF(ISNUMBER(outYear),HAX37+HAX42+#REF!+#REF!,"")</f>
        <v/>
      </c>
      <c r="HAY48" s="84" t="str">
        <f>IF(ISNUMBER(outYear),HAY37+HAY42+#REF!+#REF!,"")</f>
        <v/>
      </c>
      <c r="HAZ48" s="84" t="str">
        <f>IF(ISNUMBER(outYear),HAZ37+HAZ42+#REF!+#REF!,"")</f>
        <v/>
      </c>
      <c r="HBA48" s="84" t="str">
        <f>IF(ISNUMBER(outYear),HBA37+HBA42+#REF!+#REF!,"")</f>
        <v/>
      </c>
      <c r="HBB48" s="84" t="str">
        <f>IF(ISNUMBER(outYear),HBB37+HBB42+#REF!+#REF!,"")</f>
        <v/>
      </c>
      <c r="HBC48" s="84" t="str">
        <f>IF(ISNUMBER(outYear),HBC37+HBC42+#REF!+#REF!,"")</f>
        <v/>
      </c>
      <c r="HBD48" s="84" t="str">
        <f>IF(ISNUMBER(outYear),HBD37+HBD42+#REF!+#REF!,"")</f>
        <v/>
      </c>
      <c r="HBE48" s="84" t="str">
        <f>IF(ISNUMBER(outYear),HBE37+HBE42+#REF!+#REF!,"")</f>
        <v/>
      </c>
      <c r="HBF48" s="84" t="str">
        <f>IF(ISNUMBER(outYear),HBF37+HBF42+#REF!+#REF!,"")</f>
        <v/>
      </c>
      <c r="HBG48" s="84" t="str">
        <f>IF(ISNUMBER(outYear),HBG37+HBG42+#REF!+#REF!,"")</f>
        <v/>
      </c>
      <c r="HBH48" s="84" t="str">
        <f>IF(ISNUMBER(outYear),HBH37+HBH42+#REF!+#REF!,"")</f>
        <v/>
      </c>
      <c r="HBI48" s="84" t="str">
        <f>IF(ISNUMBER(outYear),HBI37+HBI42+#REF!+#REF!,"")</f>
        <v/>
      </c>
      <c r="HBJ48" s="84" t="str">
        <f>IF(ISNUMBER(outYear),HBJ37+HBJ42+#REF!+#REF!,"")</f>
        <v/>
      </c>
      <c r="HBK48" s="84" t="str">
        <f>IF(ISNUMBER(outYear),HBK37+HBK42+#REF!+#REF!,"")</f>
        <v/>
      </c>
      <c r="HBL48" s="84" t="str">
        <f>IF(ISNUMBER(outYear),HBL37+HBL42+#REF!+#REF!,"")</f>
        <v/>
      </c>
      <c r="HBM48" s="84" t="str">
        <f>IF(ISNUMBER(outYear),HBM37+HBM42+#REF!+#REF!,"")</f>
        <v/>
      </c>
      <c r="HBN48" s="84" t="str">
        <f>IF(ISNUMBER(outYear),HBN37+HBN42+#REF!+#REF!,"")</f>
        <v/>
      </c>
      <c r="HBO48" s="84" t="str">
        <f>IF(ISNUMBER(outYear),HBO37+HBO42+#REF!+#REF!,"")</f>
        <v/>
      </c>
      <c r="HBP48" s="84" t="str">
        <f>IF(ISNUMBER(outYear),HBP37+HBP42+#REF!+#REF!,"")</f>
        <v/>
      </c>
      <c r="HBQ48" s="84" t="str">
        <f>IF(ISNUMBER(outYear),HBQ37+HBQ42+#REF!+#REF!,"")</f>
        <v/>
      </c>
      <c r="HBR48" s="84" t="str">
        <f>IF(ISNUMBER(outYear),HBR37+HBR42+#REF!+#REF!,"")</f>
        <v/>
      </c>
      <c r="HBS48" s="84" t="str">
        <f>IF(ISNUMBER(outYear),HBS37+HBS42+#REF!+#REF!,"")</f>
        <v/>
      </c>
      <c r="HBT48" s="84" t="str">
        <f>IF(ISNUMBER(outYear),HBT37+HBT42+#REF!+#REF!,"")</f>
        <v/>
      </c>
      <c r="HBU48" s="84" t="str">
        <f>IF(ISNUMBER(outYear),HBU37+HBU42+#REF!+#REF!,"")</f>
        <v/>
      </c>
      <c r="HBV48" s="84" t="str">
        <f>IF(ISNUMBER(outYear),HBV37+HBV42+#REF!+#REF!,"")</f>
        <v/>
      </c>
      <c r="HBW48" s="84" t="str">
        <f>IF(ISNUMBER(outYear),HBW37+HBW42+#REF!+#REF!,"")</f>
        <v/>
      </c>
      <c r="HBX48" s="84" t="str">
        <f>IF(ISNUMBER(outYear),HBX37+HBX42+#REF!+#REF!,"")</f>
        <v/>
      </c>
      <c r="HBY48" s="84" t="str">
        <f>IF(ISNUMBER(outYear),HBY37+HBY42+#REF!+#REF!,"")</f>
        <v/>
      </c>
      <c r="HBZ48" s="84" t="str">
        <f>IF(ISNUMBER(outYear),HBZ37+HBZ42+#REF!+#REF!,"")</f>
        <v/>
      </c>
      <c r="HCA48" s="84" t="str">
        <f>IF(ISNUMBER(outYear),HCA37+HCA42+#REF!+#REF!,"")</f>
        <v/>
      </c>
      <c r="HCB48" s="84" t="str">
        <f>IF(ISNUMBER(outYear),HCB37+HCB42+#REF!+#REF!,"")</f>
        <v/>
      </c>
      <c r="HCC48" s="84" t="str">
        <f>IF(ISNUMBER(outYear),HCC37+HCC42+#REF!+#REF!,"")</f>
        <v/>
      </c>
      <c r="HCD48" s="84" t="str">
        <f>IF(ISNUMBER(outYear),HCD37+HCD42+#REF!+#REF!,"")</f>
        <v/>
      </c>
      <c r="HCE48" s="84" t="str">
        <f>IF(ISNUMBER(outYear),HCE37+HCE42+#REF!+#REF!,"")</f>
        <v/>
      </c>
      <c r="HCF48" s="84" t="str">
        <f>IF(ISNUMBER(outYear),HCF37+HCF42+#REF!+#REF!,"")</f>
        <v/>
      </c>
      <c r="HCG48" s="84" t="str">
        <f>IF(ISNUMBER(outYear),HCG37+HCG42+#REF!+#REF!,"")</f>
        <v/>
      </c>
      <c r="HCH48" s="84" t="str">
        <f>IF(ISNUMBER(outYear),HCH37+HCH42+#REF!+#REF!,"")</f>
        <v/>
      </c>
      <c r="HCI48" s="84" t="str">
        <f>IF(ISNUMBER(outYear),HCI37+HCI42+#REF!+#REF!,"")</f>
        <v/>
      </c>
      <c r="HCJ48" s="84" t="str">
        <f>IF(ISNUMBER(outYear),HCJ37+HCJ42+#REF!+#REF!,"")</f>
        <v/>
      </c>
      <c r="HCK48" s="84" t="str">
        <f>IF(ISNUMBER(outYear),HCK37+HCK42+#REF!+#REF!,"")</f>
        <v/>
      </c>
      <c r="HCL48" s="84" t="str">
        <f>IF(ISNUMBER(outYear),HCL37+HCL42+#REF!+#REF!,"")</f>
        <v/>
      </c>
      <c r="HCM48" s="84" t="str">
        <f>IF(ISNUMBER(outYear),HCM37+HCM42+#REF!+#REF!,"")</f>
        <v/>
      </c>
      <c r="HCN48" s="84" t="str">
        <f>IF(ISNUMBER(outYear),HCN37+HCN42+#REF!+#REF!,"")</f>
        <v/>
      </c>
      <c r="HCO48" s="84" t="str">
        <f>IF(ISNUMBER(outYear),HCO37+HCO42+#REF!+#REF!,"")</f>
        <v/>
      </c>
      <c r="HCP48" s="84" t="str">
        <f>IF(ISNUMBER(outYear),HCP37+HCP42+#REF!+#REF!,"")</f>
        <v/>
      </c>
      <c r="HCQ48" s="84" t="str">
        <f>IF(ISNUMBER(outYear),HCQ37+HCQ42+#REF!+#REF!,"")</f>
        <v/>
      </c>
      <c r="HCR48" s="84" t="str">
        <f>IF(ISNUMBER(outYear),HCR37+HCR42+#REF!+#REF!,"")</f>
        <v/>
      </c>
      <c r="HCS48" s="84" t="str">
        <f>IF(ISNUMBER(outYear),HCS37+HCS42+#REF!+#REF!,"")</f>
        <v/>
      </c>
      <c r="HCT48" s="84" t="str">
        <f>IF(ISNUMBER(outYear),HCT37+HCT42+#REF!+#REF!,"")</f>
        <v/>
      </c>
      <c r="HCU48" s="84" t="str">
        <f>IF(ISNUMBER(outYear),HCU37+HCU42+#REF!+#REF!,"")</f>
        <v/>
      </c>
      <c r="HCV48" s="84" t="str">
        <f>IF(ISNUMBER(outYear),HCV37+HCV42+#REF!+#REF!,"")</f>
        <v/>
      </c>
      <c r="HCW48" s="84" t="str">
        <f>IF(ISNUMBER(outYear),HCW37+HCW42+#REF!+#REF!,"")</f>
        <v/>
      </c>
      <c r="HCX48" s="84" t="str">
        <f>IF(ISNUMBER(outYear),HCX37+HCX42+#REF!+#REF!,"")</f>
        <v/>
      </c>
      <c r="HCY48" s="84" t="str">
        <f>IF(ISNUMBER(outYear),HCY37+HCY42+#REF!+#REF!,"")</f>
        <v/>
      </c>
      <c r="HCZ48" s="84" t="str">
        <f>IF(ISNUMBER(outYear),HCZ37+HCZ42+#REF!+#REF!,"")</f>
        <v/>
      </c>
      <c r="HDA48" s="84" t="str">
        <f>IF(ISNUMBER(outYear),HDA37+HDA42+#REF!+#REF!,"")</f>
        <v/>
      </c>
      <c r="HDB48" s="84" t="str">
        <f>IF(ISNUMBER(outYear),HDB37+HDB42+#REF!+#REF!,"")</f>
        <v/>
      </c>
      <c r="HDC48" s="84" t="str">
        <f>IF(ISNUMBER(outYear),HDC37+HDC42+#REF!+#REF!,"")</f>
        <v/>
      </c>
      <c r="HDD48" s="84" t="str">
        <f>IF(ISNUMBER(outYear),HDD37+HDD42+#REF!+#REF!,"")</f>
        <v/>
      </c>
      <c r="HDE48" s="84" t="str">
        <f>IF(ISNUMBER(outYear),HDE37+HDE42+#REF!+#REF!,"")</f>
        <v/>
      </c>
      <c r="HDF48" s="84" t="str">
        <f>IF(ISNUMBER(outYear),HDF37+HDF42+#REF!+#REF!,"")</f>
        <v/>
      </c>
      <c r="HDG48" s="84" t="str">
        <f>IF(ISNUMBER(outYear),HDG37+HDG42+#REF!+#REF!,"")</f>
        <v/>
      </c>
      <c r="HDH48" s="84" t="str">
        <f>IF(ISNUMBER(outYear),HDH37+HDH42+#REF!+#REF!,"")</f>
        <v/>
      </c>
      <c r="HDI48" s="84" t="str">
        <f>IF(ISNUMBER(outYear),HDI37+HDI42+#REF!+#REF!,"")</f>
        <v/>
      </c>
      <c r="HDJ48" s="84" t="str">
        <f>IF(ISNUMBER(outYear),HDJ37+HDJ42+#REF!+#REF!,"")</f>
        <v/>
      </c>
      <c r="HDK48" s="84" t="str">
        <f>IF(ISNUMBER(outYear),HDK37+HDK42+#REF!+#REF!,"")</f>
        <v/>
      </c>
      <c r="HDL48" s="84" t="str">
        <f>IF(ISNUMBER(outYear),HDL37+HDL42+#REF!+#REF!,"")</f>
        <v/>
      </c>
      <c r="HDM48" s="84" t="str">
        <f>IF(ISNUMBER(outYear),HDM37+HDM42+#REF!+#REF!,"")</f>
        <v/>
      </c>
      <c r="HDN48" s="84" t="str">
        <f>IF(ISNUMBER(outYear),HDN37+HDN42+#REF!+#REF!,"")</f>
        <v/>
      </c>
      <c r="HDO48" s="84" t="str">
        <f>IF(ISNUMBER(outYear),HDO37+HDO42+#REF!+#REF!,"")</f>
        <v/>
      </c>
      <c r="HDP48" s="84" t="str">
        <f>IF(ISNUMBER(outYear),HDP37+HDP42+#REF!+#REF!,"")</f>
        <v/>
      </c>
      <c r="HDQ48" s="84" t="str">
        <f>IF(ISNUMBER(outYear),HDQ37+HDQ42+#REF!+#REF!,"")</f>
        <v/>
      </c>
      <c r="HDR48" s="84" t="str">
        <f>IF(ISNUMBER(outYear),HDR37+HDR42+#REF!+#REF!,"")</f>
        <v/>
      </c>
      <c r="HDS48" s="84" t="str">
        <f>IF(ISNUMBER(outYear),HDS37+HDS42+#REF!+#REF!,"")</f>
        <v/>
      </c>
      <c r="HDT48" s="84" t="str">
        <f>IF(ISNUMBER(outYear),HDT37+HDT42+#REF!+#REF!,"")</f>
        <v/>
      </c>
      <c r="HDU48" s="84" t="str">
        <f>IF(ISNUMBER(outYear),HDU37+HDU42+#REF!+#REF!,"")</f>
        <v/>
      </c>
      <c r="HDV48" s="84" t="str">
        <f>IF(ISNUMBER(outYear),HDV37+HDV42+#REF!+#REF!,"")</f>
        <v/>
      </c>
      <c r="HDW48" s="84" t="str">
        <f>IF(ISNUMBER(outYear),HDW37+HDW42+#REF!+#REF!,"")</f>
        <v/>
      </c>
      <c r="HDX48" s="84" t="str">
        <f>IF(ISNUMBER(outYear),HDX37+HDX42+#REF!+#REF!,"")</f>
        <v/>
      </c>
      <c r="HDY48" s="84" t="str">
        <f>IF(ISNUMBER(outYear),HDY37+HDY42+#REF!+#REF!,"")</f>
        <v/>
      </c>
      <c r="HDZ48" s="84" t="str">
        <f>IF(ISNUMBER(outYear),HDZ37+HDZ42+#REF!+#REF!,"")</f>
        <v/>
      </c>
      <c r="HEA48" s="84" t="str">
        <f>IF(ISNUMBER(outYear),HEA37+HEA42+#REF!+#REF!,"")</f>
        <v/>
      </c>
      <c r="HEB48" s="84" t="str">
        <f>IF(ISNUMBER(outYear),HEB37+HEB42+#REF!+#REF!,"")</f>
        <v/>
      </c>
      <c r="HEC48" s="84" t="str">
        <f>IF(ISNUMBER(outYear),HEC37+HEC42+#REF!+#REF!,"")</f>
        <v/>
      </c>
      <c r="HED48" s="84" t="str">
        <f>IF(ISNUMBER(outYear),HED37+HED42+#REF!+#REF!,"")</f>
        <v/>
      </c>
      <c r="HEE48" s="84" t="str">
        <f>IF(ISNUMBER(outYear),HEE37+HEE42+#REF!+#REF!,"")</f>
        <v/>
      </c>
      <c r="HEF48" s="84" t="str">
        <f>IF(ISNUMBER(outYear),HEF37+HEF42+#REF!+#REF!,"")</f>
        <v/>
      </c>
      <c r="HEG48" s="84" t="str">
        <f>IF(ISNUMBER(outYear),HEG37+HEG42+#REF!+#REF!,"")</f>
        <v/>
      </c>
      <c r="HEH48" s="84" t="str">
        <f>IF(ISNUMBER(outYear),HEH37+HEH42+#REF!+#REF!,"")</f>
        <v/>
      </c>
      <c r="HEI48" s="84" t="str">
        <f>IF(ISNUMBER(outYear),HEI37+HEI42+#REF!+#REF!,"")</f>
        <v/>
      </c>
      <c r="HEJ48" s="84" t="str">
        <f>IF(ISNUMBER(outYear),HEJ37+HEJ42+#REF!+#REF!,"")</f>
        <v/>
      </c>
      <c r="HEK48" s="84" t="str">
        <f>IF(ISNUMBER(outYear),HEK37+HEK42+#REF!+#REF!,"")</f>
        <v/>
      </c>
      <c r="HEL48" s="84" t="str">
        <f>IF(ISNUMBER(outYear),HEL37+HEL42+#REF!+#REF!,"")</f>
        <v/>
      </c>
      <c r="HEM48" s="84" t="str">
        <f>IF(ISNUMBER(outYear),HEM37+HEM42+#REF!+#REF!,"")</f>
        <v/>
      </c>
      <c r="HEN48" s="84" t="str">
        <f>IF(ISNUMBER(outYear),HEN37+HEN42+#REF!+#REF!,"")</f>
        <v/>
      </c>
      <c r="HEO48" s="84" t="str">
        <f>IF(ISNUMBER(outYear),HEO37+HEO42+#REF!+#REF!,"")</f>
        <v/>
      </c>
      <c r="HEP48" s="84" t="str">
        <f>IF(ISNUMBER(outYear),HEP37+HEP42+#REF!+#REF!,"")</f>
        <v/>
      </c>
      <c r="HEQ48" s="84" t="str">
        <f>IF(ISNUMBER(outYear),HEQ37+HEQ42+#REF!+#REF!,"")</f>
        <v/>
      </c>
      <c r="HER48" s="84" t="str">
        <f>IF(ISNUMBER(outYear),HER37+HER42+#REF!+#REF!,"")</f>
        <v/>
      </c>
      <c r="HES48" s="84" t="str">
        <f>IF(ISNUMBER(outYear),HES37+HES42+#REF!+#REF!,"")</f>
        <v/>
      </c>
      <c r="HET48" s="84" t="str">
        <f>IF(ISNUMBER(outYear),HET37+HET42+#REF!+#REF!,"")</f>
        <v/>
      </c>
      <c r="HEU48" s="84" t="str">
        <f>IF(ISNUMBER(outYear),HEU37+HEU42+#REF!+#REF!,"")</f>
        <v/>
      </c>
      <c r="HEV48" s="84" t="str">
        <f>IF(ISNUMBER(outYear),HEV37+HEV42+#REF!+#REF!,"")</f>
        <v/>
      </c>
      <c r="HEW48" s="84" t="str">
        <f>IF(ISNUMBER(outYear),HEW37+HEW42+#REF!+#REF!,"")</f>
        <v/>
      </c>
      <c r="HEX48" s="84" t="str">
        <f>IF(ISNUMBER(outYear),HEX37+HEX42+#REF!+#REF!,"")</f>
        <v/>
      </c>
      <c r="HEY48" s="84" t="str">
        <f>IF(ISNUMBER(outYear),HEY37+HEY42+#REF!+#REF!,"")</f>
        <v/>
      </c>
      <c r="HEZ48" s="84" t="str">
        <f>IF(ISNUMBER(outYear),HEZ37+HEZ42+#REF!+#REF!,"")</f>
        <v/>
      </c>
      <c r="HFA48" s="84" t="str">
        <f>IF(ISNUMBER(outYear),HFA37+HFA42+#REF!+#REF!,"")</f>
        <v/>
      </c>
      <c r="HFB48" s="84" t="str">
        <f>IF(ISNUMBER(outYear),HFB37+HFB42+#REF!+#REF!,"")</f>
        <v/>
      </c>
      <c r="HFC48" s="84" t="str">
        <f>IF(ISNUMBER(outYear),HFC37+HFC42+#REF!+#REF!,"")</f>
        <v/>
      </c>
      <c r="HFD48" s="84" t="str">
        <f>IF(ISNUMBER(outYear),HFD37+HFD42+#REF!+#REF!,"")</f>
        <v/>
      </c>
      <c r="HFE48" s="84" t="str">
        <f>IF(ISNUMBER(outYear),HFE37+HFE42+#REF!+#REF!,"")</f>
        <v/>
      </c>
      <c r="HFF48" s="84" t="str">
        <f>IF(ISNUMBER(outYear),HFF37+HFF42+#REF!+#REF!,"")</f>
        <v/>
      </c>
      <c r="HFG48" s="84" t="str">
        <f>IF(ISNUMBER(outYear),HFG37+HFG42+#REF!+#REF!,"")</f>
        <v/>
      </c>
      <c r="HFH48" s="84" t="str">
        <f>IF(ISNUMBER(outYear),HFH37+HFH42+#REF!+#REF!,"")</f>
        <v/>
      </c>
      <c r="HFI48" s="84" t="str">
        <f>IF(ISNUMBER(outYear),HFI37+HFI42+#REF!+#REF!,"")</f>
        <v/>
      </c>
      <c r="HFJ48" s="84" t="str">
        <f>IF(ISNUMBER(outYear),HFJ37+HFJ42+#REF!+#REF!,"")</f>
        <v/>
      </c>
      <c r="HFK48" s="84" t="str">
        <f>IF(ISNUMBER(outYear),HFK37+HFK42+#REF!+#REF!,"")</f>
        <v/>
      </c>
      <c r="HFL48" s="84" t="str">
        <f>IF(ISNUMBER(outYear),HFL37+HFL42+#REF!+#REF!,"")</f>
        <v/>
      </c>
      <c r="HFM48" s="84" t="str">
        <f>IF(ISNUMBER(outYear),HFM37+HFM42+#REF!+#REF!,"")</f>
        <v/>
      </c>
      <c r="HFN48" s="84" t="str">
        <f>IF(ISNUMBER(outYear),HFN37+HFN42+#REF!+#REF!,"")</f>
        <v/>
      </c>
      <c r="HFO48" s="84" t="str">
        <f>IF(ISNUMBER(outYear),HFO37+HFO42+#REF!+#REF!,"")</f>
        <v/>
      </c>
      <c r="HFP48" s="84" t="str">
        <f>IF(ISNUMBER(outYear),HFP37+HFP42+#REF!+#REF!,"")</f>
        <v/>
      </c>
      <c r="HFQ48" s="84" t="str">
        <f>IF(ISNUMBER(outYear),HFQ37+HFQ42+#REF!+#REF!,"")</f>
        <v/>
      </c>
      <c r="HFR48" s="84" t="str">
        <f>IF(ISNUMBER(outYear),HFR37+HFR42+#REF!+#REF!,"")</f>
        <v/>
      </c>
      <c r="HFS48" s="84" t="str">
        <f>IF(ISNUMBER(outYear),HFS37+HFS42+#REF!+#REF!,"")</f>
        <v/>
      </c>
      <c r="HFT48" s="84" t="str">
        <f>IF(ISNUMBER(outYear),HFT37+HFT42+#REF!+#REF!,"")</f>
        <v/>
      </c>
      <c r="HFU48" s="84" t="str">
        <f>IF(ISNUMBER(outYear),HFU37+HFU42+#REF!+#REF!,"")</f>
        <v/>
      </c>
      <c r="HFV48" s="84" t="str">
        <f>IF(ISNUMBER(outYear),HFV37+HFV42+#REF!+#REF!,"")</f>
        <v/>
      </c>
      <c r="HFW48" s="84" t="str">
        <f>IF(ISNUMBER(outYear),HFW37+HFW42+#REF!+#REF!,"")</f>
        <v/>
      </c>
      <c r="HFX48" s="84" t="str">
        <f>IF(ISNUMBER(outYear),HFX37+HFX42+#REF!+#REF!,"")</f>
        <v/>
      </c>
      <c r="HFY48" s="84" t="str">
        <f>IF(ISNUMBER(outYear),HFY37+HFY42+#REF!+#REF!,"")</f>
        <v/>
      </c>
      <c r="HFZ48" s="84" t="str">
        <f>IF(ISNUMBER(outYear),HFZ37+HFZ42+#REF!+#REF!,"")</f>
        <v/>
      </c>
      <c r="HGA48" s="84" t="str">
        <f>IF(ISNUMBER(outYear),HGA37+HGA42+#REF!+#REF!,"")</f>
        <v/>
      </c>
      <c r="HGB48" s="84" t="str">
        <f>IF(ISNUMBER(outYear),HGB37+HGB42+#REF!+#REF!,"")</f>
        <v/>
      </c>
      <c r="HGC48" s="84" t="str">
        <f>IF(ISNUMBER(outYear),HGC37+HGC42+#REF!+#REF!,"")</f>
        <v/>
      </c>
      <c r="HGD48" s="84" t="str">
        <f>IF(ISNUMBER(outYear),HGD37+HGD42+#REF!+#REF!,"")</f>
        <v/>
      </c>
      <c r="HGE48" s="84" t="str">
        <f>IF(ISNUMBER(outYear),HGE37+HGE42+#REF!+#REF!,"")</f>
        <v/>
      </c>
      <c r="HGF48" s="84" t="str">
        <f>IF(ISNUMBER(outYear),HGF37+HGF42+#REF!+#REF!,"")</f>
        <v/>
      </c>
      <c r="HGG48" s="84" t="str">
        <f>IF(ISNUMBER(outYear),HGG37+HGG42+#REF!+#REF!,"")</f>
        <v/>
      </c>
      <c r="HGH48" s="84" t="str">
        <f>IF(ISNUMBER(outYear),HGH37+HGH42+#REF!+#REF!,"")</f>
        <v/>
      </c>
      <c r="HGI48" s="84" t="str">
        <f>IF(ISNUMBER(outYear),HGI37+HGI42+#REF!+#REF!,"")</f>
        <v/>
      </c>
      <c r="HGJ48" s="84" t="str">
        <f>IF(ISNUMBER(outYear),HGJ37+HGJ42+#REF!+#REF!,"")</f>
        <v/>
      </c>
      <c r="HGK48" s="84" t="str">
        <f>IF(ISNUMBER(outYear),HGK37+HGK42+#REF!+#REF!,"")</f>
        <v/>
      </c>
      <c r="HGL48" s="84" t="str">
        <f>IF(ISNUMBER(outYear),HGL37+HGL42+#REF!+#REF!,"")</f>
        <v/>
      </c>
      <c r="HGM48" s="84" t="str">
        <f>IF(ISNUMBER(outYear),HGM37+HGM42+#REF!+#REF!,"")</f>
        <v/>
      </c>
      <c r="HGN48" s="84" t="str">
        <f>IF(ISNUMBER(outYear),HGN37+HGN42+#REF!+#REF!,"")</f>
        <v/>
      </c>
      <c r="HGO48" s="84" t="str">
        <f>IF(ISNUMBER(outYear),HGO37+HGO42+#REF!+#REF!,"")</f>
        <v/>
      </c>
      <c r="HGP48" s="84" t="str">
        <f>IF(ISNUMBER(outYear),HGP37+HGP42+#REF!+#REF!,"")</f>
        <v/>
      </c>
      <c r="HGQ48" s="84" t="str">
        <f>IF(ISNUMBER(outYear),HGQ37+HGQ42+#REF!+#REF!,"")</f>
        <v/>
      </c>
      <c r="HGR48" s="84" t="str">
        <f>IF(ISNUMBER(outYear),HGR37+HGR42+#REF!+#REF!,"")</f>
        <v/>
      </c>
      <c r="HGS48" s="84" t="str">
        <f>IF(ISNUMBER(outYear),HGS37+HGS42+#REF!+#REF!,"")</f>
        <v/>
      </c>
      <c r="HGT48" s="84" t="str">
        <f>IF(ISNUMBER(outYear),HGT37+HGT42+#REF!+#REF!,"")</f>
        <v/>
      </c>
      <c r="HGU48" s="84" t="str">
        <f>IF(ISNUMBER(outYear),HGU37+HGU42+#REF!+#REF!,"")</f>
        <v/>
      </c>
      <c r="HGV48" s="84" t="str">
        <f>IF(ISNUMBER(outYear),HGV37+HGV42+#REF!+#REF!,"")</f>
        <v/>
      </c>
      <c r="HGW48" s="84" t="str">
        <f>IF(ISNUMBER(outYear),HGW37+HGW42+#REF!+#REF!,"")</f>
        <v/>
      </c>
      <c r="HGX48" s="84" t="str">
        <f>IF(ISNUMBER(outYear),HGX37+HGX42+#REF!+#REF!,"")</f>
        <v/>
      </c>
      <c r="HGY48" s="84" t="str">
        <f>IF(ISNUMBER(outYear),HGY37+HGY42+#REF!+#REF!,"")</f>
        <v/>
      </c>
      <c r="HGZ48" s="84" t="str">
        <f>IF(ISNUMBER(outYear),HGZ37+HGZ42+#REF!+#REF!,"")</f>
        <v/>
      </c>
      <c r="HHA48" s="84" t="str">
        <f>IF(ISNUMBER(outYear),HHA37+HHA42+#REF!+#REF!,"")</f>
        <v/>
      </c>
      <c r="HHB48" s="84" t="str">
        <f>IF(ISNUMBER(outYear),HHB37+HHB42+#REF!+#REF!,"")</f>
        <v/>
      </c>
      <c r="HHC48" s="84" t="str">
        <f>IF(ISNUMBER(outYear),HHC37+HHC42+#REF!+#REF!,"")</f>
        <v/>
      </c>
      <c r="HHD48" s="84" t="str">
        <f>IF(ISNUMBER(outYear),HHD37+HHD42+#REF!+#REF!,"")</f>
        <v/>
      </c>
      <c r="HHE48" s="84" t="str">
        <f>IF(ISNUMBER(outYear),HHE37+HHE42+#REF!+#REF!,"")</f>
        <v/>
      </c>
      <c r="HHF48" s="84" t="str">
        <f>IF(ISNUMBER(outYear),HHF37+HHF42+#REF!+#REF!,"")</f>
        <v/>
      </c>
      <c r="HHG48" s="84" t="str">
        <f>IF(ISNUMBER(outYear),HHG37+HHG42+#REF!+#REF!,"")</f>
        <v/>
      </c>
      <c r="HHH48" s="84" t="str">
        <f>IF(ISNUMBER(outYear),HHH37+HHH42+#REF!+#REF!,"")</f>
        <v/>
      </c>
      <c r="HHI48" s="84" t="str">
        <f>IF(ISNUMBER(outYear),HHI37+HHI42+#REF!+#REF!,"")</f>
        <v/>
      </c>
      <c r="HHJ48" s="84" t="str">
        <f>IF(ISNUMBER(outYear),HHJ37+HHJ42+#REF!+#REF!,"")</f>
        <v/>
      </c>
      <c r="HHK48" s="84" t="str">
        <f>IF(ISNUMBER(outYear),HHK37+HHK42+#REF!+#REF!,"")</f>
        <v/>
      </c>
      <c r="HHL48" s="84" t="str">
        <f>IF(ISNUMBER(outYear),HHL37+HHL42+#REF!+#REF!,"")</f>
        <v/>
      </c>
      <c r="HHM48" s="84" t="str">
        <f>IF(ISNUMBER(outYear),HHM37+HHM42+#REF!+#REF!,"")</f>
        <v/>
      </c>
      <c r="HHN48" s="84" t="str">
        <f>IF(ISNUMBER(outYear),HHN37+HHN42+#REF!+#REF!,"")</f>
        <v/>
      </c>
      <c r="HHO48" s="84" t="str">
        <f>IF(ISNUMBER(outYear),HHO37+HHO42+#REF!+#REF!,"")</f>
        <v/>
      </c>
      <c r="HHP48" s="84" t="str">
        <f>IF(ISNUMBER(outYear),HHP37+HHP42+#REF!+#REF!,"")</f>
        <v/>
      </c>
      <c r="HHQ48" s="84" t="str">
        <f>IF(ISNUMBER(outYear),HHQ37+HHQ42+#REF!+#REF!,"")</f>
        <v/>
      </c>
      <c r="HHR48" s="84" t="str">
        <f>IF(ISNUMBER(outYear),HHR37+HHR42+#REF!+#REF!,"")</f>
        <v/>
      </c>
      <c r="HHS48" s="84" t="str">
        <f>IF(ISNUMBER(outYear),HHS37+HHS42+#REF!+#REF!,"")</f>
        <v/>
      </c>
      <c r="HHT48" s="84" t="str">
        <f>IF(ISNUMBER(outYear),HHT37+HHT42+#REF!+#REF!,"")</f>
        <v/>
      </c>
      <c r="HHU48" s="84" t="str">
        <f>IF(ISNUMBER(outYear),HHU37+HHU42+#REF!+#REF!,"")</f>
        <v/>
      </c>
      <c r="HHV48" s="84" t="str">
        <f>IF(ISNUMBER(outYear),HHV37+HHV42+#REF!+#REF!,"")</f>
        <v/>
      </c>
      <c r="HHW48" s="84" t="str">
        <f>IF(ISNUMBER(outYear),HHW37+HHW42+#REF!+#REF!,"")</f>
        <v/>
      </c>
      <c r="HHX48" s="84" t="str">
        <f>IF(ISNUMBER(outYear),HHX37+HHX42+#REF!+#REF!,"")</f>
        <v/>
      </c>
      <c r="HHY48" s="84" t="str">
        <f>IF(ISNUMBER(outYear),HHY37+HHY42+#REF!+#REF!,"")</f>
        <v/>
      </c>
      <c r="HHZ48" s="84" t="str">
        <f>IF(ISNUMBER(outYear),HHZ37+HHZ42+#REF!+#REF!,"")</f>
        <v/>
      </c>
      <c r="HIA48" s="84" t="str">
        <f>IF(ISNUMBER(outYear),HIA37+HIA42+#REF!+#REF!,"")</f>
        <v/>
      </c>
      <c r="HIB48" s="84" t="str">
        <f>IF(ISNUMBER(outYear),HIB37+HIB42+#REF!+#REF!,"")</f>
        <v/>
      </c>
      <c r="HIC48" s="84" t="str">
        <f>IF(ISNUMBER(outYear),HIC37+HIC42+#REF!+#REF!,"")</f>
        <v/>
      </c>
      <c r="HID48" s="84" t="str">
        <f>IF(ISNUMBER(outYear),HID37+HID42+#REF!+#REF!,"")</f>
        <v/>
      </c>
      <c r="HIE48" s="84" t="str">
        <f>IF(ISNUMBER(outYear),HIE37+HIE42+#REF!+#REF!,"")</f>
        <v/>
      </c>
      <c r="HIF48" s="84" t="str">
        <f>IF(ISNUMBER(outYear),HIF37+HIF42+#REF!+#REF!,"")</f>
        <v/>
      </c>
      <c r="HIG48" s="84" t="str">
        <f>IF(ISNUMBER(outYear),HIG37+HIG42+#REF!+#REF!,"")</f>
        <v/>
      </c>
      <c r="HIH48" s="84" t="str">
        <f>IF(ISNUMBER(outYear),HIH37+HIH42+#REF!+#REF!,"")</f>
        <v/>
      </c>
      <c r="HII48" s="84" t="str">
        <f>IF(ISNUMBER(outYear),HII37+HII42+#REF!+#REF!,"")</f>
        <v/>
      </c>
      <c r="HIJ48" s="84" t="str">
        <f>IF(ISNUMBER(outYear),HIJ37+HIJ42+#REF!+#REF!,"")</f>
        <v/>
      </c>
      <c r="HIK48" s="84" t="str">
        <f>IF(ISNUMBER(outYear),HIK37+HIK42+#REF!+#REF!,"")</f>
        <v/>
      </c>
      <c r="HIL48" s="84" t="str">
        <f>IF(ISNUMBER(outYear),HIL37+HIL42+#REF!+#REF!,"")</f>
        <v/>
      </c>
      <c r="HIM48" s="84" t="str">
        <f>IF(ISNUMBER(outYear),HIM37+HIM42+#REF!+#REF!,"")</f>
        <v/>
      </c>
      <c r="HIN48" s="84" t="str">
        <f>IF(ISNUMBER(outYear),HIN37+HIN42+#REF!+#REF!,"")</f>
        <v/>
      </c>
      <c r="HIO48" s="84" t="str">
        <f>IF(ISNUMBER(outYear),HIO37+HIO42+#REF!+#REF!,"")</f>
        <v/>
      </c>
      <c r="HIP48" s="84" t="str">
        <f>IF(ISNUMBER(outYear),HIP37+HIP42+#REF!+#REF!,"")</f>
        <v/>
      </c>
      <c r="HIQ48" s="84" t="str">
        <f>IF(ISNUMBER(outYear),HIQ37+HIQ42+#REF!+#REF!,"")</f>
        <v/>
      </c>
      <c r="HIR48" s="84" t="str">
        <f>IF(ISNUMBER(outYear),HIR37+HIR42+#REF!+#REF!,"")</f>
        <v/>
      </c>
      <c r="HIS48" s="84" t="str">
        <f>IF(ISNUMBER(outYear),HIS37+HIS42+#REF!+#REF!,"")</f>
        <v/>
      </c>
      <c r="HIT48" s="84" t="str">
        <f>IF(ISNUMBER(outYear),HIT37+HIT42+#REF!+#REF!,"")</f>
        <v/>
      </c>
      <c r="HIU48" s="84" t="str">
        <f>IF(ISNUMBER(outYear),HIU37+HIU42+#REF!+#REF!,"")</f>
        <v/>
      </c>
      <c r="HIV48" s="84" t="str">
        <f>IF(ISNUMBER(outYear),HIV37+HIV42+#REF!+#REF!,"")</f>
        <v/>
      </c>
      <c r="HIW48" s="84" t="str">
        <f>IF(ISNUMBER(outYear),HIW37+HIW42+#REF!+#REF!,"")</f>
        <v/>
      </c>
      <c r="HIX48" s="84" t="str">
        <f>IF(ISNUMBER(outYear),HIX37+HIX42+#REF!+#REF!,"")</f>
        <v/>
      </c>
      <c r="HIY48" s="84" t="str">
        <f>IF(ISNUMBER(outYear),HIY37+HIY42+#REF!+#REF!,"")</f>
        <v/>
      </c>
      <c r="HIZ48" s="84" t="str">
        <f>IF(ISNUMBER(outYear),HIZ37+HIZ42+#REF!+#REF!,"")</f>
        <v/>
      </c>
      <c r="HJA48" s="84" t="str">
        <f>IF(ISNUMBER(outYear),HJA37+HJA42+#REF!+#REF!,"")</f>
        <v/>
      </c>
      <c r="HJB48" s="84" t="str">
        <f>IF(ISNUMBER(outYear),HJB37+HJB42+#REF!+#REF!,"")</f>
        <v/>
      </c>
      <c r="HJC48" s="84" t="str">
        <f>IF(ISNUMBER(outYear),HJC37+HJC42+#REF!+#REF!,"")</f>
        <v/>
      </c>
      <c r="HJD48" s="84" t="str">
        <f>IF(ISNUMBER(outYear),HJD37+HJD42+#REF!+#REF!,"")</f>
        <v/>
      </c>
      <c r="HJE48" s="84" t="str">
        <f>IF(ISNUMBER(outYear),HJE37+HJE42+#REF!+#REF!,"")</f>
        <v/>
      </c>
      <c r="HJF48" s="84" t="str">
        <f>IF(ISNUMBER(outYear),HJF37+HJF42+#REF!+#REF!,"")</f>
        <v/>
      </c>
      <c r="HJG48" s="84" t="str">
        <f>IF(ISNUMBER(outYear),HJG37+HJG42+#REF!+#REF!,"")</f>
        <v/>
      </c>
      <c r="HJH48" s="84" t="str">
        <f>IF(ISNUMBER(outYear),HJH37+HJH42+#REF!+#REF!,"")</f>
        <v/>
      </c>
      <c r="HJI48" s="84" t="str">
        <f>IF(ISNUMBER(outYear),HJI37+HJI42+#REF!+#REF!,"")</f>
        <v/>
      </c>
      <c r="HJJ48" s="84" t="str">
        <f>IF(ISNUMBER(outYear),HJJ37+HJJ42+#REF!+#REF!,"")</f>
        <v/>
      </c>
      <c r="HJK48" s="84" t="str">
        <f>IF(ISNUMBER(outYear),HJK37+HJK42+#REF!+#REF!,"")</f>
        <v/>
      </c>
      <c r="HJL48" s="84" t="str">
        <f>IF(ISNUMBER(outYear),HJL37+HJL42+#REF!+#REF!,"")</f>
        <v/>
      </c>
      <c r="HJM48" s="84" t="str">
        <f>IF(ISNUMBER(outYear),HJM37+HJM42+#REF!+#REF!,"")</f>
        <v/>
      </c>
      <c r="HJN48" s="84" t="str">
        <f>IF(ISNUMBER(outYear),HJN37+HJN42+#REF!+#REF!,"")</f>
        <v/>
      </c>
      <c r="HJO48" s="84" t="str">
        <f>IF(ISNUMBER(outYear),HJO37+HJO42+#REF!+#REF!,"")</f>
        <v/>
      </c>
      <c r="HJP48" s="84" t="str">
        <f>IF(ISNUMBER(outYear),HJP37+HJP42+#REF!+#REF!,"")</f>
        <v/>
      </c>
      <c r="HJQ48" s="84" t="str">
        <f>IF(ISNUMBER(outYear),HJQ37+HJQ42+#REF!+#REF!,"")</f>
        <v/>
      </c>
      <c r="HJR48" s="84" t="str">
        <f>IF(ISNUMBER(outYear),HJR37+HJR42+#REF!+#REF!,"")</f>
        <v/>
      </c>
      <c r="HJS48" s="84" t="str">
        <f>IF(ISNUMBER(outYear),HJS37+HJS42+#REF!+#REF!,"")</f>
        <v/>
      </c>
      <c r="HJT48" s="84" t="str">
        <f>IF(ISNUMBER(outYear),HJT37+HJT42+#REF!+#REF!,"")</f>
        <v/>
      </c>
      <c r="HJU48" s="84" t="str">
        <f>IF(ISNUMBER(outYear),HJU37+HJU42+#REF!+#REF!,"")</f>
        <v/>
      </c>
      <c r="HJV48" s="84" t="str">
        <f>IF(ISNUMBER(outYear),HJV37+HJV42+#REF!+#REF!,"")</f>
        <v/>
      </c>
      <c r="HJW48" s="84" t="str">
        <f>IF(ISNUMBER(outYear),HJW37+HJW42+#REF!+#REF!,"")</f>
        <v/>
      </c>
      <c r="HJX48" s="84" t="str">
        <f>IF(ISNUMBER(outYear),HJX37+HJX42+#REF!+#REF!,"")</f>
        <v/>
      </c>
      <c r="HJY48" s="84" t="str">
        <f>IF(ISNUMBER(outYear),HJY37+HJY42+#REF!+#REF!,"")</f>
        <v/>
      </c>
      <c r="HJZ48" s="84" t="str">
        <f>IF(ISNUMBER(outYear),HJZ37+HJZ42+#REF!+#REF!,"")</f>
        <v/>
      </c>
      <c r="HKA48" s="84" t="str">
        <f>IF(ISNUMBER(outYear),HKA37+HKA42+#REF!+#REF!,"")</f>
        <v/>
      </c>
      <c r="HKB48" s="84" t="str">
        <f>IF(ISNUMBER(outYear),HKB37+HKB42+#REF!+#REF!,"")</f>
        <v/>
      </c>
      <c r="HKC48" s="84" t="str">
        <f>IF(ISNUMBER(outYear),HKC37+HKC42+#REF!+#REF!,"")</f>
        <v/>
      </c>
      <c r="HKD48" s="84" t="str">
        <f>IF(ISNUMBER(outYear),HKD37+HKD42+#REF!+#REF!,"")</f>
        <v/>
      </c>
      <c r="HKE48" s="84" t="str">
        <f>IF(ISNUMBER(outYear),HKE37+HKE42+#REF!+#REF!,"")</f>
        <v/>
      </c>
      <c r="HKF48" s="84" t="str">
        <f>IF(ISNUMBER(outYear),HKF37+HKF42+#REF!+#REF!,"")</f>
        <v/>
      </c>
      <c r="HKG48" s="84" t="str">
        <f>IF(ISNUMBER(outYear),HKG37+HKG42+#REF!+#REF!,"")</f>
        <v/>
      </c>
      <c r="HKH48" s="84" t="str">
        <f>IF(ISNUMBER(outYear),HKH37+HKH42+#REF!+#REF!,"")</f>
        <v/>
      </c>
      <c r="HKI48" s="84" t="str">
        <f>IF(ISNUMBER(outYear),HKI37+HKI42+#REF!+#REF!,"")</f>
        <v/>
      </c>
      <c r="HKJ48" s="84" t="str">
        <f>IF(ISNUMBER(outYear),HKJ37+HKJ42+#REF!+#REF!,"")</f>
        <v/>
      </c>
      <c r="HKK48" s="84" t="str">
        <f>IF(ISNUMBER(outYear),HKK37+HKK42+#REF!+#REF!,"")</f>
        <v/>
      </c>
      <c r="HKL48" s="84" t="str">
        <f>IF(ISNUMBER(outYear),HKL37+HKL42+#REF!+#REF!,"")</f>
        <v/>
      </c>
      <c r="HKM48" s="84" t="str">
        <f>IF(ISNUMBER(outYear),HKM37+HKM42+#REF!+#REF!,"")</f>
        <v/>
      </c>
      <c r="HKN48" s="84" t="str">
        <f>IF(ISNUMBER(outYear),HKN37+HKN42+#REF!+#REF!,"")</f>
        <v/>
      </c>
      <c r="HKO48" s="84" t="str">
        <f>IF(ISNUMBER(outYear),HKO37+HKO42+#REF!+#REF!,"")</f>
        <v/>
      </c>
      <c r="HKP48" s="84" t="str">
        <f>IF(ISNUMBER(outYear),HKP37+HKP42+#REF!+#REF!,"")</f>
        <v/>
      </c>
      <c r="HKQ48" s="84" t="str">
        <f>IF(ISNUMBER(outYear),HKQ37+HKQ42+#REF!+#REF!,"")</f>
        <v/>
      </c>
      <c r="HKR48" s="84" t="str">
        <f>IF(ISNUMBER(outYear),HKR37+HKR42+#REF!+#REF!,"")</f>
        <v/>
      </c>
      <c r="HKS48" s="84" t="str">
        <f>IF(ISNUMBER(outYear),HKS37+HKS42+#REF!+#REF!,"")</f>
        <v/>
      </c>
      <c r="HKT48" s="84" t="str">
        <f>IF(ISNUMBER(outYear),HKT37+HKT42+#REF!+#REF!,"")</f>
        <v/>
      </c>
      <c r="HKU48" s="84" t="str">
        <f>IF(ISNUMBER(outYear),HKU37+HKU42+#REF!+#REF!,"")</f>
        <v/>
      </c>
      <c r="HKV48" s="84" t="str">
        <f>IF(ISNUMBER(outYear),HKV37+HKV42+#REF!+#REF!,"")</f>
        <v/>
      </c>
      <c r="HKW48" s="84" t="str">
        <f>IF(ISNUMBER(outYear),HKW37+HKW42+#REF!+#REF!,"")</f>
        <v/>
      </c>
      <c r="HKX48" s="84" t="str">
        <f>IF(ISNUMBER(outYear),HKX37+HKX42+#REF!+#REF!,"")</f>
        <v/>
      </c>
      <c r="HKY48" s="84" t="str">
        <f>IF(ISNUMBER(outYear),HKY37+HKY42+#REF!+#REF!,"")</f>
        <v/>
      </c>
      <c r="HKZ48" s="84" t="str">
        <f>IF(ISNUMBER(outYear),HKZ37+HKZ42+#REF!+#REF!,"")</f>
        <v/>
      </c>
      <c r="HLA48" s="84" t="str">
        <f>IF(ISNUMBER(outYear),HLA37+HLA42+#REF!+#REF!,"")</f>
        <v/>
      </c>
      <c r="HLB48" s="84" t="str">
        <f>IF(ISNUMBER(outYear),HLB37+HLB42+#REF!+#REF!,"")</f>
        <v/>
      </c>
      <c r="HLC48" s="84" t="str">
        <f>IF(ISNUMBER(outYear),HLC37+HLC42+#REF!+#REF!,"")</f>
        <v/>
      </c>
      <c r="HLD48" s="84" t="str">
        <f>IF(ISNUMBER(outYear),HLD37+HLD42+#REF!+#REF!,"")</f>
        <v/>
      </c>
      <c r="HLE48" s="84" t="str">
        <f>IF(ISNUMBER(outYear),HLE37+HLE42+#REF!+#REF!,"")</f>
        <v/>
      </c>
      <c r="HLF48" s="84" t="str">
        <f>IF(ISNUMBER(outYear),HLF37+HLF42+#REF!+#REF!,"")</f>
        <v/>
      </c>
      <c r="HLG48" s="84" t="str">
        <f>IF(ISNUMBER(outYear),HLG37+HLG42+#REF!+#REF!,"")</f>
        <v/>
      </c>
      <c r="HLH48" s="84" t="str">
        <f>IF(ISNUMBER(outYear),HLH37+HLH42+#REF!+#REF!,"")</f>
        <v/>
      </c>
      <c r="HLI48" s="84" t="str">
        <f>IF(ISNUMBER(outYear),HLI37+HLI42+#REF!+#REF!,"")</f>
        <v/>
      </c>
      <c r="HLJ48" s="84" t="str">
        <f>IF(ISNUMBER(outYear),HLJ37+HLJ42+#REF!+#REF!,"")</f>
        <v/>
      </c>
      <c r="HLK48" s="84" t="str">
        <f>IF(ISNUMBER(outYear),HLK37+HLK42+#REF!+#REF!,"")</f>
        <v/>
      </c>
      <c r="HLL48" s="84" t="str">
        <f>IF(ISNUMBER(outYear),HLL37+HLL42+#REF!+#REF!,"")</f>
        <v/>
      </c>
      <c r="HLM48" s="84" t="str">
        <f>IF(ISNUMBER(outYear),HLM37+HLM42+#REF!+#REF!,"")</f>
        <v/>
      </c>
      <c r="HLN48" s="84" t="str">
        <f>IF(ISNUMBER(outYear),HLN37+HLN42+#REF!+#REF!,"")</f>
        <v/>
      </c>
      <c r="HLO48" s="84" t="str">
        <f>IF(ISNUMBER(outYear),HLO37+HLO42+#REF!+#REF!,"")</f>
        <v/>
      </c>
      <c r="HLP48" s="84" t="str">
        <f>IF(ISNUMBER(outYear),HLP37+HLP42+#REF!+#REF!,"")</f>
        <v/>
      </c>
      <c r="HLQ48" s="84" t="str">
        <f>IF(ISNUMBER(outYear),HLQ37+HLQ42+#REF!+#REF!,"")</f>
        <v/>
      </c>
      <c r="HLR48" s="84" t="str">
        <f>IF(ISNUMBER(outYear),HLR37+HLR42+#REF!+#REF!,"")</f>
        <v/>
      </c>
      <c r="HLS48" s="84" t="str">
        <f>IF(ISNUMBER(outYear),HLS37+HLS42+#REF!+#REF!,"")</f>
        <v/>
      </c>
      <c r="HLT48" s="84" t="str">
        <f>IF(ISNUMBER(outYear),HLT37+HLT42+#REF!+#REF!,"")</f>
        <v/>
      </c>
      <c r="HLU48" s="84" t="str">
        <f>IF(ISNUMBER(outYear),HLU37+HLU42+#REF!+#REF!,"")</f>
        <v/>
      </c>
      <c r="HLV48" s="84" t="str">
        <f>IF(ISNUMBER(outYear),HLV37+HLV42+#REF!+#REF!,"")</f>
        <v/>
      </c>
      <c r="HLW48" s="84" t="str">
        <f>IF(ISNUMBER(outYear),HLW37+HLW42+#REF!+#REF!,"")</f>
        <v/>
      </c>
      <c r="HLX48" s="84" t="str">
        <f>IF(ISNUMBER(outYear),HLX37+HLX42+#REF!+#REF!,"")</f>
        <v/>
      </c>
      <c r="HLY48" s="84" t="str">
        <f>IF(ISNUMBER(outYear),HLY37+HLY42+#REF!+#REF!,"")</f>
        <v/>
      </c>
      <c r="HLZ48" s="84" t="str">
        <f>IF(ISNUMBER(outYear),HLZ37+HLZ42+#REF!+#REF!,"")</f>
        <v/>
      </c>
      <c r="HMA48" s="84" t="str">
        <f>IF(ISNUMBER(outYear),HMA37+HMA42+#REF!+#REF!,"")</f>
        <v/>
      </c>
      <c r="HMB48" s="84" t="str">
        <f>IF(ISNUMBER(outYear),HMB37+HMB42+#REF!+#REF!,"")</f>
        <v/>
      </c>
      <c r="HMC48" s="84" t="str">
        <f>IF(ISNUMBER(outYear),HMC37+HMC42+#REF!+#REF!,"")</f>
        <v/>
      </c>
      <c r="HMD48" s="84" t="str">
        <f>IF(ISNUMBER(outYear),HMD37+HMD42+#REF!+#REF!,"")</f>
        <v/>
      </c>
      <c r="HME48" s="84" t="str">
        <f>IF(ISNUMBER(outYear),HME37+HME42+#REF!+#REF!,"")</f>
        <v/>
      </c>
      <c r="HMF48" s="84" t="str">
        <f>IF(ISNUMBER(outYear),HMF37+HMF42+#REF!+#REF!,"")</f>
        <v/>
      </c>
      <c r="HMG48" s="84" t="str">
        <f>IF(ISNUMBER(outYear),HMG37+HMG42+#REF!+#REF!,"")</f>
        <v/>
      </c>
      <c r="HMH48" s="84" t="str">
        <f>IF(ISNUMBER(outYear),HMH37+HMH42+#REF!+#REF!,"")</f>
        <v/>
      </c>
      <c r="HMI48" s="84" t="str">
        <f>IF(ISNUMBER(outYear),HMI37+HMI42+#REF!+#REF!,"")</f>
        <v/>
      </c>
      <c r="HMJ48" s="84" t="str">
        <f>IF(ISNUMBER(outYear),HMJ37+HMJ42+#REF!+#REF!,"")</f>
        <v/>
      </c>
      <c r="HMK48" s="84" t="str">
        <f>IF(ISNUMBER(outYear),HMK37+HMK42+#REF!+#REF!,"")</f>
        <v/>
      </c>
      <c r="HML48" s="84" t="str">
        <f>IF(ISNUMBER(outYear),HML37+HML42+#REF!+#REF!,"")</f>
        <v/>
      </c>
      <c r="HMM48" s="84" t="str">
        <f>IF(ISNUMBER(outYear),HMM37+HMM42+#REF!+#REF!,"")</f>
        <v/>
      </c>
      <c r="HMN48" s="84" t="str">
        <f>IF(ISNUMBER(outYear),HMN37+HMN42+#REF!+#REF!,"")</f>
        <v/>
      </c>
      <c r="HMO48" s="84" t="str">
        <f>IF(ISNUMBER(outYear),HMO37+HMO42+#REF!+#REF!,"")</f>
        <v/>
      </c>
      <c r="HMP48" s="84" t="str">
        <f>IF(ISNUMBER(outYear),HMP37+HMP42+#REF!+#REF!,"")</f>
        <v/>
      </c>
      <c r="HMQ48" s="84" t="str">
        <f>IF(ISNUMBER(outYear),HMQ37+HMQ42+#REF!+#REF!,"")</f>
        <v/>
      </c>
      <c r="HMR48" s="84" t="str">
        <f>IF(ISNUMBER(outYear),HMR37+HMR42+#REF!+#REF!,"")</f>
        <v/>
      </c>
      <c r="HMS48" s="84" t="str">
        <f>IF(ISNUMBER(outYear),HMS37+HMS42+#REF!+#REF!,"")</f>
        <v/>
      </c>
      <c r="HMT48" s="84" t="str">
        <f>IF(ISNUMBER(outYear),HMT37+HMT42+#REF!+#REF!,"")</f>
        <v/>
      </c>
      <c r="HMU48" s="84" t="str">
        <f>IF(ISNUMBER(outYear),HMU37+HMU42+#REF!+#REF!,"")</f>
        <v/>
      </c>
      <c r="HMV48" s="84" t="str">
        <f>IF(ISNUMBER(outYear),HMV37+HMV42+#REF!+#REF!,"")</f>
        <v/>
      </c>
      <c r="HMW48" s="84" t="str">
        <f>IF(ISNUMBER(outYear),HMW37+HMW42+#REF!+#REF!,"")</f>
        <v/>
      </c>
      <c r="HMX48" s="84" t="str">
        <f>IF(ISNUMBER(outYear),HMX37+HMX42+#REF!+#REF!,"")</f>
        <v/>
      </c>
      <c r="HMY48" s="84" t="str">
        <f>IF(ISNUMBER(outYear),HMY37+HMY42+#REF!+#REF!,"")</f>
        <v/>
      </c>
      <c r="HMZ48" s="84" t="str">
        <f>IF(ISNUMBER(outYear),HMZ37+HMZ42+#REF!+#REF!,"")</f>
        <v/>
      </c>
      <c r="HNA48" s="84" t="str">
        <f>IF(ISNUMBER(outYear),HNA37+HNA42+#REF!+#REF!,"")</f>
        <v/>
      </c>
      <c r="HNB48" s="84" t="str">
        <f>IF(ISNUMBER(outYear),HNB37+HNB42+#REF!+#REF!,"")</f>
        <v/>
      </c>
      <c r="HNC48" s="84" t="str">
        <f>IF(ISNUMBER(outYear),HNC37+HNC42+#REF!+#REF!,"")</f>
        <v/>
      </c>
      <c r="HND48" s="84" t="str">
        <f>IF(ISNUMBER(outYear),HND37+HND42+#REF!+#REF!,"")</f>
        <v/>
      </c>
      <c r="HNE48" s="84" t="str">
        <f>IF(ISNUMBER(outYear),HNE37+HNE42+#REF!+#REF!,"")</f>
        <v/>
      </c>
      <c r="HNF48" s="84" t="str">
        <f>IF(ISNUMBER(outYear),HNF37+HNF42+#REF!+#REF!,"")</f>
        <v/>
      </c>
      <c r="HNG48" s="84" t="str">
        <f>IF(ISNUMBER(outYear),HNG37+HNG42+#REF!+#REF!,"")</f>
        <v/>
      </c>
      <c r="HNH48" s="84" t="str">
        <f>IF(ISNUMBER(outYear),HNH37+HNH42+#REF!+#REF!,"")</f>
        <v/>
      </c>
      <c r="HNI48" s="84" t="str">
        <f>IF(ISNUMBER(outYear),HNI37+HNI42+#REF!+#REF!,"")</f>
        <v/>
      </c>
      <c r="HNJ48" s="84" t="str">
        <f>IF(ISNUMBER(outYear),HNJ37+HNJ42+#REF!+#REF!,"")</f>
        <v/>
      </c>
      <c r="HNK48" s="84" t="str">
        <f>IF(ISNUMBER(outYear),HNK37+HNK42+#REF!+#REF!,"")</f>
        <v/>
      </c>
      <c r="HNL48" s="84" t="str">
        <f>IF(ISNUMBER(outYear),HNL37+HNL42+#REF!+#REF!,"")</f>
        <v/>
      </c>
      <c r="HNM48" s="84" t="str">
        <f>IF(ISNUMBER(outYear),HNM37+HNM42+#REF!+#REF!,"")</f>
        <v/>
      </c>
      <c r="HNN48" s="84" t="str">
        <f>IF(ISNUMBER(outYear),HNN37+HNN42+#REF!+#REF!,"")</f>
        <v/>
      </c>
      <c r="HNO48" s="84" t="str">
        <f>IF(ISNUMBER(outYear),HNO37+HNO42+#REF!+#REF!,"")</f>
        <v/>
      </c>
      <c r="HNP48" s="84" t="str">
        <f>IF(ISNUMBER(outYear),HNP37+HNP42+#REF!+#REF!,"")</f>
        <v/>
      </c>
      <c r="HNQ48" s="84" t="str">
        <f>IF(ISNUMBER(outYear),HNQ37+HNQ42+#REF!+#REF!,"")</f>
        <v/>
      </c>
      <c r="HNR48" s="84" t="str">
        <f>IF(ISNUMBER(outYear),HNR37+HNR42+#REF!+#REF!,"")</f>
        <v/>
      </c>
      <c r="HNS48" s="84" t="str">
        <f>IF(ISNUMBER(outYear),HNS37+HNS42+#REF!+#REF!,"")</f>
        <v/>
      </c>
      <c r="HNT48" s="84" t="str">
        <f>IF(ISNUMBER(outYear),HNT37+HNT42+#REF!+#REF!,"")</f>
        <v/>
      </c>
      <c r="HNU48" s="84" t="str">
        <f>IF(ISNUMBER(outYear),HNU37+HNU42+#REF!+#REF!,"")</f>
        <v/>
      </c>
      <c r="HNV48" s="84" t="str">
        <f>IF(ISNUMBER(outYear),HNV37+HNV42+#REF!+#REF!,"")</f>
        <v/>
      </c>
      <c r="HNW48" s="84" t="str">
        <f>IF(ISNUMBER(outYear),HNW37+HNW42+#REF!+#REF!,"")</f>
        <v/>
      </c>
      <c r="HNX48" s="84" t="str">
        <f>IF(ISNUMBER(outYear),HNX37+HNX42+#REF!+#REF!,"")</f>
        <v/>
      </c>
      <c r="HNY48" s="84" t="str">
        <f>IF(ISNUMBER(outYear),HNY37+HNY42+#REF!+#REF!,"")</f>
        <v/>
      </c>
      <c r="HNZ48" s="84" t="str">
        <f>IF(ISNUMBER(outYear),HNZ37+HNZ42+#REF!+#REF!,"")</f>
        <v/>
      </c>
      <c r="HOA48" s="84" t="str">
        <f>IF(ISNUMBER(outYear),HOA37+HOA42+#REF!+#REF!,"")</f>
        <v/>
      </c>
      <c r="HOB48" s="84" t="str">
        <f>IF(ISNUMBER(outYear),HOB37+HOB42+#REF!+#REF!,"")</f>
        <v/>
      </c>
      <c r="HOC48" s="84" t="str">
        <f>IF(ISNUMBER(outYear),HOC37+HOC42+#REF!+#REF!,"")</f>
        <v/>
      </c>
      <c r="HOD48" s="84" t="str">
        <f>IF(ISNUMBER(outYear),HOD37+HOD42+#REF!+#REF!,"")</f>
        <v/>
      </c>
      <c r="HOE48" s="84" t="str">
        <f>IF(ISNUMBER(outYear),HOE37+HOE42+#REF!+#REF!,"")</f>
        <v/>
      </c>
      <c r="HOF48" s="84" t="str">
        <f>IF(ISNUMBER(outYear),HOF37+HOF42+#REF!+#REF!,"")</f>
        <v/>
      </c>
      <c r="HOG48" s="84" t="str">
        <f>IF(ISNUMBER(outYear),HOG37+HOG42+#REF!+#REF!,"")</f>
        <v/>
      </c>
      <c r="HOH48" s="84" t="str">
        <f>IF(ISNUMBER(outYear),HOH37+HOH42+#REF!+#REF!,"")</f>
        <v/>
      </c>
      <c r="HOI48" s="84" t="str">
        <f>IF(ISNUMBER(outYear),HOI37+HOI42+#REF!+#REF!,"")</f>
        <v/>
      </c>
      <c r="HOJ48" s="84" t="str">
        <f>IF(ISNUMBER(outYear),HOJ37+HOJ42+#REF!+#REF!,"")</f>
        <v/>
      </c>
      <c r="HOK48" s="84" t="str">
        <f>IF(ISNUMBER(outYear),HOK37+HOK42+#REF!+#REF!,"")</f>
        <v/>
      </c>
      <c r="HOL48" s="84" t="str">
        <f>IF(ISNUMBER(outYear),HOL37+HOL42+#REF!+#REF!,"")</f>
        <v/>
      </c>
      <c r="HOM48" s="84" t="str">
        <f>IF(ISNUMBER(outYear),HOM37+HOM42+#REF!+#REF!,"")</f>
        <v/>
      </c>
      <c r="HON48" s="84" t="str">
        <f>IF(ISNUMBER(outYear),HON37+HON42+#REF!+#REF!,"")</f>
        <v/>
      </c>
      <c r="HOO48" s="84" t="str">
        <f>IF(ISNUMBER(outYear),HOO37+HOO42+#REF!+#REF!,"")</f>
        <v/>
      </c>
      <c r="HOP48" s="84" t="str">
        <f>IF(ISNUMBER(outYear),HOP37+HOP42+#REF!+#REF!,"")</f>
        <v/>
      </c>
      <c r="HOQ48" s="84" t="str">
        <f>IF(ISNUMBER(outYear),HOQ37+HOQ42+#REF!+#REF!,"")</f>
        <v/>
      </c>
      <c r="HOR48" s="84" t="str">
        <f>IF(ISNUMBER(outYear),HOR37+HOR42+#REF!+#REF!,"")</f>
        <v/>
      </c>
      <c r="HOS48" s="84" t="str">
        <f>IF(ISNUMBER(outYear),HOS37+HOS42+#REF!+#REF!,"")</f>
        <v/>
      </c>
      <c r="HOT48" s="84" t="str">
        <f>IF(ISNUMBER(outYear),HOT37+HOT42+#REF!+#REF!,"")</f>
        <v/>
      </c>
      <c r="HOU48" s="84" t="str">
        <f>IF(ISNUMBER(outYear),HOU37+HOU42+#REF!+#REF!,"")</f>
        <v/>
      </c>
      <c r="HOV48" s="84" t="str">
        <f>IF(ISNUMBER(outYear),HOV37+HOV42+#REF!+#REF!,"")</f>
        <v/>
      </c>
      <c r="HOW48" s="84" t="str">
        <f>IF(ISNUMBER(outYear),HOW37+HOW42+#REF!+#REF!,"")</f>
        <v/>
      </c>
      <c r="HOX48" s="84" t="str">
        <f>IF(ISNUMBER(outYear),HOX37+HOX42+#REF!+#REF!,"")</f>
        <v/>
      </c>
      <c r="HOY48" s="84" t="str">
        <f>IF(ISNUMBER(outYear),HOY37+HOY42+#REF!+#REF!,"")</f>
        <v/>
      </c>
      <c r="HOZ48" s="84" t="str">
        <f>IF(ISNUMBER(outYear),HOZ37+HOZ42+#REF!+#REF!,"")</f>
        <v/>
      </c>
      <c r="HPA48" s="84" t="str">
        <f>IF(ISNUMBER(outYear),HPA37+HPA42+#REF!+#REF!,"")</f>
        <v/>
      </c>
      <c r="HPB48" s="84" t="str">
        <f>IF(ISNUMBER(outYear),HPB37+HPB42+#REF!+#REF!,"")</f>
        <v/>
      </c>
      <c r="HPC48" s="84" t="str">
        <f>IF(ISNUMBER(outYear),HPC37+HPC42+#REF!+#REF!,"")</f>
        <v/>
      </c>
      <c r="HPD48" s="84" t="str">
        <f>IF(ISNUMBER(outYear),HPD37+HPD42+#REF!+#REF!,"")</f>
        <v/>
      </c>
      <c r="HPE48" s="84" t="str">
        <f>IF(ISNUMBER(outYear),HPE37+HPE42+#REF!+#REF!,"")</f>
        <v/>
      </c>
      <c r="HPF48" s="84" t="str">
        <f>IF(ISNUMBER(outYear),HPF37+HPF42+#REF!+#REF!,"")</f>
        <v/>
      </c>
      <c r="HPG48" s="84" t="str">
        <f>IF(ISNUMBER(outYear),HPG37+HPG42+#REF!+#REF!,"")</f>
        <v/>
      </c>
      <c r="HPH48" s="84" t="str">
        <f>IF(ISNUMBER(outYear),HPH37+HPH42+#REF!+#REF!,"")</f>
        <v/>
      </c>
      <c r="HPI48" s="84" t="str">
        <f>IF(ISNUMBER(outYear),HPI37+HPI42+#REF!+#REF!,"")</f>
        <v/>
      </c>
      <c r="HPJ48" s="84" t="str">
        <f>IF(ISNUMBER(outYear),HPJ37+HPJ42+#REF!+#REF!,"")</f>
        <v/>
      </c>
      <c r="HPK48" s="84" t="str">
        <f>IF(ISNUMBER(outYear),HPK37+HPK42+#REF!+#REF!,"")</f>
        <v/>
      </c>
      <c r="HPL48" s="84" t="str">
        <f>IF(ISNUMBER(outYear),HPL37+HPL42+#REF!+#REF!,"")</f>
        <v/>
      </c>
      <c r="HPM48" s="84" t="str">
        <f>IF(ISNUMBER(outYear),HPM37+HPM42+#REF!+#REF!,"")</f>
        <v/>
      </c>
      <c r="HPN48" s="84" t="str">
        <f>IF(ISNUMBER(outYear),HPN37+HPN42+#REF!+#REF!,"")</f>
        <v/>
      </c>
      <c r="HPO48" s="84" t="str">
        <f>IF(ISNUMBER(outYear),HPO37+HPO42+#REF!+#REF!,"")</f>
        <v/>
      </c>
      <c r="HPP48" s="84" t="str">
        <f>IF(ISNUMBER(outYear),HPP37+HPP42+#REF!+#REF!,"")</f>
        <v/>
      </c>
      <c r="HPQ48" s="84" t="str">
        <f>IF(ISNUMBER(outYear),HPQ37+HPQ42+#REF!+#REF!,"")</f>
        <v/>
      </c>
      <c r="HPR48" s="84" t="str">
        <f>IF(ISNUMBER(outYear),HPR37+HPR42+#REF!+#REF!,"")</f>
        <v/>
      </c>
      <c r="HPS48" s="84" t="str">
        <f>IF(ISNUMBER(outYear),HPS37+HPS42+#REF!+#REF!,"")</f>
        <v/>
      </c>
      <c r="HPT48" s="84" t="str">
        <f>IF(ISNUMBER(outYear),HPT37+HPT42+#REF!+#REF!,"")</f>
        <v/>
      </c>
      <c r="HPU48" s="84" t="str">
        <f>IF(ISNUMBER(outYear),HPU37+HPU42+#REF!+#REF!,"")</f>
        <v/>
      </c>
      <c r="HPV48" s="84" t="str">
        <f>IF(ISNUMBER(outYear),HPV37+HPV42+#REF!+#REF!,"")</f>
        <v/>
      </c>
      <c r="HPW48" s="84" t="str">
        <f>IF(ISNUMBER(outYear),HPW37+HPW42+#REF!+#REF!,"")</f>
        <v/>
      </c>
      <c r="HPX48" s="84" t="str">
        <f>IF(ISNUMBER(outYear),HPX37+HPX42+#REF!+#REF!,"")</f>
        <v/>
      </c>
      <c r="HPY48" s="84" t="str">
        <f>IF(ISNUMBER(outYear),HPY37+HPY42+#REF!+#REF!,"")</f>
        <v/>
      </c>
      <c r="HPZ48" s="84" t="str">
        <f>IF(ISNUMBER(outYear),HPZ37+HPZ42+#REF!+#REF!,"")</f>
        <v/>
      </c>
      <c r="HQA48" s="84" t="str">
        <f>IF(ISNUMBER(outYear),HQA37+HQA42+#REF!+#REF!,"")</f>
        <v/>
      </c>
      <c r="HQB48" s="84" t="str">
        <f>IF(ISNUMBER(outYear),HQB37+HQB42+#REF!+#REF!,"")</f>
        <v/>
      </c>
      <c r="HQC48" s="84" t="str">
        <f>IF(ISNUMBER(outYear),HQC37+HQC42+#REF!+#REF!,"")</f>
        <v/>
      </c>
      <c r="HQD48" s="84" t="str">
        <f>IF(ISNUMBER(outYear),HQD37+HQD42+#REF!+#REF!,"")</f>
        <v/>
      </c>
      <c r="HQE48" s="84" t="str">
        <f>IF(ISNUMBER(outYear),HQE37+HQE42+#REF!+#REF!,"")</f>
        <v/>
      </c>
      <c r="HQF48" s="84" t="str">
        <f>IF(ISNUMBER(outYear),HQF37+HQF42+#REF!+#REF!,"")</f>
        <v/>
      </c>
      <c r="HQG48" s="84" t="str">
        <f>IF(ISNUMBER(outYear),HQG37+HQG42+#REF!+#REF!,"")</f>
        <v/>
      </c>
      <c r="HQH48" s="84" t="str">
        <f>IF(ISNUMBER(outYear),HQH37+HQH42+#REF!+#REF!,"")</f>
        <v/>
      </c>
      <c r="HQI48" s="84" t="str">
        <f>IF(ISNUMBER(outYear),HQI37+HQI42+#REF!+#REF!,"")</f>
        <v/>
      </c>
      <c r="HQJ48" s="84" t="str">
        <f>IF(ISNUMBER(outYear),HQJ37+HQJ42+#REF!+#REF!,"")</f>
        <v/>
      </c>
      <c r="HQK48" s="84" t="str">
        <f>IF(ISNUMBER(outYear),HQK37+HQK42+#REF!+#REF!,"")</f>
        <v/>
      </c>
      <c r="HQL48" s="84" t="str">
        <f>IF(ISNUMBER(outYear),HQL37+HQL42+#REF!+#REF!,"")</f>
        <v/>
      </c>
      <c r="HQM48" s="84" t="str">
        <f>IF(ISNUMBER(outYear),HQM37+HQM42+#REF!+#REF!,"")</f>
        <v/>
      </c>
      <c r="HQN48" s="84" t="str">
        <f>IF(ISNUMBER(outYear),HQN37+HQN42+#REF!+#REF!,"")</f>
        <v/>
      </c>
      <c r="HQO48" s="84" t="str">
        <f>IF(ISNUMBER(outYear),HQO37+HQO42+#REF!+#REF!,"")</f>
        <v/>
      </c>
      <c r="HQP48" s="84" t="str">
        <f>IF(ISNUMBER(outYear),HQP37+HQP42+#REF!+#REF!,"")</f>
        <v/>
      </c>
      <c r="HQQ48" s="84" t="str">
        <f>IF(ISNUMBER(outYear),HQQ37+HQQ42+#REF!+#REF!,"")</f>
        <v/>
      </c>
      <c r="HQR48" s="84" t="str">
        <f>IF(ISNUMBER(outYear),HQR37+HQR42+#REF!+#REF!,"")</f>
        <v/>
      </c>
      <c r="HQS48" s="84" t="str">
        <f>IF(ISNUMBER(outYear),HQS37+HQS42+#REF!+#REF!,"")</f>
        <v/>
      </c>
      <c r="HQT48" s="84" t="str">
        <f>IF(ISNUMBER(outYear),HQT37+HQT42+#REF!+#REF!,"")</f>
        <v/>
      </c>
      <c r="HQU48" s="84" t="str">
        <f>IF(ISNUMBER(outYear),HQU37+HQU42+#REF!+#REF!,"")</f>
        <v/>
      </c>
      <c r="HQV48" s="84" t="str">
        <f>IF(ISNUMBER(outYear),HQV37+HQV42+#REF!+#REF!,"")</f>
        <v/>
      </c>
      <c r="HQW48" s="84" t="str">
        <f>IF(ISNUMBER(outYear),HQW37+HQW42+#REF!+#REF!,"")</f>
        <v/>
      </c>
      <c r="HQX48" s="84" t="str">
        <f>IF(ISNUMBER(outYear),HQX37+HQX42+#REF!+#REF!,"")</f>
        <v/>
      </c>
      <c r="HQY48" s="84" t="str">
        <f>IF(ISNUMBER(outYear),HQY37+HQY42+#REF!+#REF!,"")</f>
        <v/>
      </c>
      <c r="HQZ48" s="84" t="str">
        <f>IF(ISNUMBER(outYear),HQZ37+HQZ42+#REF!+#REF!,"")</f>
        <v/>
      </c>
      <c r="HRA48" s="84" t="str">
        <f>IF(ISNUMBER(outYear),HRA37+HRA42+#REF!+#REF!,"")</f>
        <v/>
      </c>
      <c r="HRB48" s="84" t="str">
        <f>IF(ISNUMBER(outYear),HRB37+HRB42+#REF!+#REF!,"")</f>
        <v/>
      </c>
      <c r="HRC48" s="84" t="str">
        <f>IF(ISNUMBER(outYear),HRC37+HRC42+#REF!+#REF!,"")</f>
        <v/>
      </c>
      <c r="HRD48" s="84" t="str">
        <f>IF(ISNUMBER(outYear),HRD37+HRD42+#REF!+#REF!,"")</f>
        <v/>
      </c>
      <c r="HRE48" s="84" t="str">
        <f>IF(ISNUMBER(outYear),HRE37+HRE42+#REF!+#REF!,"")</f>
        <v/>
      </c>
      <c r="HRF48" s="84" t="str">
        <f>IF(ISNUMBER(outYear),HRF37+HRF42+#REF!+#REF!,"")</f>
        <v/>
      </c>
      <c r="HRG48" s="84" t="str">
        <f>IF(ISNUMBER(outYear),HRG37+HRG42+#REF!+#REF!,"")</f>
        <v/>
      </c>
      <c r="HRH48" s="84" t="str">
        <f>IF(ISNUMBER(outYear),HRH37+HRH42+#REF!+#REF!,"")</f>
        <v/>
      </c>
      <c r="HRI48" s="84" t="str">
        <f>IF(ISNUMBER(outYear),HRI37+HRI42+#REF!+#REF!,"")</f>
        <v/>
      </c>
      <c r="HRJ48" s="84" t="str">
        <f>IF(ISNUMBER(outYear),HRJ37+HRJ42+#REF!+#REF!,"")</f>
        <v/>
      </c>
      <c r="HRK48" s="84" t="str">
        <f>IF(ISNUMBER(outYear),HRK37+HRK42+#REF!+#REF!,"")</f>
        <v/>
      </c>
      <c r="HRL48" s="84" t="str">
        <f>IF(ISNUMBER(outYear),HRL37+HRL42+#REF!+#REF!,"")</f>
        <v/>
      </c>
      <c r="HRM48" s="84" t="str">
        <f>IF(ISNUMBER(outYear),HRM37+HRM42+#REF!+#REF!,"")</f>
        <v/>
      </c>
      <c r="HRN48" s="84" t="str">
        <f>IF(ISNUMBER(outYear),HRN37+HRN42+#REF!+#REF!,"")</f>
        <v/>
      </c>
      <c r="HRO48" s="84" t="str">
        <f>IF(ISNUMBER(outYear),HRO37+HRO42+#REF!+#REF!,"")</f>
        <v/>
      </c>
      <c r="HRP48" s="84" t="str">
        <f>IF(ISNUMBER(outYear),HRP37+HRP42+#REF!+#REF!,"")</f>
        <v/>
      </c>
      <c r="HRQ48" s="84" t="str">
        <f>IF(ISNUMBER(outYear),HRQ37+HRQ42+#REF!+#REF!,"")</f>
        <v/>
      </c>
      <c r="HRR48" s="84" t="str">
        <f>IF(ISNUMBER(outYear),HRR37+HRR42+#REF!+#REF!,"")</f>
        <v/>
      </c>
      <c r="HRS48" s="84" t="str">
        <f>IF(ISNUMBER(outYear),HRS37+HRS42+#REF!+#REF!,"")</f>
        <v/>
      </c>
      <c r="HRT48" s="84" t="str">
        <f>IF(ISNUMBER(outYear),HRT37+HRT42+#REF!+#REF!,"")</f>
        <v/>
      </c>
      <c r="HRU48" s="84" t="str">
        <f>IF(ISNUMBER(outYear),HRU37+HRU42+#REF!+#REF!,"")</f>
        <v/>
      </c>
      <c r="HRV48" s="84" t="str">
        <f>IF(ISNUMBER(outYear),HRV37+HRV42+#REF!+#REF!,"")</f>
        <v/>
      </c>
      <c r="HRW48" s="84" t="str">
        <f>IF(ISNUMBER(outYear),HRW37+HRW42+#REF!+#REF!,"")</f>
        <v/>
      </c>
      <c r="HRX48" s="84" t="str">
        <f>IF(ISNUMBER(outYear),HRX37+HRX42+#REF!+#REF!,"")</f>
        <v/>
      </c>
      <c r="HRY48" s="84" t="str">
        <f>IF(ISNUMBER(outYear),HRY37+HRY42+#REF!+#REF!,"")</f>
        <v/>
      </c>
      <c r="HRZ48" s="84" t="str">
        <f>IF(ISNUMBER(outYear),HRZ37+HRZ42+#REF!+#REF!,"")</f>
        <v/>
      </c>
      <c r="HSA48" s="84" t="str">
        <f>IF(ISNUMBER(outYear),HSA37+HSA42+#REF!+#REF!,"")</f>
        <v/>
      </c>
      <c r="HSB48" s="84" t="str">
        <f>IF(ISNUMBER(outYear),HSB37+HSB42+#REF!+#REF!,"")</f>
        <v/>
      </c>
      <c r="HSC48" s="84" t="str">
        <f>IF(ISNUMBER(outYear),HSC37+HSC42+#REF!+#REF!,"")</f>
        <v/>
      </c>
      <c r="HSD48" s="84" t="str">
        <f>IF(ISNUMBER(outYear),HSD37+HSD42+#REF!+#REF!,"")</f>
        <v/>
      </c>
      <c r="HSE48" s="84" t="str">
        <f>IF(ISNUMBER(outYear),HSE37+HSE42+#REF!+#REF!,"")</f>
        <v/>
      </c>
      <c r="HSF48" s="84" t="str">
        <f>IF(ISNUMBER(outYear),HSF37+HSF42+#REF!+#REF!,"")</f>
        <v/>
      </c>
      <c r="HSG48" s="84" t="str">
        <f>IF(ISNUMBER(outYear),HSG37+HSG42+#REF!+#REF!,"")</f>
        <v/>
      </c>
      <c r="HSH48" s="84" t="str">
        <f>IF(ISNUMBER(outYear),HSH37+HSH42+#REF!+#REF!,"")</f>
        <v/>
      </c>
      <c r="HSI48" s="84" t="str">
        <f>IF(ISNUMBER(outYear),HSI37+HSI42+#REF!+#REF!,"")</f>
        <v/>
      </c>
      <c r="HSJ48" s="84" t="str">
        <f>IF(ISNUMBER(outYear),HSJ37+HSJ42+#REF!+#REF!,"")</f>
        <v/>
      </c>
      <c r="HSK48" s="84" t="str">
        <f>IF(ISNUMBER(outYear),HSK37+HSK42+#REF!+#REF!,"")</f>
        <v/>
      </c>
      <c r="HSL48" s="84" t="str">
        <f>IF(ISNUMBER(outYear),HSL37+HSL42+#REF!+#REF!,"")</f>
        <v/>
      </c>
      <c r="HSM48" s="84" t="str">
        <f>IF(ISNUMBER(outYear),HSM37+HSM42+#REF!+#REF!,"")</f>
        <v/>
      </c>
      <c r="HSN48" s="84" t="str">
        <f>IF(ISNUMBER(outYear),HSN37+HSN42+#REF!+#REF!,"")</f>
        <v/>
      </c>
      <c r="HSO48" s="84" t="str">
        <f>IF(ISNUMBER(outYear),HSO37+HSO42+#REF!+#REF!,"")</f>
        <v/>
      </c>
      <c r="HSP48" s="84" t="str">
        <f>IF(ISNUMBER(outYear),HSP37+HSP42+#REF!+#REF!,"")</f>
        <v/>
      </c>
      <c r="HSQ48" s="84" t="str">
        <f>IF(ISNUMBER(outYear),HSQ37+HSQ42+#REF!+#REF!,"")</f>
        <v/>
      </c>
      <c r="HSR48" s="84" t="str">
        <f>IF(ISNUMBER(outYear),HSR37+HSR42+#REF!+#REF!,"")</f>
        <v/>
      </c>
      <c r="HSS48" s="84" t="str">
        <f>IF(ISNUMBER(outYear),HSS37+HSS42+#REF!+#REF!,"")</f>
        <v/>
      </c>
      <c r="HST48" s="84" t="str">
        <f>IF(ISNUMBER(outYear),HST37+HST42+#REF!+#REF!,"")</f>
        <v/>
      </c>
      <c r="HSU48" s="84" t="str">
        <f>IF(ISNUMBER(outYear),HSU37+HSU42+#REF!+#REF!,"")</f>
        <v/>
      </c>
      <c r="HSV48" s="84" t="str">
        <f>IF(ISNUMBER(outYear),HSV37+HSV42+#REF!+#REF!,"")</f>
        <v/>
      </c>
      <c r="HSW48" s="84" t="str">
        <f>IF(ISNUMBER(outYear),HSW37+HSW42+#REF!+#REF!,"")</f>
        <v/>
      </c>
      <c r="HSX48" s="84" t="str">
        <f>IF(ISNUMBER(outYear),HSX37+HSX42+#REF!+#REF!,"")</f>
        <v/>
      </c>
      <c r="HSY48" s="84" t="str">
        <f>IF(ISNUMBER(outYear),HSY37+HSY42+#REF!+#REF!,"")</f>
        <v/>
      </c>
      <c r="HSZ48" s="84" t="str">
        <f>IF(ISNUMBER(outYear),HSZ37+HSZ42+#REF!+#REF!,"")</f>
        <v/>
      </c>
      <c r="HTA48" s="84" t="str">
        <f>IF(ISNUMBER(outYear),HTA37+HTA42+#REF!+#REF!,"")</f>
        <v/>
      </c>
      <c r="HTB48" s="84" t="str">
        <f>IF(ISNUMBER(outYear),HTB37+HTB42+#REF!+#REF!,"")</f>
        <v/>
      </c>
      <c r="HTC48" s="84" t="str">
        <f>IF(ISNUMBER(outYear),HTC37+HTC42+#REF!+#REF!,"")</f>
        <v/>
      </c>
      <c r="HTD48" s="84" t="str">
        <f>IF(ISNUMBER(outYear),HTD37+HTD42+#REF!+#REF!,"")</f>
        <v/>
      </c>
      <c r="HTE48" s="84" t="str">
        <f>IF(ISNUMBER(outYear),HTE37+HTE42+#REF!+#REF!,"")</f>
        <v/>
      </c>
      <c r="HTF48" s="84" t="str">
        <f>IF(ISNUMBER(outYear),HTF37+HTF42+#REF!+#REF!,"")</f>
        <v/>
      </c>
      <c r="HTG48" s="84" t="str">
        <f>IF(ISNUMBER(outYear),HTG37+HTG42+#REF!+#REF!,"")</f>
        <v/>
      </c>
      <c r="HTH48" s="84" t="str">
        <f>IF(ISNUMBER(outYear),HTH37+HTH42+#REF!+#REF!,"")</f>
        <v/>
      </c>
      <c r="HTI48" s="84" t="str">
        <f>IF(ISNUMBER(outYear),HTI37+HTI42+#REF!+#REF!,"")</f>
        <v/>
      </c>
      <c r="HTJ48" s="84" t="str">
        <f>IF(ISNUMBER(outYear),HTJ37+HTJ42+#REF!+#REF!,"")</f>
        <v/>
      </c>
      <c r="HTK48" s="84" t="str">
        <f>IF(ISNUMBER(outYear),HTK37+HTK42+#REF!+#REF!,"")</f>
        <v/>
      </c>
      <c r="HTL48" s="84" t="str">
        <f>IF(ISNUMBER(outYear),HTL37+HTL42+#REF!+#REF!,"")</f>
        <v/>
      </c>
      <c r="HTM48" s="84" t="str">
        <f>IF(ISNUMBER(outYear),HTM37+HTM42+#REF!+#REF!,"")</f>
        <v/>
      </c>
      <c r="HTN48" s="84" t="str">
        <f>IF(ISNUMBER(outYear),HTN37+HTN42+#REF!+#REF!,"")</f>
        <v/>
      </c>
      <c r="HTO48" s="84" t="str">
        <f>IF(ISNUMBER(outYear),HTO37+HTO42+#REF!+#REF!,"")</f>
        <v/>
      </c>
      <c r="HTP48" s="84" t="str">
        <f>IF(ISNUMBER(outYear),HTP37+HTP42+#REF!+#REF!,"")</f>
        <v/>
      </c>
      <c r="HTQ48" s="84" t="str">
        <f>IF(ISNUMBER(outYear),HTQ37+HTQ42+#REF!+#REF!,"")</f>
        <v/>
      </c>
      <c r="HTR48" s="84" t="str">
        <f>IF(ISNUMBER(outYear),HTR37+HTR42+#REF!+#REF!,"")</f>
        <v/>
      </c>
      <c r="HTS48" s="84" t="str">
        <f>IF(ISNUMBER(outYear),HTS37+HTS42+#REF!+#REF!,"")</f>
        <v/>
      </c>
      <c r="HTT48" s="84" t="str">
        <f>IF(ISNUMBER(outYear),HTT37+HTT42+#REF!+#REF!,"")</f>
        <v/>
      </c>
      <c r="HTU48" s="84" t="str">
        <f>IF(ISNUMBER(outYear),HTU37+HTU42+#REF!+#REF!,"")</f>
        <v/>
      </c>
      <c r="HTV48" s="84" t="str">
        <f>IF(ISNUMBER(outYear),HTV37+HTV42+#REF!+#REF!,"")</f>
        <v/>
      </c>
      <c r="HTW48" s="84" t="str">
        <f>IF(ISNUMBER(outYear),HTW37+HTW42+#REF!+#REF!,"")</f>
        <v/>
      </c>
      <c r="HTX48" s="84" t="str">
        <f>IF(ISNUMBER(outYear),HTX37+HTX42+#REF!+#REF!,"")</f>
        <v/>
      </c>
      <c r="HTY48" s="84" t="str">
        <f>IF(ISNUMBER(outYear),HTY37+HTY42+#REF!+#REF!,"")</f>
        <v/>
      </c>
      <c r="HTZ48" s="84" t="str">
        <f>IF(ISNUMBER(outYear),HTZ37+HTZ42+#REF!+#REF!,"")</f>
        <v/>
      </c>
      <c r="HUA48" s="84" t="str">
        <f>IF(ISNUMBER(outYear),HUA37+HUA42+#REF!+#REF!,"")</f>
        <v/>
      </c>
      <c r="HUB48" s="84" t="str">
        <f>IF(ISNUMBER(outYear),HUB37+HUB42+#REF!+#REF!,"")</f>
        <v/>
      </c>
      <c r="HUC48" s="84" t="str">
        <f>IF(ISNUMBER(outYear),HUC37+HUC42+#REF!+#REF!,"")</f>
        <v/>
      </c>
      <c r="HUD48" s="84" t="str">
        <f>IF(ISNUMBER(outYear),HUD37+HUD42+#REF!+#REF!,"")</f>
        <v/>
      </c>
      <c r="HUE48" s="84" t="str">
        <f>IF(ISNUMBER(outYear),HUE37+HUE42+#REF!+#REF!,"")</f>
        <v/>
      </c>
      <c r="HUF48" s="84" t="str">
        <f>IF(ISNUMBER(outYear),HUF37+HUF42+#REF!+#REF!,"")</f>
        <v/>
      </c>
      <c r="HUG48" s="84" t="str">
        <f>IF(ISNUMBER(outYear),HUG37+HUG42+#REF!+#REF!,"")</f>
        <v/>
      </c>
      <c r="HUH48" s="84" t="str">
        <f>IF(ISNUMBER(outYear),HUH37+HUH42+#REF!+#REF!,"")</f>
        <v/>
      </c>
      <c r="HUI48" s="84" t="str">
        <f>IF(ISNUMBER(outYear),HUI37+HUI42+#REF!+#REF!,"")</f>
        <v/>
      </c>
      <c r="HUJ48" s="84" t="str">
        <f>IF(ISNUMBER(outYear),HUJ37+HUJ42+#REF!+#REF!,"")</f>
        <v/>
      </c>
      <c r="HUK48" s="84" t="str">
        <f>IF(ISNUMBER(outYear),HUK37+HUK42+#REF!+#REF!,"")</f>
        <v/>
      </c>
      <c r="HUL48" s="84" t="str">
        <f>IF(ISNUMBER(outYear),HUL37+HUL42+#REF!+#REF!,"")</f>
        <v/>
      </c>
      <c r="HUM48" s="84" t="str">
        <f>IF(ISNUMBER(outYear),HUM37+HUM42+#REF!+#REF!,"")</f>
        <v/>
      </c>
      <c r="HUN48" s="84" t="str">
        <f>IF(ISNUMBER(outYear),HUN37+HUN42+#REF!+#REF!,"")</f>
        <v/>
      </c>
      <c r="HUO48" s="84" t="str">
        <f>IF(ISNUMBER(outYear),HUO37+HUO42+#REF!+#REF!,"")</f>
        <v/>
      </c>
      <c r="HUP48" s="84" t="str">
        <f>IF(ISNUMBER(outYear),HUP37+HUP42+#REF!+#REF!,"")</f>
        <v/>
      </c>
      <c r="HUQ48" s="84" t="str">
        <f>IF(ISNUMBER(outYear),HUQ37+HUQ42+#REF!+#REF!,"")</f>
        <v/>
      </c>
      <c r="HUR48" s="84" t="str">
        <f>IF(ISNUMBER(outYear),HUR37+HUR42+#REF!+#REF!,"")</f>
        <v/>
      </c>
      <c r="HUS48" s="84" t="str">
        <f>IF(ISNUMBER(outYear),HUS37+HUS42+#REF!+#REF!,"")</f>
        <v/>
      </c>
      <c r="HUT48" s="84" t="str">
        <f>IF(ISNUMBER(outYear),HUT37+HUT42+#REF!+#REF!,"")</f>
        <v/>
      </c>
      <c r="HUU48" s="84" t="str">
        <f>IF(ISNUMBER(outYear),HUU37+HUU42+#REF!+#REF!,"")</f>
        <v/>
      </c>
      <c r="HUV48" s="84" t="str">
        <f>IF(ISNUMBER(outYear),HUV37+HUV42+#REF!+#REF!,"")</f>
        <v/>
      </c>
      <c r="HUW48" s="84" t="str">
        <f>IF(ISNUMBER(outYear),HUW37+HUW42+#REF!+#REF!,"")</f>
        <v/>
      </c>
      <c r="HUX48" s="84" t="str">
        <f>IF(ISNUMBER(outYear),HUX37+HUX42+#REF!+#REF!,"")</f>
        <v/>
      </c>
      <c r="HUY48" s="84" t="str">
        <f>IF(ISNUMBER(outYear),HUY37+HUY42+#REF!+#REF!,"")</f>
        <v/>
      </c>
      <c r="HUZ48" s="84" t="str">
        <f>IF(ISNUMBER(outYear),HUZ37+HUZ42+#REF!+#REF!,"")</f>
        <v/>
      </c>
      <c r="HVA48" s="84" t="str">
        <f>IF(ISNUMBER(outYear),HVA37+HVA42+#REF!+#REF!,"")</f>
        <v/>
      </c>
      <c r="HVB48" s="84" t="str">
        <f>IF(ISNUMBER(outYear),HVB37+HVB42+#REF!+#REF!,"")</f>
        <v/>
      </c>
      <c r="HVC48" s="84" t="str">
        <f>IF(ISNUMBER(outYear),HVC37+HVC42+#REF!+#REF!,"")</f>
        <v/>
      </c>
      <c r="HVD48" s="84" t="str">
        <f>IF(ISNUMBER(outYear),HVD37+HVD42+#REF!+#REF!,"")</f>
        <v/>
      </c>
      <c r="HVE48" s="84" t="str">
        <f>IF(ISNUMBER(outYear),HVE37+HVE42+#REF!+#REF!,"")</f>
        <v/>
      </c>
      <c r="HVF48" s="84" t="str">
        <f>IF(ISNUMBER(outYear),HVF37+HVF42+#REF!+#REF!,"")</f>
        <v/>
      </c>
      <c r="HVG48" s="84" t="str">
        <f>IF(ISNUMBER(outYear),HVG37+HVG42+#REF!+#REF!,"")</f>
        <v/>
      </c>
      <c r="HVH48" s="84" t="str">
        <f>IF(ISNUMBER(outYear),HVH37+HVH42+#REF!+#REF!,"")</f>
        <v/>
      </c>
      <c r="HVI48" s="84" t="str">
        <f>IF(ISNUMBER(outYear),HVI37+HVI42+#REF!+#REF!,"")</f>
        <v/>
      </c>
      <c r="HVJ48" s="84" t="str">
        <f>IF(ISNUMBER(outYear),HVJ37+HVJ42+#REF!+#REF!,"")</f>
        <v/>
      </c>
      <c r="HVK48" s="84" t="str">
        <f>IF(ISNUMBER(outYear),HVK37+HVK42+#REF!+#REF!,"")</f>
        <v/>
      </c>
      <c r="HVL48" s="84" t="str">
        <f>IF(ISNUMBER(outYear),HVL37+HVL42+#REF!+#REF!,"")</f>
        <v/>
      </c>
      <c r="HVM48" s="84" t="str">
        <f>IF(ISNUMBER(outYear),HVM37+HVM42+#REF!+#REF!,"")</f>
        <v/>
      </c>
      <c r="HVN48" s="84" t="str">
        <f>IF(ISNUMBER(outYear),HVN37+HVN42+#REF!+#REF!,"")</f>
        <v/>
      </c>
      <c r="HVO48" s="84" t="str">
        <f>IF(ISNUMBER(outYear),HVO37+HVO42+#REF!+#REF!,"")</f>
        <v/>
      </c>
      <c r="HVP48" s="84" t="str">
        <f>IF(ISNUMBER(outYear),HVP37+HVP42+#REF!+#REF!,"")</f>
        <v/>
      </c>
      <c r="HVQ48" s="84" t="str">
        <f>IF(ISNUMBER(outYear),HVQ37+HVQ42+#REF!+#REF!,"")</f>
        <v/>
      </c>
      <c r="HVR48" s="84" t="str">
        <f>IF(ISNUMBER(outYear),HVR37+HVR42+#REF!+#REF!,"")</f>
        <v/>
      </c>
      <c r="HVS48" s="84" t="str">
        <f>IF(ISNUMBER(outYear),HVS37+HVS42+#REF!+#REF!,"")</f>
        <v/>
      </c>
      <c r="HVT48" s="84" t="str">
        <f>IF(ISNUMBER(outYear),HVT37+HVT42+#REF!+#REF!,"")</f>
        <v/>
      </c>
      <c r="HVU48" s="84" t="str">
        <f>IF(ISNUMBER(outYear),HVU37+HVU42+#REF!+#REF!,"")</f>
        <v/>
      </c>
      <c r="HVV48" s="84" t="str">
        <f>IF(ISNUMBER(outYear),HVV37+HVV42+#REF!+#REF!,"")</f>
        <v/>
      </c>
      <c r="HVW48" s="84" t="str">
        <f>IF(ISNUMBER(outYear),HVW37+HVW42+#REF!+#REF!,"")</f>
        <v/>
      </c>
      <c r="HVX48" s="84" t="str">
        <f>IF(ISNUMBER(outYear),HVX37+HVX42+#REF!+#REF!,"")</f>
        <v/>
      </c>
      <c r="HVY48" s="84" t="str">
        <f>IF(ISNUMBER(outYear),HVY37+HVY42+#REF!+#REF!,"")</f>
        <v/>
      </c>
      <c r="HVZ48" s="84" t="str">
        <f>IF(ISNUMBER(outYear),HVZ37+HVZ42+#REF!+#REF!,"")</f>
        <v/>
      </c>
      <c r="HWA48" s="84" t="str">
        <f>IF(ISNUMBER(outYear),HWA37+HWA42+#REF!+#REF!,"")</f>
        <v/>
      </c>
      <c r="HWB48" s="84" t="str">
        <f>IF(ISNUMBER(outYear),HWB37+HWB42+#REF!+#REF!,"")</f>
        <v/>
      </c>
      <c r="HWC48" s="84" t="str">
        <f>IF(ISNUMBER(outYear),HWC37+HWC42+#REF!+#REF!,"")</f>
        <v/>
      </c>
      <c r="HWD48" s="84" t="str">
        <f>IF(ISNUMBER(outYear),HWD37+HWD42+#REF!+#REF!,"")</f>
        <v/>
      </c>
      <c r="HWE48" s="84" t="str">
        <f>IF(ISNUMBER(outYear),HWE37+HWE42+#REF!+#REF!,"")</f>
        <v/>
      </c>
      <c r="HWF48" s="84" t="str">
        <f>IF(ISNUMBER(outYear),HWF37+HWF42+#REF!+#REF!,"")</f>
        <v/>
      </c>
      <c r="HWG48" s="84" t="str">
        <f>IF(ISNUMBER(outYear),HWG37+HWG42+#REF!+#REF!,"")</f>
        <v/>
      </c>
      <c r="HWH48" s="84" t="str">
        <f>IF(ISNUMBER(outYear),HWH37+HWH42+#REF!+#REF!,"")</f>
        <v/>
      </c>
      <c r="HWI48" s="84" t="str">
        <f>IF(ISNUMBER(outYear),HWI37+HWI42+#REF!+#REF!,"")</f>
        <v/>
      </c>
      <c r="HWJ48" s="84" t="str">
        <f>IF(ISNUMBER(outYear),HWJ37+HWJ42+#REF!+#REF!,"")</f>
        <v/>
      </c>
      <c r="HWK48" s="84" t="str">
        <f>IF(ISNUMBER(outYear),HWK37+HWK42+#REF!+#REF!,"")</f>
        <v/>
      </c>
      <c r="HWL48" s="84" t="str">
        <f>IF(ISNUMBER(outYear),HWL37+HWL42+#REF!+#REF!,"")</f>
        <v/>
      </c>
      <c r="HWM48" s="84" t="str">
        <f>IF(ISNUMBER(outYear),HWM37+HWM42+#REF!+#REF!,"")</f>
        <v/>
      </c>
      <c r="HWN48" s="84" t="str">
        <f>IF(ISNUMBER(outYear),HWN37+HWN42+#REF!+#REF!,"")</f>
        <v/>
      </c>
      <c r="HWO48" s="84" t="str">
        <f>IF(ISNUMBER(outYear),HWO37+HWO42+#REF!+#REF!,"")</f>
        <v/>
      </c>
      <c r="HWP48" s="84" t="str">
        <f>IF(ISNUMBER(outYear),HWP37+HWP42+#REF!+#REF!,"")</f>
        <v/>
      </c>
      <c r="HWQ48" s="84" t="str">
        <f>IF(ISNUMBER(outYear),HWQ37+HWQ42+#REF!+#REF!,"")</f>
        <v/>
      </c>
      <c r="HWR48" s="84" t="str">
        <f>IF(ISNUMBER(outYear),HWR37+HWR42+#REF!+#REF!,"")</f>
        <v/>
      </c>
      <c r="HWS48" s="84" t="str">
        <f>IF(ISNUMBER(outYear),HWS37+HWS42+#REF!+#REF!,"")</f>
        <v/>
      </c>
      <c r="HWT48" s="84" t="str">
        <f>IF(ISNUMBER(outYear),HWT37+HWT42+#REF!+#REF!,"")</f>
        <v/>
      </c>
      <c r="HWU48" s="84" t="str">
        <f>IF(ISNUMBER(outYear),HWU37+HWU42+#REF!+#REF!,"")</f>
        <v/>
      </c>
      <c r="HWV48" s="84" t="str">
        <f>IF(ISNUMBER(outYear),HWV37+HWV42+#REF!+#REF!,"")</f>
        <v/>
      </c>
      <c r="HWW48" s="84" t="str">
        <f>IF(ISNUMBER(outYear),HWW37+HWW42+#REF!+#REF!,"")</f>
        <v/>
      </c>
      <c r="HWX48" s="84" t="str">
        <f>IF(ISNUMBER(outYear),HWX37+HWX42+#REF!+#REF!,"")</f>
        <v/>
      </c>
      <c r="HWY48" s="84" t="str">
        <f>IF(ISNUMBER(outYear),HWY37+HWY42+#REF!+#REF!,"")</f>
        <v/>
      </c>
      <c r="HWZ48" s="84" t="str">
        <f>IF(ISNUMBER(outYear),HWZ37+HWZ42+#REF!+#REF!,"")</f>
        <v/>
      </c>
      <c r="HXA48" s="84" t="str">
        <f>IF(ISNUMBER(outYear),HXA37+HXA42+#REF!+#REF!,"")</f>
        <v/>
      </c>
      <c r="HXB48" s="84" t="str">
        <f>IF(ISNUMBER(outYear),HXB37+HXB42+#REF!+#REF!,"")</f>
        <v/>
      </c>
      <c r="HXC48" s="84" t="str">
        <f>IF(ISNUMBER(outYear),HXC37+HXC42+#REF!+#REF!,"")</f>
        <v/>
      </c>
      <c r="HXD48" s="84" t="str">
        <f>IF(ISNUMBER(outYear),HXD37+HXD42+#REF!+#REF!,"")</f>
        <v/>
      </c>
      <c r="HXE48" s="84" t="str">
        <f>IF(ISNUMBER(outYear),HXE37+HXE42+#REF!+#REF!,"")</f>
        <v/>
      </c>
      <c r="HXF48" s="84" t="str">
        <f>IF(ISNUMBER(outYear),HXF37+HXF42+#REF!+#REF!,"")</f>
        <v/>
      </c>
      <c r="HXG48" s="84" t="str">
        <f>IF(ISNUMBER(outYear),HXG37+HXG42+#REF!+#REF!,"")</f>
        <v/>
      </c>
      <c r="HXH48" s="84" t="str">
        <f>IF(ISNUMBER(outYear),HXH37+HXH42+#REF!+#REF!,"")</f>
        <v/>
      </c>
      <c r="HXI48" s="84" t="str">
        <f>IF(ISNUMBER(outYear),HXI37+HXI42+#REF!+#REF!,"")</f>
        <v/>
      </c>
      <c r="HXJ48" s="84" t="str">
        <f>IF(ISNUMBER(outYear),HXJ37+HXJ42+#REF!+#REF!,"")</f>
        <v/>
      </c>
      <c r="HXK48" s="84" t="str">
        <f>IF(ISNUMBER(outYear),HXK37+HXK42+#REF!+#REF!,"")</f>
        <v/>
      </c>
      <c r="HXL48" s="84" t="str">
        <f>IF(ISNUMBER(outYear),HXL37+HXL42+#REF!+#REF!,"")</f>
        <v/>
      </c>
      <c r="HXM48" s="84" t="str">
        <f>IF(ISNUMBER(outYear),HXM37+HXM42+#REF!+#REF!,"")</f>
        <v/>
      </c>
      <c r="HXN48" s="84" t="str">
        <f>IF(ISNUMBER(outYear),HXN37+HXN42+#REF!+#REF!,"")</f>
        <v/>
      </c>
      <c r="HXO48" s="84" t="str">
        <f>IF(ISNUMBER(outYear),HXO37+HXO42+#REF!+#REF!,"")</f>
        <v/>
      </c>
      <c r="HXP48" s="84" t="str">
        <f>IF(ISNUMBER(outYear),HXP37+HXP42+#REF!+#REF!,"")</f>
        <v/>
      </c>
      <c r="HXQ48" s="84" t="str">
        <f>IF(ISNUMBER(outYear),HXQ37+HXQ42+#REF!+#REF!,"")</f>
        <v/>
      </c>
      <c r="HXR48" s="84" t="str">
        <f>IF(ISNUMBER(outYear),HXR37+HXR42+#REF!+#REF!,"")</f>
        <v/>
      </c>
      <c r="HXS48" s="84" t="str">
        <f>IF(ISNUMBER(outYear),HXS37+HXS42+#REF!+#REF!,"")</f>
        <v/>
      </c>
      <c r="HXT48" s="84" t="str">
        <f>IF(ISNUMBER(outYear),HXT37+HXT42+#REF!+#REF!,"")</f>
        <v/>
      </c>
      <c r="HXU48" s="84" t="str">
        <f>IF(ISNUMBER(outYear),HXU37+HXU42+#REF!+#REF!,"")</f>
        <v/>
      </c>
      <c r="HXV48" s="84" t="str">
        <f>IF(ISNUMBER(outYear),HXV37+HXV42+#REF!+#REF!,"")</f>
        <v/>
      </c>
      <c r="HXW48" s="84" t="str">
        <f>IF(ISNUMBER(outYear),HXW37+HXW42+#REF!+#REF!,"")</f>
        <v/>
      </c>
      <c r="HXX48" s="84" t="str">
        <f>IF(ISNUMBER(outYear),HXX37+HXX42+#REF!+#REF!,"")</f>
        <v/>
      </c>
      <c r="HXY48" s="84" t="str">
        <f>IF(ISNUMBER(outYear),HXY37+HXY42+#REF!+#REF!,"")</f>
        <v/>
      </c>
      <c r="HXZ48" s="84" t="str">
        <f>IF(ISNUMBER(outYear),HXZ37+HXZ42+#REF!+#REF!,"")</f>
        <v/>
      </c>
      <c r="HYA48" s="84" t="str">
        <f>IF(ISNUMBER(outYear),HYA37+HYA42+#REF!+#REF!,"")</f>
        <v/>
      </c>
      <c r="HYB48" s="84" t="str">
        <f>IF(ISNUMBER(outYear),HYB37+HYB42+#REF!+#REF!,"")</f>
        <v/>
      </c>
      <c r="HYC48" s="84" t="str">
        <f>IF(ISNUMBER(outYear),HYC37+HYC42+#REF!+#REF!,"")</f>
        <v/>
      </c>
      <c r="HYD48" s="84" t="str">
        <f>IF(ISNUMBER(outYear),HYD37+HYD42+#REF!+#REF!,"")</f>
        <v/>
      </c>
      <c r="HYE48" s="84" t="str">
        <f>IF(ISNUMBER(outYear),HYE37+HYE42+#REF!+#REF!,"")</f>
        <v/>
      </c>
      <c r="HYF48" s="84" t="str">
        <f>IF(ISNUMBER(outYear),HYF37+HYF42+#REF!+#REF!,"")</f>
        <v/>
      </c>
      <c r="HYG48" s="84" t="str">
        <f>IF(ISNUMBER(outYear),HYG37+HYG42+#REF!+#REF!,"")</f>
        <v/>
      </c>
      <c r="HYH48" s="84" t="str">
        <f>IF(ISNUMBER(outYear),HYH37+HYH42+#REF!+#REF!,"")</f>
        <v/>
      </c>
      <c r="HYI48" s="84" t="str">
        <f>IF(ISNUMBER(outYear),HYI37+HYI42+#REF!+#REF!,"")</f>
        <v/>
      </c>
      <c r="HYJ48" s="84" t="str">
        <f>IF(ISNUMBER(outYear),HYJ37+HYJ42+#REF!+#REF!,"")</f>
        <v/>
      </c>
      <c r="HYK48" s="84" t="str">
        <f>IF(ISNUMBER(outYear),HYK37+HYK42+#REF!+#REF!,"")</f>
        <v/>
      </c>
      <c r="HYL48" s="84" t="str">
        <f>IF(ISNUMBER(outYear),HYL37+HYL42+#REF!+#REF!,"")</f>
        <v/>
      </c>
      <c r="HYM48" s="84" t="str">
        <f>IF(ISNUMBER(outYear),HYM37+HYM42+#REF!+#REF!,"")</f>
        <v/>
      </c>
      <c r="HYN48" s="84" t="str">
        <f>IF(ISNUMBER(outYear),HYN37+HYN42+#REF!+#REF!,"")</f>
        <v/>
      </c>
      <c r="HYO48" s="84" t="str">
        <f>IF(ISNUMBER(outYear),HYO37+HYO42+#REF!+#REF!,"")</f>
        <v/>
      </c>
      <c r="HYP48" s="84" t="str">
        <f>IF(ISNUMBER(outYear),HYP37+HYP42+#REF!+#REF!,"")</f>
        <v/>
      </c>
      <c r="HYQ48" s="84" t="str">
        <f>IF(ISNUMBER(outYear),HYQ37+HYQ42+#REF!+#REF!,"")</f>
        <v/>
      </c>
      <c r="HYR48" s="84" t="str">
        <f>IF(ISNUMBER(outYear),HYR37+HYR42+#REF!+#REF!,"")</f>
        <v/>
      </c>
      <c r="HYS48" s="84" t="str">
        <f>IF(ISNUMBER(outYear),HYS37+HYS42+#REF!+#REF!,"")</f>
        <v/>
      </c>
      <c r="HYT48" s="84" t="str">
        <f>IF(ISNUMBER(outYear),HYT37+HYT42+#REF!+#REF!,"")</f>
        <v/>
      </c>
      <c r="HYU48" s="84" t="str">
        <f>IF(ISNUMBER(outYear),HYU37+HYU42+#REF!+#REF!,"")</f>
        <v/>
      </c>
      <c r="HYV48" s="84" t="str">
        <f>IF(ISNUMBER(outYear),HYV37+HYV42+#REF!+#REF!,"")</f>
        <v/>
      </c>
      <c r="HYW48" s="84" t="str">
        <f>IF(ISNUMBER(outYear),HYW37+HYW42+#REF!+#REF!,"")</f>
        <v/>
      </c>
      <c r="HYX48" s="84" t="str">
        <f>IF(ISNUMBER(outYear),HYX37+HYX42+#REF!+#REF!,"")</f>
        <v/>
      </c>
      <c r="HYY48" s="84" t="str">
        <f>IF(ISNUMBER(outYear),HYY37+HYY42+#REF!+#REF!,"")</f>
        <v/>
      </c>
      <c r="HYZ48" s="84" t="str">
        <f>IF(ISNUMBER(outYear),HYZ37+HYZ42+#REF!+#REF!,"")</f>
        <v/>
      </c>
      <c r="HZA48" s="84" t="str">
        <f>IF(ISNUMBER(outYear),HZA37+HZA42+#REF!+#REF!,"")</f>
        <v/>
      </c>
      <c r="HZB48" s="84" t="str">
        <f>IF(ISNUMBER(outYear),HZB37+HZB42+#REF!+#REF!,"")</f>
        <v/>
      </c>
      <c r="HZC48" s="84" t="str">
        <f>IF(ISNUMBER(outYear),HZC37+HZC42+#REF!+#REF!,"")</f>
        <v/>
      </c>
      <c r="HZD48" s="84" t="str">
        <f>IF(ISNUMBER(outYear),HZD37+HZD42+#REF!+#REF!,"")</f>
        <v/>
      </c>
      <c r="HZE48" s="84" t="str">
        <f>IF(ISNUMBER(outYear),HZE37+HZE42+#REF!+#REF!,"")</f>
        <v/>
      </c>
      <c r="HZF48" s="84" t="str">
        <f>IF(ISNUMBER(outYear),HZF37+HZF42+#REF!+#REF!,"")</f>
        <v/>
      </c>
      <c r="HZG48" s="84" t="str">
        <f>IF(ISNUMBER(outYear),HZG37+HZG42+#REF!+#REF!,"")</f>
        <v/>
      </c>
      <c r="HZH48" s="84" t="str">
        <f>IF(ISNUMBER(outYear),HZH37+HZH42+#REF!+#REF!,"")</f>
        <v/>
      </c>
      <c r="HZI48" s="84" t="str">
        <f>IF(ISNUMBER(outYear),HZI37+HZI42+#REF!+#REF!,"")</f>
        <v/>
      </c>
      <c r="HZJ48" s="84" t="str">
        <f>IF(ISNUMBER(outYear),HZJ37+HZJ42+#REF!+#REF!,"")</f>
        <v/>
      </c>
      <c r="HZK48" s="84" t="str">
        <f>IF(ISNUMBER(outYear),HZK37+HZK42+#REF!+#REF!,"")</f>
        <v/>
      </c>
      <c r="HZL48" s="84" t="str">
        <f>IF(ISNUMBER(outYear),HZL37+HZL42+#REF!+#REF!,"")</f>
        <v/>
      </c>
      <c r="HZM48" s="84" t="str">
        <f>IF(ISNUMBER(outYear),HZM37+HZM42+#REF!+#REF!,"")</f>
        <v/>
      </c>
      <c r="HZN48" s="84" t="str">
        <f>IF(ISNUMBER(outYear),HZN37+HZN42+#REF!+#REF!,"")</f>
        <v/>
      </c>
      <c r="HZO48" s="84" t="str">
        <f>IF(ISNUMBER(outYear),HZO37+HZO42+#REF!+#REF!,"")</f>
        <v/>
      </c>
      <c r="HZP48" s="84" t="str">
        <f>IF(ISNUMBER(outYear),HZP37+HZP42+#REF!+#REF!,"")</f>
        <v/>
      </c>
      <c r="HZQ48" s="84" t="str">
        <f>IF(ISNUMBER(outYear),HZQ37+HZQ42+#REF!+#REF!,"")</f>
        <v/>
      </c>
      <c r="HZR48" s="84" t="str">
        <f>IF(ISNUMBER(outYear),HZR37+HZR42+#REF!+#REF!,"")</f>
        <v/>
      </c>
      <c r="HZS48" s="84" t="str">
        <f>IF(ISNUMBER(outYear),HZS37+HZS42+#REF!+#REF!,"")</f>
        <v/>
      </c>
      <c r="HZT48" s="84" t="str">
        <f>IF(ISNUMBER(outYear),HZT37+HZT42+#REF!+#REF!,"")</f>
        <v/>
      </c>
      <c r="HZU48" s="84" t="str">
        <f>IF(ISNUMBER(outYear),HZU37+HZU42+#REF!+#REF!,"")</f>
        <v/>
      </c>
      <c r="HZV48" s="84" t="str">
        <f>IF(ISNUMBER(outYear),HZV37+HZV42+#REF!+#REF!,"")</f>
        <v/>
      </c>
      <c r="HZW48" s="84" t="str">
        <f>IF(ISNUMBER(outYear),HZW37+HZW42+#REF!+#REF!,"")</f>
        <v/>
      </c>
      <c r="HZX48" s="84" t="str">
        <f>IF(ISNUMBER(outYear),HZX37+HZX42+#REF!+#REF!,"")</f>
        <v/>
      </c>
      <c r="HZY48" s="84" t="str">
        <f>IF(ISNUMBER(outYear),HZY37+HZY42+#REF!+#REF!,"")</f>
        <v/>
      </c>
      <c r="HZZ48" s="84" t="str">
        <f>IF(ISNUMBER(outYear),HZZ37+HZZ42+#REF!+#REF!,"")</f>
        <v/>
      </c>
      <c r="IAA48" s="84" t="str">
        <f>IF(ISNUMBER(outYear),IAA37+IAA42+#REF!+#REF!,"")</f>
        <v/>
      </c>
      <c r="IAB48" s="84" t="str">
        <f>IF(ISNUMBER(outYear),IAB37+IAB42+#REF!+#REF!,"")</f>
        <v/>
      </c>
      <c r="IAC48" s="84" t="str">
        <f>IF(ISNUMBER(outYear),IAC37+IAC42+#REF!+#REF!,"")</f>
        <v/>
      </c>
      <c r="IAD48" s="84" t="str">
        <f>IF(ISNUMBER(outYear),IAD37+IAD42+#REF!+#REF!,"")</f>
        <v/>
      </c>
      <c r="IAE48" s="84" t="str">
        <f>IF(ISNUMBER(outYear),IAE37+IAE42+#REF!+#REF!,"")</f>
        <v/>
      </c>
      <c r="IAF48" s="84" t="str">
        <f>IF(ISNUMBER(outYear),IAF37+IAF42+#REF!+#REF!,"")</f>
        <v/>
      </c>
      <c r="IAG48" s="84" t="str">
        <f>IF(ISNUMBER(outYear),IAG37+IAG42+#REF!+#REF!,"")</f>
        <v/>
      </c>
      <c r="IAH48" s="84" t="str">
        <f>IF(ISNUMBER(outYear),IAH37+IAH42+#REF!+#REF!,"")</f>
        <v/>
      </c>
      <c r="IAI48" s="84" t="str">
        <f>IF(ISNUMBER(outYear),IAI37+IAI42+#REF!+#REF!,"")</f>
        <v/>
      </c>
      <c r="IAJ48" s="84" t="str">
        <f>IF(ISNUMBER(outYear),IAJ37+IAJ42+#REF!+#REF!,"")</f>
        <v/>
      </c>
      <c r="IAK48" s="84" t="str">
        <f>IF(ISNUMBER(outYear),IAK37+IAK42+#REF!+#REF!,"")</f>
        <v/>
      </c>
      <c r="IAL48" s="84" t="str">
        <f>IF(ISNUMBER(outYear),IAL37+IAL42+#REF!+#REF!,"")</f>
        <v/>
      </c>
      <c r="IAM48" s="84" t="str">
        <f>IF(ISNUMBER(outYear),IAM37+IAM42+#REF!+#REF!,"")</f>
        <v/>
      </c>
      <c r="IAN48" s="84" t="str">
        <f>IF(ISNUMBER(outYear),IAN37+IAN42+#REF!+#REF!,"")</f>
        <v/>
      </c>
      <c r="IAO48" s="84" t="str">
        <f>IF(ISNUMBER(outYear),IAO37+IAO42+#REF!+#REF!,"")</f>
        <v/>
      </c>
      <c r="IAP48" s="84" t="str">
        <f>IF(ISNUMBER(outYear),IAP37+IAP42+#REF!+#REF!,"")</f>
        <v/>
      </c>
      <c r="IAQ48" s="84" t="str">
        <f>IF(ISNUMBER(outYear),IAQ37+IAQ42+#REF!+#REF!,"")</f>
        <v/>
      </c>
      <c r="IAR48" s="84" t="str">
        <f>IF(ISNUMBER(outYear),IAR37+IAR42+#REF!+#REF!,"")</f>
        <v/>
      </c>
      <c r="IAS48" s="84" t="str">
        <f>IF(ISNUMBER(outYear),IAS37+IAS42+#REF!+#REF!,"")</f>
        <v/>
      </c>
      <c r="IAT48" s="84" t="str">
        <f>IF(ISNUMBER(outYear),IAT37+IAT42+#REF!+#REF!,"")</f>
        <v/>
      </c>
      <c r="IAU48" s="84" t="str">
        <f>IF(ISNUMBER(outYear),IAU37+IAU42+#REF!+#REF!,"")</f>
        <v/>
      </c>
      <c r="IAV48" s="84" t="str">
        <f>IF(ISNUMBER(outYear),IAV37+IAV42+#REF!+#REF!,"")</f>
        <v/>
      </c>
      <c r="IAW48" s="84" t="str">
        <f>IF(ISNUMBER(outYear),IAW37+IAW42+#REF!+#REF!,"")</f>
        <v/>
      </c>
      <c r="IAX48" s="84" t="str">
        <f>IF(ISNUMBER(outYear),IAX37+IAX42+#REF!+#REF!,"")</f>
        <v/>
      </c>
      <c r="IAY48" s="84" t="str">
        <f>IF(ISNUMBER(outYear),IAY37+IAY42+#REF!+#REF!,"")</f>
        <v/>
      </c>
      <c r="IAZ48" s="84" t="str">
        <f>IF(ISNUMBER(outYear),IAZ37+IAZ42+#REF!+#REF!,"")</f>
        <v/>
      </c>
      <c r="IBA48" s="84" t="str">
        <f>IF(ISNUMBER(outYear),IBA37+IBA42+#REF!+#REF!,"")</f>
        <v/>
      </c>
      <c r="IBB48" s="84" t="str">
        <f>IF(ISNUMBER(outYear),IBB37+IBB42+#REF!+#REF!,"")</f>
        <v/>
      </c>
      <c r="IBC48" s="84" t="str">
        <f>IF(ISNUMBER(outYear),IBC37+IBC42+#REF!+#REF!,"")</f>
        <v/>
      </c>
      <c r="IBD48" s="84" t="str">
        <f>IF(ISNUMBER(outYear),IBD37+IBD42+#REF!+#REF!,"")</f>
        <v/>
      </c>
      <c r="IBE48" s="84" t="str">
        <f>IF(ISNUMBER(outYear),IBE37+IBE42+#REF!+#REF!,"")</f>
        <v/>
      </c>
      <c r="IBF48" s="84" t="str">
        <f>IF(ISNUMBER(outYear),IBF37+IBF42+#REF!+#REF!,"")</f>
        <v/>
      </c>
      <c r="IBG48" s="84" t="str">
        <f>IF(ISNUMBER(outYear),IBG37+IBG42+#REF!+#REF!,"")</f>
        <v/>
      </c>
      <c r="IBH48" s="84" t="str">
        <f>IF(ISNUMBER(outYear),IBH37+IBH42+#REF!+#REF!,"")</f>
        <v/>
      </c>
      <c r="IBI48" s="84" t="str">
        <f>IF(ISNUMBER(outYear),IBI37+IBI42+#REF!+#REF!,"")</f>
        <v/>
      </c>
      <c r="IBJ48" s="84" t="str">
        <f>IF(ISNUMBER(outYear),IBJ37+IBJ42+#REF!+#REF!,"")</f>
        <v/>
      </c>
      <c r="IBK48" s="84" t="str">
        <f>IF(ISNUMBER(outYear),IBK37+IBK42+#REF!+#REF!,"")</f>
        <v/>
      </c>
      <c r="IBL48" s="84" t="str">
        <f>IF(ISNUMBER(outYear),IBL37+IBL42+#REF!+#REF!,"")</f>
        <v/>
      </c>
      <c r="IBM48" s="84" t="str">
        <f>IF(ISNUMBER(outYear),IBM37+IBM42+#REF!+#REF!,"")</f>
        <v/>
      </c>
      <c r="IBN48" s="84" t="str">
        <f>IF(ISNUMBER(outYear),IBN37+IBN42+#REF!+#REF!,"")</f>
        <v/>
      </c>
      <c r="IBO48" s="84" t="str">
        <f>IF(ISNUMBER(outYear),IBO37+IBO42+#REF!+#REF!,"")</f>
        <v/>
      </c>
      <c r="IBP48" s="84" t="str">
        <f>IF(ISNUMBER(outYear),IBP37+IBP42+#REF!+#REF!,"")</f>
        <v/>
      </c>
      <c r="IBQ48" s="84" t="str">
        <f>IF(ISNUMBER(outYear),IBQ37+IBQ42+#REF!+#REF!,"")</f>
        <v/>
      </c>
      <c r="IBR48" s="84" t="str">
        <f>IF(ISNUMBER(outYear),IBR37+IBR42+#REF!+#REF!,"")</f>
        <v/>
      </c>
      <c r="IBS48" s="84" t="str">
        <f>IF(ISNUMBER(outYear),IBS37+IBS42+#REF!+#REF!,"")</f>
        <v/>
      </c>
      <c r="IBT48" s="84" t="str">
        <f>IF(ISNUMBER(outYear),IBT37+IBT42+#REF!+#REF!,"")</f>
        <v/>
      </c>
      <c r="IBU48" s="84" t="str">
        <f>IF(ISNUMBER(outYear),IBU37+IBU42+#REF!+#REF!,"")</f>
        <v/>
      </c>
      <c r="IBV48" s="84" t="str">
        <f>IF(ISNUMBER(outYear),IBV37+IBV42+#REF!+#REF!,"")</f>
        <v/>
      </c>
      <c r="IBW48" s="84" t="str">
        <f>IF(ISNUMBER(outYear),IBW37+IBW42+#REF!+#REF!,"")</f>
        <v/>
      </c>
      <c r="IBX48" s="84" t="str">
        <f>IF(ISNUMBER(outYear),IBX37+IBX42+#REF!+#REF!,"")</f>
        <v/>
      </c>
      <c r="IBY48" s="84" t="str">
        <f>IF(ISNUMBER(outYear),IBY37+IBY42+#REF!+#REF!,"")</f>
        <v/>
      </c>
      <c r="IBZ48" s="84" t="str">
        <f>IF(ISNUMBER(outYear),IBZ37+IBZ42+#REF!+#REF!,"")</f>
        <v/>
      </c>
      <c r="ICA48" s="84" t="str">
        <f>IF(ISNUMBER(outYear),ICA37+ICA42+#REF!+#REF!,"")</f>
        <v/>
      </c>
      <c r="ICB48" s="84" t="str">
        <f>IF(ISNUMBER(outYear),ICB37+ICB42+#REF!+#REF!,"")</f>
        <v/>
      </c>
      <c r="ICC48" s="84" t="str">
        <f>IF(ISNUMBER(outYear),ICC37+ICC42+#REF!+#REF!,"")</f>
        <v/>
      </c>
      <c r="ICD48" s="84" t="str">
        <f>IF(ISNUMBER(outYear),ICD37+ICD42+#REF!+#REF!,"")</f>
        <v/>
      </c>
      <c r="ICE48" s="84" t="str">
        <f>IF(ISNUMBER(outYear),ICE37+ICE42+#REF!+#REF!,"")</f>
        <v/>
      </c>
      <c r="ICF48" s="84" t="str">
        <f>IF(ISNUMBER(outYear),ICF37+ICF42+#REF!+#REF!,"")</f>
        <v/>
      </c>
      <c r="ICG48" s="84" t="str">
        <f>IF(ISNUMBER(outYear),ICG37+ICG42+#REF!+#REF!,"")</f>
        <v/>
      </c>
      <c r="ICH48" s="84" t="str">
        <f>IF(ISNUMBER(outYear),ICH37+ICH42+#REF!+#REF!,"")</f>
        <v/>
      </c>
      <c r="ICI48" s="84" t="str">
        <f>IF(ISNUMBER(outYear),ICI37+ICI42+#REF!+#REF!,"")</f>
        <v/>
      </c>
      <c r="ICJ48" s="84" t="str">
        <f>IF(ISNUMBER(outYear),ICJ37+ICJ42+#REF!+#REF!,"")</f>
        <v/>
      </c>
      <c r="ICK48" s="84" t="str">
        <f>IF(ISNUMBER(outYear),ICK37+ICK42+#REF!+#REF!,"")</f>
        <v/>
      </c>
      <c r="ICL48" s="84" t="str">
        <f>IF(ISNUMBER(outYear),ICL37+ICL42+#REF!+#REF!,"")</f>
        <v/>
      </c>
      <c r="ICM48" s="84" t="str">
        <f>IF(ISNUMBER(outYear),ICM37+ICM42+#REF!+#REF!,"")</f>
        <v/>
      </c>
      <c r="ICN48" s="84" t="str">
        <f>IF(ISNUMBER(outYear),ICN37+ICN42+#REF!+#REF!,"")</f>
        <v/>
      </c>
      <c r="ICO48" s="84" t="str">
        <f>IF(ISNUMBER(outYear),ICO37+ICO42+#REF!+#REF!,"")</f>
        <v/>
      </c>
      <c r="ICP48" s="84" t="str">
        <f>IF(ISNUMBER(outYear),ICP37+ICP42+#REF!+#REF!,"")</f>
        <v/>
      </c>
      <c r="ICQ48" s="84" t="str">
        <f>IF(ISNUMBER(outYear),ICQ37+ICQ42+#REF!+#REF!,"")</f>
        <v/>
      </c>
      <c r="ICR48" s="84" t="str">
        <f>IF(ISNUMBER(outYear),ICR37+ICR42+#REF!+#REF!,"")</f>
        <v/>
      </c>
      <c r="ICS48" s="84" t="str">
        <f>IF(ISNUMBER(outYear),ICS37+ICS42+#REF!+#REF!,"")</f>
        <v/>
      </c>
      <c r="ICT48" s="84" t="str">
        <f>IF(ISNUMBER(outYear),ICT37+ICT42+#REF!+#REF!,"")</f>
        <v/>
      </c>
      <c r="ICU48" s="84" t="str">
        <f>IF(ISNUMBER(outYear),ICU37+ICU42+#REF!+#REF!,"")</f>
        <v/>
      </c>
      <c r="ICV48" s="84" t="str">
        <f>IF(ISNUMBER(outYear),ICV37+ICV42+#REF!+#REF!,"")</f>
        <v/>
      </c>
      <c r="ICW48" s="84" t="str">
        <f>IF(ISNUMBER(outYear),ICW37+ICW42+#REF!+#REF!,"")</f>
        <v/>
      </c>
      <c r="ICX48" s="84" t="str">
        <f>IF(ISNUMBER(outYear),ICX37+ICX42+#REF!+#REF!,"")</f>
        <v/>
      </c>
      <c r="ICY48" s="84" t="str">
        <f>IF(ISNUMBER(outYear),ICY37+ICY42+#REF!+#REF!,"")</f>
        <v/>
      </c>
      <c r="ICZ48" s="84" t="str">
        <f>IF(ISNUMBER(outYear),ICZ37+ICZ42+#REF!+#REF!,"")</f>
        <v/>
      </c>
      <c r="IDA48" s="84" t="str">
        <f>IF(ISNUMBER(outYear),IDA37+IDA42+#REF!+#REF!,"")</f>
        <v/>
      </c>
      <c r="IDB48" s="84" t="str">
        <f>IF(ISNUMBER(outYear),IDB37+IDB42+#REF!+#REF!,"")</f>
        <v/>
      </c>
      <c r="IDC48" s="84" t="str">
        <f>IF(ISNUMBER(outYear),IDC37+IDC42+#REF!+#REF!,"")</f>
        <v/>
      </c>
      <c r="IDD48" s="84" t="str">
        <f>IF(ISNUMBER(outYear),IDD37+IDD42+#REF!+#REF!,"")</f>
        <v/>
      </c>
      <c r="IDE48" s="84" t="str">
        <f>IF(ISNUMBER(outYear),IDE37+IDE42+#REF!+#REF!,"")</f>
        <v/>
      </c>
      <c r="IDF48" s="84" t="str">
        <f>IF(ISNUMBER(outYear),IDF37+IDF42+#REF!+#REF!,"")</f>
        <v/>
      </c>
      <c r="IDG48" s="84" t="str">
        <f>IF(ISNUMBER(outYear),IDG37+IDG42+#REF!+#REF!,"")</f>
        <v/>
      </c>
      <c r="IDH48" s="84" t="str">
        <f>IF(ISNUMBER(outYear),IDH37+IDH42+#REF!+#REF!,"")</f>
        <v/>
      </c>
      <c r="IDI48" s="84" t="str">
        <f>IF(ISNUMBER(outYear),IDI37+IDI42+#REF!+#REF!,"")</f>
        <v/>
      </c>
      <c r="IDJ48" s="84" t="str">
        <f>IF(ISNUMBER(outYear),IDJ37+IDJ42+#REF!+#REF!,"")</f>
        <v/>
      </c>
      <c r="IDK48" s="84" t="str">
        <f>IF(ISNUMBER(outYear),IDK37+IDK42+#REF!+#REF!,"")</f>
        <v/>
      </c>
      <c r="IDL48" s="84" t="str">
        <f>IF(ISNUMBER(outYear),IDL37+IDL42+#REF!+#REF!,"")</f>
        <v/>
      </c>
      <c r="IDM48" s="84" t="str">
        <f>IF(ISNUMBER(outYear),IDM37+IDM42+#REF!+#REF!,"")</f>
        <v/>
      </c>
      <c r="IDN48" s="84" t="str">
        <f>IF(ISNUMBER(outYear),IDN37+IDN42+#REF!+#REF!,"")</f>
        <v/>
      </c>
      <c r="IDO48" s="84" t="str">
        <f>IF(ISNUMBER(outYear),IDO37+IDO42+#REF!+#REF!,"")</f>
        <v/>
      </c>
      <c r="IDP48" s="84" t="str">
        <f>IF(ISNUMBER(outYear),IDP37+IDP42+#REF!+#REF!,"")</f>
        <v/>
      </c>
      <c r="IDQ48" s="84" t="str">
        <f>IF(ISNUMBER(outYear),IDQ37+IDQ42+#REF!+#REF!,"")</f>
        <v/>
      </c>
      <c r="IDR48" s="84" t="str">
        <f>IF(ISNUMBER(outYear),IDR37+IDR42+#REF!+#REF!,"")</f>
        <v/>
      </c>
      <c r="IDS48" s="84" t="str">
        <f>IF(ISNUMBER(outYear),IDS37+IDS42+#REF!+#REF!,"")</f>
        <v/>
      </c>
      <c r="IDT48" s="84" t="str">
        <f>IF(ISNUMBER(outYear),IDT37+IDT42+#REF!+#REF!,"")</f>
        <v/>
      </c>
      <c r="IDU48" s="84" t="str">
        <f>IF(ISNUMBER(outYear),IDU37+IDU42+#REF!+#REF!,"")</f>
        <v/>
      </c>
      <c r="IDV48" s="84" t="str">
        <f>IF(ISNUMBER(outYear),IDV37+IDV42+#REF!+#REF!,"")</f>
        <v/>
      </c>
      <c r="IDW48" s="84" t="str">
        <f>IF(ISNUMBER(outYear),IDW37+IDW42+#REF!+#REF!,"")</f>
        <v/>
      </c>
      <c r="IDX48" s="84" t="str">
        <f>IF(ISNUMBER(outYear),IDX37+IDX42+#REF!+#REF!,"")</f>
        <v/>
      </c>
      <c r="IDY48" s="84" t="str">
        <f>IF(ISNUMBER(outYear),IDY37+IDY42+#REF!+#REF!,"")</f>
        <v/>
      </c>
      <c r="IDZ48" s="84" t="str">
        <f>IF(ISNUMBER(outYear),IDZ37+IDZ42+#REF!+#REF!,"")</f>
        <v/>
      </c>
      <c r="IEA48" s="84" t="str">
        <f>IF(ISNUMBER(outYear),IEA37+IEA42+#REF!+#REF!,"")</f>
        <v/>
      </c>
      <c r="IEB48" s="84" t="str">
        <f>IF(ISNUMBER(outYear),IEB37+IEB42+#REF!+#REF!,"")</f>
        <v/>
      </c>
      <c r="IEC48" s="84" t="str">
        <f>IF(ISNUMBER(outYear),IEC37+IEC42+#REF!+#REF!,"")</f>
        <v/>
      </c>
      <c r="IED48" s="84" t="str">
        <f>IF(ISNUMBER(outYear),IED37+IED42+#REF!+#REF!,"")</f>
        <v/>
      </c>
      <c r="IEE48" s="84" t="str">
        <f>IF(ISNUMBER(outYear),IEE37+IEE42+#REF!+#REF!,"")</f>
        <v/>
      </c>
      <c r="IEF48" s="84" t="str">
        <f>IF(ISNUMBER(outYear),IEF37+IEF42+#REF!+#REF!,"")</f>
        <v/>
      </c>
      <c r="IEG48" s="84" t="str">
        <f>IF(ISNUMBER(outYear),IEG37+IEG42+#REF!+#REF!,"")</f>
        <v/>
      </c>
      <c r="IEH48" s="84" t="str">
        <f>IF(ISNUMBER(outYear),IEH37+IEH42+#REF!+#REF!,"")</f>
        <v/>
      </c>
      <c r="IEI48" s="84" t="str">
        <f>IF(ISNUMBER(outYear),IEI37+IEI42+#REF!+#REF!,"")</f>
        <v/>
      </c>
      <c r="IEJ48" s="84" t="str">
        <f>IF(ISNUMBER(outYear),IEJ37+IEJ42+#REF!+#REF!,"")</f>
        <v/>
      </c>
      <c r="IEK48" s="84" t="str">
        <f>IF(ISNUMBER(outYear),IEK37+IEK42+#REF!+#REF!,"")</f>
        <v/>
      </c>
      <c r="IEL48" s="84" t="str">
        <f>IF(ISNUMBER(outYear),IEL37+IEL42+#REF!+#REF!,"")</f>
        <v/>
      </c>
      <c r="IEM48" s="84" t="str">
        <f>IF(ISNUMBER(outYear),IEM37+IEM42+#REF!+#REF!,"")</f>
        <v/>
      </c>
      <c r="IEN48" s="84" t="str">
        <f>IF(ISNUMBER(outYear),IEN37+IEN42+#REF!+#REF!,"")</f>
        <v/>
      </c>
      <c r="IEO48" s="84" t="str">
        <f>IF(ISNUMBER(outYear),IEO37+IEO42+#REF!+#REF!,"")</f>
        <v/>
      </c>
      <c r="IEP48" s="84" t="str">
        <f>IF(ISNUMBER(outYear),IEP37+IEP42+#REF!+#REF!,"")</f>
        <v/>
      </c>
      <c r="IEQ48" s="84" t="str">
        <f>IF(ISNUMBER(outYear),IEQ37+IEQ42+#REF!+#REF!,"")</f>
        <v/>
      </c>
      <c r="IER48" s="84" t="str">
        <f>IF(ISNUMBER(outYear),IER37+IER42+#REF!+#REF!,"")</f>
        <v/>
      </c>
      <c r="IES48" s="84" t="str">
        <f>IF(ISNUMBER(outYear),IES37+IES42+#REF!+#REF!,"")</f>
        <v/>
      </c>
      <c r="IET48" s="84" t="str">
        <f>IF(ISNUMBER(outYear),IET37+IET42+#REF!+#REF!,"")</f>
        <v/>
      </c>
      <c r="IEU48" s="84" t="str">
        <f>IF(ISNUMBER(outYear),IEU37+IEU42+#REF!+#REF!,"")</f>
        <v/>
      </c>
      <c r="IEV48" s="84" t="str">
        <f>IF(ISNUMBER(outYear),IEV37+IEV42+#REF!+#REF!,"")</f>
        <v/>
      </c>
      <c r="IEW48" s="84" t="str">
        <f>IF(ISNUMBER(outYear),IEW37+IEW42+#REF!+#REF!,"")</f>
        <v/>
      </c>
      <c r="IEX48" s="84" t="str">
        <f>IF(ISNUMBER(outYear),IEX37+IEX42+#REF!+#REF!,"")</f>
        <v/>
      </c>
      <c r="IEY48" s="84" t="str">
        <f>IF(ISNUMBER(outYear),IEY37+IEY42+#REF!+#REF!,"")</f>
        <v/>
      </c>
      <c r="IEZ48" s="84" t="str">
        <f>IF(ISNUMBER(outYear),IEZ37+IEZ42+#REF!+#REF!,"")</f>
        <v/>
      </c>
      <c r="IFA48" s="84" t="str">
        <f>IF(ISNUMBER(outYear),IFA37+IFA42+#REF!+#REF!,"")</f>
        <v/>
      </c>
      <c r="IFB48" s="84" t="str">
        <f>IF(ISNUMBER(outYear),IFB37+IFB42+#REF!+#REF!,"")</f>
        <v/>
      </c>
      <c r="IFC48" s="84" t="str">
        <f>IF(ISNUMBER(outYear),IFC37+IFC42+#REF!+#REF!,"")</f>
        <v/>
      </c>
      <c r="IFD48" s="84" t="str">
        <f>IF(ISNUMBER(outYear),IFD37+IFD42+#REF!+#REF!,"")</f>
        <v/>
      </c>
      <c r="IFE48" s="84" t="str">
        <f>IF(ISNUMBER(outYear),IFE37+IFE42+#REF!+#REF!,"")</f>
        <v/>
      </c>
      <c r="IFF48" s="84" t="str">
        <f>IF(ISNUMBER(outYear),IFF37+IFF42+#REF!+#REF!,"")</f>
        <v/>
      </c>
      <c r="IFG48" s="84" t="str">
        <f>IF(ISNUMBER(outYear),IFG37+IFG42+#REF!+#REF!,"")</f>
        <v/>
      </c>
      <c r="IFH48" s="84" t="str">
        <f>IF(ISNUMBER(outYear),IFH37+IFH42+#REF!+#REF!,"")</f>
        <v/>
      </c>
      <c r="IFI48" s="84" t="str">
        <f>IF(ISNUMBER(outYear),IFI37+IFI42+#REF!+#REF!,"")</f>
        <v/>
      </c>
      <c r="IFJ48" s="84" t="str">
        <f>IF(ISNUMBER(outYear),IFJ37+IFJ42+#REF!+#REF!,"")</f>
        <v/>
      </c>
      <c r="IFK48" s="84" t="str">
        <f>IF(ISNUMBER(outYear),IFK37+IFK42+#REF!+#REF!,"")</f>
        <v/>
      </c>
      <c r="IFL48" s="84" t="str">
        <f>IF(ISNUMBER(outYear),IFL37+IFL42+#REF!+#REF!,"")</f>
        <v/>
      </c>
      <c r="IFM48" s="84" t="str">
        <f>IF(ISNUMBER(outYear),IFM37+IFM42+#REF!+#REF!,"")</f>
        <v/>
      </c>
      <c r="IFN48" s="84" t="str">
        <f>IF(ISNUMBER(outYear),IFN37+IFN42+#REF!+#REF!,"")</f>
        <v/>
      </c>
      <c r="IFO48" s="84" t="str">
        <f>IF(ISNUMBER(outYear),IFO37+IFO42+#REF!+#REF!,"")</f>
        <v/>
      </c>
      <c r="IFP48" s="84" t="str">
        <f>IF(ISNUMBER(outYear),IFP37+IFP42+#REF!+#REF!,"")</f>
        <v/>
      </c>
      <c r="IFQ48" s="84" t="str">
        <f>IF(ISNUMBER(outYear),IFQ37+IFQ42+#REF!+#REF!,"")</f>
        <v/>
      </c>
      <c r="IFR48" s="84" t="str">
        <f>IF(ISNUMBER(outYear),IFR37+IFR42+#REF!+#REF!,"")</f>
        <v/>
      </c>
      <c r="IFS48" s="84" t="str">
        <f>IF(ISNUMBER(outYear),IFS37+IFS42+#REF!+#REF!,"")</f>
        <v/>
      </c>
      <c r="IFT48" s="84" t="str">
        <f>IF(ISNUMBER(outYear),IFT37+IFT42+#REF!+#REF!,"")</f>
        <v/>
      </c>
      <c r="IFU48" s="84" t="str">
        <f>IF(ISNUMBER(outYear),IFU37+IFU42+#REF!+#REF!,"")</f>
        <v/>
      </c>
      <c r="IFV48" s="84" t="str">
        <f>IF(ISNUMBER(outYear),IFV37+IFV42+#REF!+#REF!,"")</f>
        <v/>
      </c>
      <c r="IFW48" s="84" t="str">
        <f>IF(ISNUMBER(outYear),IFW37+IFW42+#REF!+#REF!,"")</f>
        <v/>
      </c>
      <c r="IFX48" s="84" t="str">
        <f>IF(ISNUMBER(outYear),IFX37+IFX42+#REF!+#REF!,"")</f>
        <v/>
      </c>
      <c r="IFY48" s="84" t="str">
        <f>IF(ISNUMBER(outYear),IFY37+IFY42+#REF!+#REF!,"")</f>
        <v/>
      </c>
      <c r="IFZ48" s="84" t="str">
        <f>IF(ISNUMBER(outYear),IFZ37+IFZ42+#REF!+#REF!,"")</f>
        <v/>
      </c>
      <c r="IGA48" s="84" t="str">
        <f>IF(ISNUMBER(outYear),IGA37+IGA42+#REF!+#REF!,"")</f>
        <v/>
      </c>
      <c r="IGB48" s="84" t="str">
        <f>IF(ISNUMBER(outYear),IGB37+IGB42+#REF!+#REF!,"")</f>
        <v/>
      </c>
      <c r="IGC48" s="84" t="str">
        <f>IF(ISNUMBER(outYear),IGC37+IGC42+#REF!+#REF!,"")</f>
        <v/>
      </c>
      <c r="IGD48" s="84" t="str">
        <f>IF(ISNUMBER(outYear),IGD37+IGD42+#REF!+#REF!,"")</f>
        <v/>
      </c>
      <c r="IGE48" s="84" t="str">
        <f>IF(ISNUMBER(outYear),IGE37+IGE42+#REF!+#REF!,"")</f>
        <v/>
      </c>
      <c r="IGF48" s="84" t="str">
        <f>IF(ISNUMBER(outYear),IGF37+IGF42+#REF!+#REF!,"")</f>
        <v/>
      </c>
      <c r="IGG48" s="84" t="str">
        <f>IF(ISNUMBER(outYear),IGG37+IGG42+#REF!+#REF!,"")</f>
        <v/>
      </c>
      <c r="IGH48" s="84" t="str">
        <f>IF(ISNUMBER(outYear),IGH37+IGH42+#REF!+#REF!,"")</f>
        <v/>
      </c>
      <c r="IGI48" s="84" t="str">
        <f>IF(ISNUMBER(outYear),IGI37+IGI42+#REF!+#REF!,"")</f>
        <v/>
      </c>
      <c r="IGJ48" s="84" t="str">
        <f>IF(ISNUMBER(outYear),IGJ37+IGJ42+#REF!+#REF!,"")</f>
        <v/>
      </c>
      <c r="IGK48" s="84" t="str">
        <f>IF(ISNUMBER(outYear),IGK37+IGK42+#REF!+#REF!,"")</f>
        <v/>
      </c>
      <c r="IGL48" s="84" t="str">
        <f>IF(ISNUMBER(outYear),IGL37+IGL42+#REF!+#REF!,"")</f>
        <v/>
      </c>
      <c r="IGM48" s="84" t="str">
        <f>IF(ISNUMBER(outYear),IGM37+IGM42+#REF!+#REF!,"")</f>
        <v/>
      </c>
      <c r="IGN48" s="84" t="str">
        <f>IF(ISNUMBER(outYear),IGN37+IGN42+#REF!+#REF!,"")</f>
        <v/>
      </c>
      <c r="IGO48" s="84" t="str">
        <f>IF(ISNUMBER(outYear),IGO37+IGO42+#REF!+#REF!,"")</f>
        <v/>
      </c>
      <c r="IGP48" s="84" t="str">
        <f>IF(ISNUMBER(outYear),IGP37+IGP42+#REF!+#REF!,"")</f>
        <v/>
      </c>
      <c r="IGQ48" s="84" t="str">
        <f>IF(ISNUMBER(outYear),IGQ37+IGQ42+#REF!+#REF!,"")</f>
        <v/>
      </c>
      <c r="IGR48" s="84" t="str">
        <f>IF(ISNUMBER(outYear),IGR37+IGR42+#REF!+#REF!,"")</f>
        <v/>
      </c>
      <c r="IGS48" s="84" t="str">
        <f>IF(ISNUMBER(outYear),IGS37+IGS42+#REF!+#REF!,"")</f>
        <v/>
      </c>
      <c r="IGT48" s="84" t="str">
        <f>IF(ISNUMBER(outYear),IGT37+IGT42+#REF!+#REF!,"")</f>
        <v/>
      </c>
      <c r="IGU48" s="84" t="str">
        <f>IF(ISNUMBER(outYear),IGU37+IGU42+#REF!+#REF!,"")</f>
        <v/>
      </c>
      <c r="IGV48" s="84" t="str">
        <f>IF(ISNUMBER(outYear),IGV37+IGV42+#REF!+#REF!,"")</f>
        <v/>
      </c>
      <c r="IGW48" s="84" t="str">
        <f>IF(ISNUMBER(outYear),IGW37+IGW42+#REF!+#REF!,"")</f>
        <v/>
      </c>
      <c r="IGX48" s="84" t="str">
        <f>IF(ISNUMBER(outYear),IGX37+IGX42+#REF!+#REF!,"")</f>
        <v/>
      </c>
      <c r="IGY48" s="84" t="str">
        <f>IF(ISNUMBER(outYear),IGY37+IGY42+#REF!+#REF!,"")</f>
        <v/>
      </c>
      <c r="IGZ48" s="84" t="str">
        <f>IF(ISNUMBER(outYear),IGZ37+IGZ42+#REF!+#REF!,"")</f>
        <v/>
      </c>
      <c r="IHA48" s="84" t="str">
        <f>IF(ISNUMBER(outYear),IHA37+IHA42+#REF!+#REF!,"")</f>
        <v/>
      </c>
      <c r="IHB48" s="84" t="str">
        <f>IF(ISNUMBER(outYear),IHB37+IHB42+#REF!+#REF!,"")</f>
        <v/>
      </c>
      <c r="IHC48" s="84" t="str">
        <f>IF(ISNUMBER(outYear),IHC37+IHC42+#REF!+#REF!,"")</f>
        <v/>
      </c>
      <c r="IHD48" s="84" t="str">
        <f>IF(ISNUMBER(outYear),IHD37+IHD42+#REF!+#REF!,"")</f>
        <v/>
      </c>
      <c r="IHE48" s="84" t="str">
        <f>IF(ISNUMBER(outYear),IHE37+IHE42+#REF!+#REF!,"")</f>
        <v/>
      </c>
      <c r="IHF48" s="84" t="str">
        <f>IF(ISNUMBER(outYear),IHF37+IHF42+#REF!+#REF!,"")</f>
        <v/>
      </c>
      <c r="IHG48" s="84" t="str">
        <f>IF(ISNUMBER(outYear),IHG37+IHG42+#REF!+#REF!,"")</f>
        <v/>
      </c>
      <c r="IHH48" s="84" t="str">
        <f>IF(ISNUMBER(outYear),IHH37+IHH42+#REF!+#REF!,"")</f>
        <v/>
      </c>
      <c r="IHI48" s="84" t="str">
        <f>IF(ISNUMBER(outYear),IHI37+IHI42+#REF!+#REF!,"")</f>
        <v/>
      </c>
      <c r="IHJ48" s="84" t="str">
        <f>IF(ISNUMBER(outYear),IHJ37+IHJ42+#REF!+#REF!,"")</f>
        <v/>
      </c>
      <c r="IHK48" s="84" t="str">
        <f>IF(ISNUMBER(outYear),IHK37+IHK42+#REF!+#REF!,"")</f>
        <v/>
      </c>
      <c r="IHL48" s="84" t="str">
        <f>IF(ISNUMBER(outYear),IHL37+IHL42+#REF!+#REF!,"")</f>
        <v/>
      </c>
      <c r="IHM48" s="84" t="str">
        <f>IF(ISNUMBER(outYear),IHM37+IHM42+#REF!+#REF!,"")</f>
        <v/>
      </c>
      <c r="IHN48" s="84" t="str">
        <f>IF(ISNUMBER(outYear),IHN37+IHN42+#REF!+#REF!,"")</f>
        <v/>
      </c>
      <c r="IHO48" s="84" t="str">
        <f>IF(ISNUMBER(outYear),IHO37+IHO42+#REF!+#REF!,"")</f>
        <v/>
      </c>
      <c r="IHP48" s="84" t="str">
        <f>IF(ISNUMBER(outYear),IHP37+IHP42+#REF!+#REF!,"")</f>
        <v/>
      </c>
      <c r="IHQ48" s="84" t="str">
        <f>IF(ISNUMBER(outYear),IHQ37+IHQ42+#REF!+#REF!,"")</f>
        <v/>
      </c>
      <c r="IHR48" s="84" t="str">
        <f>IF(ISNUMBER(outYear),IHR37+IHR42+#REF!+#REF!,"")</f>
        <v/>
      </c>
      <c r="IHS48" s="84" t="str">
        <f>IF(ISNUMBER(outYear),IHS37+IHS42+#REF!+#REF!,"")</f>
        <v/>
      </c>
      <c r="IHT48" s="84" t="str">
        <f>IF(ISNUMBER(outYear),IHT37+IHT42+#REF!+#REF!,"")</f>
        <v/>
      </c>
      <c r="IHU48" s="84" t="str">
        <f>IF(ISNUMBER(outYear),IHU37+IHU42+#REF!+#REF!,"")</f>
        <v/>
      </c>
      <c r="IHV48" s="84" t="str">
        <f>IF(ISNUMBER(outYear),IHV37+IHV42+#REF!+#REF!,"")</f>
        <v/>
      </c>
      <c r="IHW48" s="84" t="str">
        <f>IF(ISNUMBER(outYear),IHW37+IHW42+#REF!+#REF!,"")</f>
        <v/>
      </c>
      <c r="IHX48" s="84" t="str">
        <f>IF(ISNUMBER(outYear),IHX37+IHX42+#REF!+#REF!,"")</f>
        <v/>
      </c>
      <c r="IHY48" s="84" t="str">
        <f>IF(ISNUMBER(outYear),IHY37+IHY42+#REF!+#REF!,"")</f>
        <v/>
      </c>
      <c r="IHZ48" s="84" t="str">
        <f>IF(ISNUMBER(outYear),IHZ37+IHZ42+#REF!+#REF!,"")</f>
        <v/>
      </c>
      <c r="IIA48" s="84" t="str">
        <f>IF(ISNUMBER(outYear),IIA37+IIA42+#REF!+#REF!,"")</f>
        <v/>
      </c>
      <c r="IIB48" s="84" t="str">
        <f>IF(ISNUMBER(outYear),IIB37+IIB42+#REF!+#REF!,"")</f>
        <v/>
      </c>
      <c r="IIC48" s="84" t="str">
        <f>IF(ISNUMBER(outYear),IIC37+IIC42+#REF!+#REF!,"")</f>
        <v/>
      </c>
      <c r="IID48" s="84" t="str">
        <f>IF(ISNUMBER(outYear),IID37+IID42+#REF!+#REF!,"")</f>
        <v/>
      </c>
      <c r="IIE48" s="84" t="str">
        <f>IF(ISNUMBER(outYear),IIE37+IIE42+#REF!+#REF!,"")</f>
        <v/>
      </c>
      <c r="IIF48" s="84" t="str">
        <f>IF(ISNUMBER(outYear),IIF37+IIF42+#REF!+#REF!,"")</f>
        <v/>
      </c>
      <c r="IIG48" s="84" t="str">
        <f>IF(ISNUMBER(outYear),IIG37+IIG42+#REF!+#REF!,"")</f>
        <v/>
      </c>
      <c r="IIH48" s="84" t="str">
        <f>IF(ISNUMBER(outYear),IIH37+IIH42+#REF!+#REF!,"")</f>
        <v/>
      </c>
      <c r="III48" s="84" t="str">
        <f>IF(ISNUMBER(outYear),III37+III42+#REF!+#REF!,"")</f>
        <v/>
      </c>
      <c r="IIJ48" s="84" t="str">
        <f>IF(ISNUMBER(outYear),IIJ37+IIJ42+#REF!+#REF!,"")</f>
        <v/>
      </c>
      <c r="IIK48" s="84" t="str">
        <f>IF(ISNUMBER(outYear),IIK37+IIK42+#REF!+#REF!,"")</f>
        <v/>
      </c>
      <c r="IIL48" s="84" t="str">
        <f>IF(ISNUMBER(outYear),IIL37+IIL42+#REF!+#REF!,"")</f>
        <v/>
      </c>
      <c r="IIM48" s="84" t="str">
        <f>IF(ISNUMBER(outYear),IIM37+IIM42+#REF!+#REF!,"")</f>
        <v/>
      </c>
      <c r="IIN48" s="84" t="str">
        <f>IF(ISNUMBER(outYear),IIN37+IIN42+#REF!+#REF!,"")</f>
        <v/>
      </c>
      <c r="IIO48" s="84" t="str">
        <f>IF(ISNUMBER(outYear),IIO37+IIO42+#REF!+#REF!,"")</f>
        <v/>
      </c>
      <c r="IIP48" s="84" t="str">
        <f>IF(ISNUMBER(outYear),IIP37+IIP42+#REF!+#REF!,"")</f>
        <v/>
      </c>
      <c r="IIQ48" s="84" t="str">
        <f>IF(ISNUMBER(outYear),IIQ37+IIQ42+#REF!+#REF!,"")</f>
        <v/>
      </c>
      <c r="IIR48" s="84" t="str">
        <f>IF(ISNUMBER(outYear),IIR37+IIR42+#REF!+#REF!,"")</f>
        <v/>
      </c>
      <c r="IIS48" s="84" t="str">
        <f>IF(ISNUMBER(outYear),IIS37+IIS42+#REF!+#REF!,"")</f>
        <v/>
      </c>
      <c r="IIT48" s="84" t="str">
        <f>IF(ISNUMBER(outYear),IIT37+IIT42+#REF!+#REF!,"")</f>
        <v/>
      </c>
      <c r="IIU48" s="84" t="str">
        <f>IF(ISNUMBER(outYear),IIU37+IIU42+#REF!+#REF!,"")</f>
        <v/>
      </c>
      <c r="IIV48" s="84" t="str">
        <f>IF(ISNUMBER(outYear),IIV37+IIV42+#REF!+#REF!,"")</f>
        <v/>
      </c>
      <c r="IIW48" s="84" t="str">
        <f>IF(ISNUMBER(outYear),IIW37+IIW42+#REF!+#REF!,"")</f>
        <v/>
      </c>
      <c r="IIX48" s="84" t="str">
        <f>IF(ISNUMBER(outYear),IIX37+IIX42+#REF!+#REF!,"")</f>
        <v/>
      </c>
      <c r="IIY48" s="84" t="str">
        <f>IF(ISNUMBER(outYear),IIY37+IIY42+#REF!+#REF!,"")</f>
        <v/>
      </c>
      <c r="IIZ48" s="84" t="str">
        <f>IF(ISNUMBER(outYear),IIZ37+IIZ42+#REF!+#REF!,"")</f>
        <v/>
      </c>
      <c r="IJA48" s="84" t="str">
        <f>IF(ISNUMBER(outYear),IJA37+IJA42+#REF!+#REF!,"")</f>
        <v/>
      </c>
      <c r="IJB48" s="84" t="str">
        <f>IF(ISNUMBER(outYear),IJB37+IJB42+#REF!+#REF!,"")</f>
        <v/>
      </c>
      <c r="IJC48" s="84" t="str">
        <f>IF(ISNUMBER(outYear),IJC37+IJC42+#REF!+#REF!,"")</f>
        <v/>
      </c>
      <c r="IJD48" s="84" t="str">
        <f>IF(ISNUMBER(outYear),IJD37+IJD42+#REF!+#REF!,"")</f>
        <v/>
      </c>
      <c r="IJE48" s="84" t="str">
        <f>IF(ISNUMBER(outYear),IJE37+IJE42+#REF!+#REF!,"")</f>
        <v/>
      </c>
      <c r="IJF48" s="84" t="str">
        <f>IF(ISNUMBER(outYear),IJF37+IJF42+#REF!+#REF!,"")</f>
        <v/>
      </c>
      <c r="IJG48" s="84" t="str">
        <f>IF(ISNUMBER(outYear),IJG37+IJG42+#REF!+#REF!,"")</f>
        <v/>
      </c>
      <c r="IJH48" s="84" t="str">
        <f>IF(ISNUMBER(outYear),IJH37+IJH42+#REF!+#REF!,"")</f>
        <v/>
      </c>
      <c r="IJI48" s="84" t="str">
        <f>IF(ISNUMBER(outYear),IJI37+IJI42+#REF!+#REF!,"")</f>
        <v/>
      </c>
      <c r="IJJ48" s="84" t="str">
        <f>IF(ISNUMBER(outYear),IJJ37+IJJ42+#REF!+#REF!,"")</f>
        <v/>
      </c>
      <c r="IJK48" s="84" t="str">
        <f>IF(ISNUMBER(outYear),IJK37+IJK42+#REF!+#REF!,"")</f>
        <v/>
      </c>
      <c r="IJL48" s="84" t="str">
        <f>IF(ISNUMBER(outYear),IJL37+IJL42+#REF!+#REF!,"")</f>
        <v/>
      </c>
      <c r="IJM48" s="84" t="str">
        <f>IF(ISNUMBER(outYear),IJM37+IJM42+#REF!+#REF!,"")</f>
        <v/>
      </c>
      <c r="IJN48" s="84" t="str">
        <f>IF(ISNUMBER(outYear),IJN37+IJN42+#REF!+#REF!,"")</f>
        <v/>
      </c>
      <c r="IJO48" s="84" t="str">
        <f>IF(ISNUMBER(outYear),IJO37+IJO42+#REF!+#REF!,"")</f>
        <v/>
      </c>
      <c r="IJP48" s="84" t="str">
        <f>IF(ISNUMBER(outYear),IJP37+IJP42+#REF!+#REF!,"")</f>
        <v/>
      </c>
      <c r="IJQ48" s="84" t="str">
        <f>IF(ISNUMBER(outYear),IJQ37+IJQ42+#REF!+#REF!,"")</f>
        <v/>
      </c>
      <c r="IJR48" s="84" t="str">
        <f>IF(ISNUMBER(outYear),IJR37+IJR42+#REF!+#REF!,"")</f>
        <v/>
      </c>
      <c r="IJS48" s="84" t="str">
        <f>IF(ISNUMBER(outYear),IJS37+IJS42+#REF!+#REF!,"")</f>
        <v/>
      </c>
      <c r="IJT48" s="84" t="str">
        <f>IF(ISNUMBER(outYear),IJT37+IJT42+#REF!+#REF!,"")</f>
        <v/>
      </c>
      <c r="IJU48" s="84" t="str">
        <f>IF(ISNUMBER(outYear),IJU37+IJU42+#REF!+#REF!,"")</f>
        <v/>
      </c>
      <c r="IJV48" s="84" t="str">
        <f>IF(ISNUMBER(outYear),IJV37+IJV42+#REF!+#REF!,"")</f>
        <v/>
      </c>
      <c r="IJW48" s="84" t="str">
        <f>IF(ISNUMBER(outYear),IJW37+IJW42+#REF!+#REF!,"")</f>
        <v/>
      </c>
      <c r="IJX48" s="84" t="str">
        <f>IF(ISNUMBER(outYear),IJX37+IJX42+#REF!+#REF!,"")</f>
        <v/>
      </c>
      <c r="IJY48" s="84" t="str">
        <f>IF(ISNUMBER(outYear),IJY37+IJY42+#REF!+#REF!,"")</f>
        <v/>
      </c>
      <c r="IJZ48" s="84" t="str">
        <f>IF(ISNUMBER(outYear),IJZ37+IJZ42+#REF!+#REF!,"")</f>
        <v/>
      </c>
      <c r="IKA48" s="84" t="str">
        <f>IF(ISNUMBER(outYear),IKA37+IKA42+#REF!+#REF!,"")</f>
        <v/>
      </c>
      <c r="IKB48" s="84" t="str">
        <f>IF(ISNUMBER(outYear),IKB37+IKB42+#REF!+#REF!,"")</f>
        <v/>
      </c>
      <c r="IKC48" s="84" t="str">
        <f>IF(ISNUMBER(outYear),IKC37+IKC42+#REF!+#REF!,"")</f>
        <v/>
      </c>
      <c r="IKD48" s="84" t="str">
        <f>IF(ISNUMBER(outYear),IKD37+IKD42+#REF!+#REF!,"")</f>
        <v/>
      </c>
      <c r="IKE48" s="84" t="str">
        <f>IF(ISNUMBER(outYear),IKE37+IKE42+#REF!+#REF!,"")</f>
        <v/>
      </c>
      <c r="IKF48" s="84" t="str">
        <f>IF(ISNUMBER(outYear),IKF37+IKF42+#REF!+#REF!,"")</f>
        <v/>
      </c>
      <c r="IKG48" s="84" t="str">
        <f>IF(ISNUMBER(outYear),IKG37+IKG42+#REF!+#REF!,"")</f>
        <v/>
      </c>
      <c r="IKH48" s="84" t="str">
        <f>IF(ISNUMBER(outYear),IKH37+IKH42+#REF!+#REF!,"")</f>
        <v/>
      </c>
      <c r="IKI48" s="84" t="str">
        <f>IF(ISNUMBER(outYear),IKI37+IKI42+#REF!+#REF!,"")</f>
        <v/>
      </c>
      <c r="IKJ48" s="84" t="str">
        <f>IF(ISNUMBER(outYear),IKJ37+IKJ42+#REF!+#REF!,"")</f>
        <v/>
      </c>
      <c r="IKK48" s="84" t="str">
        <f>IF(ISNUMBER(outYear),IKK37+IKK42+#REF!+#REF!,"")</f>
        <v/>
      </c>
      <c r="IKL48" s="84" t="str">
        <f>IF(ISNUMBER(outYear),IKL37+IKL42+#REF!+#REF!,"")</f>
        <v/>
      </c>
      <c r="IKM48" s="84" t="str">
        <f>IF(ISNUMBER(outYear),IKM37+IKM42+#REF!+#REF!,"")</f>
        <v/>
      </c>
      <c r="IKN48" s="84" t="str">
        <f>IF(ISNUMBER(outYear),IKN37+IKN42+#REF!+#REF!,"")</f>
        <v/>
      </c>
      <c r="IKO48" s="84" t="str">
        <f>IF(ISNUMBER(outYear),IKO37+IKO42+#REF!+#REF!,"")</f>
        <v/>
      </c>
      <c r="IKP48" s="84" t="str">
        <f>IF(ISNUMBER(outYear),IKP37+IKP42+#REF!+#REF!,"")</f>
        <v/>
      </c>
      <c r="IKQ48" s="84" t="str">
        <f>IF(ISNUMBER(outYear),IKQ37+IKQ42+#REF!+#REF!,"")</f>
        <v/>
      </c>
      <c r="IKR48" s="84" t="str">
        <f>IF(ISNUMBER(outYear),IKR37+IKR42+#REF!+#REF!,"")</f>
        <v/>
      </c>
      <c r="IKS48" s="84" t="str">
        <f>IF(ISNUMBER(outYear),IKS37+IKS42+#REF!+#REF!,"")</f>
        <v/>
      </c>
      <c r="IKT48" s="84" t="str">
        <f>IF(ISNUMBER(outYear),IKT37+IKT42+#REF!+#REF!,"")</f>
        <v/>
      </c>
      <c r="IKU48" s="84" t="str">
        <f>IF(ISNUMBER(outYear),IKU37+IKU42+#REF!+#REF!,"")</f>
        <v/>
      </c>
      <c r="IKV48" s="84" t="str">
        <f>IF(ISNUMBER(outYear),IKV37+IKV42+#REF!+#REF!,"")</f>
        <v/>
      </c>
      <c r="IKW48" s="84" t="str">
        <f>IF(ISNUMBER(outYear),IKW37+IKW42+#REF!+#REF!,"")</f>
        <v/>
      </c>
      <c r="IKX48" s="84" t="str">
        <f>IF(ISNUMBER(outYear),IKX37+IKX42+#REF!+#REF!,"")</f>
        <v/>
      </c>
      <c r="IKY48" s="84" t="str">
        <f>IF(ISNUMBER(outYear),IKY37+IKY42+#REF!+#REF!,"")</f>
        <v/>
      </c>
      <c r="IKZ48" s="84" t="str">
        <f>IF(ISNUMBER(outYear),IKZ37+IKZ42+#REF!+#REF!,"")</f>
        <v/>
      </c>
      <c r="ILA48" s="84" t="str">
        <f>IF(ISNUMBER(outYear),ILA37+ILA42+#REF!+#REF!,"")</f>
        <v/>
      </c>
      <c r="ILB48" s="84" t="str">
        <f>IF(ISNUMBER(outYear),ILB37+ILB42+#REF!+#REF!,"")</f>
        <v/>
      </c>
      <c r="ILC48" s="84" t="str">
        <f>IF(ISNUMBER(outYear),ILC37+ILC42+#REF!+#REF!,"")</f>
        <v/>
      </c>
      <c r="ILD48" s="84" t="str">
        <f>IF(ISNUMBER(outYear),ILD37+ILD42+#REF!+#REF!,"")</f>
        <v/>
      </c>
      <c r="ILE48" s="84" t="str">
        <f>IF(ISNUMBER(outYear),ILE37+ILE42+#REF!+#REF!,"")</f>
        <v/>
      </c>
      <c r="ILF48" s="84" t="str">
        <f>IF(ISNUMBER(outYear),ILF37+ILF42+#REF!+#REF!,"")</f>
        <v/>
      </c>
      <c r="ILG48" s="84" t="str">
        <f>IF(ISNUMBER(outYear),ILG37+ILG42+#REF!+#REF!,"")</f>
        <v/>
      </c>
      <c r="ILH48" s="84" t="str">
        <f>IF(ISNUMBER(outYear),ILH37+ILH42+#REF!+#REF!,"")</f>
        <v/>
      </c>
      <c r="ILI48" s="84" t="str">
        <f>IF(ISNUMBER(outYear),ILI37+ILI42+#REF!+#REF!,"")</f>
        <v/>
      </c>
      <c r="ILJ48" s="84" t="str">
        <f>IF(ISNUMBER(outYear),ILJ37+ILJ42+#REF!+#REF!,"")</f>
        <v/>
      </c>
      <c r="ILK48" s="84" t="str">
        <f>IF(ISNUMBER(outYear),ILK37+ILK42+#REF!+#REF!,"")</f>
        <v/>
      </c>
      <c r="ILL48" s="84" t="str">
        <f>IF(ISNUMBER(outYear),ILL37+ILL42+#REF!+#REF!,"")</f>
        <v/>
      </c>
      <c r="ILM48" s="84" t="str">
        <f>IF(ISNUMBER(outYear),ILM37+ILM42+#REF!+#REF!,"")</f>
        <v/>
      </c>
      <c r="ILN48" s="84" t="str">
        <f>IF(ISNUMBER(outYear),ILN37+ILN42+#REF!+#REF!,"")</f>
        <v/>
      </c>
      <c r="ILO48" s="84" t="str">
        <f>IF(ISNUMBER(outYear),ILO37+ILO42+#REF!+#REF!,"")</f>
        <v/>
      </c>
      <c r="ILP48" s="84" t="str">
        <f>IF(ISNUMBER(outYear),ILP37+ILP42+#REF!+#REF!,"")</f>
        <v/>
      </c>
      <c r="ILQ48" s="84" t="str">
        <f>IF(ISNUMBER(outYear),ILQ37+ILQ42+#REF!+#REF!,"")</f>
        <v/>
      </c>
      <c r="ILR48" s="84" t="str">
        <f>IF(ISNUMBER(outYear),ILR37+ILR42+#REF!+#REF!,"")</f>
        <v/>
      </c>
      <c r="ILS48" s="84" t="str">
        <f>IF(ISNUMBER(outYear),ILS37+ILS42+#REF!+#REF!,"")</f>
        <v/>
      </c>
      <c r="ILT48" s="84" t="str">
        <f>IF(ISNUMBER(outYear),ILT37+ILT42+#REF!+#REF!,"")</f>
        <v/>
      </c>
      <c r="ILU48" s="84" t="str">
        <f>IF(ISNUMBER(outYear),ILU37+ILU42+#REF!+#REF!,"")</f>
        <v/>
      </c>
      <c r="ILV48" s="84" t="str">
        <f>IF(ISNUMBER(outYear),ILV37+ILV42+#REF!+#REF!,"")</f>
        <v/>
      </c>
      <c r="ILW48" s="84" t="str">
        <f>IF(ISNUMBER(outYear),ILW37+ILW42+#REF!+#REF!,"")</f>
        <v/>
      </c>
      <c r="ILX48" s="84" t="str">
        <f>IF(ISNUMBER(outYear),ILX37+ILX42+#REF!+#REF!,"")</f>
        <v/>
      </c>
      <c r="ILY48" s="84" t="str">
        <f>IF(ISNUMBER(outYear),ILY37+ILY42+#REF!+#REF!,"")</f>
        <v/>
      </c>
      <c r="ILZ48" s="84" t="str">
        <f>IF(ISNUMBER(outYear),ILZ37+ILZ42+#REF!+#REF!,"")</f>
        <v/>
      </c>
      <c r="IMA48" s="84" t="str">
        <f>IF(ISNUMBER(outYear),IMA37+IMA42+#REF!+#REF!,"")</f>
        <v/>
      </c>
      <c r="IMB48" s="84" t="str">
        <f>IF(ISNUMBER(outYear),IMB37+IMB42+#REF!+#REF!,"")</f>
        <v/>
      </c>
      <c r="IMC48" s="84" t="str">
        <f>IF(ISNUMBER(outYear),IMC37+IMC42+#REF!+#REF!,"")</f>
        <v/>
      </c>
      <c r="IMD48" s="84" t="str">
        <f>IF(ISNUMBER(outYear),IMD37+IMD42+#REF!+#REF!,"")</f>
        <v/>
      </c>
      <c r="IME48" s="84" t="str">
        <f>IF(ISNUMBER(outYear),IME37+IME42+#REF!+#REF!,"")</f>
        <v/>
      </c>
      <c r="IMF48" s="84" t="str">
        <f>IF(ISNUMBER(outYear),IMF37+IMF42+#REF!+#REF!,"")</f>
        <v/>
      </c>
      <c r="IMG48" s="84" t="str">
        <f>IF(ISNUMBER(outYear),IMG37+IMG42+#REF!+#REF!,"")</f>
        <v/>
      </c>
      <c r="IMH48" s="84" t="str">
        <f>IF(ISNUMBER(outYear),IMH37+IMH42+#REF!+#REF!,"")</f>
        <v/>
      </c>
      <c r="IMI48" s="84" t="str">
        <f>IF(ISNUMBER(outYear),IMI37+IMI42+#REF!+#REF!,"")</f>
        <v/>
      </c>
      <c r="IMJ48" s="84" t="str">
        <f>IF(ISNUMBER(outYear),IMJ37+IMJ42+#REF!+#REF!,"")</f>
        <v/>
      </c>
      <c r="IMK48" s="84" t="str">
        <f>IF(ISNUMBER(outYear),IMK37+IMK42+#REF!+#REF!,"")</f>
        <v/>
      </c>
      <c r="IML48" s="84" t="str">
        <f>IF(ISNUMBER(outYear),IML37+IML42+#REF!+#REF!,"")</f>
        <v/>
      </c>
      <c r="IMM48" s="84" t="str">
        <f>IF(ISNUMBER(outYear),IMM37+IMM42+#REF!+#REF!,"")</f>
        <v/>
      </c>
      <c r="IMN48" s="84" t="str">
        <f>IF(ISNUMBER(outYear),IMN37+IMN42+#REF!+#REF!,"")</f>
        <v/>
      </c>
      <c r="IMO48" s="84" t="str">
        <f>IF(ISNUMBER(outYear),IMO37+IMO42+#REF!+#REF!,"")</f>
        <v/>
      </c>
      <c r="IMP48" s="84" t="str">
        <f>IF(ISNUMBER(outYear),IMP37+IMP42+#REF!+#REF!,"")</f>
        <v/>
      </c>
      <c r="IMQ48" s="84" t="str">
        <f>IF(ISNUMBER(outYear),IMQ37+IMQ42+#REF!+#REF!,"")</f>
        <v/>
      </c>
      <c r="IMR48" s="84" t="str">
        <f>IF(ISNUMBER(outYear),IMR37+IMR42+#REF!+#REF!,"")</f>
        <v/>
      </c>
      <c r="IMS48" s="84" t="str">
        <f>IF(ISNUMBER(outYear),IMS37+IMS42+#REF!+#REF!,"")</f>
        <v/>
      </c>
      <c r="IMT48" s="84" t="str">
        <f>IF(ISNUMBER(outYear),IMT37+IMT42+#REF!+#REF!,"")</f>
        <v/>
      </c>
      <c r="IMU48" s="84" t="str">
        <f>IF(ISNUMBER(outYear),IMU37+IMU42+#REF!+#REF!,"")</f>
        <v/>
      </c>
      <c r="IMV48" s="84" t="str">
        <f>IF(ISNUMBER(outYear),IMV37+IMV42+#REF!+#REF!,"")</f>
        <v/>
      </c>
      <c r="IMW48" s="84" t="str">
        <f>IF(ISNUMBER(outYear),IMW37+IMW42+#REF!+#REF!,"")</f>
        <v/>
      </c>
      <c r="IMX48" s="84" t="str">
        <f>IF(ISNUMBER(outYear),IMX37+IMX42+#REF!+#REF!,"")</f>
        <v/>
      </c>
      <c r="IMY48" s="84" t="str">
        <f>IF(ISNUMBER(outYear),IMY37+IMY42+#REF!+#REF!,"")</f>
        <v/>
      </c>
      <c r="IMZ48" s="84" t="str">
        <f>IF(ISNUMBER(outYear),IMZ37+IMZ42+#REF!+#REF!,"")</f>
        <v/>
      </c>
      <c r="INA48" s="84" t="str">
        <f>IF(ISNUMBER(outYear),INA37+INA42+#REF!+#REF!,"")</f>
        <v/>
      </c>
      <c r="INB48" s="84" t="str">
        <f>IF(ISNUMBER(outYear),INB37+INB42+#REF!+#REF!,"")</f>
        <v/>
      </c>
      <c r="INC48" s="84" t="str">
        <f>IF(ISNUMBER(outYear),INC37+INC42+#REF!+#REF!,"")</f>
        <v/>
      </c>
      <c r="IND48" s="84" t="str">
        <f>IF(ISNUMBER(outYear),IND37+IND42+#REF!+#REF!,"")</f>
        <v/>
      </c>
      <c r="INE48" s="84" t="str">
        <f>IF(ISNUMBER(outYear),INE37+INE42+#REF!+#REF!,"")</f>
        <v/>
      </c>
      <c r="INF48" s="84" t="str">
        <f>IF(ISNUMBER(outYear),INF37+INF42+#REF!+#REF!,"")</f>
        <v/>
      </c>
      <c r="ING48" s="84" t="str">
        <f>IF(ISNUMBER(outYear),ING37+ING42+#REF!+#REF!,"")</f>
        <v/>
      </c>
      <c r="INH48" s="84" t="str">
        <f>IF(ISNUMBER(outYear),INH37+INH42+#REF!+#REF!,"")</f>
        <v/>
      </c>
      <c r="INI48" s="84" t="str">
        <f>IF(ISNUMBER(outYear),INI37+INI42+#REF!+#REF!,"")</f>
        <v/>
      </c>
      <c r="INJ48" s="84" t="str">
        <f>IF(ISNUMBER(outYear),INJ37+INJ42+#REF!+#REF!,"")</f>
        <v/>
      </c>
      <c r="INK48" s="84" t="str">
        <f>IF(ISNUMBER(outYear),INK37+INK42+#REF!+#REF!,"")</f>
        <v/>
      </c>
      <c r="INL48" s="84" t="str">
        <f>IF(ISNUMBER(outYear),INL37+INL42+#REF!+#REF!,"")</f>
        <v/>
      </c>
      <c r="INM48" s="84" t="str">
        <f>IF(ISNUMBER(outYear),INM37+INM42+#REF!+#REF!,"")</f>
        <v/>
      </c>
      <c r="INN48" s="84" t="str">
        <f>IF(ISNUMBER(outYear),INN37+INN42+#REF!+#REF!,"")</f>
        <v/>
      </c>
      <c r="INO48" s="84" t="str">
        <f>IF(ISNUMBER(outYear),INO37+INO42+#REF!+#REF!,"")</f>
        <v/>
      </c>
      <c r="INP48" s="84" t="str">
        <f>IF(ISNUMBER(outYear),INP37+INP42+#REF!+#REF!,"")</f>
        <v/>
      </c>
      <c r="INQ48" s="84" t="str">
        <f>IF(ISNUMBER(outYear),INQ37+INQ42+#REF!+#REF!,"")</f>
        <v/>
      </c>
      <c r="INR48" s="84" t="str">
        <f>IF(ISNUMBER(outYear),INR37+INR42+#REF!+#REF!,"")</f>
        <v/>
      </c>
      <c r="INS48" s="84" t="str">
        <f>IF(ISNUMBER(outYear),INS37+INS42+#REF!+#REF!,"")</f>
        <v/>
      </c>
      <c r="INT48" s="84" t="str">
        <f>IF(ISNUMBER(outYear),INT37+INT42+#REF!+#REF!,"")</f>
        <v/>
      </c>
      <c r="INU48" s="84" t="str">
        <f>IF(ISNUMBER(outYear),INU37+INU42+#REF!+#REF!,"")</f>
        <v/>
      </c>
      <c r="INV48" s="84" t="str">
        <f>IF(ISNUMBER(outYear),INV37+INV42+#REF!+#REF!,"")</f>
        <v/>
      </c>
      <c r="INW48" s="84" t="str">
        <f>IF(ISNUMBER(outYear),INW37+INW42+#REF!+#REF!,"")</f>
        <v/>
      </c>
      <c r="INX48" s="84" t="str">
        <f>IF(ISNUMBER(outYear),INX37+INX42+#REF!+#REF!,"")</f>
        <v/>
      </c>
      <c r="INY48" s="84" t="str">
        <f>IF(ISNUMBER(outYear),INY37+INY42+#REF!+#REF!,"")</f>
        <v/>
      </c>
      <c r="INZ48" s="84" t="str">
        <f>IF(ISNUMBER(outYear),INZ37+INZ42+#REF!+#REF!,"")</f>
        <v/>
      </c>
      <c r="IOA48" s="84" t="str">
        <f>IF(ISNUMBER(outYear),IOA37+IOA42+#REF!+#REF!,"")</f>
        <v/>
      </c>
      <c r="IOB48" s="84" t="str">
        <f>IF(ISNUMBER(outYear),IOB37+IOB42+#REF!+#REF!,"")</f>
        <v/>
      </c>
      <c r="IOC48" s="84" t="str">
        <f>IF(ISNUMBER(outYear),IOC37+IOC42+#REF!+#REF!,"")</f>
        <v/>
      </c>
      <c r="IOD48" s="84" t="str">
        <f>IF(ISNUMBER(outYear),IOD37+IOD42+#REF!+#REF!,"")</f>
        <v/>
      </c>
      <c r="IOE48" s="84" t="str">
        <f>IF(ISNUMBER(outYear),IOE37+IOE42+#REF!+#REF!,"")</f>
        <v/>
      </c>
      <c r="IOF48" s="84" t="str">
        <f>IF(ISNUMBER(outYear),IOF37+IOF42+#REF!+#REF!,"")</f>
        <v/>
      </c>
      <c r="IOG48" s="84" t="str">
        <f>IF(ISNUMBER(outYear),IOG37+IOG42+#REF!+#REF!,"")</f>
        <v/>
      </c>
      <c r="IOH48" s="84" t="str">
        <f>IF(ISNUMBER(outYear),IOH37+IOH42+#REF!+#REF!,"")</f>
        <v/>
      </c>
      <c r="IOI48" s="84" t="str">
        <f>IF(ISNUMBER(outYear),IOI37+IOI42+#REF!+#REF!,"")</f>
        <v/>
      </c>
      <c r="IOJ48" s="84" t="str">
        <f>IF(ISNUMBER(outYear),IOJ37+IOJ42+#REF!+#REF!,"")</f>
        <v/>
      </c>
      <c r="IOK48" s="84" t="str">
        <f>IF(ISNUMBER(outYear),IOK37+IOK42+#REF!+#REF!,"")</f>
        <v/>
      </c>
      <c r="IOL48" s="84" t="str">
        <f>IF(ISNUMBER(outYear),IOL37+IOL42+#REF!+#REF!,"")</f>
        <v/>
      </c>
      <c r="IOM48" s="84" t="str">
        <f>IF(ISNUMBER(outYear),IOM37+IOM42+#REF!+#REF!,"")</f>
        <v/>
      </c>
      <c r="ION48" s="84" t="str">
        <f>IF(ISNUMBER(outYear),ION37+ION42+#REF!+#REF!,"")</f>
        <v/>
      </c>
      <c r="IOO48" s="84" t="str">
        <f>IF(ISNUMBER(outYear),IOO37+IOO42+#REF!+#REF!,"")</f>
        <v/>
      </c>
      <c r="IOP48" s="84" t="str">
        <f>IF(ISNUMBER(outYear),IOP37+IOP42+#REF!+#REF!,"")</f>
        <v/>
      </c>
      <c r="IOQ48" s="84" t="str">
        <f>IF(ISNUMBER(outYear),IOQ37+IOQ42+#REF!+#REF!,"")</f>
        <v/>
      </c>
      <c r="IOR48" s="84" t="str">
        <f>IF(ISNUMBER(outYear),IOR37+IOR42+#REF!+#REF!,"")</f>
        <v/>
      </c>
      <c r="IOS48" s="84" t="str">
        <f>IF(ISNUMBER(outYear),IOS37+IOS42+#REF!+#REF!,"")</f>
        <v/>
      </c>
      <c r="IOT48" s="84" t="str">
        <f>IF(ISNUMBER(outYear),IOT37+IOT42+#REF!+#REF!,"")</f>
        <v/>
      </c>
      <c r="IOU48" s="84" t="str">
        <f>IF(ISNUMBER(outYear),IOU37+IOU42+#REF!+#REF!,"")</f>
        <v/>
      </c>
      <c r="IOV48" s="84" t="str">
        <f>IF(ISNUMBER(outYear),IOV37+IOV42+#REF!+#REF!,"")</f>
        <v/>
      </c>
      <c r="IOW48" s="84" t="str">
        <f>IF(ISNUMBER(outYear),IOW37+IOW42+#REF!+#REF!,"")</f>
        <v/>
      </c>
      <c r="IOX48" s="84" t="str">
        <f>IF(ISNUMBER(outYear),IOX37+IOX42+#REF!+#REF!,"")</f>
        <v/>
      </c>
      <c r="IOY48" s="84" t="str">
        <f>IF(ISNUMBER(outYear),IOY37+IOY42+#REF!+#REF!,"")</f>
        <v/>
      </c>
      <c r="IOZ48" s="84" t="str">
        <f>IF(ISNUMBER(outYear),IOZ37+IOZ42+#REF!+#REF!,"")</f>
        <v/>
      </c>
      <c r="IPA48" s="84" t="str">
        <f>IF(ISNUMBER(outYear),IPA37+IPA42+#REF!+#REF!,"")</f>
        <v/>
      </c>
      <c r="IPB48" s="84" t="str">
        <f>IF(ISNUMBER(outYear),IPB37+IPB42+#REF!+#REF!,"")</f>
        <v/>
      </c>
      <c r="IPC48" s="84" t="str">
        <f>IF(ISNUMBER(outYear),IPC37+IPC42+#REF!+#REF!,"")</f>
        <v/>
      </c>
      <c r="IPD48" s="84" t="str">
        <f>IF(ISNUMBER(outYear),IPD37+IPD42+#REF!+#REF!,"")</f>
        <v/>
      </c>
      <c r="IPE48" s="84" t="str">
        <f>IF(ISNUMBER(outYear),IPE37+IPE42+#REF!+#REF!,"")</f>
        <v/>
      </c>
      <c r="IPF48" s="84" t="str">
        <f>IF(ISNUMBER(outYear),IPF37+IPF42+#REF!+#REF!,"")</f>
        <v/>
      </c>
      <c r="IPG48" s="84" t="str">
        <f>IF(ISNUMBER(outYear),IPG37+IPG42+#REF!+#REF!,"")</f>
        <v/>
      </c>
      <c r="IPH48" s="84" t="str">
        <f>IF(ISNUMBER(outYear),IPH37+IPH42+#REF!+#REF!,"")</f>
        <v/>
      </c>
      <c r="IPI48" s="84" t="str">
        <f>IF(ISNUMBER(outYear),IPI37+IPI42+#REF!+#REF!,"")</f>
        <v/>
      </c>
      <c r="IPJ48" s="84" t="str">
        <f>IF(ISNUMBER(outYear),IPJ37+IPJ42+#REF!+#REF!,"")</f>
        <v/>
      </c>
      <c r="IPK48" s="84" t="str">
        <f>IF(ISNUMBER(outYear),IPK37+IPK42+#REF!+#REF!,"")</f>
        <v/>
      </c>
      <c r="IPL48" s="84" t="str">
        <f>IF(ISNUMBER(outYear),IPL37+IPL42+#REF!+#REF!,"")</f>
        <v/>
      </c>
      <c r="IPM48" s="84" t="str">
        <f>IF(ISNUMBER(outYear),IPM37+IPM42+#REF!+#REF!,"")</f>
        <v/>
      </c>
      <c r="IPN48" s="84" t="str">
        <f>IF(ISNUMBER(outYear),IPN37+IPN42+#REF!+#REF!,"")</f>
        <v/>
      </c>
      <c r="IPO48" s="84" t="str">
        <f>IF(ISNUMBER(outYear),IPO37+IPO42+#REF!+#REF!,"")</f>
        <v/>
      </c>
      <c r="IPP48" s="84" t="str">
        <f>IF(ISNUMBER(outYear),IPP37+IPP42+#REF!+#REF!,"")</f>
        <v/>
      </c>
      <c r="IPQ48" s="84" t="str">
        <f>IF(ISNUMBER(outYear),IPQ37+IPQ42+#REF!+#REF!,"")</f>
        <v/>
      </c>
      <c r="IPR48" s="84" t="str">
        <f>IF(ISNUMBER(outYear),IPR37+IPR42+#REF!+#REF!,"")</f>
        <v/>
      </c>
      <c r="IPS48" s="84" t="str">
        <f>IF(ISNUMBER(outYear),IPS37+IPS42+#REF!+#REF!,"")</f>
        <v/>
      </c>
      <c r="IPT48" s="84" t="str">
        <f>IF(ISNUMBER(outYear),IPT37+IPT42+#REF!+#REF!,"")</f>
        <v/>
      </c>
      <c r="IPU48" s="84" t="str">
        <f>IF(ISNUMBER(outYear),IPU37+IPU42+#REF!+#REF!,"")</f>
        <v/>
      </c>
      <c r="IPV48" s="84" t="str">
        <f>IF(ISNUMBER(outYear),IPV37+IPV42+#REF!+#REF!,"")</f>
        <v/>
      </c>
      <c r="IPW48" s="84" t="str">
        <f>IF(ISNUMBER(outYear),IPW37+IPW42+#REF!+#REF!,"")</f>
        <v/>
      </c>
      <c r="IPX48" s="84" t="str">
        <f>IF(ISNUMBER(outYear),IPX37+IPX42+#REF!+#REF!,"")</f>
        <v/>
      </c>
      <c r="IPY48" s="84" t="str">
        <f>IF(ISNUMBER(outYear),IPY37+IPY42+#REF!+#REF!,"")</f>
        <v/>
      </c>
      <c r="IPZ48" s="84" t="str">
        <f>IF(ISNUMBER(outYear),IPZ37+IPZ42+#REF!+#REF!,"")</f>
        <v/>
      </c>
      <c r="IQA48" s="84" t="str">
        <f>IF(ISNUMBER(outYear),IQA37+IQA42+#REF!+#REF!,"")</f>
        <v/>
      </c>
      <c r="IQB48" s="84" t="str">
        <f>IF(ISNUMBER(outYear),IQB37+IQB42+#REF!+#REF!,"")</f>
        <v/>
      </c>
      <c r="IQC48" s="84" t="str">
        <f>IF(ISNUMBER(outYear),IQC37+IQC42+#REF!+#REF!,"")</f>
        <v/>
      </c>
      <c r="IQD48" s="84" t="str">
        <f>IF(ISNUMBER(outYear),IQD37+IQD42+#REF!+#REF!,"")</f>
        <v/>
      </c>
      <c r="IQE48" s="84" t="str">
        <f>IF(ISNUMBER(outYear),IQE37+IQE42+#REF!+#REF!,"")</f>
        <v/>
      </c>
      <c r="IQF48" s="84" t="str">
        <f>IF(ISNUMBER(outYear),IQF37+IQF42+#REF!+#REF!,"")</f>
        <v/>
      </c>
      <c r="IQG48" s="84" t="str">
        <f>IF(ISNUMBER(outYear),IQG37+IQG42+#REF!+#REF!,"")</f>
        <v/>
      </c>
      <c r="IQH48" s="84" t="str">
        <f>IF(ISNUMBER(outYear),IQH37+IQH42+#REF!+#REF!,"")</f>
        <v/>
      </c>
      <c r="IQI48" s="84" t="str">
        <f>IF(ISNUMBER(outYear),IQI37+IQI42+#REF!+#REF!,"")</f>
        <v/>
      </c>
      <c r="IQJ48" s="84" t="str">
        <f>IF(ISNUMBER(outYear),IQJ37+IQJ42+#REF!+#REF!,"")</f>
        <v/>
      </c>
      <c r="IQK48" s="84" t="str">
        <f>IF(ISNUMBER(outYear),IQK37+IQK42+#REF!+#REF!,"")</f>
        <v/>
      </c>
      <c r="IQL48" s="84" t="str">
        <f>IF(ISNUMBER(outYear),IQL37+IQL42+#REF!+#REF!,"")</f>
        <v/>
      </c>
      <c r="IQM48" s="84" t="str">
        <f>IF(ISNUMBER(outYear),IQM37+IQM42+#REF!+#REF!,"")</f>
        <v/>
      </c>
      <c r="IQN48" s="84" t="str">
        <f>IF(ISNUMBER(outYear),IQN37+IQN42+#REF!+#REF!,"")</f>
        <v/>
      </c>
      <c r="IQO48" s="84" t="str">
        <f>IF(ISNUMBER(outYear),IQO37+IQO42+#REF!+#REF!,"")</f>
        <v/>
      </c>
      <c r="IQP48" s="84" t="str">
        <f>IF(ISNUMBER(outYear),IQP37+IQP42+#REF!+#REF!,"")</f>
        <v/>
      </c>
      <c r="IQQ48" s="84" t="str">
        <f>IF(ISNUMBER(outYear),IQQ37+IQQ42+#REF!+#REF!,"")</f>
        <v/>
      </c>
      <c r="IQR48" s="84" t="str">
        <f>IF(ISNUMBER(outYear),IQR37+IQR42+#REF!+#REF!,"")</f>
        <v/>
      </c>
      <c r="IQS48" s="84" t="str">
        <f>IF(ISNUMBER(outYear),IQS37+IQS42+#REF!+#REF!,"")</f>
        <v/>
      </c>
      <c r="IQT48" s="84" t="str">
        <f>IF(ISNUMBER(outYear),IQT37+IQT42+#REF!+#REF!,"")</f>
        <v/>
      </c>
      <c r="IQU48" s="84" t="str">
        <f>IF(ISNUMBER(outYear),IQU37+IQU42+#REF!+#REF!,"")</f>
        <v/>
      </c>
      <c r="IQV48" s="84" t="str">
        <f>IF(ISNUMBER(outYear),IQV37+IQV42+#REF!+#REF!,"")</f>
        <v/>
      </c>
      <c r="IQW48" s="84" t="str">
        <f>IF(ISNUMBER(outYear),IQW37+IQW42+#REF!+#REF!,"")</f>
        <v/>
      </c>
      <c r="IQX48" s="84" t="str">
        <f>IF(ISNUMBER(outYear),IQX37+IQX42+#REF!+#REF!,"")</f>
        <v/>
      </c>
      <c r="IQY48" s="84" t="str">
        <f>IF(ISNUMBER(outYear),IQY37+IQY42+#REF!+#REF!,"")</f>
        <v/>
      </c>
      <c r="IQZ48" s="84" t="str">
        <f>IF(ISNUMBER(outYear),IQZ37+IQZ42+#REF!+#REF!,"")</f>
        <v/>
      </c>
      <c r="IRA48" s="84" t="str">
        <f>IF(ISNUMBER(outYear),IRA37+IRA42+#REF!+#REF!,"")</f>
        <v/>
      </c>
      <c r="IRB48" s="84" t="str">
        <f>IF(ISNUMBER(outYear),IRB37+IRB42+#REF!+#REF!,"")</f>
        <v/>
      </c>
      <c r="IRC48" s="84" t="str">
        <f>IF(ISNUMBER(outYear),IRC37+IRC42+#REF!+#REF!,"")</f>
        <v/>
      </c>
      <c r="IRD48" s="84" t="str">
        <f>IF(ISNUMBER(outYear),IRD37+IRD42+#REF!+#REF!,"")</f>
        <v/>
      </c>
      <c r="IRE48" s="84" t="str">
        <f>IF(ISNUMBER(outYear),IRE37+IRE42+#REF!+#REF!,"")</f>
        <v/>
      </c>
      <c r="IRF48" s="84" t="str">
        <f>IF(ISNUMBER(outYear),IRF37+IRF42+#REF!+#REF!,"")</f>
        <v/>
      </c>
      <c r="IRG48" s="84" t="str">
        <f>IF(ISNUMBER(outYear),IRG37+IRG42+#REF!+#REF!,"")</f>
        <v/>
      </c>
      <c r="IRH48" s="84" t="str">
        <f>IF(ISNUMBER(outYear),IRH37+IRH42+#REF!+#REF!,"")</f>
        <v/>
      </c>
      <c r="IRI48" s="84" t="str">
        <f>IF(ISNUMBER(outYear),IRI37+IRI42+#REF!+#REF!,"")</f>
        <v/>
      </c>
      <c r="IRJ48" s="84" t="str">
        <f>IF(ISNUMBER(outYear),IRJ37+IRJ42+#REF!+#REF!,"")</f>
        <v/>
      </c>
      <c r="IRK48" s="84" t="str">
        <f>IF(ISNUMBER(outYear),IRK37+IRK42+#REF!+#REF!,"")</f>
        <v/>
      </c>
      <c r="IRL48" s="84" t="str">
        <f>IF(ISNUMBER(outYear),IRL37+IRL42+#REF!+#REF!,"")</f>
        <v/>
      </c>
      <c r="IRM48" s="84" t="str">
        <f>IF(ISNUMBER(outYear),IRM37+IRM42+#REF!+#REF!,"")</f>
        <v/>
      </c>
      <c r="IRN48" s="84" t="str">
        <f>IF(ISNUMBER(outYear),IRN37+IRN42+#REF!+#REF!,"")</f>
        <v/>
      </c>
      <c r="IRO48" s="84" t="str">
        <f>IF(ISNUMBER(outYear),IRO37+IRO42+#REF!+#REF!,"")</f>
        <v/>
      </c>
      <c r="IRP48" s="84" t="str">
        <f>IF(ISNUMBER(outYear),IRP37+IRP42+#REF!+#REF!,"")</f>
        <v/>
      </c>
      <c r="IRQ48" s="84" t="str">
        <f>IF(ISNUMBER(outYear),IRQ37+IRQ42+#REF!+#REF!,"")</f>
        <v/>
      </c>
      <c r="IRR48" s="84" t="str">
        <f>IF(ISNUMBER(outYear),IRR37+IRR42+#REF!+#REF!,"")</f>
        <v/>
      </c>
      <c r="IRS48" s="84" t="str">
        <f>IF(ISNUMBER(outYear),IRS37+IRS42+#REF!+#REF!,"")</f>
        <v/>
      </c>
      <c r="IRT48" s="84" t="str">
        <f>IF(ISNUMBER(outYear),IRT37+IRT42+#REF!+#REF!,"")</f>
        <v/>
      </c>
      <c r="IRU48" s="84" t="str">
        <f>IF(ISNUMBER(outYear),IRU37+IRU42+#REF!+#REF!,"")</f>
        <v/>
      </c>
      <c r="IRV48" s="84" t="str">
        <f>IF(ISNUMBER(outYear),IRV37+IRV42+#REF!+#REF!,"")</f>
        <v/>
      </c>
      <c r="IRW48" s="84" t="str">
        <f>IF(ISNUMBER(outYear),IRW37+IRW42+#REF!+#REF!,"")</f>
        <v/>
      </c>
      <c r="IRX48" s="84" t="str">
        <f>IF(ISNUMBER(outYear),IRX37+IRX42+#REF!+#REF!,"")</f>
        <v/>
      </c>
      <c r="IRY48" s="84" t="str">
        <f>IF(ISNUMBER(outYear),IRY37+IRY42+#REF!+#REF!,"")</f>
        <v/>
      </c>
      <c r="IRZ48" s="84" t="str">
        <f>IF(ISNUMBER(outYear),IRZ37+IRZ42+#REF!+#REF!,"")</f>
        <v/>
      </c>
      <c r="ISA48" s="84" t="str">
        <f>IF(ISNUMBER(outYear),ISA37+ISA42+#REF!+#REF!,"")</f>
        <v/>
      </c>
      <c r="ISB48" s="84" t="str">
        <f>IF(ISNUMBER(outYear),ISB37+ISB42+#REF!+#REF!,"")</f>
        <v/>
      </c>
      <c r="ISC48" s="84" t="str">
        <f>IF(ISNUMBER(outYear),ISC37+ISC42+#REF!+#REF!,"")</f>
        <v/>
      </c>
      <c r="ISD48" s="84" t="str">
        <f>IF(ISNUMBER(outYear),ISD37+ISD42+#REF!+#REF!,"")</f>
        <v/>
      </c>
      <c r="ISE48" s="84" t="str">
        <f>IF(ISNUMBER(outYear),ISE37+ISE42+#REF!+#REF!,"")</f>
        <v/>
      </c>
      <c r="ISF48" s="84" t="str">
        <f>IF(ISNUMBER(outYear),ISF37+ISF42+#REF!+#REF!,"")</f>
        <v/>
      </c>
      <c r="ISG48" s="84" t="str">
        <f>IF(ISNUMBER(outYear),ISG37+ISG42+#REF!+#REF!,"")</f>
        <v/>
      </c>
      <c r="ISH48" s="84" t="str">
        <f>IF(ISNUMBER(outYear),ISH37+ISH42+#REF!+#REF!,"")</f>
        <v/>
      </c>
      <c r="ISI48" s="84" t="str">
        <f>IF(ISNUMBER(outYear),ISI37+ISI42+#REF!+#REF!,"")</f>
        <v/>
      </c>
      <c r="ISJ48" s="84" t="str">
        <f>IF(ISNUMBER(outYear),ISJ37+ISJ42+#REF!+#REF!,"")</f>
        <v/>
      </c>
      <c r="ISK48" s="84" t="str">
        <f>IF(ISNUMBER(outYear),ISK37+ISK42+#REF!+#REF!,"")</f>
        <v/>
      </c>
      <c r="ISL48" s="84" t="str">
        <f>IF(ISNUMBER(outYear),ISL37+ISL42+#REF!+#REF!,"")</f>
        <v/>
      </c>
      <c r="ISM48" s="84" t="str">
        <f>IF(ISNUMBER(outYear),ISM37+ISM42+#REF!+#REF!,"")</f>
        <v/>
      </c>
      <c r="ISN48" s="84" t="str">
        <f>IF(ISNUMBER(outYear),ISN37+ISN42+#REF!+#REF!,"")</f>
        <v/>
      </c>
      <c r="ISO48" s="84" t="str">
        <f>IF(ISNUMBER(outYear),ISO37+ISO42+#REF!+#REF!,"")</f>
        <v/>
      </c>
      <c r="ISP48" s="84" t="str">
        <f>IF(ISNUMBER(outYear),ISP37+ISP42+#REF!+#REF!,"")</f>
        <v/>
      </c>
      <c r="ISQ48" s="84" t="str">
        <f>IF(ISNUMBER(outYear),ISQ37+ISQ42+#REF!+#REF!,"")</f>
        <v/>
      </c>
      <c r="ISR48" s="84" t="str">
        <f>IF(ISNUMBER(outYear),ISR37+ISR42+#REF!+#REF!,"")</f>
        <v/>
      </c>
      <c r="ISS48" s="84" t="str">
        <f>IF(ISNUMBER(outYear),ISS37+ISS42+#REF!+#REF!,"")</f>
        <v/>
      </c>
      <c r="IST48" s="84" t="str">
        <f>IF(ISNUMBER(outYear),IST37+IST42+#REF!+#REF!,"")</f>
        <v/>
      </c>
      <c r="ISU48" s="84" t="str">
        <f>IF(ISNUMBER(outYear),ISU37+ISU42+#REF!+#REF!,"")</f>
        <v/>
      </c>
      <c r="ISV48" s="84" t="str">
        <f>IF(ISNUMBER(outYear),ISV37+ISV42+#REF!+#REF!,"")</f>
        <v/>
      </c>
      <c r="ISW48" s="84" t="str">
        <f>IF(ISNUMBER(outYear),ISW37+ISW42+#REF!+#REF!,"")</f>
        <v/>
      </c>
      <c r="ISX48" s="84" t="str">
        <f>IF(ISNUMBER(outYear),ISX37+ISX42+#REF!+#REF!,"")</f>
        <v/>
      </c>
      <c r="ISY48" s="84" t="str">
        <f>IF(ISNUMBER(outYear),ISY37+ISY42+#REF!+#REF!,"")</f>
        <v/>
      </c>
      <c r="ISZ48" s="84" t="str">
        <f>IF(ISNUMBER(outYear),ISZ37+ISZ42+#REF!+#REF!,"")</f>
        <v/>
      </c>
      <c r="ITA48" s="84" t="str">
        <f>IF(ISNUMBER(outYear),ITA37+ITA42+#REF!+#REF!,"")</f>
        <v/>
      </c>
      <c r="ITB48" s="84" t="str">
        <f>IF(ISNUMBER(outYear),ITB37+ITB42+#REF!+#REF!,"")</f>
        <v/>
      </c>
      <c r="ITC48" s="84" t="str">
        <f>IF(ISNUMBER(outYear),ITC37+ITC42+#REF!+#REF!,"")</f>
        <v/>
      </c>
      <c r="ITD48" s="84" t="str">
        <f>IF(ISNUMBER(outYear),ITD37+ITD42+#REF!+#REF!,"")</f>
        <v/>
      </c>
      <c r="ITE48" s="84" t="str">
        <f>IF(ISNUMBER(outYear),ITE37+ITE42+#REF!+#REF!,"")</f>
        <v/>
      </c>
      <c r="ITF48" s="84" t="str">
        <f>IF(ISNUMBER(outYear),ITF37+ITF42+#REF!+#REF!,"")</f>
        <v/>
      </c>
      <c r="ITG48" s="84" t="str">
        <f>IF(ISNUMBER(outYear),ITG37+ITG42+#REF!+#REF!,"")</f>
        <v/>
      </c>
      <c r="ITH48" s="84" t="str">
        <f>IF(ISNUMBER(outYear),ITH37+ITH42+#REF!+#REF!,"")</f>
        <v/>
      </c>
      <c r="ITI48" s="84" t="str">
        <f>IF(ISNUMBER(outYear),ITI37+ITI42+#REF!+#REF!,"")</f>
        <v/>
      </c>
      <c r="ITJ48" s="84" t="str">
        <f>IF(ISNUMBER(outYear),ITJ37+ITJ42+#REF!+#REF!,"")</f>
        <v/>
      </c>
      <c r="ITK48" s="84" t="str">
        <f>IF(ISNUMBER(outYear),ITK37+ITK42+#REF!+#REF!,"")</f>
        <v/>
      </c>
      <c r="ITL48" s="84" t="str">
        <f>IF(ISNUMBER(outYear),ITL37+ITL42+#REF!+#REF!,"")</f>
        <v/>
      </c>
      <c r="ITM48" s="84" t="str">
        <f>IF(ISNUMBER(outYear),ITM37+ITM42+#REF!+#REF!,"")</f>
        <v/>
      </c>
      <c r="ITN48" s="84" t="str">
        <f>IF(ISNUMBER(outYear),ITN37+ITN42+#REF!+#REF!,"")</f>
        <v/>
      </c>
      <c r="ITO48" s="84" t="str">
        <f>IF(ISNUMBER(outYear),ITO37+ITO42+#REF!+#REF!,"")</f>
        <v/>
      </c>
      <c r="ITP48" s="84" t="str">
        <f>IF(ISNUMBER(outYear),ITP37+ITP42+#REF!+#REF!,"")</f>
        <v/>
      </c>
      <c r="ITQ48" s="84" t="str">
        <f>IF(ISNUMBER(outYear),ITQ37+ITQ42+#REF!+#REF!,"")</f>
        <v/>
      </c>
      <c r="ITR48" s="84" t="str">
        <f>IF(ISNUMBER(outYear),ITR37+ITR42+#REF!+#REF!,"")</f>
        <v/>
      </c>
      <c r="ITS48" s="84" t="str">
        <f>IF(ISNUMBER(outYear),ITS37+ITS42+#REF!+#REF!,"")</f>
        <v/>
      </c>
      <c r="ITT48" s="84" t="str">
        <f>IF(ISNUMBER(outYear),ITT37+ITT42+#REF!+#REF!,"")</f>
        <v/>
      </c>
      <c r="ITU48" s="84" t="str">
        <f>IF(ISNUMBER(outYear),ITU37+ITU42+#REF!+#REF!,"")</f>
        <v/>
      </c>
      <c r="ITV48" s="84" t="str">
        <f>IF(ISNUMBER(outYear),ITV37+ITV42+#REF!+#REF!,"")</f>
        <v/>
      </c>
      <c r="ITW48" s="84" t="str">
        <f>IF(ISNUMBER(outYear),ITW37+ITW42+#REF!+#REF!,"")</f>
        <v/>
      </c>
      <c r="ITX48" s="84" t="str">
        <f>IF(ISNUMBER(outYear),ITX37+ITX42+#REF!+#REF!,"")</f>
        <v/>
      </c>
      <c r="ITY48" s="84" t="str">
        <f>IF(ISNUMBER(outYear),ITY37+ITY42+#REF!+#REF!,"")</f>
        <v/>
      </c>
      <c r="ITZ48" s="84" t="str">
        <f>IF(ISNUMBER(outYear),ITZ37+ITZ42+#REF!+#REF!,"")</f>
        <v/>
      </c>
      <c r="IUA48" s="84" t="str">
        <f>IF(ISNUMBER(outYear),IUA37+IUA42+#REF!+#REF!,"")</f>
        <v/>
      </c>
      <c r="IUB48" s="84" t="str">
        <f>IF(ISNUMBER(outYear),IUB37+IUB42+#REF!+#REF!,"")</f>
        <v/>
      </c>
      <c r="IUC48" s="84" t="str">
        <f>IF(ISNUMBER(outYear),IUC37+IUC42+#REF!+#REF!,"")</f>
        <v/>
      </c>
      <c r="IUD48" s="84" t="str">
        <f>IF(ISNUMBER(outYear),IUD37+IUD42+#REF!+#REF!,"")</f>
        <v/>
      </c>
      <c r="IUE48" s="84" t="str">
        <f>IF(ISNUMBER(outYear),IUE37+IUE42+#REF!+#REF!,"")</f>
        <v/>
      </c>
      <c r="IUF48" s="84" t="str">
        <f>IF(ISNUMBER(outYear),IUF37+IUF42+#REF!+#REF!,"")</f>
        <v/>
      </c>
      <c r="IUG48" s="84" t="str">
        <f>IF(ISNUMBER(outYear),IUG37+IUG42+#REF!+#REF!,"")</f>
        <v/>
      </c>
      <c r="IUH48" s="84" t="str">
        <f>IF(ISNUMBER(outYear),IUH37+IUH42+#REF!+#REF!,"")</f>
        <v/>
      </c>
      <c r="IUI48" s="84" t="str">
        <f>IF(ISNUMBER(outYear),IUI37+IUI42+#REF!+#REF!,"")</f>
        <v/>
      </c>
      <c r="IUJ48" s="84" t="str">
        <f>IF(ISNUMBER(outYear),IUJ37+IUJ42+#REF!+#REF!,"")</f>
        <v/>
      </c>
      <c r="IUK48" s="84" t="str">
        <f>IF(ISNUMBER(outYear),IUK37+IUK42+#REF!+#REF!,"")</f>
        <v/>
      </c>
      <c r="IUL48" s="84" t="str">
        <f>IF(ISNUMBER(outYear),IUL37+IUL42+#REF!+#REF!,"")</f>
        <v/>
      </c>
      <c r="IUM48" s="84" t="str">
        <f>IF(ISNUMBER(outYear),IUM37+IUM42+#REF!+#REF!,"")</f>
        <v/>
      </c>
      <c r="IUN48" s="84" t="str">
        <f>IF(ISNUMBER(outYear),IUN37+IUN42+#REF!+#REF!,"")</f>
        <v/>
      </c>
      <c r="IUO48" s="84" t="str">
        <f>IF(ISNUMBER(outYear),IUO37+IUO42+#REF!+#REF!,"")</f>
        <v/>
      </c>
      <c r="IUP48" s="84" t="str">
        <f>IF(ISNUMBER(outYear),IUP37+IUP42+#REF!+#REF!,"")</f>
        <v/>
      </c>
      <c r="IUQ48" s="84" t="str">
        <f>IF(ISNUMBER(outYear),IUQ37+IUQ42+#REF!+#REF!,"")</f>
        <v/>
      </c>
      <c r="IUR48" s="84" t="str">
        <f>IF(ISNUMBER(outYear),IUR37+IUR42+#REF!+#REF!,"")</f>
        <v/>
      </c>
      <c r="IUS48" s="84" t="str">
        <f>IF(ISNUMBER(outYear),IUS37+IUS42+#REF!+#REF!,"")</f>
        <v/>
      </c>
      <c r="IUT48" s="84" t="str">
        <f>IF(ISNUMBER(outYear),IUT37+IUT42+#REF!+#REF!,"")</f>
        <v/>
      </c>
      <c r="IUU48" s="84" t="str">
        <f>IF(ISNUMBER(outYear),IUU37+IUU42+#REF!+#REF!,"")</f>
        <v/>
      </c>
      <c r="IUV48" s="84" t="str">
        <f>IF(ISNUMBER(outYear),IUV37+IUV42+#REF!+#REF!,"")</f>
        <v/>
      </c>
      <c r="IUW48" s="84" t="str">
        <f>IF(ISNUMBER(outYear),IUW37+IUW42+#REF!+#REF!,"")</f>
        <v/>
      </c>
      <c r="IUX48" s="84" t="str">
        <f>IF(ISNUMBER(outYear),IUX37+IUX42+#REF!+#REF!,"")</f>
        <v/>
      </c>
      <c r="IUY48" s="84" t="str">
        <f>IF(ISNUMBER(outYear),IUY37+IUY42+#REF!+#REF!,"")</f>
        <v/>
      </c>
      <c r="IUZ48" s="84" t="str">
        <f>IF(ISNUMBER(outYear),IUZ37+IUZ42+#REF!+#REF!,"")</f>
        <v/>
      </c>
      <c r="IVA48" s="84" t="str">
        <f>IF(ISNUMBER(outYear),IVA37+IVA42+#REF!+#REF!,"")</f>
        <v/>
      </c>
      <c r="IVB48" s="84" t="str">
        <f>IF(ISNUMBER(outYear),IVB37+IVB42+#REF!+#REF!,"")</f>
        <v/>
      </c>
      <c r="IVC48" s="84" t="str">
        <f>IF(ISNUMBER(outYear),IVC37+IVC42+#REF!+#REF!,"")</f>
        <v/>
      </c>
      <c r="IVD48" s="84" t="str">
        <f>IF(ISNUMBER(outYear),IVD37+IVD42+#REF!+#REF!,"")</f>
        <v/>
      </c>
      <c r="IVE48" s="84" t="str">
        <f>IF(ISNUMBER(outYear),IVE37+IVE42+#REF!+#REF!,"")</f>
        <v/>
      </c>
      <c r="IVF48" s="84" t="str">
        <f>IF(ISNUMBER(outYear),IVF37+IVF42+#REF!+#REF!,"")</f>
        <v/>
      </c>
      <c r="IVG48" s="84" t="str">
        <f>IF(ISNUMBER(outYear),IVG37+IVG42+#REF!+#REF!,"")</f>
        <v/>
      </c>
      <c r="IVH48" s="84" t="str">
        <f>IF(ISNUMBER(outYear),IVH37+IVH42+#REF!+#REF!,"")</f>
        <v/>
      </c>
      <c r="IVI48" s="84" t="str">
        <f>IF(ISNUMBER(outYear),IVI37+IVI42+#REF!+#REF!,"")</f>
        <v/>
      </c>
      <c r="IVJ48" s="84" t="str">
        <f>IF(ISNUMBER(outYear),IVJ37+IVJ42+#REF!+#REF!,"")</f>
        <v/>
      </c>
      <c r="IVK48" s="84" t="str">
        <f>IF(ISNUMBER(outYear),IVK37+IVK42+#REF!+#REF!,"")</f>
        <v/>
      </c>
      <c r="IVL48" s="84" t="str">
        <f>IF(ISNUMBER(outYear),IVL37+IVL42+#REF!+#REF!,"")</f>
        <v/>
      </c>
      <c r="IVM48" s="84" t="str">
        <f>IF(ISNUMBER(outYear),IVM37+IVM42+#REF!+#REF!,"")</f>
        <v/>
      </c>
      <c r="IVN48" s="84" t="str">
        <f>IF(ISNUMBER(outYear),IVN37+IVN42+#REF!+#REF!,"")</f>
        <v/>
      </c>
      <c r="IVO48" s="84" t="str">
        <f>IF(ISNUMBER(outYear),IVO37+IVO42+#REF!+#REF!,"")</f>
        <v/>
      </c>
      <c r="IVP48" s="84" t="str">
        <f>IF(ISNUMBER(outYear),IVP37+IVP42+#REF!+#REF!,"")</f>
        <v/>
      </c>
      <c r="IVQ48" s="84" t="str">
        <f>IF(ISNUMBER(outYear),IVQ37+IVQ42+#REF!+#REF!,"")</f>
        <v/>
      </c>
      <c r="IVR48" s="84" t="str">
        <f>IF(ISNUMBER(outYear),IVR37+IVR42+#REF!+#REF!,"")</f>
        <v/>
      </c>
      <c r="IVS48" s="84" t="str">
        <f>IF(ISNUMBER(outYear),IVS37+IVS42+#REF!+#REF!,"")</f>
        <v/>
      </c>
      <c r="IVT48" s="84" t="str">
        <f>IF(ISNUMBER(outYear),IVT37+IVT42+#REF!+#REF!,"")</f>
        <v/>
      </c>
      <c r="IVU48" s="84" t="str">
        <f>IF(ISNUMBER(outYear),IVU37+IVU42+#REF!+#REF!,"")</f>
        <v/>
      </c>
      <c r="IVV48" s="84" t="str">
        <f>IF(ISNUMBER(outYear),IVV37+IVV42+#REF!+#REF!,"")</f>
        <v/>
      </c>
      <c r="IVW48" s="84" t="str">
        <f>IF(ISNUMBER(outYear),IVW37+IVW42+#REF!+#REF!,"")</f>
        <v/>
      </c>
      <c r="IVX48" s="84" t="str">
        <f>IF(ISNUMBER(outYear),IVX37+IVX42+#REF!+#REF!,"")</f>
        <v/>
      </c>
      <c r="IVY48" s="84" t="str">
        <f>IF(ISNUMBER(outYear),IVY37+IVY42+#REF!+#REF!,"")</f>
        <v/>
      </c>
      <c r="IVZ48" s="84" t="str">
        <f>IF(ISNUMBER(outYear),IVZ37+IVZ42+#REF!+#REF!,"")</f>
        <v/>
      </c>
      <c r="IWA48" s="84" t="str">
        <f>IF(ISNUMBER(outYear),IWA37+IWA42+#REF!+#REF!,"")</f>
        <v/>
      </c>
      <c r="IWB48" s="84" t="str">
        <f>IF(ISNUMBER(outYear),IWB37+IWB42+#REF!+#REF!,"")</f>
        <v/>
      </c>
      <c r="IWC48" s="84" t="str">
        <f>IF(ISNUMBER(outYear),IWC37+IWC42+#REF!+#REF!,"")</f>
        <v/>
      </c>
      <c r="IWD48" s="84" t="str">
        <f>IF(ISNUMBER(outYear),IWD37+IWD42+#REF!+#REF!,"")</f>
        <v/>
      </c>
      <c r="IWE48" s="84" t="str">
        <f>IF(ISNUMBER(outYear),IWE37+IWE42+#REF!+#REF!,"")</f>
        <v/>
      </c>
      <c r="IWF48" s="84" t="str">
        <f>IF(ISNUMBER(outYear),IWF37+IWF42+#REF!+#REF!,"")</f>
        <v/>
      </c>
      <c r="IWG48" s="84" t="str">
        <f>IF(ISNUMBER(outYear),IWG37+IWG42+#REF!+#REF!,"")</f>
        <v/>
      </c>
      <c r="IWH48" s="84" t="str">
        <f>IF(ISNUMBER(outYear),IWH37+IWH42+#REF!+#REF!,"")</f>
        <v/>
      </c>
      <c r="IWI48" s="84" t="str">
        <f>IF(ISNUMBER(outYear),IWI37+IWI42+#REF!+#REF!,"")</f>
        <v/>
      </c>
      <c r="IWJ48" s="84" t="str">
        <f>IF(ISNUMBER(outYear),IWJ37+IWJ42+#REF!+#REF!,"")</f>
        <v/>
      </c>
      <c r="IWK48" s="84" t="str">
        <f>IF(ISNUMBER(outYear),IWK37+IWK42+#REF!+#REF!,"")</f>
        <v/>
      </c>
      <c r="IWL48" s="84" t="str">
        <f>IF(ISNUMBER(outYear),IWL37+IWL42+#REF!+#REF!,"")</f>
        <v/>
      </c>
      <c r="IWM48" s="84" t="str">
        <f>IF(ISNUMBER(outYear),IWM37+IWM42+#REF!+#REF!,"")</f>
        <v/>
      </c>
      <c r="IWN48" s="84" t="str">
        <f>IF(ISNUMBER(outYear),IWN37+IWN42+#REF!+#REF!,"")</f>
        <v/>
      </c>
      <c r="IWO48" s="84" t="str">
        <f>IF(ISNUMBER(outYear),IWO37+IWO42+#REF!+#REF!,"")</f>
        <v/>
      </c>
      <c r="IWP48" s="84" t="str">
        <f>IF(ISNUMBER(outYear),IWP37+IWP42+#REF!+#REF!,"")</f>
        <v/>
      </c>
      <c r="IWQ48" s="84" t="str">
        <f>IF(ISNUMBER(outYear),IWQ37+IWQ42+#REF!+#REF!,"")</f>
        <v/>
      </c>
      <c r="IWR48" s="84" t="str">
        <f>IF(ISNUMBER(outYear),IWR37+IWR42+#REF!+#REF!,"")</f>
        <v/>
      </c>
      <c r="IWS48" s="84" t="str">
        <f>IF(ISNUMBER(outYear),IWS37+IWS42+#REF!+#REF!,"")</f>
        <v/>
      </c>
      <c r="IWT48" s="84" t="str">
        <f>IF(ISNUMBER(outYear),IWT37+IWT42+#REF!+#REF!,"")</f>
        <v/>
      </c>
      <c r="IWU48" s="84" t="str">
        <f>IF(ISNUMBER(outYear),IWU37+IWU42+#REF!+#REF!,"")</f>
        <v/>
      </c>
      <c r="IWV48" s="84" t="str">
        <f>IF(ISNUMBER(outYear),IWV37+IWV42+#REF!+#REF!,"")</f>
        <v/>
      </c>
      <c r="IWW48" s="84" t="str">
        <f>IF(ISNUMBER(outYear),IWW37+IWW42+#REF!+#REF!,"")</f>
        <v/>
      </c>
      <c r="IWX48" s="84" t="str">
        <f>IF(ISNUMBER(outYear),IWX37+IWX42+#REF!+#REF!,"")</f>
        <v/>
      </c>
      <c r="IWY48" s="84" t="str">
        <f>IF(ISNUMBER(outYear),IWY37+IWY42+#REF!+#REF!,"")</f>
        <v/>
      </c>
      <c r="IWZ48" s="84" t="str">
        <f>IF(ISNUMBER(outYear),IWZ37+IWZ42+#REF!+#REF!,"")</f>
        <v/>
      </c>
      <c r="IXA48" s="84" t="str">
        <f>IF(ISNUMBER(outYear),IXA37+IXA42+#REF!+#REF!,"")</f>
        <v/>
      </c>
      <c r="IXB48" s="84" t="str">
        <f>IF(ISNUMBER(outYear),IXB37+IXB42+#REF!+#REF!,"")</f>
        <v/>
      </c>
      <c r="IXC48" s="84" t="str">
        <f>IF(ISNUMBER(outYear),IXC37+IXC42+#REF!+#REF!,"")</f>
        <v/>
      </c>
      <c r="IXD48" s="84" t="str">
        <f>IF(ISNUMBER(outYear),IXD37+IXD42+#REF!+#REF!,"")</f>
        <v/>
      </c>
      <c r="IXE48" s="84" t="str">
        <f>IF(ISNUMBER(outYear),IXE37+IXE42+#REF!+#REF!,"")</f>
        <v/>
      </c>
      <c r="IXF48" s="84" t="str">
        <f>IF(ISNUMBER(outYear),IXF37+IXF42+#REF!+#REF!,"")</f>
        <v/>
      </c>
      <c r="IXG48" s="84" t="str">
        <f>IF(ISNUMBER(outYear),IXG37+IXG42+#REF!+#REF!,"")</f>
        <v/>
      </c>
      <c r="IXH48" s="84" t="str">
        <f>IF(ISNUMBER(outYear),IXH37+IXH42+#REF!+#REF!,"")</f>
        <v/>
      </c>
      <c r="IXI48" s="84" t="str">
        <f>IF(ISNUMBER(outYear),IXI37+IXI42+#REF!+#REF!,"")</f>
        <v/>
      </c>
      <c r="IXJ48" s="84" t="str">
        <f>IF(ISNUMBER(outYear),IXJ37+IXJ42+#REF!+#REF!,"")</f>
        <v/>
      </c>
      <c r="IXK48" s="84" t="str">
        <f>IF(ISNUMBER(outYear),IXK37+IXK42+#REF!+#REF!,"")</f>
        <v/>
      </c>
      <c r="IXL48" s="84" t="str">
        <f>IF(ISNUMBER(outYear),IXL37+IXL42+#REF!+#REF!,"")</f>
        <v/>
      </c>
      <c r="IXM48" s="84" t="str">
        <f>IF(ISNUMBER(outYear),IXM37+IXM42+#REF!+#REF!,"")</f>
        <v/>
      </c>
      <c r="IXN48" s="84" t="str">
        <f>IF(ISNUMBER(outYear),IXN37+IXN42+#REF!+#REF!,"")</f>
        <v/>
      </c>
      <c r="IXO48" s="84" t="str">
        <f>IF(ISNUMBER(outYear),IXO37+IXO42+#REF!+#REF!,"")</f>
        <v/>
      </c>
      <c r="IXP48" s="84" t="str">
        <f>IF(ISNUMBER(outYear),IXP37+IXP42+#REF!+#REF!,"")</f>
        <v/>
      </c>
      <c r="IXQ48" s="84" t="str">
        <f>IF(ISNUMBER(outYear),IXQ37+IXQ42+#REF!+#REF!,"")</f>
        <v/>
      </c>
      <c r="IXR48" s="84" t="str">
        <f>IF(ISNUMBER(outYear),IXR37+IXR42+#REF!+#REF!,"")</f>
        <v/>
      </c>
      <c r="IXS48" s="84" t="str">
        <f>IF(ISNUMBER(outYear),IXS37+IXS42+#REF!+#REF!,"")</f>
        <v/>
      </c>
      <c r="IXT48" s="84" t="str">
        <f>IF(ISNUMBER(outYear),IXT37+IXT42+#REF!+#REF!,"")</f>
        <v/>
      </c>
      <c r="IXU48" s="84" t="str">
        <f>IF(ISNUMBER(outYear),IXU37+IXU42+#REF!+#REF!,"")</f>
        <v/>
      </c>
      <c r="IXV48" s="84" t="str">
        <f>IF(ISNUMBER(outYear),IXV37+IXV42+#REF!+#REF!,"")</f>
        <v/>
      </c>
      <c r="IXW48" s="84" t="str">
        <f>IF(ISNUMBER(outYear),IXW37+IXW42+#REF!+#REF!,"")</f>
        <v/>
      </c>
      <c r="IXX48" s="84" t="str">
        <f>IF(ISNUMBER(outYear),IXX37+IXX42+#REF!+#REF!,"")</f>
        <v/>
      </c>
      <c r="IXY48" s="84" t="str">
        <f>IF(ISNUMBER(outYear),IXY37+IXY42+#REF!+#REF!,"")</f>
        <v/>
      </c>
      <c r="IXZ48" s="84" t="str">
        <f>IF(ISNUMBER(outYear),IXZ37+IXZ42+#REF!+#REF!,"")</f>
        <v/>
      </c>
      <c r="IYA48" s="84" t="str">
        <f>IF(ISNUMBER(outYear),IYA37+IYA42+#REF!+#REF!,"")</f>
        <v/>
      </c>
      <c r="IYB48" s="84" t="str">
        <f>IF(ISNUMBER(outYear),IYB37+IYB42+#REF!+#REF!,"")</f>
        <v/>
      </c>
      <c r="IYC48" s="84" t="str">
        <f>IF(ISNUMBER(outYear),IYC37+IYC42+#REF!+#REF!,"")</f>
        <v/>
      </c>
      <c r="IYD48" s="84" t="str">
        <f>IF(ISNUMBER(outYear),IYD37+IYD42+#REF!+#REF!,"")</f>
        <v/>
      </c>
      <c r="IYE48" s="84" t="str">
        <f>IF(ISNUMBER(outYear),IYE37+IYE42+#REF!+#REF!,"")</f>
        <v/>
      </c>
      <c r="IYF48" s="84" t="str">
        <f>IF(ISNUMBER(outYear),IYF37+IYF42+#REF!+#REF!,"")</f>
        <v/>
      </c>
      <c r="IYG48" s="84" t="str">
        <f>IF(ISNUMBER(outYear),IYG37+IYG42+#REF!+#REF!,"")</f>
        <v/>
      </c>
      <c r="IYH48" s="84" t="str">
        <f>IF(ISNUMBER(outYear),IYH37+IYH42+#REF!+#REF!,"")</f>
        <v/>
      </c>
      <c r="IYI48" s="84" t="str">
        <f>IF(ISNUMBER(outYear),IYI37+IYI42+#REF!+#REF!,"")</f>
        <v/>
      </c>
      <c r="IYJ48" s="84" t="str">
        <f>IF(ISNUMBER(outYear),IYJ37+IYJ42+#REF!+#REF!,"")</f>
        <v/>
      </c>
      <c r="IYK48" s="84" t="str">
        <f>IF(ISNUMBER(outYear),IYK37+IYK42+#REF!+#REF!,"")</f>
        <v/>
      </c>
      <c r="IYL48" s="84" t="str">
        <f>IF(ISNUMBER(outYear),IYL37+IYL42+#REF!+#REF!,"")</f>
        <v/>
      </c>
      <c r="IYM48" s="84" t="str">
        <f>IF(ISNUMBER(outYear),IYM37+IYM42+#REF!+#REF!,"")</f>
        <v/>
      </c>
      <c r="IYN48" s="84" t="str">
        <f>IF(ISNUMBER(outYear),IYN37+IYN42+#REF!+#REF!,"")</f>
        <v/>
      </c>
      <c r="IYO48" s="84" t="str">
        <f>IF(ISNUMBER(outYear),IYO37+IYO42+#REF!+#REF!,"")</f>
        <v/>
      </c>
      <c r="IYP48" s="84" t="str">
        <f>IF(ISNUMBER(outYear),IYP37+IYP42+#REF!+#REF!,"")</f>
        <v/>
      </c>
      <c r="IYQ48" s="84" t="str">
        <f>IF(ISNUMBER(outYear),IYQ37+IYQ42+#REF!+#REF!,"")</f>
        <v/>
      </c>
      <c r="IYR48" s="84" t="str">
        <f>IF(ISNUMBER(outYear),IYR37+IYR42+#REF!+#REF!,"")</f>
        <v/>
      </c>
      <c r="IYS48" s="84" t="str">
        <f>IF(ISNUMBER(outYear),IYS37+IYS42+#REF!+#REF!,"")</f>
        <v/>
      </c>
      <c r="IYT48" s="84" t="str">
        <f>IF(ISNUMBER(outYear),IYT37+IYT42+#REF!+#REF!,"")</f>
        <v/>
      </c>
      <c r="IYU48" s="84" t="str">
        <f>IF(ISNUMBER(outYear),IYU37+IYU42+#REF!+#REF!,"")</f>
        <v/>
      </c>
      <c r="IYV48" s="84" t="str">
        <f>IF(ISNUMBER(outYear),IYV37+IYV42+#REF!+#REF!,"")</f>
        <v/>
      </c>
      <c r="IYW48" s="84" t="str">
        <f>IF(ISNUMBER(outYear),IYW37+IYW42+#REF!+#REF!,"")</f>
        <v/>
      </c>
      <c r="IYX48" s="84" t="str">
        <f>IF(ISNUMBER(outYear),IYX37+IYX42+#REF!+#REF!,"")</f>
        <v/>
      </c>
      <c r="IYY48" s="84" t="str">
        <f>IF(ISNUMBER(outYear),IYY37+IYY42+#REF!+#REF!,"")</f>
        <v/>
      </c>
      <c r="IYZ48" s="84" t="str">
        <f>IF(ISNUMBER(outYear),IYZ37+IYZ42+#REF!+#REF!,"")</f>
        <v/>
      </c>
      <c r="IZA48" s="84" t="str">
        <f>IF(ISNUMBER(outYear),IZA37+IZA42+#REF!+#REF!,"")</f>
        <v/>
      </c>
      <c r="IZB48" s="84" t="str">
        <f>IF(ISNUMBER(outYear),IZB37+IZB42+#REF!+#REF!,"")</f>
        <v/>
      </c>
      <c r="IZC48" s="84" t="str">
        <f>IF(ISNUMBER(outYear),IZC37+IZC42+#REF!+#REF!,"")</f>
        <v/>
      </c>
      <c r="IZD48" s="84" t="str">
        <f>IF(ISNUMBER(outYear),IZD37+IZD42+#REF!+#REF!,"")</f>
        <v/>
      </c>
      <c r="IZE48" s="84" t="str">
        <f>IF(ISNUMBER(outYear),IZE37+IZE42+#REF!+#REF!,"")</f>
        <v/>
      </c>
      <c r="IZF48" s="84" t="str">
        <f>IF(ISNUMBER(outYear),IZF37+IZF42+#REF!+#REF!,"")</f>
        <v/>
      </c>
      <c r="IZG48" s="84" t="str">
        <f>IF(ISNUMBER(outYear),IZG37+IZG42+#REF!+#REF!,"")</f>
        <v/>
      </c>
      <c r="IZH48" s="84" t="str">
        <f>IF(ISNUMBER(outYear),IZH37+IZH42+#REF!+#REF!,"")</f>
        <v/>
      </c>
      <c r="IZI48" s="84" t="str">
        <f>IF(ISNUMBER(outYear),IZI37+IZI42+#REF!+#REF!,"")</f>
        <v/>
      </c>
      <c r="IZJ48" s="84" t="str">
        <f>IF(ISNUMBER(outYear),IZJ37+IZJ42+#REF!+#REF!,"")</f>
        <v/>
      </c>
      <c r="IZK48" s="84" t="str">
        <f>IF(ISNUMBER(outYear),IZK37+IZK42+#REF!+#REF!,"")</f>
        <v/>
      </c>
      <c r="IZL48" s="84" t="str">
        <f>IF(ISNUMBER(outYear),IZL37+IZL42+#REF!+#REF!,"")</f>
        <v/>
      </c>
      <c r="IZM48" s="84" t="str">
        <f>IF(ISNUMBER(outYear),IZM37+IZM42+#REF!+#REF!,"")</f>
        <v/>
      </c>
      <c r="IZN48" s="84" t="str">
        <f>IF(ISNUMBER(outYear),IZN37+IZN42+#REF!+#REF!,"")</f>
        <v/>
      </c>
      <c r="IZO48" s="84" t="str">
        <f>IF(ISNUMBER(outYear),IZO37+IZO42+#REF!+#REF!,"")</f>
        <v/>
      </c>
      <c r="IZP48" s="84" t="str">
        <f>IF(ISNUMBER(outYear),IZP37+IZP42+#REF!+#REF!,"")</f>
        <v/>
      </c>
      <c r="IZQ48" s="84" t="str">
        <f>IF(ISNUMBER(outYear),IZQ37+IZQ42+#REF!+#REF!,"")</f>
        <v/>
      </c>
      <c r="IZR48" s="84" t="str">
        <f>IF(ISNUMBER(outYear),IZR37+IZR42+#REF!+#REF!,"")</f>
        <v/>
      </c>
      <c r="IZS48" s="84" t="str">
        <f>IF(ISNUMBER(outYear),IZS37+IZS42+#REF!+#REF!,"")</f>
        <v/>
      </c>
      <c r="IZT48" s="84" t="str">
        <f>IF(ISNUMBER(outYear),IZT37+IZT42+#REF!+#REF!,"")</f>
        <v/>
      </c>
      <c r="IZU48" s="84" t="str">
        <f>IF(ISNUMBER(outYear),IZU37+IZU42+#REF!+#REF!,"")</f>
        <v/>
      </c>
      <c r="IZV48" s="84" t="str">
        <f>IF(ISNUMBER(outYear),IZV37+IZV42+#REF!+#REF!,"")</f>
        <v/>
      </c>
      <c r="IZW48" s="84" t="str">
        <f>IF(ISNUMBER(outYear),IZW37+IZW42+#REF!+#REF!,"")</f>
        <v/>
      </c>
      <c r="IZX48" s="84" t="str">
        <f>IF(ISNUMBER(outYear),IZX37+IZX42+#REF!+#REF!,"")</f>
        <v/>
      </c>
      <c r="IZY48" s="84" t="str">
        <f>IF(ISNUMBER(outYear),IZY37+IZY42+#REF!+#REF!,"")</f>
        <v/>
      </c>
      <c r="IZZ48" s="84" t="str">
        <f>IF(ISNUMBER(outYear),IZZ37+IZZ42+#REF!+#REF!,"")</f>
        <v/>
      </c>
      <c r="JAA48" s="84" t="str">
        <f>IF(ISNUMBER(outYear),JAA37+JAA42+#REF!+#REF!,"")</f>
        <v/>
      </c>
      <c r="JAB48" s="84" t="str">
        <f>IF(ISNUMBER(outYear),JAB37+JAB42+#REF!+#REF!,"")</f>
        <v/>
      </c>
      <c r="JAC48" s="84" t="str">
        <f>IF(ISNUMBER(outYear),JAC37+JAC42+#REF!+#REF!,"")</f>
        <v/>
      </c>
      <c r="JAD48" s="84" t="str">
        <f>IF(ISNUMBER(outYear),JAD37+JAD42+#REF!+#REF!,"")</f>
        <v/>
      </c>
      <c r="JAE48" s="84" t="str">
        <f>IF(ISNUMBER(outYear),JAE37+JAE42+#REF!+#REF!,"")</f>
        <v/>
      </c>
      <c r="JAF48" s="84" t="str">
        <f>IF(ISNUMBER(outYear),JAF37+JAF42+#REF!+#REF!,"")</f>
        <v/>
      </c>
      <c r="JAG48" s="84" t="str">
        <f>IF(ISNUMBER(outYear),JAG37+JAG42+#REF!+#REF!,"")</f>
        <v/>
      </c>
      <c r="JAH48" s="84" t="str">
        <f>IF(ISNUMBER(outYear),JAH37+JAH42+#REF!+#REF!,"")</f>
        <v/>
      </c>
      <c r="JAI48" s="84" t="str">
        <f>IF(ISNUMBER(outYear),JAI37+JAI42+#REF!+#REF!,"")</f>
        <v/>
      </c>
      <c r="JAJ48" s="84" t="str">
        <f>IF(ISNUMBER(outYear),JAJ37+JAJ42+#REF!+#REF!,"")</f>
        <v/>
      </c>
      <c r="JAK48" s="84" t="str">
        <f>IF(ISNUMBER(outYear),JAK37+JAK42+#REF!+#REF!,"")</f>
        <v/>
      </c>
      <c r="JAL48" s="84" t="str">
        <f>IF(ISNUMBER(outYear),JAL37+JAL42+#REF!+#REF!,"")</f>
        <v/>
      </c>
      <c r="JAM48" s="84" t="str">
        <f>IF(ISNUMBER(outYear),JAM37+JAM42+#REF!+#REF!,"")</f>
        <v/>
      </c>
      <c r="JAN48" s="84" t="str">
        <f>IF(ISNUMBER(outYear),JAN37+JAN42+#REF!+#REF!,"")</f>
        <v/>
      </c>
      <c r="JAO48" s="84" t="str">
        <f>IF(ISNUMBER(outYear),JAO37+JAO42+#REF!+#REF!,"")</f>
        <v/>
      </c>
      <c r="JAP48" s="84" t="str">
        <f>IF(ISNUMBER(outYear),JAP37+JAP42+#REF!+#REF!,"")</f>
        <v/>
      </c>
      <c r="JAQ48" s="84" t="str">
        <f>IF(ISNUMBER(outYear),JAQ37+JAQ42+#REF!+#REF!,"")</f>
        <v/>
      </c>
      <c r="JAR48" s="84" t="str">
        <f>IF(ISNUMBER(outYear),JAR37+JAR42+#REF!+#REF!,"")</f>
        <v/>
      </c>
      <c r="JAS48" s="84" t="str">
        <f>IF(ISNUMBER(outYear),JAS37+JAS42+#REF!+#REF!,"")</f>
        <v/>
      </c>
      <c r="JAT48" s="84" t="str">
        <f>IF(ISNUMBER(outYear),JAT37+JAT42+#REF!+#REF!,"")</f>
        <v/>
      </c>
      <c r="JAU48" s="84" t="str">
        <f>IF(ISNUMBER(outYear),JAU37+JAU42+#REF!+#REF!,"")</f>
        <v/>
      </c>
      <c r="JAV48" s="84" t="str">
        <f>IF(ISNUMBER(outYear),JAV37+JAV42+#REF!+#REF!,"")</f>
        <v/>
      </c>
      <c r="JAW48" s="84" t="str">
        <f>IF(ISNUMBER(outYear),JAW37+JAW42+#REF!+#REF!,"")</f>
        <v/>
      </c>
      <c r="JAX48" s="84" t="str">
        <f>IF(ISNUMBER(outYear),JAX37+JAX42+#REF!+#REF!,"")</f>
        <v/>
      </c>
      <c r="JAY48" s="84" t="str">
        <f>IF(ISNUMBER(outYear),JAY37+JAY42+#REF!+#REF!,"")</f>
        <v/>
      </c>
      <c r="JAZ48" s="84" t="str">
        <f>IF(ISNUMBER(outYear),JAZ37+JAZ42+#REF!+#REF!,"")</f>
        <v/>
      </c>
      <c r="JBA48" s="84" t="str">
        <f>IF(ISNUMBER(outYear),JBA37+JBA42+#REF!+#REF!,"")</f>
        <v/>
      </c>
      <c r="JBB48" s="84" t="str">
        <f>IF(ISNUMBER(outYear),JBB37+JBB42+#REF!+#REF!,"")</f>
        <v/>
      </c>
      <c r="JBC48" s="84" t="str">
        <f>IF(ISNUMBER(outYear),JBC37+JBC42+#REF!+#REF!,"")</f>
        <v/>
      </c>
      <c r="JBD48" s="84" t="str">
        <f>IF(ISNUMBER(outYear),JBD37+JBD42+#REF!+#REF!,"")</f>
        <v/>
      </c>
      <c r="JBE48" s="84" t="str">
        <f>IF(ISNUMBER(outYear),JBE37+JBE42+#REF!+#REF!,"")</f>
        <v/>
      </c>
      <c r="JBF48" s="84" t="str">
        <f>IF(ISNUMBER(outYear),JBF37+JBF42+#REF!+#REF!,"")</f>
        <v/>
      </c>
      <c r="JBG48" s="84" t="str">
        <f>IF(ISNUMBER(outYear),JBG37+JBG42+#REF!+#REF!,"")</f>
        <v/>
      </c>
      <c r="JBH48" s="84" t="str">
        <f>IF(ISNUMBER(outYear),JBH37+JBH42+#REF!+#REF!,"")</f>
        <v/>
      </c>
      <c r="JBI48" s="84" t="str">
        <f>IF(ISNUMBER(outYear),JBI37+JBI42+#REF!+#REF!,"")</f>
        <v/>
      </c>
      <c r="JBJ48" s="84" t="str">
        <f>IF(ISNUMBER(outYear),JBJ37+JBJ42+#REF!+#REF!,"")</f>
        <v/>
      </c>
      <c r="JBK48" s="84" t="str">
        <f>IF(ISNUMBER(outYear),JBK37+JBK42+#REF!+#REF!,"")</f>
        <v/>
      </c>
      <c r="JBL48" s="84" t="str">
        <f>IF(ISNUMBER(outYear),JBL37+JBL42+#REF!+#REF!,"")</f>
        <v/>
      </c>
      <c r="JBM48" s="84" t="str">
        <f>IF(ISNUMBER(outYear),JBM37+JBM42+#REF!+#REF!,"")</f>
        <v/>
      </c>
      <c r="JBN48" s="84" t="str">
        <f>IF(ISNUMBER(outYear),JBN37+JBN42+#REF!+#REF!,"")</f>
        <v/>
      </c>
      <c r="JBO48" s="84" t="str">
        <f>IF(ISNUMBER(outYear),JBO37+JBO42+#REF!+#REF!,"")</f>
        <v/>
      </c>
      <c r="JBP48" s="84" t="str">
        <f>IF(ISNUMBER(outYear),JBP37+JBP42+#REF!+#REF!,"")</f>
        <v/>
      </c>
      <c r="JBQ48" s="84" t="str">
        <f>IF(ISNUMBER(outYear),JBQ37+JBQ42+#REF!+#REF!,"")</f>
        <v/>
      </c>
      <c r="JBR48" s="84" t="str">
        <f>IF(ISNUMBER(outYear),JBR37+JBR42+#REF!+#REF!,"")</f>
        <v/>
      </c>
      <c r="JBS48" s="84" t="str">
        <f>IF(ISNUMBER(outYear),JBS37+JBS42+#REF!+#REF!,"")</f>
        <v/>
      </c>
      <c r="JBT48" s="84" t="str">
        <f>IF(ISNUMBER(outYear),JBT37+JBT42+#REF!+#REF!,"")</f>
        <v/>
      </c>
      <c r="JBU48" s="84" t="str">
        <f>IF(ISNUMBER(outYear),JBU37+JBU42+#REF!+#REF!,"")</f>
        <v/>
      </c>
      <c r="JBV48" s="84" t="str">
        <f>IF(ISNUMBER(outYear),JBV37+JBV42+#REF!+#REF!,"")</f>
        <v/>
      </c>
      <c r="JBW48" s="84" t="str">
        <f>IF(ISNUMBER(outYear),JBW37+JBW42+#REF!+#REF!,"")</f>
        <v/>
      </c>
      <c r="JBX48" s="84" t="str">
        <f>IF(ISNUMBER(outYear),JBX37+JBX42+#REF!+#REF!,"")</f>
        <v/>
      </c>
      <c r="JBY48" s="84" t="str">
        <f>IF(ISNUMBER(outYear),JBY37+JBY42+#REF!+#REF!,"")</f>
        <v/>
      </c>
      <c r="JBZ48" s="84" t="str">
        <f>IF(ISNUMBER(outYear),JBZ37+JBZ42+#REF!+#REF!,"")</f>
        <v/>
      </c>
      <c r="JCA48" s="84" t="str">
        <f>IF(ISNUMBER(outYear),JCA37+JCA42+#REF!+#REF!,"")</f>
        <v/>
      </c>
      <c r="JCB48" s="84" t="str">
        <f>IF(ISNUMBER(outYear),JCB37+JCB42+#REF!+#REF!,"")</f>
        <v/>
      </c>
      <c r="JCC48" s="84" t="str">
        <f>IF(ISNUMBER(outYear),JCC37+JCC42+#REF!+#REF!,"")</f>
        <v/>
      </c>
      <c r="JCD48" s="84" t="str">
        <f>IF(ISNUMBER(outYear),JCD37+JCD42+#REF!+#REF!,"")</f>
        <v/>
      </c>
      <c r="JCE48" s="84" t="str">
        <f>IF(ISNUMBER(outYear),JCE37+JCE42+#REF!+#REF!,"")</f>
        <v/>
      </c>
      <c r="JCF48" s="84" t="str">
        <f>IF(ISNUMBER(outYear),JCF37+JCF42+#REF!+#REF!,"")</f>
        <v/>
      </c>
      <c r="JCG48" s="84" t="str">
        <f>IF(ISNUMBER(outYear),JCG37+JCG42+#REF!+#REF!,"")</f>
        <v/>
      </c>
      <c r="JCH48" s="84" t="str">
        <f>IF(ISNUMBER(outYear),JCH37+JCH42+#REF!+#REF!,"")</f>
        <v/>
      </c>
      <c r="JCI48" s="84" t="str">
        <f>IF(ISNUMBER(outYear),JCI37+JCI42+#REF!+#REF!,"")</f>
        <v/>
      </c>
      <c r="JCJ48" s="84" t="str">
        <f>IF(ISNUMBER(outYear),JCJ37+JCJ42+#REF!+#REF!,"")</f>
        <v/>
      </c>
      <c r="JCK48" s="84" t="str">
        <f>IF(ISNUMBER(outYear),JCK37+JCK42+#REF!+#REF!,"")</f>
        <v/>
      </c>
      <c r="JCL48" s="84" t="str">
        <f>IF(ISNUMBER(outYear),JCL37+JCL42+#REF!+#REF!,"")</f>
        <v/>
      </c>
      <c r="JCM48" s="84" t="str">
        <f>IF(ISNUMBER(outYear),JCM37+JCM42+#REF!+#REF!,"")</f>
        <v/>
      </c>
      <c r="JCN48" s="84" t="str">
        <f>IF(ISNUMBER(outYear),JCN37+JCN42+#REF!+#REF!,"")</f>
        <v/>
      </c>
      <c r="JCO48" s="84" t="str">
        <f>IF(ISNUMBER(outYear),JCO37+JCO42+#REF!+#REF!,"")</f>
        <v/>
      </c>
      <c r="JCP48" s="84" t="str">
        <f>IF(ISNUMBER(outYear),JCP37+JCP42+#REF!+#REF!,"")</f>
        <v/>
      </c>
      <c r="JCQ48" s="84" t="str">
        <f>IF(ISNUMBER(outYear),JCQ37+JCQ42+#REF!+#REF!,"")</f>
        <v/>
      </c>
      <c r="JCR48" s="84" t="str">
        <f>IF(ISNUMBER(outYear),JCR37+JCR42+#REF!+#REF!,"")</f>
        <v/>
      </c>
      <c r="JCS48" s="84" t="str">
        <f>IF(ISNUMBER(outYear),JCS37+JCS42+#REF!+#REF!,"")</f>
        <v/>
      </c>
      <c r="JCT48" s="84" t="str">
        <f>IF(ISNUMBER(outYear),JCT37+JCT42+#REF!+#REF!,"")</f>
        <v/>
      </c>
      <c r="JCU48" s="84" t="str">
        <f>IF(ISNUMBER(outYear),JCU37+JCU42+#REF!+#REF!,"")</f>
        <v/>
      </c>
      <c r="JCV48" s="84" t="str">
        <f>IF(ISNUMBER(outYear),JCV37+JCV42+#REF!+#REF!,"")</f>
        <v/>
      </c>
      <c r="JCW48" s="84" t="str">
        <f>IF(ISNUMBER(outYear),JCW37+JCW42+#REF!+#REF!,"")</f>
        <v/>
      </c>
      <c r="JCX48" s="84" t="str">
        <f>IF(ISNUMBER(outYear),JCX37+JCX42+#REF!+#REF!,"")</f>
        <v/>
      </c>
      <c r="JCY48" s="84" t="str">
        <f>IF(ISNUMBER(outYear),JCY37+JCY42+#REF!+#REF!,"")</f>
        <v/>
      </c>
      <c r="JCZ48" s="84" t="str">
        <f>IF(ISNUMBER(outYear),JCZ37+JCZ42+#REF!+#REF!,"")</f>
        <v/>
      </c>
      <c r="JDA48" s="84" t="str">
        <f>IF(ISNUMBER(outYear),JDA37+JDA42+#REF!+#REF!,"")</f>
        <v/>
      </c>
      <c r="JDB48" s="84" t="str">
        <f>IF(ISNUMBER(outYear),JDB37+JDB42+#REF!+#REF!,"")</f>
        <v/>
      </c>
      <c r="JDC48" s="84" t="str">
        <f>IF(ISNUMBER(outYear),JDC37+JDC42+#REF!+#REF!,"")</f>
        <v/>
      </c>
      <c r="JDD48" s="84" t="str">
        <f>IF(ISNUMBER(outYear),JDD37+JDD42+#REF!+#REF!,"")</f>
        <v/>
      </c>
      <c r="JDE48" s="84" t="str">
        <f>IF(ISNUMBER(outYear),JDE37+JDE42+#REF!+#REF!,"")</f>
        <v/>
      </c>
      <c r="JDF48" s="84" t="str">
        <f>IF(ISNUMBER(outYear),JDF37+JDF42+#REF!+#REF!,"")</f>
        <v/>
      </c>
      <c r="JDG48" s="84" t="str">
        <f>IF(ISNUMBER(outYear),JDG37+JDG42+#REF!+#REF!,"")</f>
        <v/>
      </c>
      <c r="JDH48" s="84" t="str">
        <f>IF(ISNUMBER(outYear),JDH37+JDH42+#REF!+#REF!,"")</f>
        <v/>
      </c>
      <c r="JDI48" s="84" t="str">
        <f>IF(ISNUMBER(outYear),JDI37+JDI42+#REF!+#REF!,"")</f>
        <v/>
      </c>
      <c r="JDJ48" s="84" t="str">
        <f>IF(ISNUMBER(outYear),JDJ37+JDJ42+#REF!+#REF!,"")</f>
        <v/>
      </c>
      <c r="JDK48" s="84" t="str">
        <f>IF(ISNUMBER(outYear),JDK37+JDK42+#REF!+#REF!,"")</f>
        <v/>
      </c>
      <c r="JDL48" s="84" t="str">
        <f>IF(ISNUMBER(outYear),JDL37+JDL42+#REF!+#REF!,"")</f>
        <v/>
      </c>
      <c r="JDM48" s="84" t="str">
        <f>IF(ISNUMBER(outYear),JDM37+JDM42+#REF!+#REF!,"")</f>
        <v/>
      </c>
      <c r="JDN48" s="84" t="str">
        <f>IF(ISNUMBER(outYear),JDN37+JDN42+#REF!+#REF!,"")</f>
        <v/>
      </c>
      <c r="JDO48" s="84" t="str">
        <f>IF(ISNUMBER(outYear),JDO37+JDO42+#REF!+#REF!,"")</f>
        <v/>
      </c>
      <c r="JDP48" s="84" t="str">
        <f>IF(ISNUMBER(outYear),JDP37+JDP42+#REF!+#REF!,"")</f>
        <v/>
      </c>
      <c r="JDQ48" s="84" t="str">
        <f>IF(ISNUMBER(outYear),JDQ37+JDQ42+#REF!+#REF!,"")</f>
        <v/>
      </c>
      <c r="JDR48" s="84" t="str">
        <f>IF(ISNUMBER(outYear),JDR37+JDR42+#REF!+#REF!,"")</f>
        <v/>
      </c>
      <c r="JDS48" s="84" t="str">
        <f>IF(ISNUMBER(outYear),JDS37+JDS42+#REF!+#REF!,"")</f>
        <v/>
      </c>
      <c r="JDT48" s="84" t="str">
        <f>IF(ISNUMBER(outYear),JDT37+JDT42+#REF!+#REF!,"")</f>
        <v/>
      </c>
      <c r="JDU48" s="84" t="str">
        <f>IF(ISNUMBER(outYear),JDU37+JDU42+#REF!+#REF!,"")</f>
        <v/>
      </c>
      <c r="JDV48" s="84" t="str">
        <f>IF(ISNUMBER(outYear),JDV37+JDV42+#REF!+#REF!,"")</f>
        <v/>
      </c>
      <c r="JDW48" s="84" t="str">
        <f>IF(ISNUMBER(outYear),JDW37+JDW42+#REF!+#REF!,"")</f>
        <v/>
      </c>
      <c r="JDX48" s="84" t="str">
        <f>IF(ISNUMBER(outYear),JDX37+JDX42+#REF!+#REF!,"")</f>
        <v/>
      </c>
      <c r="JDY48" s="84" t="str">
        <f>IF(ISNUMBER(outYear),JDY37+JDY42+#REF!+#REF!,"")</f>
        <v/>
      </c>
      <c r="JDZ48" s="84" t="str">
        <f>IF(ISNUMBER(outYear),JDZ37+JDZ42+#REF!+#REF!,"")</f>
        <v/>
      </c>
      <c r="JEA48" s="84" t="str">
        <f>IF(ISNUMBER(outYear),JEA37+JEA42+#REF!+#REF!,"")</f>
        <v/>
      </c>
      <c r="JEB48" s="84" t="str">
        <f>IF(ISNUMBER(outYear),JEB37+JEB42+#REF!+#REF!,"")</f>
        <v/>
      </c>
      <c r="JEC48" s="84" t="str">
        <f>IF(ISNUMBER(outYear),JEC37+JEC42+#REF!+#REF!,"")</f>
        <v/>
      </c>
      <c r="JED48" s="84" t="str">
        <f>IF(ISNUMBER(outYear),JED37+JED42+#REF!+#REF!,"")</f>
        <v/>
      </c>
      <c r="JEE48" s="84" t="str">
        <f>IF(ISNUMBER(outYear),JEE37+JEE42+#REF!+#REF!,"")</f>
        <v/>
      </c>
      <c r="JEF48" s="84" t="str">
        <f>IF(ISNUMBER(outYear),JEF37+JEF42+#REF!+#REF!,"")</f>
        <v/>
      </c>
      <c r="JEG48" s="84" t="str">
        <f>IF(ISNUMBER(outYear),JEG37+JEG42+#REF!+#REF!,"")</f>
        <v/>
      </c>
      <c r="JEH48" s="84" t="str">
        <f>IF(ISNUMBER(outYear),JEH37+JEH42+#REF!+#REF!,"")</f>
        <v/>
      </c>
      <c r="JEI48" s="84" t="str">
        <f>IF(ISNUMBER(outYear),JEI37+JEI42+#REF!+#REF!,"")</f>
        <v/>
      </c>
      <c r="JEJ48" s="84" t="str">
        <f>IF(ISNUMBER(outYear),JEJ37+JEJ42+#REF!+#REF!,"")</f>
        <v/>
      </c>
      <c r="JEK48" s="84" t="str">
        <f>IF(ISNUMBER(outYear),JEK37+JEK42+#REF!+#REF!,"")</f>
        <v/>
      </c>
      <c r="JEL48" s="84" t="str">
        <f>IF(ISNUMBER(outYear),JEL37+JEL42+#REF!+#REF!,"")</f>
        <v/>
      </c>
      <c r="JEM48" s="84" t="str">
        <f>IF(ISNUMBER(outYear),JEM37+JEM42+#REF!+#REF!,"")</f>
        <v/>
      </c>
      <c r="JEN48" s="84" t="str">
        <f>IF(ISNUMBER(outYear),JEN37+JEN42+#REF!+#REF!,"")</f>
        <v/>
      </c>
      <c r="JEO48" s="84" t="str">
        <f>IF(ISNUMBER(outYear),JEO37+JEO42+#REF!+#REF!,"")</f>
        <v/>
      </c>
      <c r="JEP48" s="84" t="str">
        <f>IF(ISNUMBER(outYear),JEP37+JEP42+#REF!+#REF!,"")</f>
        <v/>
      </c>
      <c r="JEQ48" s="84" t="str">
        <f>IF(ISNUMBER(outYear),JEQ37+JEQ42+#REF!+#REF!,"")</f>
        <v/>
      </c>
      <c r="JER48" s="84" t="str">
        <f>IF(ISNUMBER(outYear),JER37+JER42+#REF!+#REF!,"")</f>
        <v/>
      </c>
      <c r="JES48" s="84" t="str">
        <f>IF(ISNUMBER(outYear),JES37+JES42+#REF!+#REF!,"")</f>
        <v/>
      </c>
      <c r="JET48" s="84" t="str">
        <f>IF(ISNUMBER(outYear),JET37+JET42+#REF!+#REF!,"")</f>
        <v/>
      </c>
      <c r="JEU48" s="84" t="str">
        <f>IF(ISNUMBER(outYear),JEU37+JEU42+#REF!+#REF!,"")</f>
        <v/>
      </c>
      <c r="JEV48" s="84" t="str">
        <f>IF(ISNUMBER(outYear),JEV37+JEV42+#REF!+#REF!,"")</f>
        <v/>
      </c>
      <c r="JEW48" s="84" t="str">
        <f>IF(ISNUMBER(outYear),JEW37+JEW42+#REF!+#REF!,"")</f>
        <v/>
      </c>
      <c r="JEX48" s="84" t="str">
        <f>IF(ISNUMBER(outYear),JEX37+JEX42+#REF!+#REF!,"")</f>
        <v/>
      </c>
      <c r="JEY48" s="84" t="str">
        <f>IF(ISNUMBER(outYear),JEY37+JEY42+#REF!+#REF!,"")</f>
        <v/>
      </c>
      <c r="JEZ48" s="84" t="str">
        <f>IF(ISNUMBER(outYear),JEZ37+JEZ42+#REF!+#REF!,"")</f>
        <v/>
      </c>
      <c r="JFA48" s="84" t="str">
        <f>IF(ISNUMBER(outYear),JFA37+JFA42+#REF!+#REF!,"")</f>
        <v/>
      </c>
      <c r="JFB48" s="84" t="str">
        <f>IF(ISNUMBER(outYear),JFB37+JFB42+#REF!+#REF!,"")</f>
        <v/>
      </c>
      <c r="JFC48" s="84" t="str">
        <f>IF(ISNUMBER(outYear),JFC37+JFC42+#REF!+#REF!,"")</f>
        <v/>
      </c>
      <c r="JFD48" s="84" t="str">
        <f>IF(ISNUMBER(outYear),JFD37+JFD42+#REF!+#REF!,"")</f>
        <v/>
      </c>
      <c r="JFE48" s="84" t="str">
        <f>IF(ISNUMBER(outYear),JFE37+JFE42+#REF!+#REF!,"")</f>
        <v/>
      </c>
      <c r="JFF48" s="84" t="str">
        <f>IF(ISNUMBER(outYear),JFF37+JFF42+#REF!+#REF!,"")</f>
        <v/>
      </c>
      <c r="JFG48" s="84" t="str">
        <f>IF(ISNUMBER(outYear),JFG37+JFG42+#REF!+#REF!,"")</f>
        <v/>
      </c>
      <c r="JFH48" s="84" t="str">
        <f>IF(ISNUMBER(outYear),JFH37+JFH42+#REF!+#REF!,"")</f>
        <v/>
      </c>
      <c r="JFI48" s="84" t="str">
        <f>IF(ISNUMBER(outYear),JFI37+JFI42+#REF!+#REF!,"")</f>
        <v/>
      </c>
      <c r="JFJ48" s="84" t="str">
        <f>IF(ISNUMBER(outYear),JFJ37+JFJ42+#REF!+#REF!,"")</f>
        <v/>
      </c>
      <c r="JFK48" s="84" t="str">
        <f>IF(ISNUMBER(outYear),JFK37+JFK42+#REF!+#REF!,"")</f>
        <v/>
      </c>
      <c r="JFL48" s="84" t="str">
        <f>IF(ISNUMBER(outYear),JFL37+JFL42+#REF!+#REF!,"")</f>
        <v/>
      </c>
      <c r="JFM48" s="84" t="str">
        <f>IF(ISNUMBER(outYear),JFM37+JFM42+#REF!+#REF!,"")</f>
        <v/>
      </c>
      <c r="JFN48" s="84" t="str">
        <f>IF(ISNUMBER(outYear),JFN37+JFN42+#REF!+#REF!,"")</f>
        <v/>
      </c>
      <c r="JFO48" s="84" t="str">
        <f>IF(ISNUMBER(outYear),JFO37+JFO42+#REF!+#REF!,"")</f>
        <v/>
      </c>
      <c r="JFP48" s="84" t="str">
        <f>IF(ISNUMBER(outYear),JFP37+JFP42+#REF!+#REF!,"")</f>
        <v/>
      </c>
      <c r="JFQ48" s="84" t="str">
        <f>IF(ISNUMBER(outYear),JFQ37+JFQ42+#REF!+#REF!,"")</f>
        <v/>
      </c>
      <c r="JFR48" s="84" t="str">
        <f>IF(ISNUMBER(outYear),JFR37+JFR42+#REF!+#REF!,"")</f>
        <v/>
      </c>
      <c r="JFS48" s="84" t="str">
        <f>IF(ISNUMBER(outYear),JFS37+JFS42+#REF!+#REF!,"")</f>
        <v/>
      </c>
      <c r="JFT48" s="84" t="str">
        <f>IF(ISNUMBER(outYear),JFT37+JFT42+#REF!+#REF!,"")</f>
        <v/>
      </c>
      <c r="JFU48" s="84" t="str">
        <f>IF(ISNUMBER(outYear),JFU37+JFU42+#REF!+#REF!,"")</f>
        <v/>
      </c>
      <c r="JFV48" s="84" t="str">
        <f>IF(ISNUMBER(outYear),JFV37+JFV42+#REF!+#REF!,"")</f>
        <v/>
      </c>
      <c r="JFW48" s="84" t="str">
        <f>IF(ISNUMBER(outYear),JFW37+JFW42+#REF!+#REF!,"")</f>
        <v/>
      </c>
      <c r="JFX48" s="84" t="str">
        <f>IF(ISNUMBER(outYear),JFX37+JFX42+#REF!+#REF!,"")</f>
        <v/>
      </c>
      <c r="JFY48" s="84" t="str">
        <f>IF(ISNUMBER(outYear),JFY37+JFY42+#REF!+#REF!,"")</f>
        <v/>
      </c>
      <c r="JFZ48" s="84" t="str">
        <f>IF(ISNUMBER(outYear),JFZ37+JFZ42+#REF!+#REF!,"")</f>
        <v/>
      </c>
      <c r="JGA48" s="84" t="str">
        <f>IF(ISNUMBER(outYear),JGA37+JGA42+#REF!+#REF!,"")</f>
        <v/>
      </c>
      <c r="JGB48" s="84" t="str">
        <f>IF(ISNUMBER(outYear),JGB37+JGB42+#REF!+#REF!,"")</f>
        <v/>
      </c>
      <c r="JGC48" s="84" t="str">
        <f>IF(ISNUMBER(outYear),JGC37+JGC42+#REF!+#REF!,"")</f>
        <v/>
      </c>
      <c r="JGD48" s="84" t="str">
        <f>IF(ISNUMBER(outYear),JGD37+JGD42+#REF!+#REF!,"")</f>
        <v/>
      </c>
      <c r="JGE48" s="84" t="str">
        <f>IF(ISNUMBER(outYear),JGE37+JGE42+#REF!+#REF!,"")</f>
        <v/>
      </c>
      <c r="JGF48" s="84" t="str">
        <f>IF(ISNUMBER(outYear),JGF37+JGF42+#REF!+#REF!,"")</f>
        <v/>
      </c>
      <c r="JGG48" s="84" t="str">
        <f>IF(ISNUMBER(outYear),JGG37+JGG42+#REF!+#REF!,"")</f>
        <v/>
      </c>
      <c r="JGH48" s="84" t="str">
        <f>IF(ISNUMBER(outYear),JGH37+JGH42+#REF!+#REF!,"")</f>
        <v/>
      </c>
      <c r="JGI48" s="84" t="str">
        <f>IF(ISNUMBER(outYear),JGI37+JGI42+#REF!+#REF!,"")</f>
        <v/>
      </c>
      <c r="JGJ48" s="84" t="str">
        <f>IF(ISNUMBER(outYear),JGJ37+JGJ42+#REF!+#REF!,"")</f>
        <v/>
      </c>
      <c r="JGK48" s="84" t="str">
        <f>IF(ISNUMBER(outYear),JGK37+JGK42+#REF!+#REF!,"")</f>
        <v/>
      </c>
      <c r="JGL48" s="84" t="str">
        <f>IF(ISNUMBER(outYear),JGL37+JGL42+#REF!+#REF!,"")</f>
        <v/>
      </c>
      <c r="JGM48" s="84" t="str">
        <f>IF(ISNUMBER(outYear),JGM37+JGM42+#REF!+#REF!,"")</f>
        <v/>
      </c>
      <c r="JGN48" s="84" t="str">
        <f>IF(ISNUMBER(outYear),JGN37+JGN42+#REF!+#REF!,"")</f>
        <v/>
      </c>
      <c r="JGO48" s="84" t="str">
        <f>IF(ISNUMBER(outYear),JGO37+JGO42+#REF!+#REF!,"")</f>
        <v/>
      </c>
      <c r="JGP48" s="84" t="str">
        <f>IF(ISNUMBER(outYear),JGP37+JGP42+#REF!+#REF!,"")</f>
        <v/>
      </c>
      <c r="JGQ48" s="84" t="str">
        <f>IF(ISNUMBER(outYear),JGQ37+JGQ42+#REF!+#REF!,"")</f>
        <v/>
      </c>
      <c r="JGR48" s="84" t="str">
        <f>IF(ISNUMBER(outYear),JGR37+JGR42+#REF!+#REF!,"")</f>
        <v/>
      </c>
      <c r="JGS48" s="84" t="str">
        <f>IF(ISNUMBER(outYear),JGS37+JGS42+#REF!+#REF!,"")</f>
        <v/>
      </c>
      <c r="JGT48" s="84" t="str">
        <f>IF(ISNUMBER(outYear),JGT37+JGT42+#REF!+#REF!,"")</f>
        <v/>
      </c>
      <c r="JGU48" s="84" t="str">
        <f>IF(ISNUMBER(outYear),JGU37+JGU42+#REF!+#REF!,"")</f>
        <v/>
      </c>
      <c r="JGV48" s="84" t="str">
        <f>IF(ISNUMBER(outYear),JGV37+JGV42+#REF!+#REF!,"")</f>
        <v/>
      </c>
      <c r="JGW48" s="84" t="str">
        <f>IF(ISNUMBER(outYear),JGW37+JGW42+#REF!+#REF!,"")</f>
        <v/>
      </c>
      <c r="JGX48" s="84" t="str">
        <f>IF(ISNUMBER(outYear),JGX37+JGX42+#REF!+#REF!,"")</f>
        <v/>
      </c>
      <c r="JGY48" s="84" t="str">
        <f>IF(ISNUMBER(outYear),JGY37+JGY42+#REF!+#REF!,"")</f>
        <v/>
      </c>
      <c r="JGZ48" s="84" t="str">
        <f>IF(ISNUMBER(outYear),JGZ37+JGZ42+#REF!+#REF!,"")</f>
        <v/>
      </c>
      <c r="JHA48" s="84" t="str">
        <f>IF(ISNUMBER(outYear),JHA37+JHA42+#REF!+#REF!,"")</f>
        <v/>
      </c>
      <c r="JHB48" s="84" t="str">
        <f>IF(ISNUMBER(outYear),JHB37+JHB42+#REF!+#REF!,"")</f>
        <v/>
      </c>
      <c r="JHC48" s="84" t="str">
        <f>IF(ISNUMBER(outYear),JHC37+JHC42+#REF!+#REF!,"")</f>
        <v/>
      </c>
      <c r="JHD48" s="84" t="str">
        <f>IF(ISNUMBER(outYear),JHD37+JHD42+#REF!+#REF!,"")</f>
        <v/>
      </c>
      <c r="JHE48" s="84" t="str">
        <f>IF(ISNUMBER(outYear),JHE37+JHE42+#REF!+#REF!,"")</f>
        <v/>
      </c>
      <c r="JHF48" s="84" t="str">
        <f>IF(ISNUMBER(outYear),JHF37+JHF42+#REF!+#REF!,"")</f>
        <v/>
      </c>
      <c r="JHG48" s="84" t="str">
        <f>IF(ISNUMBER(outYear),JHG37+JHG42+#REF!+#REF!,"")</f>
        <v/>
      </c>
      <c r="JHH48" s="84" t="str">
        <f>IF(ISNUMBER(outYear),JHH37+JHH42+#REF!+#REF!,"")</f>
        <v/>
      </c>
      <c r="JHI48" s="84" t="str">
        <f>IF(ISNUMBER(outYear),JHI37+JHI42+#REF!+#REF!,"")</f>
        <v/>
      </c>
      <c r="JHJ48" s="84" t="str">
        <f>IF(ISNUMBER(outYear),JHJ37+JHJ42+#REF!+#REF!,"")</f>
        <v/>
      </c>
      <c r="JHK48" s="84" t="str">
        <f>IF(ISNUMBER(outYear),JHK37+JHK42+#REF!+#REF!,"")</f>
        <v/>
      </c>
      <c r="JHL48" s="84" t="str">
        <f>IF(ISNUMBER(outYear),JHL37+JHL42+#REF!+#REF!,"")</f>
        <v/>
      </c>
      <c r="JHM48" s="84" t="str">
        <f>IF(ISNUMBER(outYear),JHM37+JHM42+#REF!+#REF!,"")</f>
        <v/>
      </c>
      <c r="JHN48" s="84" t="str">
        <f>IF(ISNUMBER(outYear),JHN37+JHN42+#REF!+#REF!,"")</f>
        <v/>
      </c>
      <c r="JHO48" s="84" t="str">
        <f>IF(ISNUMBER(outYear),JHO37+JHO42+#REF!+#REF!,"")</f>
        <v/>
      </c>
      <c r="JHP48" s="84" t="str">
        <f>IF(ISNUMBER(outYear),JHP37+JHP42+#REF!+#REF!,"")</f>
        <v/>
      </c>
      <c r="JHQ48" s="84" t="str">
        <f>IF(ISNUMBER(outYear),JHQ37+JHQ42+#REF!+#REF!,"")</f>
        <v/>
      </c>
      <c r="JHR48" s="84" t="str">
        <f>IF(ISNUMBER(outYear),JHR37+JHR42+#REF!+#REF!,"")</f>
        <v/>
      </c>
      <c r="JHS48" s="84" t="str">
        <f>IF(ISNUMBER(outYear),JHS37+JHS42+#REF!+#REF!,"")</f>
        <v/>
      </c>
      <c r="JHT48" s="84" t="str">
        <f>IF(ISNUMBER(outYear),JHT37+JHT42+#REF!+#REF!,"")</f>
        <v/>
      </c>
      <c r="JHU48" s="84" t="str">
        <f>IF(ISNUMBER(outYear),JHU37+JHU42+#REF!+#REF!,"")</f>
        <v/>
      </c>
      <c r="JHV48" s="84" t="str">
        <f>IF(ISNUMBER(outYear),JHV37+JHV42+#REF!+#REF!,"")</f>
        <v/>
      </c>
      <c r="JHW48" s="84" t="str">
        <f>IF(ISNUMBER(outYear),JHW37+JHW42+#REF!+#REF!,"")</f>
        <v/>
      </c>
      <c r="JHX48" s="84" t="str">
        <f>IF(ISNUMBER(outYear),JHX37+JHX42+#REF!+#REF!,"")</f>
        <v/>
      </c>
      <c r="JHY48" s="84" t="str">
        <f>IF(ISNUMBER(outYear),JHY37+JHY42+#REF!+#REF!,"")</f>
        <v/>
      </c>
      <c r="JHZ48" s="84" t="str">
        <f>IF(ISNUMBER(outYear),JHZ37+JHZ42+#REF!+#REF!,"")</f>
        <v/>
      </c>
      <c r="JIA48" s="84" t="str">
        <f>IF(ISNUMBER(outYear),JIA37+JIA42+#REF!+#REF!,"")</f>
        <v/>
      </c>
      <c r="JIB48" s="84" t="str">
        <f>IF(ISNUMBER(outYear),JIB37+JIB42+#REF!+#REF!,"")</f>
        <v/>
      </c>
      <c r="JIC48" s="84" t="str">
        <f>IF(ISNUMBER(outYear),JIC37+JIC42+#REF!+#REF!,"")</f>
        <v/>
      </c>
      <c r="JID48" s="84" t="str">
        <f>IF(ISNUMBER(outYear),JID37+JID42+#REF!+#REF!,"")</f>
        <v/>
      </c>
      <c r="JIE48" s="84" t="str">
        <f>IF(ISNUMBER(outYear),JIE37+JIE42+#REF!+#REF!,"")</f>
        <v/>
      </c>
      <c r="JIF48" s="84" t="str">
        <f>IF(ISNUMBER(outYear),JIF37+JIF42+#REF!+#REF!,"")</f>
        <v/>
      </c>
      <c r="JIG48" s="84" t="str">
        <f>IF(ISNUMBER(outYear),JIG37+JIG42+#REF!+#REF!,"")</f>
        <v/>
      </c>
      <c r="JIH48" s="84" t="str">
        <f>IF(ISNUMBER(outYear),JIH37+JIH42+#REF!+#REF!,"")</f>
        <v/>
      </c>
      <c r="JII48" s="84" t="str">
        <f>IF(ISNUMBER(outYear),JII37+JII42+#REF!+#REF!,"")</f>
        <v/>
      </c>
      <c r="JIJ48" s="84" t="str">
        <f>IF(ISNUMBER(outYear),JIJ37+JIJ42+#REF!+#REF!,"")</f>
        <v/>
      </c>
      <c r="JIK48" s="84" t="str">
        <f>IF(ISNUMBER(outYear),JIK37+JIK42+#REF!+#REF!,"")</f>
        <v/>
      </c>
      <c r="JIL48" s="84" t="str">
        <f>IF(ISNUMBER(outYear),JIL37+JIL42+#REF!+#REF!,"")</f>
        <v/>
      </c>
      <c r="JIM48" s="84" t="str">
        <f>IF(ISNUMBER(outYear),JIM37+JIM42+#REF!+#REF!,"")</f>
        <v/>
      </c>
      <c r="JIN48" s="84" t="str">
        <f>IF(ISNUMBER(outYear),JIN37+JIN42+#REF!+#REF!,"")</f>
        <v/>
      </c>
      <c r="JIO48" s="84" t="str">
        <f>IF(ISNUMBER(outYear),JIO37+JIO42+#REF!+#REF!,"")</f>
        <v/>
      </c>
      <c r="JIP48" s="84" t="str">
        <f>IF(ISNUMBER(outYear),JIP37+JIP42+#REF!+#REF!,"")</f>
        <v/>
      </c>
      <c r="JIQ48" s="84" t="str">
        <f>IF(ISNUMBER(outYear),JIQ37+JIQ42+#REF!+#REF!,"")</f>
        <v/>
      </c>
      <c r="JIR48" s="84" t="str">
        <f>IF(ISNUMBER(outYear),JIR37+JIR42+#REF!+#REF!,"")</f>
        <v/>
      </c>
      <c r="JIS48" s="84" t="str">
        <f>IF(ISNUMBER(outYear),JIS37+JIS42+#REF!+#REF!,"")</f>
        <v/>
      </c>
      <c r="JIT48" s="84" t="str">
        <f>IF(ISNUMBER(outYear),JIT37+JIT42+#REF!+#REF!,"")</f>
        <v/>
      </c>
      <c r="JIU48" s="84" t="str">
        <f>IF(ISNUMBER(outYear),JIU37+JIU42+#REF!+#REF!,"")</f>
        <v/>
      </c>
      <c r="JIV48" s="84" t="str">
        <f>IF(ISNUMBER(outYear),JIV37+JIV42+#REF!+#REF!,"")</f>
        <v/>
      </c>
      <c r="JIW48" s="84" t="str">
        <f>IF(ISNUMBER(outYear),JIW37+JIW42+#REF!+#REF!,"")</f>
        <v/>
      </c>
      <c r="JIX48" s="84" t="str">
        <f>IF(ISNUMBER(outYear),JIX37+JIX42+#REF!+#REF!,"")</f>
        <v/>
      </c>
      <c r="JIY48" s="84" t="str">
        <f>IF(ISNUMBER(outYear),JIY37+JIY42+#REF!+#REF!,"")</f>
        <v/>
      </c>
      <c r="JIZ48" s="84" t="str">
        <f>IF(ISNUMBER(outYear),JIZ37+JIZ42+#REF!+#REF!,"")</f>
        <v/>
      </c>
      <c r="JJA48" s="84" t="str">
        <f>IF(ISNUMBER(outYear),JJA37+JJA42+#REF!+#REF!,"")</f>
        <v/>
      </c>
      <c r="JJB48" s="84" t="str">
        <f>IF(ISNUMBER(outYear),JJB37+JJB42+#REF!+#REF!,"")</f>
        <v/>
      </c>
      <c r="JJC48" s="84" t="str">
        <f>IF(ISNUMBER(outYear),JJC37+JJC42+#REF!+#REF!,"")</f>
        <v/>
      </c>
      <c r="JJD48" s="84" t="str">
        <f>IF(ISNUMBER(outYear),JJD37+JJD42+#REF!+#REF!,"")</f>
        <v/>
      </c>
      <c r="JJE48" s="84" t="str">
        <f>IF(ISNUMBER(outYear),JJE37+JJE42+#REF!+#REF!,"")</f>
        <v/>
      </c>
      <c r="JJF48" s="84" t="str">
        <f>IF(ISNUMBER(outYear),JJF37+JJF42+#REF!+#REF!,"")</f>
        <v/>
      </c>
      <c r="JJG48" s="84" t="str">
        <f>IF(ISNUMBER(outYear),JJG37+JJG42+#REF!+#REF!,"")</f>
        <v/>
      </c>
      <c r="JJH48" s="84" t="str">
        <f>IF(ISNUMBER(outYear),JJH37+JJH42+#REF!+#REF!,"")</f>
        <v/>
      </c>
      <c r="JJI48" s="84" t="str">
        <f>IF(ISNUMBER(outYear),JJI37+JJI42+#REF!+#REF!,"")</f>
        <v/>
      </c>
      <c r="JJJ48" s="84" t="str">
        <f>IF(ISNUMBER(outYear),JJJ37+JJJ42+#REF!+#REF!,"")</f>
        <v/>
      </c>
      <c r="JJK48" s="84" t="str">
        <f>IF(ISNUMBER(outYear),JJK37+JJK42+#REF!+#REF!,"")</f>
        <v/>
      </c>
      <c r="JJL48" s="84" t="str">
        <f>IF(ISNUMBER(outYear),JJL37+JJL42+#REF!+#REF!,"")</f>
        <v/>
      </c>
      <c r="JJM48" s="84" t="str">
        <f>IF(ISNUMBER(outYear),JJM37+JJM42+#REF!+#REF!,"")</f>
        <v/>
      </c>
      <c r="JJN48" s="84" t="str">
        <f>IF(ISNUMBER(outYear),JJN37+JJN42+#REF!+#REF!,"")</f>
        <v/>
      </c>
      <c r="JJO48" s="84" t="str">
        <f>IF(ISNUMBER(outYear),JJO37+JJO42+#REF!+#REF!,"")</f>
        <v/>
      </c>
      <c r="JJP48" s="84" t="str">
        <f>IF(ISNUMBER(outYear),JJP37+JJP42+#REF!+#REF!,"")</f>
        <v/>
      </c>
      <c r="JJQ48" s="84" t="str">
        <f>IF(ISNUMBER(outYear),JJQ37+JJQ42+#REF!+#REF!,"")</f>
        <v/>
      </c>
      <c r="JJR48" s="84" t="str">
        <f>IF(ISNUMBER(outYear),JJR37+JJR42+#REF!+#REF!,"")</f>
        <v/>
      </c>
      <c r="JJS48" s="84" t="str">
        <f>IF(ISNUMBER(outYear),JJS37+JJS42+#REF!+#REF!,"")</f>
        <v/>
      </c>
      <c r="JJT48" s="84" t="str">
        <f>IF(ISNUMBER(outYear),JJT37+JJT42+#REF!+#REF!,"")</f>
        <v/>
      </c>
      <c r="JJU48" s="84" t="str">
        <f>IF(ISNUMBER(outYear),JJU37+JJU42+#REF!+#REF!,"")</f>
        <v/>
      </c>
      <c r="JJV48" s="84" t="str">
        <f>IF(ISNUMBER(outYear),JJV37+JJV42+#REF!+#REF!,"")</f>
        <v/>
      </c>
      <c r="JJW48" s="84" t="str">
        <f>IF(ISNUMBER(outYear),JJW37+JJW42+#REF!+#REF!,"")</f>
        <v/>
      </c>
      <c r="JJX48" s="84" t="str">
        <f>IF(ISNUMBER(outYear),JJX37+JJX42+#REF!+#REF!,"")</f>
        <v/>
      </c>
      <c r="JJY48" s="84" t="str">
        <f>IF(ISNUMBER(outYear),JJY37+JJY42+#REF!+#REF!,"")</f>
        <v/>
      </c>
      <c r="JJZ48" s="84" t="str">
        <f>IF(ISNUMBER(outYear),JJZ37+JJZ42+#REF!+#REF!,"")</f>
        <v/>
      </c>
      <c r="JKA48" s="84" t="str">
        <f>IF(ISNUMBER(outYear),JKA37+JKA42+#REF!+#REF!,"")</f>
        <v/>
      </c>
      <c r="JKB48" s="84" t="str">
        <f>IF(ISNUMBER(outYear),JKB37+JKB42+#REF!+#REF!,"")</f>
        <v/>
      </c>
      <c r="JKC48" s="84" t="str">
        <f>IF(ISNUMBER(outYear),JKC37+JKC42+#REF!+#REF!,"")</f>
        <v/>
      </c>
      <c r="JKD48" s="84" t="str">
        <f>IF(ISNUMBER(outYear),JKD37+JKD42+#REF!+#REF!,"")</f>
        <v/>
      </c>
      <c r="JKE48" s="84" t="str">
        <f>IF(ISNUMBER(outYear),JKE37+JKE42+#REF!+#REF!,"")</f>
        <v/>
      </c>
      <c r="JKF48" s="84" t="str">
        <f>IF(ISNUMBER(outYear),JKF37+JKF42+#REF!+#REF!,"")</f>
        <v/>
      </c>
      <c r="JKG48" s="84" t="str">
        <f>IF(ISNUMBER(outYear),JKG37+JKG42+#REF!+#REF!,"")</f>
        <v/>
      </c>
      <c r="JKH48" s="84" t="str">
        <f>IF(ISNUMBER(outYear),JKH37+JKH42+#REF!+#REF!,"")</f>
        <v/>
      </c>
      <c r="JKI48" s="84" t="str">
        <f>IF(ISNUMBER(outYear),JKI37+JKI42+#REF!+#REF!,"")</f>
        <v/>
      </c>
      <c r="JKJ48" s="84" t="str">
        <f>IF(ISNUMBER(outYear),JKJ37+JKJ42+#REF!+#REF!,"")</f>
        <v/>
      </c>
      <c r="JKK48" s="84" t="str">
        <f>IF(ISNUMBER(outYear),JKK37+JKK42+#REF!+#REF!,"")</f>
        <v/>
      </c>
      <c r="JKL48" s="84" t="str">
        <f>IF(ISNUMBER(outYear),JKL37+JKL42+#REF!+#REF!,"")</f>
        <v/>
      </c>
      <c r="JKM48" s="84" t="str">
        <f>IF(ISNUMBER(outYear),JKM37+JKM42+#REF!+#REF!,"")</f>
        <v/>
      </c>
      <c r="JKN48" s="84" t="str">
        <f>IF(ISNUMBER(outYear),JKN37+JKN42+#REF!+#REF!,"")</f>
        <v/>
      </c>
      <c r="JKO48" s="84" t="str">
        <f>IF(ISNUMBER(outYear),JKO37+JKO42+#REF!+#REF!,"")</f>
        <v/>
      </c>
      <c r="JKP48" s="84" t="str">
        <f>IF(ISNUMBER(outYear),JKP37+JKP42+#REF!+#REF!,"")</f>
        <v/>
      </c>
      <c r="JKQ48" s="84" t="str">
        <f>IF(ISNUMBER(outYear),JKQ37+JKQ42+#REF!+#REF!,"")</f>
        <v/>
      </c>
      <c r="JKR48" s="84" t="str">
        <f>IF(ISNUMBER(outYear),JKR37+JKR42+#REF!+#REF!,"")</f>
        <v/>
      </c>
      <c r="JKS48" s="84" t="str">
        <f>IF(ISNUMBER(outYear),JKS37+JKS42+#REF!+#REF!,"")</f>
        <v/>
      </c>
      <c r="JKT48" s="84" t="str">
        <f>IF(ISNUMBER(outYear),JKT37+JKT42+#REF!+#REF!,"")</f>
        <v/>
      </c>
      <c r="JKU48" s="84" t="str">
        <f>IF(ISNUMBER(outYear),JKU37+JKU42+#REF!+#REF!,"")</f>
        <v/>
      </c>
      <c r="JKV48" s="84" t="str">
        <f>IF(ISNUMBER(outYear),JKV37+JKV42+#REF!+#REF!,"")</f>
        <v/>
      </c>
      <c r="JKW48" s="84" t="str">
        <f>IF(ISNUMBER(outYear),JKW37+JKW42+#REF!+#REF!,"")</f>
        <v/>
      </c>
      <c r="JKX48" s="84" t="str">
        <f>IF(ISNUMBER(outYear),JKX37+JKX42+#REF!+#REF!,"")</f>
        <v/>
      </c>
      <c r="JKY48" s="84" t="str">
        <f>IF(ISNUMBER(outYear),JKY37+JKY42+#REF!+#REF!,"")</f>
        <v/>
      </c>
      <c r="JKZ48" s="84" t="str">
        <f>IF(ISNUMBER(outYear),JKZ37+JKZ42+#REF!+#REF!,"")</f>
        <v/>
      </c>
      <c r="JLA48" s="84" t="str">
        <f>IF(ISNUMBER(outYear),JLA37+JLA42+#REF!+#REF!,"")</f>
        <v/>
      </c>
      <c r="JLB48" s="84" t="str">
        <f>IF(ISNUMBER(outYear),JLB37+JLB42+#REF!+#REF!,"")</f>
        <v/>
      </c>
      <c r="JLC48" s="84" t="str">
        <f>IF(ISNUMBER(outYear),JLC37+JLC42+#REF!+#REF!,"")</f>
        <v/>
      </c>
      <c r="JLD48" s="84" t="str">
        <f>IF(ISNUMBER(outYear),JLD37+JLD42+#REF!+#REF!,"")</f>
        <v/>
      </c>
      <c r="JLE48" s="84" t="str">
        <f>IF(ISNUMBER(outYear),JLE37+JLE42+#REF!+#REF!,"")</f>
        <v/>
      </c>
      <c r="JLF48" s="84" t="str">
        <f>IF(ISNUMBER(outYear),JLF37+JLF42+#REF!+#REF!,"")</f>
        <v/>
      </c>
      <c r="JLG48" s="84" t="str">
        <f>IF(ISNUMBER(outYear),JLG37+JLG42+#REF!+#REF!,"")</f>
        <v/>
      </c>
      <c r="JLH48" s="84" t="str">
        <f>IF(ISNUMBER(outYear),JLH37+JLH42+#REF!+#REF!,"")</f>
        <v/>
      </c>
      <c r="JLI48" s="84" t="str">
        <f>IF(ISNUMBER(outYear),JLI37+JLI42+#REF!+#REF!,"")</f>
        <v/>
      </c>
      <c r="JLJ48" s="84" t="str">
        <f>IF(ISNUMBER(outYear),JLJ37+JLJ42+#REF!+#REF!,"")</f>
        <v/>
      </c>
      <c r="JLK48" s="84" t="str">
        <f>IF(ISNUMBER(outYear),JLK37+JLK42+#REF!+#REF!,"")</f>
        <v/>
      </c>
      <c r="JLL48" s="84" t="str">
        <f>IF(ISNUMBER(outYear),JLL37+JLL42+#REF!+#REF!,"")</f>
        <v/>
      </c>
      <c r="JLM48" s="84" t="str">
        <f>IF(ISNUMBER(outYear),JLM37+JLM42+#REF!+#REF!,"")</f>
        <v/>
      </c>
      <c r="JLN48" s="84" t="str">
        <f>IF(ISNUMBER(outYear),JLN37+JLN42+#REF!+#REF!,"")</f>
        <v/>
      </c>
      <c r="JLO48" s="84" t="str">
        <f>IF(ISNUMBER(outYear),JLO37+JLO42+#REF!+#REF!,"")</f>
        <v/>
      </c>
      <c r="JLP48" s="84" t="str">
        <f>IF(ISNUMBER(outYear),JLP37+JLP42+#REF!+#REF!,"")</f>
        <v/>
      </c>
      <c r="JLQ48" s="84" t="str">
        <f>IF(ISNUMBER(outYear),JLQ37+JLQ42+#REF!+#REF!,"")</f>
        <v/>
      </c>
      <c r="JLR48" s="84" t="str">
        <f>IF(ISNUMBER(outYear),JLR37+JLR42+#REF!+#REF!,"")</f>
        <v/>
      </c>
      <c r="JLS48" s="84" t="str">
        <f>IF(ISNUMBER(outYear),JLS37+JLS42+#REF!+#REF!,"")</f>
        <v/>
      </c>
      <c r="JLT48" s="84" t="str">
        <f>IF(ISNUMBER(outYear),JLT37+JLT42+#REF!+#REF!,"")</f>
        <v/>
      </c>
      <c r="JLU48" s="84" t="str">
        <f>IF(ISNUMBER(outYear),JLU37+JLU42+#REF!+#REF!,"")</f>
        <v/>
      </c>
      <c r="JLV48" s="84" t="str">
        <f>IF(ISNUMBER(outYear),JLV37+JLV42+#REF!+#REF!,"")</f>
        <v/>
      </c>
      <c r="JLW48" s="84" t="str">
        <f>IF(ISNUMBER(outYear),JLW37+JLW42+#REF!+#REF!,"")</f>
        <v/>
      </c>
      <c r="JLX48" s="84" t="str">
        <f>IF(ISNUMBER(outYear),JLX37+JLX42+#REF!+#REF!,"")</f>
        <v/>
      </c>
      <c r="JLY48" s="84" t="str">
        <f>IF(ISNUMBER(outYear),JLY37+JLY42+#REF!+#REF!,"")</f>
        <v/>
      </c>
      <c r="JLZ48" s="84" t="str">
        <f>IF(ISNUMBER(outYear),JLZ37+JLZ42+#REF!+#REF!,"")</f>
        <v/>
      </c>
      <c r="JMA48" s="84" t="str">
        <f>IF(ISNUMBER(outYear),JMA37+JMA42+#REF!+#REF!,"")</f>
        <v/>
      </c>
      <c r="JMB48" s="84" t="str">
        <f>IF(ISNUMBER(outYear),JMB37+JMB42+#REF!+#REF!,"")</f>
        <v/>
      </c>
      <c r="JMC48" s="84" t="str">
        <f>IF(ISNUMBER(outYear),JMC37+JMC42+#REF!+#REF!,"")</f>
        <v/>
      </c>
      <c r="JMD48" s="84" t="str">
        <f>IF(ISNUMBER(outYear),JMD37+JMD42+#REF!+#REF!,"")</f>
        <v/>
      </c>
      <c r="JME48" s="84" t="str">
        <f>IF(ISNUMBER(outYear),JME37+JME42+#REF!+#REF!,"")</f>
        <v/>
      </c>
      <c r="JMF48" s="84" t="str">
        <f>IF(ISNUMBER(outYear),JMF37+JMF42+#REF!+#REF!,"")</f>
        <v/>
      </c>
      <c r="JMG48" s="84" t="str">
        <f>IF(ISNUMBER(outYear),JMG37+JMG42+#REF!+#REF!,"")</f>
        <v/>
      </c>
      <c r="JMH48" s="84" t="str">
        <f>IF(ISNUMBER(outYear),JMH37+JMH42+#REF!+#REF!,"")</f>
        <v/>
      </c>
      <c r="JMI48" s="84" t="str">
        <f>IF(ISNUMBER(outYear),JMI37+JMI42+#REF!+#REF!,"")</f>
        <v/>
      </c>
      <c r="JMJ48" s="84" t="str">
        <f>IF(ISNUMBER(outYear),JMJ37+JMJ42+#REF!+#REF!,"")</f>
        <v/>
      </c>
      <c r="JMK48" s="84" t="str">
        <f>IF(ISNUMBER(outYear),JMK37+JMK42+#REF!+#REF!,"")</f>
        <v/>
      </c>
      <c r="JML48" s="84" t="str">
        <f>IF(ISNUMBER(outYear),JML37+JML42+#REF!+#REF!,"")</f>
        <v/>
      </c>
      <c r="JMM48" s="84" t="str">
        <f>IF(ISNUMBER(outYear),JMM37+JMM42+#REF!+#REF!,"")</f>
        <v/>
      </c>
      <c r="JMN48" s="84" t="str">
        <f>IF(ISNUMBER(outYear),JMN37+JMN42+#REF!+#REF!,"")</f>
        <v/>
      </c>
      <c r="JMO48" s="84" t="str">
        <f>IF(ISNUMBER(outYear),JMO37+JMO42+#REF!+#REF!,"")</f>
        <v/>
      </c>
      <c r="JMP48" s="84" t="str">
        <f>IF(ISNUMBER(outYear),JMP37+JMP42+#REF!+#REF!,"")</f>
        <v/>
      </c>
      <c r="JMQ48" s="84" t="str">
        <f>IF(ISNUMBER(outYear),JMQ37+JMQ42+#REF!+#REF!,"")</f>
        <v/>
      </c>
      <c r="JMR48" s="84" t="str">
        <f>IF(ISNUMBER(outYear),JMR37+JMR42+#REF!+#REF!,"")</f>
        <v/>
      </c>
      <c r="JMS48" s="84" t="str">
        <f>IF(ISNUMBER(outYear),JMS37+JMS42+#REF!+#REF!,"")</f>
        <v/>
      </c>
      <c r="JMT48" s="84" t="str">
        <f>IF(ISNUMBER(outYear),JMT37+JMT42+#REF!+#REF!,"")</f>
        <v/>
      </c>
      <c r="JMU48" s="84" t="str">
        <f>IF(ISNUMBER(outYear),JMU37+JMU42+#REF!+#REF!,"")</f>
        <v/>
      </c>
      <c r="JMV48" s="84" t="str">
        <f>IF(ISNUMBER(outYear),JMV37+JMV42+#REF!+#REF!,"")</f>
        <v/>
      </c>
      <c r="JMW48" s="84" t="str">
        <f>IF(ISNUMBER(outYear),JMW37+JMW42+#REF!+#REF!,"")</f>
        <v/>
      </c>
      <c r="JMX48" s="84" t="str">
        <f>IF(ISNUMBER(outYear),JMX37+JMX42+#REF!+#REF!,"")</f>
        <v/>
      </c>
      <c r="JMY48" s="84" t="str">
        <f>IF(ISNUMBER(outYear),JMY37+JMY42+#REF!+#REF!,"")</f>
        <v/>
      </c>
      <c r="JMZ48" s="84" t="str">
        <f>IF(ISNUMBER(outYear),JMZ37+JMZ42+#REF!+#REF!,"")</f>
        <v/>
      </c>
      <c r="JNA48" s="84" t="str">
        <f>IF(ISNUMBER(outYear),JNA37+JNA42+#REF!+#REF!,"")</f>
        <v/>
      </c>
      <c r="JNB48" s="84" t="str">
        <f>IF(ISNUMBER(outYear),JNB37+JNB42+#REF!+#REF!,"")</f>
        <v/>
      </c>
      <c r="JNC48" s="84" t="str">
        <f>IF(ISNUMBER(outYear),JNC37+JNC42+#REF!+#REF!,"")</f>
        <v/>
      </c>
      <c r="JND48" s="84" t="str">
        <f>IF(ISNUMBER(outYear),JND37+JND42+#REF!+#REF!,"")</f>
        <v/>
      </c>
      <c r="JNE48" s="84" t="str">
        <f>IF(ISNUMBER(outYear),JNE37+JNE42+#REF!+#REF!,"")</f>
        <v/>
      </c>
      <c r="JNF48" s="84" t="str">
        <f>IF(ISNUMBER(outYear),JNF37+JNF42+#REF!+#REF!,"")</f>
        <v/>
      </c>
      <c r="JNG48" s="84" t="str">
        <f>IF(ISNUMBER(outYear),JNG37+JNG42+#REF!+#REF!,"")</f>
        <v/>
      </c>
      <c r="JNH48" s="84" t="str">
        <f>IF(ISNUMBER(outYear),JNH37+JNH42+#REF!+#REF!,"")</f>
        <v/>
      </c>
      <c r="JNI48" s="84" t="str">
        <f>IF(ISNUMBER(outYear),JNI37+JNI42+#REF!+#REF!,"")</f>
        <v/>
      </c>
      <c r="JNJ48" s="84" t="str">
        <f>IF(ISNUMBER(outYear),JNJ37+JNJ42+#REF!+#REF!,"")</f>
        <v/>
      </c>
      <c r="JNK48" s="84" t="str">
        <f>IF(ISNUMBER(outYear),JNK37+JNK42+#REF!+#REF!,"")</f>
        <v/>
      </c>
      <c r="JNL48" s="84" t="str">
        <f>IF(ISNUMBER(outYear),JNL37+JNL42+#REF!+#REF!,"")</f>
        <v/>
      </c>
      <c r="JNM48" s="84" t="str">
        <f>IF(ISNUMBER(outYear),JNM37+JNM42+#REF!+#REF!,"")</f>
        <v/>
      </c>
      <c r="JNN48" s="84" t="str">
        <f>IF(ISNUMBER(outYear),JNN37+JNN42+#REF!+#REF!,"")</f>
        <v/>
      </c>
      <c r="JNO48" s="84" t="str">
        <f>IF(ISNUMBER(outYear),JNO37+JNO42+#REF!+#REF!,"")</f>
        <v/>
      </c>
      <c r="JNP48" s="84" t="str">
        <f>IF(ISNUMBER(outYear),JNP37+JNP42+#REF!+#REF!,"")</f>
        <v/>
      </c>
      <c r="JNQ48" s="84" t="str">
        <f>IF(ISNUMBER(outYear),JNQ37+JNQ42+#REF!+#REF!,"")</f>
        <v/>
      </c>
      <c r="JNR48" s="84" t="str">
        <f>IF(ISNUMBER(outYear),JNR37+JNR42+#REF!+#REF!,"")</f>
        <v/>
      </c>
      <c r="JNS48" s="84" t="str">
        <f>IF(ISNUMBER(outYear),JNS37+JNS42+#REF!+#REF!,"")</f>
        <v/>
      </c>
      <c r="JNT48" s="84" t="str">
        <f>IF(ISNUMBER(outYear),JNT37+JNT42+#REF!+#REF!,"")</f>
        <v/>
      </c>
      <c r="JNU48" s="84" t="str">
        <f>IF(ISNUMBER(outYear),JNU37+JNU42+#REF!+#REF!,"")</f>
        <v/>
      </c>
      <c r="JNV48" s="84" t="str">
        <f>IF(ISNUMBER(outYear),JNV37+JNV42+#REF!+#REF!,"")</f>
        <v/>
      </c>
      <c r="JNW48" s="84" t="str">
        <f>IF(ISNUMBER(outYear),JNW37+JNW42+#REF!+#REF!,"")</f>
        <v/>
      </c>
      <c r="JNX48" s="84" t="str">
        <f>IF(ISNUMBER(outYear),JNX37+JNX42+#REF!+#REF!,"")</f>
        <v/>
      </c>
      <c r="JNY48" s="84" t="str">
        <f>IF(ISNUMBER(outYear),JNY37+JNY42+#REF!+#REF!,"")</f>
        <v/>
      </c>
      <c r="JNZ48" s="84" t="str">
        <f>IF(ISNUMBER(outYear),JNZ37+JNZ42+#REF!+#REF!,"")</f>
        <v/>
      </c>
      <c r="JOA48" s="84" t="str">
        <f>IF(ISNUMBER(outYear),JOA37+JOA42+#REF!+#REF!,"")</f>
        <v/>
      </c>
      <c r="JOB48" s="84" t="str">
        <f>IF(ISNUMBER(outYear),JOB37+JOB42+#REF!+#REF!,"")</f>
        <v/>
      </c>
      <c r="JOC48" s="84" t="str">
        <f>IF(ISNUMBER(outYear),JOC37+JOC42+#REF!+#REF!,"")</f>
        <v/>
      </c>
      <c r="JOD48" s="84" t="str">
        <f>IF(ISNUMBER(outYear),JOD37+JOD42+#REF!+#REF!,"")</f>
        <v/>
      </c>
      <c r="JOE48" s="84" t="str">
        <f>IF(ISNUMBER(outYear),JOE37+JOE42+#REF!+#REF!,"")</f>
        <v/>
      </c>
      <c r="JOF48" s="84" t="str">
        <f>IF(ISNUMBER(outYear),JOF37+JOF42+#REF!+#REF!,"")</f>
        <v/>
      </c>
      <c r="JOG48" s="84" t="str">
        <f>IF(ISNUMBER(outYear),JOG37+JOG42+#REF!+#REF!,"")</f>
        <v/>
      </c>
      <c r="JOH48" s="84" t="str">
        <f>IF(ISNUMBER(outYear),JOH37+JOH42+#REF!+#REF!,"")</f>
        <v/>
      </c>
      <c r="JOI48" s="84" t="str">
        <f>IF(ISNUMBER(outYear),JOI37+JOI42+#REF!+#REF!,"")</f>
        <v/>
      </c>
      <c r="JOJ48" s="84" t="str">
        <f>IF(ISNUMBER(outYear),JOJ37+JOJ42+#REF!+#REF!,"")</f>
        <v/>
      </c>
      <c r="JOK48" s="84" t="str">
        <f>IF(ISNUMBER(outYear),JOK37+JOK42+#REF!+#REF!,"")</f>
        <v/>
      </c>
      <c r="JOL48" s="84" t="str">
        <f>IF(ISNUMBER(outYear),JOL37+JOL42+#REF!+#REF!,"")</f>
        <v/>
      </c>
      <c r="JOM48" s="84" t="str">
        <f>IF(ISNUMBER(outYear),JOM37+JOM42+#REF!+#REF!,"")</f>
        <v/>
      </c>
      <c r="JON48" s="84" t="str">
        <f>IF(ISNUMBER(outYear),JON37+JON42+#REF!+#REF!,"")</f>
        <v/>
      </c>
      <c r="JOO48" s="84" t="str">
        <f>IF(ISNUMBER(outYear),JOO37+JOO42+#REF!+#REF!,"")</f>
        <v/>
      </c>
      <c r="JOP48" s="84" t="str">
        <f>IF(ISNUMBER(outYear),JOP37+JOP42+#REF!+#REF!,"")</f>
        <v/>
      </c>
      <c r="JOQ48" s="84" t="str">
        <f>IF(ISNUMBER(outYear),JOQ37+JOQ42+#REF!+#REF!,"")</f>
        <v/>
      </c>
      <c r="JOR48" s="84" t="str">
        <f>IF(ISNUMBER(outYear),JOR37+JOR42+#REF!+#REF!,"")</f>
        <v/>
      </c>
      <c r="JOS48" s="84" t="str">
        <f>IF(ISNUMBER(outYear),JOS37+JOS42+#REF!+#REF!,"")</f>
        <v/>
      </c>
      <c r="JOT48" s="84" t="str">
        <f>IF(ISNUMBER(outYear),JOT37+JOT42+#REF!+#REF!,"")</f>
        <v/>
      </c>
      <c r="JOU48" s="84" t="str">
        <f>IF(ISNUMBER(outYear),JOU37+JOU42+#REF!+#REF!,"")</f>
        <v/>
      </c>
      <c r="JOV48" s="84" t="str">
        <f>IF(ISNUMBER(outYear),JOV37+JOV42+#REF!+#REF!,"")</f>
        <v/>
      </c>
      <c r="JOW48" s="84" t="str">
        <f>IF(ISNUMBER(outYear),JOW37+JOW42+#REF!+#REF!,"")</f>
        <v/>
      </c>
      <c r="JOX48" s="84" t="str">
        <f>IF(ISNUMBER(outYear),JOX37+JOX42+#REF!+#REF!,"")</f>
        <v/>
      </c>
      <c r="JOY48" s="84" t="str">
        <f>IF(ISNUMBER(outYear),JOY37+JOY42+#REF!+#REF!,"")</f>
        <v/>
      </c>
      <c r="JOZ48" s="84" t="str">
        <f>IF(ISNUMBER(outYear),JOZ37+JOZ42+#REF!+#REF!,"")</f>
        <v/>
      </c>
      <c r="JPA48" s="84" t="str">
        <f>IF(ISNUMBER(outYear),JPA37+JPA42+#REF!+#REF!,"")</f>
        <v/>
      </c>
      <c r="JPB48" s="84" t="str">
        <f>IF(ISNUMBER(outYear),JPB37+JPB42+#REF!+#REF!,"")</f>
        <v/>
      </c>
      <c r="JPC48" s="84" t="str">
        <f>IF(ISNUMBER(outYear),JPC37+JPC42+#REF!+#REF!,"")</f>
        <v/>
      </c>
      <c r="JPD48" s="84" t="str">
        <f>IF(ISNUMBER(outYear),JPD37+JPD42+#REF!+#REF!,"")</f>
        <v/>
      </c>
      <c r="JPE48" s="84" t="str">
        <f>IF(ISNUMBER(outYear),JPE37+JPE42+#REF!+#REF!,"")</f>
        <v/>
      </c>
      <c r="JPF48" s="84" t="str">
        <f>IF(ISNUMBER(outYear),JPF37+JPF42+#REF!+#REF!,"")</f>
        <v/>
      </c>
      <c r="JPG48" s="84" t="str">
        <f>IF(ISNUMBER(outYear),JPG37+JPG42+#REF!+#REF!,"")</f>
        <v/>
      </c>
      <c r="JPH48" s="84" t="str">
        <f>IF(ISNUMBER(outYear),JPH37+JPH42+#REF!+#REF!,"")</f>
        <v/>
      </c>
      <c r="JPI48" s="84" t="str">
        <f>IF(ISNUMBER(outYear),JPI37+JPI42+#REF!+#REF!,"")</f>
        <v/>
      </c>
      <c r="JPJ48" s="84" t="str">
        <f>IF(ISNUMBER(outYear),JPJ37+JPJ42+#REF!+#REF!,"")</f>
        <v/>
      </c>
      <c r="JPK48" s="84" t="str">
        <f>IF(ISNUMBER(outYear),JPK37+JPK42+#REF!+#REF!,"")</f>
        <v/>
      </c>
      <c r="JPL48" s="84" t="str">
        <f>IF(ISNUMBER(outYear),JPL37+JPL42+#REF!+#REF!,"")</f>
        <v/>
      </c>
      <c r="JPM48" s="84" t="str">
        <f>IF(ISNUMBER(outYear),JPM37+JPM42+#REF!+#REF!,"")</f>
        <v/>
      </c>
      <c r="JPN48" s="84" t="str">
        <f>IF(ISNUMBER(outYear),JPN37+JPN42+#REF!+#REF!,"")</f>
        <v/>
      </c>
      <c r="JPO48" s="84" t="str">
        <f>IF(ISNUMBER(outYear),JPO37+JPO42+#REF!+#REF!,"")</f>
        <v/>
      </c>
      <c r="JPP48" s="84" t="str">
        <f>IF(ISNUMBER(outYear),JPP37+JPP42+#REF!+#REF!,"")</f>
        <v/>
      </c>
      <c r="JPQ48" s="84" t="str">
        <f>IF(ISNUMBER(outYear),JPQ37+JPQ42+#REF!+#REF!,"")</f>
        <v/>
      </c>
      <c r="JPR48" s="84" t="str">
        <f>IF(ISNUMBER(outYear),JPR37+JPR42+#REF!+#REF!,"")</f>
        <v/>
      </c>
      <c r="JPS48" s="84" t="str">
        <f>IF(ISNUMBER(outYear),JPS37+JPS42+#REF!+#REF!,"")</f>
        <v/>
      </c>
      <c r="JPT48" s="84" t="str">
        <f>IF(ISNUMBER(outYear),JPT37+JPT42+#REF!+#REF!,"")</f>
        <v/>
      </c>
      <c r="JPU48" s="84" t="str">
        <f>IF(ISNUMBER(outYear),JPU37+JPU42+#REF!+#REF!,"")</f>
        <v/>
      </c>
      <c r="JPV48" s="84" t="str">
        <f>IF(ISNUMBER(outYear),JPV37+JPV42+#REF!+#REF!,"")</f>
        <v/>
      </c>
      <c r="JPW48" s="84" t="str">
        <f>IF(ISNUMBER(outYear),JPW37+JPW42+#REF!+#REF!,"")</f>
        <v/>
      </c>
      <c r="JPX48" s="84" t="str">
        <f>IF(ISNUMBER(outYear),JPX37+JPX42+#REF!+#REF!,"")</f>
        <v/>
      </c>
      <c r="JPY48" s="84" t="str">
        <f>IF(ISNUMBER(outYear),JPY37+JPY42+#REF!+#REF!,"")</f>
        <v/>
      </c>
      <c r="JPZ48" s="84" t="str">
        <f>IF(ISNUMBER(outYear),JPZ37+JPZ42+#REF!+#REF!,"")</f>
        <v/>
      </c>
      <c r="JQA48" s="84" t="str">
        <f>IF(ISNUMBER(outYear),JQA37+JQA42+#REF!+#REF!,"")</f>
        <v/>
      </c>
      <c r="JQB48" s="84" t="str">
        <f>IF(ISNUMBER(outYear),JQB37+JQB42+#REF!+#REF!,"")</f>
        <v/>
      </c>
      <c r="JQC48" s="84" t="str">
        <f>IF(ISNUMBER(outYear),JQC37+JQC42+#REF!+#REF!,"")</f>
        <v/>
      </c>
      <c r="JQD48" s="84" t="str">
        <f>IF(ISNUMBER(outYear),JQD37+JQD42+#REF!+#REF!,"")</f>
        <v/>
      </c>
      <c r="JQE48" s="84" t="str">
        <f>IF(ISNUMBER(outYear),JQE37+JQE42+#REF!+#REF!,"")</f>
        <v/>
      </c>
      <c r="JQF48" s="84" t="str">
        <f>IF(ISNUMBER(outYear),JQF37+JQF42+#REF!+#REF!,"")</f>
        <v/>
      </c>
      <c r="JQG48" s="84" t="str">
        <f>IF(ISNUMBER(outYear),JQG37+JQG42+#REF!+#REF!,"")</f>
        <v/>
      </c>
      <c r="JQH48" s="84" t="str">
        <f>IF(ISNUMBER(outYear),JQH37+JQH42+#REF!+#REF!,"")</f>
        <v/>
      </c>
      <c r="JQI48" s="84" t="str">
        <f>IF(ISNUMBER(outYear),JQI37+JQI42+#REF!+#REF!,"")</f>
        <v/>
      </c>
      <c r="JQJ48" s="84" t="str">
        <f>IF(ISNUMBER(outYear),JQJ37+JQJ42+#REF!+#REF!,"")</f>
        <v/>
      </c>
      <c r="JQK48" s="84" t="str">
        <f>IF(ISNUMBER(outYear),JQK37+JQK42+#REF!+#REF!,"")</f>
        <v/>
      </c>
      <c r="JQL48" s="84" t="str">
        <f>IF(ISNUMBER(outYear),JQL37+JQL42+#REF!+#REF!,"")</f>
        <v/>
      </c>
      <c r="JQM48" s="84" t="str">
        <f>IF(ISNUMBER(outYear),JQM37+JQM42+#REF!+#REF!,"")</f>
        <v/>
      </c>
      <c r="JQN48" s="84" t="str">
        <f>IF(ISNUMBER(outYear),JQN37+JQN42+#REF!+#REF!,"")</f>
        <v/>
      </c>
      <c r="JQO48" s="84" t="str">
        <f>IF(ISNUMBER(outYear),JQO37+JQO42+#REF!+#REF!,"")</f>
        <v/>
      </c>
      <c r="JQP48" s="84" t="str">
        <f>IF(ISNUMBER(outYear),JQP37+JQP42+#REF!+#REF!,"")</f>
        <v/>
      </c>
      <c r="JQQ48" s="84" t="str">
        <f>IF(ISNUMBER(outYear),JQQ37+JQQ42+#REF!+#REF!,"")</f>
        <v/>
      </c>
      <c r="JQR48" s="84" t="str">
        <f>IF(ISNUMBER(outYear),JQR37+JQR42+#REF!+#REF!,"")</f>
        <v/>
      </c>
      <c r="JQS48" s="84" t="str">
        <f>IF(ISNUMBER(outYear),JQS37+JQS42+#REF!+#REF!,"")</f>
        <v/>
      </c>
      <c r="JQT48" s="84" t="str">
        <f>IF(ISNUMBER(outYear),JQT37+JQT42+#REF!+#REF!,"")</f>
        <v/>
      </c>
      <c r="JQU48" s="84" t="str">
        <f>IF(ISNUMBER(outYear),JQU37+JQU42+#REF!+#REF!,"")</f>
        <v/>
      </c>
      <c r="JQV48" s="84" t="str">
        <f>IF(ISNUMBER(outYear),JQV37+JQV42+#REF!+#REF!,"")</f>
        <v/>
      </c>
      <c r="JQW48" s="84" t="str">
        <f>IF(ISNUMBER(outYear),JQW37+JQW42+#REF!+#REF!,"")</f>
        <v/>
      </c>
      <c r="JQX48" s="84" t="str">
        <f>IF(ISNUMBER(outYear),JQX37+JQX42+#REF!+#REF!,"")</f>
        <v/>
      </c>
      <c r="JQY48" s="84" t="str">
        <f>IF(ISNUMBER(outYear),JQY37+JQY42+#REF!+#REF!,"")</f>
        <v/>
      </c>
      <c r="JQZ48" s="84" t="str">
        <f>IF(ISNUMBER(outYear),JQZ37+JQZ42+#REF!+#REF!,"")</f>
        <v/>
      </c>
      <c r="JRA48" s="84" t="str">
        <f>IF(ISNUMBER(outYear),JRA37+JRA42+#REF!+#REF!,"")</f>
        <v/>
      </c>
      <c r="JRB48" s="84" t="str">
        <f>IF(ISNUMBER(outYear),JRB37+JRB42+#REF!+#REF!,"")</f>
        <v/>
      </c>
      <c r="JRC48" s="84" t="str">
        <f>IF(ISNUMBER(outYear),JRC37+JRC42+#REF!+#REF!,"")</f>
        <v/>
      </c>
      <c r="JRD48" s="84" t="str">
        <f>IF(ISNUMBER(outYear),JRD37+JRD42+#REF!+#REF!,"")</f>
        <v/>
      </c>
      <c r="JRE48" s="84" t="str">
        <f>IF(ISNUMBER(outYear),JRE37+JRE42+#REF!+#REF!,"")</f>
        <v/>
      </c>
      <c r="JRF48" s="84" t="str">
        <f>IF(ISNUMBER(outYear),JRF37+JRF42+#REF!+#REF!,"")</f>
        <v/>
      </c>
      <c r="JRG48" s="84" t="str">
        <f>IF(ISNUMBER(outYear),JRG37+JRG42+#REF!+#REF!,"")</f>
        <v/>
      </c>
      <c r="JRH48" s="84" t="str">
        <f>IF(ISNUMBER(outYear),JRH37+JRH42+#REF!+#REF!,"")</f>
        <v/>
      </c>
      <c r="JRI48" s="84" t="str">
        <f>IF(ISNUMBER(outYear),JRI37+JRI42+#REF!+#REF!,"")</f>
        <v/>
      </c>
      <c r="JRJ48" s="84" t="str">
        <f>IF(ISNUMBER(outYear),JRJ37+JRJ42+#REF!+#REF!,"")</f>
        <v/>
      </c>
      <c r="JRK48" s="84" t="str">
        <f>IF(ISNUMBER(outYear),JRK37+JRK42+#REF!+#REF!,"")</f>
        <v/>
      </c>
      <c r="JRL48" s="84" t="str">
        <f>IF(ISNUMBER(outYear),JRL37+JRL42+#REF!+#REF!,"")</f>
        <v/>
      </c>
      <c r="JRM48" s="84" t="str">
        <f>IF(ISNUMBER(outYear),JRM37+JRM42+#REF!+#REF!,"")</f>
        <v/>
      </c>
      <c r="JRN48" s="84" t="str">
        <f>IF(ISNUMBER(outYear),JRN37+JRN42+#REF!+#REF!,"")</f>
        <v/>
      </c>
      <c r="JRO48" s="84" t="str">
        <f>IF(ISNUMBER(outYear),JRO37+JRO42+#REF!+#REF!,"")</f>
        <v/>
      </c>
      <c r="JRP48" s="84" t="str">
        <f>IF(ISNUMBER(outYear),JRP37+JRP42+#REF!+#REF!,"")</f>
        <v/>
      </c>
      <c r="JRQ48" s="84" t="str">
        <f>IF(ISNUMBER(outYear),JRQ37+JRQ42+#REF!+#REF!,"")</f>
        <v/>
      </c>
      <c r="JRR48" s="84" t="str">
        <f>IF(ISNUMBER(outYear),JRR37+JRR42+#REF!+#REF!,"")</f>
        <v/>
      </c>
      <c r="JRS48" s="84" t="str">
        <f>IF(ISNUMBER(outYear),JRS37+JRS42+#REF!+#REF!,"")</f>
        <v/>
      </c>
      <c r="JRT48" s="84" t="str">
        <f>IF(ISNUMBER(outYear),JRT37+JRT42+#REF!+#REF!,"")</f>
        <v/>
      </c>
      <c r="JRU48" s="84" t="str">
        <f>IF(ISNUMBER(outYear),JRU37+JRU42+#REF!+#REF!,"")</f>
        <v/>
      </c>
      <c r="JRV48" s="84" t="str">
        <f>IF(ISNUMBER(outYear),JRV37+JRV42+#REF!+#REF!,"")</f>
        <v/>
      </c>
      <c r="JRW48" s="84" t="str">
        <f>IF(ISNUMBER(outYear),JRW37+JRW42+#REF!+#REF!,"")</f>
        <v/>
      </c>
      <c r="JRX48" s="84" t="str">
        <f>IF(ISNUMBER(outYear),JRX37+JRX42+#REF!+#REF!,"")</f>
        <v/>
      </c>
      <c r="JRY48" s="84" t="str">
        <f>IF(ISNUMBER(outYear),JRY37+JRY42+#REF!+#REF!,"")</f>
        <v/>
      </c>
      <c r="JRZ48" s="84" t="str">
        <f>IF(ISNUMBER(outYear),JRZ37+JRZ42+#REF!+#REF!,"")</f>
        <v/>
      </c>
      <c r="JSA48" s="84" t="str">
        <f>IF(ISNUMBER(outYear),JSA37+JSA42+#REF!+#REF!,"")</f>
        <v/>
      </c>
      <c r="JSB48" s="84" t="str">
        <f>IF(ISNUMBER(outYear),JSB37+JSB42+#REF!+#REF!,"")</f>
        <v/>
      </c>
      <c r="JSC48" s="84" t="str">
        <f>IF(ISNUMBER(outYear),JSC37+JSC42+#REF!+#REF!,"")</f>
        <v/>
      </c>
      <c r="JSD48" s="84" t="str">
        <f>IF(ISNUMBER(outYear),JSD37+JSD42+#REF!+#REF!,"")</f>
        <v/>
      </c>
      <c r="JSE48" s="84" t="str">
        <f>IF(ISNUMBER(outYear),JSE37+JSE42+#REF!+#REF!,"")</f>
        <v/>
      </c>
      <c r="JSF48" s="84" t="str">
        <f>IF(ISNUMBER(outYear),JSF37+JSF42+#REF!+#REF!,"")</f>
        <v/>
      </c>
      <c r="JSG48" s="84" t="str">
        <f>IF(ISNUMBER(outYear),JSG37+JSG42+#REF!+#REF!,"")</f>
        <v/>
      </c>
      <c r="JSH48" s="84" t="str">
        <f>IF(ISNUMBER(outYear),JSH37+JSH42+#REF!+#REF!,"")</f>
        <v/>
      </c>
      <c r="JSI48" s="84" t="str">
        <f>IF(ISNUMBER(outYear),JSI37+JSI42+#REF!+#REF!,"")</f>
        <v/>
      </c>
      <c r="JSJ48" s="84" t="str">
        <f>IF(ISNUMBER(outYear),JSJ37+JSJ42+#REF!+#REF!,"")</f>
        <v/>
      </c>
      <c r="JSK48" s="84" t="str">
        <f>IF(ISNUMBER(outYear),JSK37+JSK42+#REF!+#REF!,"")</f>
        <v/>
      </c>
      <c r="JSL48" s="84" t="str">
        <f>IF(ISNUMBER(outYear),JSL37+JSL42+#REF!+#REF!,"")</f>
        <v/>
      </c>
      <c r="JSM48" s="84" t="str">
        <f>IF(ISNUMBER(outYear),JSM37+JSM42+#REF!+#REF!,"")</f>
        <v/>
      </c>
      <c r="JSN48" s="84" t="str">
        <f>IF(ISNUMBER(outYear),JSN37+JSN42+#REF!+#REF!,"")</f>
        <v/>
      </c>
      <c r="JSO48" s="84" t="str">
        <f>IF(ISNUMBER(outYear),JSO37+JSO42+#REF!+#REF!,"")</f>
        <v/>
      </c>
      <c r="JSP48" s="84" t="str">
        <f>IF(ISNUMBER(outYear),JSP37+JSP42+#REF!+#REF!,"")</f>
        <v/>
      </c>
      <c r="JSQ48" s="84" t="str">
        <f>IF(ISNUMBER(outYear),JSQ37+JSQ42+#REF!+#REF!,"")</f>
        <v/>
      </c>
      <c r="JSR48" s="84" t="str">
        <f>IF(ISNUMBER(outYear),JSR37+JSR42+#REF!+#REF!,"")</f>
        <v/>
      </c>
      <c r="JSS48" s="84" t="str">
        <f>IF(ISNUMBER(outYear),JSS37+JSS42+#REF!+#REF!,"")</f>
        <v/>
      </c>
      <c r="JST48" s="84" t="str">
        <f>IF(ISNUMBER(outYear),JST37+JST42+#REF!+#REF!,"")</f>
        <v/>
      </c>
      <c r="JSU48" s="84" t="str">
        <f>IF(ISNUMBER(outYear),JSU37+JSU42+#REF!+#REF!,"")</f>
        <v/>
      </c>
      <c r="JSV48" s="84" t="str">
        <f>IF(ISNUMBER(outYear),JSV37+JSV42+#REF!+#REF!,"")</f>
        <v/>
      </c>
      <c r="JSW48" s="84" t="str">
        <f>IF(ISNUMBER(outYear),JSW37+JSW42+#REF!+#REF!,"")</f>
        <v/>
      </c>
      <c r="JSX48" s="84" t="str">
        <f>IF(ISNUMBER(outYear),JSX37+JSX42+#REF!+#REF!,"")</f>
        <v/>
      </c>
      <c r="JSY48" s="84" t="str">
        <f>IF(ISNUMBER(outYear),JSY37+JSY42+#REF!+#REF!,"")</f>
        <v/>
      </c>
      <c r="JSZ48" s="84" t="str">
        <f>IF(ISNUMBER(outYear),JSZ37+JSZ42+#REF!+#REF!,"")</f>
        <v/>
      </c>
      <c r="JTA48" s="84" t="str">
        <f>IF(ISNUMBER(outYear),JTA37+JTA42+#REF!+#REF!,"")</f>
        <v/>
      </c>
      <c r="JTB48" s="84" t="str">
        <f>IF(ISNUMBER(outYear),JTB37+JTB42+#REF!+#REF!,"")</f>
        <v/>
      </c>
      <c r="JTC48" s="84" t="str">
        <f>IF(ISNUMBER(outYear),JTC37+JTC42+#REF!+#REF!,"")</f>
        <v/>
      </c>
      <c r="JTD48" s="84" t="str">
        <f>IF(ISNUMBER(outYear),JTD37+JTD42+#REF!+#REF!,"")</f>
        <v/>
      </c>
      <c r="JTE48" s="84" t="str">
        <f>IF(ISNUMBER(outYear),JTE37+JTE42+#REF!+#REF!,"")</f>
        <v/>
      </c>
      <c r="JTF48" s="84" t="str">
        <f>IF(ISNUMBER(outYear),JTF37+JTF42+#REF!+#REF!,"")</f>
        <v/>
      </c>
      <c r="JTG48" s="84" t="str">
        <f>IF(ISNUMBER(outYear),JTG37+JTG42+#REF!+#REF!,"")</f>
        <v/>
      </c>
      <c r="JTH48" s="84" t="str">
        <f>IF(ISNUMBER(outYear),JTH37+JTH42+#REF!+#REF!,"")</f>
        <v/>
      </c>
      <c r="JTI48" s="84" t="str">
        <f>IF(ISNUMBER(outYear),JTI37+JTI42+#REF!+#REF!,"")</f>
        <v/>
      </c>
      <c r="JTJ48" s="84" t="str">
        <f>IF(ISNUMBER(outYear),JTJ37+JTJ42+#REF!+#REF!,"")</f>
        <v/>
      </c>
      <c r="JTK48" s="84" t="str">
        <f>IF(ISNUMBER(outYear),JTK37+JTK42+#REF!+#REF!,"")</f>
        <v/>
      </c>
      <c r="JTL48" s="84" t="str">
        <f>IF(ISNUMBER(outYear),JTL37+JTL42+#REF!+#REF!,"")</f>
        <v/>
      </c>
      <c r="JTM48" s="84" t="str">
        <f>IF(ISNUMBER(outYear),JTM37+JTM42+#REF!+#REF!,"")</f>
        <v/>
      </c>
      <c r="JTN48" s="84" t="str">
        <f>IF(ISNUMBER(outYear),JTN37+JTN42+#REF!+#REF!,"")</f>
        <v/>
      </c>
      <c r="JTO48" s="84" t="str">
        <f>IF(ISNUMBER(outYear),JTO37+JTO42+#REF!+#REF!,"")</f>
        <v/>
      </c>
      <c r="JTP48" s="84" t="str">
        <f>IF(ISNUMBER(outYear),JTP37+JTP42+#REF!+#REF!,"")</f>
        <v/>
      </c>
      <c r="JTQ48" s="84" t="str">
        <f>IF(ISNUMBER(outYear),JTQ37+JTQ42+#REF!+#REF!,"")</f>
        <v/>
      </c>
      <c r="JTR48" s="84" t="str">
        <f>IF(ISNUMBER(outYear),JTR37+JTR42+#REF!+#REF!,"")</f>
        <v/>
      </c>
      <c r="JTS48" s="84" t="str">
        <f>IF(ISNUMBER(outYear),JTS37+JTS42+#REF!+#REF!,"")</f>
        <v/>
      </c>
      <c r="JTT48" s="84" t="str">
        <f>IF(ISNUMBER(outYear),JTT37+JTT42+#REF!+#REF!,"")</f>
        <v/>
      </c>
      <c r="JTU48" s="84" t="str">
        <f>IF(ISNUMBER(outYear),JTU37+JTU42+#REF!+#REF!,"")</f>
        <v/>
      </c>
      <c r="JTV48" s="84" t="str">
        <f>IF(ISNUMBER(outYear),JTV37+JTV42+#REF!+#REF!,"")</f>
        <v/>
      </c>
      <c r="JTW48" s="84" t="str">
        <f>IF(ISNUMBER(outYear),JTW37+JTW42+#REF!+#REF!,"")</f>
        <v/>
      </c>
      <c r="JTX48" s="84" t="str">
        <f>IF(ISNUMBER(outYear),JTX37+JTX42+#REF!+#REF!,"")</f>
        <v/>
      </c>
      <c r="JTY48" s="84" t="str">
        <f>IF(ISNUMBER(outYear),JTY37+JTY42+#REF!+#REF!,"")</f>
        <v/>
      </c>
      <c r="JTZ48" s="84" t="str">
        <f>IF(ISNUMBER(outYear),JTZ37+JTZ42+#REF!+#REF!,"")</f>
        <v/>
      </c>
      <c r="JUA48" s="84" t="str">
        <f>IF(ISNUMBER(outYear),JUA37+JUA42+#REF!+#REF!,"")</f>
        <v/>
      </c>
      <c r="JUB48" s="84" t="str">
        <f>IF(ISNUMBER(outYear),JUB37+JUB42+#REF!+#REF!,"")</f>
        <v/>
      </c>
      <c r="JUC48" s="84" t="str">
        <f>IF(ISNUMBER(outYear),JUC37+JUC42+#REF!+#REF!,"")</f>
        <v/>
      </c>
      <c r="JUD48" s="84" t="str">
        <f>IF(ISNUMBER(outYear),JUD37+JUD42+#REF!+#REF!,"")</f>
        <v/>
      </c>
      <c r="JUE48" s="84" t="str">
        <f>IF(ISNUMBER(outYear),JUE37+JUE42+#REF!+#REF!,"")</f>
        <v/>
      </c>
      <c r="JUF48" s="84" t="str">
        <f>IF(ISNUMBER(outYear),JUF37+JUF42+#REF!+#REF!,"")</f>
        <v/>
      </c>
      <c r="JUG48" s="84" t="str">
        <f>IF(ISNUMBER(outYear),JUG37+JUG42+#REF!+#REF!,"")</f>
        <v/>
      </c>
      <c r="JUH48" s="84" t="str">
        <f>IF(ISNUMBER(outYear),JUH37+JUH42+#REF!+#REF!,"")</f>
        <v/>
      </c>
      <c r="JUI48" s="84" t="str">
        <f>IF(ISNUMBER(outYear),JUI37+JUI42+#REF!+#REF!,"")</f>
        <v/>
      </c>
      <c r="JUJ48" s="84" t="str">
        <f>IF(ISNUMBER(outYear),JUJ37+JUJ42+#REF!+#REF!,"")</f>
        <v/>
      </c>
      <c r="JUK48" s="84" t="str">
        <f>IF(ISNUMBER(outYear),JUK37+JUK42+#REF!+#REF!,"")</f>
        <v/>
      </c>
      <c r="JUL48" s="84" t="str">
        <f>IF(ISNUMBER(outYear),JUL37+JUL42+#REF!+#REF!,"")</f>
        <v/>
      </c>
      <c r="JUM48" s="84" t="str">
        <f>IF(ISNUMBER(outYear),JUM37+JUM42+#REF!+#REF!,"")</f>
        <v/>
      </c>
      <c r="JUN48" s="84" t="str">
        <f>IF(ISNUMBER(outYear),JUN37+JUN42+#REF!+#REF!,"")</f>
        <v/>
      </c>
      <c r="JUO48" s="84" t="str">
        <f>IF(ISNUMBER(outYear),JUO37+JUO42+#REF!+#REF!,"")</f>
        <v/>
      </c>
      <c r="JUP48" s="84" t="str">
        <f>IF(ISNUMBER(outYear),JUP37+JUP42+#REF!+#REF!,"")</f>
        <v/>
      </c>
      <c r="JUQ48" s="84" t="str">
        <f>IF(ISNUMBER(outYear),JUQ37+JUQ42+#REF!+#REF!,"")</f>
        <v/>
      </c>
      <c r="JUR48" s="84" t="str">
        <f>IF(ISNUMBER(outYear),JUR37+JUR42+#REF!+#REF!,"")</f>
        <v/>
      </c>
      <c r="JUS48" s="84" t="str">
        <f>IF(ISNUMBER(outYear),JUS37+JUS42+#REF!+#REF!,"")</f>
        <v/>
      </c>
      <c r="JUT48" s="84" t="str">
        <f>IF(ISNUMBER(outYear),JUT37+JUT42+#REF!+#REF!,"")</f>
        <v/>
      </c>
      <c r="JUU48" s="84" t="str">
        <f>IF(ISNUMBER(outYear),JUU37+JUU42+#REF!+#REF!,"")</f>
        <v/>
      </c>
      <c r="JUV48" s="84" t="str">
        <f>IF(ISNUMBER(outYear),JUV37+JUV42+#REF!+#REF!,"")</f>
        <v/>
      </c>
      <c r="JUW48" s="84" t="str">
        <f>IF(ISNUMBER(outYear),JUW37+JUW42+#REF!+#REF!,"")</f>
        <v/>
      </c>
      <c r="JUX48" s="84" t="str">
        <f>IF(ISNUMBER(outYear),JUX37+JUX42+#REF!+#REF!,"")</f>
        <v/>
      </c>
      <c r="JUY48" s="84" t="str">
        <f>IF(ISNUMBER(outYear),JUY37+JUY42+#REF!+#REF!,"")</f>
        <v/>
      </c>
      <c r="JUZ48" s="84" t="str">
        <f>IF(ISNUMBER(outYear),JUZ37+JUZ42+#REF!+#REF!,"")</f>
        <v/>
      </c>
      <c r="JVA48" s="84" t="str">
        <f>IF(ISNUMBER(outYear),JVA37+JVA42+#REF!+#REF!,"")</f>
        <v/>
      </c>
      <c r="JVB48" s="84" t="str">
        <f>IF(ISNUMBER(outYear),JVB37+JVB42+#REF!+#REF!,"")</f>
        <v/>
      </c>
      <c r="JVC48" s="84" t="str">
        <f>IF(ISNUMBER(outYear),JVC37+JVC42+#REF!+#REF!,"")</f>
        <v/>
      </c>
      <c r="JVD48" s="84" t="str">
        <f>IF(ISNUMBER(outYear),JVD37+JVD42+#REF!+#REF!,"")</f>
        <v/>
      </c>
      <c r="JVE48" s="84" t="str">
        <f>IF(ISNUMBER(outYear),JVE37+JVE42+#REF!+#REF!,"")</f>
        <v/>
      </c>
      <c r="JVF48" s="84" t="str">
        <f>IF(ISNUMBER(outYear),JVF37+JVF42+#REF!+#REF!,"")</f>
        <v/>
      </c>
      <c r="JVG48" s="84" t="str">
        <f>IF(ISNUMBER(outYear),JVG37+JVG42+#REF!+#REF!,"")</f>
        <v/>
      </c>
      <c r="JVH48" s="84" t="str">
        <f>IF(ISNUMBER(outYear),JVH37+JVH42+#REF!+#REF!,"")</f>
        <v/>
      </c>
      <c r="JVI48" s="84" t="str">
        <f>IF(ISNUMBER(outYear),JVI37+JVI42+#REF!+#REF!,"")</f>
        <v/>
      </c>
      <c r="JVJ48" s="84" t="str">
        <f>IF(ISNUMBER(outYear),JVJ37+JVJ42+#REF!+#REF!,"")</f>
        <v/>
      </c>
      <c r="JVK48" s="84" t="str">
        <f>IF(ISNUMBER(outYear),JVK37+JVK42+#REF!+#REF!,"")</f>
        <v/>
      </c>
      <c r="JVL48" s="84" t="str">
        <f>IF(ISNUMBER(outYear),JVL37+JVL42+#REF!+#REF!,"")</f>
        <v/>
      </c>
      <c r="JVM48" s="84" t="str">
        <f>IF(ISNUMBER(outYear),JVM37+JVM42+#REF!+#REF!,"")</f>
        <v/>
      </c>
      <c r="JVN48" s="84" t="str">
        <f>IF(ISNUMBER(outYear),JVN37+JVN42+#REF!+#REF!,"")</f>
        <v/>
      </c>
      <c r="JVO48" s="84" t="str">
        <f>IF(ISNUMBER(outYear),JVO37+JVO42+#REF!+#REF!,"")</f>
        <v/>
      </c>
      <c r="JVP48" s="84" t="str">
        <f>IF(ISNUMBER(outYear),JVP37+JVP42+#REF!+#REF!,"")</f>
        <v/>
      </c>
      <c r="JVQ48" s="84" t="str">
        <f>IF(ISNUMBER(outYear),JVQ37+JVQ42+#REF!+#REF!,"")</f>
        <v/>
      </c>
      <c r="JVR48" s="84" t="str">
        <f>IF(ISNUMBER(outYear),JVR37+JVR42+#REF!+#REF!,"")</f>
        <v/>
      </c>
      <c r="JVS48" s="84" t="str">
        <f>IF(ISNUMBER(outYear),JVS37+JVS42+#REF!+#REF!,"")</f>
        <v/>
      </c>
      <c r="JVT48" s="84" t="str">
        <f>IF(ISNUMBER(outYear),JVT37+JVT42+#REF!+#REF!,"")</f>
        <v/>
      </c>
      <c r="JVU48" s="84" t="str">
        <f>IF(ISNUMBER(outYear),JVU37+JVU42+#REF!+#REF!,"")</f>
        <v/>
      </c>
      <c r="JVV48" s="84" t="str">
        <f>IF(ISNUMBER(outYear),JVV37+JVV42+#REF!+#REF!,"")</f>
        <v/>
      </c>
      <c r="JVW48" s="84" t="str">
        <f>IF(ISNUMBER(outYear),JVW37+JVW42+#REF!+#REF!,"")</f>
        <v/>
      </c>
      <c r="JVX48" s="84" t="str">
        <f>IF(ISNUMBER(outYear),JVX37+JVX42+#REF!+#REF!,"")</f>
        <v/>
      </c>
      <c r="JVY48" s="84" t="str">
        <f>IF(ISNUMBER(outYear),JVY37+JVY42+#REF!+#REF!,"")</f>
        <v/>
      </c>
      <c r="JVZ48" s="84" t="str">
        <f>IF(ISNUMBER(outYear),JVZ37+JVZ42+#REF!+#REF!,"")</f>
        <v/>
      </c>
      <c r="JWA48" s="84" t="str">
        <f>IF(ISNUMBER(outYear),JWA37+JWA42+#REF!+#REF!,"")</f>
        <v/>
      </c>
      <c r="JWB48" s="84" t="str">
        <f>IF(ISNUMBER(outYear),JWB37+JWB42+#REF!+#REF!,"")</f>
        <v/>
      </c>
      <c r="JWC48" s="84" t="str">
        <f>IF(ISNUMBER(outYear),JWC37+JWC42+#REF!+#REF!,"")</f>
        <v/>
      </c>
      <c r="JWD48" s="84" t="str">
        <f>IF(ISNUMBER(outYear),JWD37+JWD42+#REF!+#REF!,"")</f>
        <v/>
      </c>
      <c r="JWE48" s="84" t="str">
        <f>IF(ISNUMBER(outYear),JWE37+JWE42+#REF!+#REF!,"")</f>
        <v/>
      </c>
      <c r="JWF48" s="84" t="str">
        <f>IF(ISNUMBER(outYear),JWF37+JWF42+#REF!+#REF!,"")</f>
        <v/>
      </c>
      <c r="JWG48" s="84" t="str">
        <f>IF(ISNUMBER(outYear),JWG37+JWG42+#REF!+#REF!,"")</f>
        <v/>
      </c>
      <c r="JWH48" s="84" t="str">
        <f>IF(ISNUMBER(outYear),JWH37+JWH42+#REF!+#REF!,"")</f>
        <v/>
      </c>
      <c r="JWI48" s="84" t="str">
        <f>IF(ISNUMBER(outYear),JWI37+JWI42+#REF!+#REF!,"")</f>
        <v/>
      </c>
      <c r="JWJ48" s="84" t="str">
        <f>IF(ISNUMBER(outYear),JWJ37+JWJ42+#REF!+#REF!,"")</f>
        <v/>
      </c>
      <c r="JWK48" s="84" t="str">
        <f>IF(ISNUMBER(outYear),JWK37+JWK42+#REF!+#REF!,"")</f>
        <v/>
      </c>
      <c r="JWL48" s="84" t="str">
        <f>IF(ISNUMBER(outYear),JWL37+JWL42+#REF!+#REF!,"")</f>
        <v/>
      </c>
      <c r="JWM48" s="84" t="str">
        <f>IF(ISNUMBER(outYear),JWM37+JWM42+#REF!+#REF!,"")</f>
        <v/>
      </c>
      <c r="JWN48" s="84" t="str">
        <f>IF(ISNUMBER(outYear),JWN37+JWN42+#REF!+#REF!,"")</f>
        <v/>
      </c>
      <c r="JWO48" s="84" t="str">
        <f>IF(ISNUMBER(outYear),JWO37+JWO42+#REF!+#REF!,"")</f>
        <v/>
      </c>
      <c r="JWP48" s="84" t="str">
        <f>IF(ISNUMBER(outYear),JWP37+JWP42+#REF!+#REF!,"")</f>
        <v/>
      </c>
      <c r="JWQ48" s="84" t="str">
        <f>IF(ISNUMBER(outYear),JWQ37+JWQ42+#REF!+#REF!,"")</f>
        <v/>
      </c>
      <c r="JWR48" s="84" t="str">
        <f>IF(ISNUMBER(outYear),JWR37+JWR42+#REF!+#REF!,"")</f>
        <v/>
      </c>
      <c r="JWS48" s="84" t="str">
        <f>IF(ISNUMBER(outYear),JWS37+JWS42+#REF!+#REF!,"")</f>
        <v/>
      </c>
      <c r="JWT48" s="84" t="str">
        <f>IF(ISNUMBER(outYear),JWT37+JWT42+#REF!+#REF!,"")</f>
        <v/>
      </c>
      <c r="JWU48" s="84" t="str">
        <f>IF(ISNUMBER(outYear),JWU37+JWU42+#REF!+#REF!,"")</f>
        <v/>
      </c>
      <c r="JWV48" s="84" t="str">
        <f>IF(ISNUMBER(outYear),JWV37+JWV42+#REF!+#REF!,"")</f>
        <v/>
      </c>
      <c r="JWW48" s="84" t="str">
        <f>IF(ISNUMBER(outYear),JWW37+JWW42+#REF!+#REF!,"")</f>
        <v/>
      </c>
      <c r="JWX48" s="84" t="str">
        <f>IF(ISNUMBER(outYear),JWX37+JWX42+#REF!+#REF!,"")</f>
        <v/>
      </c>
      <c r="JWY48" s="84" t="str">
        <f>IF(ISNUMBER(outYear),JWY37+JWY42+#REF!+#REF!,"")</f>
        <v/>
      </c>
      <c r="JWZ48" s="84" t="str">
        <f>IF(ISNUMBER(outYear),JWZ37+JWZ42+#REF!+#REF!,"")</f>
        <v/>
      </c>
      <c r="JXA48" s="84" t="str">
        <f>IF(ISNUMBER(outYear),JXA37+JXA42+#REF!+#REF!,"")</f>
        <v/>
      </c>
      <c r="JXB48" s="84" t="str">
        <f>IF(ISNUMBER(outYear),JXB37+JXB42+#REF!+#REF!,"")</f>
        <v/>
      </c>
      <c r="JXC48" s="84" t="str">
        <f>IF(ISNUMBER(outYear),JXC37+JXC42+#REF!+#REF!,"")</f>
        <v/>
      </c>
      <c r="JXD48" s="84" t="str">
        <f>IF(ISNUMBER(outYear),JXD37+JXD42+#REF!+#REF!,"")</f>
        <v/>
      </c>
      <c r="JXE48" s="84" t="str">
        <f>IF(ISNUMBER(outYear),JXE37+JXE42+#REF!+#REF!,"")</f>
        <v/>
      </c>
      <c r="JXF48" s="84" t="str">
        <f>IF(ISNUMBER(outYear),JXF37+JXF42+#REF!+#REF!,"")</f>
        <v/>
      </c>
      <c r="JXG48" s="84" t="str">
        <f>IF(ISNUMBER(outYear),JXG37+JXG42+#REF!+#REF!,"")</f>
        <v/>
      </c>
      <c r="JXH48" s="84" t="str">
        <f>IF(ISNUMBER(outYear),JXH37+JXH42+#REF!+#REF!,"")</f>
        <v/>
      </c>
      <c r="JXI48" s="84" t="str">
        <f>IF(ISNUMBER(outYear),JXI37+JXI42+#REF!+#REF!,"")</f>
        <v/>
      </c>
      <c r="JXJ48" s="84" t="str">
        <f>IF(ISNUMBER(outYear),JXJ37+JXJ42+#REF!+#REF!,"")</f>
        <v/>
      </c>
      <c r="JXK48" s="84" t="str">
        <f>IF(ISNUMBER(outYear),JXK37+JXK42+#REF!+#REF!,"")</f>
        <v/>
      </c>
      <c r="JXL48" s="84" t="str">
        <f>IF(ISNUMBER(outYear),JXL37+JXL42+#REF!+#REF!,"")</f>
        <v/>
      </c>
      <c r="JXM48" s="84" t="str">
        <f>IF(ISNUMBER(outYear),JXM37+JXM42+#REF!+#REF!,"")</f>
        <v/>
      </c>
      <c r="JXN48" s="84" t="str">
        <f>IF(ISNUMBER(outYear),JXN37+JXN42+#REF!+#REF!,"")</f>
        <v/>
      </c>
      <c r="JXO48" s="84" t="str">
        <f>IF(ISNUMBER(outYear),JXO37+JXO42+#REF!+#REF!,"")</f>
        <v/>
      </c>
      <c r="JXP48" s="84" t="str">
        <f>IF(ISNUMBER(outYear),JXP37+JXP42+#REF!+#REF!,"")</f>
        <v/>
      </c>
      <c r="JXQ48" s="84" t="str">
        <f>IF(ISNUMBER(outYear),JXQ37+JXQ42+#REF!+#REF!,"")</f>
        <v/>
      </c>
      <c r="JXR48" s="84" t="str">
        <f>IF(ISNUMBER(outYear),JXR37+JXR42+#REF!+#REF!,"")</f>
        <v/>
      </c>
      <c r="JXS48" s="84" t="str">
        <f>IF(ISNUMBER(outYear),JXS37+JXS42+#REF!+#REF!,"")</f>
        <v/>
      </c>
      <c r="JXT48" s="84" t="str">
        <f>IF(ISNUMBER(outYear),JXT37+JXT42+#REF!+#REF!,"")</f>
        <v/>
      </c>
      <c r="JXU48" s="84" t="str">
        <f>IF(ISNUMBER(outYear),JXU37+JXU42+#REF!+#REF!,"")</f>
        <v/>
      </c>
      <c r="JXV48" s="84" t="str">
        <f>IF(ISNUMBER(outYear),JXV37+JXV42+#REF!+#REF!,"")</f>
        <v/>
      </c>
      <c r="JXW48" s="84" t="str">
        <f>IF(ISNUMBER(outYear),JXW37+JXW42+#REF!+#REF!,"")</f>
        <v/>
      </c>
      <c r="JXX48" s="84" t="str">
        <f>IF(ISNUMBER(outYear),JXX37+JXX42+#REF!+#REF!,"")</f>
        <v/>
      </c>
      <c r="JXY48" s="84" t="str">
        <f>IF(ISNUMBER(outYear),JXY37+JXY42+#REF!+#REF!,"")</f>
        <v/>
      </c>
      <c r="JXZ48" s="84" t="str">
        <f>IF(ISNUMBER(outYear),JXZ37+JXZ42+#REF!+#REF!,"")</f>
        <v/>
      </c>
      <c r="JYA48" s="84" t="str">
        <f>IF(ISNUMBER(outYear),JYA37+JYA42+#REF!+#REF!,"")</f>
        <v/>
      </c>
      <c r="JYB48" s="84" t="str">
        <f>IF(ISNUMBER(outYear),JYB37+JYB42+#REF!+#REF!,"")</f>
        <v/>
      </c>
      <c r="JYC48" s="84" t="str">
        <f>IF(ISNUMBER(outYear),JYC37+JYC42+#REF!+#REF!,"")</f>
        <v/>
      </c>
      <c r="JYD48" s="84" t="str">
        <f>IF(ISNUMBER(outYear),JYD37+JYD42+#REF!+#REF!,"")</f>
        <v/>
      </c>
      <c r="JYE48" s="84" t="str">
        <f>IF(ISNUMBER(outYear),JYE37+JYE42+#REF!+#REF!,"")</f>
        <v/>
      </c>
      <c r="JYF48" s="84" t="str">
        <f>IF(ISNUMBER(outYear),JYF37+JYF42+#REF!+#REF!,"")</f>
        <v/>
      </c>
      <c r="JYG48" s="84" t="str">
        <f>IF(ISNUMBER(outYear),JYG37+JYG42+#REF!+#REF!,"")</f>
        <v/>
      </c>
      <c r="JYH48" s="84" t="str">
        <f>IF(ISNUMBER(outYear),JYH37+JYH42+#REF!+#REF!,"")</f>
        <v/>
      </c>
      <c r="JYI48" s="84" t="str">
        <f>IF(ISNUMBER(outYear),JYI37+JYI42+#REF!+#REF!,"")</f>
        <v/>
      </c>
      <c r="JYJ48" s="84" t="str">
        <f>IF(ISNUMBER(outYear),JYJ37+JYJ42+#REF!+#REF!,"")</f>
        <v/>
      </c>
      <c r="JYK48" s="84" t="str">
        <f>IF(ISNUMBER(outYear),JYK37+JYK42+#REF!+#REF!,"")</f>
        <v/>
      </c>
      <c r="JYL48" s="84" t="str">
        <f>IF(ISNUMBER(outYear),JYL37+JYL42+#REF!+#REF!,"")</f>
        <v/>
      </c>
      <c r="JYM48" s="84" t="str">
        <f>IF(ISNUMBER(outYear),JYM37+JYM42+#REF!+#REF!,"")</f>
        <v/>
      </c>
      <c r="JYN48" s="84" t="str">
        <f>IF(ISNUMBER(outYear),JYN37+JYN42+#REF!+#REF!,"")</f>
        <v/>
      </c>
      <c r="JYO48" s="84" t="str">
        <f>IF(ISNUMBER(outYear),JYO37+JYO42+#REF!+#REF!,"")</f>
        <v/>
      </c>
      <c r="JYP48" s="84" t="str">
        <f>IF(ISNUMBER(outYear),JYP37+JYP42+#REF!+#REF!,"")</f>
        <v/>
      </c>
      <c r="JYQ48" s="84" t="str">
        <f>IF(ISNUMBER(outYear),JYQ37+JYQ42+#REF!+#REF!,"")</f>
        <v/>
      </c>
      <c r="JYR48" s="84" t="str">
        <f>IF(ISNUMBER(outYear),JYR37+JYR42+#REF!+#REF!,"")</f>
        <v/>
      </c>
      <c r="JYS48" s="84" t="str">
        <f>IF(ISNUMBER(outYear),JYS37+JYS42+#REF!+#REF!,"")</f>
        <v/>
      </c>
      <c r="JYT48" s="84" t="str">
        <f>IF(ISNUMBER(outYear),JYT37+JYT42+#REF!+#REF!,"")</f>
        <v/>
      </c>
      <c r="JYU48" s="84" t="str">
        <f>IF(ISNUMBER(outYear),JYU37+JYU42+#REF!+#REF!,"")</f>
        <v/>
      </c>
      <c r="JYV48" s="84" t="str">
        <f>IF(ISNUMBER(outYear),JYV37+JYV42+#REF!+#REF!,"")</f>
        <v/>
      </c>
      <c r="JYW48" s="84" t="str">
        <f>IF(ISNUMBER(outYear),JYW37+JYW42+#REF!+#REF!,"")</f>
        <v/>
      </c>
      <c r="JYX48" s="84" t="str">
        <f>IF(ISNUMBER(outYear),JYX37+JYX42+#REF!+#REF!,"")</f>
        <v/>
      </c>
      <c r="JYY48" s="84" t="str">
        <f>IF(ISNUMBER(outYear),JYY37+JYY42+#REF!+#REF!,"")</f>
        <v/>
      </c>
      <c r="JYZ48" s="84" t="str">
        <f>IF(ISNUMBER(outYear),JYZ37+JYZ42+#REF!+#REF!,"")</f>
        <v/>
      </c>
      <c r="JZA48" s="84" t="str">
        <f>IF(ISNUMBER(outYear),JZA37+JZA42+#REF!+#REF!,"")</f>
        <v/>
      </c>
      <c r="JZB48" s="84" t="str">
        <f>IF(ISNUMBER(outYear),JZB37+JZB42+#REF!+#REF!,"")</f>
        <v/>
      </c>
      <c r="JZC48" s="84" t="str">
        <f>IF(ISNUMBER(outYear),JZC37+JZC42+#REF!+#REF!,"")</f>
        <v/>
      </c>
      <c r="JZD48" s="84" t="str">
        <f>IF(ISNUMBER(outYear),JZD37+JZD42+#REF!+#REF!,"")</f>
        <v/>
      </c>
      <c r="JZE48" s="84" t="str">
        <f>IF(ISNUMBER(outYear),JZE37+JZE42+#REF!+#REF!,"")</f>
        <v/>
      </c>
      <c r="JZF48" s="84" t="str">
        <f>IF(ISNUMBER(outYear),JZF37+JZF42+#REF!+#REF!,"")</f>
        <v/>
      </c>
      <c r="JZG48" s="84" t="str">
        <f>IF(ISNUMBER(outYear),JZG37+JZG42+#REF!+#REF!,"")</f>
        <v/>
      </c>
      <c r="JZH48" s="84" t="str">
        <f>IF(ISNUMBER(outYear),JZH37+JZH42+#REF!+#REF!,"")</f>
        <v/>
      </c>
      <c r="JZI48" s="84" t="str">
        <f>IF(ISNUMBER(outYear),JZI37+JZI42+#REF!+#REF!,"")</f>
        <v/>
      </c>
      <c r="JZJ48" s="84" t="str">
        <f>IF(ISNUMBER(outYear),JZJ37+JZJ42+#REF!+#REF!,"")</f>
        <v/>
      </c>
      <c r="JZK48" s="84" t="str">
        <f>IF(ISNUMBER(outYear),JZK37+JZK42+#REF!+#REF!,"")</f>
        <v/>
      </c>
      <c r="JZL48" s="84" t="str">
        <f>IF(ISNUMBER(outYear),JZL37+JZL42+#REF!+#REF!,"")</f>
        <v/>
      </c>
      <c r="JZM48" s="84" t="str">
        <f>IF(ISNUMBER(outYear),JZM37+JZM42+#REF!+#REF!,"")</f>
        <v/>
      </c>
      <c r="JZN48" s="84" t="str">
        <f>IF(ISNUMBER(outYear),JZN37+JZN42+#REF!+#REF!,"")</f>
        <v/>
      </c>
      <c r="JZO48" s="84" t="str">
        <f>IF(ISNUMBER(outYear),JZO37+JZO42+#REF!+#REF!,"")</f>
        <v/>
      </c>
      <c r="JZP48" s="84" t="str">
        <f>IF(ISNUMBER(outYear),JZP37+JZP42+#REF!+#REF!,"")</f>
        <v/>
      </c>
      <c r="JZQ48" s="84" t="str">
        <f>IF(ISNUMBER(outYear),JZQ37+JZQ42+#REF!+#REF!,"")</f>
        <v/>
      </c>
      <c r="JZR48" s="84" t="str">
        <f>IF(ISNUMBER(outYear),JZR37+JZR42+#REF!+#REF!,"")</f>
        <v/>
      </c>
      <c r="JZS48" s="84" t="str">
        <f>IF(ISNUMBER(outYear),JZS37+JZS42+#REF!+#REF!,"")</f>
        <v/>
      </c>
      <c r="JZT48" s="84" t="str">
        <f>IF(ISNUMBER(outYear),JZT37+JZT42+#REF!+#REF!,"")</f>
        <v/>
      </c>
      <c r="JZU48" s="84" t="str">
        <f>IF(ISNUMBER(outYear),JZU37+JZU42+#REF!+#REF!,"")</f>
        <v/>
      </c>
      <c r="JZV48" s="84" t="str">
        <f>IF(ISNUMBER(outYear),JZV37+JZV42+#REF!+#REF!,"")</f>
        <v/>
      </c>
      <c r="JZW48" s="84" t="str">
        <f>IF(ISNUMBER(outYear),JZW37+JZW42+#REF!+#REF!,"")</f>
        <v/>
      </c>
      <c r="JZX48" s="84" t="str">
        <f>IF(ISNUMBER(outYear),JZX37+JZX42+#REF!+#REF!,"")</f>
        <v/>
      </c>
      <c r="JZY48" s="84" t="str">
        <f>IF(ISNUMBER(outYear),JZY37+JZY42+#REF!+#REF!,"")</f>
        <v/>
      </c>
      <c r="JZZ48" s="84" t="str">
        <f>IF(ISNUMBER(outYear),JZZ37+JZZ42+#REF!+#REF!,"")</f>
        <v/>
      </c>
      <c r="KAA48" s="84" t="str">
        <f>IF(ISNUMBER(outYear),KAA37+KAA42+#REF!+#REF!,"")</f>
        <v/>
      </c>
      <c r="KAB48" s="84" t="str">
        <f>IF(ISNUMBER(outYear),KAB37+KAB42+#REF!+#REF!,"")</f>
        <v/>
      </c>
      <c r="KAC48" s="84" t="str">
        <f>IF(ISNUMBER(outYear),KAC37+KAC42+#REF!+#REF!,"")</f>
        <v/>
      </c>
      <c r="KAD48" s="84" t="str">
        <f>IF(ISNUMBER(outYear),KAD37+KAD42+#REF!+#REF!,"")</f>
        <v/>
      </c>
      <c r="KAE48" s="84" t="str">
        <f>IF(ISNUMBER(outYear),KAE37+KAE42+#REF!+#REF!,"")</f>
        <v/>
      </c>
      <c r="KAF48" s="84" t="str">
        <f>IF(ISNUMBER(outYear),KAF37+KAF42+#REF!+#REF!,"")</f>
        <v/>
      </c>
      <c r="KAG48" s="84" t="str">
        <f>IF(ISNUMBER(outYear),KAG37+KAG42+#REF!+#REF!,"")</f>
        <v/>
      </c>
      <c r="KAH48" s="84" t="str">
        <f>IF(ISNUMBER(outYear),KAH37+KAH42+#REF!+#REF!,"")</f>
        <v/>
      </c>
      <c r="KAI48" s="84" t="str">
        <f>IF(ISNUMBER(outYear),KAI37+KAI42+#REF!+#REF!,"")</f>
        <v/>
      </c>
      <c r="KAJ48" s="84" t="str">
        <f>IF(ISNUMBER(outYear),KAJ37+KAJ42+#REF!+#REF!,"")</f>
        <v/>
      </c>
      <c r="KAK48" s="84" t="str">
        <f>IF(ISNUMBER(outYear),KAK37+KAK42+#REF!+#REF!,"")</f>
        <v/>
      </c>
      <c r="KAL48" s="84" t="str">
        <f>IF(ISNUMBER(outYear),KAL37+KAL42+#REF!+#REF!,"")</f>
        <v/>
      </c>
      <c r="KAM48" s="84" t="str">
        <f>IF(ISNUMBER(outYear),KAM37+KAM42+#REF!+#REF!,"")</f>
        <v/>
      </c>
      <c r="KAN48" s="84" t="str">
        <f>IF(ISNUMBER(outYear),KAN37+KAN42+#REF!+#REF!,"")</f>
        <v/>
      </c>
      <c r="KAO48" s="84" t="str">
        <f>IF(ISNUMBER(outYear),KAO37+KAO42+#REF!+#REF!,"")</f>
        <v/>
      </c>
      <c r="KAP48" s="84" t="str">
        <f>IF(ISNUMBER(outYear),KAP37+KAP42+#REF!+#REF!,"")</f>
        <v/>
      </c>
      <c r="KAQ48" s="84" t="str">
        <f>IF(ISNUMBER(outYear),KAQ37+KAQ42+#REF!+#REF!,"")</f>
        <v/>
      </c>
      <c r="KAR48" s="84" t="str">
        <f>IF(ISNUMBER(outYear),KAR37+KAR42+#REF!+#REF!,"")</f>
        <v/>
      </c>
      <c r="KAS48" s="84" t="str">
        <f>IF(ISNUMBER(outYear),KAS37+KAS42+#REF!+#REF!,"")</f>
        <v/>
      </c>
      <c r="KAT48" s="84" t="str">
        <f>IF(ISNUMBER(outYear),KAT37+KAT42+#REF!+#REF!,"")</f>
        <v/>
      </c>
      <c r="KAU48" s="84" t="str">
        <f>IF(ISNUMBER(outYear),KAU37+KAU42+#REF!+#REF!,"")</f>
        <v/>
      </c>
      <c r="KAV48" s="84" t="str">
        <f>IF(ISNUMBER(outYear),KAV37+KAV42+#REF!+#REF!,"")</f>
        <v/>
      </c>
      <c r="KAW48" s="84" t="str">
        <f>IF(ISNUMBER(outYear),KAW37+KAW42+#REF!+#REF!,"")</f>
        <v/>
      </c>
      <c r="KAX48" s="84" t="str">
        <f>IF(ISNUMBER(outYear),KAX37+KAX42+#REF!+#REF!,"")</f>
        <v/>
      </c>
      <c r="KAY48" s="84" t="str">
        <f>IF(ISNUMBER(outYear),KAY37+KAY42+#REF!+#REF!,"")</f>
        <v/>
      </c>
      <c r="KAZ48" s="84" t="str">
        <f>IF(ISNUMBER(outYear),KAZ37+KAZ42+#REF!+#REF!,"")</f>
        <v/>
      </c>
      <c r="KBA48" s="84" t="str">
        <f>IF(ISNUMBER(outYear),KBA37+KBA42+#REF!+#REF!,"")</f>
        <v/>
      </c>
      <c r="KBB48" s="84" t="str">
        <f>IF(ISNUMBER(outYear),KBB37+KBB42+#REF!+#REF!,"")</f>
        <v/>
      </c>
      <c r="KBC48" s="84" t="str">
        <f>IF(ISNUMBER(outYear),KBC37+KBC42+#REF!+#REF!,"")</f>
        <v/>
      </c>
      <c r="KBD48" s="84" t="str">
        <f>IF(ISNUMBER(outYear),KBD37+KBD42+#REF!+#REF!,"")</f>
        <v/>
      </c>
      <c r="KBE48" s="84" t="str">
        <f>IF(ISNUMBER(outYear),KBE37+KBE42+#REF!+#REF!,"")</f>
        <v/>
      </c>
      <c r="KBF48" s="84" t="str">
        <f>IF(ISNUMBER(outYear),KBF37+KBF42+#REF!+#REF!,"")</f>
        <v/>
      </c>
      <c r="KBG48" s="84" t="str">
        <f>IF(ISNUMBER(outYear),KBG37+KBG42+#REF!+#REF!,"")</f>
        <v/>
      </c>
      <c r="KBH48" s="84" t="str">
        <f>IF(ISNUMBER(outYear),KBH37+KBH42+#REF!+#REF!,"")</f>
        <v/>
      </c>
      <c r="KBI48" s="84" t="str">
        <f>IF(ISNUMBER(outYear),KBI37+KBI42+#REF!+#REF!,"")</f>
        <v/>
      </c>
      <c r="KBJ48" s="84" t="str">
        <f>IF(ISNUMBER(outYear),KBJ37+KBJ42+#REF!+#REF!,"")</f>
        <v/>
      </c>
      <c r="KBK48" s="84" t="str">
        <f>IF(ISNUMBER(outYear),KBK37+KBK42+#REF!+#REF!,"")</f>
        <v/>
      </c>
      <c r="KBL48" s="84" t="str">
        <f>IF(ISNUMBER(outYear),KBL37+KBL42+#REF!+#REF!,"")</f>
        <v/>
      </c>
      <c r="KBM48" s="84" t="str">
        <f>IF(ISNUMBER(outYear),KBM37+KBM42+#REF!+#REF!,"")</f>
        <v/>
      </c>
      <c r="KBN48" s="84" t="str">
        <f>IF(ISNUMBER(outYear),KBN37+KBN42+#REF!+#REF!,"")</f>
        <v/>
      </c>
      <c r="KBO48" s="84" t="str">
        <f>IF(ISNUMBER(outYear),KBO37+KBO42+#REF!+#REF!,"")</f>
        <v/>
      </c>
      <c r="KBP48" s="84" t="str">
        <f>IF(ISNUMBER(outYear),KBP37+KBP42+#REF!+#REF!,"")</f>
        <v/>
      </c>
      <c r="KBQ48" s="84" t="str">
        <f>IF(ISNUMBER(outYear),KBQ37+KBQ42+#REF!+#REF!,"")</f>
        <v/>
      </c>
      <c r="KBR48" s="84" t="str">
        <f>IF(ISNUMBER(outYear),KBR37+KBR42+#REF!+#REF!,"")</f>
        <v/>
      </c>
      <c r="KBS48" s="84" t="str">
        <f>IF(ISNUMBER(outYear),KBS37+KBS42+#REF!+#REF!,"")</f>
        <v/>
      </c>
      <c r="KBT48" s="84" t="str">
        <f>IF(ISNUMBER(outYear),KBT37+KBT42+#REF!+#REF!,"")</f>
        <v/>
      </c>
      <c r="KBU48" s="84" t="str">
        <f>IF(ISNUMBER(outYear),KBU37+KBU42+#REF!+#REF!,"")</f>
        <v/>
      </c>
      <c r="KBV48" s="84" t="str">
        <f>IF(ISNUMBER(outYear),KBV37+KBV42+#REF!+#REF!,"")</f>
        <v/>
      </c>
      <c r="KBW48" s="84" t="str">
        <f>IF(ISNUMBER(outYear),KBW37+KBW42+#REF!+#REF!,"")</f>
        <v/>
      </c>
      <c r="KBX48" s="84" t="str">
        <f>IF(ISNUMBER(outYear),KBX37+KBX42+#REF!+#REF!,"")</f>
        <v/>
      </c>
      <c r="KBY48" s="84" t="str">
        <f>IF(ISNUMBER(outYear),KBY37+KBY42+#REF!+#REF!,"")</f>
        <v/>
      </c>
      <c r="KBZ48" s="84" t="str">
        <f>IF(ISNUMBER(outYear),KBZ37+KBZ42+#REF!+#REF!,"")</f>
        <v/>
      </c>
      <c r="KCA48" s="84" t="str">
        <f>IF(ISNUMBER(outYear),KCA37+KCA42+#REF!+#REF!,"")</f>
        <v/>
      </c>
      <c r="KCB48" s="84" t="str">
        <f>IF(ISNUMBER(outYear),KCB37+KCB42+#REF!+#REF!,"")</f>
        <v/>
      </c>
      <c r="KCC48" s="84" t="str">
        <f>IF(ISNUMBER(outYear),KCC37+KCC42+#REF!+#REF!,"")</f>
        <v/>
      </c>
      <c r="KCD48" s="84" t="str">
        <f>IF(ISNUMBER(outYear),KCD37+KCD42+#REF!+#REF!,"")</f>
        <v/>
      </c>
      <c r="KCE48" s="84" t="str">
        <f>IF(ISNUMBER(outYear),KCE37+KCE42+#REF!+#REF!,"")</f>
        <v/>
      </c>
      <c r="KCF48" s="84" t="str">
        <f>IF(ISNUMBER(outYear),KCF37+KCF42+#REF!+#REF!,"")</f>
        <v/>
      </c>
      <c r="KCG48" s="84" t="str">
        <f>IF(ISNUMBER(outYear),KCG37+KCG42+#REF!+#REF!,"")</f>
        <v/>
      </c>
      <c r="KCH48" s="84" t="str">
        <f>IF(ISNUMBER(outYear),KCH37+KCH42+#REF!+#REF!,"")</f>
        <v/>
      </c>
      <c r="KCI48" s="84" t="str">
        <f>IF(ISNUMBER(outYear),KCI37+KCI42+#REF!+#REF!,"")</f>
        <v/>
      </c>
      <c r="KCJ48" s="84" t="str">
        <f>IF(ISNUMBER(outYear),KCJ37+KCJ42+#REF!+#REF!,"")</f>
        <v/>
      </c>
      <c r="KCK48" s="84" t="str">
        <f>IF(ISNUMBER(outYear),KCK37+KCK42+#REF!+#REF!,"")</f>
        <v/>
      </c>
      <c r="KCL48" s="84" t="str">
        <f>IF(ISNUMBER(outYear),KCL37+KCL42+#REF!+#REF!,"")</f>
        <v/>
      </c>
      <c r="KCM48" s="84" t="str">
        <f>IF(ISNUMBER(outYear),KCM37+KCM42+#REF!+#REF!,"")</f>
        <v/>
      </c>
      <c r="KCN48" s="84" t="str">
        <f>IF(ISNUMBER(outYear),KCN37+KCN42+#REF!+#REF!,"")</f>
        <v/>
      </c>
      <c r="KCO48" s="84" t="str">
        <f>IF(ISNUMBER(outYear),KCO37+KCO42+#REF!+#REF!,"")</f>
        <v/>
      </c>
      <c r="KCP48" s="84" t="str">
        <f>IF(ISNUMBER(outYear),KCP37+KCP42+#REF!+#REF!,"")</f>
        <v/>
      </c>
      <c r="KCQ48" s="84" t="str">
        <f>IF(ISNUMBER(outYear),KCQ37+KCQ42+#REF!+#REF!,"")</f>
        <v/>
      </c>
      <c r="KCR48" s="84" t="str">
        <f>IF(ISNUMBER(outYear),KCR37+KCR42+#REF!+#REF!,"")</f>
        <v/>
      </c>
      <c r="KCS48" s="84" t="str">
        <f>IF(ISNUMBER(outYear),KCS37+KCS42+#REF!+#REF!,"")</f>
        <v/>
      </c>
      <c r="KCT48" s="84" t="str">
        <f>IF(ISNUMBER(outYear),KCT37+KCT42+#REF!+#REF!,"")</f>
        <v/>
      </c>
      <c r="KCU48" s="84" t="str">
        <f>IF(ISNUMBER(outYear),KCU37+KCU42+#REF!+#REF!,"")</f>
        <v/>
      </c>
      <c r="KCV48" s="84" t="str">
        <f>IF(ISNUMBER(outYear),KCV37+KCV42+#REF!+#REF!,"")</f>
        <v/>
      </c>
      <c r="KCW48" s="84" t="str">
        <f>IF(ISNUMBER(outYear),KCW37+KCW42+#REF!+#REF!,"")</f>
        <v/>
      </c>
      <c r="KCX48" s="84" t="str">
        <f>IF(ISNUMBER(outYear),KCX37+KCX42+#REF!+#REF!,"")</f>
        <v/>
      </c>
      <c r="KCY48" s="84" t="str">
        <f>IF(ISNUMBER(outYear),KCY37+KCY42+#REF!+#REF!,"")</f>
        <v/>
      </c>
      <c r="KCZ48" s="84" t="str">
        <f>IF(ISNUMBER(outYear),KCZ37+KCZ42+#REF!+#REF!,"")</f>
        <v/>
      </c>
      <c r="KDA48" s="84" t="str">
        <f>IF(ISNUMBER(outYear),KDA37+KDA42+#REF!+#REF!,"")</f>
        <v/>
      </c>
      <c r="KDB48" s="84" t="str">
        <f>IF(ISNUMBER(outYear),KDB37+KDB42+#REF!+#REF!,"")</f>
        <v/>
      </c>
      <c r="KDC48" s="84" t="str">
        <f>IF(ISNUMBER(outYear),KDC37+KDC42+#REF!+#REF!,"")</f>
        <v/>
      </c>
      <c r="KDD48" s="84" t="str">
        <f>IF(ISNUMBER(outYear),KDD37+KDD42+#REF!+#REF!,"")</f>
        <v/>
      </c>
      <c r="KDE48" s="84" t="str">
        <f>IF(ISNUMBER(outYear),KDE37+KDE42+#REF!+#REF!,"")</f>
        <v/>
      </c>
      <c r="KDF48" s="84" t="str">
        <f>IF(ISNUMBER(outYear),KDF37+KDF42+#REF!+#REF!,"")</f>
        <v/>
      </c>
      <c r="KDG48" s="84" t="str">
        <f>IF(ISNUMBER(outYear),KDG37+KDG42+#REF!+#REF!,"")</f>
        <v/>
      </c>
      <c r="KDH48" s="84" t="str">
        <f>IF(ISNUMBER(outYear),KDH37+KDH42+#REF!+#REF!,"")</f>
        <v/>
      </c>
      <c r="KDI48" s="84" t="str">
        <f>IF(ISNUMBER(outYear),KDI37+KDI42+#REF!+#REF!,"")</f>
        <v/>
      </c>
      <c r="KDJ48" s="84" t="str">
        <f>IF(ISNUMBER(outYear),KDJ37+KDJ42+#REF!+#REF!,"")</f>
        <v/>
      </c>
      <c r="KDK48" s="84" t="str">
        <f>IF(ISNUMBER(outYear),KDK37+KDK42+#REF!+#REF!,"")</f>
        <v/>
      </c>
      <c r="KDL48" s="84" t="str">
        <f>IF(ISNUMBER(outYear),KDL37+KDL42+#REF!+#REF!,"")</f>
        <v/>
      </c>
      <c r="KDM48" s="84" t="str">
        <f>IF(ISNUMBER(outYear),KDM37+KDM42+#REF!+#REF!,"")</f>
        <v/>
      </c>
      <c r="KDN48" s="84" t="str">
        <f>IF(ISNUMBER(outYear),KDN37+KDN42+#REF!+#REF!,"")</f>
        <v/>
      </c>
      <c r="KDO48" s="84" t="str">
        <f>IF(ISNUMBER(outYear),KDO37+KDO42+#REF!+#REF!,"")</f>
        <v/>
      </c>
      <c r="KDP48" s="84" t="str">
        <f>IF(ISNUMBER(outYear),KDP37+KDP42+#REF!+#REF!,"")</f>
        <v/>
      </c>
      <c r="KDQ48" s="84" t="str">
        <f>IF(ISNUMBER(outYear),KDQ37+KDQ42+#REF!+#REF!,"")</f>
        <v/>
      </c>
      <c r="KDR48" s="84" t="str">
        <f>IF(ISNUMBER(outYear),KDR37+KDR42+#REF!+#REF!,"")</f>
        <v/>
      </c>
      <c r="KDS48" s="84" t="str">
        <f>IF(ISNUMBER(outYear),KDS37+KDS42+#REF!+#REF!,"")</f>
        <v/>
      </c>
      <c r="KDT48" s="84" t="str">
        <f>IF(ISNUMBER(outYear),KDT37+KDT42+#REF!+#REF!,"")</f>
        <v/>
      </c>
      <c r="KDU48" s="84" t="str">
        <f>IF(ISNUMBER(outYear),KDU37+KDU42+#REF!+#REF!,"")</f>
        <v/>
      </c>
      <c r="KDV48" s="84" t="str">
        <f>IF(ISNUMBER(outYear),KDV37+KDV42+#REF!+#REF!,"")</f>
        <v/>
      </c>
      <c r="KDW48" s="84" t="str">
        <f>IF(ISNUMBER(outYear),KDW37+KDW42+#REF!+#REF!,"")</f>
        <v/>
      </c>
      <c r="KDX48" s="84" t="str">
        <f>IF(ISNUMBER(outYear),KDX37+KDX42+#REF!+#REF!,"")</f>
        <v/>
      </c>
      <c r="KDY48" s="84" t="str">
        <f>IF(ISNUMBER(outYear),KDY37+KDY42+#REF!+#REF!,"")</f>
        <v/>
      </c>
      <c r="KDZ48" s="84" t="str">
        <f>IF(ISNUMBER(outYear),KDZ37+KDZ42+#REF!+#REF!,"")</f>
        <v/>
      </c>
      <c r="KEA48" s="84" t="str">
        <f>IF(ISNUMBER(outYear),KEA37+KEA42+#REF!+#REF!,"")</f>
        <v/>
      </c>
      <c r="KEB48" s="84" t="str">
        <f>IF(ISNUMBER(outYear),KEB37+KEB42+#REF!+#REF!,"")</f>
        <v/>
      </c>
      <c r="KEC48" s="84" t="str">
        <f>IF(ISNUMBER(outYear),KEC37+KEC42+#REF!+#REF!,"")</f>
        <v/>
      </c>
      <c r="KED48" s="84" t="str">
        <f>IF(ISNUMBER(outYear),KED37+KED42+#REF!+#REF!,"")</f>
        <v/>
      </c>
      <c r="KEE48" s="84" t="str">
        <f>IF(ISNUMBER(outYear),KEE37+KEE42+#REF!+#REF!,"")</f>
        <v/>
      </c>
      <c r="KEF48" s="84" t="str">
        <f>IF(ISNUMBER(outYear),KEF37+KEF42+#REF!+#REF!,"")</f>
        <v/>
      </c>
      <c r="KEG48" s="84" t="str">
        <f>IF(ISNUMBER(outYear),KEG37+KEG42+#REF!+#REF!,"")</f>
        <v/>
      </c>
      <c r="KEH48" s="84" t="str">
        <f>IF(ISNUMBER(outYear),KEH37+KEH42+#REF!+#REF!,"")</f>
        <v/>
      </c>
      <c r="KEI48" s="84" t="str">
        <f>IF(ISNUMBER(outYear),KEI37+KEI42+#REF!+#REF!,"")</f>
        <v/>
      </c>
      <c r="KEJ48" s="84" t="str">
        <f>IF(ISNUMBER(outYear),KEJ37+KEJ42+#REF!+#REF!,"")</f>
        <v/>
      </c>
      <c r="KEK48" s="84" t="str">
        <f>IF(ISNUMBER(outYear),KEK37+KEK42+#REF!+#REF!,"")</f>
        <v/>
      </c>
      <c r="KEL48" s="84" t="str">
        <f>IF(ISNUMBER(outYear),KEL37+KEL42+#REF!+#REF!,"")</f>
        <v/>
      </c>
      <c r="KEM48" s="84" t="str">
        <f>IF(ISNUMBER(outYear),KEM37+KEM42+#REF!+#REF!,"")</f>
        <v/>
      </c>
      <c r="KEN48" s="84" t="str">
        <f>IF(ISNUMBER(outYear),KEN37+KEN42+#REF!+#REF!,"")</f>
        <v/>
      </c>
      <c r="KEO48" s="84" t="str">
        <f>IF(ISNUMBER(outYear),KEO37+KEO42+#REF!+#REF!,"")</f>
        <v/>
      </c>
      <c r="KEP48" s="84" t="str">
        <f>IF(ISNUMBER(outYear),KEP37+KEP42+#REF!+#REF!,"")</f>
        <v/>
      </c>
      <c r="KEQ48" s="84" t="str">
        <f>IF(ISNUMBER(outYear),KEQ37+KEQ42+#REF!+#REF!,"")</f>
        <v/>
      </c>
      <c r="KER48" s="84" t="str">
        <f>IF(ISNUMBER(outYear),KER37+KER42+#REF!+#REF!,"")</f>
        <v/>
      </c>
      <c r="KES48" s="84" t="str">
        <f>IF(ISNUMBER(outYear),KES37+KES42+#REF!+#REF!,"")</f>
        <v/>
      </c>
      <c r="KET48" s="84" t="str">
        <f>IF(ISNUMBER(outYear),KET37+KET42+#REF!+#REF!,"")</f>
        <v/>
      </c>
      <c r="KEU48" s="84" t="str">
        <f>IF(ISNUMBER(outYear),KEU37+KEU42+#REF!+#REF!,"")</f>
        <v/>
      </c>
      <c r="KEV48" s="84" t="str">
        <f>IF(ISNUMBER(outYear),KEV37+KEV42+#REF!+#REF!,"")</f>
        <v/>
      </c>
      <c r="KEW48" s="84" t="str">
        <f>IF(ISNUMBER(outYear),KEW37+KEW42+#REF!+#REF!,"")</f>
        <v/>
      </c>
      <c r="KEX48" s="84" t="str">
        <f>IF(ISNUMBER(outYear),KEX37+KEX42+#REF!+#REF!,"")</f>
        <v/>
      </c>
      <c r="KEY48" s="84" t="str">
        <f>IF(ISNUMBER(outYear),KEY37+KEY42+#REF!+#REF!,"")</f>
        <v/>
      </c>
      <c r="KEZ48" s="84" t="str">
        <f>IF(ISNUMBER(outYear),KEZ37+KEZ42+#REF!+#REF!,"")</f>
        <v/>
      </c>
      <c r="KFA48" s="84" t="str">
        <f>IF(ISNUMBER(outYear),KFA37+KFA42+#REF!+#REF!,"")</f>
        <v/>
      </c>
      <c r="KFB48" s="84" t="str">
        <f>IF(ISNUMBER(outYear),KFB37+KFB42+#REF!+#REF!,"")</f>
        <v/>
      </c>
      <c r="KFC48" s="84" t="str">
        <f>IF(ISNUMBER(outYear),KFC37+KFC42+#REF!+#REF!,"")</f>
        <v/>
      </c>
      <c r="KFD48" s="84" t="str">
        <f>IF(ISNUMBER(outYear),KFD37+KFD42+#REF!+#REF!,"")</f>
        <v/>
      </c>
      <c r="KFE48" s="84" t="str">
        <f>IF(ISNUMBER(outYear),KFE37+KFE42+#REF!+#REF!,"")</f>
        <v/>
      </c>
      <c r="KFF48" s="84" t="str">
        <f>IF(ISNUMBER(outYear),KFF37+KFF42+#REF!+#REF!,"")</f>
        <v/>
      </c>
      <c r="KFG48" s="84" t="str">
        <f>IF(ISNUMBER(outYear),KFG37+KFG42+#REF!+#REF!,"")</f>
        <v/>
      </c>
      <c r="KFH48" s="84" t="str">
        <f>IF(ISNUMBER(outYear),KFH37+KFH42+#REF!+#REF!,"")</f>
        <v/>
      </c>
      <c r="KFI48" s="84" t="str">
        <f>IF(ISNUMBER(outYear),KFI37+KFI42+#REF!+#REF!,"")</f>
        <v/>
      </c>
      <c r="KFJ48" s="84" t="str">
        <f>IF(ISNUMBER(outYear),KFJ37+KFJ42+#REF!+#REF!,"")</f>
        <v/>
      </c>
      <c r="KFK48" s="84" t="str">
        <f>IF(ISNUMBER(outYear),KFK37+KFK42+#REF!+#REF!,"")</f>
        <v/>
      </c>
      <c r="KFL48" s="84" t="str">
        <f>IF(ISNUMBER(outYear),KFL37+KFL42+#REF!+#REF!,"")</f>
        <v/>
      </c>
      <c r="KFM48" s="84" t="str">
        <f>IF(ISNUMBER(outYear),KFM37+KFM42+#REF!+#REF!,"")</f>
        <v/>
      </c>
      <c r="KFN48" s="84" t="str">
        <f>IF(ISNUMBER(outYear),KFN37+KFN42+#REF!+#REF!,"")</f>
        <v/>
      </c>
      <c r="KFO48" s="84" t="str">
        <f>IF(ISNUMBER(outYear),KFO37+KFO42+#REF!+#REF!,"")</f>
        <v/>
      </c>
      <c r="KFP48" s="84" t="str">
        <f>IF(ISNUMBER(outYear),KFP37+KFP42+#REF!+#REF!,"")</f>
        <v/>
      </c>
      <c r="KFQ48" s="84" t="str">
        <f>IF(ISNUMBER(outYear),KFQ37+KFQ42+#REF!+#REF!,"")</f>
        <v/>
      </c>
      <c r="KFR48" s="84" t="str">
        <f>IF(ISNUMBER(outYear),KFR37+KFR42+#REF!+#REF!,"")</f>
        <v/>
      </c>
      <c r="KFS48" s="84" t="str">
        <f>IF(ISNUMBER(outYear),KFS37+KFS42+#REF!+#REF!,"")</f>
        <v/>
      </c>
      <c r="KFT48" s="84" t="str">
        <f>IF(ISNUMBER(outYear),KFT37+KFT42+#REF!+#REF!,"")</f>
        <v/>
      </c>
      <c r="KFU48" s="84" t="str">
        <f>IF(ISNUMBER(outYear),KFU37+KFU42+#REF!+#REF!,"")</f>
        <v/>
      </c>
      <c r="KFV48" s="84" t="str">
        <f>IF(ISNUMBER(outYear),KFV37+KFV42+#REF!+#REF!,"")</f>
        <v/>
      </c>
      <c r="KFW48" s="84" t="str">
        <f>IF(ISNUMBER(outYear),KFW37+KFW42+#REF!+#REF!,"")</f>
        <v/>
      </c>
      <c r="KFX48" s="84" t="str">
        <f>IF(ISNUMBER(outYear),KFX37+KFX42+#REF!+#REF!,"")</f>
        <v/>
      </c>
      <c r="KFY48" s="84" t="str">
        <f>IF(ISNUMBER(outYear),KFY37+KFY42+#REF!+#REF!,"")</f>
        <v/>
      </c>
      <c r="KFZ48" s="84" t="str">
        <f>IF(ISNUMBER(outYear),KFZ37+KFZ42+#REF!+#REF!,"")</f>
        <v/>
      </c>
      <c r="KGA48" s="84" t="str">
        <f>IF(ISNUMBER(outYear),KGA37+KGA42+#REF!+#REF!,"")</f>
        <v/>
      </c>
      <c r="KGB48" s="84" t="str">
        <f>IF(ISNUMBER(outYear),KGB37+KGB42+#REF!+#REF!,"")</f>
        <v/>
      </c>
      <c r="KGC48" s="84" t="str">
        <f>IF(ISNUMBER(outYear),KGC37+KGC42+#REF!+#REF!,"")</f>
        <v/>
      </c>
      <c r="KGD48" s="84" t="str">
        <f>IF(ISNUMBER(outYear),KGD37+KGD42+#REF!+#REF!,"")</f>
        <v/>
      </c>
      <c r="KGE48" s="84" t="str">
        <f>IF(ISNUMBER(outYear),KGE37+KGE42+#REF!+#REF!,"")</f>
        <v/>
      </c>
      <c r="KGF48" s="84" t="str">
        <f>IF(ISNUMBER(outYear),KGF37+KGF42+#REF!+#REF!,"")</f>
        <v/>
      </c>
      <c r="KGG48" s="84" t="str">
        <f>IF(ISNUMBER(outYear),KGG37+KGG42+#REF!+#REF!,"")</f>
        <v/>
      </c>
      <c r="KGH48" s="84" t="str">
        <f>IF(ISNUMBER(outYear),KGH37+KGH42+#REF!+#REF!,"")</f>
        <v/>
      </c>
      <c r="KGI48" s="84" t="str">
        <f>IF(ISNUMBER(outYear),KGI37+KGI42+#REF!+#REF!,"")</f>
        <v/>
      </c>
      <c r="KGJ48" s="84" t="str">
        <f>IF(ISNUMBER(outYear),KGJ37+KGJ42+#REF!+#REF!,"")</f>
        <v/>
      </c>
      <c r="KGK48" s="84" t="str">
        <f>IF(ISNUMBER(outYear),KGK37+KGK42+#REF!+#REF!,"")</f>
        <v/>
      </c>
      <c r="KGL48" s="84" t="str">
        <f>IF(ISNUMBER(outYear),KGL37+KGL42+#REF!+#REF!,"")</f>
        <v/>
      </c>
      <c r="KGM48" s="84" t="str">
        <f>IF(ISNUMBER(outYear),KGM37+KGM42+#REF!+#REF!,"")</f>
        <v/>
      </c>
      <c r="KGN48" s="84" t="str">
        <f>IF(ISNUMBER(outYear),KGN37+KGN42+#REF!+#REF!,"")</f>
        <v/>
      </c>
      <c r="KGO48" s="84" t="str">
        <f>IF(ISNUMBER(outYear),KGO37+KGO42+#REF!+#REF!,"")</f>
        <v/>
      </c>
      <c r="KGP48" s="84" t="str">
        <f>IF(ISNUMBER(outYear),KGP37+KGP42+#REF!+#REF!,"")</f>
        <v/>
      </c>
      <c r="KGQ48" s="84" t="str">
        <f>IF(ISNUMBER(outYear),KGQ37+KGQ42+#REF!+#REF!,"")</f>
        <v/>
      </c>
      <c r="KGR48" s="84" t="str">
        <f>IF(ISNUMBER(outYear),KGR37+KGR42+#REF!+#REF!,"")</f>
        <v/>
      </c>
      <c r="KGS48" s="84" t="str">
        <f>IF(ISNUMBER(outYear),KGS37+KGS42+#REF!+#REF!,"")</f>
        <v/>
      </c>
      <c r="KGT48" s="84" t="str">
        <f>IF(ISNUMBER(outYear),KGT37+KGT42+#REF!+#REF!,"")</f>
        <v/>
      </c>
      <c r="KGU48" s="84" t="str">
        <f>IF(ISNUMBER(outYear),KGU37+KGU42+#REF!+#REF!,"")</f>
        <v/>
      </c>
      <c r="KGV48" s="84" t="str">
        <f>IF(ISNUMBER(outYear),KGV37+KGV42+#REF!+#REF!,"")</f>
        <v/>
      </c>
      <c r="KGW48" s="84" t="str">
        <f>IF(ISNUMBER(outYear),KGW37+KGW42+#REF!+#REF!,"")</f>
        <v/>
      </c>
      <c r="KGX48" s="84" t="str">
        <f>IF(ISNUMBER(outYear),KGX37+KGX42+#REF!+#REF!,"")</f>
        <v/>
      </c>
      <c r="KGY48" s="84" t="str">
        <f>IF(ISNUMBER(outYear),KGY37+KGY42+#REF!+#REF!,"")</f>
        <v/>
      </c>
      <c r="KGZ48" s="84" t="str">
        <f>IF(ISNUMBER(outYear),KGZ37+KGZ42+#REF!+#REF!,"")</f>
        <v/>
      </c>
      <c r="KHA48" s="84" t="str">
        <f>IF(ISNUMBER(outYear),KHA37+KHA42+#REF!+#REF!,"")</f>
        <v/>
      </c>
      <c r="KHB48" s="84" t="str">
        <f>IF(ISNUMBER(outYear),KHB37+KHB42+#REF!+#REF!,"")</f>
        <v/>
      </c>
      <c r="KHC48" s="84" t="str">
        <f>IF(ISNUMBER(outYear),KHC37+KHC42+#REF!+#REF!,"")</f>
        <v/>
      </c>
      <c r="KHD48" s="84" t="str">
        <f>IF(ISNUMBER(outYear),KHD37+KHD42+#REF!+#REF!,"")</f>
        <v/>
      </c>
      <c r="KHE48" s="84" t="str">
        <f>IF(ISNUMBER(outYear),KHE37+KHE42+#REF!+#REF!,"")</f>
        <v/>
      </c>
      <c r="KHF48" s="84" t="str">
        <f>IF(ISNUMBER(outYear),KHF37+KHF42+#REF!+#REF!,"")</f>
        <v/>
      </c>
      <c r="KHG48" s="84" t="str">
        <f>IF(ISNUMBER(outYear),KHG37+KHG42+#REF!+#REF!,"")</f>
        <v/>
      </c>
      <c r="KHH48" s="84" t="str">
        <f>IF(ISNUMBER(outYear),KHH37+KHH42+#REF!+#REF!,"")</f>
        <v/>
      </c>
      <c r="KHI48" s="84" t="str">
        <f>IF(ISNUMBER(outYear),KHI37+KHI42+#REF!+#REF!,"")</f>
        <v/>
      </c>
      <c r="KHJ48" s="84" t="str">
        <f>IF(ISNUMBER(outYear),KHJ37+KHJ42+#REF!+#REF!,"")</f>
        <v/>
      </c>
      <c r="KHK48" s="84" t="str">
        <f>IF(ISNUMBER(outYear),KHK37+KHK42+#REF!+#REF!,"")</f>
        <v/>
      </c>
      <c r="KHL48" s="84" t="str">
        <f>IF(ISNUMBER(outYear),KHL37+KHL42+#REF!+#REF!,"")</f>
        <v/>
      </c>
      <c r="KHM48" s="84" t="str">
        <f>IF(ISNUMBER(outYear),KHM37+KHM42+#REF!+#REF!,"")</f>
        <v/>
      </c>
      <c r="KHN48" s="84" t="str">
        <f>IF(ISNUMBER(outYear),KHN37+KHN42+#REF!+#REF!,"")</f>
        <v/>
      </c>
      <c r="KHO48" s="84" t="str">
        <f>IF(ISNUMBER(outYear),KHO37+KHO42+#REF!+#REF!,"")</f>
        <v/>
      </c>
      <c r="KHP48" s="84" t="str">
        <f>IF(ISNUMBER(outYear),KHP37+KHP42+#REF!+#REF!,"")</f>
        <v/>
      </c>
      <c r="KHQ48" s="84" t="str">
        <f>IF(ISNUMBER(outYear),KHQ37+KHQ42+#REF!+#REF!,"")</f>
        <v/>
      </c>
      <c r="KHR48" s="84" t="str">
        <f>IF(ISNUMBER(outYear),KHR37+KHR42+#REF!+#REF!,"")</f>
        <v/>
      </c>
      <c r="KHS48" s="84" t="str">
        <f>IF(ISNUMBER(outYear),KHS37+KHS42+#REF!+#REF!,"")</f>
        <v/>
      </c>
      <c r="KHT48" s="84" t="str">
        <f>IF(ISNUMBER(outYear),KHT37+KHT42+#REF!+#REF!,"")</f>
        <v/>
      </c>
      <c r="KHU48" s="84" t="str">
        <f>IF(ISNUMBER(outYear),KHU37+KHU42+#REF!+#REF!,"")</f>
        <v/>
      </c>
      <c r="KHV48" s="84" t="str">
        <f>IF(ISNUMBER(outYear),KHV37+KHV42+#REF!+#REF!,"")</f>
        <v/>
      </c>
      <c r="KHW48" s="84" t="str">
        <f>IF(ISNUMBER(outYear),KHW37+KHW42+#REF!+#REF!,"")</f>
        <v/>
      </c>
      <c r="KHX48" s="84" t="str">
        <f>IF(ISNUMBER(outYear),KHX37+KHX42+#REF!+#REF!,"")</f>
        <v/>
      </c>
      <c r="KHY48" s="84" t="str">
        <f>IF(ISNUMBER(outYear),KHY37+KHY42+#REF!+#REF!,"")</f>
        <v/>
      </c>
      <c r="KHZ48" s="84" t="str">
        <f>IF(ISNUMBER(outYear),KHZ37+KHZ42+#REF!+#REF!,"")</f>
        <v/>
      </c>
      <c r="KIA48" s="84" t="str">
        <f>IF(ISNUMBER(outYear),KIA37+KIA42+#REF!+#REF!,"")</f>
        <v/>
      </c>
      <c r="KIB48" s="84" t="str">
        <f>IF(ISNUMBER(outYear),KIB37+KIB42+#REF!+#REF!,"")</f>
        <v/>
      </c>
      <c r="KIC48" s="84" t="str">
        <f>IF(ISNUMBER(outYear),KIC37+KIC42+#REF!+#REF!,"")</f>
        <v/>
      </c>
      <c r="KID48" s="84" t="str">
        <f>IF(ISNUMBER(outYear),KID37+KID42+#REF!+#REF!,"")</f>
        <v/>
      </c>
      <c r="KIE48" s="84" t="str">
        <f>IF(ISNUMBER(outYear),KIE37+KIE42+#REF!+#REF!,"")</f>
        <v/>
      </c>
      <c r="KIF48" s="84" t="str">
        <f>IF(ISNUMBER(outYear),KIF37+KIF42+#REF!+#REF!,"")</f>
        <v/>
      </c>
      <c r="KIG48" s="84" t="str">
        <f>IF(ISNUMBER(outYear),KIG37+KIG42+#REF!+#REF!,"")</f>
        <v/>
      </c>
      <c r="KIH48" s="84" t="str">
        <f>IF(ISNUMBER(outYear),KIH37+KIH42+#REF!+#REF!,"")</f>
        <v/>
      </c>
      <c r="KII48" s="84" t="str">
        <f>IF(ISNUMBER(outYear),KII37+KII42+#REF!+#REF!,"")</f>
        <v/>
      </c>
      <c r="KIJ48" s="84" t="str">
        <f>IF(ISNUMBER(outYear),KIJ37+KIJ42+#REF!+#REF!,"")</f>
        <v/>
      </c>
      <c r="KIK48" s="84" t="str">
        <f>IF(ISNUMBER(outYear),KIK37+KIK42+#REF!+#REF!,"")</f>
        <v/>
      </c>
      <c r="KIL48" s="84" t="str">
        <f>IF(ISNUMBER(outYear),KIL37+KIL42+#REF!+#REF!,"")</f>
        <v/>
      </c>
      <c r="KIM48" s="84" t="str">
        <f>IF(ISNUMBER(outYear),KIM37+KIM42+#REF!+#REF!,"")</f>
        <v/>
      </c>
      <c r="KIN48" s="84" t="str">
        <f>IF(ISNUMBER(outYear),KIN37+KIN42+#REF!+#REF!,"")</f>
        <v/>
      </c>
      <c r="KIO48" s="84" t="str">
        <f>IF(ISNUMBER(outYear),KIO37+KIO42+#REF!+#REF!,"")</f>
        <v/>
      </c>
      <c r="KIP48" s="84" t="str">
        <f>IF(ISNUMBER(outYear),KIP37+KIP42+#REF!+#REF!,"")</f>
        <v/>
      </c>
      <c r="KIQ48" s="84" t="str">
        <f>IF(ISNUMBER(outYear),KIQ37+KIQ42+#REF!+#REF!,"")</f>
        <v/>
      </c>
      <c r="KIR48" s="84" t="str">
        <f>IF(ISNUMBER(outYear),KIR37+KIR42+#REF!+#REF!,"")</f>
        <v/>
      </c>
      <c r="KIS48" s="84" t="str">
        <f>IF(ISNUMBER(outYear),KIS37+KIS42+#REF!+#REF!,"")</f>
        <v/>
      </c>
      <c r="KIT48" s="84" t="str">
        <f>IF(ISNUMBER(outYear),KIT37+KIT42+#REF!+#REF!,"")</f>
        <v/>
      </c>
      <c r="KIU48" s="84" t="str">
        <f>IF(ISNUMBER(outYear),KIU37+KIU42+#REF!+#REF!,"")</f>
        <v/>
      </c>
      <c r="KIV48" s="84" t="str">
        <f>IF(ISNUMBER(outYear),KIV37+KIV42+#REF!+#REF!,"")</f>
        <v/>
      </c>
      <c r="KIW48" s="84" t="str">
        <f>IF(ISNUMBER(outYear),KIW37+KIW42+#REF!+#REF!,"")</f>
        <v/>
      </c>
      <c r="KIX48" s="84" t="str">
        <f>IF(ISNUMBER(outYear),KIX37+KIX42+#REF!+#REF!,"")</f>
        <v/>
      </c>
      <c r="KIY48" s="84" t="str">
        <f>IF(ISNUMBER(outYear),KIY37+KIY42+#REF!+#REF!,"")</f>
        <v/>
      </c>
      <c r="KIZ48" s="84" t="str">
        <f>IF(ISNUMBER(outYear),KIZ37+KIZ42+#REF!+#REF!,"")</f>
        <v/>
      </c>
      <c r="KJA48" s="84" t="str">
        <f>IF(ISNUMBER(outYear),KJA37+KJA42+#REF!+#REF!,"")</f>
        <v/>
      </c>
      <c r="KJB48" s="84" t="str">
        <f>IF(ISNUMBER(outYear),KJB37+KJB42+#REF!+#REF!,"")</f>
        <v/>
      </c>
      <c r="KJC48" s="84" t="str">
        <f>IF(ISNUMBER(outYear),KJC37+KJC42+#REF!+#REF!,"")</f>
        <v/>
      </c>
      <c r="KJD48" s="84" t="str">
        <f>IF(ISNUMBER(outYear),KJD37+KJD42+#REF!+#REF!,"")</f>
        <v/>
      </c>
      <c r="KJE48" s="84" t="str">
        <f>IF(ISNUMBER(outYear),KJE37+KJE42+#REF!+#REF!,"")</f>
        <v/>
      </c>
      <c r="KJF48" s="84" t="str">
        <f>IF(ISNUMBER(outYear),KJF37+KJF42+#REF!+#REF!,"")</f>
        <v/>
      </c>
      <c r="KJG48" s="84" t="str">
        <f>IF(ISNUMBER(outYear),KJG37+KJG42+#REF!+#REF!,"")</f>
        <v/>
      </c>
      <c r="KJH48" s="84" t="str">
        <f>IF(ISNUMBER(outYear),KJH37+KJH42+#REF!+#REF!,"")</f>
        <v/>
      </c>
      <c r="KJI48" s="84" t="str">
        <f>IF(ISNUMBER(outYear),KJI37+KJI42+#REF!+#REF!,"")</f>
        <v/>
      </c>
      <c r="KJJ48" s="84" t="str">
        <f>IF(ISNUMBER(outYear),KJJ37+KJJ42+#REF!+#REF!,"")</f>
        <v/>
      </c>
      <c r="KJK48" s="84" t="str">
        <f>IF(ISNUMBER(outYear),KJK37+KJK42+#REF!+#REF!,"")</f>
        <v/>
      </c>
      <c r="KJL48" s="84" t="str">
        <f>IF(ISNUMBER(outYear),KJL37+KJL42+#REF!+#REF!,"")</f>
        <v/>
      </c>
      <c r="KJM48" s="84" t="str">
        <f>IF(ISNUMBER(outYear),KJM37+KJM42+#REF!+#REF!,"")</f>
        <v/>
      </c>
      <c r="KJN48" s="84" t="str">
        <f>IF(ISNUMBER(outYear),KJN37+KJN42+#REF!+#REF!,"")</f>
        <v/>
      </c>
      <c r="KJO48" s="84" t="str">
        <f>IF(ISNUMBER(outYear),KJO37+KJO42+#REF!+#REF!,"")</f>
        <v/>
      </c>
      <c r="KJP48" s="84" t="str">
        <f>IF(ISNUMBER(outYear),KJP37+KJP42+#REF!+#REF!,"")</f>
        <v/>
      </c>
      <c r="KJQ48" s="84" t="str">
        <f>IF(ISNUMBER(outYear),KJQ37+KJQ42+#REF!+#REF!,"")</f>
        <v/>
      </c>
      <c r="KJR48" s="84" t="str">
        <f>IF(ISNUMBER(outYear),KJR37+KJR42+#REF!+#REF!,"")</f>
        <v/>
      </c>
      <c r="KJS48" s="84" t="str">
        <f>IF(ISNUMBER(outYear),KJS37+KJS42+#REF!+#REF!,"")</f>
        <v/>
      </c>
      <c r="KJT48" s="84" t="str">
        <f>IF(ISNUMBER(outYear),KJT37+KJT42+#REF!+#REF!,"")</f>
        <v/>
      </c>
      <c r="KJU48" s="84" t="str">
        <f>IF(ISNUMBER(outYear),KJU37+KJU42+#REF!+#REF!,"")</f>
        <v/>
      </c>
      <c r="KJV48" s="84" t="str">
        <f>IF(ISNUMBER(outYear),KJV37+KJV42+#REF!+#REF!,"")</f>
        <v/>
      </c>
      <c r="KJW48" s="84" t="str">
        <f>IF(ISNUMBER(outYear),KJW37+KJW42+#REF!+#REF!,"")</f>
        <v/>
      </c>
      <c r="KJX48" s="84" t="str">
        <f>IF(ISNUMBER(outYear),KJX37+KJX42+#REF!+#REF!,"")</f>
        <v/>
      </c>
      <c r="KJY48" s="84" t="str">
        <f>IF(ISNUMBER(outYear),KJY37+KJY42+#REF!+#REF!,"")</f>
        <v/>
      </c>
      <c r="KJZ48" s="84" t="str">
        <f>IF(ISNUMBER(outYear),KJZ37+KJZ42+#REF!+#REF!,"")</f>
        <v/>
      </c>
      <c r="KKA48" s="84" t="str">
        <f>IF(ISNUMBER(outYear),KKA37+KKA42+#REF!+#REF!,"")</f>
        <v/>
      </c>
      <c r="KKB48" s="84" t="str">
        <f>IF(ISNUMBER(outYear),KKB37+KKB42+#REF!+#REF!,"")</f>
        <v/>
      </c>
      <c r="KKC48" s="84" t="str">
        <f>IF(ISNUMBER(outYear),KKC37+KKC42+#REF!+#REF!,"")</f>
        <v/>
      </c>
      <c r="KKD48" s="84" t="str">
        <f>IF(ISNUMBER(outYear),KKD37+KKD42+#REF!+#REF!,"")</f>
        <v/>
      </c>
      <c r="KKE48" s="84" t="str">
        <f>IF(ISNUMBER(outYear),KKE37+KKE42+#REF!+#REF!,"")</f>
        <v/>
      </c>
      <c r="KKF48" s="84" t="str">
        <f>IF(ISNUMBER(outYear),KKF37+KKF42+#REF!+#REF!,"")</f>
        <v/>
      </c>
      <c r="KKG48" s="84" t="str">
        <f>IF(ISNUMBER(outYear),KKG37+KKG42+#REF!+#REF!,"")</f>
        <v/>
      </c>
      <c r="KKH48" s="84" t="str">
        <f>IF(ISNUMBER(outYear),KKH37+KKH42+#REF!+#REF!,"")</f>
        <v/>
      </c>
      <c r="KKI48" s="84" t="str">
        <f>IF(ISNUMBER(outYear),KKI37+KKI42+#REF!+#REF!,"")</f>
        <v/>
      </c>
      <c r="KKJ48" s="84" t="str">
        <f>IF(ISNUMBER(outYear),KKJ37+KKJ42+#REF!+#REF!,"")</f>
        <v/>
      </c>
      <c r="KKK48" s="84" t="str">
        <f>IF(ISNUMBER(outYear),KKK37+KKK42+#REF!+#REF!,"")</f>
        <v/>
      </c>
      <c r="KKL48" s="84" t="str">
        <f>IF(ISNUMBER(outYear),KKL37+KKL42+#REF!+#REF!,"")</f>
        <v/>
      </c>
      <c r="KKM48" s="84" t="str">
        <f>IF(ISNUMBER(outYear),KKM37+KKM42+#REF!+#REF!,"")</f>
        <v/>
      </c>
      <c r="KKN48" s="84" t="str">
        <f>IF(ISNUMBER(outYear),KKN37+KKN42+#REF!+#REF!,"")</f>
        <v/>
      </c>
      <c r="KKO48" s="84" t="str">
        <f>IF(ISNUMBER(outYear),KKO37+KKO42+#REF!+#REF!,"")</f>
        <v/>
      </c>
      <c r="KKP48" s="84" t="str">
        <f>IF(ISNUMBER(outYear),KKP37+KKP42+#REF!+#REF!,"")</f>
        <v/>
      </c>
      <c r="KKQ48" s="84" t="str">
        <f>IF(ISNUMBER(outYear),KKQ37+KKQ42+#REF!+#REF!,"")</f>
        <v/>
      </c>
      <c r="KKR48" s="84" t="str">
        <f>IF(ISNUMBER(outYear),KKR37+KKR42+#REF!+#REF!,"")</f>
        <v/>
      </c>
      <c r="KKS48" s="84" t="str">
        <f>IF(ISNUMBER(outYear),KKS37+KKS42+#REF!+#REF!,"")</f>
        <v/>
      </c>
      <c r="KKT48" s="84" t="str">
        <f>IF(ISNUMBER(outYear),KKT37+KKT42+#REF!+#REF!,"")</f>
        <v/>
      </c>
      <c r="KKU48" s="84" t="str">
        <f>IF(ISNUMBER(outYear),KKU37+KKU42+#REF!+#REF!,"")</f>
        <v/>
      </c>
      <c r="KKV48" s="84" t="str">
        <f>IF(ISNUMBER(outYear),KKV37+KKV42+#REF!+#REF!,"")</f>
        <v/>
      </c>
      <c r="KKW48" s="84" t="str">
        <f>IF(ISNUMBER(outYear),KKW37+KKW42+#REF!+#REF!,"")</f>
        <v/>
      </c>
      <c r="KKX48" s="84" t="str">
        <f>IF(ISNUMBER(outYear),KKX37+KKX42+#REF!+#REF!,"")</f>
        <v/>
      </c>
      <c r="KKY48" s="84" t="str">
        <f>IF(ISNUMBER(outYear),KKY37+KKY42+#REF!+#REF!,"")</f>
        <v/>
      </c>
      <c r="KKZ48" s="84" t="str">
        <f>IF(ISNUMBER(outYear),KKZ37+KKZ42+#REF!+#REF!,"")</f>
        <v/>
      </c>
      <c r="KLA48" s="84" t="str">
        <f>IF(ISNUMBER(outYear),KLA37+KLA42+#REF!+#REF!,"")</f>
        <v/>
      </c>
      <c r="KLB48" s="84" t="str">
        <f>IF(ISNUMBER(outYear),KLB37+KLB42+#REF!+#REF!,"")</f>
        <v/>
      </c>
      <c r="KLC48" s="84" t="str">
        <f>IF(ISNUMBER(outYear),KLC37+KLC42+#REF!+#REF!,"")</f>
        <v/>
      </c>
      <c r="KLD48" s="84" t="str">
        <f>IF(ISNUMBER(outYear),KLD37+KLD42+#REF!+#REF!,"")</f>
        <v/>
      </c>
      <c r="KLE48" s="84" t="str">
        <f>IF(ISNUMBER(outYear),KLE37+KLE42+#REF!+#REF!,"")</f>
        <v/>
      </c>
      <c r="KLF48" s="84" t="str">
        <f>IF(ISNUMBER(outYear),KLF37+KLF42+#REF!+#REF!,"")</f>
        <v/>
      </c>
      <c r="KLG48" s="84" t="str">
        <f>IF(ISNUMBER(outYear),KLG37+KLG42+#REF!+#REF!,"")</f>
        <v/>
      </c>
      <c r="KLH48" s="84" t="str">
        <f>IF(ISNUMBER(outYear),KLH37+KLH42+#REF!+#REF!,"")</f>
        <v/>
      </c>
      <c r="KLI48" s="84" t="str">
        <f>IF(ISNUMBER(outYear),KLI37+KLI42+#REF!+#REF!,"")</f>
        <v/>
      </c>
      <c r="KLJ48" s="84" t="str">
        <f>IF(ISNUMBER(outYear),KLJ37+KLJ42+#REF!+#REF!,"")</f>
        <v/>
      </c>
      <c r="KLK48" s="84" t="str">
        <f>IF(ISNUMBER(outYear),KLK37+KLK42+#REF!+#REF!,"")</f>
        <v/>
      </c>
      <c r="KLL48" s="84" t="str">
        <f>IF(ISNUMBER(outYear),KLL37+KLL42+#REF!+#REF!,"")</f>
        <v/>
      </c>
      <c r="KLM48" s="84" t="str">
        <f>IF(ISNUMBER(outYear),KLM37+KLM42+#REF!+#REF!,"")</f>
        <v/>
      </c>
      <c r="KLN48" s="84" t="str">
        <f>IF(ISNUMBER(outYear),KLN37+KLN42+#REF!+#REF!,"")</f>
        <v/>
      </c>
      <c r="KLO48" s="84" t="str">
        <f>IF(ISNUMBER(outYear),KLO37+KLO42+#REF!+#REF!,"")</f>
        <v/>
      </c>
      <c r="KLP48" s="84" t="str">
        <f>IF(ISNUMBER(outYear),KLP37+KLP42+#REF!+#REF!,"")</f>
        <v/>
      </c>
      <c r="KLQ48" s="84" t="str">
        <f>IF(ISNUMBER(outYear),KLQ37+KLQ42+#REF!+#REF!,"")</f>
        <v/>
      </c>
      <c r="KLR48" s="84" t="str">
        <f>IF(ISNUMBER(outYear),KLR37+KLR42+#REF!+#REF!,"")</f>
        <v/>
      </c>
      <c r="KLS48" s="84" t="str">
        <f>IF(ISNUMBER(outYear),KLS37+KLS42+#REF!+#REF!,"")</f>
        <v/>
      </c>
      <c r="KLT48" s="84" t="str">
        <f>IF(ISNUMBER(outYear),KLT37+KLT42+#REF!+#REF!,"")</f>
        <v/>
      </c>
      <c r="KLU48" s="84" t="str">
        <f>IF(ISNUMBER(outYear),KLU37+KLU42+#REF!+#REF!,"")</f>
        <v/>
      </c>
      <c r="KLV48" s="84" t="str">
        <f>IF(ISNUMBER(outYear),KLV37+KLV42+#REF!+#REF!,"")</f>
        <v/>
      </c>
      <c r="KLW48" s="84" t="str">
        <f>IF(ISNUMBER(outYear),KLW37+KLW42+#REF!+#REF!,"")</f>
        <v/>
      </c>
      <c r="KLX48" s="84" t="str">
        <f>IF(ISNUMBER(outYear),KLX37+KLX42+#REF!+#REF!,"")</f>
        <v/>
      </c>
      <c r="KLY48" s="84" t="str">
        <f>IF(ISNUMBER(outYear),KLY37+KLY42+#REF!+#REF!,"")</f>
        <v/>
      </c>
      <c r="KLZ48" s="84" t="str">
        <f>IF(ISNUMBER(outYear),KLZ37+KLZ42+#REF!+#REF!,"")</f>
        <v/>
      </c>
      <c r="KMA48" s="84" t="str">
        <f>IF(ISNUMBER(outYear),KMA37+KMA42+#REF!+#REF!,"")</f>
        <v/>
      </c>
      <c r="KMB48" s="84" t="str">
        <f>IF(ISNUMBER(outYear),KMB37+KMB42+#REF!+#REF!,"")</f>
        <v/>
      </c>
      <c r="KMC48" s="84" t="str">
        <f>IF(ISNUMBER(outYear),KMC37+KMC42+#REF!+#REF!,"")</f>
        <v/>
      </c>
      <c r="KMD48" s="84" t="str">
        <f>IF(ISNUMBER(outYear),KMD37+KMD42+#REF!+#REF!,"")</f>
        <v/>
      </c>
      <c r="KME48" s="84" t="str">
        <f>IF(ISNUMBER(outYear),KME37+KME42+#REF!+#REF!,"")</f>
        <v/>
      </c>
      <c r="KMF48" s="84" t="str">
        <f>IF(ISNUMBER(outYear),KMF37+KMF42+#REF!+#REF!,"")</f>
        <v/>
      </c>
      <c r="KMG48" s="84" t="str">
        <f>IF(ISNUMBER(outYear),KMG37+KMG42+#REF!+#REF!,"")</f>
        <v/>
      </c>
      <c r="KMH48" s="84" t="str">
        <f>IF(ISNUMBER(outYear),KMH37+KMH42+#REF!+#REF!,"")</f>
        <v/>
      </c>
      <c r="KMI48" s="84" t="str">
        <f>IF(ISNUMBER(outYear),KMI37+KMI42+#REF!+#REF!,"")</f>
        <v/>
      </c>
      <c r="KMJ48" s="84" t="str">
        <f>IF(ISNUMBER(outYear),KMJ37+KMJ42+#REF!+#REF!,"")</f>
        <v/>
      </c>
      <c r="KMK48" s="84" t="str">
        <f>IF(ISNUMBER(outYear),KMK37+KMK42+#REF!+#REF!,"")</f>
        <v/>
      </c>
      <c r="KML48" s="84" t="str">
        <f>IF(ISNUMBER(outYear),KML37+KML42+#REF!+#REF!,"")</f>
        <v/>
      </c>
      <c r="KMM48" s="84" t="str">
        <f>IF(ISNUMBER(outYear),KMM37+KMM42+#REF!+#REF!,"")</f>
        <v/>
      </c>
      <c r="KMN48" s="84" t="str">
        <f>IF(ISNUMBER(outYear),KMN37+KMN42+#REF!+#REF!,"")</f>
        <v/>
      </c>
      <c r="KMO48" s="84" t="str">
        <f>IF(ISNUMBER(outYear),KMO37+KMO42+#REF!+#REF!,"")</f>
        <v/>
      </c>
      <c r="KMP48" s="84" t="str">
        <f>IF(ISNUMBER(outYear),KMP37+KMP42+#REF!+#REF!,"")</f>
        <v/>
      </c>
      <c r="KMQ48" s="84" t="str">
        <f>IF(ISNUMBER(outYear),KMQ37+KMQ42+#REF!+#REF!,"")</f>
        <v/>
      </c>
      <c r="KMR48" s="84" t="str">
        <f>IF(ISNUMBER(outYear),KMR37+KMR42+#REF!+#REF!,"")</f>
        <v/>
      </c>
      <c r="KMS48" s="84" t="str">
        <f>IF(ISNUMBER(outYear),KMS37+KMS42+#REF!+#REF!,"")</f>
        <v/>
      </c>
      <c r="KMT48" s="84" t="str">
        <f>IF(ISNUMBER(outYear),KMT37+KMT42+#REF!+#REF!,"")</f>
        <v/>
      </c>
      <c r="KMU48" s="84" t="str">
        <f>IF(ISNUMBER(outYear),KMU37+KMU42+#REF!+#REF!,"")</f>
        <v/>
      </c>
      <c r="KMV48" s="84" t="str">
        <f>IF(ISNUMBER(outYear),KMV37+KMV42+#REF!+#REF!,"")</f>
        <v/>
      </c>
      <c r="KMW48" s="84" t="str">
        <f>IF(ISNUMBER(outYear),KMW37+KMW42+#REF!+#REF!,"")</f>
        <v/>
      </c>
      <c r="KMX48" s="84" t="str">
        <f>IF(ISNUMBER(outYear),KMX37+KMX42+#REF!+#REF!,"")</f>
        <v/>
      </c>
      <c r="KMY48" s="84" t="str">
        <f>IF(ISNUMBER(outYear),KMY37+KMY42+#REF!+#REF!,"")</f>
        <v/>
      </c>
      <c r="KMZ48" s="84" t="str">
        <f>IF(ISNUMBER(outYear),KMZ37+KMZ42+#REF!+#REF!,"")</f>
        <v/>
      </c>
      <c r="KNA48" s="84" t="str">
        <f>IF(ISNUMBER(outYear),KNA37+KNA42+#REF!+#REF!,"")</f>
        <v/>
      </c>
      <c r="KNB48" s="84" t="str">
        <f>IF(ISNUMBER(outYear),KNB37+KNB42+#REF!+#REF!,"")</f>
        <v/>
      </c>
      <c r="KNC48" s="84" t="str">
        <f>IF(ISNUMBER(outYear),KNC37+KNC42+#REF!+#REF!,"")</f>
        <v/>
      </c>
      <c r="KND48" s="84" t="str">
        <f>IF(ISNUMBER(outYear),KND37+KND42+#REF!+#REF!,"")</f>
        <v/>
      </c>
      <c r="KNE48" s="84" t="str">
        <f>IF(ISNUMBER(outYear),KNE37+KNE42+#REF!+#REF!,"")</f>
        <v/>
      </c>
      <c r="KNF48" s="84" t="str">
        <f>IF(ISNUMBER(outYear),KNF37+KNF42+#REF!+#REF!,"")</f>
        <v/>
      </c>
      <c r="KNG48" s="84" t="str">
        <f>IF(ISNUMBER(outYear),KNG37+KNG42+#REF!+#REF!,"")</f>
        <v/>
      </c>
      <c r="KNH48" s="84" t="str">
        <f>IF(ISNUMBER(outYear),KNH37+KNH42+#REF!+#REF!,"")</f>
        <v/>
      </c>
      <c r="KNI48" s="84" t="str">
        <f>IF(ISNUMBER(outYear),KNI37+KNI42+#REF!+#REF!,"")</f>
        <v/>
      </c>
      <c r="KNJ48" s="84" t="str">
        <f>IF(ISNUMBER(outYear),KNJ37+KNJ42+#REF!+#REF!,"")</f>
        <v/>
      </c>
      <c r="KNK48" s="84" t="str">
        <f>IF(ISNUMBER(outYear),KNK37+KNK42+#REF!+#REF!,"")</f>
        <v/>
      </c>
      <c r="KNL48" s="84" t="str">
        <f>IF(ISNUMBER(outYear),KNL37+KNL42+#REF!+#REF!,"")</f>
        <v/>
      </c>
      <c r="KNM48" s="84" t="str">
        <f>IF(ISNUMBER(outYear),KNM37+KNM42+#REF!+#REF!,"")</f>
        <v/>
      </c>
      <c r="KNN48" s="84" t="str">
        <f>IF(ISNUMBER(outYear),KNN37+KNN42+#REF!+#REF!,"")</f>
        <v/>
      </c>
      <c r="KNO48" s="84" t="str">
        <f>IF(ISNUMBER(outYear),KNO37+KNO42+#REF!+#REF!,"")</f>
        <v/>
      </c>
      <c r="KNP48" s="84" t="str">
        <f>IF(ISNUMBER(outYear),KNP37+KNP42+#REF!+#REF!,"")</f>
        <v/>
      </c>
      <c r="KNQ48" s="84" t="str">
        <f>IF(ISNUMBER(outYear),KNQ37+KNQ42+#REF!+#REF!,"")</f>
        <v/>
      </c>
      <c r="KNR48" s="84" t="str">
        <f>IF(ISNUMBER(outYear),KNR37+KNR42+#REF!+#REF!,"")</f>
        <v/>
      </c>
      <c r="KNS48" s="84" t="str">
        <f>IF(ISNUMBER(outYear),KNS37+KNS42+#REF!+#REF!,"")</f>
        <v/>
      </c>
      <c r="KNT48" s="84" t="str">
        <f>IF(ISNUMBER(outYear),KNT37+KNT42+#REF!+#REF!,"")</f>
        <v/>
      </c>
      <c r="KNU48" s="84" t="str">
        <f>IF(ISNUMBER(outYear),KNU37+KNU42+#REF!+#REF!,"")</f>
        <v/>
      </c>
      <c r="KNV48" s="84" t="str">
        <f>IF(ISNUMBER(outYear),KNV37+KNV42+#REF!+#REF!,"")</f>
        <v/>
      </c>
      <c r="KNW48" s="84" t="str">
        <f>IF(ISNUMBER(outYear),KNW37+KNW42+#REF!+#REF!,"")</f>
        <v/>
      </c>
      <c r="KNX48" s="84" t="str">
        <f>IF(ISNUMBER(outYear),KNX37+KNX42+#REF!+#REF!,"")</f>
        <v/>
      </c>
      <c r="KNY48" s="84" t="str">
        <f>IF(ISNUMBER(outYear),KNY37+KNY42+#REF!+#REF!,"")</f>
        <v/>
      </c>
      <c r="KNZ48" s="84" t="str">
        <f>IF(ISNUMBER(outYear),KNZ37+KNZ42+#REF!+#REF!,"")</f>
        <v/>
      </c>
      <c r="KOA48" s="84" t="str">
        <f>IF(ISNUMBER(outYear),KOA37+KOA42+#REF!+#REF!,"")</f>
        <v/>
      </c>
      <c r="KOB48" s="84" t="str">
        <f>IF(ISNUMBER(outYear),KOB37+KOB42+#REF!+#REF!,"")</f>
        <v/>
      </c>
      <c r="KOC48" s="84" t="str">
        <f>IF(ISNUMBER(outYear),KOC37+KOC42+#REF!+#REF!,"")</f>
        <v/>
      </c>
      <c r="KOD48" s="84" t="str">
        <f>IF(ISNUMBER(outYear),KOD37+KOD42+#REF!+#REF!,"")</f>
        <v/>
      </c>
      <c r="KOE48" s="84" t="str">
        <f>IF(ISNUMBER(outYear),KOE37+KOE42+#REF!+#REF!,"")</f>
        <v/>
      </c>
      <c r="KOF48" s="84" t="str">
        <f>IF(ISNUMBER(outYear),KOF37+KOF42+#REF!+#REF!,"")</f>
        <v/>
      </c>
      <c r="KOG48" s="84" t="str">
        <f>IF(ISNUMBER(outYear),KOG37+KOG42+#REF!+#REF!,"")</f>
        <v/>
      </c>
      <c r="KOH48" s="84" t="str">
        <f>IF(ISNUMBER(outYear),KOH37+KOH42+#REF!+#REF!,"")</f>
        <v/>
      </c>
      <c r="KOI48" s="84" t="str">
        <f>IF(ISNUMBER(outYear),KOI37+KOI42+#REF!+#REF!,"")</f>
        <v/>
      </c>
      <c r="KOJ48" s="84" t="str">
        <f>IF(ISNUMBER(outYear),KOJ37+KOJ42+#REF!+#REF!,"")</f>
        <v/>
      </c>
      <c r="KOK48" s="84" t="str">
        <f>IF(ISNUMBER(outYear),KOK37+KOK42+#REF!+#REF!,"")</f>
        <v/>
      </c>
      <c r="KOL48" s="84" t="str">
        <f>IF(ISNUMBER(outYear),KOL37+KOL42+#REF!+#REF!,"")</f>
        <v/>
      </c>
      <c r="KOM48" s="84" t="str">
        <f>IF(ISNUMBER(outYear),KOM37+KOM42+#REF!+#REF!,"")</f>
        <v/>
      </c>
      <c r="KON48" s="84" t="str">
        <f>IF(ISNUMBER(outYear),KON37+KON42+#REF!+#REF!,"")</f>
        <v/>
      </c>
      <c r="KOO48" s="84" t="str">
        <f>IF(ISNUMBER(outYear),KOO37+KOO42+#REF!+#REF!,"")</f>
        <v/>
      </c>
      <c r="KOP48" s="84" t="str">
        <f>IF(ISNUMBER(outYear),KOP37+KOP42+#REF!+#REF!,"")</f>
        <v/>
      </c>
      <c r="KOQ48" s="84" t="str">
        <f>IF(ISNUMBER(outYear),KOQ37+KOQ42+#REF!+#REF!,"")</f>
        <v/>
      </c>
      <c r="KOR48" s="84" t="str">
        <f>IF(ISNUMBER(outYear),KOR37+KOR42+#REF!+#REF!,"")</f>
        <v/>
      </c>
      <c r="KOS48" s="84" t="str">
        <f>IF(ISNUMBER(outYear),KOS37+KOS42+#REF!+#REF!,"")</f>
        <v/>
      </c>
      <c r="KOT48" s="84" t="str">
        <f>IF(ISNUMBER(outYear),KOT37+KOT42+#REF!+#REF!,"")</f>
        <v/>
      </c>
      <c r="KOU48" s="84" t="str">
        <f>IF(ISNUMBER(outYear),KOU37+KOU42+#REF!+#REF!,"")</f>
        <v/>
      </c>
      <c r="KOV48" s="84" t="str">
        <f>IF(ISNUMBER(outYear),KOV37+KOV42+#REF!+#REF!,"")</f>
        <v/>
      </c>
      <c r="KOW48" s="84" t="str">
        <f>IF(ISNUMBER(outYear),KOW37+KOW42+#REF!+#REF!,"")</f>
        <v/>
      </c>
      <c r="KOX48" s="84" t="str">
        <f>IF(ISNUMBER(outYear),KOX37+KOX42+#REF!+#REF!,"")</f>
        <v/>
      </c>
      <c r="KOY48" s="84" t="str">
        <f>IF(ISNUMBER(outYear),KOY37+KOY42+#REF!+#REF!,"")</f>
        <v/>
      </c>
      <c r="KOZ48" s="84" t="str">
        <f>IF(ISNUMBER(outYear),KOZ37+KOZ42+#REF!+#REF!,"")</f>
        <v/>
      </c>
      <c r="KPA48" s="84" t="str">
        <f>IF(ISNUMBER(outYear),KPA37+KPA42+#REF!+#REF!,"")</f>
        <v/>
      </c>
      <c r="KPB48" s="84" t="str">
        <f>IF(ISNUMBER(outYear),KPB37+KPB42+#REF!+#REF!,"")</f>
        <v/>
      </c>
      <c r="KPC48" s="84" t="str">
        <f>IF(ISNUMBER(outYear),KPC37+KPC42+#REF!+#REF!,"")</f>
        <v/>
      </c>
      <c r="KPD48" s="84" t="str">
        <f>IF(ISNUMBER(outYear),KPD37+KPD42+#REF!+#REF!,"")</f>
        <v/>
      </c>
      <c r="KPE48" s="84" t="str">
        <f>IF(ISNUMBER(outYear),KPE37+KPE42+#REF!+#REF!,"")</f>
        <v/>
      </c>
      <c r="KPF48" s="84" t="str">
        <f>IF(ISNUMBER(outYear),KPF37+KPF42+#REF!+#REF!,"")</f>
        <v/>
      </c>
      <c r="KPG48" s="84" t="str">
        <f>IF(ISNUMBER(outYear),KPG37+KPG42+#REF!+#REF!,"")</f>
        <v/>
      </c>
      <c r="KPH48" s="84" t="str">
        <f>IF(ISNUMBER(outYear),KPH37+KPH42+#REF!+#REF!,"")</f>
        <v/>
      </c>
      <c r="KPI48" s="84" t="str">
        <f>IF(ISNUMBER(outYear),KPI37+KPI42+#REF!+#REF!,"")</f>
        <v/>
      </c>
      <c r="KPJ48" s="84" t="str">
        <f>IF(ISNUMBER(outYear),KPJ37+KPJ42+#REF!+#REF!,"")</f>
        <v/>
      </c>
      <c r="KPK48" s="84" t="str">
        <f>IF(ISNUMBER(outYear),KPK37+KPK42+#REF!+#REF!,"")</f>
        <v/>
      </c>
      <c r="KPL48" s="84" t="str">
        <f>IF(ISNUMBER(outYear),KPL37+KPL42+#REF!+#REF!,"")</f>
        <v/>
      </c>
      <c r="KPM48" s="84" t="str">
        <f>IF(ISNUMBER(outYear),KPM37+KPM42+#REF!+#REF!,"")</f>
        <v/>
      </c>
      <c r="KPN48" s="84" t="str">
        <f>IF(ISNUMBER(outYear),KPN37+KPN42+#REF!+#REF!,"")</f>
        <v/>
      </c>
      <c r="KPO48" s="84" t="str">
        <f>IF(ISNUMBER(outYear),KPO37+KPO42+#REF!+#REF!,"")</f>
        <v/>
      </c>
      <c r="KPP48" s="84" t="str">
        <f>IF(ISNUMBER(outYear),KPP37+KPP42+#REF!+#REF!,"")</f>
        <v/>
      </c>
      <c r="KPQ48" s="84" t="str">
        <f>IF(ISNUMBER(outYear),KPQ37+KPQ42+#REF!+#REF!,"")</f>
        <v/>
      </c>
      <c r="KPR48" s="84" t="str">
        <f>IF(ISNUMBER(outYear),KPR37+KPR42+#REF!+#REF!,"")</f>
        <v/>
      </c>
      <c r="KPS48" s="84" t="str">
        <f>IF(ISNUMBER(outYear),KPS37+KPS42+#REF!+#REF!,"")</f>
        <v/>
      </c>
      <c r="KPT48" s="84" t="str">
        <f>IF(ISNUMBER(outYear),KPT37+KPT42+#REF!+#REF!,"")</f>
        <v/>
      </c>
      <c r="KPU48" s="84" t="str">
        <f>IF(ISNUMBER(outYear),KPU37+KPU42+#REF!+#REF!,"")</f>
        <v/>
      </c>
      <c r="KPV48" s="84" t="str">
        <f>IF(ISNUMBER(outYear),KPV37+KPV42+#REF!+#REF!,"")</f>
        <v/>
      </c>
      <c r="KPW48" s="84" t="str">
        <f>IF(ISNUMBER(outYear),KPW37+KPW42+#REF!+#REF!,"")</f>
        <v/>
      </c>
      <c r="KPX48" s="84" t="str">
        <f>IF(ISNUMBER(outYear),KPX37+KPX42+#REF!+#REF!,"")</f>
        <v/>
      </c>
      <c r="KPY48" s="84" t="str">
        <f>IF(ISNUMBER(outYear),KPY37+KPY42+#REF!+#REF!,"")</f>
        <v/>
      </c>
      <c r="KPZ48" s="84" t="str">
        <f>IF(ISNUMBER(outYear),KPZ37+KPZ42+#REF!+#REF!,"")</f>
        <v/>
      </c>
      <c r="KQA48" s="84" t="str">
        <f>IF(ISNUMBER(outYear),KQA37+KQA42+#REF!+#REF!,"")</f>
        <v/>
      </c>
      <c r="KQB48" s="84" t="str">
        <f>IF(ISNUMBER(outYear),KQB37+KQB42+#REF!+#REF!,"")</f>
        <v/>
      </c>
      <c r="KQC48" s="84" t="str">
        <f>IF(ISNUMBER(outYear),KQC37+KQC42+#REF!+#REF!,"")</f>
        <v/>
      </c>
      <c r="KQD48" s="84" t="str">
        <f>IF(ISNUMBER(outYear),KQD37+KQD42+#REF!+#REF!,"")</f>
        <v/>
      </c>
      <c r="KQE48" s="84" t="str">
        <f>IF(ISNUMBER(outYear),KQE37+KQE42+#REF!+#REF!,"")</f>
        <v/>
      </c>
      <c r="KQF48" s="84" t="str">
        <f>IF(ISNUMBER(outYear),KQF37+KQF42+#REF!+#REF!,"")</f>
        <v/>
      </c>
      <c r="KQG48" s="84" t="str">
        <f>IF(ISNUMBER(outYear),KQG37+KQG42+#REF!+#REF!,"")</f>
        <v/>
      </c>
      <c r="KQH48" s="84" t="str">
        <f>IF(ISNUMBER(outYear),KQH37+KQH42+#REF!+#REF!,"")</f>
        <v/>
      </c>
      <c r="KQI48" s="84" t="str">
        <f>IF(ISNUMBER(outYear),KQI37+KQI42+#REF!+#REF!,"")</f>
        <v/>
      </c>
      <c r="KQJ48" s="84" t="str">
        <f>IF(ISNUMBER(outYear),KQJ37+KQJ42+#REF!+#REF!,"")</f>
        <v/>
      </c>
      <c r="KQK48" s="84" t="str">
        <f>IF(ISNUMBER(outYear),KQK37+KQK42+#REF!+#REF!,"")</f>
        <v/>
      </c>
      <c r="KQL48" s="84" t="str">
        <f>IF(ISNUMBER(outYear),KQL37+KQL42+#REF!+#REF!,"")</f>
        <v/>
      </c>
      <c r="KQM48" s="84" t="str">
        <f>IF(ISNUMBER(outYear),KQM37+KQM42+#REF!+#REF!,"")</f>
        <v/>
      </c>
      <c r="KQN48" s="84" t="str">
        <f>IF(ISNUMBER(outYear),KQN37+KQN42+#REF!+#REF!,"")</f>
        <v/>
      </c>
      <c r="KQO48" s="84" t="str">
        <f>IF(ISNUMBER(outYear),KQO37+KQO42+#REF!+#REF!,"")</f>
        <v/>
      </c>
      <c r="KQP48" s="84" t="str">
        <f>IF(ISNUMBER(outYear),KQP37+KQP42+#REF!+#REF!,"")</f>
        <v/>
      </c>
      <c r="KQQ48" s="84" t="str">
        <f>IF(ISNUMBER(outYear),KQQ37+KQQ42+#REF!+#REF!,"")</f>
        <v/>
      </c>
      <c r="KQR48" s="84" t="str">
        <f>IF(ISNUMBER(outYear),KQR37+KQR42+#REF!+#REF!,"")</f>
        <v/>
      </c>
      <c r="KQS48" s="84" t="str">
        <f>IF(ISNUMBER(outYear),KQS37+KQS42+#REF!+#REF!,"")</f>
        <v/>
      </c>
      <c r="KQT48" s="84" t="str">
        <f>IF(ISNUMBER(outYear),KQT37+KQT42+#REF!+#REF!,"")</f>
        <v/>
      </c>
      <c r="KQU48" s="84" t="str">
        <f>IF(ISNUMBER(outYear),KQU37+KQU42+#REF!+#REF!,"")</f>
        <v/>
      </c>
      <c r="KQV48" s="84" t="str">
        <f>IF(ISNUMBER(outYear),KQV37+KQV42+#REF!+#REF!,"")</f>
        <v/>
      </c>
      <c r="KQW48" s="84" t="str">
        <f>IF(ISNUMBER(outYear),KQW37+KQW42+#REF!+#REF!,"")</f>
        <v/>
      </c>
      <c r="KQX48" s="84" t="str">
        <f>IF(ISNUMBER(outYear),KQX37+KQX42+#REF!+#REF!,"")</f>
        <v/>
      </c>
      <c r="KQY48" s="84" t="str">
        <f>IF(ISNUMBER(outYear),KQY37+KQY42+#REF!+#REF!,"")</f>
        <v/>
      </c>
      <c r="KQZ48" s="84" t="str">
        <f>IF(ISNUMBER(outYear),KQZ37+KQZ42+#REF!+#REF!,"")</f>
        <v/>
      </c>
      <c r="KRA48" s="84" t="str">
        <f>IF(ISNUMBER(outYear),KRA37+KRA42+#REF!+#REF!,"")</f>
        <v/>
      </c>
      <c r="KRB48" s="84" t="str">
        <f>IF(ISNUMBER(outYear),KRB37+KRB42+#REF!+#REF!,"")</f>
        <v/>
      </c>
      <c r="KRC48" s="84" t="str">
        <f>IF(ISNUMBER(outYear),KRC37+KRC42+#REF!+#REF!,"")</f>
        <v/>
      </c>
      <c r="KRD48" s="84" t="str">
        <f>IF(ISNUMBER(outYear),KRD37+KRD42+#REF!+#REF!,"")</f>
        <v/>
      </c>
      <c r="KRE48" s="84" t="str">
        <f>IF(ISNUMBER(outYear),KRE37+KRE42+#REF!+#REF!,"")</f>
        <v/>
      </c>
      <c r="KRF48" s="84" t="str">
        <f>IF(ISNUMBER(outYear),KRF37+KRF42+#REF!+#REF!,"")</f>
        <v/>
      </c>
      <c r="KRG48" s="84" t="str">
        <f>IF(ISNUMBER(outYear),KRG37+KRG42+#REF!+#REF!,"")</f>
        <v/>
      </c>
      <c r="KRH48" s="84" t="str">
        <f>IF(ISNUMBER(outYear),KRH37+KRH42+#REF!+#REF!,"")</f>
        <v/>
      </c>
      <c r="KRI48" s="84" t="str">
        <f>IF(ISNUMBER(outYear),KRI37+KRI42+#REF!+#REF!,"")</f>
        <v/>
      </c>
      <c r="KRJ48" s="84" t="str">
        <f>IF(ISNUMBER(outYear),KRJ37+KRJ42+#REF!+#REF!,"")</f>
        <v/>
      </c>
      <c r="KRK48" s="84" t="str">
        <f>IF(ISNUMBER(outYear),KRK37+KRK42+#REF!+#REF!,"")</f>
        <v/>
      </c>
      <c r="KRL48" s="84" t="str">
        <f>IF(ISNUMBER(outYear),KRL37+KRL42+#REF!+#REF!,"")</f>
        <v/>
      </c>
      <c r="KRM48" s="84" t="str">
        <f>IF(ISNUMBER(outYear),KRM37+KRM42+#REF!+#REF!,"")</f>
        <v/>
      </c>
      <c r="KRN48" s="84" t="str">
        <f>IF(ISNUMBER(outYear),KRN37+KRN42+#REF!+#REF!,"")</f>
        <v/>
      </c>
      <c r="KRO48" s="84" t="str">
        <f>IF(ISNUMBER(outYear),KRO37+KRO42+#REF!+#REF!,"")</f>
        <v/>
      </c>
      <c r="KRP48" s="84" t="str">
        <f>IF(ISNUMBER(outYear),KRP37+KRP42+#REF!+#REF!,"")</f>
        <v/>
      </c>
      <c r="KRQ48" s="84" t="str">
        <f>IF(ISNUMBER(outYear),KRQ37+KRQ42+#REF!+#REF!,"")</f>
        <v/>
      </c>
      <c r="KRR48" s="84" t="str">
        <f>IF(ISNUMBER(outYear),KRR37+KRR42+#REF!+#REF!,"")</f>
        <v/>
      </c>
      <c r="KRS48" s="84" t="str">
        <f>IF(ISNUMBER(outYear),KRS37+KRS42+#REF!+#REF!,"")</f>
        <v/>
      </c>
      <c r="KRT48" s="84" t="str">
        <f>IF(ISNUMBER(outYear),KRT37+KRT42+#REF!+#REF!,"")</f>
        <v/>
      </c>
      <c r="KRU48" s="84" t="str">
        <f>IF(ISNUMBER(outYear),KRU37+KRU42+#REF!+#REF!,"")</f>
        <v/>
      </c>
      <c r="KRV48" s="84" t="str">
        <f>IF(ISNUMBER(outYear),KRV37+KRV42+#REF!+#REF!,"")</f>
        <v/>
      </c>
      <c r="KRW48" s="84" t="str">
        <f>IF(ISNUMBER(outYear),KRW37+KRW42+#REF!+#REF!,"")</f>
        <v/>
      </c>
      <c r="KRX48" s="84" t="str">
        <f>IF(ISNUMBER(outYear),KRX37+KRX42+#REF!+#REF!,"")</f>
        <v/>
      </c>
      <c r="KRY48" s="84" t="str">
        <f>IF(ISNUMBER(outYear),KRY37+KRY42+#REF!+#REF!,"")</f>
        <v/>
      </c>
      <c r="KRZ48" s="84" t="str">
        <f>IF(ISNUMBER(outYear),KRZ37+KRZ42+#REF!+#REF!,"")</f>
        <v/>
      </c>
      <c r="KSA48" s="84" t="str">
        <f>IF(ISNUMBER(outYear),KSA37+KSA42+#REF!+#REF!,"")</f>
        <v/>
      </c>
      <c r="KSB48" s="84" t="str">
        <f>IF(ISNUMBER(outYear),KSB37+KSB42+#REF!+#REF!,"")</f>
        <v/>
      </c>
      <c r="KSC48" s="84" t="str">
        <f>IF(ISNUMBER(outYear),KSC37+KSC42+#REF!+#REF!,"")</f>
        <v/>
      </c>
      <c r="KSD48" s="84" t="str">
        <f>IF(ISNUMBER(outYear),KSD37+KSD42+#REF!+#REF!,"")</f>
        <v/>
      </c>
      <c r="KSE48" s="84" t="str">
        <f>IF(ISNUMBER(outYear),KSE37+KSE42+#REF!+#REF!,"")</f>
        <v/>
      </c>
      <c r="KSF48" s="84" t="str">
        <f>IF(ISNUMBER(outYear),KSF37+KSF42+#REF!+#REF!,"")</f>
        <v/>
      </c>
      <c r="KSG48" s="84" t="str">
        <f>IF(ISNUMBER(outYear),KSG37+KSG42+#REF!+#REF!,"")</f>
        <v/>
      </c>
      <c r="KSH48" s="84" t="str">
        <f>IF(ISNUMBER(outYear),KSH37+KSH42+#REF!+#REF!,"")</f>
        <v/>
      </c>
      <c r="KSI48" s="84" t="str">
        <f>IF(ISNUMBER(outYear),KSI37+KSI42+#REF!+#REF!,"")</f>
        <v/>
      </c>
      <c r="KSJ48" s="84" t="str">
        <f>IF(ISNUMBER(outYear),KSJ37+KSJ42+#REF!+#REF!,"")</f>
        <v/>
      </c>
      <c r="KSK48" s="84" t="str">
        <f>IF(ISNUMBER(outYear),KSK37+KSK42+#REF!+#REF!,"")</f>
        <v/>
      </c>
      <c r="KSL48" s="84" t="str">
        <f>IF(ISNUMBER(outYear),KSL37+KSL42+#REF!+#REF!,"")</f>
        <v/>
      </c>
      <c r="KSM48" s="84" t="str">
        <f>IF(ISNUMBER(outYear),KSM37+KSM42+#REF!+#REF!,"")</f>
        <v/>
      </c>
      <c r="KSN48" s="84" t="str">
        <f>IF(ISNUMBER(outYear),KSN37+KSN42+#REF!+#REF!,"")</f>
        <v/>
      </c>
      <c r="KSO48" s="84" t="str">
        <f>IF(ISNUMBER(outYear),KSO37+KSO42+#REF!+#REF!,"")</f>
        <v/>
      </c>
      <c r="KSP48" s="84" t="str">
        <f>IF(ISNUMBER(outYear),KSP37+KSP42+#REF!+#REF!,"")</f>
        <v/>
      </c>
      <c r="KSQ48" s="84" t="str">
        <f>IF(ISNUMBER(outYear),KSQ37+KSQ42+#REF!+#REF!,"")</f>
        <v/>
      </c>
      <c r="KSR48" s="84" t="str">
        <f>IF(ISNUMBER(outYear),KSR37+KSR42+#REF!+#REF!,"")</f>
        <v/>
      </c>
      <c r="KSS48" s="84" t="str">
        <f>IF(ISNUMBER(outYear),KSS37+KSS42+#REF!+#REF!,"")</f>
        <v/>
      </c>
      <c r="KST48" s="84" t="str">
        <f>IF(ISNUMBER(outYear),KST37+KST42+#REF!+#REF!,"")</f>
        <v/>
      </c>
      <c r="KSU48" s="84" t="str">
        <f>IF(ISNUMBER(outYear),KSU37+KSU42+#REF!+#REF!,"")</f>
        <v/>
      </c>
      <c r="KSV48" s="84" t="str">
        <f>IF(ISNUMBER(outYear),KSV37+KSV42+#REF!+#REF!,"")</f>
        <v/>
      </c>
      <c r="KSW48" s="84" t="str">
        <f>IF(ISNUMBER(outYear),KSW37+KSW42+#REF!+#REF!,"")</f>
        <v/>
      </c>
      <c r="KSX48" s="84" t="str">
        <f>IF(ISNUMBER(outYear),KSX37+KSX42+#REF!+#REF!,"")</f>
        <v/>
      </c>
      <c r="KSY48" s="84" t="str">
        <f>IF(ISNUMBER(outYear),KSY37+KSY42+#REF!+#REF!,"")</f>
        <v/>
      </c>
      <c r="KSZ48" s="84" t="str">
        <f>IF(ISNUMBER(outYear),KSZ37+KSZ42+#REF!+#REF!,"")</f>
        <v/>
      </c>
      <c r="KTA48" s="84" t="str">
        <f>IF(ISNUMBER(outYear),KTA37+KTA42+#REF!+#REF!,"")</f>
        <v/>
      </c>
      <c r="KTB48" s="84" t="str">
        <f>IF(ISNUMBER(outYear),KTB37+KTB42+#REF!+#REF!,"")</f>
        <v/>
      </c>
      <c r="KTC48" s="84" t="str">
        <f>IF(ISNUMBER(outYear),KTC37+KTC42+#REF!+#REF!,"")</f>
        <v/>
      </c>
      <c r="KTD48" s="84" t="str">
        <f>IF(ISNUMBER(outYear),KTD37+KTD42+#REF!+#REF!,"")</f>
        <v/>
      </c>
      <c r="KTE48" s="84" t="str">
        <f>IF(ISNUMBER(outYear),KTE37+KTE42+#REF!+#REF!,"")</f>
        <v/>
      </c>
      <c r="KTF48" s="84" t="str">
        <f>IF(ISNUMBER(outYear),KTF37+KTF42+#REF!+#REF!,"")</f>
        <v/>
      </c>
      <c r="KTG48" s="84" t="str">
        <f>IF(ISNUMBER(outYear),KTG37+KTG42+#REF!+#REF!,"")</f>
        <v/>
      </c>
      <c r="KTH48" s="84" t="str">
        <f>IF(ISNUMBER(outYear),KTH37+KTH42+#REF!+#REF!,"")</f>
        <v/>
      </c>
      <c r="KTI48" s="84" t="str">
        <f>IF(ISNUMBER(outYear),KTI37+KTI42+#REF!+#REF!,"")</f>
        <v/>
      </c>
      <c r="KTJ48" s="84" t="str">
        <f>IF(ISNUMBER(outYear),KTJ37+KTJ42+#REF!+#REF!,"")</f>
        <v/>
      </c>
      <c r="KTK48" s="84" t="str">
        <f>IF(ISNUMBER(outYear),KTK37+KTK42+#REF!+#REF!,"")</f>
        <v/>
      </c>
      <c r="KTL48" s="84" t="str">
        <f>IF(ISNUMBER(outYear),KTL37+KTL42+#REF!+#REF!,"")</f>
        <v/>
      </c>
      <c r="KTM48" s="84" t="str">
        <f>IF(ISNUMBER(outYear),KTM37+KTM42+#REF!+#REF!,"")</f>
        <v/>
      </c>
      <c r="KTN48" s="84" t="str">
        <f>IF(ISNUMBER(outYear),KTN37+KTN42+#REF!+#REF!,"")</f>
        <v/>
      </c>
      <c r="KTO48" s="84" t="str">
        <f>IF(ISNUMBER(outYear),KTO37+KTO42+#REF!+#REF!,"")</f>
        <v/>
      </c>
      <c r="KTP48" s="84" t="str">
        <f>IF(ISNUMBER(outYear),KTP37+KTP42+#REF!+#REF!,"")</f>
        <v/>
      </c>
      <c r="KTQ48" s="84" t="str">
        <f>IF(ISNUMBER(outYear),KTQ37+KTQ42+#REF!+#REF!,"")</f>
        <v/>
      </c>
      <c r="KTR48" s="84" t="str">
        <f>IF(ISNUMBER(outYear),KTR37+KTR42+#REF!+#REF!,"")</f>
        <v/>
      </c>
      <c r="KTS48" s="84" t="str">
        <f>IF(ISNUMBER(outYear),KTS37+KTS42+#REF!+#REF!,"")</f>
        <v/>
      </c>
      <c r="KTT48" s="84" t="str">
        <f>IF(ISNUMBER(outYear),KTT37+KTT42+#REF!+#REF!,"")</f>
        <v/>
      </c>
      <c r="KTU48" s="84" t="str">
        <f>IF(ISNUMBER(outYear),KTU37+KTU42+#REF!+#REF!,"")</f>
        <v/>
      </c>
      <c r="KTV48" s="84" t="str">
        <f>IF(ISNUMBER(outYear),KTV37+KTV42+#REF!+#REF!,"")</f>
        <v/>
      </c>
      <c r="KTW48" s="84" t="str">
        <f>IF(ISNUMBER(outYear),KTW37+KTW42+#REF!+#REF!,"")</f>
        <v/>
      </c>
      <c r="KTX48" s="84" t="str">
        <f>IF(ISNUMBER(outYear),KTX37+KTX42+#REF!+#REF!,"")</f>
        <v/>
      </c>
      <c r="KTY48" s="84" t="str">
        <f>IF(ISNUMBER(outYear),KTY37+KTY42+#REF!+#REF!,"")</f>
        <v/>
      </c>
      <c r="KTZ48" s="84" t="str">
        <f>IF(ISNUMBER(outYear),KTZ37+KTZ42+#REF!+#REF!,"")</f>
        <v/>
      </c>
      <c r="KUA48" s="84" t="str">
        <f>IF(ISNUMBER(outYear),KUA37+KUA42+#REF!+#REF!,"")</f>
        <v/>
      </c>
      <c r="KUB48" s="84" t="str">
        <f>IF(ISNUMBER(outYear),KUB37+KUB42+#REF!+#REF!,"")</f>
        <v/>
      </c>
      <c r="KUC48" s="84" t="str">
        <f>IF(ISNUMBER(outYear),KUC37+KUC42+#REF!+#REF!,"")</f>
        <v/>
      </c>
      <c r="KUD48" s="84" t="str">
        <f>IF(ISNUMBER(outYear),KUD37+KUD42+#REF!+#REF!,"")</f>
        <v/>
      </c>
      <c r="KUE48" s="84" t="str">
        <f>IF(ISNUMBER(outYear),KUE37+KUE42+#REF!+#REF!,"")</f>
        <v/>
      </c>
      <c r="KUF48" s="84" t="str">
        <f>IF(ISNUMBER(outYear),KUF37+KUF42+#REF!+#REF!,"")</f>
        <v/>
      </c>
      <c r="KUG48" s="84" t="str">
        <f>IF(ISNUMBER(outYear),KUG37+KUG42+#REF!+#REF!,"")</f>
        <v/>
      </c>
      <c r="KUH48" s="84" t="str">
        <f>IF(ISNUMBER(outYear),KUH37+KUH42+#REF!+#REF!,"")</f>
        <v/>
      </c>
      <c r="KUI48" s="84" t="str">
        <f>IF(ISNUMBER(outYear),KUI37+KUI42+#REF!+#REF!,"")</f>
        <v/>
      </c>
      <c r="KUJ48" s="84" t="str">
        <f>IF(ISNUMBER(outYear),KUJ37+KUJ42+#REF!+#REF!,"")</f>
        <v/>
      </c>
      <c r="KUK48" s="84" t="str">
        <f>IF(ISNUMBER(outYear),KUK37+KUK42+#REF!+#REF!,"")</f>
        <v/>
      </c>
      <c r="KUL48" s="84" t="str">
        <f>IF(ISNUMBER(outYear),KUL37+KUL42+#REF!+#REF!,"")</f>
        <v/>
      </c>
      <c r="KUM48" s="84" t="str">
        <f>IF(ISNUMBER(outYear),KUM37+KUM42+#REF!+#REF!,"")</f>
        <v/>
      </c>
      <c r="KUN48" s="84" t="str">
        <f>IF(ISNUMBER(outYear),KUN37+KUN42+#REF!+#REF!,"")</f>
        <v/>
      </c>
      <c r="KUO48" s="84" t="str">
        <f>IF(ISNUMBER(outYear),KUO37+KUO42+#REF!+#REF!,"")</f>
        <v/>
      </c>
      <c r="KUP48" s="84" t="str">
        <f>IF(ISNUMBER(outYear),KUP37+KUP42+#REF!+#REF!,"")</f>
        <v/>
      </c>
      <c r="KUQ48" s="84" t="str">
        <f>IF(ISNUMBER(outYear),KUQ37+KUQ42+#REF!+#REF!,"")</f>
        <v/>
      </c>
      <c r="KUR48" s="84" t="str">
        <f>IF(ISNUMBER(outYear),KUR37+KUR42+#REF!+#REF!,"")</f>
        <v/>
      </c>
      <c r="KUS48" s="84" t="str">
        <f>IF(ISNUMBER(outYear),KUS37+KUS42+#REF!+#REF!,"")</f>
        <v/>
      </c>
      <c r="KUT48" s="84" t="str">
        <f>IF(ISNUMBER(outYear),KUT37+KUT42+#REF!+#REF!,"")</f>
        <v/>
      </c>
      <c r="KUU48" s="84" t="str">
        <f>IF(ISNUMBER(outYear),KUU37+KUU42+#REF!+#REF!,"")</f>
        <v/>
      </c>
      <c r="KUV48" s="84" t="str">
        <f>IF(ISNUMBER(outYear),KUV37+KUV42+#REF!+#REF!,"")</f>
        <v/>
      </c>
      <c r="KUW48" s="84" t="str">
        <f>IF(ISNUMBER(outYear),KUW37+KUW42+#REF!+#REF!,"")</f>
        <v/>
      </c>
      <c r="KUX48" s="84" t="str">
        <f>IF(ISNUMBER(outYear),KUX37+KUX42+#REF!+#REF!,"")</f>
        <v/>
      </c>
      <c r="KUY48" s="84" t="str">
        <f>IF(ISNUMBER(outYear),KUY37+KUY42+#REF!+#REF!,"")</f>
        <v/>
      </c>
      <c r="KUZ48" s="84" t="str">
        <f>IF(ISNUMBER(outYear),KUZ37+KUZ42+#REF!+#REF!,"")</f>
        <v/>
      </c>
      <c r="KVA48" s="84" t="str">
        <f>IF(ISNUMBER(outYear),KVA37+KVA42+#REF!+#REF!,"")</f>
        <v/>
      </c>
      <c r="KVB48" s="84" t="str">
        <f>IF(ISNUMBER(outYear),KVB37+KVB42+#REF!+#REF!,"")</f>
        <v/>
      </c>
      <c r="KVC48" s="84" t="str">
        <f>IF(ISNUMBER(outYear),KVC37+KVC42+#REF!+#REF!,"")</f>
        <v/>
      </c>
      <c r="KVD48" s="84" t="str">
        <f>IF(ISNUMBER(outYear),KVD37+KVD42+#REF!+#REF!,"")</f>
        <v/>
      </c>
      <c r="KVE48" s="84" t="str">
        <f>IF(ISNUMBER(outYear),KVE37+KVE42+#REF!+#REF!,"")</f>
        <v/>
      </c>
      <c r="KVF48" s="84" t="str">
        <f>IF(ISNUMBER(outYear),KVF37+KVF42+#REF!+#REF!,"")</f>
        <v/>
      </c>
      <c r="KVG48" s="84" t="str">
        <f>IF(ISNUMBER(outYear),KVG37+KVG42+#REF!+#REF!,"")</f>
        <v/>
      </c>
      <c r="KVH48" s="84" t="str">
        <f>IF(ISNUMBER(outYear),KVH37+KVH42+#REF!+#REF!,"")</f>
        <v/>
      </c>
      <c r="KVI48" s="84" t="str">
        <f>IF(ISNUMBER(outYear),KVI37+KVI42+#REF!+#REF!,"")</f>
        <v/>
      </c>
      <c r="KVJ48" s="84" t="str">
        <f>IF(ISNUMBER(outYear),KVJ37+KVJ42+#REF!+#REF!,"")</f>
        <v/>
      </c>
      <c r="KVK48" s="84" t="str">
        <f>IF(ISNUMBER(outYear),KVK37+KVK42+#REF!+#REF!,"")</f>
        <v/>
      </c>
      <c r="KVL48" s="84" t="str">
        <f>IF(ISNUMBER(outYear),KVL37+KVL42+#REF!+#REF!,"")</f>
        <v/>
      </c>
      <c r="KVM48" s="84" t="str">
        <f>IF(ISNUMBER(outYear),KVM37+KVM42+#REF!+#REF!,"")</f>
        <v/>
      </c>
      <c r="KVN48" s="84" t="str">
        <f>IF(ISNUMBER(outYear),KVN37+KVN42+#REF!+#REF!,"")</f>
        <v/>
      </c>
      <c r="KVO48" s="84" t="str">
        <f>IF(ISNUMBER(outYear),KVO37+KVO42+#REF!+#REF!,"")</f>
        <v/>
      </c>
      <c r="KVP48" s="84" t="str">
        <f>IF(ISNUMBER(outYear),KVP37+KVP42+#REF!+#REF!,"")</f>
        <v/>
      </c>
      <c r="KVQ48" s="84" t="str">
        <f>IF(ISNUMBER(outYear),KVQ37+KVQ42+#REF!+#REF!,"")</f>
        <v/>
      </c>
      <c r="KVR48" s="84" t="str">
        <f>IF(ISNUMBER(outYear),KVR37+KVR42+#REF!+#REF!,"")</f>
        <v/>
      </c>
      <c r="KVS48" s="84" t="str">
        <f>IF(ISNUMBER(outYear),KVS37+KVS42+#REF!+#REF!,"")</f>
        <v/>
      </c>
      <c r="KVT48" s="84" t="str">
        <f>IF(ISNUMBER(outYear),KVT37+KVT42+#REF!+#REF!,"")</f>
        <v/>
      </c>
      <c r="KVU48" s="84" t="str">
        <f>IF(ISNUMBER(outYear),KVU37+KVU42+#REF!+#REF!,"")</f>
        <v/>
      </c>
      <c r="KVV48" s="84" t="str">
        <f>IF(ISNUMBER(outYear),KVV37+KVV42+#REF!+#REF!,"")</f>
        <v/>
      </c>
      <c r="KVW48" s="84" t="str">
        <f>IF(ISNUMBER(outYear),KVW37+KVW42+#REF!+#REF!,"")</f>
        <v/>
      </c>
      <c r="KVX48" s="84" t="str">
        <f>IF(ISNUMBER(outYear),KVX37+KVX42+#REF!+#REF!,"")</f>
        <v/>
      </c>
      <c r="KVY48" s="84" t="str">
        <f>IF(ISNUMBER(outYear),KVY37+KVY42+#REF!+#REF!,"")</f>
        <v/>
      </c>
      <c r="KVZ48" s="84" t="str">
        <f>IF(ISNUMBER(outYear),KVZ37+KVZ42+#REF!+#REF!,"")</f>
        <v/>
      </c>
      <c r="KWA48" s="84" t="str">
        <f>IF(ISNUMBER(outYear),KWA37+KWA42+#REF!+#REF!,"")</f>
        <v/>
      </c>
      <c r="KWB48" s="84" t="str">
        <f>IF(ISNUMBER(outYear),KWB37+KWB42+#REF!+#REF!,"")</f>
        <v/>
      </c>
      <c r="KWC48" s="84" t="str">
        <f>IF(ISNUMBER(outYear),KWC37+KWC42+#REF!+#REF!,"")</f>
        <v/>
      </c>
      <c r="KWD48" s="84" t="str">
        <f>IF(ISNUMBER(outYear),KWD37+KWD42+#REF!+#REF!,"")</f>
        <v/>
      </c>
      <c r="KWE48" s="84" t="str">
        <f>IF(ISNUMBER(outYear),KWE37+KWE42+#REF!+#REF!,"")</f>
        <v/>
      </c>
      <c r="KWF48" s="84" t="str">
        <f>IF(ISNUMBER(outYear),KWF37+KWF42+#REF!+#REF!,"")</f>
        <v/>
      </c>
      <c r="KWG48" s="84" t="str">
        <f>IF(ISNUMBER(outYear),KWG37+KWG42+#REF!+#REF!,"")</f>
        <v/>
      </c>
      <c r="KWH48" s="84" t="str">
        <f>IF(ISNUMBER(outYear),KWH37+KWH42+#REF!+#REF!,"")</f>
        <v/>
      </c>
      <c r="KWI48" s="84" t="str">
        <f>IF(ISNUMBER(outYear),KWI37+KWI42+#REF!+#REF!,"")</f>
        <v/>
      </c>
      <c r="KWJ48" s="84" t="str">
        <f>IF(ISNUMBER(outYear),KWJ37+KWJ42+#REF!+#REF!,"")</f>
        <v/>
      </c>
      <c r="KWK48" s="84" t="str">
        <f>IF(ISNUMBER(outYear),KWK37+KWK42+#REF!+#REF!,"")</f>
        <v/>
      </c>
      <c r="KWL48" s="84" t="str">
        <f>IF(ISNUMBER(outYear),KWL37+KWL42+#REF!+#REF!,"")</f>
        <v/>
      </c>
      <c r="KWM48" s="84" t="str">
        <f>IF(ISNUMBER(outYear),KWM37+KWM42+#REF!+#REF!,"")</f>
        <v/>
      </c>
      <c r="KWN48" s="84" t="str">
        <f>IF(ISNUMBER(outYear),KWN37+KWN42+#REF!+#REF!,"")</f>
        <v/>
      </c>
      <c r="KWO48" s="84" t="str">
        <f>IF(ISNUMBER(outYear),KWO37+KWO42+#REF!+#REF!,"")</f>
        <v/>
      </c>
      <c r="KWP48" s="84" t="str">
        <f>IF(ISNUMBER(outYear),KWP37+KWP42+#REF!+#REF!,"")</f>
        <v/>
      </c>
      <c r="KWQ48" s="84" t="str">
        <f>IF(ISNUMBER(outYear),KWQ37+KWQ42+#REF!+#REF!,"")</f>
        <v/>
      </c>
      <c r="KWR48" s="84" t="str">
        <f>IF(ISNUMBER(outYear),KWR37+KWR42+#REF!+#REF!,"")</f>
        <v/>
      </c>
      <c r="KWS48" s="84" t="str">
        <f>IF(ISNUMBER(outYear),KWS37+KWS42+#REF!+#REF!,"")</f>
        <v/>
      </c>
      <c r="KWT48" s="84" t="str">
        <f>IF(ISNUMBER(outYear),KWT37+KWT42+#REF!+#REF!,"")</f>
        <v/>
      </c>
      <c r="KWU48" s="84" t="str">
        <f>IF(ISNUMBER(outYear),KWU37+KWU42+#REF!+#REF!,"")</f>
        <v/>
      </c>
      <c r="KWV48" s="84" t="str">
        <f>IF(ISNUMBER(outYear),KWV37+KWV42+#REF!+#REF!,"")</f>
        <v/>
      </c>
      <c r="KWW48" s="84" t="str">
        <f>IF(ISNUMBER(outYear),KWW37+KWW42+#REF!+#REF!,"")</f>
        <v/>
      </c>
      <c r="KWX48" s="84" t="str">
        <f>IF(ISNUMBER(outYear),KWX37+KWX42+#REF!+#REF!,"")</f>
        <v/>
      </c>
      <c r="KWY48" s="84" t="str">
        <f>IF(ISNUMBER(outYear),KWY37+KWY42+#REF!+#REF!,"")</f>
        <v/>
      </c>
      <c r="KWZ48" s="84" t="str">
        <f>IF(ISNUMBER(outYear),KWZ37+KWZ42+#REF!+#REF!,"")</f>
        <v/>
      </c>
      <c r="KXA48" s="84" t="str">
        <f>IF(ISNUMBER(outYear),KXA37+KXA42+#REF!+#REF!,"")</f>
        <v/>
      </c>
      <c r="KXB48" s="84" t="str">
        <f>IF(ISNUMBER(outYear),KXB37+KXB42+#REF!+#REF!,"")</f>
        <v/>
      </c>
      <c r="KXC48" s="84" t="str">
        <f>IF(ISNUMBER(outYear),KXC37+KXC42+#REF!+#REF!,"")</f>
        <v/>
      </c>
      <c r="KXD48" s="84" t="str">
        <f>IF(ISNUMBER(outYear),KXD37+KXD42+#REF!+#REF!,"")</f>
        <v/>
      </c>
      <c r="KXE48" s="84" t="str">
        <f>IF(ISNUMBER(outYear),KXE37+KXE42+#REF!+#REF!,"")</f>
        <v/>
      </c>
      <c r="KXF48" s="84" t="str">
        <f>IF(ISNUMBER(outYear),KXF37+KXF42+#REF!+#REF!,"")</f>
        <v/>
      </c>
      <c r="KXG48" s="84" t="str">
        <f>IF(ISNUMBER(outYear),KXG37+KXG42+#REF!+#REF!,"")</f>
        <v/>
      </c>
      <c r="KXH48" s="84" t="str">
        <f>IF(ISNUMBER(outYear),KXH37+KXH42+#REF!+#REF!,"")</f>
        <v/>
      </c>
      <c r="KXI48" s="84" t="str">
        <f>IF(ISNUMBER(outYear),KXI37+KXI42+#REF!+#REF!,"")</f>
        <v/>
      </c>
      <c r="KXJ48" s="84" t="str">
        <f>IF(ISNUMBER(outYear),KXJ37+KXJ42+#REF!+#REF!,"")</f>
        <v/>
      </c>
      <c r="KXK48" s="84" t="str">
        <f>IF(ISNUMBER(outYear),KXK37+KXK42+#REF!+#REF!,"")</f>
        <v/>
      </c>
      <c r="KXL48" s="84" t="str">
        <f>IF(ISNUMBER(outYear),KXL37+KXL42+#REF!+#REF!,"")</f>
        <v/>
      </c>
      <c r="KXM48" s="84" t="str">
        <f>IF(ISNUMBER(outYear),KXM37+KXM42+#REF!+#REF!,"")</f>
        <v/>
      </c>
      <c r="KXN48" s="84" t="str">
        <f>IF(ISNUMBER(outYear),KXN37+KXN42+#REF!+#REF!,"")</f>
        <v/>
      </c>
      <c r="KXO48" s="84" t="str">
        <f>IF(ISNUMBER(outYear),KXO37+KXO42+#REF!+#REF!,"")</f>
        <v/>
      </c>
      <c r="KXP48" s="84" t="str">
        <f>IF(ISNUMBER(outYear),KXP37+KXP42+#REF!+#REF!,"")</f>
        <v/>
      </c>
      <c r="KXQ48" s="84" t="str">
        <f>IF(ISNUMBER(outYear),KXQ37+KXQ42+#REF!+#REF!,"")</f>
        <v/>
      </c>
      <c r="KXR48" s="84" t="str">
        <f>IF(ISNUMBER(outYear),KXR37+KXR42+#REF!+#REF!,"")</f>
        <v/>
      </c>
      <c r="KXS48" s="84" t="str">
        <f>IF(ISNUMBER(outYear),KXS37+KXS42+#REF!+#REF!,"")</f>
        <v/>
      </c>
      <c r="KXT48" s="84" t="str">
        <f>IF(ISNUMBER(outYear),KXT37+KXT42+#REF!+#REF!,"")</f>
        <v/>
      </c>
      <c r="KXU48" s="84" t="str">
        <f>IF(ISNUMBER(outYear),KXU37+KXU42+#REF!+#REF!,"")</f>
        <v/>
      </c>
      <c r="KXV48" s="84" t="str">
        <f>IF(ISNUMBER(outYear),KXV37+KXV42+#REF!+#REF!,"")</f>
        <v/>
      </c>
      <c r="KXW48" s="84" t="str">
        <f>IF(ISNUMBER(outYear),KXW37+KXW42+#REF!+#REF!,"")</f>
        <v/>
      </c>
      <c r="KXX48" s="84" t="str">
        <f>IF(ISNUMBER(outYear),KXX37+KXX42+#REF!+#REF!,"")</f>
        <v/>
      </c>
      <c r="KXY48" s="84" t="str">
        <f>IF(ISNUMBER(outYear),KXY37+KXY42+#REF!+#REF!,"")</f>
        <v/>
      </c>
      <c r="KXZ48" s="84" t="str">
        <f>IF(ISNUMBER(outYear),KXZ37+KXZ42+#REF!+#REF!,"")</f>
        <v/>
      </c>
      <c r="KYA48" s="84" t="str">
        <f>IF(ISNUMBER(outYear),KYA37+KYA42+#REF!+#REF!,"")</f>
        <v/>
      </c>
      <c r="KYB48" s="84" t="str">
        <f>IF(ISNUMBER(outYear),KYB37+KYB42+#REF!+#REF!,"")</f>
        <v/>
      </c>
      <c r="KYC48" s="84" t="str">
        <f>IF(ISNUMBER(outYear),KYC37+KYC42+#REF!+#REF!,"")</f>
        <v/>
      </c>
      <c r="KYD48" s="84" t="str">
        <f>IF(ISNUMBER(outYear),KYD37+KYD42+#REF!+#REF!,"")</f>
        <v/>
      </c>
      <c r="KYE48" s="84" t="str">
        <f>IF(ISNUMBER(outYear),KYE37+KYE42+#REF!+#REF!,"")</f>
        <v/>
      </c>
      <c r="KYF48" s="84" t="str">
        <f>IF(ISNUMBER(outYear),KYF37+KYF42+#REF!+#REF!,"")</f>
        <v/>
      </c>
      <c r="KYG48" s="84" t="str">
        <f>IF(ISNUMBER(outYear),KYG37+KYG42+#REF!+#REF!,"")</f>
        <v/>
      </c>
      <c r="KYH48" s="84" t="str">
        <f>IF(ISNUMBER(outYear),KYH37+KYH42+#REF!+#REF!,"")</f>
        <v/>
      </c>
      <c r="KYI48" s="84" t="str">
        <f>IF(ISNUMBER(outYear),KYI37+KYI42+#REF!+#REF!,"")</f>
        <v/>
      </c>
      <c r="KYJ48" s="84" t="str">
        <f>IF(ISNUMBER(outYear),KYJ37+KYJ42+#REF!+#REF!,"")</f>
        <v/>
      </c>
      <c r="KYK48" s="84" t="str">
        <f>IF(ISNUMBER(outYear),KYK37+KYK42+#REF!+#REF!,"")</f>
        <v/>
      </c>
      <c r="KYL48" s="84" t="str">
        <f>IF(ISNUMBER(outYear),KYL37+KYL42+#REF!+#REF!,"")</f>
        <v/>
      </c>
      <c r="KYM48" s="84" t="str">
        <f>IF(ISNUMBER(outYear),KYM37+KYM42+#REF!+#REF!,"")</f>
        <v/>
      </c>
      <c r="KYN48" s="84" t="str">
        <f>IF(ISNUMBER(outYear),KYN37+KYN42+#REF!+#REF!,"")</f>
        <v/>
      </c>
      <c r="KYO48" s="84" t="str">
        <f>IF(ISNUMBER(outYear),KYO37+KYO42+#REF!+#REF!,"")</f>
        <v/>
      </c>
      <c r="KYP48" s="84" t="str">
        <f>IF(ISNUMBER(outYear),KYP37+KYP42+#REF!+#REF!,"")</f>
        <v/>
      </c>
      <c r="KYQ48" s="84" t="str">
        <f>IF(ISNUMBER(outYear),KYQ37+KYQ42+#REF!+#REF!,"")</f>
        <v/>
      </c>
      <c r="KYR48" s="84" t="str">
        <f>IF(ISNUMBER(outYear),KYR37+KYR42+#REF!+#REF!,"")</f>
        <v/>
      </c>
      <c r="KYS48" s="84" t="str">
        <f>IF(ISNUMBER(outYear),KYS37+KYS42+#REF!+#REF!,"")</f>
        <v/>
      </c>
      <c r="KYT48" s="84" t="str">
        <f>IF(ISNUMBER(outYear),KYT37+KYT42+#REF!+#REF!,"")</f>
        <v/>
      </c>
      <c r="KYU48" s="84" t="str">
        <f>IF(ISNUMBER(outYear),KYU37+KYU42+#REF!+#REF!,"")</f>
        <v/>
      </c>
      <c r="KYV48" s="84" t="str">
        <f>IF(ISNUMBER(outYear),KYV37+KYV42+#REF!+#REF!,"")</f>
        <v/>
      </c>
      <c r="KYW48" s="84" t="str">
        <f>IF(ISNUMBER(outYear),KYW37+KYW42+#REF!+#REF!,"")</f>
        <v/>
      </c>
      <c r="KYX48" s="84" t="str">
        <f>IF(ISNUMBER(outYear),KYX37+KYX42+#REF!+#REF!,"")</f>
        <v/>
      </c>
      <c r="KYY48" s="84" t="str">
        <f>IF(ISNUMBER(outYear),KYY37+KYY42+#REF!+#REF!,"")</f>
        <v/>
      </c>
      <c r="KYZ48" s="84" t="str">
        <f>IF(ISNUMBER(outYear),KYZ37+KYZ42+#REF!+#REF!,"")</f>
        <v/>
      </c>
      <c r="KZA48" s="84" t="str">
        <f>IF(ISNUMBER(outYear),KZA37+KZA42+#REF!+#REF!,"")</f>
        <v/>
      </c>
      <c r="KZB48" s="84" t="str">
        <f>IF(ISNUMBER(outYear),KZB37+KZB42+#REF!+#REF!,"")</f>
        <v/>
      </c>
      <c r="KZC48" s="84" t="str">
        <f>IF(ISNUMBER(outYear),KZC37+KZC42+#REF!+#REF!,"")</f>
        <v/>
      </c>
      <c r="KZD48" s="84" t="str">
        <f>IF(ISNUMBER(outYear),KZD37+KZD42+#REF!+#REF!,"")</f>
        <v/>
      </c>
      <c r="KZE48" s="84" t="str">
        <f>IF(ISNUMBER(outYear),KZE37+KZE42+#REF!+#REF!,"")</f>
        <v/>
      </c>
      <c r="KZF48" s="84" t="str">
        <f>IF(ISNUMBER(outYear),KZF37+KZF42+#REF!+#REF!,"")</f>
        <v/>
      </c>
      <c r="KZG48" s="84" t="str">
        <f>IF(ISNUMBER(outYear),KZG37+KZG42+#REF!+#REF!,"")</f>
        <v/>
      </c>
      <c r="KZH48" s="84" t="str">
        <f>IF(ISNUMBER(outYear),KZH37+KZH42+#REF!+#REF!,"")</f>
        <v/>
      </c>
      <c r="KZI48" s="84" t="str">
        <f>IF(ISNUMBER(outYear),KZI37+KZI42+#REF!+#REF!,"")</f>
        <v/>
      </c>
      <c r="KZJ48" s="84" t="str">
        <f>IF(ISNUMBER(outYear),KZJ37+KZJ42+#REF!+#REF!,"")</f>
        <v/>
      </c>
      <c r="KZK48" s="84" t="str">
        <f>IF(ISNUMBER(outYear),KZK37+KZK42+#REF!+#REF!,"")</f>
        <v/>
      </c>
      <c r="KZL48" s="84" t="str">
        <f>IF(ISNUMBER(outYear),KZL37+KZL42+#REF!+#REF!,"")</f>
        <v/>
      </c>
      <c r="KZM48" s="84" t="str">
        <f>IF(ISNUMBER(outYear),KZM37+KZM42+#REF!+#REF!,"")</f>
        <v/>
      </c>
      <c r="KZN48" s="84" t="str">
        <f>IF(ISNUMBER(outYear),KZN37+KZN42+#REF!+#REF!,"")</f>
        <v/>
      </c>
      <c r="KZO48" s="84" t="str">
        <f>IF(ISNUMBER(outYear),KZO37+KZO42+#REF!+#REF!,"")</f>
        <v/>
      </c>
      <c r="KZP48" s="84" t="str">
        <f>IF(ISNUMBER(outYear),KZP37+KZP42+#REF!+#REF!,"")</f>
        <v/>
      </c>
      <c r="KZQ48" s="84" t="str">
        <f>IF(ISNUMBER(outYear),KZQ37+KZQ42+#REF!+#REF!,"")</f>
        <v/>
      </c>
      <c r="KZR48" s="84" t="str">
        <f>IF(ISNUMBER(outYear),KZR37+KZR42+#REF!+#REF!,"")</f>
        <v/>
      </c>
      <c r="KZS48" s="84" t="str">
        <f>IF(ISNUMBER(outYear),KZS37+KZS42+#REF!+#REF!,"")</f>
        <v/>
      </c>
      <c r="KZT48" s="84" t="str">
        <f>IF(ISNUMBER(outYear),KZT37+KZT42+#REF!+#REF!,"")</f>
        <v/>
      </c>
      <c r="KZU48" s="84" t="str">
        <f>IF(ISNUMBER(outYear),KZU37+KZU42+#REF!+#REF!,"")</f>
        <v/>
      </c>
      <c r="KZV48" s="84" t="str">
        <f>IF(ISNUMBER(outYear),KZV37+KZV42+#REF!+#REF!,"")</f>
        <v/>
      </c>
      <c r="KZW48" s="84" t="str">
        <f>IF(ISNUMBER(outYear),KZW37+KZW42+#REF!+#REF!,"")</f>
        <v/>
      </c>
      <c r="KZX48" s="84" t="str">
        <f>IF(ISNUMBER(outYear),KZX37+KZX42+#REF!+#REF!,"")</f>
        <v/>
      </c>
      <c r="KZY48" s="84" t="str">
        <f>IF(ISNUMBER(outYear),KZY37+KZY42+#REF!+#REF!,"")</f>
        <v/>
      </c>
      <c r="KZZ48" s="84" t="str">
        <f>IF(ISNUMBER(outYear),KZZ37+KZZ42+#REF!+#REF!,"")</f>
        <v/>
      </c>
      <c r="LAA48" s="84" t="str">
        <f>IF(ISNUMBER(outYear),LAA37+LAA42+#REF!+#REF!,"")</f>
        <v/>
      </c>
      <c r="LAB48" s="84" t="str">
        <f>IF(ISNUMBER(outYear),LAB37+LAB42+#REF!+#REF!,"")</f>
        <v/>
      </c>
      <c r="LAC48" s="84" t="str">
        <f>IF(ISNUMBER(outYear),LAC37+LAC42+#REF!+#REF!,"")</f>
        <v/>
      </c>
      <c r="LAD48" s="84" t="str">
        <f>IF(ISNUMBER(outYear),LAD37+LAD42+#REF!+#REF!,"")</f>
        <v/>
      </c>
      <c r="LAE48" s="84" t="str">
        <f>IF(ISNUMBER(outYear),LAE37+LAE42+#REF!+#REF!,"")</f>
        <v/>
      </c>
      <c r="LAF48" s="84" t="str">
        <f>IF(ISNUMBER(outYear),LAF37+LAF42+#REF!+#REF!,"")</f>
        <v/>
      </c>
      <c r="LAG48" s="84" t="str">
        <f>IF(ISNUMBER(outYear),LAG37+LAG42+#REF!+#REF!,"")</f>
        <v/>
      </c>
      <c r="LAH48" s="84" t="str">
        <f>IF(ISNUMBER(outYear),LAH37+LAH42+#REF!+#REF!,"")</f>
        <v/>
      </c>
      <c r="LAI48" s="84" t="str">
        <f>IF(ISNUMBER(outYear),LAI37+LAI42+#REF!+#REF!,"")</f>
        <v/>
      </c>
      <c r="LAJ48" s="84" t="str">
        <f>IF(ISNUMBER(outYear),LAJ37+LAJ42+#REF!+#REF!,"")</f>
        <v/>
      </c>
      <c r="LAK48" s="84" t="str">
        <f>IF(ISNUMBER(outYear),LAK37+LAK42+#REF!+#REF!,"")</f>
        <v/>
      </c>
      <c r="LAL48" s="84" t="str">
        <f>IF(ISNUMBER(outYear),LAL37+LAL42+#REF!+#REF!,"")</f>
        <v/>
      </c>
      <c r="LAM48" s="84" t="str">
        <f>IF(ISNUMBER(outYear),LAM37+LAM42+#REF!+#REF!,"")</f>
        <v/>
      </c>
      <c r="LAN48" s="84" t="str">
        <f>IF(ISNUMBER(outYear),LAN37+LAN42+#REF!+#REF!,"")</f>
        <v/>
      </c>
      <c r="LAO48" s="84" t="str">
        <f>IF(ISNUMBER(outYear),LAO37+LAO42+#REF!+#REF!,"")</f>
        <v/>
      </c>
      <c r="LAP48" s="84" t="str">
        <f>IF(ISNUMBER(outYear),LAP37+LAP42+#REF!+#REF!,"")</f>
        <v/>
      </c>
      <c r="LAQ48" s="84" t="str">
        <f>IF(ISNUMBER(outYear),LAQ37+LAQ42+#REF!+#REF!,"")</f>
        <v/>
      </c>
      <c r="LAR48" s="84" t="str">
        <f>IF(ISNUMBER(outYear),LAR37+LAR42+#REF!+#REF!,"")</f>
        <v/>
      </c>
      <c r="LAS48" s="84" t="str">
        <f>IF(ISNUMBER(outYear),LAS37+LAS42+#REF!+#REF!,"")</f>
        <v/>
      </c>
      <c r="LAT48" s="84" t="str">
        <f>IF(ISNUMBER(outYear),LAT37+LAT42+#REF!+#REF!,"")</f>
        <v/>
      </c>
      <c r="LAU48" s="84" t="str">
        <f>IF(ISNUMBER(outYear),LAU37+LAU42+#REF!+#REF!,"")</f>
        <v/>
      </c>
      <c r="LAV48" s="84" t="str">
        <f>IF(ISNUMBER(outYear),LAV37+LAV42+#REF!+#REF!,"")</f>
        <v/>
      </c>
      <c r="LAW48" s="84" t="str">
        <f>IF(ISNUMBER(outYear),LAW37+LAW42+#REF!+#REF!,"")</f>
        <v/>
      </c>
      <c r="LAX48" s="84" t="str">
        <f>IF(ISNUMBER(outYear),LAX37+LAX42+#REF!+#REF!,"")</f>
        <v/>
      </c>
      <c r="LAY48" s="84" t="str">
        <f>IF(ISNUMBER(outYear),LAY37+LAY42+#REF!+#REF!,"")</f>
        <v/>
      </c>
      <c r="LAZ48" s="84" t="str">
        <f>IF(ISNUMBER(outYear),LAZ37+LAZ42+#REF!+#REF!,"")</f>
        <v/>
      </c>
      <c r="LBA48" s="84" t="str">
        <f>IF(ISNUMBER(outYear),LBA37+LBA42+#REF!+#REF!,"")</f>
        <v/>
      </c>
      <c r="LBB48" s="84" t="str">
        <f>IF(ISNUMBER(outYear),LBB37+LBB42+#REF!+#REF!,"")</f>
        <v/>
      </c>
      <c r="LBC48" s="84" t="str">
        <f>IF(ISNUMBER(outYear),LBC37+LBC42+#REF!+#REF!,"")</f>
        <v/>
      </c>
      <c r="LBD48" s="84" t="str">
        <f>IF(ISNUMBER(outYear),LBD37+LBD42+#REF!+#REF!,"")</f>
        <v/>
      </c>
      <c r="LBE48" s="84" t="str">
        <f>IF(ISNUMBER(outYear),LBE37+LBE42+#REF!+#REF!,"")</f>
        <v/>
      </c>
      <c r="LBF48" s="84" t="str">
        <f>IF(ISNUMBER(outYear),LBF37+LBF42+#REF!+#REF!,"")</f>
        <v/>
      </c>
      <c r="LBG48" s="84" t="str">
        <f>IF(ISNUMBER(outYear),LBG37+LBG42+#REF!+#REF!,"")</f>
        <v/>
      </c>
      <c r="LBH48" s="84" t="str">
        <f>IF(ISNUMBER(outYear),LBH37+LBH42+#REF!+#REF!,"")</f>
        <v/>
      </c>
      <c r="LBI48" s="84" t="str">
        <f>IF(ISNUMBER(outYear),LBI37+LBI42+#REF!+#REF!,"")</f>
        <v/>
      </c>
      <c r="LBJ48" s="84" t="str">
        <f>IF(ISNUMBER(outYear),LBJ37+LBJ42+#REF!+#REF!,"")</f>
        <v/>
      </c>
      <c r="LBK48" s="84" t="str">
        <f>IF(ISNUMBER(outYear),LBK37+LBK42+#REF!+#REF!,"")</f>
        <v/>
      </c>
      <c r="LBL48" s="84" t="str">
        <f>IF(ISNUMBER(outYear),LBL37+LBL42+#REF!+#REF!,"")</f>
        <v/>
      </c>
      <c r="LBM48" s="84" t="str">
        <f>IF(ISNUMBER(outYear),LBM37+LBM42+#REF!+#REF!,"")</f>
        <v/>
      </c>
      <c r="LBN48" s="84" t="str">
        <f>IF(ISNUMBER(outYear),LBN37+LBN42+#REF!+#REF!,"")</f>
        <v/>
      </c>
      <c r="LBO48" s="84" t="str">
        <f>IF(ISNUMBER(outYear),LBO37+LBO42+#REF!+#REF!,"")</f>
        <v/>
      </c>
      <c r="LBP48" s="84" t="str">
        <f>IF(ISNUMBER(outYear),LBP37+LBP42+#REF!+#REF!,"")</f>
        <v/>
      </c>
      <c r="LBQ48" s="84" t="str">
        <f>IF(ISNUMBER(outYear),LBQ37+LBQ42+#REF!+#REF!,"")</f>
        <v/>
      </c>
      <c r="LBR48" s="84" t="str">
        <f>IF(ISNUMBER(outYear),LBR37+LBR42+#REF!+#REF!,"")</f>
        <v/>
      </c>
      <c r="LBS48" s="84" t="str">
        <f>IF(ISNUMBER(outYear),LBS37+LBS42+#REF!+#REF!,"")</f>
        <v/>
      </c>
      <c r="LBT48" s="84" t="str">
        <f>IF(ISNUMBER(outYear),LBT37+LBT42+#REF!+#REF!,"")</f>
        <v/>
      </c>
      <c r="LBU48" s="84" t="str">
        <f>IF(ISNUMBER(outYear),LBU37+LBU42+#REF!+#REF!,"")</f>
        <v/>
      </c>
      <c r="LBV48" s="84" t="str">
        <f>IF(ISNUMBER(outYear),LBV37+LBV42+#REF!+#REF!,"")</f>
        <v/>
      </c>
      <c r="LBW48" s="84" t="str">
        <f>IF(ISNUMBER(outYear),LBW37+LBW42+#REF!+#REF!,"")</f>
        <v/>
      </c>
      <c r="LBX48" s="84" t="str">
        <f>IF(ISNUMBER(outYear),LBX37+LBX42+#REF!+#REF!,"")</f>
        <v/>
      </c>
      <c r="LBY48" s="84" t="str">
        <f>IF(ISNUMBER(outYear),LBY37+LBY42+#REF!+#REF!,"")</f>
        <v/>
      </c>
      <c r="LBZ48" s="84" t="str">
        <f>IF(ISNUMBER(outYear),LBZ37+LBZ42+#REF!+#REF!,"")</f>
        <v/>
      </c>
      <c r="LCA48" s="84" t="str">
        <f>IF(ISNUMBER(outYear),LCA37+LCA42+#REF!+#REF!,"")</f>
        <v/>
      </c>
      <c r="LCB48" s="84" t="str">
        <f>IF(ISNUMBER(outYear),LCB37+LCB42+#REF!+#REF!,"")</f>
        <v/>
      </c>
      <c r="LCC48" s="84" t="str">
        <f>IF(ISNUMBER(outYear),LCC37+LCC42+#REF!+#REF!,"")</f>
        <v/>
      </c>
      <c r="LCD48" s="84" t="str">
        <f>IF(ISNUMBER(outYear),LCD37+LCD42+#REF!+#REF!,"")</f>
        <v/>
      </c>
      <c r="LCE48" s="84" t="str">
        <f>IF(ISNUMBER(outYear),LCE37+LCE42+#REF!+#REF!,"")</f>
        <v/>
      </c>
      <c r="LCF48" s="84" t="str">
        <f>IF(ISNUMBER(outYear),LCF37+LCF42+#REF!+#REF!,"")</f>
        <v/>
      </c>
      <c r="LCG48" s="84" t="str">
        <f>IF(ISNUMBER(outYear),LCG37+LCG42+#REF!+#REF!,"")</f>
        <v/>
      </c>
      <c r="LCH48" s="84" t="str">
        <f>IF(ISNUMBER(outYear),LCH37+LCH42+#REF!+#REF!,"")</f>
        <v/>
      </c>
      <c r="LCI48" s="84" t="str">
        <f>IF(ISNUMBER(outYear),LCI37+LCI42+#REF!+#REF!,"")</f>
        <v/>
      </c>
      <c r="LCJ48" s="84" t="str">
        <f>IF(ISNUMBER(outYear),LCJ37+LCJ42+#REF!+#REF!,"")</f>
        <v/>
      </c>
      <c r="LCK48" s="84" t="str">
        <f>IF(ISNUMBER(outYear),LCK37+LCK42+#REF!+#REF!,"")</f>
        <v/>
      </c>
      <c r="LCL48" s="84" t="str">
        <f>IF(ISNUMBER(outYear),LCL37+LCL42+#REF!+#REF!,"")</f>
        <v/>
      </c>
      <c r="LCM48" s="84" t="str">
        <f>IF(ISNUMBER(outYear),LCM37+LCM42+#REF!+#REF!,"")</f>
        <v/>
      </c>
      <c r="LCN48" s="84" t="str">
        <f>IF(ISNUMBER(outYear),LCN37+LCN42+#REF!+#REF!,"")</f>
        <v/>
      </c>
      <c r="LCO48" s="84" t="str">
        <f>IF(ISNUMBER(outYear),LCO37+LCO42+#REF!+#REF!,"")</f>
        <v/>
      </c>
      <c r="LCP48" s="84" t="str">
        <f>IF(ISNUMBER(outYear),LCP37+LCP42+#REF!+#REF!,"")</f>
        <v/>
      </c>
      <c r="LCQ48" s="84" t="str">
        <f>IF(ISNUMBER(outYear),LCQ37+LCQ42+#REF!+#REF!,"")</f>
        <v/>
      </c>
      <c r="LCR48" s="84" t="str">
        <f>IF(ISNUMBER(outYear),LCR37+LCR42+#REF!+#REF!,"")</f>
        <v/>
      </c>
      <c r="LCS48" s="84" t="str">
        <f>IF(ISNUMBER(outYear),LCS37+LCS42+#REF!+#REF!,"")</f>
        <v/>
      </c>
      <c r="LCT48" s="84" t="str">
        <f>IF(ISNUMBER(outYear),LCT37+LCT42+#REF!+#REF!,"")</f>
        <v/>
      </c>
      <c r="LCU48" s="84" t="str">
        <f>IF(ISNUMBER(outYear),LCU37+LCU42+#REF!+#REF!,"")</f>
        <v/>
      </c>
      <c r="LCV48" s="84" t="str">
        <f>IF(ISNUMBER(outYear),LCV37+LCV42+#REF!+#REF!,"")</f>
        <v/>
      </c>
      <c r="LCW48" s="84" t="str">
        <f>IF(ISNUMBER(outYear),LCW37+LCW42+#REF!+#REF!,"")</f>
        <v/>
      </c>
      <c r="LCX48" s="84" t="str">
        <f>IF(ISNUMBER(outYear),LCX37+LCX42+#REF!+#REF!,"")</f>
        <v/>
      </c>
      <c r="LCY48" s="84" t="str">
        <f>IF(ISNUMBER(outYear),LCY37+LCY42+#REF!+#REF!,"")</f>
        <v/>
      </c>
      <c r="LCZ48" s="84" t="str">
        <f>IF(ISNUMBER(outYear),LCZ37+LCZ42+#REF!+#REF!,"")</f>
        <v/>
      </c>
      <c r="LDA48" s="84" t="str">
        <f>IF(ISNUMBER(outYear),LDA37+LDA42+#REF!+#REF!,"")</f>
        <v/>
      </c>
      <c r="LDB48" s="84" t="str">
        <f>IF(ISNUMBER(outYear),LDB37+LDB42+#REF!+#REF!,"")</f>
        <v/>
      </c>
      <c r="LDC48" s="84" t="str">
        <f>IF(ISNUMBER(outYear),LDC37+LDC42+#REF!+#REF!,"")</f>
        <v/>
      </c>
      <c r="LDD48" s="84" t="str">
        <f>IF(ISNUMBER(outYear),LDD37+LDD42+#REF!+#REF!,"")</f>
        <v/>
      </c>
      <c r="LDE48" s="84" t="str">
        <f>IF(ISNUMBER(outYear),LDE37+LDE42+#REF!+#REF!,"")</f>
        <v/>
      </c>
      <c r="LDF48" s="84" t="str">
        <f>IF(ISNUMBER(outYear),LDF37+LDF42+#REF!+#REF!,"")</f>
        <v/>
      </c>
      <c r="LDG48" s="84" t="str">
        <f>IF(ISNUMBER(outYear),LDG37+LDG42+#REF!+#REF!,"")</f>
        <v/>
      </c>
      <c r="LDH48" s="84" t="str">
        <f>IF(ISNUMBER(outYear),LDH37+LDH42+#REF!+#REF!,"")</f>
        <v/>
      </c>
      <c r="LDI48" s="84" t="str">
        <f>IF(ISNUMBER(outYear),LDI37+LDI42+#REF!+#REF!,"")</f>
        <v/>
      </c>
      <c r="LDJ48" s="84" t="str">
        <f>IF(ISNUMBER(outYear),LDJ37+LDJ42+#REF!+#REF!,"")</f>
        <v/>
      </c>
      <c r="LDK48" s="84" t="str">
        <f>IF(ISNUMBER(outYear),LDK37+LDK42+#REF!+#REF!,"")</f>
        <v/>
      </c>
      <c r="LDL48" s="84" t="str">
        <f>IF(ISNUMBER(outYear),LDL37+LDL42+#REF!+#REF!,"")</f>
        <v/>
      </c>
      <c r="LDM48" s="84" t="str">
        <f>IF(ISNUMBER(outYear),LDM37+LDM42+#REF!+#REF!,"")</f>
        <v/>
      </c>
      <c r="LDN48" s="84" t="str">
        <f>IF(ISNUMBER(outYear),LDN37+LDN42+#REF!+#REF!,"")</f>
        <v/>
      </c>
      <c r="LDO48" s="84" t="str">
        <f>IF(ISNUMBER(outYear),LDO37+LDO42+#REF!+#REF!,"")</f>
        <v/>
      </c>
      <c r="LDP48" s="84" t="str">
        <f>IF(ISNUMBER(outYear),LDP37+LDP42+#REF!+#REF!,"")</f>
        <v/>
      </c>
      <c r="LDQ48" s="84" t="str">
        <f>IF(ISNUMBER(outYear),LDQ37+LDQ42+#REF!+#REF!,"")</f>
        <v/>
      </c>
      <c r="LDR48" s="84" t="str">
        <f>IF(ISNUMBER(outYear),LDR37+LDR42+#REF!+#REF!,"")</f>
        <v/>
      </c>
      <c r="LDS48" s="84" t="str">
        <f>IF(ISNUMBER(outYear),LDS37+LDS42+#REF!+#REF!,"")</f>
        <v/>
      </c>
      <c r="LDT48" s="84" t="str">
        <f>IF(ISNUMBER(outYear),LDT37+LDT42+#REF!+#REF!,"")</f>
        <v/>
      </c>
      <c r="LDU48" s="84" t="str">
        <f>IF(ISNUMBER(outYear),LDU37+LDU42+#REF!+#REF!,"")</f>
        <v/>
      </c>
      <c r="LDV48" s="84" t="str">
        <f>IF(ISNUMBER(outYear),LDV37+LDV42+#REF!+#REF!,"")</f>
        <v/>
      </c>
      <c r="LDW48" s="84" t="str">
        <f>IF(ISNUMBER(outYear),LDW37+LDW42+#REF!+#REF!,"")</f>
        <v/>
      </c>
      <c r="LDX48" s="84" t="str">
        <f>IF(ISNUMBER(outYear),LDX37+LDX42+#REF!+#REF!,"")</f>
        <v/>
      </c>
      <c r="LDY48" s="84" t="str">
        <f>IF(ISNUMBER(outYear),LDY37+LDY42+#REF!+#REF!,"")</f>
        <v/>
      </c>
      <c r="LDZ48" s="84" t="str">
        <f>IF(ISNUMBER(outYear),LDZ37+LDZ42+#REF!+#REF!,"")</f>
        <v/>
      </c>
      <c r="LEA48" s="84" t="str">
        <f>IF(ISNUMBER(outYear),LEA37+LEA42+#REF!+#REF!,"")</f>
        <v/>
      </c>
      <c r="LEB48" s="84" t="str">
        <f>IF(ISNUMBER(outYear),LEB37+LEB42+#REF!+#REF!,"")</f>
        <v/>
      </c>
      <c r="LEC48" s="84" t="str">
        <f>IF(ISNUMBER(outYear),LEC37+LEC42+#REF!+#REF!,"")</f>
        <v/>
      </c>
      <c r="LED48" s="84" t="str">
        <f>IF(ISNUMBER(outYear),LED37+LED42+#REF!+#REF!,"")</f>
        <v/>
      </c>
      <c r="LEE48" s="84" t="str">
        <f>IF(ISNUMBER(outYear),LEE37+LEE42+#REF!+#REF!,"")</f>
        <v/>
      </c>
      <c r="LEF48" s="84" t="str">
        <f>IF(ISNUMBER(outYear),LEF37+LEF42+#REF!+#REF!,"")</f>
        <v/>
      </c>
      <c r="LEG48" s="84" t="str">
        <f>IF(ISNUMBER(outYear),LEG37+LEG42+#REF!+#REF!,"")</f>
        <v/>
      </c>
      <c r="LEH48" s="84" t="str">
        <f>IF(ISNUMBER(outYear),LEH37+LEH42+#REF!+#REF!,"")</f>
        <v/>
      </c>
      <c r="LEI48" s="84" t="str">
        <f>IF(ISNUMBER(outYear),LEI37+LEI42+#REF!+#REF!,"")</f>
        <v/>
      </c>
      <c r="LEJ48" s="84" t="str">
        <f>IF(ISNUMBER(outYear),LEJ37+LEJ42+#REF!+#REF!,"")</f>
        <v/>
      </c>
      <c r="LEK48" s="84" t="str">
        <f>IF(ISNUMBER(outYear),LEK37+LEK42+#REF!+#REF!,"")</f>
        <v/>
      </c>
      <c r="LEL48" s="84" t="str">
        <f>IF(ISNUMBER(outYear),LEL37+LEL42+#REF!+#REF!,"")</f>
        <v/>
      </c>
      <c r="LEM48" s="84" t="str">
        <f>IF(ISNUMBER(outYear),LEM37+LEM42+#REF!+#REF!,"")</f>
        <v/>
      </c>
      <c r="LEN48" s="84" t="str">
        <f>IF(ISNUMBER(outYear),LEN37+LEN42+#REF!+#REF!,"")</f>
        <v/>
      </c>
      <c r="LEO48" s="84" t="str">
        <f>IF(ISNUMBER(outYear),LEO37+LEO42+#REF!+#REF!,"")</f>
        <v/>
      </c>
      <c r="LEP48" s="84" t="str">
        <f>IF(ISNUMBER(outYear),LEP37+LEP42+#REF!+#REF!,"")</f>
        <v/>
      </c>
      <c r="LEQ48" s="84" t="str">
        <f>IF(ISNUMBER(outYear),LEQ37+LEQ42+#REF!+#REF!,"")</f>
        <v/>
      </c>
      <c r="LER48" s="84" t="str">
        <f>IF(ISNUMBER(outYear),LER37+LER42+#REF!+#REF!,"")</f>
        <v/>
      </c>
      <c r="LES48" s="84" t="str">
        <f>IF(ISNUMBER(outYear),LES37+LES42+#REF!+#REF!,"")</f>
        <v/>
      </c>
      <c r="LET48" s="84" t="str">
        <f>IF(ISNUMBER(outYear),LET37+LET42+#REF!+#REF!,"")</f>
        <v/>
      </c>
      <c r="LEU48" s="84" t="str">
        <f>IF(ISNUMBER(outYear),LEU37+LEU42+#REF!+#REF!,"")</f>
        <v/>
      </c>
      <c r="LEV48" s="84" t="str">
        <f>IF(ISNUMBER(outYear),LEV37+LEV42+#REF!+#REF!,"")</f>
        <v/>
      </c>
      <c r="LEW48" s="84" t="str">
        <f>IF(ISNUMBER(outYear),LEW37+LEW42+#REF!+#REF!,"")</f>
        <v/>
      </c>
      <c r="LEX48" s="84" t="str">
        <f>IF(ISNUMBER(outYear),LEX37+LEX42+#REF!+#REF!,"")</f>
        <v/>
      </c>
      <c r="LEY48" s="84" t="str">
        <f>IF(ISNUMBER(outYear),LEY37+LEY42+#REF!+#REF!,"")</f>
        <v/>
      </c>
      <c r="LEZ48" s="84" t="str">
        <f>IF(ISNUMBER(outYear),LEZ37+LEZ42+#REF!+#REF!,"")</f>
        <v/>
      </c>
      <c r="LFA48" s="84" t="str">
        <f>IF(ISNUMBER(outYear),LFA37+LFA42+#REF!+#REF!,"")</f>
        <v/>
      </c>
      <c r="LFB48" s="84" t="str">
        <f>IF(ISNUMBER(outYear),LFB37+LFB42+#REF!+#REF!,"")</f>
        <v/>
      </c>
      <c r="LFC48" s="84" t="str">
        <f>IF(ISNUMBER(outYear),LFC37+LFC42+#REF!+#REF!,"")</f>
        <v/>
      </c>
      <c r="LFD48" s="84" t="str">
        <f>IF(ISNUMBER(outYear),LFD37+LFD42+#REF!+#REF!,"")</f>
        <v/>
      </c>
      <c r="LFE48" s="84" t="str">
        <f>IF(ISNUMBER(outYear),LFE37+LFE42+#REF!+#REF!,"")</f>
        <v/>
      </c>
      <c r="LFF48" s="84" t="str">
        <f>IF(ISNUMBER(outYear),LFF37+LFF42+#REF!+#REF!,"")</f>
        <v/>
      </c>
      <c r="LFG48" s="84" t="str">
        <f>IF(ISNUMBER(outYear),LFG37+LFG42+#REF!+#REF!,"")</f>
        <v/>
      </c>
      <c r="LFH48" s="84" t="str">
        <f>IF(ISNUMBER(outYear),LFH37+LFH42+#REF!+#REF!,"")</f>
        <v/>
      </c>
      <c r="LFI48" s="84" t="str">
        <f>IF(ISNUMBER(outYear),LFI37+LFI42+#REF!+#REF!,"")</f>
        <v/>
      </c>
      <c r="LFJ48" s="84" t="str">
        <f>IF(ISNUMBER(outYear),LFJ37+LFJ42+#REF!+#REF!,"")</f>
        <v/>
      </c>
      <c r="LFK48" s="84" t="str">
        <f>IF(ISNUMBER(outYear),LFK37+LFK42+#REF!+#REF!,"")</f>
        <v/>
      </c>
      <c r="LFL48" s="84" t="str">
        <f>IF(ISNUMBER(outYear),LFL37+LFL42+#REF!+#REF!,"")</f>
        <v/>
      </c>
      <c r="LFM48" s="84" t="str">
        <f>IF(ISNUMBER(outYear),LFM37+LFM42+#REF!+#REF!,"")</f>
        <v/>
      </c>
      <c r="LFN48" s="84" t="str">
        <f>IF(ISNUMBER(outYear),LFN37+LFN42+#REF!+#REF!,"")</f>
        <v/>
      </c>
      <c r="LFO48" s="84" t="str">
        <f>IF(ISNUMBER(outYear),LFO37+LFO42+#REF!+#REF!,"")</f>
        <v/>
      </c>
      <c r="LFP48" s="84" t="str">
        <f>IF(ISNUMBER(outYear),LFP37+LFP42+#REF!+#REF!,"")</f>
        <v/>
      </c>
      <c r="LFQ48" s="84" t="str">
        <f>IF(ISNUMBER(outYear),LFQ37+LFQ42+#REF!+#REF!,"")</f>
        <v/>
      </c>
      <c r="LFR48" s="84" t="str">
        <f>IF(ISNUMBER(outYear),LFR37+LFR42+#REF!+#REF!,"")</f>
        <v/>
      </c>
      <c r="LFS48" s="84" t="str">
        <f>IF(ISNUMBER(outYear),LFS37+LFS42+#REF!+#REF!,"")</f>
        <v/>
      </c>
      <c r="LFT48" s="84" t="str">
        <f>IF(ISNUMBER(outYear),LFT37+LFT42+#REF!+#REF!,"")</f>
        <v/>
      </c>
      <c r="LFU48" s="84" t="str">
        <f>IF(ISNUMBER(outYear),LFU37+LFU42+#REF!+#REF!,"")</f>
        <v/>
      </c>
      <c r="LFV48" s="84" t="str">
        <f>IF(ISNUMBER(outYear),LFV37+LFV42+#REF!+#REF!,"")</f>
        <v/>
      </c>
      <c r="LFW48" s="84" t="str">
        <f>IF(ISNUMBER(outYear),LFW37+LFW42+#REF!+#REF!,"")</f>
        <v/>
      </c>
      <c r="LFX48" s="84" t="str">
        <f>IF(ISNUMBER(outYear),LFX37+LFX42+#REF!+#REF!,"")</f>
        <v/>
      </c>
      <c r="LFY48" s="84" t="str">
        <f>IF(ISNUMBER(outYear),LFY37+LFY42+#REF!+#REF!,"")</f>
        <v/>
      </c>
      <c r="LFZ48" s="84" t="str">
        <f>IF(ISNUMBER(outYear),LFZ37+LFZ42+#REF!+#REF!,"")</f>
        <v/>
      </c>
      <c r="LGA48" s="84" t="str">
        <f>IF(ISNUMBER(outYear),LGA37+LGA42+#REF!+#REF!,"")</f>
        <v/>
      </c>
      <c r="LGB48" s="84" t="str">
        <f>IF(ISNUMBER(outYear),LGB37+LGB42+#REF!+#REF!,"")</f>
        <v/>
      </c>
      <c r="LGC48" s="84" t="str">
        <f>IF(ISNUMBER(outYear),LGC37+LGC42+#REF!+#REF!,"")</f>
        <v/>
      </c>
      <c r="LGD48" s="84" t="str">
        <f>IF(ISNUMBER(outYear),LGD37+LGD42+#REF!+#REF!,"")</f>
        <v/>
      </c>
      <c r="LGE48" s="84" t="str">
        <f>IF(ISNUMBER(outYear),LGE37+LGE42+#REF!+#REF!,"")</f>
        <v/>
      </c>
      <c r="LGF48" s="84" t="str">
        <f>IF(ISNUMBER(outYear),LGF37+LGF42+#REF!+#REF!,"")</f>
        <v/>
      </c>
      <c r="LGG48" s="84" t="str">
        <f>IF(ISNUMBER(outYear),LGG37+LGG42+#REF!+#REF!,"")</f>
        <v/>
      </c>
      <c r="LGH48" s="84" t="str">
        <f>IF(ISNUMBER(outYear),LGH37+LGH42+#REF!+#REF!,"")</f>
        <v/>
      </c>
      <c r="LGI48" s="84" t="str">
        <f>IF(ISNUMBER(outYear),LGI37+LGI42+#REF!+#REF!,"")</f>
        <v/>
      </c>
      <c r="LGJ48" s="84" t="str">
        <f>IF(ISNUMBER(outYear),LGJ37+LGJ42+#REF!+#REF!,"")</f>
        <v/>
      </c>
      <c r="LGK48" s="84" t="str">
        <f>IF(ISNUMBER(outYear),LGK37+LGK42+#REF!+#REF!,"")</f>
        <v/>
      </c>
      <c r="LGL48" s="84" t="str">
        <f>IF(ISNUMBER(outYear),LGL37+LGL42+#REF!+#REF!,"")</f>
        <v/>
      </c>
      <c r="LGM48" s="84" t="str">
        <f>IF(ISNUMBER(outYear),LGM37+LGM42+#REF!+#REF!,"")</f>
        <v/>
      </c>
      <c r="LGN48" s="84" t="str">
        <f>IF(ISNUMBER(outYear),LGN37+LGN42+#REF!+#REF!,"")</f>
        <v/>
      </c>
      <c r="LGO48" s="84" t="str">
        <f>IF(ISNUMBER(outYear),LGO37+LGO42+#REF!+#REF!,"")</f>
        <v/>
      </c>
      <c r="LGP48" s="84" t="str">
        <f>IF(ISNUMBER(outYear),LGP37+LGP42+#REF!+#REF!,"")</f>
        <v/>
      </c>
      <c r="LGQ48" s="84" t="str">
        <f>IF(ISNUMBER(outYear),LGQ37+LGQ42+#REF!+#REF!,"")</f>
        <v/>
      </c>
      <c r="LGR48" s="84" t="str">
        <f>IF(ISNUMBER(outYear),LGR37+LGR42+#REF!+#REF!,"")</f>
        <v/>
      </c>
      <c r="LGS48" s="84" t="str">
        <f>IF(ISNUMBER(outYear),LGS37+LGS42+#REF!+#REF!,"")</f>
        <v/>
      </c>
      <c r="LGT48" s="84" t="str">
        <f>IF(ISNUMBER(outYear),LGT37+LGT42+#REF!+#REF!,"")</f>
        <v/>
      </c>
      <c r="LGU48" s="84" t="str">
        <f>IF(ISNUMBER(outYear),LGU37+LGU42+#REF!+#REF!,"")</f>
        <v/>
      </c>
      <c r="LGV48" s="84" t="str">
        <f>IF(ISNUMBER(outYear),LGV37+LGV42+#REF!+#REF!,"")</f>
        <v/>
      </c>
      <c r="LGW48" s="84" t="str">
        <f>IF(ISNUMBER(outYear),LGW37+LGW42+#REF!+#REF!,"")</f>
        <v/>
      </c>
      <c r="LGX48" s="84" t="str">
        <f>IF(ISNUMBER(outYear),LGX37+LGX42+#REF!+#REF!,"")</f>
        <v/>
      </c>
      <c r="LGY48" s="84" t="str">
        <f>IF(ISNUMBER(outYear),LGY37+LGY42+#REF!+#REF!,"")</f>
        <v/>
      </c>
      <c r="LGZ48" s="84" t="str">
        <f>IF(ISNUMBER(outYear),LGZ37+LGZ42+#REF!+#REF!,"")</f>
        <v/>
      </c>
      <c r="LHA48" s="84" t="str">
        <f>IF(ISNUMBER(outYear),LHA37+LHA42+#REF!+#REF!,"")</f>
        <v/>
      </c>
      <c r="LHB48" s="84" t="str">
        <f>IF(ISNUMBER(outYear),LHB37+LHB42+#REF!+#REF!,"")</f>
        <v/>
      </c>
      <c r="LHC48" s="84" t="str">
        <f>IF(ISNUMBER(outYear),LHC37+LHC42+#REF!+#REF!,"")</f>
        <v/>
      </c>
      <c r="LHD48" s="84" t="str">
        <f>IF(ISNUMBER(outYear),LHD37+LHD42+#REF!+#REF!,"")</f>
        <v/>
      </c>
      <c r="LHE48" s="84" t="str">
        <f>IF(ISNUMBER(outYear),LHE37+LHE42+#REF!+#REF!,"")</f>
        <v/>
      </c>
      <c r="LHF48" s="84" t="str">
        <f>IF(ISNUMBER(outYear),LHF37+LHF42+#REF!+#REF!,"")</f>
        <v/>
      </c>
      <c r="LHG48" s="84" t="str">
        <f>IF(ISNUMBER(outYear),LHG37+LHG42+#REF!+#REF!,"")</f>
        <v/>
      </c>
      <c r="LHH48" s="84" t="str">
        <f>IF(ISNUMBER(outYear),LHH37+LHH42+#REF!+#REF!,"")</f>
        <v/>
      </c>
      <c r="LHI48" s="84" t="str">
        <f>IF(ISNUMBER(outYear),LHI37+LHI42+#REF!+#REF!,"")</f>
        <v/>
      </c>
      <c r="LHJ48" s="84" t="str">
        <f>IF(ISNUMBER(outYear),LHJ37+LHJ42+#REF!+#REF!,"")</f>
        <v/>
      </c>
      <c r="LHK48" s="84" t="str">
        <f>IF(ISNUMBER(outYear),LHK37+LHK42+#REF!+#REF!,"")</f>
        <v/>
      </c>
      <c r="LHL48" s="84" t="str">
        <f>IF(ISNUMBER(outYear),LHL37+LHL42+#REF!+#REF!,"")</f>
        <v/>
      </c>
      <c r="LHM48" s="84" t="str">
        <f>IF(ISNUMBER(outYear),LHM37+LHM42+#REF!+#REF!,"")</f>
        <v/>
      </c>
      <c r="LHN48" s="84" t="str">
        <f>IF(ISNUMBER(outYear),LHN37+LHN42+#REF!+#REF!,"")</f>
        <v/>
      </c>
      <c r="LHO48" s="84" t="str">
        <f>IF(ISNUMBER(outYear),LHO37+LHO42+#REF!+#REF!,"")</f>
        <v/>
      </c>
      <c r="LHP48" s="84" t="str">
        <f>IF(ISNUMBER(outYear),LHP37+LHP42+#REF!+#REF!,"")</f>
        <v/>
      </c>
      <c r="LHQ48" s="84" t="str">
        <f>IF(ISNUMBER(outYear),LHQ37+LHQ42+#REF!+#REF!,"")</f>
        <v/>
      </c>
      <c r="LHR48" s="84" t="str">
        <f>IF(ISNUMBER(outYear),LHR37+LHR42+#REF!+#REF!,"")</f>
        <v/>
      </c>
      <c r="LHS48" s="84" t="str">
        <f>IF(ISNUMBER(outYear),LHS37+LHS42+#REF!+#REF!,"")</f>
        <v/>
      </c>
      <c r="LHT48" s="84" t="str">
        <f>IF(ISNUMBER(outYear),LHT37+LHT42+#REF!+#REF!,"")</f>
        <v/>
      </c>
      <c r="LHU48" s="84" t="str">
        <f>IF(ISNUMBER(outYear),LHU37+LHU42+#REF!+#REF!,"")</f>
        <v/>
      </c>
      <c r="LHV48" s="84" t="str">
        <f>IF(ISNUMBER(outYear),LHV37+LHV42+#REF!+#REF!,"")</f>
        <v/>
      </c>
      <c r="LHW48" s="84" t="str">
        <f>IF(ISNUMBER(outYear),LHW37+LHW42+#REF!+#REF!,"")</f>
        <v/>
      </c>
      <c r="LHX48" s="84" t="str">
        <f>IF(ISNUMBER(outYear),LHX37+LHX42+#REF!+#REF!,"")</f>
        <v/>
      </c>
      <c r="LHY48" s="84" t="str">
        <f>IF(ISNUMBER(outYear),LHY37+LHY42+#REF!+#REF!,"")</f>
        <v/>
      </c>
      <c r="LHZ48" s="84" t="str">
        <f>IF(ISNUMBER(outYear),LHZ37+LHZ42+#REF!+#REF!,"")</f>
        <v/>
      </c>
      <c r="LIA48" s="84" t="str">
        <f>IF(ISNUMBER(outYear),LIA37+LIA42+#REF!+#REF!,"")</f>
        <v/>
      </c>
      <c r="LIB48" s="84" t="str">
        <f>IF(ISNUMBER(outYear),LIB37+LIB42+#REF!+#REF!,"")</f>
        <v/>
      </c>
      <c r="LIC48" s="84" t="str">
        <f>IF(ISNUMBER(outYear),LIC37+LIC42+#REF!+#REF!,"")</f>
        <v/>
      </c>
      <c r="LID48" s="84" t="str">
        <f>IF(ISNUMBER(outYear),LID37+LID42+#REF!+#REF!,"")</f>
        <v/>
      </c>
      <c r="LIE48" s="84" t="str">
        <f>IF(ISNUMBER(outYear),LIE37+LIE42+#REF!+#REF!,"")</f>
        <v/>
      </c>
      <c r="LIF48" s="84" t="str">
        <f>IF(ISNUMBER(outYear),LIF37+LIF42+#REF!+#REF!,"")</f>
        <v/>
      </c>
      <c r="LIG48" s="84" t="str">
        <f>IF(ISNUMBER(outYear),LIG37+LIG42+#REF!+#REF!,"")</f>
        <v/>
      </c>
      <c r="LIH48" s="84" t="str">
        <f>IF(ISNUMBER(outYear),LIH37+LIH42+#REF!+#REF!,"")</f>
        <v/>
      </c>
      <c r="LII48" s="84" t="str">
        <f>IF(ISNUMBER(outYear),LII37+LII42+#REF!+#REF!,"")</f>
        <v/>
      </c>
      <c r="LIJ48" s="84" t="str">
        <f>IF(ISNUMBER(outYear),LIJ37+LIJ42+#REF!+#REF!,"")</f>
        <v/>
      </c>
      <c r="LIK48" s="84" t="str">
        <f>IF(ISNUMBER(outYear),LIK37+LIK42+#REF!+#REF!,"")</f>
        <v/>
      </c>
      <c r="LIL48" s="84" t="str">
        <f>IF(ISNUMBER(outYear),LIL37+LIL42+#REF!+#REF!,"")</f>
        <v/>
      </c>
      <c r="LIM48" s="84" t="str">
        <f>IF(ISNUMBER(outYear),LIM37+LIM42+#REF!+#REF!,"")</f>
        <v/>
      </c>
      <c r="LIN48" s="84" t="str">
        <f>IF(ISNUMBER(outYear),LIN37+LIN42+#REF!+#REF!,"")</f>
        <v/>
      </c>
      <c r="LIO48" s="84" t="str">
        <f>IF(ISNUMBER(outYear),LIO37+LIO42+#REF!+#REF!,"")</f>
        <v/>
      </c>
      <c r="LIP48" s="84" t="str">
        <f>IF(ISNUMBER(outYear),LIP37+LIP42+#REF!+#REF!,"")</f>
        <v/>
      </c>
      <c r="LIQ48" s="84" t="str">
        <f>IF(ISNUMBER(outYear),LIQ37+LIQ42+#REF!+#REF!,"")</f>
        <v/>
      </c>
      <c r="LIR48" s="84" t="str">
        <f>IF(ISNUMBER(outYear),LIR37+LIR42+#REF!+#REF!,"")</f>
        <v/>
      </c>
      <c r="LIS48" s="84" t="str">
        <f>IF(ISNUMBER(outYear),LIS37+LIS42+#REF!+#REF!,"")</f>
        <v/>
      </c>
      <c r="LIT48" s="84" t="str">
        <f>IF(ISNUMBER(outYear),LIT37+LIT42+#REF!+#REF!,"")</f>
        <v/>
      </c>
      <c r="LIU48" s="84" t="str">
        <f>IF(ISNUMBER(outYear),LIU37+LIU42+#REF!+#REF!,"")</f>
        <v/>
      </c>
      <c r="LIV48" s="84" t="str">
        <f>IF(ISNUMBER(outYear),LIV37+LIV42+#REF!+#REF!,"")</f>
        <v/>
      </c>
      <c r="LIW48" s="84" t="str">
        <f>IF(ISNUMBER(outYear),LIW37+LIW42+#REF!+#REF!,"")</f>
        <v/>
      </c>
      <c r="LIX48" s="84" t="str">
        <f>IF(ISNUMBER(outYear),LIX37+LIX42+#REF!+#REF!,"")</f>
        <v/>
      </c>
      <c r="LIY48" s="84" t="str">
        <f>IF(ISNUMBER(outYear),LIY37+LIY42+#REF!+#REF!,"")</f>
        <v/>
      </c>
      <c r="LIZ48" s="84" t="str">
        <f>IF(ISNUMBER(outYear),LIZ37+LIZ42+#REF!+#REF!,"")</f>
        <v/>
      </c>
      <c r="LJA48" s="84" t="str">
        <f>IF(ISNUMBER(outYear),LJA37+LJA42+#REF!+#REF!,"")</f>
        <v/>
      </c>
      <c r="LJB48" s="84" t="str">
        <f>IF(ISNUMBER(outYear),LJB37+LJB42+#REF!+#REF!,"")</f>
        <v/>
      </c>
      <c r="LJC48" s="84" t="str">
        <f>IF(ISNUMBER(outYear),LJC37+LJC42+#REF!+#REF!,"")</f>
        <v/>
      </c>
      <c r="LJD48" s="84" t="str">
        <f>IF(ISNUMBER(outYear),LJD37+LJD42+#REF!+#REF!,"")</f>
        <v/>
      </c>
      <c r="LJE48" s="84" t="str">
        <f>IF(ISNUMBER(outYear),LJE37+LJE42+#REF!+#REF!,"")</f>
        <v/>
      </c>
      <c r="LJF48" s="84" t="str">
        <f>IF(ISNUMBER(outYear),LJF37+LJF42+#REF!+#REF!,"")</f>
        <v/>
      </c>
      <c r="LJG48" s="84" t="str">
        <f>IF(ISNUMBER(outYear),LJG37+LJG42+#REF!+#REF!,"")</f>
        <v/>
      </c>
      <c r="LJH48" s="84" t="str">
        <f>IF(ISNUMBER(outYear),LJH37+LJH42+#REF!+#REF!,"")</f>
        <v/>
      </c>
      <c r="LJI48" s="84" t="str">
        <f>IF(ISNUMBER(outYear),LJI37+LJI42+#REF!+#REF!,"")</f>
        <v/>
      </c>
      <c r="LJJ48" s="84" t="str">
        <f>IF(ISNUMBER(outYear),LJJ37+LJJ42+#REF!+#REF!,"")</f>
        <v/>
      </c>
      <c r="LJK48" s="84" t="str">
        <f>IF(ISNUMBER(outYear),LJK37+LJK42+#REF!+#REF!,"")</f>
        <v/>
      </c>
      <c r="LJL48" s="84" t="str">
        <f>IF(ISNUMBER(outYear),LJL37+LJL42+#REF!+#REF!,"")</f>
        <v/>
      </c>
      <c r="LJM48" s="84" t="str">
        <f>IF(ISNUMBER(outYear),LJM37+LJM42+#REF!+#REF!,"")</f>
        <v/>
      </c>
      <c r="LJN48" s="84" t="str">
        <f>IF(ISNUMBER(outYear),LJN37+LJN42+#REF!+#REF!,"")</f>
        <v/>
      </c>
      <c r="LJO48" s="84" t="str">
        <f>IF(ISNUMBER(outYear),LJO37+LJO42+#REF!+#REF!,"")</f>
        <v/>
      </c>
      <c r="LJP48" s="84" t="str">
        <f>IF(ISNUMBER(outYear),LJP37+LJP42+#REF!+#REF!,"")</f>
        <v/>
      </c>
      <c r="LJQ48" s="84" t="str">
        <f>IF(ISNUMBER(outYear),LJQ37+LJQ42+#REF!+#REF!,"")</f>
        <v/>
      </c>
      <c r="LJR48" s="84" t="str">
        <f>IF(ISNUMBER(outYear),LJR37+LJR42+#REF!+#REF!,"")</f>
        <v/>
      </c>
      <c r="LJS48" s="84" t="str">
        <f>IF(ISNUMBER(outYear),LJS37+LJS42+#REF!+#REF!,"")</f>
        <v/>
      </c>
      <c r="LJT48" s="84" t="str">
        <f>IF(ISNUMBER(outYear),LJT37+LJT42+#REF!+#REF!,"")</f>
        <v/>
      </c>
      <c r="LJU48" s="84" t="str">
        <f>IF(ISNUMBER(outYear),LJU37+LJU42+#REF!+#REF!,"")</f>
        <v/>
      </c>
      <c r="LJV48" s="84" t="str">
        <f>IF(ISNUMBER(outYear),LJV37+LJV42+#REF!+#REF!,"")</f>
        <v/>
      </c>
      <c r="LJW48" s="84" t="str">
        <f>IF(ISNUMBER(outYear),LJW37+LJW42+#REF!+#REF!,"")</f>
        <v/>
      </c>
      <c r="LJX48" s="84" t="str">
        <f>IF(ISNUMBER(outYear),LJX37+LJX42+#REF!+#REF!,"")</f>
        <v/>
      </c>
      <c r="LJY48" s="84" t="str">
        <f>IF(ISNUMBER(outYear),LJY37+LJY42+#REF!+#REF!,"")</f>
        <v/>
      </c>
      <c r="LJZ48" s="84" t="str">
        <f>IF(ISNUMBER(outYear),LJZ37+LJZ42+#REF!+#REF!,"")</f>
        <v/>
      </c>
      <c r="LKA48" s="84" t="str">
        <f>IF(ISNUMBER(outYear),LKA37+LKA42+#REF!+#REF!,"")</f>
        <v/>
      </c>
      <c r="LKB48" s="84" t="str">
        <f>IF(ISNUMBER(outYear),LKB37+LKB42+#REF!+#REF!,"")</f>
        <v/>
      </c>
      <c r="LKC48" s="84" t="str">
        <f>IF(ISNUMBER(outYear),LKC37+LKC42+#REF!+#REF!,"")</f>
        <v/>
      </c>
      <c r="LKD48" s="84" t="str">
        <f>IF(ISNUMBER(outYear),LKD37+LKD42+#REF!+#REF!,"")</f>
        <v/>
      </c>
      <c r="LKE48" s="84" t="str">
        <f>IF(ISNUMBER(outYear),LKE37+LKE42+#REF!+#REF!,"")</f>
        <v/>
      </c>
      <c r="LKF48" s="84" t="str">
        <f>IF(ISNUMBER(outYear),LKF37+LKF42+#REF!+#REF!,"")</f>
        <v/>
      </c>
      <c r="LKG48" s="84" t="str">
        <f>IF(ISNUMBER(outYear),LKG37+LKG42+#REF!+#REF!,"")</f>
        <v/>
      </c>
      <c r="LKH48" s="84" t="str">
        <f>IF(ISNUMBER(outYear),LKH37+LKH42+#REF!+#REF!,"")</f>
        <v/>
      </c>
      <c r="LKI48" s="84" t="str">
        <f>IF(ISNUMBER(outYear),LKI37+LKI42+#REF!+#REF!,"")</f>
        <v/>
      </c>
      <c r="LKJ48" s="84" t="str">
        <f>IF(ISNUMBER(outYear),LKJ37+LKJ42+#REF!+#REF!,"")</f>
        <v/>
      </c>
      <c r="LKK48" s="84" t="str">
        <f>IF(ISNUMBER(outYear),LKK37+LKK42+#REF!+#REF!,"")</f>
        <v/>
      </c>
      <c r="LKL48" s="84" t="str">
        <f>IF(ISNUMBER(outYear),LKL37+LKL42+#REF!+#REF!,"")</f>
        <v/>
      </c>
      <c r="LKM48" s="84" t="str">
        <f>IF(ISNUMBER(outYear),LKM37+LKM42+#REF!+#REF!,"")</f>
        <v/>
      </c>
      <c r="LKN48" s="84" t="str">
        <f>IF(ISNUMBER(outYear),LKN37+LKN42+#REF!+#REF!,"")</f>
        <v/>
      </c>
      <c r="LKO48" s="84" t="str">
        <f>IF(ISNUMBER(outYear),LKO37+LKO42+#REF!+#REF!,"")</f>
        <v/>
      </c>
      <c r="LKP48" s="84" t="str">
        <f>IF(ISNUMBER(outYear),LKP37+LKP42+#REF!+#REF!,"")</f>
        <v/>
      </c>
      <c r="LKQ48" s="84" t="str">
        <f>IF(ISNUMBER(outYear),LKQ37+LKQ42+#REF!+#REF!,"")</f>
        <v/>
      </c>
      <c r="LKR48" s="84" t="str">
        <f>IF(ISNUMBER(outYear),LKR37+LKR42+#REF!+#REF!,"")</f>
        <v/>
      </c>
      <c r="LKS48" s="84" t="str">
        <f>IF(ISNUMBER(outYear),LKS37+LKS42+#REF!+#REF!,"")</f>
        <v/>
      </c>
      <c r="LKT48" s="84" t="str">
        <f>IF(ISNUMBER(outYear),LKT37+LKT42+#REF!+#REF!,"")</f>
        <v/>
      </c>
      <c r="LKU48" s="84" t="str">
        <f>IF(ISNUMBER(outYear),LKU37+LKU42+#REF!+#REF!,"")</f>
        <v/>
      </c>
      <c r="LKV48" s="84" t="str">
        <f>IF(ISNUMBER(outYear),LKV37+LKV42+#REF!+#REF!,"")</f>
        <v/>
      </c>
      <c r="LKW48" s="84" t="str">
        <f>IF(ISNUMBER(outYear),LKW37+LKW42+#REF!+#REF!,"")</f>
        <v/>
      </c>
      <c r="LKX48" s="84" t="str">
        <f>IF(ISNUMBER(outYear),LKX37+LKX42+#REF!+#REF!,"")</f>
        <v/>
      </c>
      <c r="LKY48" s="84" t="str">
        <f>IF(ISNUMBER(outYear),LKY37+LKY42+#REF!+#REF!,"")</f>
        <v/>
      </c>
      <c r="LKZ48" s="84" t="str">
        <f>IF(ISNUMBER(outYear),LKZ37+LKZ42+#REF!+#REF!,"")</f>
        <v/>
      </c>
      <c r="LLA48" s="84" t="str">
        <f>IF(ISNUMBER(outYear),LLA37+LLA42+#REF!+#REF!,"")</f>
        <v/>
      </c>
      <c r="LLB48" s="84" t="str">
        <f>IF(ISNUMBER(outYear),LLB37+LLB42+#REF!+#REF!,"")</f>
        <v/>
      </c>
      <c r="LLC48" s="84" t="str">
        <f>IF(ISNUMBER(outYear),LLC37+LLC42+#REF!+#REF!,"")</f>
        <v/>
      </c>
      <c r="LLD48" s="84" t="str">
        <f>IF(ISNUMBER(outYear),LLD37+LLD42+#REF!+#REF!,"")</f>
        <v/>
      </c>
      <c r="LLE48" s="84" t="str">
        <f>IF(ISNUMBER(outYear),LLE37+LLE42+#REF!+#REF!,"")</f>
        <v/>
      </c>
      <c r="LLF48" s="84" t="str">
        <f>IF(ISNUMBER(outYear),LLF37+LLF42+#REF!+#REF!,"")</f>
        <v/>
      </c>
      <c r="LLG48" s="84" t="str">
        <f>IF(ISNUMBER(outYear),LLG37+LLG42+#REF!+#REF!,"")</f>
        <v/>
      </c>
      <c r="LLH48" s="84" t="str">
        <f>IF(ISNUMBER(outYear),LLH37+LLH42+#REF!+#REF!,"")</f>
        <v/>
      </c>
      <c r="LLI48" s="84" t="str">
        <f>IF(ISNUMBER(outYear),LLI37+LLI42+#REF!+#REF!,"")</f>
        <v/>
      </c>
      <c r="LLJ48" s="84" t="str">
        <f>IF(ISNUMBER(outYear),LLJ37+LLJ42+#REF!+#REF!,"")</f>
        <v/>
      </c>
      <c r="LLK48" s="84" t="str">
        <f>IF(ISNUMBER(outYear),LLK37+LLK42+#REF!+#REF!,"")</f>
        <v/>
      </c>
      <c r="LLL48" s="84" t="str">
        <f>IF(ISNUMBER(outYear),LLL37+LLL42+#REF!+#REF!,"")</f>
        <v/>
      </c>
      <c r="LLM48" s="84" t="str">
        <f>IF(ISNUMBER(outYear),LLM37+LLM42+#REF!+#REF!,"")</f>
        <v/>
      </c>
      <c r="LLN48" s="84" t="str">
        <f>IF(ISNUMBER(outYear),LLN37+LLN42+#REF!+#REF!,"")</f>
        <v/>
      </c>
      <c r="LLO48" s="84" t="str">
        <f>IF(ISNUMBER(outYear),LLO37+LLO42+#REF!+#REF!,"")</f>
        <v/>
      </c>
      <c r="LLP48" s="84" t="str">
        <f>IF(ISNUMBER(outYear),LLP37+LLP42+#REF!+#REF!,"")</f>
        <v/>
      </c>
      <c r="LLQ48" s="84" t="str">
        <f>IF(ISNUMBER(outYear),LLQ37+LLQ42+#REF!+#REF!,"")</f>
        <v/>
      </c>
      <c r="LLR48" s="84" t="str">
        <f>IF(ISNUMBER(outYear),LLR37+LLR42+#REF!+#REF!,"")</f>
        <v/>
      </c>
      <c r="LLS48" s="84" t="str">
        <f>IF(ISNUMBER(outYear),LLS37+LLS42+#REF!+#REF!,"")</f>
        <v/>
      </c>
      <c r="LLT48" s="84" t="str">
        <f>IF(ISNUMBER(outYear),LLT37+LLT42+#REF!+#REF!,"")</f>
        <v/>
      </c>
      <c r="LLU48" s="84" t="str">
        <f>IF(ISNUMBER(outYear),LLU37+LLU42+#REF!+#REF!,"")</f>
        <v/>
      </c>
      <c r="LLV48" s="84" t="str">
        <f>IF(ISNUMBER(outYear),LLV37+LLV42+#REF!+#REF!,"")</f>
        <v/>
      </c>
      <c r="LLW48" s="84" t="str">
        <f>IF(ISNUMBER(outYear),LLW37+LLW42+#REF!+#REF!,"")</f>
        <v/>
      </c>
      <c r="LLX48" s="84" t="str">
        <f>IF(ISNUMBER(outYear),LLX37+LLX42+#REF!+#REF!,"")</f>
        <v/>
      </c>
      <c r="LLY48" s="84" t="str">
        <f>IF(ISNUMBER(outYear),LLY37+LLY42+#REF!+#REF!,"")</f>
        <v/>
      </c>
      <c r="LLZ48" s="84" t="str">
        <f>IF(ISNUMBER(outYear),LLZ37+LLZ42+#REF!+#REF!,"")</f>
        <v/>
      </c>
      <c r="LMA48" s="84" t="str">
        <f>IF(ISNUMBER(outYear),LMA37+LMA42+#REF!+#REF!,"")</f>
        <v/>
      </c>
      <c r="LMB48" s="84" t="str">
        <f>IF(ISNUMBER(outYear),LMB37+LMB42+#REF!+#REF!,"")</f>
        <v/>
      </c>
      <c r="LMC48" s="84" t="str">
        <f>IF(ISNUMBER(outYear),LMC37+LMC42+#REF!+#REF!,"")</f>
        <v/>
      </c>
      <c r="LMD48" s="84" t="str">
        <f>IF(ISNUMBER(outYear),LMD37+LMD42+#REF!+#REF!,"")</f>
        <v/>
      </c>
      <c r="LME48" s="84" t="str">
        <f>IF(ISNUMBER(outYear),LME37+LME42+#REF!+#REF!,"")</f>
        <v/>
      </c>
      <c r="LMF48" s="84" t="str">
        <f>IF(ISNUMBER(outYear),LMF37+LMF42+#REF!+#REF!,"")</f>
        <v/>
      </c>
      <c r="LMG48" s="84" t="str">
        <f>IF(ISNUMBER(outYear),LMG37+LMG42+#REF!+#REF!,"")</f>
        <v/>
      </c>
      <c r="LMH48" s="84" t="str">
        <f>IF(ISNUMBER(outYear),LMH37+LMH42+#REF!+#REF!,"")</f>
        <v/>
      </c>
      <c r="LMI48" s="84" t="str">
        <f>IF(ISNUMBER(outYear),LMI37+LMI42+#REF!+#REF!,"")</f>
        <v/>
      </c>
      <c r="LMJ48" s="84" t="str">
        <f>IF(ISNUMBER(outYear),LMJ37+LMJ42+#REF!+#REF!,"")</f>
        <v/>
      </c>
      <c r="LMK48" s="84" t="str">
        <f>IF(ISNUMBER(outYear),LMK37+LMK42+#REF!+#REF!,"")</f>
        <v/>
      </c>
      <c r="LML48" s="84" t="str">
        <f>IF(ISNUMBER(outYear),LML37+LML42+#REF!+#REF!,"")</f>
        <v/>
      </c>
      <c r="LMM48" s="84" t="str">
        <f>IF(ISNUMBER(outYear),LMM37+LMM42+#REF!+#REF!,"")</f>
        <v/>
      </c>
      <c r="LMN48" s="84" t="str">
        <f>IF(ISNUMBER(outYear),LMN37+LMN42+#REF!+#REF!,"")</f>
        <v/>
      </c>
      <c r="LMO48" s="84" t="str">
        <f>IF(ISNUMBER(outYear),LMO37+LMO42+#REF!+#REF!,"")</f>
        <v/>
      </c>
      <c r="LMP48" s="84" t="str">
        <f>IF(ISNUMBER(outYear),LMP37+LMP42+#REF!+#REF!,"")</f>
        <v/>
      </c>
      <c r="LMQ48" s="84" t="str">
        <f>IF(ISNUMBER(outYear),LMQ37+LMQ42+#REF!+#REF!,"")</f>
        <v/>
      </c>
      <c r="LMR48" s="84" t="str">
        <f>IF(ISNUMBER(outYear),LMR37+LMR42+#REF!+#REF!,"")</f>
        <v/>
      </c>
      <c r="LMS48" s="84" t="str">
        <f>IF(ISNUMBER(outYear),LMS37+LMS42+#REF!+#REF!,"")</f>
        <v/>
      </c>
      <c r="LMT48" s="84" t="str">
        <f>IF(ISNUMBER(outYear),LMT37+LMT42+#REF!+#REF!,"")</f>
        <v/>
      </c>
      <c r="LMU48" s="84" t="str">
        <f>IF(ISNUMBER(outYear),LMU37+LMU42+#REF!+#REF!,"")</f>
        <v/>
      </c>
      <c r="LMV48" s="84" t="str">
        <f>IF(ISNUMBER(outYear),LMV37+LMV42+#REF!+#REF!,"")</f>
        <v/>
      </c>
      <c r="LMW48" s="84" t="str">
        <f>IF(ISNUMBER(outYear),LMW37+LMW42+#REF!+#REF!,"")</f>
        <v/>
      </c>
      <c r="LMX48" s="84" t="str">
        <f>IF(ISNUMBER(outYear),LMX37+LMX42+#REF!+#REF!,"")</f>
        <v/>
      </c>
      <c r="LMY48" s="84" t="str">
        <f>IF(ISNUMBER(outYear),LMY37+LMY42+#REF!+#REF!,"")</f>
        <v/>
      </c>
      <c r="LMZ48" s="84" t="str">
        <f>IF(ISNUMBER(outYear),LMZ37+LMZ42+#REF!+#REF!,"")</f>
        <v/>
      </c>
      <c r="LNA48" s="84" t="str">
        <f>IF(ISNUMBER(outYear),LNA37+LNA42+#REF!+#REF!,"")</f>
        <v/>
      </c>
      <c r="LNB48" s="84" t="str">
        <f>IF(ISNUMBER(outYear),LNB37+LNB42+#REF!+#REF!,"")</f>
        <v/>
      </c>
      <c r="LNC48" s="84" t="str">
        <f>IF(ISNUMBER(outYear),LNC37+LNC42+#REF!+#REF!,"")</f>
        <v/>
      </c>
      <c r="LND48" s="84" t="str">
        <f>IF(ISNUMBER(outYear),LND37+LND42+#REF!+#REF!,"")</f>
        <v/>
      </c>
      <c r="LNE48" s="84" t="str">
        <f>IF(ISNUMBER(outYear),LNE37+LNE42+#REF!+#REF!,"")</f>
        <v/>
      </c>
      <c r="LNF48" s="84" t="str">
        <f>IF(ISNUMBER(outYear),LNF37+LNF42+#REF!+#REF!,"")</f>
        <v/>
      </c>
      <c r="LNG48" s="84" t="str">
        <f>IF(ISNUMBER(outYear),LNG37+LNG42+#REF!+#REF!,"")</f>
        <v/>
      </c>
      <c r="LNH48" s="84" t="str">
        <f>IF(ISNUMBER(outYear),LNH37+LNH42+#REF!+#REF!,"")</f>
        <v/>
      </c>
      <c r="LNI48" s="84" t="str">
        <f>IF(ISNUMBER(outYear),LNI37+LNI42+#REF!+#REF!,"")</f>
        <v/>
      </c>
      <c r="LNJ48" s="84" t="str">
        <f>IF(ISNUMBER(outYear),LNJ37+LNJ42+#REF!+#REF!,"")</f>
        <v/>
      </c>
      <c r="LNK48" s="84" t="str">
        <f>IF(ISNUMBER(outYear),LNK37+LNK42+#REF!+#REF!,"")</f>
        <v/>
      </c>
      <c r="LNL48" s="84" t="str">
        <f>IF(ISNUMBER(outYear),LNL37+LNL42+#REF!+#REF!,"")</f>
        <v/>
      </c>
      <c r="LNM48" s="84" t="str">
        <f>IF(ISNUMBER(outYear),LNM37+LNM42+#REF!+#REF!,"")</f>
        <v/>
      </c>
      <c r="LNN48" s="84" t="str">
        <f>IF(ISNUMBER(outYear),LNN37+LNN42+#REF!+#REF!,"")</f>
        <v/>
      </c>
      <c r="LNO48" s="84" t="str">
        <f>IF(ISNUMBER(outYear),LNO37+LNO42+#REF!+#REF!,"")</f>
        <v/>
      </c>
      <c r="LNP48" s="84" t="str">
        <f>IF(ISNUMBER(outYear),LNP37+LNP42+#REF!+#REF!,"")</f>
        <v/>
      </c>
      <c r="LNQ48" s="84" t="str">
        <f>IF(ISNUMBER(outYear),LNQ37+LNQ42+#REF!+#REF!,"")</f>
        <v/>
      </c>
      <c r="LNR48" s="84" t="str">
        <f>IF(ISNUMBER(outYear),LNR37+LNR42+#REF!+#REF!,"")</f>
        <v/>
      </c>
      <c r="LNS48" s="84" t="str">
        <f>IF(ISNUMBER(outYear),LNS37+LNS42+#REF!+#REF!,"")</f>
        <v/>
      </c>
      <c r="LNT48" s="84" t="str">
        <f>IF(ISNUMBER(outYear),LNT37+LNT42+#REF!+#REF!,"")</f>
        <v/>
      </c>
      <c r="LNU48" s="84" t="str">
        <f>IF(ISNUMBER(outYear),LNU37+LNU42+#REF!+#REF!,"")</f>
        <v/>
      </c>
      <c r="LNV48" s="84" t="str">
        <f>IF(ISNUMBER(outYear),LNV37+LNV42+#REF!+#REF!,"")</f>
        <v/>
      </c>
      <c r="LNW48" s="84" t="str">
        <f>IF(ISNUMBER(outYear),LNW37+LNW42+#REF!+#REF!,"")</f>
        <v/>
      </c>
      <c r="LNX48" s="84" t="str">
        <f>IF(ISNUMBER(outYear),LNX37+LNX42+#REF!+#REF!,"")</f>
        <v/>
      </c>
      <c r="LNY48" s="84" t="str">
        <f>IF(ISNUMBER(outYear),LNY37+LNY42+#REF!+#REF!,"")</f>
        <v/>
      </c>
      <c r="LNZ48" s="84" t="str">
        <f>IF(ISNUMBER(outYear),LNZ37+LNZ42+#REF!+#REF!,"")</f>
        <v/>
      </c>
      <c r="LOA48" s="84" t="str">
        <f>IF(ISNUMBER(outYear),LOA37+LOA42+#REF!+#REF!,"")</f>
        <v/>
      </c>
      <c r="LOB48" s="84" t="str">
        <f>IF(ISNUMBER(outYear),LOB37+LOB42+#REF!+#REF!,"")</f>
        <v/>
      </c>
      <c r="LOC48" s="84" t="str">
        <f>IF(ISNUMBER(outYear),LOC37+LOC42+#REF!+#REF!,"")</f>
        <v/>
      </c>
      <c r="LOD48" s="84" t="str">
        <f>IF(ISNUMBER(outYear),LOD37+LOD42+#REF!+#REF!,"")</f>
        <v/>
      </c>
      <c r="LOE48" s="84" t="str">
        <f>IF(ISNUMBER(outYear),LOE37+LOE42+#REF!+#REF!,"")</f>
        <v/>
      </c>
      <c r="LOF48" s="84" t="str">
        <f>IF(ISNUMBER(outYear),LOF37+LOF42+#REF!+#REF!,"")</f>
        <v/>
      </c>
      <c r="LOG48" s="84" t="str">
        <f>IF(ISNUMBER(outYear),LOG37+LOG42+#REF!+#REF!,"")</f>
        <v/>
      </c>
      <c r="LOH48" s="84" t="str">
        <f>IF(ISNUMBER(outYear),LOH37+LOH42+#REF!+#REF!,"")</f>
        <v/>
      </c>
      <c r="LOI48" s="84" t="str">
        <f>IF(ISNUMBER(outYear),LOI37+LOI42+#REF!+#REF!,"")</f>
        <v/>
      </c>
      <c r="LOJ48" s="84" t="str">
        <f>IF(ISNUMBER(outYear),LOJ37+LOJ42+#REF!+#REF!,"")</f>
        <v/>
      </c>
      <c r="LOK48" s="84" t="str">
        <f>IF(ISNUMBER(outYear),LOK37+LOK42+#REF!+#REF!,"")</f>
        <v/>
      </c>
      <c r="LOL48" s="84" t="str">
        <f>IF(ISNUMBER(outYear),LOL37+LOL42+#REF!+#REF!,"")</f>
        <v/>
      </c>
      <c r="LOM48" s="84" t="str">
        <f>IF(ISNUMBER(outYear),LOM37+LOM42+#REF!+#REF!,"")</f>
        <v/>
      </c>
      <c r="LON48" s="84" t="str">
        <f>IF(ISNUMBER(outYear),LON37+LON42+#REF!+#REF!,"")</f>
        <v/>
      </c>
      <c r="LOO48" s="84" t="str">
        <f>IF(ISNUMBER(outYear),LOO37+LOO42+#REF!+#REF!,"")</f>
        <v/>
      </c>
      <c r="LOP48" s="84" t="str">
        <f>IF(ISNUMBER(outYear),LOP37+LOP42+#REF!+#REF!,"")</f>
        <v/>
      </c>
      <c r="LOQ48" s="84" t="str">
        <f>IF(ISNUMBER(outYear),LOQ37+LOQ42+#REF!+#REF!,"")</f>
        <v/>
      </c>
      <c r="LOR48" s="84" t="str">
        <f>IF(ISNUMBER(outYear),LOR37+LOR42+#REF!+#REF!,"")</f>
        <v/>
      </c>
      <c r="LOS48" s="84" t="str">
        <f>IF(ISNUMBER(outYear),LOS37+LOS42+#REF!+#REF!,"")</f>
        <v/>
      </c>
      <c r="LOT48" s="84" t="str">
        <f>IF(ISNUMBER(outYear),LOT37+LOT42+#REF!+#REF!,"")</f>
        <v/>
      </c>
      <c r="LOU48" s="84" t="str">
        <f>IF(ISNUMBER(outYear),LOU37+LOU42+#REF!+#REF!,"")</f>
        <v/>
      </c>
      <c r="LOV48" s="84" t="str">
        <f>IF(ISNUMBER(outYear),LOV37+LOV42+#REF!+#REF!,"")</f>
        <v/>
      </c>
      <c r="LOW48" s="84" t="str">
        <f>IF(ISNUMBER(outYear),LOW37+LOW42+#REF!+#REF!,"")</f>
        <v/>
      </c>
      <c r="LOX48" s="84" t="str">
        <f>IF(ISNUMBER(outYear),LOX37+LOX42+#REF!+#REF!,"")</f>
        <v/>
      </c>
      <c r="LOY48" s="84" t="str">
        <f>IF(ISNUMBER(outYear),LOY37+LOY42+#REF!+#REF!,"")</f>
        <v/>
      </c>
      <c r="LOZ48" s="84" t="str">
        <f>IF(ISNUMBER(outYear),LOZ37+LOZ42+#REF!+#REF!,"")</f>
        <v/>
      </c>
      <c r="LPA48" s="84" t="str">
        <f>IF(ISNUMBER(outYear),LPA37+LPA42+#REF!+#REF!,"")</f>
        <v/>
      </c>
      <c r="LPB48" s="84" t="str">
        <f>IF(ISNUMBER(outYear),LPB37+LPB42+#REF!+#REF!,"")</f>
        <v/>
      </c>
      <c r="LPC48" s="84" t="str">
        <f>IF(ISNUMBER(outYear),LPC37+LPC42+#REF!+#REF!,"")</f>
        <v/>
      </c>
      <c r="LPD48" s="84" t="str">
        <f>IF(ISNUMBER(outYear),LPD37+LPD42+#REF!+#REF!,"")</f>
        <v/>
      </c>
      <c r="LPE48" s="84" t="str">
        <f>IF(ISNUMBER(outYear),LPE37+LPE42+#REF!+#REF!,"")</f>
        <v/>
      </c>
      <c r="LPF48" s="84" t="str">
        <f>IF(ISNUMBER(outYear),LPF37+LPF42+#REF!+#REF!,"")</f>
        <v/>
      </c>
      <c r="LPG48" s="84" t="str">
        <f>IF(ISNUMBER(outYear),LPG37+LPG42+#REF!+#REF!,"")</f>
        <v/>
      </c>
      <c r="LPH48" s="84" t="str">
        <f>IF(ISNUMBER(outYear),LPH37+LPH42+#REF!+#REF!,"")</f>
        <v/>
      </c>
      <c r="LPI48" s="84" t="str">
        <f>IF(ISNUMBER(outYear),LPI37+LPI42+#REF!+#REF!,"")</f>
        <v/>
      </c>
      <c r="LPJ48" s="84" t="str">
        <f>IF(ISNUMBER(outYear),LPJ37+LPJ42+#REF!+#REF!,"")</f>
        <v/>
      </c>
      <c r="LPK48" s="84" t="str">
        <f>IF(ISNUMBER(outYear),LPK37+LPK42+#REF!+#REF!,"")</f>
        <v/>
      </c>
      <c r="LPL48" s="84" t="str">
        <f>IF(ISNUMBER(outYear),LPL37+LPL42+#REF!+#REF!,"")</f>
        <v/>
      </c>
      <c r="LPM48" s="84" t="str">
        <f>IF(ISNUMBER(outYear),LPM37+LPM42+#REF!+#REF!,"")</f>
        <v/>
      </c>
      <c r="LPN48" s="84" t="str">
        <f>IF(ISNUMBER(outYear),LPN37+LPN42+#REF!+#REF!,"")</f>
        <v/>
      </c>
      <c r="LPO48" s="84" t="str">
        <f>IF(ISNUMBER(outYear),LPO37+LPO42+#REF!+#REF!,"")</f>
        <v/>
      </c>
      <c r="LPP48" s="84" t="str">
        <f>IF(ISNUMBER(outYear),LPP37+LPP42+#REF!+#REF!,"")</f>
        <v/>
      </c>
      <c r="LPQ48" s="84" t="str">
        <f>IF(ISNUMBER(outYear),LPQ37+LPQ42+#REF!+#REF!,"")</f>
        <v/>
      </c>
      <c r="LPR48" s="84" t="str">
        <f>IF(ISNUMBER(outYear),LPR37+LPR42+#REF!+#REF!,"")</f>
        <v/>
      </c>
      <c r="LPS48" s="84" t="str">
        <f>IF(ISNUMBER(outYear),LPS37+LPS42+#REF!+#REF!,"")</f>
        <v/>
      </c>
      <c r="LPT48" s="84" t="str">
        <f>IF(ISNUMBER(outYear),LPT37+LPT42+#REF!+#REF!,"")</f>
        <v/>
      </c>
      <c r="LPU48" s="84" t="str">
        <f>IF(ISNUMBER(outYear),LPU37+LPU42+#REF!+#REF!,"")</f>
        <v/>
      </c>
      <c r="LPV48" s="84" t="str">
        <f>IF(ISNUMBER(outYear),LPV37+LPV42+#REF!+#REF!,"")</f>
        <v/>
      </c>
      <c r="LPW48" s="84" t="str">
        <f>IF(ISNUMBER(outYear),LPW37+LPW42+#REF!+#REF!,"")</f>
        <v/>
      </c>
      <c r="LPX48" s="84" t="str">
        <f>IF(ISNUMBER(outYear),LPX37+LPX42+#REF!+#REF!,"")</f>
        <v/>
      </c>
      <c r="LPY48" s="84" t="str">
        <f>IF(ISNUMBER(outYear),LPY37+LPY42+#REF!+#REF!,"")</f>
        <v/>
      </c>
      <c r="LPZ48" s="84" t="str">
        <f>IF(ISNUMBER(outYear),LPZ37+LPZ42+#REF!+#REF!,"")</f>
        <v/>
      </c>
      <c r="LQA48" s="84" t="str">
        <f>IF(ISNUMBER(outYear),LQA37+LQA42+#REF!+#REF!,"")</f>
        <v/>
      </c>
      <c r="LQB48" s="84" t="str">
        <f>IF(ISNUMBER(outYear),LQB37+LQB42+#REF!+#REF!,"")</f>
        <v/>
      </c>
      <c r="LQC48" s="84" t="str">
        <f>IF(ISNUMBER(outYear),LQC37+LQC42+#REF!+#REF!,"")</f>
        <v/>
      </c>
      <c r="LQD48" s="84" t="str">
        <f>IF(ISNUMBER(outYear),LQD37+LQD42+#REF!+#REF!,"")</f>
        <v/>
      </c>
      <c r="LQE48" s="84" t="str">
        <f>IF(ISNUMBER(outYear),LQE37+LQE42+#REF!+#REF!,"")</f>
        <v/>
      </c>
      <c r="LQF48" s="84" t="str">
        <f>IF(ISNUMBER(outYear),LQF37+LQF42+#REF!+#REF!,"")</f>
        <v/>
      </c>
      <c r="LQG48" s="84" t="str">
        <f>IF(ISNUMBER(outYear),LQG37+LQG42+#REF!+#REF!,"")</f>
        <v/>
      </c>
      <c r="LQH48" s="84" t="str">
        <f>IF(ISNUMBER(outYear),LQH37+LQH42+#REF!+#REF!,"")</f>
        <v/>
      </c>
      <c r="LQI48" s="84" t="str">
        <f>IF(ISNUMBER(outYear),LQI37+LQI42+#REF!+#REF!,"")</f>
        <v/>
      </c>
      <c r="LQJ48" s="84" t="str">
        <f>IF(ISNUMBER(outYear),LQJ37+LQJ42+#REF!+#REF!,"")</f>
        <v/>
      </c>
      <c r="LQK48" s="84" t="str">
        <f>IF(ISNUMBER(outYear),LQK37+LQK42+#REF!+#REF!,"")</f>
        <v/>
      </c>
      <c r="LQL48" s="84" t="str">
        <f>IF(ISNUMBER(outYear),LQL37+LQL42+#REF!+#REF!,"")</f>
        <v/>
      </c>
      <c r="LQM48" s="84" t="str">
        <f>IF(ISNUMBER(outYear),LQM37+LQM42+#REF!+#REF!,"")</f>
        <v/>
      </c>
      <c r="LQN48" s="84" t="str">
        <f>IF(ISNUMBER(outYear),LQN37+LQN42+#REF!+#REF!,"")</f>
        <v/>
      </c>
      <c r="LQO48" s="84" t="str">
        <f>IF(ISNUMBER(outYear),LQO37+LQO42+#REF!+#REF!,"")</f>
        <v/>
      </c>
      <c r="LQP48" s="84" t="str">
        <f>IF(ISNUMBER(outYear),LQP37+LQP42+#REF!+#REF!,"")</f>
        <v/>
      </c>
      <c r="LQQ48" s="84" t="str">
        <f>IF(ISNUMBER(outYear),LQQ37+LQQ42+#REF!+#REF!,"")</f>
        <v/>
      </c>
      <c r="LQR48" s="84" t="str">
        <f>IF(ISNUMBER(outYear),LQR37+LQR42+#REF!+#REF!,"")</f>
        <v/>
      </c>
      <c r="LQS48" s="84" t="str">
        <f>IF(ISNUMBER(outYear),LQS37+LQS42+#REF!+#REF!,"")</f>
        <v/>
      </c>
      <c r="LQT48" s="84" t="str">
        <f>IF(ISNUMBER(outYear),LQT37+LQT42+#REF!+#REF!,"")</f>
        <v/>
      </c>
      <c r="LQU48" s="84" t="str">
        <f>IF(ISNUMBER(outYear),LQU37+LQU42+#REF!+#REF!,"")</f>
        <v/>
      </c>
      <c r="LQV48" s="84" t="str">
        <f>IF(ISNUMBER(outYear),LQV37+LQV42+#REF!+#REF!,"")</f>
        <v/>
      </c>
      <c r="LQW48" s="84" t="str">
        <f>IF(ISNUMBER(outYear),LQW37+LQW42+#REF!+#REF!,"")</f>
        <v/>
      </c>
      <c r="LQX48" s="84" t="str">
        <f>IF(ISNUMBER(outYear),LQX37+LQX42+#REF!+#REF!,"")</f>
        <v/>
      </c>
      <c r="LQY48" s="84" t="str">
        <f>IF(ISNUMBER(outYear),LQY37+LQY42+#REF!+#REF!,"")</f>
        <v/>
      </c>
      <c r="LQZ48" s="84" t="str">
        <f>IF(ISNUMBER(outYear),LQZ37+LQZ42+#REF!+#REF!,"")</f>
        <v/>
      </c>
      <c r="LRA48" s="84" t="str">
        <f>IF(ISNUMBER(outYear),LRA37+LRA42+#REF!+#REF!,"")</f>
        <v/>
      </c>
      <c r="LRB48" s="84" t="str">
        <f>IF(ISNUMBER(outYear),LRB37+LRB42+#REF!+#REF!,"")</f>
        <v/>
      </c>
      <c r="LRC48" s="84" t="str">
        <f>IF(ISNUMBER(outYear),LRC37+LRC42+#REF!+#REF!,"")</f>
        <v/>
      </c>
      <c r="LRD48" s="84" t="str">
        <f>IF(ISNUMBER(outYear),LRD37+LRD42+#REF!+#REF!,"")</f>
        <v/>
      </c>
      <c r="LRE48" s="84" t="str">
        <f>IF(ISNUMBER(outYear),LRE37+LRE42+#REF!+#REF!,"")</f>
        <v/>
      </c>
      <c r="LRF48" s="84" t="str">
        <f>IF(ISNUMBER(outYear),LRF37+LRF42+#REF!+#REF!,"")</f>
        <v/>
      </c>
      <c r="LRG48" s="84" t="str">
        <f>IF(ISNUMBER(outYear),LRG37+LRG42+#REF!+#REF!,"")</f>
        <v/>
      </c>
      <c r="LRH48" s="84" t="str">
        <f>IF(ISNUMBER(outYear),LRH37+LRH42+#REF!+#REF!,"")</f>
        <v/>
      </c>
      <c r="LRI48" s="84" t="str">
        <f>IF(ISNUMBER(outYear),LRI37+LRI42+#REF!+#REF!,"")</f>
        <v/>
      </c>
      <c r="LRJ48" s="84" t="str">
        <f>IF(ISNUMBER(outYear),LRJ37+LRJ42+#REF!+#REF!,"")</f>
        <v/>
      </c>
      <c r="LRK48" s="84" t="str">
        <f>IF(ISNUMBER(outYear),LRK37+LRK42+#REF!+#REF!,"")</f>
        <v/>
      </c>
      <c r="LRL48" s="84" t="str">
        <f>IF(ISNUMBER(outYear),LRL37+LRL42+#REF!+#REF!,"")</f>
        <v/>
      </c>
      <c r="LRM48" s="84" t="str">
        <f>IF(ISNUMBER(outYear),LRM37+LRM42+#REF!+#REF!,"")</f>
        <v/>
      </c>
      <c r="LRN48" s="84" t="str">
        <f>IF(ISNUMBER(outYear),LRN37+LRN42+#REF!+#REF!,"")</f>
        <v/>
      </c>
      <c r="LRO48" s="84" t="str">
        <f>IF(ISNUMBER(outYear),LRO37+LRO42+#REF!+#REF!,"")</f>
        <v/>
      </c>
      <c r="LRP48" s="84" t="str">
        <f>IF(ISNUMBER(outYear),LRP37+LRP42+#REF!+#REF!,"")</f>
        <v/>
      </c>
      <c r="LRQ48" s="84" t="str">
        <f>IF(ISNUMBER(outYear),LRQ37+LRQ42+#REF!+#REF!,"")</f>
        <v/>
      </c>
      <c r="LRR48" s="84" t="str">
        <f>IF(ISNUMBER(outYear),LRR37+LRR42+#REF!+#REF!,"")</f>
        <v/>
      </c>
      <c r="LRS48" s="84" t="str">
        <f>IF(ISNUMBER(outYear),LRS37+LRS42+#REF!+#REF!,"")</f>
        <v/>
      </c>
      <c r="LRT48" s="84" t="str">
        <f>IF(ISNUMBER(outYear),LRT37+LRT42+#REF!+#REF!,"")</f>
        <v/>
      </c>
      <c r="LRU48" s="84" t="str">
        <f>IF(ISNUMBER(outYear),LRU37+LRU42+#REF!+#REF!,"")</f>
        <v/>
      </c>
      <c r="LRV48" s="84" t="str">
        <f>IF(ISNUMBER(outYear),LRV37+LRV42+#REF!+#REF!,"")</f>
        <v/>
      </c>
      <c r="LRW48" s="84" t="str">
        <f>IF(ISNUMBER(outYear),LRW37+LRW42+#REF!+#REF!,"")</f>
        <v/>
      </c>
      <c r="LRX48" s="84" t="str">
        <f>IF(ISNUMBER(outYear),LRX37+LRX42+#REF!+#REF!,"")</f>
        <v/>
      </c>
      <c r="LRY48" s="84" t="str">
        <f>IF(ISNUMBER(outYear),LRY37+LRY42+#REF!+#REF!,"")</f>
        <v/>
      </c>
      <c r="LRZ48" s="84" t="str">
        <f>IF(ISNUMBER(outYear),LRZ37+LRZ42+#REF!+#REF!,"")</f>
        <v/>
      </c>
      <c r="LSA48" s="84" t="str">
        <f>IF(ISNUMBER(outYear),LSA37+LSA42+#REF!+#REF!,"")</f>
        <v/>
      </c>
      <c r="LSB48" s="84" t="str">
        <f>IF(ISNUMBER(outYear),LSB37+LSB42+#REF!+#REF!,"")</f>
        <v/>
      </c>
      <c r="LSC48" s="84" t="str">
        <f>IF(ISNUMBER(outYear),LSC37+LSC42+#REF!+#REF!,"")</f>
        <v/>
      </c>
      <c r="LSD48" s="84" t="str">
        <f>IF(ISNUMBER(outYear),LSD37+LSD42+#REF!+#REF!,"")</f>
        <v/>
      </c>
      <c r="LSE48" s="84" t="str">
        <f>IF(ISNUMBER(outYear),LSE37+LSE42+#REF!+#REF!,"")</f>
        <v/>
      </c>
      <c r="LSF48" s="84" t="str">
        <f>IF(ISNUMBER(outYear),LSF37+LSF42+#REF!+#REF!,"")</f>
        <v/>
      </c>
      <c r="LSG48" s="84" t="str">
        <f>IF(ISNUMBER(outYear),LSG37+LSG42+#REF!+#REF!,"")</f>
        <v/>
      </c>
      <c r="LSH48" s="84" t="str">
        <f>IF(ISNUMBER(outYear),LSH37+LSH42+#REF!+#REF!,"")</f>
        <v/>
      </c>
      <c r="LSI48" s="84" t="str">
        <f>IF(ISNUMBER(outYear),LSI37+LSI42+#REF!+#REF!,"")</f>
        <v/>
      </c>
      <c r="LSJ48" s="84" t="str">
        <f>IF(ISNUMBER(outYear),LSJ37+LSJ42+#REF!+#REF!,"")</f>
        <v/>
      </c>
      <c r="LSK48" s="84" t="str">
        <f>IF(ISNUMBER(outYear),LSK37+LSK42+#REF!+#REF!,"")</f>
        <v/>
      </c>
      <c r="LSL48" s="84" t="str">
        <f>IF(ISNUMBER(outYear),LSL37+LSL42+#REF!+#REF!,"")</f>
        <v/>
      </c>
      <c r="LSM48" s="84" t="str">
        <f>IF(ISNUMBER(outYear),LSM37+LSM42+#REF!+#REF!,"")</f>
        <v/>
      </c>
      <c r="LSN48" s="84" t="str">
        <f>IF(ISNUMBER(outYear),LSN37+LSN42+#REF!+#REF!,"")</f>
        <v/>
      </c>
      <c r="LSO48" s="84" t="str">
        <f>IF(ISNUMBER(outYear),LSO37+LSO42+#REF!+#REF!,"")</f>
        <v/>
      </c>
      <c r="LSP48" s="84" t="str">
        <f>IF(ISNUMBER(outYear),LSP37+LSP42+#REF!+#REF!,"")</f>
        <v/>
      </c>
      <c r="LSQ48" s="84" t="str">
        <f>IF(ISNUMBER(outYear),LSQ37+LSQ42+#REF!+#REF!,"")</f>
        <v/>
      </c>
      <c r="LSR48" s="84" t="str">
        <f>IF(ISNUMBER(outYear),LSR37+LSR42+#REF!+#REF!,"")</f>
        <v/>
      </c>
      <c r="LSS48" s="84" t="str">
        <f>IF(ISNUMBER(outYear),LSS37+LSS42+#REF!+#REF!,"")</f>
        <v/>
      </c>
      <c r="LST48" s="84" t="str">
        <f>IF(ISNUMBER(outYear),LST37+LST42+#REF!+#REF!,"")</f>
        <v/>
      </c>
      <c r="LSU48" s="84" t="str">
        <f>IF(ISNUMBER(outYear),LSU37+LSU42+#REF!+#REF!,"")</f>
        <v/>
      </c>
      <c r="LSV48" s="84" t="str">
        <f>IF(ISNUMBER(outYear),LSV37+LSV42+#REF!+#REF!,"")</f>
        <v/>
      </c>
      <c r="LSW48" s="84" t="str">
        <f>IF(ISNUMBER(outYear),LSW37+LSW42+#REF!+#REF!,"")</f>
        <v/>
      </c>
      <c r="LSX48" s="84" t="str">
        <f>IF(ISNUMBER(outYear),LSX37+LSX42+#REF!+#REF!,"")</f>
        <v/>
      </c>
      <c r="LSY48" s="84" t="str">
        <f>IF(ISNUMBER(outYear),LSY37+LSY42+#REF!+#REF!,"")</f>
        <v/>
      </c>
      <c r="LSZ48" s="84" t="str">
        <f>IF(ISNUMBER(outYear),LSZ37+LSZ42+#REF!+#REF!,"")</f>
        <v/>
      </c>
      <c r="LTA48" s="84" t="str">
        <f>IF(ISNUMBER(outYear),LTA37+LTA42+#REF!+#REF!,"")</f>
        <v/>
      </c>
      <c r="LTB48" s="84" t="str">
        <f>IF(ISNUMBER(outYear),LTB37+LTB42+#REF!+#REF!,"")</f>
        <v/>
      </c>
      <c r="LTC48" s="84" t="str">
        <f>IF(ISNUMBER(outYear),LTC37+LTC42+#REF!+#REF!,"")</f>
        <v/>
      </c>
      <c r="LTD48" s="84" t="str">
        <f>IF(ISNUMBER(outYear),LTD37+LTD42+#REF!+#REF!,"")</f>
        <v/>
      </c>
      <c r="LTE48" s="84" t="str">
        <f>IF(ISNUMBER(outYear),LTE37+LTE42+#REF!+#REF!,"")</f>
        <v/>
      </c>
      <c r="LTF48" s="84" t="str">
        <f>IF(ISNUMBER(outYear),LTF37+LTF42+#REF!+#REF!,"")</f>
        <v/>
      </c>
      <c r="LTG48" s="84" t="str">
        <f>IF(ISNUMBER(outYear),LTG37+LTG42+#REF!+#REF!,"")</f>
        <v/>
      </c>
      <c r="LTH48" s="84" t="str">
        <f>IF(ISNUMBER(outYear),LTH37+LTH42+#REF!+#REF!,"")</f>
        <v/>
      </c>
      <c r="LTI48" s="84" t="str">
        <f>IF(ISNUMBER(outYear),LTI37+LTI42+#REF!+#REF!,"")</f>
        <v/>
      </c>
      <c r="LTJ48" s="84" t="str">
        <f>IF(ISNUMBER(outYear),LTJ37+LTJ42+#REF!+#REF!,"")</f>
        <v/>
      </c>
      <c r="LTK48" s="84" t="str">
        <f>IF(ISNUMBER(outYear),LTK37+LTK42+#REF!+#REF!,"")</f>
        <v/>
      </c>
      <c r="LTL48" s="84" t="str">
        <f>IF(ISNUMBER(outYear),LTL37+LTL42+#REF!+#REF!,"")</f>
        <v/>
      </c>
      <c r="LTM48" s="84" t="str">
        <f>IF(ISNUMBER(outYear),LTM37+LTM42+#REF!+#REF!,"")</f>
        <v/>
      </c>
      <c r="LTN48" s="84" t="str">
        <f>IF(ISNUMBER(outYear),LTN37+LTN42+#REF!+#REF!,"")</f>
        <v/>
      </c>
      <c r="LTO48" s="84" t="str">
        <f>IF(ISNUMBER(outYear),LTO37+LTO42+#REF!+#REF!,"")</f>
        <v/>
      </c>
      <c r="LTP48" s="84" t="str">
        <f>IF(ISNUMBER(outYear),LTP37+LTP42+#REF!+#REF!,"")</f>
        <v/>
      </c>
      <c r="LTQ48" s="84" t="str">
        <f>IF(ISNUMBER(outYear),LTQ37+LTQ42+#REF!+#REF!,"")</f>
        <v/>
      </c>
      <c r="LTR48" s="84" t="str">
        <f>IF(ISNUMBER(outYear),LTR37+LTR42+#REF!+#REF!,"")</f>
        <v/>
      </c>
      <c r="LTS48" s="84" t="str">
        <f>IF(ISNUMBER(outYear),LTS37+LTS42+#REF!+#REF!,"")</f>
        <v/>
      </c>
      <c r="LTT48" s="84" t="str">
        <f>IF(ISNUMBER(outYear),LTT37+LTT42+#REF!+#REF!,"")</f>
        <v/>
      </c>
      <c r="LTU48" s="84" t="str">
        <f>IF(ISNUMBER(outYear),LTU37+LTU42+#REF!+#REF!,"")</f>
        <v/>
      </c>
      <c r="LTV48" s="84" t="str">
        <f>IF(ISNUMBER(outYear),LTV37+LTV42+#REF!+#REF!,"")</f>
        <v/>
      </c>
      <c r="LTW48" s="84" t="str">
        <f>IF(ISNUMBER(outYear),LTW37+LTW42+#REF!+#REF!,"")</f>
        <v/>
      </c>
      <c r="LTX48" s="84" t="str">
        <f>IF(ISNUMBER(outYear),LTX37+LTX42+#REF!+#REF!,"")</f>
        <v/>
      </c>
      <c r="LTY48" s="84" t="str">
        <f>IF(ISNUMBER(outYear),LTY37+LTY42+#REF!+#REF!,"")</f>
        <v/>
      </c>
      <c r="LTZ48" s="84" t="str">
        <f>IF(ISNUMBER(outYear),LTZ37+LTZ42+#REF!+#REF!,"")</f>
        <v/>
      </c>
      <c r="LUA48" s="84" t="str">
        <f>IF(ISNUMBER(outYear),LUA37+LUA42+#REF!+#REF!,"")</f>
        <v/>
      </c>
      <c r="LUB48" s="84" t="str">
        <f>IF(ISNUMBER(outYear),LUB37+LUB42+#REF!+#REF!,"")</f>
        <v/>
      </c>
      <c r="LUC48" s="84" t="str">
        <f>IF(ISNUMBER(outYear),LUC37+LUC42+#REF!+#REF!,"")</f>
        <v/>
      </c>
      <c r="LUD48" s="84" t="str">
        <f>IF(ISNUMBER(outYear),LUD37+LUD42+#REF!+#REF!,"")</f>
        <v/>
      </c>
      <c r="LUE48" s="84" t="str">
        <f>IF(ISNUMBER(outYear),LUE37+LUE42+#REF!+#REF!,"")</f>
        <v/>
      </c>
      <c r="LUF48" s="84" t="str">
        <f>IF(ISNUMBER(outYear),LUF37+LUF42+#REF!+#REF!,"")</f>
        <v/>
      </c>
      <c r="LUG48" s="84" t="str">
        <f>IF(ISNUMBER(outYear),LUG37+LUG42+#REF!+#REF!,"")</f>
        <v/>
      </c>
      <c r="LUH48" s="84" t="str">
        <f>IF(ISNUMBER(outYear),LUH37+LUH42+#REF!+#REF!,"")</f>
        <v/>
      </c>
      <c r="LUI48" s="84" t="str">
        <f>IF(ISNUMBER(outYear),LUI37+LUI42+#REF!+#REF!,"")</f>
        <v/>
      </c>
      <c r="LUJ48" s="84" t="str">
        <f>IF(ISNUMBER(outYear),LUJ37+LUJ42+#REF!+#REF!,"")</f>
        <v/>
      </c>
      <c r="LUK48" s="84" t="str">
        <f>IF(ISNUMBER(outYear),LUK37+LUK42+#REF!+#REF!,"")</f>
        <v/>
      </c>
      <c r="LUL48" s="84" t="str">
        <f>IF(ISNUMBER(outYear),LUL37+LUL42+#REF!+#REF!,"")</f>
        <v/>
      </c>
      <c r="LUM48" s="84" t="str">
        <f>IF(ISNUMBER(outYear),LUM37+LUM42+#REF!+#REF!,"")</f>
        <v/>
      </c>
      <c r="LUN48" s="84" t="str">
        <f>IF(ISNUMBER(outYear),LUN37+LUN42+#REF!+#REF!,"")</f>
        <v/>
      </c>
      <c r="LUO48" s="84" t="str">
        <f>IF(ISNUMBER(outYear),LUO37+LUO42+#REF!+#REF!,"")</f>
        <v/>
      </c>
      <c r="LUP48" s="84" t="str">
        <f>IF(ISNUMBER(outYear),LUP37+LUP42+#REF!+#REF!,"")</f>
        <v/>
      </c>
      <c r="LUQ48" s="84" t="str">
        <f>IF(ISNUMBER(outYear),LUQ37+LUQ42+#REF!+#REF!,"")</f>
        <v/>
      </c>
      <c r="LUR48" s="84" t="str">
        <f>IF(ISNUMBER(outYear),LUR37+LUR42+#REF!+#REF!,"")</f>
        <v/>
      </c>
      <c r="LUS48" s="84" t="str">
        <f>IF(ISNUMBER(outYear),LUS37+LUS42+#REF!+#REF!,"")</f>
        <v/>
      </c>
      <c r="LUT48" s="84" t="str">
        <f>IF(ISNUMBER(outYear),LUT37+LUT42+#REF!+#REF!,"")</f>
        <v/>
      </c>
      <c r="LUU48" s="84" t="str">
        <f>IF(ISNUMBER(outYear),LUU37+LUU42+#REF!+#REF!,"")</f>
        <v/>
      </c>
      <c r="LUV48" s="84" t="str">
        <f>IF(ISNUMBER(outYear),LUV37+LUV42+#REF!+#REF!,"")</f>
        <v/>
      </c>
      <c r="LUW48" s="84" t="str">
        <f>IF(ISNUMBER(outYear),LUW37+LUW42+#REF!+#REF!,"")</f>
        <v/>
      </c>
      <c r="LUX48" s="84" t="str">
        <f>IF(ISNUMBER(outYear),LUX37+LUX42+#REF!+#REF!,"")</f>
        <v/>
      </c>
      <c r="LUY48" s="84" t="str">
        <f>IF(ISNUMBER(outYear),LUY37+LUY42+#REF!+#REF!,"")</f>
        <v/>
      </c>
      <c r="LUZ48" s="84" t="str">
        <f>IF(ISNUMBER(outYear),LUZ37+LUZ42+#REF!+#REF!,"")</f>
        <v/>
      </c>
      <c r="LVA48" s="84" t="str">
        <f>IF(ISNUMBER(outYear),LVA37+LVA42+#REF!+#REF!,"")</f>
        <v/>
      </c>
      <c r="LVB48" s="84" t="str">
        <f>IF(ISNUMBER(outYear),LVB37+LVB42+#REF!+#REF!,"")</f>
        <v/>
      </c>
      <c r="LVC48" s="84" t="str">
        <f>IF(ISNUMBER(outYear),LVC37+LVC42+#REF!+#REF!,"")</f>
        <v/>
      </c>
      <c r="LVD48" s="84" t="str">
        <f>IF(ISNUMBER(outYear),LVD37+LVD42+#REF!+#REF!,"")</f>
        <v/>
      </c>
      <c r="LVE48" s="84" t="str">
        <f>IF(ISNUMBER(outYear),LVE37+LVE42+#REF!+#REF!,"")</f>
        <v/>
      </c>
      <c r="LVF48" s="84" t="str">
        <f>IF(ISNUMBER(outYear),LVF37+LVF42+#REF!+#REF!,"")</f>
        <v/>
      </c>
      <c r="LVG48" s="84" t="str">
        <f>IF(ISNUMBER(outYear),LVG37+LVG42+#REF!+#REF!,"")</f>
        <v/>
      </c>
      <c r="LVH48" s="84" t="str">
        <f>IF(ISNUMBER(outYear),LVH37+LVH42+#REF!+#REF!,"")</f>
        <v/>
      </c>
      <c r="LVI48" s="84" t="str">
        <f>IF(ISNUMBER(outYear),LVI37+LVI42+#REF!+#REF!,"")</f>
        <v/>
      </c>
      <c r="LVJ48" s="84" t="str">
        <f>IF(ISNUMBER(outYear),LVJ37+LVJ42+#REF!+#REF!,"")</f>
        <v/>
      </c>
      <c r="LVK48" s="84" t="str">
        <f>IF(ISNUMBER(outYear),LVK37+LVK42+#REF!+#REF!,"")</f>
        <v/>
      </c>
      <c r="LVL48" s="84" t="str">
        <f>IF(ISNUMBER(outYear),LVL37+LVL42+#REF!+#REF!,"")</f>
        <v/>
      </c>
      <c r="LVM48" s="84" t="str">
        <f>IF(ISNUMBER(outYear),LVM37+LVM42+#REF!+#REF!,"")</f>
        <v/>
      </c>
      <c r="LVN48" s="84" t="str">
        <f>IF(ISNUMBER(outYear),LVN37+LVN42+#REF!+#REF!,"")</f>
        <v/>
      </c>
      <c r="LVO48" s="84" t="str">
        <f>IF(ISNUMBER(outYear),LVO37+LVO42+#REF!+#REF!,"")</f>
        <v/>
      </c>
      <c r="LVP48" s="84" t="str">
        <f>IF(ISNUMBER(outYear),LVP37+LVP42+#REF!+#REF!,"")</f>
        <v/>
      </c>
      <c r="LVQ48" s="84" t="str">
        <f>IF(ISNUMBER(outYear),LVQ37+LVQ42+#REF!+#REF!,"")</f>
        <v/>
      </c>
      <c r="LVR48" s="84" t="str">
        <f>IF(ISNUMBER(outYear),LVR37+LVR42+#REF!+#REF!,"")</f>
        <v/>
      </c>
      <c r="LVS48" s="84" t="str">
        <f>IF(ISNUMBER(outYear),LVS37+LVS42+#REF!+#REF!,"")</f>
        <v/>
      </c>
      <c r="LVT48" s="84" t="str">
        <f>IF(ISNUMBER(outYear),LVT37+LVT42+#REF!+#REF!,"")</f>
        <v/>
      </c>
      <c r="LVU48" s="84" t="str">
        <f>IF(ISNUMBER(outYear),LVU37+LVU42+#REF!+#REF!,"")</f>
        <v/>
      </c>
      <c r="LVV48" s="84" t="str">
        <f>IF(ISNUMBER(outYear),LVV37+LVV42+#REF!+#REF!,"")</f>
        <v/>
      </c>
      <c r="LVW48" s="84" t="str">
        <f>IF(ISNUMBER(outYear),LVW37+LVW42+#REF!+#REF!,"")</f>
        <v/>
      </c>
      <c r="LVX48" s="84" t="str">
        <f>IF(ISNUMBER(outYear),LVX37+LVX42+#REF!+#REF!,"")</f>
        <v/>
      </c>
      <c r="LVY48" s="84" t="str">
        <f>IF(ISNUMBER(outYear),LVY37+LVY42+#REF!+#REF!,"")</f>
        <v/>
      </c>
      <c r="LVZ48" s="84" t="str">
        <f>IF(ISNUMBER(outYear),LVZ37+LVZ42+#REF!+#REF!,"")</f>
        <v/>
      </c>
      <c r="LWA48" s="84" t="str">
        <f>IF(ISNUMBER(outYear),LWA37+LWA42+#REF!+#REF!,"")</f>
        <v/>
      </c>
      <c r="LWB48" s="84" t="str">
        <f>IF(ISNUMBER(outYear),LWB37+LWB42+#REF!+#REF!,"")</f>
        <v/>
      </c>
      <c r="LWC48" s="84" t="str">
        <f>IF(ISNUMBER(outYear),LWC37+LWC42+#REF!+#REF!,"")</f>
        <v/>
      </c>
      <c r="LWD48" s="84" t="str">
        <f>IF(ISNUMBER(outYear),LWD37+LWD42+#REF!+#REF!,"")</f>
        <v/>
      </c>
      <c r="LWE48" s="84" t="str">
        <f>IF(ISNUMBER(outYear),LWE37+LWE42+#REF!+#REF!,"")</f>
        <v/>
      </c>
      <c r="LWF48" s="84" t="str">
        <f>IF(ISNUMBER(outYear),LWF37+LWF42+#REF!+#REF!,"")</f>
        <v/>
      </c>
      <c r="LWG48" s="84" t="str">
        <f>IF(ISNUMBER(outYear),LWG37+LWG42+#REF!+#REF!,"")</f>
        <v/>
      </c>
      <c r="LWH48" s="84" t="str">
        <f>IF(ISNUMBER(outYear),LWH37+LWH42+#REF!+#REF!,"")</f>
        <v/>
      </c>
      <c r="LWI48" s="84" t="str">
        <f>IF(ISNUMBER(outYear),LWI37+LWI42+#REF!+#REF!,"")</f>
        <v/>
      </c>
      <c r="LWJ48" s="84" t="str">
        <f>IF(ISNUMBER(outYear),LWJ37+LWJ42+#REF!+#REF!,"")</f>
        <v/>
      </c>
      <c r="LWK48" s="84" t="str">
        <f>IF(ISNUMBER(outYear),LWK37+LWK42+#REF!+#REF!,"")</f>
        <v/>
      </c>
      <c r="LWL48" s="84" t="str">
        <f>IF(ISNUMBER(outYear),LWL37+LWL42+#REF!+#REF!,"")</f>
        <v/>
      </c>
      <c r="LWM48" s="84" t="str">
        <f>IF(ISNUMBER(outYear),LWM37+LWM42+#REF!+#REF!,"")</f>
        <v/>
      </c>
      <c r="LWN48" s="84" t="str">
        <f>IF(ISNUMBER(outYear),LWN37+LWN42+#REF!+#REF!,"")</f>
        <v/>
      </c>
      <c r="LWO48" s="84" t="str">
        <f>IF(ISNUMBER(outYear),LWO37+LWO42+#REF!+#REF!,"")</f>
        <v/>
      </c>
      <c r="LWP48" s="84" t="str">
        <f>IF(ISNUMBER(outYear),LWP37+LWP42+#REF!+#REF!,"")</f>
        <v/>
      </c>
      <c r="LWQ48" s="84" t="str">
        <f>IF(ISNUMBER(outYear),LWQ37+LWQ42+#REF!+#REF!,"")</f>
        <v/>
      </c>
      <c r="LWR48" s="84" t="str">
        <f>IF(ISNUMBER(outYear),LWR37+LWR42+#REF!+#REF!,"")</f>
        <v/>
      </c>
      <c r="LWS48" s="84" t="str">
        <f>IF(ISNUMBER(outYear),LWS37+LWS42+#REF!+#REF!,"")</f>
        <v/>
      </c>
      <c r="LWT48" s="84" t="str">
        <f>IF(ISNUMBER(outYear),LWT37+LWT42+#REF!+#REF!,"")</f>
        <v/>
      </c>
      <c r="LWU48" s="84" t="str">
        <f>IF(ISNUMBER(outYear),LWU37+LWU42+#REF!+#REF!,"")</f>
        <v/>
      </c>
      <c r="LWV48" s="84" t="str">
        <f>IF(ISNUMBER(outYear),LWV37+LWV42+#REF!+#REF!,"")</f>
        <v/>
      </c>
      <c r="LWW48" s="84" t="str">
        <f>IF(ISNUMBER(outYear),LWW37+LWW42+#REF!+#REF!,"")</f>
        <v/>
      </c>
      <c r="LWX48" s="84" t="str">
        <f>IF(ISNUMBER(outYear),LWX37+LWX42+#REF!+#REF!,"")</f>
        <v/>
      </c>
      <c r="LWY48" s="84" t="str">
        <f>IF(ISNUMBER(outYear),LWY37+LWY42+#REF!+#REF!,"")</f>
        <v/>
      </c>
      <c r="LWZ48" s="84" t="str">
        <f>IF(ISNUMBER(outYear),LWZ37+LWZ42+#REF!+#REF!,"")</f>
        <v/>
      </c>
      <c r="LXA48" s="84" t="str">
        <f>IF(ISNUMBER(outYear),LXA37+LXA42+#REF!+#REF!,"")</f>
        <v/>
      </c>
      <c r="LXB48" s="84" t="str">
        <f>IF(ISNUMBER(outYear),LXB37+LXB42+#REF!+#REF!,"")</f>
        <v/>
      </c>
      <c r="LXC48" s="84" t="str">
        <f>IF(ISNUMBER(outYear),LXC37+LXC42+#REF!+#REF!,"")</f>
        <v/>
      </c>
      <c r="LXD48" s="84" t="str">
        <f>IF(ISNUMBER(outYear),LXD37+LXD42+#REF!+#REF!,"")</f>
        <v/>
      </c>
      <c r="LXE48" s="84" t="str">
        <f>IF(ISNUMBER(outYear),LXE37+LXE42+#REF!+#REF!,"")</f>
        <v/>
      </c>
      <c r="LXF48" s="84" t="str">
        <f>IF(ISNUMBER(outYear),LXF37+LXF42+#REF!+#REF!,"")</f>
        <v/>
      </c>
      <c r="LXG48" s="84" t="str">
        <f>IF(ISNUMBER(outYear),LXG37+LXG42+#REF!+#REF!,"")</f>
        <v/>
      </c>
      <c r="LXH48" s="84" t="str">
        <f>IF(ISNUMBER(outYear),LXH37+LXH42+#REF!+#REF!,"")</f>
        <v/>
      </c>
      <c r="LXI48" s="84" t="str">
        <f>IF(ISNUMBER(outYear),LXI37+LXI42+#REF!+#REF!,"")</f>
        <v/>
      </c>
      <c r="LXJ48" s="84" t="str">
        <f>IF(ISNUMBER(outYear),LXJ37+LXJ42+#REF!+#REF!,"")</f>
        <v/>
      </c>
      <c r="LXK48" s="84" t="str">
        <f>IF(ISNUMBER(outYear),LXK37+LXK42+#REF!+#REF!,"")</f>
        <v/>
      </c>
      <c r="LXL48" s="84" t="str">
        <f>IF(ISNUMBER(outYear),LXL37+LXL42+#REF!+#REF!,"")</f>
        <v/>
      </c>
      <c r="LXM48" s="84" t="str">
        <f>IF(ISNUMBER(outYear),LXM37+LXM42+#REF!+#REF!,"")</f>
        <v/>
      </c>
      <c r="LXN48" s="84" t="str">
        <f>IF(ISNUMBER(outYear),LXN37+LXN42+#REF!+#REF!,"")</f>
        <v/>
      </c>
      <c r="LXO48" s="84" t="str">
        <f>IF(ISNUMBER(outYear),LXO37+LXO42+#REF!+#REF!,"")</f>
        <v/>
      </c>
      <c r="LXP48" s="84" t="str">
        <f>IF(ISNUMBER(outYear),LXP37+LXP42+#REF!+#REF!,"")</f>
        <v/>
      </c>
      <c r="LXQ48" s="84" t="str">
        <f>IF(ISNUMBER(outYear),LXQ37+LXQ42+#REF!+#REF!,"")</f>
        <v/>
      </c>
      <c r="LXR48" s="84" t="str">
        <f>IF(ISNUMBER(outYear),LXR37+LXR42+#REF!+#REF!,"")</f>
        <v/>
      </c>
      <c r="LXS48" s="84" t="str">
        <f>IF(ISNUMBER(outYear),LXS37+LXS42+#REF!+#REF!,"")</f>
        <v/>
      </c>
      <c r="LXT48" s="84" t="str">
        <f>IF(ISNUMBER(outYear),LXT37+LXT42+#REF!+#REF!,"")</f>
        <v/>
      </c>
      <c r="LXU48" s="84" t="str">
        <f>IF(ISNUMBER(outYear),LXU37+LXU42+#REF!+#REF!,"")</f>
        <v/>
      </c>
      <c r="LXV48" s="84" t="str">
        <f>IF(ISNUMBER(outYear),LXV37+LXV42+#REF!+#REF!,"")</f>
        <v/>
      </c>
      <c r="LXW48" s="84" t="str">
        <f>IF(ISNUMBER(outYear),LXW37+LXW42+#REF!+#REF!,"")</f>
        <v/>
      </c>
      <c r="LXX48" s="84" t="str">
        <f>IF(ISNUMBER(outYear),LXX37+LXX42+#REF!+#REF!,"")</f>
        <v/>
      </c>
      <c r="LXY48" s="84" t="str">
        <f>IF(ISNUMBER(outYear),LXY37+LXY42+#REF!+#REF!,"")</f>
        <v/>
      </c>
      <c r="LXZ48" s="84" t="str">
        <f>IF(ISNUMBER(outYear),LXZ37+LXZ42+#REF!+#REF!,"")</f>
        <v/>
      </c>
      <c r="LYA48" s="84" t="str">
        <f>IF(ISNUMBER(outYear),LYA37+LYA42+#REF!+#REF!,"")</f>
        <v/>
      </c>
      <c r="LYB48" s="84" t="str">
        <f>IF(ISNUMBER(outYear),LYB37+LYB42+#REF!+#REF!,"")</f>
        <v/>
      </c>
      <c r="LYC48" s="84" t="str">
        <f>IF(ISNUMBER(outYear),LYC37+LYC42+#REF!+#REF!,"")</f>
        <v/>
      </c>
      <c r="LYD48" s="84" t="str">
        <f>IF(ISNUMBER(outYear),LYD37+LYD42+#REF!+#REF!,"")</f>
        <v/>
      </c>
      <c r="LYE48" s="84" t="str">
        <f>IF(ISNUMBER(outYear),LYE37+LYE42+#REF!+#REF!,"")</f>
        <v/>
      </c>
      <c r="LYF48" s="84" t="str">
        <f>IF(ISNUMBER(outYear),LYF37+LYF42+#REF!+#REF!,"")</f>
        <v/>
      </c>
      <c r="LYG48" s="84" t="str">
        <f>IF(ISNUMBER(outYear),LYG37+LYG42+#REF!+#REF!,"")</f>
        <v/>
      </c>
      <c r="LYH48" s="84" t="str">
        <f>IF(ISNUMBER(outYear),LYH37+LYH42+#REF!+#REF!,"")</f>
        <v/>
      </c>
      <c r="LYI48" s="84" t="str">
        <f>IF(ISNUMBER(outYear),LYI37+LYI42+#REF!+#REF!,"")</f>
        <v/>
      </c>
      <c r="LYJ48" s="84" t="str">
        <f>IF(ISNUMBER(outYear),LYJ37+LYJ42+#REF!+#REF!,"")</f>
        <v/>
      </c>
      <c r="LYK48" s="84" t="str">
        <f>IF(ISNUMBER(outYear),LYK37+LYK42+#REF!+#REF!,"")</f>
        <v/>
      </c>
      <c r="LYL48" s="84" t="str">
        <f>IF(ISNUMBER(outYear),LYL37+LYL42+#REF!+#REF!,"")</f>
        <v/>
      </c>
      <c r="LYM48" s="84" t="str">
        <f>IF(ISNUMBER(outYear),LYM37+LYM42+#REF!+#REF!,"")</f>
        <v/>
      </c>
      <c r="LYN48" s="84" t="str">
        <f>IF(ISNUMBER(outYear),LYN37+LYN42+#REF!+#REF!,"")</f>
        <v/>
      </c>
      <c r="LYO48" s="84" t="str">
        <f>IF(ISNUMBER(outYear),LYO37+LYO42+#REF!+#REF!,"")</f>
        <v/>
      </c>
      <c r="LYP48" s="84" t="str">
        <f>IF(ISNUMBER(outYear),LYP37+LYP42+#REF!+#REF!,"")</f>
        <v/>
      </c>
      <c r="LYQ48" s="84" t="str">
        <f>IF(ISNUMBER(outYear),LYQ37+LYQ42+#REF!+#REF!,"")</f>
        <v/>
      </c>
      <c r="LYR48" s="84" t="str">
        <f>IF(ISNUMBER(outYear),LYR37+LYR42+#REF!+#REF!,"")</f>
        <v/>
      </c>
      <c r="LYS48" s="84" t="str">
        <f>IF(ISNUMBER(outYear),LYS37+LYS42+#REF!+#REF!,"")</f>
        <v/>
      </c>
      <c r="LYT48" s="84" t="str">
        <f>IF(ISNUMBER(outYear),LYT37+LYT42+#REF!+#REF!,"")</f>
        <v/>
      </c>
      <c r="LYU48" s="84" t="str">
        <f>IF(ISNUMBER(outYear),LYU37+LYU42+#REF!+#REF!,"")</f>
        <v/>
      </c>
      <c r="LYV48" s="84" t="str">
        <f>IF(ISNUMBER(outYear),LYV37+LYV42+#REF!+#REF!,"")</f>
        <v/>
      </c>
      <c r="LYW48" s="84" t="str">
        <f>IF(ISNUMBER(outYear),LYW37+LYW42+#REF!+#REF!,"")</f>
        <v/>
      </c>
      <c r="LYX48" s="84" t="str">
        <f>IF(ISNUMBER(outYear),LYX37+LYX42+#REF!+#REF!,"")</f>
        <v/>
      </c>
      <c r="LYY48" s="84" t="str">
        <f>IF(ISNUMBER(outYear),LYY37+LYY42+#REF!+#REF!,"")</f>
        <v/>
      </c>
      <c r="LYZ48" s="84" t="str">
        <f>IF(ISNUMBER(outYear),LYZ37+LYZ42+#REF!+#REF!,"")</f>
        <v/>
      </c>
      <c r="LZA48" s="84" t="str">
        <f>IF(ISNUMBER(outYear),LZA37+LZA42+#REF!+#REF!,"")</f>
        <v/>
      </c>
      <c r="LZB48" s="84" t="str">
        <f>IF(ISNUMBER(outYear),LZB37+LZB42+#REF!+#REF!,"")</f>
        <v/>
      </c>
      <c r="LZC48" s="84" t="str">
        <f>IF(ISNUMBER(outYear),LZC37+LZC42+#REF!+#REF!,"")</f>
        <v/>
      </c>
      <c r="LZD48" s="84" t="str">
        <f>IF(ISNUMBER(outYear),LZD37+LZD42+#REF!+#REF!,"")</f>
        <v/>
      </c>
      <c r="LZE48" s="84" t="str">
        <f>IF(ISNUMBER(outYear),LZE37+LZE42+#REF!+#REF!,"")</f>
        <v/>
      </c>
      <c r="LZF48" s="84" t="str">
        <f>IF(ISNUMBER(outYear),LZF37+LZF42+#REF!+#REF!,"")</f>
        <v/>
      </c>
      <c r="LZG48" s="84" t="str">
        <f>IF(ISNUMBER(outYear),LZG37+LZG42+#REF!+#REF!,"")</f>
        <v/>
      </c>
      <c r="LZH48" s="84" t="str">
        <f>IF(ISNUMBER(outYear),LZH37+LZH42+#REF!+#REF!,"")</f>
        <v/>
      </c>
      <c r="LZI48" s="84" t="str">
        <f>IF(ISNUMBER(outYear),LZI37+LZI42+#REF!+#REF!,"")</f>
        <v/>
      </c>
      <c r="LZJ48" s="84" t="str">
        <f>IF(ISNUMBER(outYear),LZJ37+LZJ42+#REF!+#REF!,"")</f>
        <v/>
      </c>
      <c r="LZK48" s="84" t="str">
        <f>IF(ISNUMBER(outYear),LZK37+LZK42+#REF!+#REF!,"")</f>
        <v/>
      </c>
      <c r="LZL48" s="84" t="str">
        <f>IF(ISNUMBER(outYear),LZL37+LZL42+#REF!+#REF!,"")</f>
        <v/>
      </c>
      <c r="LZM48" s="84" t="str">
        <f>IF(ISNUMBER(outYear),LZM37+LZM42+#REF!+#REF!,"")</f>
        <v/>
      </c>
      <c r="LZN48" s="84" t="str">
        <f>IF(ISNUMBER(outYear),LZN37+LZN42+#REF!+#REF!,"")</f>
        <v/>
      </c>
      <c r="LZO48" s="84" t="str">
        <f>IF(ISNUMBER(outYear),LZO37+LZO42+#REF!+#REF!,"")</f>
        <v/>
      </c>
      <c r="LZP48" s="84" t="str">
        <f>IF(ISNUMBER(outYear),LZP37+LZP42+#REF!+#REF!,"")</f>
        <v/>
      </c>
      <c r="LZQ48" s="84" t="str">
        <f>IF(ISNUMBER(outYear),LZQ37+LZQ42+#REF!+#REF!,"")</f>
        <v/>
      </c>
      <c r="LZR48" s="84" t="str">
        <f>IF(ISNUMBER(outYear),LZR37+LZR42+#REF!+#REF!,"")</f>
        <v/>
      </c>
      <c r="LZS48" s="84" t="str">
        <f>IF(ISNUMBER(outYear),LZS37+LZS42+#REF!+#REF!,"")</f>
        <v/>
      </c>
      <c r="LZT48" s="84" t="str">
        <f>IF(ISNUMBER(outYear),LZT37+LZT42+#REF!+#REF!,"")</f>
        <v/>
      </c>
      <c r="LZU48" s="84" t="str">
        <f>IF(ISNUMBER(outYear),LZU37+LZU42+#REF!+#REF!,"")</f>
        <v/>
      </c>
      <c r="LZV48" s="84" t="str">
        <f>IF(ISNUMBER(outYear),LZV37+LZV42+#REF!+#REF!,"")</f>
        <v/>
      </c>
      <c r="LZW48" s="84" t="str">
        <f>IF(ISNUMBER(outYear),LZW37+LZW42+#REF!+#REF!,"")</f>
        <v/>
      </c>
      <c r="LZX48" s="84" t="str">
        <f>IF(ISNUMBER(outYear),LZX37+LZX42+#REF!+#REF!,"")</f>
        <v/>
      </c>
      <c r="LZY48" s="84" t="str">
        <f>IF(ISNUMBER(outYear),LZY37+LZY42+#REF!+#REF!,"")</f>
        <v/>
      </c>
      <c r="LZZ48" s="84" t="str">
        <f>IF(ISNUMBER(outYear),LZZ37+LZZ42+#REF!+#REF!,"")</f>
        <v/>
      </c>
      <c r="MAA48" s="84" t="str">
        <f>IF(ISNUMBER(outYear),MAA37+MAA42+#REF!+#REF!,"")</f>
        <v/>
      </c>
      <c r="MAB48" s="84" t="str">
        <f>IF(ISNUMBER(outYear),MAB37+MAB42+#REF!+#REF!,"")</f>
        <v/>
      </c>
      <c r="MAC48" s="84" t="str">
        <f>IF(ISNUMBER(outYear),MAC37+MAC42+#REF!+#REF!,"")</f>
        <v/>
      </c>
      <c r="MAD48" s="84" t="str">
        <f>IF(ISNUMBER(outYear),MAD37+MAD42+#REF!+#REF!,"")</f>
        <v/>
      </c>
      <c r="MAE48" s="84" t="str">
        <f>IF(ISNUMBER(outYear),MAE37+MAE42+#REF!+#REF!,"")</f>
        <v/>
      </c>
      <c r="MAF48" s="84" t="str">
        <f>IF(ISNUMBER(outYear),MAF37+MAF42+#REF!+#REF!,"")</f>
        <v/>
      </c>
      <c r="MAG48" s="84" t="str">
        <f>IF(ISNUMBER(outYear),MAG37+MAG42+#REF!+#REF!,"")</f>
        <v/>
      </c>
      <c r="MAH48" s="84" t="str">
        <f>IF(ISNUMBER(outYear),MAH37+MAH42+#REF!+#REF!,"")</f>
        <v/>
      </c>
      <c r="MAI48" s="84" t="str">
        <f>IF(ISNUMBER(outYear),MAI37+MAI42+#REF!+#REF!,"")</f>
        <v/>
      </c>
      <c r="MAJ48" s="84" t="str">
        <f>IF(ISNUMBER(outYear),MAJ37+MAJ42+#REF!+#REF!,"")</f>
        <v/>
      </c>
      <c r="MAK48" s="84" t="str">
        <f>IF(ISNUMBER(outYear),MAK37+MAK42+#REF!+#REF!,"")</f>
        <v/>
      </c>
      <c r="MAL48" s="84" t="str">
        <f>IF(ISNUMBER(outYear),MAL37+MAL42+#REF!+#REF!,"")</f>
        <v/>
      </c>
      <c r="MAM48" s="84" t="str">
        <f>IF(ISNUMBER(outYear),MAM37+MAM42+#REF!+#REF!,"")</f>
        <v/>
      </c>
      <c r="MAN48" s="84" t="str">
        <f>IF(ISNUMBER(outYear),MAN37+MAN42+#REF!+#REF!,"")</f>
        <v/>
      </c>
      <c r="MAO48" s="84" t="str">
        <f>IF(ISNUMBER(outYear),MAO37+MAO42+#REF!+#REF!,"")</f>
        <v/>
      </c>
      <c r="MAP48" s="84" t="str">
        <f>IF(ISNUMBER(outYear),MAP37+MAP42+#REF!+#REF!,"")</f>
        <v/>
      </c>
      <c r="MAQ48" s="84" t="str">
        <f>IF(ISNUMBER(outYear),MAQ37+MAQ42+#REF!+#REF!,"")</f>
        <v/>
      </c>
      <c r="MAR48" s="84" t="str">
        <f>IF(ISNUMBER(outYear),MAR37+MAR42+#REF!+#REF!,"")</f>
        <v/>
      </c>
      <c r="MAS48" s="84" t="str">
        <f>IF(ISNUMBER(outYear),MAS37+MAS42+#REF!+#REF!,"")</f>
        <v/>
      </c>
      <c r="MAT48" s="84" t="str">
        <f>IF(ISNUMBER(outYear),MAT37+MAT42+#REF!+#REF!,"")</f>
        <v/>
      </c>
      <c r="MAU48" s="84" t="str">
        <f>IF(ISNUMBER(outYear),MAU37+MAU42+#REF!+#REF!,"")</f>
        <v/>
      </c>
      <c r="MAV48" s="84" t="str">
        <f>IF(ISNUMBER(outYear),MAV37+MAV42+#REF!+#REF!,"")</f>
        <v/>
      </c>
      <c r="MAW48" s="84" t="str">
        <f>IF(ISNUMBER(outYear),MAW37+MAW42+#REF!+#REF!,"")</f>
        <v/>
      </c>
      <c r="MAX48" s="84" t="str">
        <f>IF(ISNUMBER(outYear),MAX37+MAX42+#REF!+#REF!,"")</f>
        <v/>
      </c>
      <c r="MAY48" s="84" t="str">
        <f>IF(ISNUMBER(outYear),MAY37+MAY42+#REF!+#REF!,"")</f>
        <v/>
      </c>
      <c r="MAZ48" s="84" t="str">
        <f>IF(ISNUMBER(outYear),MAZ37+MAZ42+#REF!+#REF!,"")</f>
        <v/>
      </c>
      <c r="MBA48" s="84" t="str">
        <f>IF(ISNUMBER(outYear),MBA37+MBA42+#REF!+#REF!,"")</f>
        <v/>
      </c>
      <c r="MBB48" s="84" t="str">
        <f>IF(ISNUMBER(outYear),MBB37+MBB42+#REF!+#REF!,"")</f>
        <v/>
      </c>
      <c r="MBC48" s="84" t="str">
        <f>IF(ISNUMBER(outYear),MBC37+MBC42+#REF!+#REF!,"")</f>
        <v/>
      </c>
      <c r="MBD48" s="84" t="str">
        <f>IF(ISNUMBER(outYear),MBD37+MBD42+#REF!+#REF!,"")</f>
        <v/>
      </c>
      <c r="MBE48" s="84" t="str">
        <f>IF(ISNUMBER(outYear),MBE37+MBE42+#REF!+#REF!,"")</f>
        <v/>
      </c>
      <c r="MBF48" s="84" t="str">
        <f>IF(ISNUMBER(outYear),MBF37+MBF42+#REF!+#REF!,"")</f>
        <v/>
      </c>
      <c r="MBG48" s="84" t="str">
        <f>IF(ISNUMBER(outYear),MBG37+MBG42+#REF!+#REF!,"")</f>
        <v/>
      </c>
      <c r="MBH48" s="84" t="str">
        <f>IF(ISNUMBER(outYear),MBH37+MBH42+#REF!+#REF!,"")</f>
        <v/>
      </c>
      <c r="MBI48" s="84" t="str">
        <f>IF(ISNUMBER(outYear),MBI37+MBI42+#REF!+#REF!,"")</f>
        <v/>
      </c>
      <c r="MBJ48" s="84" t="str">
        <f>IF(ISNUMBER(outYear),MBJ37+MBJ42+#REF!+#REF!,"")</f>
        <v/>
      </c>
      <c r="MBK48" s="84" t="str">
        <f>IF(ISNUMBER(outYear),MBK37+MBK42+#REF!+#REF!,"")</f>
        <v/>
      </c>
      <c r="MBL48" s="84" t="str">
        <f>IF(ISNUMBER(outYear),MBL37+MBL42+#REF!+#REF!,"")</f>
        <v/>
      </c>
      <c r="MBM48" s="84" t="str">
        <f>IF(ISNUMBER(outYear),MBM37+MBM42+#REF!+#REF!,"")</f>
        <v/>
      </c>
      <c r="MBN48" s="84" t="str">
        <f>IF(ISNUMBER(outYear),MBN37+MBN42+#REF!+#REF!,"")</f>
        <v/>
      </c>
      <c r="MBO48" s="84" t="str">
        <f>IF(ISNUMBER(outYear),MBO37+MBO42+#REF!+#REF!,"")</f>
        <v/>
      </c>
      <c r="MBP48" s="84" t="str">
        <f>IF(ISNUMBER(outYear),MBP37+MBP42+#REF!+#REF!,"")</f>
        <v/>
      </c>
      <c r="MBQ48" s="84" t="str">
        <f>IF(ISNUMBER(outYear),MBQ37+MBQ42+#REF!+#REF!,"")</f>
        <v/>
      </c>
      <c r="MBR48" s="84" t="str">
        <f>IF(ISNUMBER(outYear),MBR37+MBR42+#REF!+#REF!,"")</f>
        <v/>
      </c>
      <c r="MBS48" s="84" t="str">
        <f>IF(ISNUMBER(outYear),MBS37+MBS42+#REF!+#REF!,"")</f>
        <v/>
      </c>
      <c r="MBT48" s="84" t="str">
        <f>IF(ISNUMBER(outYear),MBT37+MBT42+#REF!+#REF!,"")</f>
        <v/>
      </c>
      <c r="MBU48" s="84" t="str">
        <f>IF(ISNUMBER(outYear),MBU37+MBU42+#REF!+#REF!,"")</f>
        <v/>
      </c>
      <c r="MBV48" s="84" t="str">
        <f>IF(ISNUMBER(outYear),MBV37+MBV42+#REF!+#REF!,"")</f>
        <v/>
      </c>
      <c r="MBW48" s="84" t="str">
        <f>IF(ISNUMBER(outYear),MBW37+MBW42+#REF!+#REF!,"")</f>
        <v/>
      </c>
      <c r="MBX48" s="84" t="str">
        <f>IF(ISNUMBER(outYear),MBX37+MBX42+#REF!+#REF!,"")</f>
        <v/>
      </c>
      <c r="MBY48" s="84" t="str">
        <f>IF(ISNUMBER(outYear),MBY37+MBY42+#REF!+#REF!,"")</f>
        <v/>
      </c>
      <c r="MBZ48" s="84" t="str">
        <f>IF(ISNUMBER(outYear),MBZ37+MBZ42+#REF!+#REF!,"")</f>
        <v/>
      </c>
      <c r="MCA48" s="84" t="str">
        <f>IF(ISNUMBER(outYear),MCA37+MCA42+#REF!+#REF!,"")</f>
        <v/>
      </c>
      <c r="MCB48" s="84" t="str">
        <f>IF(ISNUMBER(outYear),MCB37+MCB42+#REF!+#REF!,"")</f>
        <v/>
      </c>
      <c r="MCC48" s="84" t="str">
        <f>IF(ISNUMBER(outYear),MCC37+MCC42+#REF!+#REF!,"")</f>
        <v/>
      </c>
      <c r="MCD48" s="84" t="str">
        <f>IF(ISNUMBER(outYear),MCD37+MCD42+#REF!+#REF!,"")</f>
        <v/>
      </c>
      <c r="MCE48" s="84" t="str">
        <f>IF(ISNUMBER(outYear),MCE37+MCE42+#REF!+#REF!,"")</f>
        <v/>
      </c>
      <c r="MCF48" s="84" t="str">
        <f>IF(ISNUMBER(outYear),MCF37+MCF42+#REF!+#REF!,"")</f>
        <v/>
      </c>
      <c r="MCG48" s="84" t="str">
        <f>IF(ISNUMBER(outYear),MCG37+MCG42+#REF!+#REF!,"")</f>
        <v/>
      </c>
      <c r="MCH48" s="84" t="str">
        <f>IF(ISNUMBER(outYear),MCH37+MCH42+#REF!+#REF!,"")</f>
        <v/>
      </c>
      <c r="MCI48" s="84" t="str">
        <f>IF(ISNUMBER(outYear),MCI37+MCI42+#REF!+#REF!,"")</f>
        <v/>
      </c>
      <c r="MCJ48" s="84" t="str">
        <f>IF(ISNUMBER(outYear),MCJ37+MCJ42+#REF!+#REF!,"")</f>
        <v/>
      </c>
      <c r="MCK48" s="84" t="str">
        <f>IF(ISNUMBER(outYear),MCK37+MCK42+#REF!+#REF!,"")</f>
        <v/>
      </c>
      <c r="MCL48" s="84" t="str">
        <f>IF(ISNUMBER(outYear),MCL37+MCL42+#REF!+#REF!,"")</f>
        <v/>
      </c>
      <c r="MCM48" s="84" t="str">
        <f>IF(ISNUMBER(outYear),MCM37+MCM42+#REF!+#REF!,"")</f>
        <v/>
      </c>
      <c r="MCN48" s="84" t="str">
        <f>IF(ISNUMBER(outYear),MCN37+MCN42+#REF!+#REF!,"")</f>
        <v/>
      </c>
      <c r="MCO48" s="84" t="str">
        <f>IF(ISNUMBER(outYear),MCO37+MCO42+#REF!+#REF!,"")</f>
        <v/>
      </c>
      <c r="MCP48" s="84" t="str">
        <f>IF(ISNUMBER(outYear),MCP37+MCP42+#REF!+#REF!,"")</f>
        <v/>
      </c>
      <c r="MCQ48" s="84" t="str">
        <f>IF(ISNUMBER(outYear),MCQ37+MCQ42+#REF!+#REF!,"")</f>
        <v/>
      </c>
      <c r="MCR48" s="84" t="str">
        <f>IF(ISNUMBER(outYear),MCR37+MCR42+#REF!+#REF!,"")</f>
        <v/>
      </c>
      <c r="MCS48" s="84" t="str">
        <f>IF(ISNUMBER(outYear),MCS37+MCS42+#REF!+#REF!,"")</f>
        <v/>
      </c>
      <c r="MCT48" s="84" t="str">
        <f>IF(ISNUMBER(outYear),MCT37+MCT42+#REF!+#REF!,"")</f>
        <v/>
      </c>
      <c r="MCU48" s="84" t="str">
        <f>IF(ISNUMBER(outYear),MCU37+MCU42+#REF!+#REF!,"")</f>
        <v/>
      </c>
      <c r="MCV48" s="84" t="str">
        <f>IF(ISNUMBER(outYear),MCV37+MCV42+#REF!+#REF!,"")</f>
        <v/>
      </c>
      <c r="MCW48" s="84" t="str">
        <f>IF(ISNUMBER(outYear),MCW37+MCW42+#REF!+#REF!,"")</f>
        <v/>
      </c>
      <c r="MCX48" s="84" t="str">
        <f>IF(ISNUMBER(outYear),MCX37+MCX42+#REF!+#REF!,"")</f>
        <v/>
      </c>
      <c r="MCY48" s="84" t="str">
        <f>IF(ISNUMBER(outYear),MCY37+MCY42+#REF!+#REF!,"")</f>
        <v/>
      </c>
      <c r="MCZ48" s="84" t="str">
        <f>IF(ISNUMBER(outYear),MCZ37+MCZ42+#REF!+#REF!,"")</f>
        <v/>
      </c>
      <c r="MDA48" s="84" t="str">
        <f>IF(ISNUMBER(outYear),MDA37+MDA42+#REF!+#REF!,"")</f>
        <v/>
      </c>
      <c r="MDB48" s="84" t="str">
        <f>IF(ISNUMBER(outYear),MDB37+MDB42+#REF!+#REF!,"")</f>
        <v/>
      </c>
      <c r="MDC48" s="84" t="str">
        <f>IF(ISNUMBER(outYear),MDC37+MDC42+#REF!+#REF!,"")</f>
        <v/>
      </c>
      <c r="MDD48" s="84" t="str">
        <f>IF(ISNUMBER(outYear),MDD37+MDD42+#REF!+#REF!,"")</f>
        <v/>
      </c>
      <c r="MDE48" s="84" t="str">
        <f>IF(ISNUMBER(outYear),MDE37+MDE42+#REF!+#REF!,"")</f>
        <v/>
      </c>
      <c r="MDF48" s="84" t="str">
        <f>IF(ISNUMBER(outYear),MDF37+MDF42+#REF!+#REF!,"")</f>
        <v/>
      </c>
      <c r="MDG48" s="84" t="str">
        <f>IF(ISNUMBER(outYear),MDG37+MDG42+#REF!+#REF!,"")</f>
        <v/>
      </c>
      <c r="MDH48" s="84" t="str">
        <f>IF(ISNUMBER(outYear),MDH37+MDH42+#REF!+#REF!,"")</f>
        <v/>
      </c>
      <c r="MDI48" s="84" t="str">
        <f>IF(ISNUMBER(outYear),MDI37+MDI42+#REF!+#REF!,"")</f>
        <v/>
      </c>
      <c r="MDJ48" s="84" t="str">
        <f>IF(ISNUMBER(outYear),MDJ37+MDJ42+#REF!+#REF!,"")</f>
        <v/>
      </c>
      <c r="MDK48" s="84" t="str">
        <f>IF(ISNUMBER(outYear),MDK37+MDK42+#REF!+#REF!,"")</f>
        <v/>
      </c>
      <c r="MDL48" s="84" t="str">
        <f>IF(ISNUMBER(outYear),MDL37+MDL42+#REF!+#REF!,"")</f>
        <v/>
      </c>
      <c r="MDM48" s="84" t="str">
        <f>IF(ISNUMBER(outYear),MDM37+MDM42+#REF!+#REF!,"")</f>
        <v/>
      </c>
      <c r="MDN48" s="84" t="str">
        <f>IF(ISNUMBER(outYear),MDN37+MDN42+#REF!+#REF!,"")</f>
        <v/>
      </c>
      <c r="MDO48" s="84" t="str">
        <f>IF(ISNUMBER(outYear),MDO37+MDO42+#REF!+#REF!,"")</f>
        <v/>
      </c>
      <c r="MDP48" s="84" t="str">
        <f>IF(ISNUMBER(outYear),MDP37+MDP42+#REF!+#REF!,"")</f>
        <v/>
      </c>
      <c r="MDQ48" s="84" t="str">
        <f>IF(ISNUMBER(outYear),MDQ37+MDQ42+#REF!+#REF!,"")</f>
        <v/>
      </c>
      <c r="MDR48" s="84" t="str">
        <f>IF(ISNUMBER(outYear),MDR37+MDR42+#REF!+#REF!,"")</f>
        <v/>
      </c>
      <c r="MDS48" s="84" t="str">
        <f>IF(ISNUMBER(outYear),MDS37+MDS42+#REF!+#REF!,"")</f>
        <v/>
      </c>
      <c r="MDT48" s="84" t="str">
        <f>IF(ISNUMBER(outYear),MDT37+MDT42+#REF!+#REF!,"")</f>
        <v/>
      </c>
      <c r="MDU48" s="84" t="str">
        <f>IF(ISNUMBER(outYear),MDU37+MDU42+#REF!+#REF!,"")</f>
        <v/>
      </c>
      <c r="MDV48" s="84" t="str">
        <f>IF(ISNUMBER(outYear),MDV37+MDV42+#REF!+#REF!,"")</f>
        <v/>
      </c>
      <c r="MDW48" s="84" t="str">
        <f>IF(ISNUMBER(outYear),MDW37+MDW42+#REF!+#REF!,"")</f>
        <v/>
      </c>
      <c r="MDX48" s="84" t="str">
        <f>IF(ISNUMBER(outYear),MDX37+MDX42+#REF!+#REF!,"")</f>
        <v/>
      </c>
      <c r="MDY48" s="84" t="str">
        <f>IF(ISNUMBER(outYear),MDY37+MDY42+#REF!+#REF!,"")</f>
        <v/>
      </c>
      <c r="MDZ48" s="84" t="str">
        <f>IF(ISNUMBER(outYear),MDZ37+MDZ42+#REF!+#REF!,"")</f>
        <v/>
      </c>
      <c r="MEA48" s="84" t="str">
        <f>IF(ISNUMBER(outYear),MEA37+MEA42+#REF!+#REF!,"")</f>
        <v/>
      </c>
      <c r="MEB48" s="84" t="str">
        <f>IF(ISNUMBER(outYear),MEB37+MEB42+#REF!+#REF!,"")</f>
        <v/>
      </c>
      <c r="MEC48" s="84" t="str">
        <f>IF(ISNUMBER(outYear),MEC37+MEC42+#REF!+#REF!,"")</f>
        <v/>
      </c>
      <c r="MED48" s="84" t="str">
        <f>IF(ISNUMBER(outYear),MED37+MED42+#REF!+#REF!,"")</f>
        <v/>
      </c>
      <c r="MEE48" s="84" t="str">
        <f>IF(ISNUMBER(outYear),MEE37+MEE42+#REF!+#REF!,"")</f>
        <v/>
      </c>
      <c r="MEF48" s="84" t="str">
        <f>IF(ISNUMBER(outYear),MEF37+MEF42+#REF!+#REF!,"")</f>
        <v/>
      </c>
      <c r="MEG48" s="84" t="str">
        <f>IF(ISNUMBER(outYear),MEG37+MEG42+#REF!+#REF!,"")</f>
        <v/>
      </c>
      <c r="MEH48" s="84" t="str">
        <f>IF(ISNUMBER(outYear),MEH37+MEH42+#REF!+#REF!,"")</f>
        <v/>
      </c>
      <c r="MEI48" s="84" t="str">
        <f>IF(ISNUMBER(outYear),MEI37+MEI42+#REF!+#REF!,"")</f>
        <v/>
      </c>
      <c r="MEJ48" s="84" t="str">
        <f>IF(ISNUMBER(outYear),MEJ37+MEJ42+#REF!+#REF!,"")</f>
        <v/>
      </c>
      <c r="MEK48" s="84" t="str">
        <f>IF(ISNUMBER(outYear),MEK37+MEK42+#REF!+#REF!,"")</f>
        <v/>
      </c>
      <c r="MEL48" s="84" t="str">
        <f>IF(ISNUMBER(outYear),MEL37+MEL42+#REF!+#REF!,"")</f>
        <v/>
      </c>
      <c r="MEM48" s="84" t="str">
        <f>IF(ISNUMBER(outYear),MEM37+MEM42+#REF!+#REF!,"")</f>
        <v/>
      </c>
      <c r="MEN48" s="84" t="str">
        <f>IF(ISNUMBER(outYear),MEN37+MEN42+#REF!+#REF!,"")</f>
        <v/>
      </c>
      <c r="MEO48" s="84" t="str">
        <f>IF(ISNUMBER(outYear),MEO37+MEO42+#REF!+#REF!,"")</f>
        <v/>
      </c>
      <c r="MEP48" s="84" t="str">
        <f>IF(ISNUMBER(outYear),MEP37+MEP42+#REF!+#REF!,"")</f>
        <v/>
      </c>
      <c r="MEQ48" s="84" t="str">
        <f>IF(ISNUMBER(outYear),MEQ37+MEQ42+#REF!+#REF!,"")</f>
        <v/>
      </c>
      <c r="MER48" s="84" t="str">
        <f>IF(ISNUMBER(outYear),MER37+MER42+#REF!+#REF!,"")</f>
        <v/>
      </c>
      <c r="MES48" s="84" t="str">
        <f>IF(ISNUMBER(outYear),MES37+MES42+#REF!+#REF!,"")</f>
        <v/>
      </c>
      <c r="MET48" s="84" t="str">
        <f>IF(ISNUMBER(outYear),MET37+MET42+#REF!+#REF!,"")</f>
        <v/>
      </c>
      <c r="MEU48" s="84" t="str">
        <f>IF(ISNUMBER(outYear),MEU37+MEU42+#REF!+#REF!,"")</f>
        <v/>
      </c>
      <c r="MEV48" s="84" t="str">
        <f>IF(ISNUMBER(outYear),MEV37+MEV42+#REF!+#REF!,"")</f>
        <v/>
      </c>
      <c r="MEW48" s="84" t="str">
        <f>IF(ISNUMBER(outYear),MEW37+MEW42+#REF!+#REF!,"")</f>
        <v/>
      </c>
      <c r="MEX48" s="84" t="str">
        <f>IF(ISNUMBER(outYear),MEX37+MEX42+#REF!+#REF!,"")</f>
        <v/>
      </c>
      <c r="MEY48" s="84" t="str">
        <f>IF(ISNUMBER(outYear),MEY37+MEY42+#REF!+#REF!,"")</f>
        <v/>
      </c>
      <c r="MEZ48" s="84" t="str">
        <f>IF(ISNUMBER(outYear),MEZ37+MEZ42+#REF!+#REF!,"")</f>
        <v/>
      </c>
      <c r="MFA48" s="84" t="str">
        <f>IF(ISNUMBER(outYear),MFA37+MFA42+#REF!+#REF!,"")</f>
        <v/>
      </c>
      <c r="MFB48" s="84" t="str">
        <f>IF(ISNUMBER(outYear),MFB37+MFB42+#REF!+#REF!,"")</f>
        <v/>
      </c>
      <c r="MFC48" s="84" t="str">
        <f>IF(ISNUMBER(outYear),MFC37+MFC42+#REF!+#REF!,"")</f>
        <v/>
      </c>
      <c r="MFD48" s="84" t="str">
        <f>IF(ISNUMBER(outYear),MFD37+MFD42+#REF!+#REF!,"")</f>
        <v/>
      </c>
      <c r="MFE48" s="84" t="str">
        <f>IF(ISNUMBER(outYear),MFE37+MFE42+#REF!+#REF!,"")</f>
        <v/>
      </c>
      <c r="MFF48" s="84" t="str">
        <f>IF(ISNUMBER(outYear),MFF37+MFF42+#REF!+#REF!,"")</f>
        <v/>
      </c>
      <c r="MFG48" s="84" t="str">
        <f>IF(ISNUMBER(outYear),MFG37+MFG42+#REF!+#REF!,"")</f>
        <v/>
      </c>
      <c r="MFH48" s="84" t="str">
        <f>IF(ISNUMBER(outYear),MFH37+MFH42+#REF!+#REF!,"")</f>
        <v/>
      </c>
      <c r="MFI48" s="84" t="str">
        <f>IF(ISNUMBER(outYear),MFI37+MFI42+#REF!+#REF!,"")</f>
        <v/>
      </c>
      <c r="MFJ48" s="84" t="str">
        <f>IF(ISNUMBER(outYear),MFJ37+MFJ42+#REF!+#REF!,"")</f>
        <v/>
      </c>
      <c r="MFK48" s="84" t="str">
        <f>IF(ISNUMBER(outYear),MFK37+MFK42+#REF!+#REF!,"")</f>
        <v/>
      </c>
      <c r="MFL48" s="84" t="str">
        <f>IF(ISNUMBER(outYear),MFL37+MFL42+#REF!+#REF!,"")</f>
        <v/>
      </c>
      <c r="MFM48" s="84" t="str">
        <f>IF(ISNUMBER(outYear),MFM37+MFM42+#REF!+#REF!,"")</f>
        <v/>
      </c>
      <c r="MFN48" s="84" t="str">
        <f>IF(ISNUMBER(outYear),MFN37+MFN42+#REF!+#REF!,"")</f>
        <v/>
      </c>
      <c r="MFO48" s="84" t="str">
        <f>IF(ISNUMBER(outYear),MFO37+MFO42+#REF!+#REF!,"")</f>
        <v/>
      </c>
      <c r="MFP48" s="84" t="str">
        <f>IF(ISNUMBER(outYear),MFP37+MFP42+#REF!+#REF!,"")</f>
        <v/>
      </c>
      <c r="MFQ48" s="84" t="str">
        <f>IF(ISNUMBER(outYear),MFQ37+MFQ42+#REF!+#REF!,"")</f>
        <v/>
      </c>
      <c r="MFR48" s="84" t="str">
        <f>IF(ISNUMBER(outYear),MFR37+MFR42+#REF!+#REF!,"")</f>
        <v/>
      </c>
      <c r="MFS48" s="84" t="str">
        <f>IF(ISNUMBER(outYear),MFS37+MFS42+#REF!+#REF!,"")</f>
        <v/>
      </c>
      <c r="MFT48" s="84" t="str">
        <f>IF(ISNUMBER(outYear),MFT37+MFT42+#REF!+#REF!,"")</f>
        <v/>
      </c>
      <c r="MFU48" s="84" t="str">
        <f>IF(ISNUMBER(outYear),MFU37+MFU42+#REF!+#REF!,"")</f>
        <v/>
      </c>
      <c r="MFV48" s="84" t="str">
        <f>IF(ISNUMBER(outYear),MFV37+MFV42+#REF!+#REF!,"")</f>
        <v/>
      </c>
      <c r="MFW48" s="84" t="str">
        <f>IF(ISNUMBER(outYear),MFW37+MFW42+#REF!+#REF!,"")</f>
        <v/>
      </c>
      <c r="MFX48" s="84" t="str">
        <f>IF(ISNUMBER(outYear),MFX37+MFX42+#REF!+#REF!,"")</f>
        <v/>
      </c>
      <c r="MFY48" s="84" t="str">
        <f>IF(ISNUMBER(outYear),MFY37+MFY42+#REF!+#REF!,"")</f>
        <v/>
      </c>
      <c r="MFZ48" s="84" t="str">
        <f>IF(ISNUMBER(outYear),MFZ37+MFZ42+#REF!+#REF!,"")</f>
        <v/>
      </c>
      <c r="MGA48" s="84" t="str">
        <f>IF(ISNUMBER(outYear),MGA37+MGA42+#REF!+#REF!,"")</f>
        <v/>
      </c>
      <c r="MGB48" s="84" t="str">
        <f>IF(ISNUMBER(outYear),MGB37+MGB42+#REF!+#REF!,"")</f>
        <v/>
      </c>
      <c r="MGC48" s="84" t="str">
        <f>IF(ISNUMBER(outYear),MGC37+MGC42+#REF!+#REF!,"")</f>
        <v/>
      </c>
      <c r="MGD48" s="84" t="str">
        <f>IF(ISNUMBER(outYear),MGD37+MGD42+#REF!+#REF!,"")</f>
        <v/>
      </c>
      <c r="MGE48" s="84" t="str">
        <f>IF(ISNUMBER(outYear),MGE37+MGE42+#REF!+#REF!,"")</f>
        <v/>
      </c>
      <c r="MGF48" s="84" t="str">
        <f>IF(ISNUMBER(outYear),MGF37+MGF42+#REF!+#REF!,"")</f>
        <v/>
      </c>
      <c r="MGG48" s="84" t="str">
        <f>IF(ISNUMBER(outYear),MGG37+MGG42+#REF!+#REF!,"")</f>
        <v/>
      </c>
      <c r="MGH48" s="84" t="str">
        <f>IF(ISNUMBER(outYear),MGH37+MGH42+#REF!+#REF!,"")</f>
        <v/>
      </c>
      <c r="MGI48" s="84" t="str">
        <f>IF(ISNUMBER(outYear),MGI37+MGI42+#REF!+#REF!,"")</f>
        <v/>
      </c>
      <c r="MGJ48" s="84" t="str">
        <f>IF(ISNUMBER(outYear),MGJ37+MGJ42+#REF!+#REF!,"")</f>
        <v/>
      </c>
      <c r="MGK48" s="84" t="str">
        <f>IF(ISNUMBER(outYear),MGK37+MGK42+#REF!+#REF!,"")</f>
        <v/>
      </c>
      <c r="MGL48" s="84" t="str">
        <f>IF(ISNUMBER(outYear),MGL37+MGL42+#REF!+#REF!,"")</f>
        <v/>
      </c>
      <c r="MGM48" s="84" t="str">
        <f>IF(ISNUMBER(outYear),MGM37+MGM42+#REF!+#REF!,"")</f>
        <v/>
      </c>
      <c r="MGN48" s="84" t="str">
        <f>IF(ISNUMBER(outYear),MGN37+MGN42+#REF!+#REF!,"")</f>
        <v/>
      </c>
      <c r="MGO48" s="84" t="str">
        <f>IF(ISNUMBER(outYear),MGO37+MGO42+#REF!+#REF!,"")</f>
        <v/>
      </c>
      <c r="MGP48" s="84" t="str">
        <f>IF(ISNUMBER(outYear),MGP37+MGP42+#REF!+#REF!,"")</f>
        <v/>
      </c>
      <c r="MGQ48" s="84" t="str">
        <f>IF(ISNUMBER(outYear),MGQ37+MGQ42+#REF!+#REF!,"")</f>
        <v/>
      </c>
      <c r="MGR48" s="84" t="str">
        <f>IF(ISNUMBER(outYear),MGR37+MGR42+#REF!+#REF!,"")</f>
        <v/>
      </c>
      <c r="MGS48" s="84" t="str">
        <f>IF(ISNUMBER(outYear),MGS37+MGS42+#REF!+#REF!,"")</f>
        <v/>
      </c>
      <c r="MGT48" s="84" t="str">
        <f>IF(ISNUMBER(outYear),MGT37+MGT42+#REF!+#REF!,"")</f>
        <v/>
      </c>
      <c r="MGU48" s="84" t="str">
        <f>IF(ISNUMBER(outYear),MGU37+MGU42+#REF!+#REF!,"")</f>
        <v/>
      </c>
      <c r="MGV48" s="84" t="str">
        <f>IF(ISNUMBER(outYear),MGV37+MGV42+#REF!+#REF!,"")</f>
        <v/>
      </c>
      <c r="MGW48" s="84" t="str">
        <f>IF(ISNUMBER(outYear),MGW37+MGW42+#REF!+#REF!,"")</f>
        <v/>
      </c>
      <c r="MGX48" s="84" t="str">
        <f>IF(ISNUMBER(outYear),MGX37+MGX42+#REF!+#REF!,"")</f>
        <v/>
      </c>
      <c r="MGY48" s="84" t="str">
        <f>IF(ISNUMBER(outYear),MGY37+MGY42+#REF!+#REF!,"")</f>
        <v/>
      </c>
      <c r="MGZ48" s="84" t="str">
        <f>IF(ISNUMBER(outYear),MGZ37+MGZ42+#REF!+#REF!,"")</f>
        <v/>
      </c>
      <c r="MHA48" s="84" t="str">
        <f>IF(ISNUMBER(outYear),MHA37+MHA42+#REF!+#REF!,"")</f>
        <v/>
      </c>
      <c r="MHB48" s="84" t="str">
        <f>IF(ISNUMBER(outYear),MHB37+MHB42+#REF!+#REF!,"")</f>
        <v/>
      </c>
      <c r="MHC48" s="84" t="str">
        <f>IF(ISNUMBER(outYear),MHC37+MHC42+#REF!+#REF!,"")</f>
        <v/>
      </c>
      <c r="MHD48" s="84" t="str">
        <f>IF(ISNUMBER(outYear),MHD37+MHD42+#REF!+#REF!,"")</f>
        <v/>
      </c>
      <c r="MHE48" s="84" t="str">
        <f>IF(ISNUMBER(outYear),MHE37+MHE42+#REF!+#REF!,"")</f>
        <v/>
      </c>
      <c r="MHF48" s="84" t="str">
        <f>IF(ISNUMBER(outYear),MHF37+MHF42+#REF!+#REF!,"")</f>
        <v/>
      </c>
      <c r="MHG48" s="84" t="str">
        <f>IF(ISNUMBER(outYear),MHG37+MHG42+#REF!+#REF!,"")</f>
        <v/>
      </c>
      <c r="MHH48" s="84" t="str">
        <f>IF(ISNUMBER(outYear),MHH37+MHH42+#REF!+#REF!,"")</f>
        <v/>
      </c>
      <c r="MHI48" s="84" t="str">
        <f>IF(ISNUMBER(outYear),MHI37+MHI42+#REF!+#REF!,"")</f>
        <v/>
      </c>
      <c r="MHJ48" s="84" t="str">
        <f>IF(ISNUMBER(outYear),MHJ37+MHJ42+#REF!+#REF!,"")</f>
        <v/>
      </c>
      <c r="MHK48" s="84" t="str">
        <f>IF(ISNUMBER(outYear),MHK37+MHK42+#REF!+#REF!,"")</f>
        <v/>
      </c>
      <c r="MHL48" s="84" t="str">
        <f>IF(ISNUMBER(outYear),MHL37+MHL42+#REF!+#REF!,"")</f>
        <v/>
      </c>
      <c r="MHM48" s="84" t="str">
        <f>IF(ISNUMBER(outYear),MHM37+MHM42+#REF!+#REF!,"")</f>
        <v/>
      </c>
      <c r="MHN48" s="84" t="str">
        <f>IF(ISNUMBER(outYear),MHN37+MHN42+#REF!+#REF!,"")</f>
        <v/>
      </c>
      <c r="MHO48" s="84" t="str">
        <f>IF(ISNUMBER(outYear),MHO37+MHO42+#REF!+#REF!,"")</f>
        <v/>
      </c>
      <c r="MHP48" s="84" t="str">
        <f>IF(ISNUMBER(outYear),MHP37+MHP42+#REF!+#REF!,"")</f>
        <v/>
      </c>
      <c r="MHQ48" s="84" t="str">
        <f>IF(ISNUMBER(outYear),MHQ37+MHQ42+#REF!+#REF!,"")</f>
        <v/>
      </c>
      <c r="MHR48" s="84" t="str">
        <f>IF(ISNUMBER(outYear),MHR37+MHR42+#REF!+#REF!,"")</f>
        <v/>
      </c>
      <c r="MHS48" s="84" t="str">
        <f>IF(ISNUMBER(outYear),MHS37+MHS42+#REF!+#REF!,"")</f>
        <v/>
      </c>
      <c r="MHT48" s="84" t="str">
        <f>IF(ISNUMBER(outYear),MHT37+MHT42+#REF!+#REF!,"")</f>
        <v/>
      </c>
      <c r="MHU48" s="84" t="str">
        <f>IF(ISNUMBER(outYear),MHU37+MHU42+#REF!+#REF!,"")</f>
        <v/>
      </c>
      <c r="MHV48" s="84" t="str">
        <f>IF(ISNUMBER(outYear),MHV37+MHV42+#REF!+#REF!,"")</f>
        <v/>
      </c>
      <c r="MHW48" s="84" t="str">
        <f>IF(ISNUMBER(outYear),MHW37+MHW42+#REF!+#REF!,"")</f>
        <v/>
      </c>
      <c r="MHX48" s="84" t="str">
        <f>IF(ISNUMBER(outYear),MHX37+MHX42+#REF!+#REF!,"")</f>
        <v/>
      </c>
      <c r="MHY48" s="84" t="str">
        <f>IF(ISNUMBER(outYear),MHY37+MHY42+#REF!+#REF!,"")</f>
        <v/>
      </c>
      <c r="MHZ48" s="84" t="str">
        <f>IF(ISNUMBER(outYear),MHZ37+MHZ42+#REF!+#REF!,"")</f>
        <v/>
      </c>
      <c r="MIA48" s="84" t="str">
        <f>IF(ISNUMBER(outYear),MIA37+MIA42+#REF!+#REF!,"")</f>
        <v/>
      </c>
      <c r="MIB48" s="84" t="str">
        <f>IF(ISNUMBER(outYear),MIB37+MIB42+#REF!+#REF!,"")</f>
        <v/>
      </c>
      <c r="MIC48" s="84" t="str">
        <f>IF(ISNUMBER(outYear),MIC37+MIC42+#REF!+#REF!,"")</f>
        <v/>
      </c>
      <c r="MID48" s="84" t="str">
        <f>IF(ISNUMBER(outYear),MID37+MID42+#REF!+#REF!,"")</f>
        <v/>
      </c>
      <c r="MIE48" s="84" t="str">
        <f>IF(ISNUMBER(outYear),MIE37+MIE42+#REF!+#REF!,"")</f>
        <v/>
      </c>
      <c r="MIF48" s="84" t="str">
        <f>IF(ISNUMBER(outYear),MIF37+MIF42+#REF!+#REF!,"")</f>
        <v/>
      </c>
      <c r="MIG48" s="84" t="str">
        <f>IF(ISNUMBER(outYear),MIG37+MIG42+#REF!+#REF!,"")</f>
        <v/>
      </c>
      <c r="MIH48" s="84" t="str">
        <f>IF(ISNUMBER(outYear),MIH37+MIH42+#REF!+#REF!,"")</f>
        <v/>
      </c>
      <c r="MII48" s="84" t="str">
        <f>IF(ISNUMBER(outYear),MII37+MII42+#REF!+#REF!,"")</f>
        <v/>
      </c>
      <c r="MIJ48" s="84" t="str">
        <f>IF(ISNUMBER(outYear),MIJ37+MIJ42+#REF!+#REF!,"")</f>
        <v/>
      </c>
      <c r="MIK48" s="84" t="str">
        <f>IF(ISNUMBER(outYear),MIK37+MIK42+#REF!+#REF!,"")</f>
        <v/>
      </c>
      <c r="MIL48" s="84" t="str">
        <f>IF(ISNUMBER(outYear),MIL37+MIL42+#REF!+#REF!,"")</f>
        <v/>
      </c>
      <c r="MIM48" s="84" t="str">
        <f>IF(ISNUMBER(outYear),MIM37+MIM42+#REF!+#REF!,"")</f>
        <v/>
      </c>
      <c r="MIN48" s="84" t="str">
        <f>IF(ISNUMBER(outYear),MIN37+MIN42+#REF!+#REF!,"")</f>
        <v/>
      </c>
      <c r="MIO48" s="84" t="str">
        <f>IF(ISNUMBER(outYear),MIO37+MIO42+#REF!+#REF!,"")</f>
        <v/>
      </c>
      <c r="MIP48" s="84" t="str">
        <f>IF(ISNUMBER(outYear),MIP37+MIP42+#REF!+#REF!,"")</f>
        <v/>
      </c>
      <c r="MIQ48" s="84" t="str">
        <f>IF(ISNUMBER(outYear),MIQ37+MIQ42+#REF!+#REF!,"")</f>
        <v/>
      </c>
      <c r="MIR48" s="84" t="str">
        <f>IF(ISNUMBER(outYear),MIR37+MIR42+#REF!+#REF!,"")</f>
        <v/>
      </c>
      <c r="MIS48" s="84" t="str">
        <f>IF(ISNUMBER(outYear),MIS37+MIS42+#REF!+#REF!,"")</f>
        <v/>
      </c>
      <c r="MIT48" s="84" t="str">
        <f>IF(ISNUMBER(outYear),MIT37+MIT42+#REF!+#REF!,"")</f>
        <v/>
      </c>
      <c r="MIU48" s="84" t="str">
        <f>IF(ISNUMBER(outYear),MIU37+MIU42+#REF!+#REF!,"")</f>
        <v/>
      </c>
      <c r="MIV48" s="84" t="str">
        <f>IF(ISNUMBER(outYear),MIV37+MIV42+#REF!+#REF!,"")</f>
        <v/>
      </c>
      <c r="MIW48" s="84" t="str">
        <f>IF(ISNUMBER(outYear),MIW37+MIW42+#REF!+#REF!,"")</f>
        <v/>
      </c>
      <c r="MIX48" s="84" t="str">
        <f>IF(ISNUMBER(outYear),MIX37+MIX42+#REF!+#REF!,"")</f>
        <v/>
      </c>
      <c r="MIY48" s="84" t="str">
        <f>IF(ISNUMBER(outYear),MIY37+MIY42+#REF!+#REF!,"")</f>
        <v/>
      </c>
      <c r="MIZ48" s="84" t="str">
        <f>IF(ISNUMBER(outYear),MIZ37+MIZ42+#REF!+#REF!,"")</f>
        <v/>
      </c>
      <c r="MJA48" s="84" t="str">
        <f>IF(ISNUMBER(outYear),MJA37+MJA42+#REF!+#REF!,"")</f>
        <v/>
      </c>
      <c r="MJB48" s="84" t="str">
        <f>IF(ISNUMBER(outYear),MJB37+MJB42+#REF!+#REF!,"")</f>
        <v/>
      </c>
      <c r="MJC48" s="84" t="str">
        <f>IF(ISNUMBER(outYear),MJC37+MJC42+#REF!+#REF!,"")</f>
        <v/>
      </c>
      <c r="MJD48" s="84" t="str">
        <f>IF(ISNUMBER(outYear),MJD37+MJD42+#REF!+#REF!,"")</f>
        <v/>
      </c>
      <c r="MJE48" s="84" t="str">
        <f>IF(ISNUMBER(outYear),MJE37+MJE42+#REF!+#REF!,"")</f>
        <v/>
      </c>
      <c r="MJF48" s="84" t="str">
        <f>IF(ISNUMBER(outYear),MJF37+MJF42+#REF!+#REF!,"")</f>
        <v/>
      </c>
      <c r="MJG48" s="84" t="str">
        <f>IF(ISNUMBER(outYear),MJG37+MJG42+#REF!+#REF!,"")</f>
        <v/>
      </c>
      <c r="MJH48" s="84" t="str">
        <f>IF(ISNUMBER(outYear),MJH37+MJH42+#REF!+#REF!,"")</f>
        <v/>
      </c>
      <c r="MJI48" s="84" t="str">
        <f>IF(ISNUMBER(outYear),MJI37+MJI42+#REF!+#REF!,"")</f>
        <v/>
      </c>
      <c r="MJJ48" s="84" t="str">
        <f>IF(ISNUMBER(outYear),MJJ37+MJJ42+#REF!+#REF!,"")</f>
        <v/>
      </c>
      <c r="MJK48" s="84" t="str">
        <f>IF(ISNUMBER(outYear),MJK37+MJK42+#REF!+#REF!,"")</f>
        <v/>
      </c>
      <c r="MJL48" s="84" t="str">
        <f>IF(ISNUMBER(outYear),MJL37+MJL42+#REF!+#REF!,"")</f>
        <v/>
      </c>
      <c r="MJM48" s="84" t="str">
        <f>IF(ISNUMBER(outYear),MJM37+MJM42+#REF!+#REF!,"")</f>
        <v/>
      </c>
      <c r="MJN48" s="84" t="str">
        <f>IF(ISNUMBER(outYear),MJN37+MJN42+#REF!+#REF!,"")</f>
        <v/>
      </c>
      <c r="MJO48" s="84" t="str">
        <f>IF(ISNUMBER(outYear),MJO37+MJO42+#REF!+#REF!,"")</f>
        <v/>
      </c>
      <c r="MJP48" s="84" t="str">
        <f>IF(ISNUMBER(outYear),MJP37+MJP42+#REF!+#REF!,"")</f>
        <v/>
      </c>
      <c r="MJQ48" s="84" t="str">
        <f>IF(ISNUMBER(outYear),MJQ37+MJQ42+#REF!+#REF!,"")</f>
        <v/>
      </c>
      <c r="MJR48" s="84" t="str">
        <f>IF(ISNUMBER(outYear),MJR37+MJR42+#REF!+#REF!,"")</f>
        <v/>
      </c>
      <c r="MJS48" s="84" t="str">
        <f>IF(ISNUMBER(outYear),MJS37+MJS42+#REF!+#REF!,"")</f>
        <v/>
      </c>
      <c r="MJT48" s="84" t="str">
        <f>IF(ISNUMBER(outYear),MJT37+MJT42+#REF!+#REF!,"")</f>
        <v/>
      </c>
      <c r="MJU48" s="84" t="str">
        <f>IF(ISNUMBER(outYear),MJU37+MJU42+#REF!+#REF!,"")</f>
        <v/>
      </c>
      <c r="MJV48" s="84" t="str">
        <f>IF(ISNUMBER(outYear),MJV37+MJV42+#REF!+#REF!,"")</f>
        <v/>
      </c>
      <c r="MJW48" s="84" t="str">
        <f>IF(ISNUMBER(outYear),MJW37+MJW42+#REF!+#REF!,"")</f>
        <v/>
      </c>
      <c r="MJX48" s="84" t="str">
        <f>IF(ISNUMBER(outYear),MJX37+MJX42+#REF!+#REF!,"")</f>
        <v/>
      </c>
      <c r="MJY48" s="84" t="str">
        <f>IF(ISNUMBER(outYear),MJY37+MJY42+#REF!+#REF!,"")</f>
        <v/>
      </c>
      <c r="MJZ48" s="84" t="str">
        <f>IF(ISNUMBER(outYear),MJZ37+MJZ42+#REF!+#REF!,"")</f>
        <v/>
      </c>
      <c r="MKA48" s="84" t="str">
        <f>IF(ISNUMBER(outYear),MKA37+MKA42+#REF!+#REF!,"")</f>
        <v/>
      </c>
      <c r="MKB48" s="84" t="str">
        <f>IF(ISNUMBER(outYear),MKB37+MKB42+#REF!+#REF!,"")</f>
        <v/>
      </c>
      <c r="MKC48" s="84" t="str">
        <f>IF(ISNUMBER(outYear),MKC37+MKC42+#REF!+#REF!,"")</f>
        <v/>
      </c>
      <c r="MKD48" s="84" t="str">
        <f>IF(ISNUMBER(outYear),MKD37+MKD42+#REF!+#REF!,"")</f>
        <v/>
      </c>
      <c r="MKE48" s="84" t="str">
        <f>IF(ISNUMBER(outYear),MKE37+MKE42+#REF!+#REF!,"")</f>
        <v/>
      </c>
      <c r="MKF48" s="84" t="str">
        <f>IF(ISNUMBER(outYear),MKF37+MKF42+#REF!+#REF!,"")</f>
        <v/>
      </c>
      <c r="MKG48" s="84" t="str">
        <f>IF(ISNUMBER(outYear),MKG37+MKG42+#REF!+#REF!,"")</f>
        <v/>
      </c>
      <c r="MKH48" s="84" t="str">
        <f>IF(ISNUMBER(outYear),MKH37+MKH42+#REF!+#REF!,"")</f>
        <v/>
      </c>
      <c r="MKI48" s="84" t="str">
        <f>IF(ISNUMBER(outYear),MKI37+MKI42+#REF!+#REF!,"")</f>
        <v/>
      </c>
      <c r="MKJ48" s="84" t="str">
        <f>IF(ISNUMBER(outYear),MKJ37+MKJ42+#REF!+#REF!,"")</f>
        <v/>
      </c>
      <c r="MKK48" s="84" t="str">
        <f>IF(ISNUMBER(outYear),MKK37+MKK42+#REF!+#REF!,"")</f>
        <v/>
      </c>
      <c r="MKL48" s="84" t="str">
        <f>IF(ISNUMBER(outYear),MKL37+MKL42+#REF!+#REF!,"")</f>
        <v/>
      </c>
      <c r="MKM48" s="84" t="str">
        <f>IF(ISNUMBER(outYear),MKM37+MKM42+#REF!+#REF!,"")</f>
        <v/>
      </c>
      <c r="MKN48" s="84" t="str">
        <f>IF(ISNUMBER(outYear),MKN37+MKN42+#REF!+#REF!,"")</f>
        <v/>
      </c>
      <c r="MKO48" s="84" t="str">
        <f>IF(ISNUMBER(outYear),MKO37+MKO42+#REF!+#REF!,"")</f>
        <v/>
      </c>
      <c r="MKP48" s="84" t="str">
        <f>IF(ISNUMBER(outYear),MKP37+MKP42+#REF!+#REF!,"")</f>
        <v/>
      </c>
      <c r="MKQ48" s="84" t="str">
        <f>IF(ISNUMBER(outYear),MKQ37+MKQ42+#REF!+#REF!,"")</f>
        <v/>
      </c>
      <c r="MKR48" s="84" t="str">
        <f>IF(ISNUMBER(outYear),MKR37+MKR42+#REF!+#REF!,"")</f>
        <v/>
      </c>
      <c r="MKS48" s="84" t="str">
        <f>IF(ISNUMBER(outYear),MKS37+MKS42+#REF!+#REF!,"")</f>
        <v/>
      </c>
      <c r="MKT48" s="84" t="str">
        <f>IF(ISNUMBER(outYear),MKT37+MKT42+#REF!+#REF!,"")</f>
        <v/>
      </c>
      <c r="MKU48" s="84" t="str">
        <f>IF(ISNUMBER(outYear),MKU37+MKU42+#REF!+#REF!,"")</f>
        <v/>
      </c>
      <c r="MKV48" s="84" t="str">
        <f>IF(ISNUMBER(outYear),MKV37+MKV42+#REF!+#REF!,"")</f>
        <v/>
      </c>
      <c r="MKW48" s="84" t="str">
        <f>IF(ISNUMBER(outYear),MKW37+MKW42+#REF!+#REF!,"")</f>
        <v/>
      </c>
      <c r="MKX48" s="84" t="str">
        <f>IF(ISNUMBER(outYear),MKX37+MKX42+#REF!+#REF!,"")</f>
        <v/>
      </c>
      <c r="MKY48" s="84" t="str">
        <f>IF(ISNUMBER(outYear),MKY37+MKY42+#REF!+#REF!,"")</f>
        <v/>
      </c>
      <c r="MKZ48" s="84" t="str">
        <f>IF(ISNUMBER(outYear),MKZ37+MKZ42+#REF!+#REF!,"")</f>
        <v/>
      </c>
      <c r="MLA48" s="84" t="str">
        <f>IF(ISNUMBER(outYear),MLA37+MLA42+#REF!+#REF!,"")</f>
        <v/>
      </c>
      <c r="MLB48" s="84" t="str">
        <f>IF(ISNUMBER(outYear),MLB37+MLB42+#REF!+#REF!,"")</f>
        <v/>
      </c>
      <c r="MLC48" s="84" t="str">
        <f>IF(ISNUMBER(outYear),MLC37+MLC42+#REF!+#REF!,"")</f>
        <v/>
      </c>
      <c r="MLD48" s="84" t="str">
        <f>IF(ISNUMBER(outYear),MLD37+MLD42+#REF!+#REF!,"")</f>
        <v/>
      </c>
      <c r="MLE48" s="84" t="str">
        <f>IF(ISNUMBER(outYear),MLE37+MLE42+#REF!+#REF!,"")</f>
        <v/>
      </c>
      <c r="MLF48" s="84" t="str">
        <f>IF(ISNUMBER(outYear),MLF37+MLF42+#REF!+#REF!,"")</f>
        <v/>
      </c>
      <c r="MLG48" s="84" t="str">
        <f>IF(ISNUMBER(outYear),MLG37+MLG42+#REF!+#REF!,"")</f>
        <v/>
      </c>
      <c r="MLH48" s="84" t="str">
        <f>IF(ISNUMBER(outYear),MLH37+MLH42+#REF!+#REF!,"")</f>
        <v/>
      </c>
      <c r="MLI48" s="84" t="str">
        <f>IF(ISNUMBER(outYear),MLI37+MLI42+#REF!+#REF!,"")</f>
        <v/>
      </c>
      <c r="MLJ48" s="84" t="str">
        <f>IF(ISNUMBER(outYear),MLJ37+MLJ42+#REF!+#REF!,"")</f>
        <v/>
      </c>
      <c r="MLK48" s="84" t="str">
        <f>IF(ISNUMBER(outYear),MLK37+MLK42+#REF!+#REF!,"")</f>
        <v/>
      </c>
      <c r="MLL48" s="84" t="str">
        <f>IF(ISNUMBER(outYear),MLL37+MLL42+#REF!+#REF!,"")</f>
        <v/>
      </c>
      <c r="MLM48" s="84" t="str">
        <f>IF(ISNUMBER(outYear),MLM37+MLM42+#REF!+#REF!,"")</f>
        <v/>
      </c>
      <c r="MLN48" s="84" t="str">
        <f>IF(ISNUMBER(outYear),MLN37+MLN42+#REF!+#REF!,"")</f>
        <v/>
      </c>
      <c r="MLO48" s="84" t="str">
        <f>IF(ISNUMBER(outYear),MLO37+MLO42+#REF!+#REF!,"")</f>
        <v/>
      </c>
      <c r="MLP48" s="84" t="str">
        <f>IF(ISNUMBER(outYear),MLP37+MLP42+#REF!+#REF!,"")</f>
        <v/>
      </c>
      <c r="MLQ48" s="84" t="str">
        <f>IF(ISNUMBER(outYear),MLQ37+MLQ42+#REF!+#REF!,"")</f>
        <v/>
      </c>
      <c r="MLR48" s="84" t="str">
        <f>IF(ISNUMBER(outYear),MLR37+MLR42+#REF!+#REF!,"")</f>
        <v/>
      </c>
      <c r="MLS48" s="84" t="str">
        <f>IF(ISNUMBER(outYear),MLS37+MLS42+#REF!+#REF!,"")</f>
        <v/>
      </c>
      <c r="MLT48" s="84" t="str">
        <f>IF(ISNUMBER(outYear),MLT37+MLT42+#REF!+#REF!,"")</f>
        <v/>
      </c>
      <c r="MLU48" s="84" t="str">
        <f>IF(ISNUMBER(outYear),MLU37+MLU42+#REF!+#REF!,"")</f>
        <v/>
      </c>
      <c r="MLV48" s="84" t="str">
        <f>IF(ISNUMBER(outYear),MLV37+MLV42+#REF!+#REF!,"")</f>
        <v/>
      </c>
      <c r="MLW48" s="84" t="str">
        <f>IF(ISNUMBER(outYear),MLW37+MLW42+#REF!+#REF!,"")</f>
        <v/>
      </c>
      <c r="MLX48" s="84" t="str">
        <f>IF(ISNUMBER(outYear),MLX37+MLX42+#REF!+#REF!,"")</f>
        <v/>
      </c>
      <c r="MLY48" s="84" t="str">
        <f>IF(ISNUMBER(outYear),MLY37+MLY42+#REF!+#REF!,"")</f>
        <v/>
      </c>
      <c r="MLZ48" s="84" t="str">
        <f>IF(ISNUMBER(outYear),MLZ37+MLZ42+#REF!+#REF!,"")</f>
        <v/>
      </c>
      <c r="MMA48" s="84" t="str">
        <f>IF(ISNUMBER(outYear),MMA37+MMA42+#REF!+#REF!,"")</f>
        <v/>
      </c>
      <c r="MMB48" s="84" t="str">
        <f>IF(ISNUMBER(outYear),MMB37+MMB42+#REF!+#REF!,"")</f>
        <v/>
      </c>
      <c r="MMC48" s="84" t="str">
        <f>IF(ISNUMBER(outYear),MMC37+MMC42+#REF!+#REF!,"")</f>
        <v/>
      </c>
      <c r="MMD48" s="84" t="str">
        <f>IF(ISNUMBER(outYear),MMD37+MMD42+#REF!+#REF!,"")</f>
        <v/>
      </c>
      <c r="MME48" s="84" t="str">
        <f>IF(ISNUMBER(outYear),MME37+MME42+#REF!+#REF!,"")</f>
        <v/>
      </c>
      <c r="MMF48" s="84" t="str">
        <f>IF(ISNUMBER(outYear),MMF37+MMF42+#REF!+#REF!,"")</f>
        <v/>
      </c>
      <c r="MMG48" s="84" t="str">
        <f>IF(ISNUMBER(outYear),MMG37+MMG42+#REF!+#REF!,"")</f>
        <v/>
      </c>
      <c r="MMH48" s="84" t="str">
        <f>IF(ISNUMBER(outYear),MMH37+MMH42+#REF!+#REF!,"")</f>
        <v/>
      </c>
      <c r="MMI48" s="84" t="str">
        <f>IF(ISNUMBER(outYear),MMI37+MMI42+#REF!+#REF!,"")</f>
        <v/>
      </c>
      <c r="MMJ48" s="84" t="str">
        <f>IF(ISNUMBER(outYear),MMJ37+MMJ42+#REF!+#REF!,"")</f>
        <v/>
      </c>
      <c r="MMK48" s="84" t="str">
        <f>IF(ISNUMBER(outYear),MMK37+MMK42+#REF!+#REF!,"")</f>
        <v/>
      </c>
      <c r="MML48" s="84" t="str">
        <f>IF(ISNUMBER(outYear),MML37+MML42+#REF!+#REF!,"")</f>
        <v/>
      </c>
      <c r="MMM48" s="84" t="str">
        <f>IF(ISNUMBER(outYear),MMM37+MMM42+#REF!+#REF!,"")</f>
        <v/>
      </c>
      <c r="MMN48" s="84" t="str">
        <f>IF(ISNUMBER(outYear),MMN37+MMN42+#REF!+#REF!,"")</f>
        <v/>
      </c>
      <c r="MMO48" s="84" t="str">
        <f>IF(ISNUMBER(outYear),MMO37+MMO42+#REF!+#REF!,"")</f>
        <v/>
      </c>
      <c r="MMP48" s="84" t="str">
        <f>IF(ISNUMBER(outYear),MMP37+MMP42+#REF!+#REF!,"")</f>
        <v/>
      </c>
      <c r="MMQ48" s="84" t="str">
        <f>IF(ISNUMBER(outYear),MMQ37+MMQ42+#REF!+#REF!,"")</f>
        <v/>
      </c>
      <c r="MMR48" s="84" t="str">
        <f>IF(ISNUMBER(outYear),MMR37+MMR42+#REF!+#REF!,"")</f>
        <v/>
      </c>
      <c r="MMS48" s="84" t="str">
        <f>IF(ISNUMBER(outYear),MMS37+MMS42+#REF!+#REF!,"")</f>
        <v/>
      </c>
      <c r="MMT48" s="84" t="str">
        <f>IF(ISNUMBER(outYear),MMT37+MMT42+#REF!+#REF!,"")</f>
        <v/>
      </c>
      <c r="MMU48" s="84" t="str">
        <f>IF(ISNUMBER(outYear),MMU37+MMU42+#REF!+#REF!,"")</f>
        <v/>
      </c>
      <c r="MMV48" s="84" t="str">
        <f>IF(ISNUMBER(outYear),MMV37+MMV42+#REF!+#REF!,"")</f>
        <v/>
      </c>
      <c r="MMW48" s="84" t="str">
        <f>IF(ISNUMBER(outYear),MMW37+MMW42+#REF!+#REF!,"")</f>
        <v/>
      </c>
      <c r="MMX48" s="84" t="str">
        <f>IF(ISNUMBER(outYear),MMX37+MMX42+#REF!+#REF!,"")</f>
        <v/>
      </c>
      <c r="MMY48" s="84" t="str">
        <f>IF(ISNUMBER(outYear),MMY37+MMY42+#REF!+#REF!,"")</f>
        <v/>
      </c>
      <c r="MMZ48" s="84" t="str">
        <f>IF(ISNUMBER(outYear),MMZ37+MMZ42+#REF!+#REF!,"")</f>
        <v/>
      </c>
      <c r="MNA48" s="84" t="str">
        <f>IF(ISNUMBER(outYear),MNA37+MNA42+#REF!+#REF!,"")</f>
        <v/>
      </c>
      <c r="MNB48" s="84" t="str">
        <f>IF(ISNUMBER(outYear),MNB37+MNB42+#REF!+#REF!,"")</f>
        <v/>
      </c>
      <c r="MNC48" s="84" t="str">
        <f>IF(ISNUMBER(outYear),MNC37+MNC42+#REF!+#REF!,"")</f>
        <v/>
      </c>
      <c r="MND48" s="84" t="str">
        <f>IF(ISNUMBER(outYear),MND37+MND42+#REF!+#REF!,"")</f>
        <v/>
      </c>
      <c r="MNE48" s="84" t="str">
        <f>IF(ISNUMBER(outYear),MNE37+MNE42+#REF!+#REF!,"")</f>
        <v/>
      </c>
      <c r="MNF48" s="84" t="str">
        <f>IF(ISNUMBER(outYear),MNF37+MNF42+#REF!+#REF!,"")</f>
        <v/>
      </c>
      <c r="MNG48" s="84" t="str">
        <f>IF(ISNUMBER(outYear),MNG37+MNG42+#REF!+#REF!,"")</f>
        <v/>
      </c>
      <c r="MNH48" s="84" t="str">
        <f>IF(ISNUMBER(outYear),MNH37+MNH42+#REF!+#REF!,"")</f>
        <v/>
      </c>
      <c r="MNI48" s="84" t="str">
        <f>IF(ISNUMBER(outYear),MNI37+MNI42+#REF!+#REF!,"")</f>
        <v/>
      </c>
      <c r="MNJ48" s="84" t="str">
        <f>IF(ISNUMBER(outYear),MNJ37+MNJ42+#REF!+#REF!,"")</f>
        <v/>
      </c>
      <c r="MNK48" s="84" t="str">
        <f>IF(ISNUMBER(outYear),MNK37+MNK42+#REF!+#REF!,"")</f>
        <v/>
      </c>
      <c r="MNL48" s="84" t="str">
        <f>IF(ISNUMBER(outYear),MNL37+MNL42+#REF!+#REF!,"")</f>
        <v/>
      </c>
      <c r="MNM48" s="84" t="str">
        <f>IF(ISNUMBER(outYear),MNM37+MNM42+#REF!+#REF!,"")</f>
        <v/>
      </c>
      <c r="MNN48" s="84" t="str">
        <f>IF(ISNUMBER(outYear),MNN37+MNN42+#REF!+#REF!,"")</f>
        <v/>
      </c>
      <c r="MNO48" s="84" t="str">
        <f>IF(ISNUMBER(outYear),MNO37+MNO42+#REF!+#REF!,"")</f>
        <v/>
      </c>
      <c r="MNP48" s="84" t="str">
        <f>IF(ISNUMBER(outYear),MNP37+MNP42+#REF!+#REF!,"")</f>
        <v/>
      </c>
      <c r="MNQ48" s="84" t="str">
        <f>IF(ISNUMBER(outYear),MNQ37+MNQ42+#REF!+#REF!,"")</f>
        <v/>
      </c>
      <c r="MNR48" s="84" t="str">
        <f>IF(ISNUMBER(outYear),MNR37+MNR42+#REF!+#REF!,"")</f>
        <v/>
      </c>
      <c r="MNS48" s="84" t="str">
        <f>IF(ISNUMBER(outYear),MNS37+MNS42+#REF!+#REF!,"")</f>
        <v/>
      </c>
      <c r="MNT48" s="84" t="str">
        <f>IF(ISNUMBER(outYear),MNT37+MNT42+#REF!+#REF!,"")</f>
        <v/>
      </c>
      <c r="MNU48" s="84" t="str">
        <f>IF(ISNUMBER(outYear),MNU37+MNU42+#REF!+#REF!,"")</f>
        <v/>
      </c>
      <c r="MNV48" s="84" t="str">
        <f>IF(ISNUMBER(outYear),MNV37+MNV42+#REF!+#REF!,"")</f>
        <v/>
      </c>
      <c r="MNW48" s="84" t="str">
        <f>IF(ISNUMBER(outYear),MNW37+MNW42+#REF!+#REF!,"")</f>
        <v/>
      </c>
      <c r="MNX48" s="84" t="str">
        <f>IF(ISNUMBER(outYear),MNX37+MNX42+#REF!+#REF!,"")</f>
        <v/>
      </c>
      <c r="MNY48" s="84" t="str">
        <f>IF(ISNUMBER(outYear),MNY37+MNY42+#REF!+#REF!,"")</f>
        <v/>
      </c>
      <c r="MNZ48" s="84" t="str">
        <f>IF(ISNUMBER(outYear),MNZ37+MNZ42+#REF!+#REF!,"")</f>
        <v/>
      </c>
      <c r="MOA48" s="84" t="str">
        <f>IF(ISNUMBER(outYear),MOA37+MOA42+#REF!+#REF!,"")</f>
        <v/>
      </c>
      <c r="MOB48" s="84" t="str">
        <f>IF(ISNUMBER(outYear),MOB37+MOB42+#REF!+#REF!,"")</f>
        <v/>
      </c>
      <c r="MOC48" s="84" t="str">
        <f>IF(ISNUMBER(outYear),MOC37+MOC42+#REF!+#REF!,"")</f>
        <v/>
      </c>
      <c r="MOD48" s="84" t="str">
        <f>IF(ISNUMBER(outYear),MOD37+MOD42+#REF!+#REF!,"")</f>
        <v/>
      </c>
      <c r="MOE48" s="84" t="str">
        <f>IF(ISNUMBER(outYear),MOE37+MOE42+#REF!+#REF!,"")</f>
        <v/>
      </c>
      <c r="MOF48" s="84" t="str">
        <f>IF(ISNUMBER(outYear),MOF37+MOF42+#REF!+#REF!,"")</f>
        <v/>
      </c>
      <c r="MOG48" s="84" t="str">
        <f>IF(ISNUMBER(outYear),MOG37+MOG42+#REF!+#REF!,"")</f>
        <v/>
      </c>
      <c r="MOH48" s="84" t="str">
        <f>IF(ISNUMBER(outYear),MOH37+MOH42+#REF!+#REF!,"")</f>
        <v/>
      </c>
      <c r="MOI48" s="84" t="str">
        <f>IF(ISNUMBER(outYear),MOI37+MOI42+#REF!+#REF!,"")</f>
        <v/>
      </c>
      <c r="MOJ48" s="84" t="str">
        <f>IF(ISNUMBER(outYear),MOJ37+MOJ42+#REF!+#REF!,"")</f>
        <v/>
      </c>
      <c r="MOK48" s="84" t="str">
        <f>IF(ISNUMBER(outYear),MOK37+MOK42+#REF!+#REF!,"")</f>
        <v/>
      </c>
      <c r="MOL48" s="84" t="str">
        <f>IF(ISNUMBER(outYear),MOL37+MOL42+#REF!+#REF!,"")</f>
        <v/>
      </c>
      <c r="MOM48" s="84" t="str">
        <f>IF(ISNUMBER(outYear),MOM37+MOM42+#REF!+#REF!,"")</f>
        <v/>
      </c>
      <c r="MON48" s="84" t="str">
        <f>IF(ISNUMBER(outYear),MON37+MON42+#REF!+#REF!,"")</f>
        <v/>
      </c>
      <c r="MOO48" s="84" t="str">
        <f>IF(ISNUMBER(outYear),MOO37+MOO42+#REF!+#REF!,"")</f>
        <v/>
      </c>
      <c r="MOP48" s="84" t="str">
        <f>IF(ISNUMBER(outYear),MOP37+MOP42+#REF!+#REF!,"")</f>
        <v/>
      </c>
      <c r="MOQ48" s="84" t="str">
        <f>IF(ISNUMBER(outYear),MOQ37+MOQ42+#REF!+#REF!,"")</f>
        <v/>
      </c>
      <c r="MOR48" s="84" t="str">
        <f>IF(ISNUMBER(outYear),MOR37+MOR42+#REF!+#REF!,"")</f>
        <v/>
      </c>
      <c r="MOS48" s="84" t="str">
        <f>IF(ISNUMBER(outYear),MOS37+MOS42+#REF!+#REF!,"")</f>
        <v/>
      </c>
      <c r="MOT48" s="84" t="str">
        <f>IF(ISNUMBER(outYear),MOT37+MOT42+#REF!+#REF!,"")</f>
        <v/>
      </c>
      <c r="MOU48" s="84" t="str">
        <f>IF(ISNUMBER(outYear),MOU37+MOU42+#REF!+#REF!,"")</f>
        <v/>
      </c>
      <c r="MOV48" s="84" t="str">
        <f>IF(ISNUMBER(outYear),MOV37+MOV42+#REF!+#REF!,"")</f>
        <v/>
      </c>
      <c r="MOW48" s="84" t="str">
        <f>IF(ISNUMBER(outYear),MOW37+MOW42+#REF!+#REF!,"")</f>
        <v/>
      </c>
      <c r="MOX48" s="84" t="str">
        <f>IF(ISNUMBER(outYear),MOX37+MOX42+#REF!+#REF!,"")</f>
        <v/>
      </c>
      <c r="MOY48" s="84" t="str">
        <f>IF(ISNUMBER(outYear),MOY37+MOY42+#REF!+#REF!,"")</f>
        <v/>
      </c>
      <c r="MOZ48" s="84" t="str">
        <f>IF(ISNUMBER(outYear),MOZ37+MOZ42+#REF!+#REF!,"")</f>
        <v/>
      </c>
      <c r="MPA48" s="84" t="str">
        <f>IF(ISNUMBER(outYear),MPA37+MPA42+#REF!+#REF!,"")</f>
        <v/>
      </c>
      <c r="MPB48" s="84" t="str">
        <f>IF(ISNUMBER(outYear),MPB37+MPB42+#REF!+#REF!,"")</f>
        <v/>
      </c>
      <c r="MPC48" s="84" t="str">
        <f>IF(ISNUMBER(outYear),MPC37+MPC42+#REF!+#REF!,"")</f>
        <v/>
      </c>
      <c r="MPD48" s="84" t="str">
        <f>IF(ISNUMBER(outYear),MPD37+MPD42+#REF!+#REF!,"")</f>
        <v/>
      </c>
      <c r="MPE48" s="84" t="str">
        <f>IF(ISNUMBER(outYear),MPE37+MPE42+#REF!+#REF!,"")</f>
        <v/>
      </c>
      <c r="MPF48" s="84" t="str">
        <f>IF(ISNUMBER(outYear),MPF37+MPF42+#REF!+#REF!,"")</f>
        <v/>
      </c>
      <c r="MPG48" s="84" t="str">
        <f>IF(ISNUMBER(outYear),MPG37+MPG42+#REF!+#REF!,"")</f>
        <v/>
      </c>
      <c r="MPH48" s="84" t="str">
        <f>IF(ISNUMBER(outYear),MPH37+MPH42+#REF!+#REF!,"")</f>
        <v/>
      </c>
      <c r="MPI48" s="84" t="str">
        <f>IF(ISNUMBER(outYear),MPI37+MPI42+#REF!+#REF!,"")</f>
        <v/>
      </c>
      <c r="MPJ48" s="84" t="str">
        <f>IF(ISNUMBER(outYear),MPJ37+MPJ42+#REF!+#REF!,"")</f>
        <v/>
      </c>
      <c r="MPK48" s="84" t="str">
        <f>IF(ISNUMBER(outYear),MPK37+MPK42+#REF!+#REF!,"")</f>
        <v/>
      </c>
      <c r="MPL48" s="84" t="str">
        <f>IF(ISNUMBER(outYear),MPL37+MPL42+#REF!+#REF!,"")</f>
        <v/>
      </c>
      <c r="MPM48" s="84" t="str">
        <f>IF(ISNUMBER(outYear),MPM37+MPM42+#REF!+#REF!,"")</f>
        <v/>
      </c>
      <c r="MPN48" s="84" t="str">
        <f>IF(ISNUMBER(outYear),MPN37+MPN42+#REF!+#REF!,"")</f>
        <v/>
      </c>
      <c r="MPO48" s="84" t="str">
        <f>IF(ISNUMBER(outYear),MPO37+MPO42+#REF!+#REF!,"")</f>
        <v/>
      </c>
      <c r="MPP48" s="84" t="str">
        <f>IF(ISNUMBER(outYear),MPP37+MPP42+#REF!+#REF!,"")</f>
        <v/>
      </c>
      <c r="MPQ48" s="84" t="str">
        <f>IF(ISNUMBER(outYear),MPQ37+MPQ42+#REF!+#REF!,"")</f>
        <v/>
      </c>
      <c r="MPR48" s="84" t="str">
        <f>IF(ISNUMBER(outYear),MPR37+MPR42+#REF!+#REF!,"")</f>
        <v/>
      </c>
      <c r="MPS48" s="84" t="str">
        <f>IF(ISNUMBER(outYear),MPS37+MPS42+#REF!+#REF!,"")</f>
        <v/>
      </c>
      <c r="MPT48" s="84" t="str">
        <f>IF(ISNUMBER(outYear),MPT37+MPT42+#REF!+#REF!,"")</f>
        <v/>
      </c>
      <c r="MPU48" s="84" t="str">
        <f>IF(ISNUMBER(outYear),MPU37+MPU42+#REF!+#REF!,"")</f>
        <v/>
      </c>
      <c r="MPV48" s="84" t="str">
        <f>IF(ISNUMBER(outYear),MPV37+MPV42+#REF!+#REF!,"")</f>
        <v/>
      </c>
      <c r="MPW48" s="84" t="str">
        <f>IF(ISNUMBER(outYear),MPW37+MPW42+#REF!+#REF!,"")</f>
        <v/>
      </c>
      <c r="MPX48" s="84" t="str">
        <f>IF(ISNUMBER(outYear),MPX37+MPX42+#REF!+#REF!,"")</f>
        <v/>
      </c>
      <c r="MPY48" s="84" t="str">
        <f>IF(ISNUMBER(outYear),MPY37+MPY42+#REF!+#REF!,"")</f>
        <v/>
      </c>
      <c r="MPZ48" s="84" t="str">
        <f>IF(ISNUMBER(outYear),MPZ37+MPZ42+#REF!+#REF!,"")</f>
        <v/>
      </c>
      <c r="MQA48" s="84" t="str">
        <f>IF(ISNUMBER(outYear),MQA37+MQA42+#REF!+#REF!,"")</f>
        <v/>
      </c>
      <c r="MQB48" s="84" t="str">
        <f>IF(ISNUMBER(outYear),MQB37+MQB42+#REF!+#REF!,"")</f>
        <v/>
      </c>
      <c r="MQC48" s="84" t="str">
        <f>IF(ISNUMBER(outYear),MQC37+MQC42+#REF!+#REF!,"")</f>
        <v/>
      </c>
      <c r="MQD48" s="84" t="str">
        <f>IF(ISNUMBER(outYear),MQD37+MQD42+#REF!+#REF!,"")</f>
        <v/>
      </c>
      <c r="MQE48" s="84" t="str">
        <f>IF(ISNUMBER(outYear),MQE37+MQE42+#REF!+#REF!,"")</f>
        <v/>
      </c>
      <c r="MQF48" s="84" t="str">
        <f>IF(ISNUMBER(outYear),MQF37+MQF42+#REF!+#REF!,"")</f>
        <v/>
      </c>
      <c r="MQG48" s="84" t="str">
        <f>IF(ISNUMBER(outYear),MQG37+MQG42+#REF!+#REF!,"")</f>
        <v/>
      </c>
      <c r="MQH48" s="84" t="str">
        <f>IF(ISNUMBER(outYear),MQH37+MQH42+#REF!+#REF!,"")</f>
        <v/>
      </c>
      <c r="MQI48" s="84" t="str">
        <f>IF(ISNUMBER(outYear),MQI37+MQI42+#REF!+#REF!,"")</f>
        <v/>
      </c>
      <c r="MQJ48" s="84" t="str">
        <f>IF(ISNUMBER(outYear),MQJ37+MQJ42+#REF!+#REF!,"")</f>
        <v/>
      </c>
      <c r="MQK48" s="84" t="str">
        <f>IF(ISNUMBER(outYear),MQK37+MQK42+#REF!+#REF!,"")</f>
        <v/>
      </c>
      <c r="MQL48" s="84" t="str">
        <f>IF(ISNUMBER(outYear),MQL37+MQL42+#REF!+#REF!,"")</f>
        <v/>
      </c>
      <c r="MQM48" s="84" t="str">
        <f>IF(ISNUMBER(outYear),MQM37+MQM42+#REF!+#REF!,"")</f>
        <v/>
      </c>
      <c r="MQN48" s="84" t="str">
        <f>IF(ISNUMBER(outYear),MQN37+MQN42+#REF!+#REF!,"")</f>
        <v/>
      </c>
      <c r="MQO48" s="84" t="str">
        <f>IF(ISNUMBER(outYear),MQO37+MQO42+#REF!+#REF!,"")</f>
        <v/>
      </c>
      <c r="MQP48" s="84" t="str">
        <f>IF(ISNUMBER(outYear),MQP37+MQP42+#REF!+#REF!,"")</f>
        <v/>
      </c>
      <c r="MQQ48" s="84" t="str">
        <f>IF(ISNUMBER(outYear),MQQ37+MQQ42+#REF!+#REF!,"")</f>
        <v/>
      </c>
      <c r="MQR48" s="84" t="str">
        <f>IF(ISNUMBER(outYear),MQR37+MQR42+#REF!+#REF!,"")</f>
        <v/>
      </c>
      <c r="MQS48" s="84" t="str">
        <f>IF(ISNUMBER(outYear),MQS37+MQS42+#REF!+#REF!,"")</f>
        <v/>
      </c>
      <c r="MQT48" s="84" t="str">
        <f>IF(ISNUMBER(outYear),MQT37+MQT42+#REF!+#REF!,"")</f>
        <v/>
      </c>
      <c r="MQU48" s="84" t="str">
        <f>IF(ISNUMBER(outYear),MQU37+MQU42+#REF!+#REF!,"")</f>
        <v/>
      </c>
      <c r="MQV48" s="84" t="str">
        <f>IF(ISNUMBER(outYear),MQV37+MQV42+#REF!+#REF!,"")</f>
        <v/>
      </c>
      <c r="MQW48" s="84" t="str">
        <f>IF(ISNUMBER(outYear),MQW37+MQW42+#REF!+#REF!,"")</f>
        <v/>
      </c>
      <c r="MQX48" s="84" t="str">
        <f>IF(ISNUMBER(outYear),MQX37+MQX42+#REF!+#REF!,"")</f>
        <v/>
      </c>
      <c r="MQY48" s="84" t="str">
        <f>IF(ISNUMBER(outYear),MQY37+MQY42+#REF!+#REF!,"")</f>
        <v/>
      </c>
      <c r="MQZ48" s="84" t="str">
        <f>IF(ISNUMBER(outYear),MQZ37+MQZ42+#REF!+#REF!,"")</f>
        <v/>
      </c>
      <c r="MRA48" s="84" t="str">
        <f>IF(ISNUMBER(outYear),MRA37+MRA42+#REF!+#REF!,"")</f>
        <v/>
      </c>
      <c r="MRB48" s="84" t="str">
        <f>IF(ISNUMBER(outYear),MRB37+MRB42+#REF!+#REF!,"")</f>
        <v/>
      </c>
      <c r="MRC48" s="84" t="str">
        <f>IF(ISNUMBER(outYear),MRC37+MRC42+#REF!+#REF!,"")</f>
        <v/>
      </c>
      <c r="MRD48" s="84" t="str">
        <f>IF(ISNUMBER(outYear),MRD37+MRD42+#REF!+#REF!,"")</f>
        <v/>
      </c>
      <c r="MRE48" s="84" t="str">
        <f>IF(ISNUMBER(outYear),MRE37+MRE42+#REF!+#REF!,"")</f>
        <v/>
      </c>
      <c r="MRF48" s="84" t="str">
        <f>IF(ISNUMBER(outYear),MRF37+MRF42+#REF!+#REF!,"")</f>
        <v/>
      </c>
      <c r="MRG48" s="84" t="str">
        <f>IF(ISNUMBER(outYear),MRG37+MRG42+#REF!+#REF!,"")</f>
        <v/>
      </c>
      <c r="MRH48" s="84" t="str">
        <f>IF(ISNUMBER(outYear),MRH37+MRH42+#REF!+#REF!,"")</f>
        <v/>
      </c>
      <c r="MRI48" s="84" t="str">
        <f>IF(ISNUMBER(outYear),MRI37+MRI42+#REF!+#REF!,"")</f>
        <v/>
      </c>
      <c r="MRJ48" s="84" t="str">
        <f>IF(ISNUMBER(outYear),MRJ37+MRJ42+#REF!+#REF!,"")</f>
        <v/>
      </c>
      <c r="MRK48" s="84" t="str">
        <f>IF(ISNUMBER(outYear),MRK37+MRK42+#REF!+#REF!,"")</f>
        <v/>
      </c>
      <c r="MRL48" s="84" t="str">
        <f>IF(ISNUMBER(outYear),MRL37+MRL42+#REF!+#REF!,"")</f>
        <v/>
      </c>
      <c r="MRM48" s="84" t="str">
        <f>IF(ISNUMBER(outYear),MRM37+MRM42+#REF!+#REF!,"")</f>
        <v/>
      </c>
      <c r="MRN48" s="84" t="str">
        <f>IF(ISNUMBER(outYear),MRN37+MRN42+#REF!+#REF!,"")</f>
        <v/>
      </c>
      <c r="MRO48" s="84" t="str">
        <f>IF(ISNUMBER(outYear),MRO37+MRO42+#REF!+#REF!,"")</f>
        <v/>
      </c>
      <c r="MRP48" s="84" t="str">
        <f>IF(ISNUMBER(outYear),MRP37+MRP42+#REF!+#REF!,"")</f>
        <v/>
      </c>
      <c r="MRQ48" s="84" t="str">
        <f>IF(ISNUMBER(outYear),MRQ37+MRQ42+#REF!+#REF!,"")</f>
        <v/>
      </c>
      <c r="MRR48" s="84" t="str">
        <f>IF(ISNUMBER(outYear),MRR37+MRR42+#REF!+#REF!,"")</f>
        <v/>
      </c>
      <c r="MRS48" s="84" t="str">
        <f>IF(ISNUMBER(outYear),MRS37+MRS42+#REF!+#REF!,"")</f>
        <v/>
      </c>
      <c r="MRT48" s="84" t="str">
        <f>IF(ISNUMBER(outYear),MRT37+MRT42+#REF!+#REF!,"")</f>
        <v/>
      </c>
      <c r="MRU48" s="84" t="str">
        <f>IF(ISNUMBER(outYear),MRU37+MRU42+#REF!+#REF!,"")</f>
        <v/>
      </c>
      <c r="MRV48" s="84" t="str">
        <f>IF(ISNUMBER(outYear),MRV37+MRV42+#REF!+#REF!,"")</f>
        <v/>
      </c>
      <c r="MRW48" s="84" t="str">
        <f>IF(ISNUMBER(outYear),MRW37+MRW42+#REF!+#REF!,"")</f>
        <v/>
      </c>
      <c r="MRX48" s="84" t="str">
        <f>IF(ISNUMBER(outYear),MRX37+MRX42+#REF!+#REF!,"")</f>
        <v/>
      </c>
      <c r="MRY48" s="84" t="str">
        <f>IF(ISNUMBER(outYear),MRY37+MRY42+#REF!+#REF!,"")</f>
        <v/>
      </c>
      <c r="MRZ48" s="84" t="str">
        <f>IF(ISNUMBER(outYear),MRZ37+MRZ42+#REF!+#REF!,"")</f>
        <v/>
      </c>
      <c r="MSA48" s="84" t="str">
        <f>IF(ISNUMBER(outYear),MSA37+MSA42+#REF!+#REF!,"")</f>
        <v/>
      </c>
      <c r="MSB48" s="84" t="str">
        <f>IF(ISNUMBER(outYear),MSB37+MSB42+#REF!+#REF!,"")</f>
        <v/>
      </c>
      <c r="MSC48" s="84" t="str">
        <f>IF(ISNUMBER(outYear),MSC37+MSC42+#REF!+#REF!,"")</f>
        <v/>
      </c>
      <c r="MSD48" s="84" t="str">
        <f>IF(ISNUMBER(outYear),MSD37+MSD42+#REF!+#REF!,"")</f>
        <v/>
      </c>
      <c r="MSE48" s="84" t="str">
        <f>IF(ISNUMBER(outYear),MSE37+MSE42+#REF!+#REF!,"")</f>
        <v/>
      </c>
      <c r="MSF48" s="84" t="str">
        <f>IF(ISNUMBER(outYear),MSF37+MSF42+#REF!+#REF!,"")</f>
        <v/>
      </c>
      <c r="MSG48" s="84" t="str">
        <f>IF(ISNUMBER(outYear),MSG37+MSG42+#REF!+#REF!,"")</f>
        <v/>
      </c>
      <c r="MSH48" s="84" t="str">
        <f>IF(ISNUMBER(outYear),MSH37+MSH42+#REF!+#REF!,"")</f>
        <v/>
      </c>
      <c r="MSI48" s="84" t="str">
        <f>IF(ISNUMBER(outYear),MSI37+MSI42+#REF!+#REF!,"")</f>
        <v/>
      </c>
      <c r="MSJ48" s="84" t="str">
        <f>IF(ISNUMBER(outYear),MSJ37+MSJ42+#REF!+#REF!,"")</f>
        <v/>
      </c>
      <c r="MSK48" s="84" t="str">
        <f>IF(ISNUMBER(outYear),MSK37+MSK42+#REF!+#REF!,"")</f>
        <v/>
      </c>
      <c r="MSL48" s="84" t="str">
        <f>IF(ISNUMBER(outYear),MSL37+MSL42+#REF!+#REF!,"")</f>
        <v/>
      </c>
      <c r="MSM48" s="84" t="str">
        <f>IF(ISNUMBER(outYear),MSM37+MSM42+#REF!+#REF!,"")</f>
        <v/>
      </c>
      <c r="MSN48" s="84" t="str">
        <f>IF(ISNUMBER(outYear),MSN37+MSN42+#REF!+#REF!,"")</f>
        <v/>
      </c>
      <c r="MSO48" s="84" t="str">
        <f>IF(ISNUMBER(outYear),MSO37+MSO42+#REF!+#REF!,"")</f>
        <v/>
      </c>
      <c r="MSP48" s="84" t="str">
        <f>IF(ISNUMBER(outYear),MSP37+MSP42+#REF!+#REF!,"")</f>
        <v/>
      </c>
      <c r="MSQ48" s="84" t="str">
        <f>IF(ISNUMBER(outYear),MSQ37+MSQ42+#REF!+#REF!,"")</f>
        <v/>
      </c>
      <c r="MSR48" s="84" t="str">
        <f>IF(ISNUMBER(outYear),MSR37+MSR42+#REF!+#REF!,"")</f>
        <v/>
      </c>
      <c r="MSS48" s="84" t="str">
        <f>IF(ISNUMBER(outYear),MSS37+MSS42+#REF!+#REF!,"")</f>
        <v/>
      </c>
      <c r="MST48" s="84" t="str">
        <f>IF(ISNUMBER(outYear),MST37+MST42+#REF!+#REF!,"")</f>
        <v/>
      </c>
      <c r="MSU48" s="84" t="str">
        <f>IF(ISNUMBER(outYear),MSU37+MSU42+#REF!+#REF!,"")</f>
        <v/>
      </c>
      <c r="MSV48" s="84" t="str">
        <f>IF(ISNUMBER(outYear),MSV37+MSV42+#REF!+#REF!,"")</f>
        <v/>
      </c>
      <c r="MSW48" s="84" t="str">
        <f>IF(ISNUMBER(outYear),MSW37+MSW42+#REF!+#REF!,"")</f>
        <v/>
      </c>
      <c r="MSX48" s="84" t="str">
        <f>IF(ISNUMBER(outYear),MSX37+MSX42+#REF!+#REF!,"")</f>
        <v/>
      </c>
      <c r="MSY48" s="84" t="str">
        <f>IF(ISNUMBER(outYear),MSY37+MSY42+#REF!+#REF!,"")</f>
        <v/>
      </c>
      <c r="MSZ48" s="84" t="str">
        <f>IF(ISNUMBER(outYear),MSZ37+MSZ42+#REF!+#REF!,"")</f>
        <v/>
      </c>
      <c r="MTA48" s="84" t="str">
        <f>IF(ISNUMBER(outYear),MTA37+MTA42+#REF!+#REF!,"")</f>
        <v/>
      </c>
      <c r="MTB48" s="84" t="str">
        <f>IF(ISNUMBER(outYear),MTB37+MTB42+#REF!+#REF!,"")</f>
        <v/>
      </c>
      <c r="MTC48" s="84" t="str">
        <f>IF(ISNUMBER(outYear),MTC37+MTC42+#REF!+#REF!,"")</f>
        <v/>
      </c>
      <c r="MTD48" s="84" t="str">
        <f>IF(ISNUMBER(outYear),MTD37+MTD42+#REF!+#REF!,"")</f>
        <v/>
      </c>
      <c r="MTE48" s="84" t="str">
        <f>IF(ISNUMBER(outYear),MTE37+MTE42+#REF!+#REF!,"")</f>
        <v/>
      </c>
      <c r="MTF48" s="84" t="str">
        <f>IF(ISNUMBER(outYear),MTF37+MTF42+#REF!+#REF!,"")</f>
        <v/>
      </c>
      <c r="MTG48" s="84" t="str">
        <f>IF(ISNUMBER(outYear),MTG37+MTG42+#REF!+#REF!,"")</f>
        <v/>
      </c>
      <c r="MTH48" s="84" t="str">
        <f>IF(ISNUMBER(outYear),MTH37+MTH42+#REF!+#REF!,"")</f>
        <v/>
      </c>
      <c r="MTI48" s="84" t="str">
        <f>IF(ISNUMBER(outYear),MTI37+MTI42+#REF!+#REF!,"")</f>
        <v/>
      </c>
      <c r="MTJ48" s="84" t="str">
        <f>IF(ISNUMBER(outYear),MTJ37+MTJ42+#REF!+#REF!,"")</f>
        <v/>
      </c>
      <c r="MTK48" s="84" t="str">
        <f>IF(ISNUMBER(outYear),MTK37+MTK42+#REF!+#REF!,"")</f>
        <v/>
      </c>
      <c r="MTL48" s="84" t="str">
        <f>IF(ISNUMBER(outYear),MTL37+MTL42+#REF!+#REF!,"")</f>
        <v/>
      </c>
      <c r="MTM48" s="84" t="str">
        <f>IF(ISNUMBER(outYear),MTM37+MTM42+#REF!+#REF!,"")</f>
        <v/>
      </c>
      <c r="MTN48" s="84" t="str">
        <f>IF(ISNUMBER(outYear),MTN37+MTN42+#REF!+#REF!,"")</f>
        <v/>
      </c>
      <c r="MTO48" s="84" t="str">
        <f>IF(ISNUMBER(outYear),MTO37+MTO42+#REF!+#REF!,"")</f>
        <v/>
      </c>
      <c r="MTP48" s="84" t="str">
        <f>IF(ISNUMBER(outYear),MTP37+MTP42+#REF!+#REF!,"")</f>
        <v/>
      </c>
      <c r="MTQ48" s="84" t="str">
        <f>IF(ISNUMBER(outYear),MTQ37+MTQ42+#REF!+#REF!,"")</f>
        <v/>
      </c>
      <c r="MTR48" s="84" t="str">
        <f>IF(ISNUMBER(outYear),MTR37+MTR42+#REF!+#REF!,"")</f>
        <v/>
      </c>
      <c r="MTS48" s="84" t="str">
        <f>IF(ISNUMBER(outYear),MTS37+MTS42+#REF!+#REF!,"")</f>
        <v/>
      </c>
      <c r="MTT48" s="84" t="str">
        <f>IF(ISNUMBER(outYear),MTT37+MTT42+#REF!+#REF!,"")</f>
        <v/>
      </c>
      <c r="MTU48" s="84" t="str">
        <f>IF(ISNUMBER(outYear),MTU37+MTU42+#REF!+#REF!,"")</f>
        <v/>
      </c>
      <c r="MTV48" s="84" t="str">
        <f>IF(ISNUMBER(outYear),MTV37+MTV42+#REF!+#REF!,"")</f>
        <v/>
      </c>
      <c r="MTW48" s="84" t="str">
        <f>IF(ISNUMBER(outYear),MTW37+MTW42+#REF!+#REF!,"")</f>
        <v/>
      </c>
      <c r="MTX48" s="84" t="str">
        <f>IF(ISNUMBER(outYear),MTX37+MTX42+#REF!+#REF!,"")</f>
        <v/>
      </c>
      <c r="MTY48" s="84" t="str">
        <f>IF(ISNUMBER(outYear),MTY37+MTY42+#REF!+#REF!,"")</f>
        <v/>
      </c>
      <c r="MTZ48" s="84" t="str">
        <f>IF(ISNUMBER(outYear),MTZ37+MTZ42+#REF!+#REF!,"")</f>
        <v/>
      </c>
      <c r="MUA48" s="84" t="str">
        <f>IF(ISNUMBER(outYear),MUA37+MUA42+#REF!+#REF!,"")</f>
        <v/>
      </c>
      <c r="MUB48" s="84" t="str">
        <f>IF(ISNUMBER(outYear),MUB37+MUB42+#REF!+#REF!,"")</f>
        <v/>
      </c>
      <c r="MUC48" s="84" t="str">
        <f>IF(ISNUMBER(outYear),MUC37+MUC42+#REF!+#REF!,"")</f>
        <v/>
      </c>
      <c r="MUD48" s="84" t="str">
        <f>IF(ISNUMBER(outYear),MUD37+MUD42+#REF!+#REF!,"")</f>
        <v/>
      </c>
      <c r="MUE48" s="84" t="str">
        <f>IF(ISNUMBER(outYear),MUE37+MUE42+#REF!+#REF!,"")</f>
        <v/>
      </c>
      <c r="MUF48" s="84" t="str">
        <f>IF(ISNUMBER(outYear),MUF37+MUF42+#REF!+#REF!,"")</f>
        <v/>
      </c>
      <c r="MUG48" s="84" t="str">
        <f>IF(ISNUMBER(outYear),MUG37+MUG42+#REF!+#REF!,"")</f>
        <v/>
      </c>
      <c r="MUH48" s="84" t="str">
        <f>IF(ISNUMBER(outYear),MUH37+MUH42+#REF!+#REF!,"")</f>
        <v/>
      </c>
      <c r="MUI48" s="84" t="str">
        <f>IF(ISNUMBER(outYear),MUI37+MUI42+#REF!+#REF!,"")</f>
        <v/>
      </c>
      <c r="MUJ48" s="84" t="str">
        <f>IF(ISNUMBER(outYear),MUJ37+MUJ42+#REF!+#REF!,"")</f>
        <v/>
      </c>
      <c r="MUK48" s="84" t="str">
        <f>IF(ISNUMBER(outYear),MUK37+MUK42+#REF!+#REF!,"")</f>
        <v/>
      </c>
      <c r="MUL48" s="84" t="str">
        <f>IF(ISNUMBER(outYear),MUL37+MUL42+#REF!+#REF!,"")</f>
        <v/>
      </c>
      <c r="MUM48" s="84" t="str">
        <f>IF(ISNUMBER(outYear),MUM37+MUM42+#REF!+#REF!,"")</f>
        <v/>
      </c>
      <c r="MUN48" s="84" t="str">
        <f>IF(ISNUMBER(outYear),MUN37+MUN42+#REF!+#REF!,"")</f>
        <v/>
      </c>
      <c r="MUO48" s="84" t="str">
        <f>IF(ISNUMBER(outYear),MUO37+MUO42+#REF!+#REF!,"")</f>
        <v/>
      </c>
      <c r="MUP48" s="84" t="str">
        <f>IF(ISNUMBER(outYear),MUP37+MUP42+#REF!+#REF!,"")</f>
        <v/>
      </c>
      <c r="MUQ48" s="84" t="str">
        <f>IF(ISNUMBER(outYear),MUQ37+MUQ42+#REF!+#REF!,"")</f>
        <v/>
      </c>
      <c r="MUR48" s="84" t="str">
        <f>IF(ISNUMBER(outYear),MUR37+MUR42+#REF!+#REF!,"")</f>
        <v/>
      </c>
      <c r="MUS48" s="84" t="str">
        <f>IF(ISNUMBER(outYear),MUS37+MUS42+#REF!+#REF!,"")</f>
        <v/>
      </c>
      <c r="MUT48" s="84" t="str">
        <f>IF(ISNUMBER(outYear),MUT37+MUT42+#REF!+#REF!,"")</f>
        <v/>
      </c>
      <c r="MUU48" s="84" t="str">
        <f>IF(ISNUMBER(outYear),MUU37+MUU42+#REF!+#REF!,"")</f>
        <v/>
      </c>
      <c r="MUV48" s="84" t="str">
        <f>IF(ISNUMBER(outYear),MUV37+MUV42+#REF!+#REF!,"")</f>
        <v/>
      </c>
      <c r="MUW48" s="84" t="str">
        <f>IF(ISNUMBER(outYear),MUW37+MUW42+#REF!+#REF!,"")</f>
        <v/>
      </c>
      <c r="MUX48" s="84" t="str">
        <f>IF(ISNUMBER(outYear),MUX37+MUX42+#REF!+#REF!,"")</f>
        <v/>
      </c>
      <c r="MUY48" s="84" t="str">
        <f>IF(ISNUMBER(outYear),MUY37+MUY42+#REF!+#REF!,"")</f>
        <v/>
      </c>
      <c r="MUZ48" s="84" t="str">
        <f>IF(ISNUMBER(outYear),MUZ37+MUZ42+#REF!+#REF!,"")</f>
        <v/>
      </c>
      <c r="MVA48" s="84" t="str">
        <f>IF(ISNUMBER(outYear),MVA37+MVA42+#REF!+#REF!,"")</f>
        <v/>
      </c>
      <c r="MVB48" s="84" t="str">
        <f>IF(ISNUMBER(outYear),MVB37+MVB42+#REF!+#REF!,"")</f>
        <v/>
      </c>
      <c r="MVC48" s="84" t="str">
        <f>IF(ISNUMBER(outYear),MVC37+MVC42+#REF!+#REF!,"")</f>
        <v/>
      </c>
      <c r="MVD48" s="84" t="str">
        <f>IF(ISNUMBER(outYear),MVD37+MVD42+#REF!+#REF!,"")</f>
        <v/>
      </c>
      <c r="MVE48" s="84" t="str">
        <f>IF(ISNUMBER(outYear),MVE37+MVE42+#REF!+#REF!,"")</f>
        <v/>
      </c>
      <c r="MVF48" s="84" t="str">
        <f>IF(ISNUMBER(outYear),MVF37+MVF42+#REF!+#REF!,"")</f>
        <v/>
      </c>
      <c r="MVG48" s="84" t="str">
        <f>IF(ISNUMBER(outYear),MVG37+MVG42+#REF!+#REF!,"")</f>
        <v/>
      </c>
      <c r="MVH48" s="84" t="str">
        <f>IF(ISNUMBER(outYear),MVH37+MVH42+#REF!+#REF!,"")</f>
        <v/>
      </c>
      <c r="MVI48" s="84" t="str">
        <f>IF(ISNUMBER(outYear),MVI37+MVI42+#REF!+#REF!,"")</f>
        <v/>
      </c>
      <c r="MVJ48" s="84" t="str">
        <f>IF(ISNUMBER(outYear),MVJ37+MVJ42+#REF!+#REF!,"")</f>
        <v/>
      </c>
      <c r="MVK48" s="84" t="str">
        <f>IF(ISNUMBER(outYear),MVK37+MVK42+#REF!+#REF!,"")</f>
        <v/>
      </c>
      <c r="MVL48" s="84" t="str">
        <f>IF(ISNUMBER(outYear),MVL37+MVL42+#REF!+#REF!,"")</f>
        <v/>
      </c>
      <c r="MVM48" s="84" t="str">
        <f>IF(ISNUMBER(outYear),MVM37+MVM42+#REF!+#REF!,"")</f>
        <v/>
      </c>
      <c r="MVN48" s="84" t="str">
        <f>IF(ISNUMBER(outYear),MVN37+MVN42+#REF!+#REF!,"")</f>
        <v/>
      </c>
      <c r="MVO48" s="84" t="str">
        <f>IF(ISNUMBER(outYear),MVO37+MVO42+#REF!+#REF!,"")</f>
        <v/>
      </c>
      <c r="MVP48" s="84" t="str">
        <f>IF(ISNUMBER(outYear),MVP37+MVP42+#REF!+#REF!,"")</f>
        <v/>
      </c>
      <c r="MVQ48" s="84" t="str">
        <f>IF(ISNUMBER(outYear),MVQ37+MVQ42+#REF!+#REF!,"")</f>
        <v/>
      </c>
      <c r="MVR48" s="84" t="str">
        <f>IF(ISNUMBER(outYear),MVR37+MVR42+#REF!+#REF!,"")</f>
        <v/>
      </c>
      <c r="MVS48" s="84" t="str">
        <f>IF(ISNUMBER(outYear),MVS37+MVS42+#REF!+#REF!,"")</f>
        <v/>
      </c>
      <c r="MVT48" s="84" t="str">
        <f>IF(ISNUMBER(outYear),MVT37+MVT42+#REF!+#REF!,"")</f>
        <v/>
      </c>
      <c r="MVU48" s="84" t="str">
        <f>IF(ISNUMBER(outYear),MVU37+MVU42+#REF!+#REF!,"")</f>
        <v/>
      </c>
      <c r="MVV48" s="84" t="str">
        <f>IF(ISNUMBER(outYear),MVV37+MVV42+#REF!+#REF!,"")</f>
        <v/>
      </c>
      <c r="MVW48" s="84" t="str">
        <f>IF(ISNUMBER(outYear),MVW37+MVW42+#REF!+#REF!,"")</f>
        <v/>
      </c>
      <c r="MVX48" s="84" t="str">
        <f>IF(ISNUMBER(outYear),MVX37+MVX42+#REF!+#REF!,"")</f>
        <v/>
      </c>
      <c r="MVY48" s="84" t="str">
        <f>IF(ISNUMBER(outYear),MVY37+MVY42+#REF!+#REF!,"")</f>
        <v/>
      </c>
      <c r="MVZ48" s="84" t="str">
        <f>IF(ISNUMBER(outYear),MVZ37+MVZ42+#REF!+#REF!,"")</f>
        <v/>
      </c>
      <c r="MWA48" s="84" t="str">
        <f>IF(ISNUMBER(outYear),MWA37+MWA42+#REF!+#REF!,"")</f>
        <v/>
      </c>
      <c r="MWB48" s="84" t="str">
        <f>IF(ISNUMBER(outYear),MWB37+MWB42+#REF!+#REF!,"")</f>
        <v/>
      </c>
      <c r="MWC48" s="84" t="str">
        <f>IF(ISNUMBER(outYear),MWC37+MWC42+#REF!+#REF!,"")</f>
        <v/>
      </c>
      <c r="MWD48" s="84" t="str">
        <f>IF(ISNUMBER(outYear),MWD37+MWD42+#REF!+#REF!,"")</f>
        <v/>
      </c>
      <c r="MWE48" s="84" t="str">
        <f>IF(ISNUMBER(outYear),MWE37+MWE42+#REF!+#REF!,"")</f>
        <v/>
      </c>
      <c r="MWF48" s="84" t="str">
        <f>IF(ISNUMBER(outYear),MWF37+MWF42+#REF!+#REF!,"")</f>
        <v/>
      </c>
      <c r="MWG48" s="84" t="str">
        <f>IF(ISNUMBER(outYear),MWG37+MWG42+#REF!+#REF!,"")</f>
        <v/>
      </c>
      <c r="MWH48" s="84" t="str">
        <f>IF(ISNUMBER(outYear),MWH37+MWH42+#REF!+#REF!,"")</f>
        <v/>
      </c>
      <c r="MWI48" s="84" t="str">
        <f>IF(ISNUMBER(outYear),MWI37+MWI42+#REF!+#REF!,"")</f>
        <v/>
      </c>
      <c r="MWJ48" s="84" t="str">
        <f>IF(ISNUMBER(outYear),MWJ37+MWJ42+#REF!+#REF!,"")</f>
        <v/>
      </c>
      <c r="MWK48" s="84" t="str">
        <f>IF(ISNUMBER(outYear),MWK37+MWK42+#REF!+#REF!,"")</f>
        <v/>
      </c>
      <c r="MWL48" s="84" t="str">
        <f>IF(ISNUMBER(outYear),MWL37+MWL42+#REF!+#REF!,"")</f>
        <v/>
      </c>
      <c r="MWM48" s="84" t="str">
        <f>IF(ISNUMBER(outYear),MWM37+MWM42+#REF!+#REF!,"")</f>
        <v/>
      </c>
      <c r="MWN48" s="84" t="str">
        <f>IF(ISNUMBER(outYear),MWN37+MWN42+#REF!+#REF!,"")</f>
        <v/>
      </c>
      <c r="MWO48" s="84" t="str">
        <f>IF(ISNUMBER(outYear),MWO37+MWO42+#REF!+#REF!,"")</f>
        <v/>
      </c>
      <c r="MWP48" s="84" t="str">
        <f>IF(ISNUMBER(outYear),MWP37+MWP42+#REF!+#REF!,"")</f>
        <v/>
      </c>
      <c r="MWQ48" s="84" t="str">
        <f>IF(ISNUMBER(outYear),MWQ37+MWQ42+#REF!+#REF!,"")</f>
        <v/>
      </c>
      <c r="MWR48" s="84" t="str">
        <f>IF(ISNUMBER(outYear),MWR37+MWR42+#REF!+#REF!,"")</f>
        <v/>
      </c>
      <c r="MWS48" s="84" t="str">
        <f>IF(ISNUMBER(outYear),MWS37+MWS42+#REF!+#REF!,"")</f>
        <v/>
      </c>
      <c r="MWT48" s="84" t="str">
        <f>IF(ISNUMBER(outYear),MWT37+MWT42+#REF!+#REF!,"")</f>
        <v/>
      </c>
      <c r="MWU48" s="84" t="str">
        <f>IF(ISNUMBER(outYear),MWU37+MWU42+#REF!+#REF!,"")</f>
        <v/>
      </c>
      <c r="MWV48" s="84" t="str">
        <f>IF(ISNUMBER(outYear),MWV37+MWV42+#REF!+#REF!,"")</f>
        <v/>
      </c>
      <c r="MWW48" s="84" t="str">
        <f>IF(ISNUMBER(outYear),MWW37+MWW42+#REF!+#REF!,"")</f>
        <v/>
      </c>
      <c r="MWX48" s="84" t="str">
        <f>IF(ISNUMBER(outYear),MWX37+MWX42+#REF!+#REF!,"")</f>
        <v/>
      </c>
      <c r="MWY48" s="84" t="str">
        <f>IF(ISNUMBER(outYear),MWY37+MWY42+#REF!+#REF!,"")</f>
        <v/>
      </c>
      <c r="MWZ48" s="84" t="str">
        <f>IF(ISNUMBER(outYear),MWZ37+MWZ42+#REF!+#REF!,"")</f>
        <v/>
      </c>
      <c r="MXA48" s="84" t="str">
        <f>IF(ISNUMBER(outYear),MXA37+MXA42+#REF!+#REF!,"")</f>
        <v/>
      </c>
      <c r="MXB48" s="84" t="str">
        <f>IF(ISNUMBER(outYear),MXB37+MXB42+#REF!+#REF!,"")</f>
        <v/>
      </c>
      <c r="MXC48" s="84" t="str">
        <f>IF(ISNUMBER(outYear),MXC37+MXC42+#REF!+#REF!,"")</f>
        <v/>
      </c>
      <c r="MXD48" s="84" t="str">
        <f>IF(ISNUMBER(outYear),MXD37+MXD42+#REF!+#REF!,"")</f>
        <v/>
      </c>
      <c r="MXE48" s="84" t="str">
        <f>IF(ISNUMBER(outYear),MXE37+MXE42+#REF!+#REF!,"")</f>
        <v/>
      </c>
      <c r="MXF48" s="84" t="str">
        <f>IF(ISNUMBER(outYear),MXF37+MXF42+#REF!+#REF!,"")</f>
        <v/>
      </c>
      <c r="MXG48" s="84" t="str">
        <f>IF(ISNUMBER(outYear),MXG37+MXG42+#REF!+#REF!,"")</f>
        <v/>
      </c>
      <c r="MXH48" s="84" t="str">
        <f>IF(ISNUMBER(outYear),MXH37+MXH42+#REF!+#REF!,"")</f>
        <v/>
      </c>
      <c r="MXI48" s="84" t="str">
        <f>IF(ISNUMBER(outYear),MXI37+MXI42+#REF!+#REF!,"")</f>
        <v/>
      </c>
      <c r="MXJ48" s="84" t="str">
        <f>IF(ISNUMBER(outYear),MXJ37+MXJ42+#REF!+#REF!,"")</f>
        <v/>
      </c>
      <c r="MXK48" s="84" t="str">
        <f>IF(ISNUMBER(outYear),MXK37+MXK42+#REF!+#REF!,"")</f>
        <v/>
      </c>
      <c r="MXL48" s="84" t="str">
        <f>IF(ISNUMBER(outYear),MXL37+MXL42+#REF!+#REF!,"")</f>
        <v/>
      </c>
      <c r="MXM48" s="84" t="str">
        <f>IF(ISNUMBER(outYear),MXM37+MXM42+#REF!+#REF!,"")</f>
        <v/>
      </c>
      <c r="MXN48" s="84" t="str">
        <f>IF(ISNUMBER(outYear),MXN37+MXN42+#REF!+#REF!,"")</f>
        <v/>
      </c>
      <c r="MXO48" s="84" t="str">
        <f>IF(ISNUMBER(outYear),MXO37+MXO42+#REF!+#REF!,"")</f>
        <v/>
      </c>
      <c r="MXP48" s="84" t="str">
        <f>IF(ISNUMBER(outYear),MXP37+MXP42+#REF!+#REF!,"")</f>
        <v/>
      </c>
      <c r="MXQ48" s="84" t="str">
        <f>IF(ISNUMBER(outYear),MXQ37+MXQ42+#REF!+#REF!,"")</f>
        <v/>
      </c>
      <c r="MXR48" s="84" t="str">
        <f>IF(ISNUMBER(outYear),MXR37+MXR42+#REF!+#REF!,"")</f>
        <v/>
      </c>
      <c r="MXS48" s="84" t="str">
        <f>IF(ISNUMBER(outYear),MXS37+MXS42+#REF!+#REF!,"")</f>
        <v/>
      </c>
      <c r="MXT48" s="84" t="str">
        <f>IF(ISNUMBER(outYear),MXT37+MXT42+#REF!+#REF!,"")</f>
        <v/>
      </c>
      <c r="MXU48" s="84" t="str">
        <f>IF(ISNUMBER(outYear),MXU37+MXU42+#REF!+#REF!,"")</f>
        <v/>
      </c>
      <c r="MXV48" s="84" t="str">
        <f>IF(ISNUMBER(outYear),MXV37+MXV42+#REF!+#REF!,"")</f>
        <v/>
      </c>
      <c r="MXW48" s="84" t="str">
        <f>IF(ISNUMBER(outYear),MXW37+MXW42+#REF!+#REF!,"")</f>
        <v/>
      </c>
      <c r="MXX48" s="84" t="str">
        <f>IF(ISNUMBER(outYear),MXX37+MXX42+#REF!+#REF!,"")</f>
        <v/>
      </c>
      <c r="MXY48" s="84" t="str">
        <f>IF(ISNUMBER(outYear),MXY37+MXY42+#REF!+#REF!,"")</f>
        <v/>
      </c>
      <c r="MXZ48" s="84" t="str">
        <f>IF(ISNUMBER(outYear),MXZ37+MXZ42+#REF!+#REF!,"")</f>
        <v/>
      </c>
      <c r="MYA48" s="84" t="str">
        <f>IF(ISNUMBER(outYear),MYA37+MYA42+#REF!+#REF!,"")</f>
        <v/>
      </c>
      <c r="MYB48" s="84" t="str">
        <f>IF(ISNUMBER(outYear),MYB37+MYB42+#REF!+#REF!,"")</f>
        <v/>
      </c>
      <c r="MYC48" s="84" t="str">
        <f>IF(ISNUMBER(outYear),MYC37+MYC42+#REF!+#REF!,"")</f>
        <v/>
      </c>
      <c r="MYD48" s="84" t="str">
        <f>IF(ISNUMBER(outYear),MYD37+MYD42+#REF!+#REF!,"")</f>
        <v/>
      </c>
      <c r="MYE48" s="84" t="str">
        <f>IF(ISNUMBER(outYear),MYE37+MYE42+#REF!+#REF!,"")</f>
        <v/>
      </c>
      <c r="MYF48" s="84" t="str">
        <f>IF(ISNUMBER(outYear),MYF37+MYF42+#REF!+#REF!,"")</f>
        <v/>
      </c>
      <c r="MYG48" s="84" t="str">
        <f>IF(ISNUMBER(outYear),MYG37+MYG42+#REF!+#REF!,"")</f>
        <v/>
      </c>
      <c r="MYH48" s="84" t="str">
        <f>IF(ISNUMBER(outYear),MYH37+MYH42+#REF!+#REF!,"")</f>
        <v/>
      </c>
      <c r="MYI48" s="84" t="str">
        <f>IF(ISNUMBER(outYear),MYI37+MYI42+#REF!+#REF!,"")</f>
        <v/>
      </c>
      <c r="MYJ48" s="84" t="str">
        <f>IF(ISNUMBER(outYear),MYJ37+MYJ42+#REF!+#REF!,"")</f>
        <v/>
      </c>
      <c r="MYK48" s="84" t="str">
        <f>IF(ISNUMBER(outYear),MYK37+MYK42+#REF!+#REF!,"")</f>
        <v/>
      </c>
      <c r="MYL48" s="84" t="str">
        <f>IF(ISNUMBER(outYear),MYL37+MYL42+#REF!+#REF!,"")</f>
        <v/>
      </c>
      <c r="MYM48" s="84" t="str">
        <f>IF(ISNUMBER(outYear),MYM37+MYM42+#REF!+#REF!,"")</f>
        <v/>
      </c>
      <c r="MYN48" s="84" t="str">
        <f>IF(ISNUMBER(outYear),MYN37+MYN42+#REF!+#REF!,"")</f>
        <v/>
      </c>
      <c r="MYO48" s="84" t="str">
        <f>IF(ISNUMBER(outYear),MYO37+MYO42+#REF!+#REF!,"")</f>
        <v/>
      </c>
      <c r="MYP48" s="84" t="str">
        <f>IF(ISNUMBER(outYear),MYP37+MYP42+#REF!+#REF!,"")</f>
        <v/>
      </c>
      <c r="MYQ48" s="84" t="str">
        <f>IF(ISNUMBER(outYear),MYQ37+MYQ42+#REF!+#REF!,"")</f>
        <v/>
      </c>
      <c r="MYR48" s="84" t="str">
        <f>IF(ISNUMBER(outYear),MYR37+MYR42+#REF!+#REF!,"")</f>
        <v/>
      </c>
      <c r="MYS48" s="84" t="str">
        <f>IF(ISNUMBER(outYear),MYS37+MYS42+#REF!+#REF!,"")</f>
        <v/>
      </c>
      <c r="MYT48" s="84" t="str">
        <f>IF(ISNUMBER(outYear),MYT37+MYT42+#REF!+#REF!,"")</f>
        <v/>
      </c>
      <c r="MYU48" s="84" t="str">
        <f>IF(ISNUMBER(outYear),MYU37+MYU42+#REF!+#REF!,"")</f>
        <v/>
      </c>
      <c r="MYV48" s="84" t="str">
        <f>IF(ISNUMBER(outYear),MYV37+MYV42+#REF!+#REF!,"")</f>
        <v/>
      </c>
      <c r="MYW48" s="84" t="str">
        <f>IF(ISNUMBER(outYear),MYW37+MYW42+#REF!+#REF!,"")</f>
        <v/>
      </c>
      <c r="MYX48" s="84" t="str">
        <f>IF(ISNUMBER(outYear),MYX37+MYX42+#REF!+#REF!,"")</f>
        <v/>
      </c>
      <c r="MYY48" s="84" t="str">
        <f>IF(ISNUMBER(outYear),MYY37+MYY42+#REF!+#REF!,"")</f>
        <v/>
      </c>
      <c r="MYZ48" s="84" t="str">
        <f>IF(ISNUMBER(outYear),MYZ37+MYZ42+#REF!+#REF!,"")</f>
        <v/>
      </c>
      <c r="MZA48" s="84" t="str">
        <f>IF(ISNUMBER(outYear),MZA37+MZA42+#REF!+#REF!,"")</f>
        <v/>
      </c>
      <c r="MZB48" s="84" t="str">
        <f>IF(ISNUMBER(outYear),MZB37+MZB42+#REF!+#REF!,"")</f>
        <v/>
      </c>
      <c r="MZC48" s="84" t="str">
        <f>IF(ISNUMBER(outYear),MZC37+MZC42+#REF!+#REF!,"")</f>
        <v/>
      </c>
      <c r="MZD48" s="84" t="str">
        <f>IF(ISNUMBER(outYear),MZD37+MZD42+#REF!+#REF!,"")</f>
        <v/>
      </c>
      <c r="MZE48" s="84" t="str">
        <f>IF(ISNUMBER(outYear),MZE37+MZE42+#REF!+#REF!,"")</f>
        <v/>
      </c>
      <c r="MZF48" s="84" t="str">
        <f>IF(ISNUMBER(outYear),MZF37+MZF42+#REF!+#REF!,"")</f>
        <v/>
      </c>
      <c r="MZG48" s="84" t="str">
        <f>IF(ISNUMBER(outYear),MZG37+MZG42+#REF!+#REF!,"")</f>
        <v/>
      </c>
      <c r="MZH48" s="84" t="str">
        <f>IF(ISNUMBER(outYear),MZH37+MZH42+#REF!+#REF!,"")</f>
        <v/>
      </c>
      <c r="MZI48" s="84" t="str">
        <f>IF(ISNUMBER(outYear),MZI37+MZI42+#REF!+#REF!,"")</f>
        <v/>
      </c>
      <c r="MZJ48" s="84" t="str">
        <f>IF(ISNUMBER(outYear),MZJ37+MZJ42+#REF!+#REF!,"")</f>
        <v/>
      </c>
      <c r="MZK48" s="84" t="str">
        <f>IF(ISNUMBER(outYear),MZK37+MZK42+#REF!+#REF!,"")</f>
        <v/>
      </c>
      <c r="MZL48" s="84" t="str">
        <f>IF(ISNUMBER(outYear),MZL37+MZL42+#REF!+#REF!,"")</f>
        <v/>
      </c>
      <c r="MZM48" s="84" t="str">
        <f>IF(ISNUMBER(outYear),MZM37+MZM42+#REF!+#REF!,"")</f>
        <v/>
      </c>
      <c r="MZN48" s="84" t="str">
        <f>IF(ISNUMBER(outYear),MZN37+MZN42+#REF!+#REF!,"")</f>
        <v/>
      </c>
      <c r="MZO48" s="84" t="str">
        <f>IF(ISNUMBER(outYear),MZO37+MZO42+#REF!+#REF!,"")</f>
        <v/>
      </c>
      <c r="MZP48" s="84" t="str">
        <f>IF(ISNUMBER(outYear),MZP37+MZP42+#REF!+#REF!,"")</f>
        <v/>
      </c>
      <c r="MZQ48" s="84" t="str">
        <f>IF(ISNUMBER(outYear),MZQ37+MZQ42+#REF!+#REF!,"")</f>
        <v/>
      </c>
      <c r="MZR48" s="84" t="str">
        <f>IF(ISNUMBER(outYear),MZR37+MZR42+#REF!+#REF!,"")</f>
        <v/>
      </c>
      <c r="MZS48" s="84" t="str">
        <f>IF(ISNUMBER(outYear),MZS37+MZS42+#REF!+#REF!,"")</f>
        <v/>
      </c>
      <c r="MZT48" s="84" t="str">
        <f>IF(ISNUMBER(outYear),MZT37+MZT42+#REF!+#REF!,"")</f>
        <v/>
      </c>
      <c r="MZU48" s="84" t="str">
        <f>IF(ISNUMBER(outYear),MZU37+MZU42+#REF!+#REF!,"")</f>
        <v/>
      </c>
      <c r="MZV48" s="84" t="str">
        <f>IF(ISNUMBER(outYear),MZV37+MZV42+#REF!+#REF!,"")</f>
        <v/>
      </c>
      <c r="MZW48" s="84" t="str">
        <f>IF(ISNUMBER(outYear),MZW37+MZW42+#REF!+#REF!,"")</f>
        <v/>
      </c>
      <c r="MZX48" s="84" t="str">
        <f>IF(ISNUMBER(outYear),MZX37+MZX42+#REF!+#REF!,"")</f>
        <v/>
      </c>
      <c r="MZY48" s="84" t="str">
        <f>IF(ISNUMBER(outYear),MZY37+MZY42+#REF!+#REF!,"")</f>
        <v/>
      </c>
      <c r="MZZ48" s="84" t="str">
        <f>IF(ISNUMBER(outYear),MZZ37+MZZ42+#REF!+#REF!,"")</f>
        <v/>
      </c>
      <c r="NAA48" s="84" t="str">
        <f>IF(ISNUMBER(outYear),NAA37+NAA42+#REF!+#REF!,"")</f>
        <v/>
      </c>
      <c r="NAB48" s="84" t="str">
        <f>IF(ISNUMBER(outYear),NAB37+NAB42+#REF!+#REF!,"")</f>
        <v/>
      </c>
      <c r="NAC48" s="84" t="str">
        <f>IF(ISNUMBER(outYear),NAC37+NAC42+#REF!+#REF!,"")</f>
        <v/>
      </c>
      <c r="NAD48" s="84" t="str">
        <f>IF(ISNUMBER(outYear),NAD37+NAD42+#REF!+#REF!,"")</f>
        <v/>
      </c>
      <c r="NAE48" s="84" t="str">
        <f>IF(ISNUMBER(outYear),NAE37+NAE42+#REF!+#REF!,"")</f>
        <v/>
      </c>
      <c r="NAF48" s="84" t="str">
        <f>IF(ISNUMBER(outYear),NAF37+NAF42+#REF!+#REF!,"")</f>
        <v/>
      </c>
      <c r="NAG48" s="84" t="str">
        <f>IF(ISNUMBER(outYear),NAG37+NAG42+#REF!+#REF!,"")</f>
        <v/>
      </c>
      <c r="NAH48" s="84" t="str">
        <f>IF(ISNUMBER(outYear),NAH37+NAH42+#REF!+#REF!,"")</f>
        <v/>
      </c>
      <c r="NAI48" s="84" t="str">
        <f>IF(ISNUMBER(outYear),NAI37+NAI42+#REF!+#REF!,"")</f>
        <v/>
      </c>
      <c r="NAJ48" s="84" t="str">
        <f>IF(ISNUMBER(outYear),NAJ37+NAJ42+#REF!+#REF!,"")</f>
        <v/>
      </c>
      <c r="NAK48" s="84" t="str">
        <f>IF(ISNUMBER(outYear),NAK37+NAK42+#REF!+#REF!,"")</f>
        <v/>
      </c>
      <c r="NAL48" s="84" t="str">
        <f>IF(ISNUMBER(outYear),NAL37+NAL42+#REF!+#REF!,"")</f>
        <v/>
      </c>
      <c r="NAM48" s="84" t="str">
        <f>IF(ISNUMBER(outYear),NAM37+NAM42+#REF!+#REF!,"")</f>
        <v/>
      </c>
      <c r="NAN48" s="84" t="str">
        <f>IF(ISNUMBER(outYear),NAN37+NAN42+#REF!+#REF!,"")</f>
        <v/>
      </c>
      <c r="NAO48" s="84" t="str">
        <f>IF(ISNUMBER(outYear),NAO37+NAO42+#REF!+#REF!,"")</f>
        <v/>
      </c>
      <c r="NAP48" s="84" t="str">
        <f>IF(ISNUMBER(outYear),NAP37+NAP42+#REF!+#REF!,"")</f>
        <v/>
      </c>
      <c r="NAQ48" s="84" t="str">
        <f>IF(ISNUMBER(outYear),NAQ37+NAQ42+#REF!+#REF!,"")</f>
        <v/>
      </c>
      <c r="NAR48" s="84" t="str">
        <f>IF(ISNUMBER(outYear),NAR37+NAR42+#REF!+#REF!,"")</f>
        <v/>
      </c>
      <c r="NAS48" s="84" t="str">
        <f>IF(ISNUMBER(outYear),NAS37+NAS42+#REF!+#REF!,"")</f>
        <v/>
      </c>
      <c r="NAT48" s="84" t="str">
        <f>IF(ISNUMBER(outYear),NAT37+NAT42+#REF!+#REF!,"")</f>
        <v/>
      </c>
      <c r="NAU48" s="84" t="str">
        <f>IF(ISNUMBER(outYear),NAU37+NAU42+#REF!+#REF!,"")</f>
        <v/>
      </c>
      <c r="NAV48" s="84" t="str">
        <f>IF(ISNUMBER(outYear),NAV37+NAV42+#REF!+#REF!,"")</f>
        <v/>
      </c>
      <c r="NAW48" s="84" t="str">
        <f>IF(ISNUMBER(outYear),NAW37+NAW42+#REF!+#REF!,"")</f>
        <v/>
      </c>
      <c r="NAX48" s="84" t="str">
        <f>IF(ISNUMBER(outYear),NAX37+NAX42+#REF!+#REF!,"")</f>
        <v/>
      </c>
      <c r="NAY48" s="84" t="str">
        <f>IF(ISNUMBER(outYear),NAY37+NAY42+#REF!+#REF!,"")</f>
        <v/>
      </c>
      <c r="NAZ48" s="84" t="str">
        <f>IF(ISNUMBER(outYear),NAZ37+NAZ42+#REF!+#REF!,"")</f>
        <v/>
      </c>
      <c r="NBA48" s="84" t="str">
        <f>IF(ISNUMBER(outYear),NBA37+NBA42+#REF!+#REF!,"")</f>
        <v/>
      </c>
      <c r="NBB48" s="84" t="str">
        <f>IF(ISNUMBER(outYear),NBB37+NBB42+#REF!+#REF!,"")</f>
        <v/>
      </c>
      <c r="NBC48" s="84" t="str">
        <f>IF(ISNUMBER(outYear),NBC37+NBC42+#REF!+#REF!,"")</f>
        <v/>
      </c>
      <c r="NBD48" s="84" t="str">
        <f>IF(ISNUMBER(outYear),NBD37+NBD42+#REF!+#REF!,"")</f>
        <v/>
      </c>
      <c r="NBE48" s="84" t="str">
        <f>IF(ISNUMBER(outYear),NBE37+NBE42+#REF!+#REF!,"")</f>
        <v/>
      </c>
      <c r="NBF48" s="84" t="str">
        <f>IF(ISNUMBER(outYear),NBF37+NBF42+#REF!+#REF!,"")</f>
        <v/>
      </c>
      <c r="NBG48" s="84" t="str">
        <f>IF(ISNUMBER(outYear),NBG37+NBG42+#REF!+#REF!,"")</f>
        <v/>
      </c>
      <c r="NBH48" s="84" t="str">
        <f>IF(ISNUMBER(outYear),NBH37+NBH42+#REF!+#REF!,"")</f>
        <v/>
      </c>
      <c r="NBI48" s="84" t="str">
        <f>IF(ISNUMBER(outYear),NBI37+NBI42+#REF!+#REF!,"")</f>
        <v/>
      </c>
      <c r="NBJ48" s="84" t="str">
        <f>IF(ISNUMBER(outYear),NBJ37+NBJ42+#REF!+#REF!,"")</f>
        <v/>
      </c>
      <c r="NBK48" s="84" t="str">
        <f>IF(ISNUMBER(outYear),NBK37+NBK42+#REF!+#REF!,"")</f>
        <v/>
      </c>
      <c r="NBL48" s="84" t="str">
        <f>IF(ISNUMBER(outYear),NBL37+NBL42+#REF!+#REF!,"")</f>
        <v/>
      </c>
      <c r="NBM48" s="84" t="str">
        <f>IF(ISNUMBER(outYear),NBM37+NBM42+#REF!+#REF!,"")</f>
        <v/>
      </c>
      <c r="NBN48" s="84" t="str">
        <f>IF(ISNUMBER(outYear),NBN37+NBN42+#REF!+#REF!,"")</f>
        <v/>
      </c>
      <c r="NBO48" s="84" t="str">
        <f>IF(ISNUMBER(outYear),NBO37+NBO42+#REF!+#REF!,"")</f>
        <v/>
      </c>
      <c r="NBP48" s="84" t="str">
        <f>IF(ISNUMBER(outYear),NBP37+NBP42+#REF!+#REF!,"")</f>
        <v/>
      </c>
      <c r="NBQ48" s="84" t="str">
        <f>IF(ISNUMBER(outYear),NBQ37+NBQ42+#REF!+#REF!,"")</f>
        <v/>
      </c>
      <c r="NBR48" s="84" t="str">
        <f>IF(ISNUMBER(outYear),NBR37+NBR42+#REF!+#REF!,"")</f>
        <v/>
      </c>
      <c r="NBS48" s="84" t="str">
        <f>IF(ISNUMBER(outYear),NBS37+NBS42+#REF!+#REF!,"")</f>
        <v/>
      </c>
      <c r="NBT48" s="84" t="str">
        <f>IF(ISNUMBER(outYear),NBT37+NBT42+#REF!+#REF!,"")</f>
        <v/>
      </c>
      <c r="NBU48" s="84" t="str">
        <f>IF(ISNUMBER(outYear),NBU37+NBU42+#REF!+#REF!,"")</f>
        <v/>
      </c>
      <c r="NBV48" s="84" t="str">
        <f>IF(ISNUMBER(outYear),NBV37+NBV42+#REF!+#REF!,"")</f>
        <v/>
      </c>
      <c r="NBW48" s="84" t="str">
        <f>IF(ISNUMBER(outYear),NBW37+NBW42+#REF!+#REF!,"")</f>
        <v/>
      </c>
      <c r="NBX48" s="84" t="str">
        <f>IF(ISNUMBER(outYear),NBX37+NBX42+#REF!+#REF!,"")</f>
        <v/>
      </c>
      <c r="NBY48" s="84" t="str">
        <f>IF(ISNUMBER(outYear),NBY37+NBY42+#REF!+#REF!,"")</f>
        <v/>
      </c>
      <c r="NBZ48" s="84" t="str">
        <f>IF(ISNUMBER(outYear),NBZ37+NBZ42+#REF!+#REF!,"")</f>
        <v/>
      </c>
      <c r="NCA48" s="84" t="str">
        <f>IF(ISNUMBER(outYear),NCA37+NCA42+#REF!+#REF!,"")</f>
        <v/>
      </c>
      <c r="NCB48" s="84" t="str">
        <f>IF(ISNUMBER(outYear),NCB37+NCB42+#REF!+#REF!,"")</f>
        <v/>
      </c>
      <c r="NCC48" s="84" t="str">
        <f>IF(ISNUMBER(outYear),NCC37+NCC42+#REF!+#REF!,"")</f>
        <v/>
      </c>
      <c r="NCD48" s="84" t="str">
        <f>IF(ISNUMBER(outYear),NCD37+NCD42+#REF!+#REF!,"")</f>
        <v/>
      </c>
      <c r="NCE48" s="84" t="str">
        <f>IF(ISNUMBER(outYear),NCE37+NCE42+#REF!+#REF!,"")</f>
        <v/>
      </c>
      <c r="NCF48" s="84" t="str">
        <f>IF(ISNUMBER(outYear),NCF37+NCF42+#REF!+#REF!,"")</f>
        <v/>
      </c>
      <c r="NCG48" s="84" t="str">
        <f>IF(ISNUMBER(outYear),NCG37+NCG42+#REF!+#REF!,"")</f>
        <v/>
      </c>
      <c r="NCH48" s="84" t="str">
        <f>IF(ISNUMBER(outYear),NCH37+NCH42+#REF!+#REF!,"")</f>
        <v/>
      </c>
      <c r="NCI48" s="84" t="str">
        <f>IF(ISNUMBER(outYear),NCI37+NCI42+#REF!+#REF!,"")</f>
        <v/>
      </c>
      <c r="NCJ48" s="84" t="str">
        <f>IF(ISNUMBER(outYear),NCJ37+NCJ42+#REF!+#REF!,"")</f>
        <v/>
      </c>
      <c r="NCK48" s="84" t="str">
        <f>IF(ISNUMBER(outYear),NCK37+NCK42+#REF!+#REF!,"")</f>
        <v/>
      </c>
      <c r="NCL48" s="84" t="str">
        <f>IF(ISNUMBER(outYear),NCL37+NCL42+#REF!+#REF!,"")</f>
        <v/>
      </c>
      <c r="NCM48" s="84" t="str">
        <f>IF(ISNUMBER(outYear),NCM37+NCM42+#REF!+#REF!,"")</f>
        <v/>
      </c>
      <c r="NCN48" s="84" t="str">
        <f>IF(ISNUMBER(outYear),NCN37+NCN42+#REF!+#REF!,"")</f>
        <v/>
      </c>
      <c r="NCO48" s="84" t="str">
        <f>IF(ISNUMBER(outYear),NCO37+NCO42+#REF!+#REF!,"")</f>
        <v/>
      </c>
      <c r="NCP48" s="84" t="str">
        <f>IF(ISNUMBER(outYear),NCP37+NCP42+#REF!+#REF!,"")</f>
        <v/>
      </c>
      <c r="NCQ48" s="84" t="str">
        <f>IF(ISNUMBER(outYear),NCQ37+NCQ42+#REF!+#REF!,"")</f>
        <v/>
      </c>
      <c r="NCR48" s="84" t="str">
        <f>IF(ISNUMBER(outYear),NCR37+NCR42+#REF!+#REF!,"")</f>
        <v/>
      </c>
      <c r="NCS48" s="84" t="str">
        <f>IF(ISNUMBER(outYear),NCS37+NCS42+#REF!+#REF!,"")</f>
        <v/>
      </c>
      <c r="NCT48" s="84" t="str">
        <f>IF(ISNUMBER(outYear),NCT37+NCT42+#REF!+#REF!,"")</f>
        <v/>
      </c>
      <c r="NCU48" s="84" t="str">
        <f>IF(ISNUMBER(outYear),NCU37+NCU42+#REF!+#REF!,"")</f>
        <v/>
      </c>
      <c r="NCV48" s="84" t="str">
        <f>IF(ISNUMBER(outYear),NCV37+NCV42+#REF!+#REF!,"")</f>
        <v/>
      </c>
      <c r="NCW48" s="84" t="str">
        <f>IF(ISNUMBER(outYear),NCW37+NCW42+#REF!+#REF!,"")</f>
        <v/>
      </c>
      <c r="NCX48" s="84" t="str">
        <f>IF(ISNUMBER(outYear),NCX37+NCX42+#REF!+#REF!,"")</f>
        <v/>
      </c>
      <c r="NCY48" s="84" t="str">
        <f>IF(ISNUMBER(outYear),NCY37+NCY42+#REF!+#REF!,"")</f>
        <v/>
      </c>
      <c r="NCZ48" s="84" t="str">
        <f>IF(ISNUMBER(outYear),NCZ37+NCZ42+#REF!+#REF!,"")</f>
        <v/>
      </c>
      <c r="NDA48" s="84" t="str">
        <f>IF(ISNUMBER(outYear),NDA37+NDA42+#REF!+#REF!,"")</f>
        <v/>
      </c>
      <c r="NDB48" s="84" t="str">
        <f>IF(ISNUMBER(outYear),NDB37+NDB42+#REF!+#REF!,"")</f>
        <v/>
      </c>
      <c r="NDC48" s="84" t="str">
        <f>IF(ISNUMBER(outYear),NDC37+NDC42+#REF!+#REF!,"")</f>
        <v/>
      </c>
      <c r="NDD48" s="84" t="str">
        <f>IF(ISNUMBER(outYear),NDD37+NDD42+#REF!+#REF!,"")</f>
        <v/>
      </c>
      <c r="NDE48" s="84" t="str">
        <f>IF(ISNUMBER(outYear),NDE37+NDE42+#REF!+#REF!,"")</f>
        <v/>
      </c>
      <c r="NDF48" s="84" t="str">
        <f>IF(ISNUMBER(outYear),NDF37+NDF42+#REF!+#REF!,"")</f>
        <v/>
      </c>
      <c r="NDG48" s="84" t="str">
        <f>IF(ISNUMBER(outYear),NDG37+NDG42+#REF!+#REF!,"")</f>
        <v/>
      </c>
      <c r="NDH48" s="84" t="str">
        <f>IF(ISNUMBER(outYear),NDH37+NDH42+#REF!+#REF!,"")</f>
        <v/>
      </c>
      <c r="NDI48" s="84" t="str">
        <f>IF(ISNUMBER(outYear),NDI37+NDI42+#REF!+#REF!,"")</f>
        <v/>
      </c>
      <c r="NDJ48" s="84" t="str">
        <f>IF(ISNUMBER(outYear),NDJ37+NDJ42+#REF!+#REF!,"")</f>
        <v/>
      </c>
      <c r="NDK48" s="84" t="str">
        <f>IF(ISNUMBER(outYear),NDK37+NDK42+#REF!+#REF!,"")</f>
        <v/>
      </c>
      <c r="NDL48" s="84" t="str">
        <f>IF(ISNUMBER(outYear),NDL37+NDL42+#REF!+#REF!,"")</f>
        <v/>
      </c>
      <c r="NDM48" s="84" t="str">
        <f>IF(ISNUMBER(outYear),NDM37+NDM42+#REF!+#REF!,"")</f>
        <v/>
      </c>
      <c r="NDN48" s="84" t="str">
        <f>IF(ISNUMBER(outYear),NDN37+NDN42+#REF!+#REF!,"")</f>
        <v/>
      </c>
      <c r="NDO48" s="84" t="str">
        <f>IF(ISNUMBER(outYear),NDO37+NDO42+#REF!+#REF!,"")</f>
        <v/>
      </c>
      <c r="NDP48" s="84" t="str">
        <f>IF(ISNUMBER(outYear),NDP37+NDP42+#REF!+#REF!,"")</f>
        <v/>
      </c>
      <c r="NDQ48" s="84" t="str">
        <f>IF(ISNUMBER(outYear),NDQ37+NDQ42+#REF!+#REF!,"")</f>
        <v/>
      </c>
      <c r="NDR48" s="84" t="str">
        <f>IF(ISNUMBER(outYear),NDR37+NDR42+#REF!+#REF!,"")</f>
        <v/>
      </c>
      <c r="NDS48" s="84" t="str">
        <f>IF(ISNUMBER(outYear),NDS37+NDS42+#REF!+#REF!,"")</f>
        <v/>
      </c>
      <c r="NDT48" s="84" t="str">
        <f>IF(ISNUMBER(outYear),NDT37+NDT42+#REF!+#REF!,"")</f>
        <v/>
      </c>
      <c r="NDU48" s="84" t="str">
        <f>IF(ISNUMBER(outYear),NDU37+NDU42+#REF!+#REF!,"")</f>
        <v/>
      </c>
      <c r="NDV48" s="84" t="str">
        <f>IF(ISNUMBER(outYear),NDV37+NDV42+#REF!+#REF!,"")</f>
        <v/>
      </c>
      <c r="NDW48" s="84" t="str">
        <f>IF(ISNUMBER(outYear),NDW37+NDW42+#REF!+#REF!,"")</f>
        <v/>
      </c>
      <c r="NDX48" s="84" t="str">
        <f>IF(ISNUMBER(outYear),NDX37+NDX42+#REF!+#REF!,"")</f>
        <v/>
      </c>
      <c r="NDY48" s="84" t="str">
        <f>IF(ISNUMBER(outYear),NDY37+NDY42+#REF!+#REF!,"")</f>
        <v/>
      </c>
      <c r="NDZ48" s="84" t="str">
        <f>IF(ISNUMBER(outYear),NDZ37+NDZ42+#REF!+#REF!,"")</f>
        <v/>
      </c>
      <c r="NEA48" s="84" t="str">
        <f>IF(ISNUMBER(outYear),NEA37+NEA42+#REF!+#REF!,"")</f>
        <v/>
      </c>
      <c r="NEB48" s="84" t="str">
        <f>IF(ISNUMBER(outYear),NEB37+NEB42+#REF!+#REF!,"")</f>
        <v/>
      </c>
      <c r="NEC48" s="84" t="str">
        <f>IF(ISNUMBER(outYear),NEC37+NEC42+#REF!+#REF!,"")</f>
        <v/>
      </c>
      <c r="NED48" s="84" t="str">
        <f>IF(ISNUMBER(outYear),NED37+NED42+#REF!+#REF!,"")</f>
        <v/>
      </c>
      <c r="NEE48" s="84" t="str">
        <f>IF(ISNUMBER(outYear),NEE37+NEE42+#REF!+#REF!,"")</f>
        <v/>
      </c>
      <c r="NEF48" s="84" t="str">
        <f>IF(ISNUMBER(outYear),NEF37+NEF42+#REF!+#REF!,"")</f>
        <v/>
      </c>
      <c r="NEG48" s="84" t="str">
        <f>IF(ISNUMBER(outYear),NEG37+NEG42+#REF!+#REF!,"")</f>
        <v/>
      </c>
      <c r="NEH48" s="84" t="str">
        <f>IF(ISNUMBER(outYear),NEH37+NEH42+#REF!+#REF!,"")</f>
        <v/>
      </c>
      <c r="NEI48" s="84" t="str">
        <f>IF(ISNUMBER(outYear),NEI37+NEI42+#REF!+#REF!,"")</f>
        <v/>
      </c>
      <c r="NEJ48" s="84" t="str">
        <f>IF(ISNUMBER(outYear),NEJ37+NEJ42+#REF!+#REF!,"")</f>
        <v/>
      </c>
      <c r="NEK48" s="84" t="str">
        <f>IF(ISNUMBER(outYear),NEK37+NEK42+#REF!+#REF!,"")</f>
        <v/>
      </c>
      <c r="NEL48" s="84" t="str">
        <f>IF(ISNUMBER(outYear),NEL37+NEL42+#REF!+#REF!,"")</f>
        <v/>
      </c>
      <c r="NEM48" s="84" t="str">
        <f>IF(ISNUMBER(outYear),NEM37+NEM42+#REF!+#REF!,"")</f>
        <v/>
      </c>
      <c r="NEN48" s="84" t="str">
        <f>IF(ISNUMBER(outYear),NEN37+NEN42+#REF!+#REF!,"")</f>
        <v/>
      </c>
      <c r="NEO48" s="84" t="str">
        <f>IF(ISNUMBER(outYear),NEO37+NEO42+#REF!+#REF!,"")</f>
        <v/>
      </c>
      <c r="NEP48" s="84" t="str">
        <f>IF(ISNUMBER(outYear),NEP37+NEP42+#REF!+#REF!,"")</f>
        <v/>
      </c>
      <c r="NEQ48" s="84" t="str">
        <f>IF(ISNUMBER(outYear),NEQ37+NEQ42+#REF!+#REF!,"")</f>
        <v/>
      </c>
      <c r="NER48" s="84" t="str">
        <f>IF(ISNUMBER(outYear),NER37+NER42+#REF!+#REF!,"")</f>
        <v/>
      </c>
      <c r="NES48" s="84" t="str">
        <f>IF(ISNUMBER(outYear),NES37+NES42+#REF!+#REF!,"")</f>
        <v/>
      </c>
      <c r="NET48" s="84" t="str">
        <f>IF(ISNUMBER(outYear),NET37+NET42+#REF!+#REF!,"")</f>
        <v/>
      </c>
      <c r="NEU48" s="84" t="str">
        <f>IF(ISNUMBER(outYear),NEU37+NEU42+#REF!+#REF!,"")</f>
        <v/>
      </c>
      <c r="NEV48" s="84" t="str">
        <f>IF(ISNUMBER(outYear),NEV37+NEV42+#REF!+#REF!,"")</f>
        <v/>
      </c>
      <c r="NEW48" s="84" t="str">
        <f>IF(ISNUMBER(outYear),NEW37+NEW42+#REF!+#REF!,"")</f>
        <v/>
      </c>
      <c r="NEX48" s="84" t="str">
        <f>IF(ISNUMBER(outYear),NEX37+NEX42+#REF!+#REF!,"")</f>
        <v/>
      </c>
      <c r="NEY48" s="84" t="str">
        <f>IF(ISNUMBER(outYear),NEY37+NEY42+#REF!+#REF!,"")</f>
        <v/>
      </c>
      <c r="NEZ48" s="84" t="str">
        <f>IF(ISNUMBER(outYear),NEZ37+NEZ42+#REF!+#REF!,"")</f>
        <v/>
      </c>
      <c r="NFA48" s="84" t="str">
        <f>IF(ISNUMBER(outYear),NFA37+NFA42+#REF!+#REF!,"")</f>
        <v/>
      </c>
      <c r="NFB48" s="84" t="str">
        <f>IF(ISNUMBER(outYear),NFB37+NFB42+#REF!+#REF!,"")</f>
        <v/>
      </c>
      <c r="NFC48" s="84" t="str">
        <f>IF(ISNUMBER(outYear),NFC37+NFC42+#REF!+#REF!,"")</f>
        <v/>
      </c>
      <c r="NFD48" s="84" t="str">
        <f>IF(ISNUMBER(outYear),NFD37+NFD42+#REF!+#REF!,"")</f>
        <v/>
      </c>
      <c r="NFE48" s="84" t="str">
        <f>IF(ISNUMBER(outYear),NFE37+NFE42+#REF!+#REF!,"")</f>
        <v/>
      </c>
      <c r="NFF48" s="84" t="str">
        <f>IF(ISNUMBER(outYear),NFF37+NFF42+#REF!+#REF!,"")</f>
        <v/>
      </c>
      <c r="NFG48" s="84" t="str">
        <f>IF(ISNUMBER(outYear),NFG37+NFG42+#REF!+#REF!,"")</f>
        <v/>
      </c>
      <c r="NFH48" s="84" t="str">
        <f>IF(ISNUMBER(outYear),NFH37+NFH42+#REF!+#REF!,"")</f>
        <v/>
      </c>
      <c r="NFI48" s="84" t="str">
        <f>IF(ISNUMBER(outYear),NFI37+NFI42+#REF!+#REF!,"")</f>
        <v/>
      </c>
      <c r="NFJ48" s="84" t="str">
        <f>IF(ISNUMBER(outYear),NFJ37+NFJ42+#REF!+#REF!,"")</f>
        <v/>
      </c>
      <c r="NFK48" s="84" t="str">
        <f>IF(ISNUMBER(outYear),NFK37+NFK42+#REF!+#REF!,"")</f>
        <v/>
      </c>
      <c r="NFL48" s="84" t="str">
        <f>IF(ISNUMBER(outYear),NFL37+NFL42+#REF!+#REF!,"")</f>
        <v/>
      </c>
      <c r="NFM48" s="84" t="str">
        <f>IF(ISNUMBER(outYear),NFM37+NFM42+#REF!+#REF!,"")</f>
        <v/>
      </c>
      <c r="NFN48" s="84" t="str">
        <f>IF(ISNUMBER(outYear),NFN37+NFN42+#REF!+#REF!,"")</f>
        <v/>
      </c>
      <c r="NFO48" s="84" t="str">
        <f>IF(ISNUMBER(outYear),NFO37+NFO42+#REF!+#REF!,"")</f>
        <v/>
      </c>
      <c r="NFP48" s="84" t="str">
        <f>IF(ISNUMBER(outYear),NFP37+NFP42+#REF!+#REF!,"")</f>
        <v/>
      </c>
      <c r="NFQ48" s="84" t="str">
        <f>IF(ISNUMBER(outYear),NFQ37+NFQ42+#REF!+#REF!,"")</f>
        <v/>
      </c>
      <c r="NFR48" s="84" t="str">
        <f>IF(ISNUMBER(outYear),NFR37+NFR42+#REF!+#REF!,"")</f>
        <v/>
      </c>
      <c r="NFS48" s="84" t="str">
        <f>IF(ISNUMBER(outYear),NFS37+NFS42+#REF!+#REF!,"")</f>
        <v/>
      </c>
      <c r="NFT48" s="84" t="str">
        <f>IF(ISNUMBER(outYear),NFT37+NFT42+#REF!+#REF!,"")</f>
        <v/>
      </c>
      <c r="NFU48" s="84" t="str">
        <f>IF(ISNUMBER(outYear),NFU37+NFU42+#REF!+#REF!,"")</f>
        <v/>
      </c>
      <c r="NFV48" s="84" t="str">
        <f>IF(ISNUMBER(outYear),NFV37+NFV42+#REF!+#REF!,"")</f>
        <v/>
      </c>
      <c r="NFW48" s="84" t="str">
        <f>IF(ISNUMBER(outYear),NFW37+NFW42+#REF!+#REF!,"")</f>
        <v/>
      </c>
      <c r="NFX48" s="84" t="str">
        <f>IF(ISNUMBER(outYear),NFX37+NFX42+#REF!+#REF!,"")</f>
        <v/>
      </c>
      <c r="NFY48" s="84" t="str">
        <f>IF(ISNUMBER(outYear),NFY37+NFY42+#REF!+#REF!,"")</f>
        <v/>
      </c>
      <c r="NFZ48" s="84" t="str">
        <f>IF(ISNUMBER(outYear),NFZ37+NFZ42+#REF!+#REF!,"")</f>
        <v/>
      </c>
      <c r="NGA48" s="84" t="str">
        <f>IF(ISNUMBER(outYear),NGA37+NGA42+#REF!+#REF!,"")</f>
        <v/>
      </c>
      <c r="NGB48" s="84" t="str">
        <f>IF(ISNUMBER(outYear),NGB37+NGB42+#REF!+#REF!,"")</f>
        <v/>
      </c>
      <c r="NGC48" s="84" t="str">
        <f>IF(ISNUMBER(outYear),NGC37+NGC42+#REF!+#REF!,"")</f>
        <v/>
      </c>
      <c r="NGD48" s="84" t="str">
        <f>IF(ISNUMBER(outYear),NGD37+NGD42+#REF!+#REF!,"")</f>
        <v/>
      </c>
      <c r="NGE48" s="84" t="str">
        <f>IF(ISNUMBER(outYear),NGE37+NGE42+#REF!+#REF!,"")</f>
        <v/>
      </c>
      <c r="NGF48" s="84" t="str">
        <f>IF(ISNUMBER(outYear),NGF37+NGF42+#REF!+#REF!,"")</f>
        <v/>
      </c>
      <c r="NGG48" s="84" t="str">
        <f>IF(ISNUMBER(outYear),NGG37+NGG42+#REF!+#REF!,"")</f>
        <v/>
      </c>
      <c r="NGH48" s="84" t="str">
        <f>IF(ISNUMBER(outYear),NGH37+NGH42+#REF!+#REF!,"")</f>
        <v/>
      </c>
      <c r="NGI48" s="84" t="str">
        <f>IF(ISNUMBER(outYear),NGI37+NGI42+#REF!+#REF!,"")</f>
        <v/>
      </c>
      <c r="NGJ48" s="84" t="str">
        <f>IF(ISNUMBER(outYear),NGJ37+NGJ42+#REF!+#REF!,"")</f>
        <v/>
      </c>
      <c r="NGK48" s="84" t="str">
        <f>IF(ISNUMBER(outYear),NGK37+NGK42+#REF!+#REF!,"")</f>
        <v/>
      </c>
      <c r="NGL48" s="84" t="str">
        <f>IF(ISNUMBER(outYear),NGL37+NGL42+#REF!+#REF!,"")</f>
        <v/>
      </c>
      <c r="NGM48" s="84" t="str">
        <f>IF(ISNUMBER(outYear),NGM37+NGM42+#REF!+#REF!,"")</f>
        <v/>
      </c>
      <c r="NGN48" s="84" t="str">
        <f>IF(ISNUMBER(outYear),NGN37+NGN42+#REF!+#REF!,"")</f>
        <v/>
      </c>
      <c r="NGO48" s="84" t="str">
        <f>IF(ISNUMBER(outYear),NGO37+NGO42+#REF!+#REF!,"")</f>
        <v/>
      </c>
      <c r="NGP48" s="84" t="str">
        <f>IF(ISNUMBER(outYear),NGP37+NGP42+#REF!+#REF!,"")</f>
        <v/>
      </c>
      <c r="NGQ48" s="84" t="str">
        <f>IF(ISNUMBER(outYear),NGQ37+NGQ42+#REF!+#REF!,"")</f>
        <v/>
      </c>
      <c r="NGR48" s="84" t="str">
        <f>IF(ISNUMBER(outYear),NGR37+NGR42+#REF!+#REF!,"")</f>
        <v/>
      </c>
      <c r="NGS48" s="84" t="str">
        <f>IF(ISNUMBER(outYear),NGS37+NGS42+#REF!+#REF!,"")</f>
        <v/>
      </c>
      <c r="NGT48" s="84" t="str">
        <f>IF(ISNUMBER(outYear),NGT37+NGT42+#REF!+#REF!,"")</f>
        <v/>
      </c>
      <c r="NGU48" s="84" t="str">
        <f>IF(ISNUMBER(outYear),NGU37+NGU42+#REF!+#REF!,"")</f>
        <v/>
      </c>
      <c r="NGV48" s="84" t="str">
        <f>IF(ISNUMBER(outYear),NGV37+NGV42+#REF!+#REF!,"")</f>
        <v/>
      </c>
      <c r="NGW48" s="84" t="str">
        <f>IF(ISNUMBER(outYear),NGW37+NGW42+#REF!+#REF!,"")</f>
        <v/>
      </c>
      <c r="NGX48" s="84" t="str">
        <f>IF(ISNUMBER(outYear),NGX37+NGX42+#REF!+#REF!,"")</f>
        <v/>
      </c>
      <c r="NGY48" s="84" t="str">
        <f>IF(ISNUMBER(outYear),NGY37+NGY42+#REF!+#REF!,"")</f>
        <v/>
      </c>
      <c r="NGZ48" s="84" t="str">
        <f>IF(ISNUMBER(outYear),NGZ37+NGZ42+#REF!+#REF!,"")</f>
        <v/>
      </c>
      <c r="NHA48" s="84" t="str">
        <f>IF(ISNUMBER(outYear),NHA37+NHA42+#REF!+#REF!,"")</f>
        <v/>
      </c>
      <c r="NHB48" s="84" t="str">
        <f>IF(ISNUMBER(outYear),NHB37+NHB42+#REF!+#REF!,"")</f>
        <v/>
      </c>
      <c r="NHC48" s="84" t="str">
        <f>IF(ISNUMBER(outYear),NHC37+NHC42+#REF!+#REF!,"")</f>
        <v/>
      </c>
      <c r="NHD48" s="84" t="str">
        <f>IF(ISNUMBER(outYear),NHD37+NHD42+#REF!+#REF!,"")</f>
        <v/>
      </c>
      <c r="NHE48" s="84" t="str">
        <f>IF(ISNUMBER(outYear),NHE37+NHE42+#REF!+#REF!,"")</f>
        <v/>
      </c>
      <c r="NHF48" s="84" t="str">
        <f>IF(ISNUMBER(outYear),NHF37+NHF42+#REF!+#REF!,"")</f>
        <v/>
      </c>
      <c r="NHG48" s="84" t="str">
        <f>IF(ISNUMBER(outYear),NHG37+NHG42+#REF!+#REF!,"")</f>
        <v/>
      </c>
      <c r="NHH48" s="84" t="str">
        <f>IF(ISNUMBER(outYear),NHH37+NHH42+#REF!+#REF!,"")</f>
        <v/>
      </c>
      <c r="NHI48" s="84" t="str">
        <f>IF(ISNUMBER(outYear),NHI37+NHI42+#REF!+#REF!,"")</f>
        <v/>
      </c>
      <c r="NHJ48" s="84" t="str">
        <f>IF(ISNUMBER(outYear),NHJ37+NHJ42+#REF!+#REF!,"")</f>
        <v/>
      </c>
      <c r="NHK48" s="84" t="str">
        <f>IF(ISNUMBER(outYear),NHK37+NHK42+#REF!+#REF!,"")</f>
        <v/>
      </c>
      <c r="NHL48" s="84" t="str">
        <f>IF(ISNUMBER(outYear),NHL37+NHL42+#REF!+#REF!,"")</f>
        <v/>
      </c>
      <c r="NHM48" s="84" t="str">
        <f>IF(ISNUMBER(outYear),NHM37+NHM42+#REF!+#REF!,"")</f>
        <v/>
      </c>
      <c r="NHN48" s="84" t="str">
        <f>IF(ISNUMBER(outYear),NHN37+NHN42+#REF!+#REF!,"")</f>
        <v/>
      </c>
      <c r="NHO48" s="84" t="str">
        <f>IF(ISNUMBER(outYear),NHO37+NHO42+#REF!+#REF!,"")</f>
        <v/>
      </c>
      <c r="NHP48" s="84" t="str">
        <f>IF(ISNUMBER(outYear),NHP37+NHP42+#REF!+#REF!,"")</f>
        <v/>
      </c>
      <c r="NHQ48" s="84" t="str">
        <f>IF(ISNUMBER(outYear),NHQ37+NHQ42+#REF!+#REF!,"")</f>
        <v/>
      </c>
      <c r="NHR48" s="84" t="str">
        <f>IF(ISNUMBER(outYear),NHR37+NHR42+#REF!+#REF!,"")</f>
        <v/>
      </c>
      <c r="NHS48" s="84" t="str">
        <f>IF(ISNUMBER(outYear),NHS37+NHS42+#REF!+#REF!,"")</f>
        <v/>
      </c>
      <c r="NHT48" s="84" t="str">
        <f>IF(ISNUMBER(outYear),NHT37+NHT42+#REF!+#REF!,"")</f>
        <v/>
      </c>
      <c r="NHU48" s="84" t="str">
        <f>IF(ISNUMBER(outYear),NHU37+NHU42+#REF!+#REF!,"")</f>
        <v/>
      </c>
      <c r="NHV48" s="84" t="str">
        <f>IF(ISNUMBER(outYear),NHV37+NHV42+#REF!+#REF!,"")</f>
        <v/>
      </c>
      <c r="NHW48" s="84" t="str">
        <f>IF(ISNUMBER(outYear),NHW37+NHW42+#REF!+#REF!,"")</f>
        <v/>
      </c>
      <c r="NHX48" s="84" t="str">
        <f>IF(ISNUMBER(outYear),NHX37+NHX42+#REF!+#REF!,"")</f>
        <v/>
      </c>
      <c r="NHY48" s="84" t="str">
        <f>IF(ISNUMBER(outYear),NHY37+NHY42+#REF!+#REF!,"")</f>
        <v/>
      </c>
      <c r="NHZ48" s="84" t="str">
        <f>IF(ISNUMBER(outYear),NHZ37+NHZ42+#REF!+#REF!,"")</f>
        <v/>
      </c>
      <c r="NIA48" s="84" t="str">
        <f>IF(ISNUMBER(outYear),NIA37+NIA42+#REF!+#REF!,"")</f>
        <v/>
      </c>
      <c r="NIB48" s="84" t="str">
        <f>IF(ISNUMBER(outYear),NIB37+NIB42+#REF!+#REF!,"")</f>
        <v/>
      </c>
      <c r="NIC48" s="84" t="str">
        <f>IF(ISNUMBER(outYear),NIC37+NIC42+#REF!+#REF!,"")</f>
        <v/>
      </c>
      <c r="NID48" s="84" t="str">
        <f>IF(ISNUMBER(outYear),NID37+NID42+#REF!+#REF!,"")</f>
        <v/>
      </c>
      <c r="NIE48" s="84" t="str">
        <f>IF(ISNUMBER(outYear),NIE37+NIE42+#REF!+#REF!,"")</f>
        <v/>
      </c>
      <c r="NIF48" s="84" t="str">
        <f>IF(ISNUMBER(outYear),NIF37+NIF42+#REF!+#REF!,"")</f>
        <v/>
      </c>
      <c r="NIG48" s="84" t="str">
        <f>IF(ISNUMBER(outYear),NIG37+NIG42+#REF!+#REF!,"")</f>
        <v/>
      </c>
      <c r="NIH48" s="84" t="str">
        <f>IF(ISNUMBER(outYear),NIH37+NIH42+#REF!+#REF!,"")</f>
        <v/>
      </c>
      <c r="NII48" s="84" t="str">
        <f>IF(ISNUMBER(outYear),NII37+NII42+#REF!+#REF!,"")</f>
        <v/>
      </c>
      <c r="NIJ48" s="84" t="str">
        <f>IF(ISNUMBER(outYear),NIJ37+NIJ42+#REF!+#REF!,"")</f>
        <v/>
      </c>
      <c r="NIK48" s="84" t="str">
        <f>IF(ISNUMBER(outYear),NIK37+NIK42+#REF!+#REF!,"")</f>
        <v/>
      </c>
      <c r="NIL48" s="84" t="str">
        <f>IF(ISNUMBER(outYear),NIL37+NIL42+#REF!+#REF!,"")</f>
        <v/>
      </c>
      <c r="NIM48" s="84" t="str">
        <f>IF(ISNUMBER(outYear),NIM37+NIM42+#REF!+#REF!,"")</f>
        <v/>
      </c>
      <c r="NIN48" s="84" t="str">
        <f>IF(ISNUMBER(outYear),NIN37+NIN42+#REF!+#REF!,"")</f>
        <v/>
      </c>
      <c r="NIO48" s="84" t="str">
        <f>IF(ISNUMBER(outYear),NIO37+NIO42+#REF!+#REF!,"")</f>
        <v/>
      </c>
      <c r="NIP48" s="84" t="str">
        <f>IF(ISNUMBER(outYear),NIP37+NIP42+#REF!+#REF!,"")</f>
        <v/>
      </c>
      <c r="NIQ48" s="84" t="str">
        <f>IF(ISNUMBER(outYear),NIQ37+NIQ42+#REF!+#REF!,"")</f>
        <v/>
      </c>
      <c r="NIR48" s="84" t="str">
        <f>IF(ISNUMBER(outYear),NIR37+NIR42+#REF!+#REF!,"")</f>
        <v/>
      </c>
      <c r="NIS48" s="84" t="str">
        <f>IF(ISNUMBER(outYear),NIS37+NIS42+#REF!+#REF!,"")</f>
        <v/>
      </c>
      <c r="NIT48" s="84" t="str">
        <f>IF(ISNUMBER(outYear),NIT37+NIT42+#REF!+#REF!,"")</f>
        <v/>
      </c>
      <c r="NIU48" s="84" t="str">
        <f>IF(ISNUMBER(outYear),NIU37+NIU42+#REF!+#REF!,"")</f>
        <v/>
      </c>
      <c r="NIV48" s="84" t="str">
        <f>IF(ISNUMBER(outYear),NIV37+NIV42+#REF!+#REF!,"")</f>
        <v/>
      </c>
      <c r="NIW48" s="84" t="str">
        <f>IF(ISNUMBER(outYear),NIW37+NIW42+#REF!+#REF!,"")</f>
        <v/>
      </c>
      <c r="NIX48" s="84" t="str">
        <f>IF(ISNUMBER(outYear),NIX37+NIX42+#REF!+#REF!,"")</f>
        <v/>
      </c>
      <c r="NIY48" s="84" t="str">
        <f>IF(ISNUMBER(outYear),NIY37+NIY42+#REF!+#REF!,"")</f>
        <v/>
      </c>
      <c r="NIZ48" s="84" t="str">
        <f>IF(ISNUMBER(outYear),NIZ37+NIZ42+#REF!+#REF!,"")</f>
        <v/>
      </c>
      <c r="NJA48" s="84" t="str">
        <f>IF(ISNUMBER(outYear),NJA37+NJA42+#REF!+#REF!,"")</f>
        <v/>
      </c>
      <c r="NJB48" s="84" t="str">
        <f>IF(ISNUMBER(outYear),NJB37+NJB42+#REF!+#REF!,"")</f>
        <v/>
      </c>
      <c r="NJC48" s="84" t="str">
        <f>IF(ISNUMBER(outYear),NJC37+NJC42+#REF!+#REF!,"")</f>
        <v/>
      </c>
      <c r="NJD48" s="84" t="str">
        <f>IF(ISNUMBER(outYear),NJD37+NJD42+#REF!+#REF!,"")</f>
        <v/>
      </c>
      <c r="NJE48" s="84" t="str">
        <f>IF(ISNUMBER(outYear),NJE37+NJE42+#REF!+#REF!,"")</f>
        <v/>
      </c>
      <c r="NJF48" s="84" t="str">
        <f>IF(ISNUMBER(outYear),NJF37+NJF42+#REF!+#REF!,"")</f>
        <v/>
      </c>
      <c r="NJG48" s="84" t="str">
        <f>IF(ISNUMBER(outYear),NJG37+NJG42+#REF!+#REF!,"")</f>
        <v/>
      </c>
      <c r="NJH48" s="84" t="str">
        <f>IF(ISNUMBER(outYear),NJH37+NJH42+#REF!+#REF!,"")</f>
        <v/>
      </c>
      <c r="NJI48" s="84" t="str">
        <f>IF(ISNUMBER(outYear),NJI37+NJI42+#REF!+#REF!,"")</f>
        <v/>
      </c>
      <c r="NJJ48" s="84" t="str">
        <f>IF(ISNUMBER(outYear),NJJ37+NJJ42+#REF!+#REF!,"")</f>
        <v/>
      </c>
      <c r="NJK48" s="84" t="str">
        <f>IF(ISNUMBER(outYear),NJK37+NJK42+#REF!+#REF!,"")</f>
        <v/>
      </c>
      <c r="NJL48" s="84" t="str">
        <f>IF(ISNUMBER(outYear),NJL37+NJL42+#REF!+#REF!,"")</f>
        <v/>
      </c>
      <c r="NJM48" s="84" t="str">
        <f>IF(ISNUMBER(outYear),NJM37+NJM42+#REF!+#REF!,"")</f>
        <v/>
      </c>
      <c r="NJN48" s="84" t="str">
        <f>IF(ISNUMBER(outYear),NJN37+NJN42+#REF!+#REF!,"")</f>
        <v/>
      </c>
      <c r="NJO48" s="84" t="str">
        <f>IF(ISNUMBER(outYear),NJO37+NJO42+#REF!+#REF!,"")</f>
        <v/>
      </c>
      <c r="NJP48" s="84" t="str">
        <f>IF(ISNUMBER(outYear),NJP37+NJP42+#REF!+#REF!,"")</f>
        <v/>
      </c>
      <c r="NJQ48" s="84" t="str">
        <f>IF(ISNUMBER(outYear),NJQ37+NJQ42+#REF!+#REF!,"")</f>
        <v/>
      </c>
      <c r="NJR48" s="84" t="str">
        <f>IF(ISNUMBER(outYear),NJR37+NJR42+#REF!+#REF!,"")</f>
        <v/>
      </c>
      <c r="NJS48" s="84" t="str">
        <f>IF(ISNUMBER(outYear),NJS37+NJS42+#REF!+#REF!,"")</f>
        <v/>
      </c>
      <c r="NJT48" s="84" t="str">
        <f>IF(ISNUMBER(outYear),NJT37+NJT42+#REF!+#REF!,"")</f>
        <v/>
      </c>
      <c r="NJU48" s="84" t="str">
        <f>IF(ISNUMBER(outYear),NJU37+NJU42+#REF!+#REF!,"")</f>
        <v/>
      </c>
      <c r="NJV48" s="84" t="str">
        <f>IF(ISNUMBER(outYear),NJV37+NJV42+#REF!+#REF!,"")</f>
        <v/>
      </c>
      <c r="NJW48" s="84" t="str">
        <f>IF(ISNUMBER(outYear),NJW37+NJW42+#REF!+#REF!,"")</f>
        <v/>
      </c>
      <c r="NJX48" s="84" t="str">
        <f>IF(ISNUMBER(outYear),NJX37+NJX42+#REF!+#REF!,"")</f>
        <v/>
      </c>
      <c r="NJY48" s="84" t="str">
        <f>IF(ISNUMBER(outYear),NJY37+NJY42+#REF!+#REF!,"")</f>
        <v/>
      </c>
      <c r="NJZ48" s="84" t="str">
        <f>IF(ISNUMBER(outYear),NJZ37+NJZ42+#REF!+#REF!,"")</f>
        <v/>
      </c>
      <c r="NKA48" s="84" t="str">
        <f>IF(ISNUMBER(outYear),NKA37+NKA42+#REF!+#REF!,"")</f>
        <v/>
      </c>
      <c r="NKB48" s="84" t="str">
        <f>IF(ISNUMBER(outYear),NKB37+NKB42+#REF!+#REF!,"")</f>
        <v/>
      </c>
      <c r="NKC48" s="84" t="str">
        <f>IF(ISNUMBER(outYear),NKC37+NKC42+#REF!+#REF!,"")</f>
        <v/>
      </c>
      <c r="NKD48" s="84" t="str">
        <f>IF(ISNUMBER(outYear),NKD37+NKD42+#REF!+#REF!,"")</f>
        <v/>
      </c>
      <c r="NKE48" s="84" t="str">
        <f>IF(ISNUMBER(outYear),NKE37+NKE42+#REF!+#REF!,"")</f>
        <v/>
      </c>
      <c r="NKF48" s="84" t="str">
        <f>IF(ISNUMBER(outYear),NKF37+NKF42+#REF!+#REF!,"")</f>
        <v/>
      </c>
      <c r="NKG48" s="84" t="str">
        <f>IF(ISNUMBER(outYear),NKG37+NKG42+#REF!+#REF!,"")</f>
        <v/>
      </c>
      <c r="NKH48" s="84" t="str">
        <f>IF(ISNUMBER(outYear),NKH37+NKH42+#REF!+#REF!,"")</f>
        <v/>
      </c>
      <c r="NKI48" s="84" t="str">
        <f>IF(ISNUMBER(outYear),NKI37+NKI42+#REF!+#REF!,"")</f>
        <v/>
      </c>
      <c r="NKJ48" s="84" t="str">
        <f>IF(ISNUMBER(outYear),NKJ37+NKJ42+#REF!+#REF!,"")</f>
        <v/>
      </c>
      <c r="NKK48" s="84" t="str">
        <f>IF(ISNUMBER(outYear),NKK37+NKK42+#REF!+#REF!,"")</f>
        <v/>
      </c>
      <c r="NKL48" s="84" t="str">
        <f>IF(ISNUMBER(outYear),NKL37+NKL42+#REF!+#REF!,"")</f>
        <v/>
      </c>
      <c r="NKM48" s="84" t="str">
        <f>IF(ISNUMBER(outYear),NKM37+NKM42+#REF!+#REF!,"")</f>
        <v/>
      </c>
      <c r="NKN48" s="84" t="str">
        <f>IF(ISNUMBER(outYear),NKN37+NKN42+#REF!+#REF!,"")</f>
        <v/>
      </c>
      <c r="NKO48" s="84" t="str">
        <f>IF(ISNUMBER(outYear),NKO37+NKO42+#REF!+#REF!,"")</f>
        <v/>
      </c>
      <c r="NKP48" s="84" t="str">
        <f>IF(ISNUMBER(outYear),NKP37+NKP42+#REF!+#REF!,"")</f>
        <v/>
      </c>
      <c r="NKQ48" s="84" t="str">
        <f>IF(ISNUMBER(outYear),NKQ37+NKQ42+#REF!+#REF!,"")</f>
        <v/>
      </c>
      <c r="NKR48" s="84" t="str">
        <f>IF(ISNUMBER(outYear),NKR37+NKR42+#REF!+#REF!,"")</f>
        <v/>
      </c>
      <c r="NKS48" s="84" t="str">
        <f>IF(ISNUMBER(outYear),NKS37+NKS42+#REF!+#REF!,"")</f>
        <v/>
      </c>
      <c r="NKT48" s="84" t="str">
        <f>IF(ISNUMBER(outYear),NKT37+NKT42+#REF!+#REF!,"")</f>
        <v/>
      </c>
      <c r="NKU48" s="84" t="str">
        <f>IF(ISNUMBER(outYear),NKU37+NKU42+#REF!+#REF!,"")</f>
        <v/>
      </c>
      <c r="NKV48" s="84" t="str">
        <f>IF(ISNUMBER(outYear),NKV37+NKV42+#REF!+#REF!,"")</f>
        <v/>
      </c>
      <c r="NKW48" s="84" t="str">
        <f>IF(ISNUMBER(outYear),NKW37+NKW42+#REF!+#REF!,"")</f>
        <v/>
      </c>
      <c r="NKX48" s="84" t="str">
        <f>IF(ISNUMBER(outYear),NKX37+NKX42+#REF!+#REF!,"")</f>
        <v/>
      </c>
      <c r="NKY48" s="84" t="str">
        <f>IF(ISNUMBER(outYear),NKY37+NKY42+#REF!+#REF!,"")</f>
        <v/>
      </c>
      <c r="NKZ48" s="84" t="str">
        <f>IF(ISNUMBER(outYear),NKZ37+NKZ42+#REF!+#REF!,"")</f>
        <v/>
      </c>
      <c r="NLA48" s="84" t="str">
        <f>IF(ISNUMBER(outYear),NLA37+NLA42+#REF!+#REF!,"")</f>
        <v/>
      </c>
      <c r="NLB48" s="84" t="str">
        <f>IF(ISNUMBER(outYear),NLB37+NLB42+#REF!+#REF!,"")</f>
        <v/>
      </c>
      <c r="NLC48" s="84" t="str">
        <f>IF(ISNUMBER(outYear),NLC37+NLC42+#REF!+#REF!,"")</f>
        <v/>
      </c>
      <c r="NLD48" s="84" t="str">
        <f>IF(ISNUMBER(outYear),NLD37+NLD42+#REF!+#REF!,"")</f>
        <v/>
      </c>
      <c r="NLE48" s="84" t="str">
        <f>IF(ISNUMBER(outYear),NLE37+NLE42+#REF!+#REF!,"")</f>
        <v/>
      </c>
      <c r="NLF48" s="84" t="str">
        <f>IF(ISNUMBER(outYear),NLF37+NLF42+#REF!+#REF!,"")</f>
        <v/>
      </c>
      <c r="NLG48" s="84" t="str">
        <f>IF(ISNUMBER(outYear),NLG37+NLG42+#REF!+#REF!,"")</f>
        <v/>
      </c>
      <c r="NLH48" s="84" t="str">
        <f>IF(ISNUMBER(outYear),NLH37+NLH42+#REF!+#REF!,"")</f>
        <v/>
      </c>
      <c r="NLI48" s="84" t="str">
        <f>IF(ISNUMBER(outYear),NLI37+NLI42+#REF!+#REF!,"")</f>
        <v/>
      </c>
      <c r="NLJ48" s="84" t="str">
        <f>IF(ISNUMBER(outYear),NLJ37+NLJ42+#REF!+#REF!,"")</f>
        <v/>
      </c>
      <c r="NLK48" s="84" t="str">
        <f>IF(ISNUMBER(outYear),NLK37+NLK42+#REF!+#REF!,"")</f>
        <v/>
      </c>
      <c r="NLL48" s="84" t="str">
        <f>IF(ISNUMBER(outYear),NLL37+NLL42+#REF!+#REF!,"")</f>
        <v/>
      </c>
      <c r="NLM48" s="84" t="str">
        <f>IF(ISNUMBER(outYear),NLM37+NLM42+#REF!+#REF!,"")</f>
        <v/>
      </c>
      <c r="NLN48" s="84" t="str">
        <f>IF(ISNUMBER(outYear),NLN37+NLN42+#REF!+#REF!,"")</f>
        <v/>
      </c>
      <c r="NLO48" s="84" t="str">
        <f>IF(ISNUMBER(outYear),NLO37+NLO42+#REF!+#REF!,"")</f>
        <v/>
      </c>
      <c r="NLP48" s="84" t="str">
        <f>IF(ISNUMBER(outYear),NLP37+NLP42+#REF!+#REF!,"")</f>
        <v/>
      </c>
      <c r="NLQ48" s="84" t="str">
        <f>IF(ISNUMBER(outYear),NLQ37+NLQ42+#REF!+#REF!,"")</f>
        <v/>
      </c>
      <c r="NLR48" s="84" t="str">
        <f>IF(ISNUMBER(outYear),NLR37+NLR42+#REF!+#REF!,"")</f>
        <v/>
      </c>
      <c r="NLS48" s="84" t="str">
        <f>IF(ISNUMBER(outYear),NLS37+NLS42+#REF!+#REF!,"")</f>
        <v/>
      </c>
      <c r="NLT48" s="84" t="str">
        <f>IF(ISNUMBER(outYear),NLT37+NLT42+#REF!+#REF!,"")</f>
        <v/>
      </c>
      <c r="NLU48" s="84" t="str">
        <f>IF(ISNUMBER(outYear),NLU37+NLU42+#REF!+#REF!,"")</f>
        <v/>
      </c>
      <c r="NLV48" s="84" t="str">
        <f>IF(ISNUMBER(outYear),NLV37+NLV42+#REF!+#REF!,"")</f>
        <v/>
      </c>
      <c r="NLW48" s="84" t="str">
        <f>IF(ISNUMBER(outYear),NLW37+NLW42+#REF!+#REF!,"")</f>
        <v/>
      </c>
      <c r="NLX48" s="84" t="str">
        <f>IF(ISNUMBER(outYear),NLX37+NLX42+#REF!+#REF!,"")</f>
        <v/>
      </c>
      <c r="NLY48" s="84" t="str">
        <f>IF(ISNUMBER(outYear),NLY37+NLY42+#REF!+#REF!,"")</f>
        <v/>
      </c>
      <c r="NLZ48" s="84" t="str">
        <f>IF(ISNUMBER(outYear),NLZ37+NLZ42+#REF!+#REF!,"")</f>
        <v/>
      </c>
      <c r="NMA48" s="84" t="str">
        <f>IF(ISNUMBER(outYear),NMA37+NMA42+#REF!+#REF!,"")</f>
        <v/>
      </c>
      <c r="NMB48" s="84" t="str">
        <f>IF(ISNUMBER(outYear),NMB37+NMB42+#REF!+#REF!,"")</f>
        <v/>
      </c>
      <c r="NMC48" s="84" t="str">
        <f>IF(ISNUMBER(outYear),NMC37+NMC42+#REF!+#REF!,"")</f>
        <v/>
      </c>
      <c r="NMD48" s="84" t="str">
        <f>IF(ISNUMBER(outYear),NMD37+NMD42+#REF!+#REF!,"")</f>
        <v/>
      </c>
      <c r="NME48" s="84" t="str">
        <f>IF(ISNUMBER(outYear),NME37+NME42+#REF!+#REF!,"")</f>
        <v/>
      </c>
      <c r="NMF48" s="84" t="str">
        <f>IF(ISNUMBER(outYear),NMF37+NMF42+#REF!+#REF!,"")</f>
        <v/>
      </c>
      <c r="NMG48" s="84" t="str">
        <f>IF(ISNUMBER(outYear),NMG37+NMG42+#REF!+#REF!,"")</f>
        <v/>
      </c>
      <c r="NMH48" s="84" t="str">
        <f>IF(ISNUMBER(outYear),NMH37+NMH42+#REF!+#REF!,"")</f>
        <v/>
      </c>
      <c r="NMI48" s="84" t="str">
        <f>IF(ISNUMBER(outYear),NMI37+NMI42+#REF!+#REF!,"")</f>
        <v/>
      </c>
      <c r="NMJ48" s="84" t="str">
        <f>IF(ISNUMBER(outYear),NMJ37+NMJ42+#REF!+#REF!,"")</f>
        <v/>
      </c>
      <c r="NMK48" s="84" t="str">
        <f>IF(ISNUMBER(outYear),NMK37+NMK42+#REF!+#REF!,"")</f>
        <v/>
      </c>
      <c r="NML48" s="84" t="str">
        <f>IF(ISNUMBER(outYear),NML37+NML42+#REF!+#REF!,"")</f>
        <v/>
      </c>
      <c r="NMM48" s="84" t="str">
        <f>IF(ISNUMBER(outYear),NMM37+NMM42+#REF!+#REF!,"")</f>
        <v/>
      </c>
      <c r="NMN48" s="84" t="str">
        <f>IF(ISNUMBER(outYear),NMN37+NMN42+#REF!+#REF!,"")</f>
        <v/>
      </c>
      <c r="NMO48" s="84" t="str">
        <f>IF(ISNUMBER(outYear),NMO37+NMO42+#REF!+#REF!,"")</f>
        <v/>
      </c>
      <c r="NMP48" s="84" t="str">
        <f>IF(ISNUMBER(outYear),NMP37+NMP42+#REF!+#REF!,"")</f>
        <v/>
      </c>
      <c r="NMQ48" s="84" t="str">
        <f>IF(ISNUMBER(outYear),NMQ37+NMQ42+#REF!+#REF!,"")</f>
        <v/>
      </c>
      <c r="NMR48" s="84" t="str">
        <f>IF(ISNUMBER(outYear),NMR37+NMR42+#REF!+#REF!,"")</f>
        <v/>
      </c>
      <c r="NMS48" s="84" t="str">
        <f>IF(ISNUMBER(outYear),NMS37+NMS42+#REF!+#REF!,"")</f>
        <v/>
      </c>
      <c r="NMT48" s="84" t="str">
        <f>IF(ISNUMBER(outYear),NMT37+NMT42+#REF!+#REF!,"")</f>
        <v/>
      </c>
      <c r="NMU48" s="84" t="str">
        <f>IF(ISNUMBER(outYear),NMU37+NMU42+#REF!+#REF!,"")</f>
        <v/>
      </c>
      <c r="NMV48" s="84" t="str">
        <f>IF(ISNUMBER(outYear),NMV37+NMV42+#REF!+#REF!,"")</f>
        <v/>
      </c>
      <c r="NMW48" s="84" t="str">
        <f>IF(ISNUMBER(outYear),NMW37+NMW42+#REF!+#REF!,"")</f>
        <v/>
      </c>
      <c r="NMX48" s="84" t="str">
        <f>IF(ISNUMBER(outYear),NMX37+NMX42+#REF!+#REF!,"")</f>
        <v/>
      </c>
      <c r="NMY48" s="84" t="str">
        <f>IF(ISNUMBER(outYear),NMY37+NMY42+#REF!+#REF!,"")</f>
        <v/>
      </c>
      <c r="NMZ48" s="84" t="str">
        <f>IF(ISNUMBER(outYear),NMZ37+NMZ42+#REF!+#REF!,"")</f>
        <v/>
      </c>
      <c r="NNA48" s="84" t="str">
        <f>IF(ISNUMBER(outYear),NNA37+NNA42+#REF!+#REF!,"")</f>
        <v/>
      </c>
      <c r="NNB48" s="84" t="str">
        <f>IF(ISNUMBER(outYear),NNB37+NNB42+#REF!+#REF!,"")</f>
        <v/>
      </c>
      <c r="NNC48" s="84" t="str">
        <f>IF(ISNUMBER(outYear),NNC37+NNC42+#REF!+#REF!,"")</f>
        <v/>
      </c>
      <c r="NND48" s="84" t="str">
        <f>IF(ISNUMBER(outYear),NND37+NND42+#REF!+#REF!,"")</f>
        <v/>
      </c>
      <c r="NNE48" s="84" t="str">
        <f>IF(ISNUMBER(outYear),NNE37+NNE42+#REF!+#REF!,"")</f>
        <v/>
      </c>
      <c r="NNF48" s="84" t="str">
        <f>IF(ISNUMBER(outYear),NNF37+NNF42+#REF!+#REF!,"")</f>
        <v/>
      </c>
      <c r="NNG48" s="84" t="str">
        <f>IF(ISNUMBER(outYear),NNG37+NNG42+#REF!+#REF!,"")</f>
        <v/>
      </c>
      <c r="NNH48" s="84" t="str">
        <f>IF(ISNUMBER(outYear),NNH37+NNH42+#REF!+#REF!,"")</f>
        <v/>
      </c>
      <c r="NNI48" s="84" t="str">
        <f>IF(ISNUMBER(outYear),NNI37+NNI42+#REF!+#REF!,"")</f>
        <v/>
      </c>
      <c r="NNJ48" s="84" t="str">
        <f>IF(ISNUMBER(outYear),NNJ37+NNJ42+#REF!+#REF!,"")</f>
        <v/>
      </c>
      <c r="NNK48" s="84" t="str">
        <f>IF(ISNUMBER(outYear),NNK37+NNK42+#REF!+#REF!,"")</f>
        <v/>
      </c>
      <c r="NNL48" s="84" t="str">
        <f>IF(ISNUMBER(outYear),NNL37+NNL42+#REF!+#REF!,"")</f>
        <v/>
      </c>
      <c r="NNM48" s="84" t="str">
        <f>IF(ISNUMBER(outYear),NNM37+NNM42+#REF!+#REF!,"")</f>
        <v/>
      </c>
      <c r="NNN48" s="84" t="str">
        <f>IF(ISNUMBER(outYear),NNN37+NNN42+#REF!+#REF!,"")</f>
        <v/>
      </c>
      <c r="NNO48" s="84" t="str">
        <f>IF(ISNUMBER(outYear),NNO37+NNO42+#REF!+#REF!,"")</f>
        <v/>
      </c>
      <c r="NNP48" s="84" t="str">
        <f>IF(ISNUMBER(outYear),NNP37+NNP42+#REF!+#REF!,"")</f>
        <v/>
      </c>
      <c r="NNQ48" s="84" t="str">
        <f>IF(ISNUMBER(outYear),NNQ37+NNQ42+#REF!+#REF!,"")</f>
        <v/>
      </c>
      <c r="NNR48" s="84" t="str">
        <f>IF(ISNUMBER(outYear),NNR37+NNR42+#REF!+#REF!,"")</f>
        <v/>
      </c>
      <c r="NNS48" s="84" t="str">
        <f>IF(ISNUMBER(outYear),NNS37+NNS42+#REF!+#REF!,"")</f>
        <v/>
      </c>
      <c r="NNT48" s="84" t="str">
        <f>IF(ISNUMBER(outYear),NNT37+NNT42+#REF!+#REF!,"")</f>
        <v/>
      </c>
      <c r="NNU48" s="84" t="str">
        <f>IF(ISNUMBER(outYear),NNU37+NNU42+#REF!+#REF!,"")</f>
        <v/>
      </c>
      <c r="NNV48" s="84" t="str">
        <f>IF(ISNUMBER(outYear),NNV37+NNV42+#REF!+#REF!,"")</f>
        <v/>
      </c>
      <c r="NNW48" s="84" t="str">
        <f>IF(ISNUMBER(outYear),NNW37+NNW42+#REF!+#REF!,"")</f>
        <v/>
      </c>
      <c r="NNX48" s="84" t="str">
        <f>IF(ISNUMBER(outYear),NNX37+NNX42+#REF!+#REF!,"")</f>
        <v/>
      </c>
      <c r="NNY48" s="84" t="str">
        <f>IF(ISNUMBER(outYear),NNY37+NNY42+#REF!+#REF!,"")</f>
        <v/>
      </c>
      <c r="NNZ48" s="84" t="str">
        <f>IF(ISNUMBER(outYear),NNZ37+NNZ42+#REF!+#REF!,"")</f>
        <v/>
      </c>
      <c r="NOA48" s="84" t="str">
        <f>IF(ISNUMBER(outYear),NOA37+NOA42+#REF!+#REF!,"")</f>
        <v/>
      </c>
      <c r="NOB48" s="84" t="str">
        <f>IF(ISNUMBER(outYear),NOB37+NOB42+#REF!+#REF!,"")</f>
        <v/>
      </c>
      <c r="NOC48" s="84" t="str">
        <f>IF(ISNUMBER(outYear),NOC37+NOC42+#REF!+#REF!,"")</f>
        <v/>
      </c>
      <c r="NOD48" s="84" t="str">
        <f>IF(ISNUMBER(outYear),NOD37+NOD42+#REF!+#REF!,"")</f>
        <v/>
      </c>
      <c r="NOE48" s="84" t="str">
        <f>IF(ISNUMBER(outYear),NOE37+NOE42+#REF!+#REF!,"")</f>
        <v/>
      </c>
      <c r="NOF48" s="84" t="str">
        <f>IF(ISNUMBER(outYear),NOF37+NOF42+#REF!+#REF!,"")</f>
        <v/>
      </c>
      <c r="NOG48" s="84" t="str">
        <f>IF(ISNUMBER(outYear),NOG37+NOG42+#REF!+#REF!,"")</f>
        <v/>
      </c>
      <c r="NOH48" s="84" t="str">
        <f>IF(ISNUMBER(outYear),NOH37+NOH42+#REF!+#REF!,"")</f>
        <v/>
      </c>
      <c r="NOI48" s="84" t="str">
        <f>IF(ISNUMBER(outYear),NOI37+NOI42+#REF!+#REF!,"")</f>
        <v/>
      </c>
      <c r="NOJ48" s="84" t="str">
        <f>IF(ISNUMBER(outYear),NOJ37+NOJ42+#REF!+#REF!,"")</f>
        <v/>
      </c>
      <c r="NOK48" s="84" t="str">
        <f>IF(ISNUMBER(outYear),NOK37+NOK42+#REF!+#REF!,"")</f>
        <v/>
      </c>
      <c r="NOL48" s="84" t="str">
        <f>IF(ISNUMBER(outYear),NOL37+NOL42+#REF!+#REF!,"")</f>
        <v/>
      </c>
      <c r="NOM48" s="84" t="str">
        <f>IF(ISNUMBER(outYear),NOM37+NOM42+#REF!+#REF!,"")</f>
        <v/>
      </c>
      <c r="NON48" s="84" t="str">
        <f>IF(ISNUMBER(outYear),NON37+NON42+#REF!+#REF!,"")</f>
        <v/>
      </c>
      <c r="NOO48" s="84" t="str">
        <f>IF(ISNUMBER(outYear),NOO37+NOO42+#REF!+#REF!,"")</f>
        <v/>
      </c>
      <c r="NOP48" s="84" t="str">
        <f>IF(ISNUMBER(outYear),NOP37+NOP42+#REF!+#REF!,"")</f>
        <v/>
      </c>
      <c r="NOQ48" s="84" t="str">
        <f>IF(ISNUMBER(outYear),NOQ37+NOQ42+#REF!+#REF!,"")</f>
        <v/>
      </c>
      <c r="NOR48" s="84" t="str">
        <f>IF(ISNUMBER(outYear),NOR37+NOR42+#REF!+#REF!,"")</f>
        <v/>
      </c>
      <c r="NOS48" s="84" t="str">
        <f>IF(ISNUMBER(outYear),NOS37+NOS42+#REF!+#REF!,"")</f>
        <v/>
      </c>
      <c r="NOT48" s="84" t="str">
        <f>IF(ISNUMBER(outYear),NOT37+NOT42+#REF!+#REF!,"")</f>
        <v/>
      </c>
      <c r="NOU48" s="84" t="str">
        <f>IF(ISNUMBER(outYear),NOU37+NOU42+#REF!+#REF!,"")</f>
        <v/>
      </c>
      <c r="NOV48" s="84" t="str">
        <f>IF(ISNUMBER(outYear),NOV37+NOV42+#REF!+#REF!,"")</f>
        <v/>
      </c>
      <c r="NOW48" s="84" t="str">
        <f>IF(ISNUMBER(outYear),NOW37+NOW42+#REF!+#REF!,"")</f>
        <v/>
      </c>
      <c r="NOX48" s="84" t="str">
        <f>IF(ISNUMBER(outYear),NOX37+NOX42+#REF!+#REF!,"")</f>
        <v/>
      </c>
      <c r="NOY48" s="84" t="str">
        <f>IF(ISNUMBER(outYear),NOY37+NOY42+#REF!+#REF!,"")</f>
        <v/>
      </c>
      <c r="NOZ48" s="84" t="str">
        <f>IF(ISNUMBER(outYear),NOZ37+NOZ42+#REF!+#REF!,"")</f>
        <v/>
      </c>
      <c r="NPA48" s="84" t="str">
        <f>IF(ISNUMBER(outYear),NPA37+NPA42+#REF!+#REF!,"")</f>
        <v/>
      </c>
      <c r="NPB48" s="84" t="str">
        <f>IF(ISNUMBER(outYear),NPB37+NPB42+#REF!+#REF!,"")</f>
        <v/>
      </c>
      <c r="NPC48" s="84" t="str">
        <f>IF(ISNUMBER(outYear),NPC37+NPC42+#REF!+#REF!,"")</f>
        <v/>
      </c>
      <c r="NPD48" s="84" t="str">
        <f>IF(ISNUMBER(outYear),NPD37+NPD42+#REF!+#REF!,"")</f>
        <v/>
      </c>
      <c r="NPE48" s="84" t="str">
        <f>IF(ISNUMBER(outYear),NPE37+NPE42+#REF!+#REF!,"")</f>
        <v/>
      </c>
      <c r="NPF48" s="84" t="str">
        <f>IF(ISNUMBER(outYear),NPF37+NPF42+#REF!+#REF!,"")</f>
        <v/>
      </c>
      <c r="NPG48" s="84" t="str">
        <f>IF(ISNUMBER(outYear),NPG37+NPG42+#REF!+#REF!,"")</f>
        <v/>
      </c>
      <c r="NPH48" s="84" t="str">
        <f>IF(ISNUMBER(outYear),NPH37+NPH42+#REF!+#REF!,"")</f>
        <v/>
      </c>
      <c r="NPI48" s="84" t="str">
        <f>IF(ISNUMBER(outYear),NPI37+NPI42+#REF!+#REF!,"")</f>
        <v/>
      </c>
      <c r="NPJ48" s="84" t="str">
        <f>IF(ISNUMBER(outYear),NPJ37+NPJ42+#REF!+#REF!,"")</f>
        <v/>
      </c>
      <c r="NPK48" s="84" t="str">
        <f>IF(ISNUMBER(outYear),NPK37+NPK42+#REF!+#REF!,"")</f>
        <v/>
      </c>
      <c r="NPL48" s="84" t="str">
        <f>IF(ISNUMBER(outYear),NPL37+NPL42+#REF!+#REF!,"")</f>
        <v/>
      </c>
      <c r="NPM48" s="84" t="str">
        <f>IF(ISNUMBER(outYear),NPM37+NPM42+#REF!+#REF!,"")</f>
        <v/>
      </c>
      <c r="NPN48" s="84" t="str">
        <f>IF(ISNUMBER(outYear),NPN37+NPN42+#REF!+#REF!,"")</f>
        <v/>
      </c>
      <c r="NPO48" s="84" t="str">
        <f>IF(ISNUMBER(outYear),NPO37+NPO42+#REF!+#REF!,"")</f>
        <v/>
      </c>
      <c r="NPP48" s="84" t="str">
        <f>IF(ISNUMBER(outYear),NPP37+NPP42+#REF!+#REF!,"")</f>
        <v/>
      </c>
      <c r="NPQ48" s="84" t="str">
        <f>IF(ISNUMBER(outYear),NPQ37+NPQ42+#REF!+#REF!,"")</f>
        <v/>
      </c>
      <c r="NPR48" s="84" t="str">
        <f>IF(ISNUMBER(outYear),NPR37+NPR42+#REF!+#REF!,"")</f>
        <v/>
      </c>
      <c r="NPS48" s="84" t="str">
        <f>IF(ISNUMBER(outYear),NPS37+NPS42+#REF!+#REF!,"")</f>
        <v/>
      </c>
      <c r="NPT48" s="84" t="str">
        <f>IF(ISNUMBER(outYear),NPT37+NPT42+#REF!+#REF!,"")</f>
        <v/>
      </c>
      <c r="NPU48" s="84" t="str">
        <f>IF(ISNUMBER(outYear),NPU37+NPU42+#REF!+#REF!,"")</f>
        <v/>
      </c>
      <c r="NPV48" s="84" t="str">
        <f>IF(ISNUMBER(outYear),NPV37+NPV42+#REF!+#REF!,"")</f>
        <v/>
      </c>
      <c r="NPW48" s="84" t="str">
        <f>IF(ISNUMBER(outYear),NPW37+NPW42+#REF!+#REF!,"")</f>
        <v/>
      </c>
      <c r="NPX48" s="84" t="str">
        <f>IF(ISNUMBER(outYear),NPX37+NPX42+#REF!+#REF!,"")</f>
        <v/>
      </c>
      <c r="NPY48" s="84" t="str">
        <f>IF(ISNUMBER(outYear),NPY37+NPY42+#REF!+#REF!,"")</f>
        <v/>
      </c>
      <c r="NPZ48" s="84" t="str">
        <f>IF(ISNUMBER(outYear),NPZ37+NPZ42+#REF!+#REF!,"")</f>
        <v/>
      </c>
      <c r="NQA48" s="84" t="str">
        <f>IF(ISNUMBER(outYear),NQA37+NQA42+#REF!+#REF!,"")</f>
        <v/>
      </c>
      <c r="NQB48" s="84" t="str">
        <f>IF(ISNUMBER(outYear),NQB37+NQB42+#REF!+#REF!,"")</f>
        <v/>
      </c>
      <c r="NQC48" s="84" t="str">
        <f>IF(ISNUMBER(outYear),NQC37+NQC42+#REF!+#REF!,"")</f>
        <v/>
      </c>
      <c r="NQD48" s="84" t="str">
        <f>IF(ISNUMBER(outYear),NQD37+NQD42+#REF!+#REF!,"")</f>
        <v/>
      </c>
      <c r="NQE48" s="84" t="str">
        <f>IF(ISNUMBER(outYear),NQE37+NQE42+#REF!+#REF!,"")</f>
        <v/>
      </c>
      <c r="NQF48" s="84" t="str">
        <f>IF(ISNUMBER(outYear),NQF37+NQF42+#REF!+#REF!,"")</f>
        <v/>
      </c>
      <c r="NQG48" s="84" t="str">
        <f>IF(ISNUMBER(outYear),NQG37+NQG42+#REF!+#REF!,"")</f>
        <v/>
      </c>
      <c r="NQH48" s="84" t="str">
        <f>IF(ISNUMBER(outYear),NQH37+NQH42+#REF!+#REF!,"")</f>
        <v/>
      </c>
      <c r="NQI48" s="84" t="str">
        <f>IF(ISNUMBER(outYear),NQI37+NQI42+#REF!+#REF!,"")</f>
        <v/>
      </c>
      <c r="NQJ48" s="84" t="str">
        <f>IF(ISNUMBER(outYear),NQJ37+NQJ42+#REF!+#REF!,"")</f>
        <v/>
      </c>
      <c r="NQK48" s="84" t="str">
        <f>IF(ISNUMBER(outYear),NQK37+NQK42+#REF!+#REF!,"")</f>
        <v/>
      </c>
      <c r="NQL48" s="84" t="str">
        <f>IF(ISNUMBER(outYear),NQL37+NQL42+#REF!+#REF!,"")</f>
        <v/>
      </c>
      <c r="NQM48" s="84" t="str">
        <f>IF(ISNUMBER(outYear),NQM37+NQM42+#REF!+#REF!,"")</f>
        <v/>
      </c>
      <c r="NQN48" s="84" t="str">
        <f>IF(ISNUMBER(outYear),NQN37+NQN42+#REF!+#REF!,"")</f>
        <v/>
      </c>
      <c r="NQO48" s="84" t="str">
        <f>IF(ISNUMBER(outYear),NQO37+NQO42+#REF!+#REF!,"")</f>
        <v/>
      </c>
      <c r="NQP48" s="84" t="str">
        <f>IF(ISNUMBER(outYear),NQP37+NQP42+#REF!+#REF!,"")</f>
        <v/>
      </c>
      <c r="NQQ48" s="84" t="str">
        <f>IF(ISNUMBER(outYear),NQQ37+NQQ42+#REF!+#REF!,"")</f>
        <v/>
      </c>
      <c r="NQR48" s="84" t="str">
        <f>IF(ISNUMBER(outYear),NQR37+NQR42+#REF!+#REF!,"")</f>
        <v/>
      </c>
      <c r="NQS48" s="84" t="str">
        <f>IF(ISNUMBER(outYear),NQS37+NQS42+#REF!+#REF!,"")</f>
        <v/>
      </c>
      <c r="NQT48" s="84" t="str">
        <f>IF(ISNUMBER(outYear),NQT37+NQT42+#REF!+#REF!,"")</f>
        <v/>
      </c>
      <c r="NQU48" s="84" t="str">
        <f>IF(ISNUMBER(outYear),NQU37+NQU42+#REF!+#REF!,"")</f>
        <v/>
      </c>
      <c r="NQV48" s="84" t="str">
        <f>IF(ISNUMBER(outYear),NQV37+NQV42+#REF!+#REF!,"")</f>
        <v/>
      </c>
      <c r="NQW48" s="84" t="str">
        <f>IF(ISNUMBER(outYear),NQW37+NQW42+#REF!+#REF!,"")</f>
        <v/>
      </c>
      <c r="NQX48" s="84" t="str">
        <f>IF(ISNUMBER(outYear),NQX37+NQX42+#REF!+#REF!,"")</f>
        <v/>
      </c>
      <c r="NQY48" s="84" t="str">
        <f>IF(ISNUMBER(outYear),NQY37+NQY42+#REF!+#REF!,"")</f>
        <v/>
      </c>
      <c r="NQZ48" s="84" t="str">
        <f>IF(ISNUMBER(outYear),NQZ37+NQZ42+#REF!+#REF!,"")</f>
        <v/>
      </c>
      <c r="NRA48" s="84" t="str">
        <f>IF(ISNUMBER(outYear),NRA37+NRA42+#REF!+#REF!,"")</f>
        <v/>
      </c>
      <c r="NRB48" s="84" t="str">
        <f>IF(ISNUMBER(outYear),NRB37+NRB42+#REF!+#REF!,"")</f>
        <v/>
      </c>
      <c r="NRC48" s="84" t="str">
        <f>IF(ISNUMBER(outYear),NRC37+NRC42+#REF!+#REF!,"")</f>
        <v/>
      </c>
      <c r="NRD48" s="84" t="str">
        <f>IF(ISNUMBER(outYear),NRD37+NRD42+#REF!+#REF!,"")</f>
        <v/>
      </c>
      <c r="NRE48" s="84" t="str">
        <f>IF(ISNUMBER(outYear),NRE37+NRE42+#REF!+#REF!,"")</f>
        <v/>
      </c>
      <c r="NRF48" s="84" t="str">
        <f>IF(ISNUMBER(outYear),NRF37+NRF42+#REF!+#REF!,"")</f>
        <v/>
      </c>
      <c r="NRG48" s="84" t="str">
        <f>IF(ISNUMBER(outYear),NRG37+NRG42+#REF!+#REF!,"")</f>
        <v/>
      </c>
      <c r="NRH48" s="84" t="str">
        <f>IF(ISNUMBER(outYear),NRH37+NRH42+#REF!+#REF!,"")</f>
        <v/>
      </c>
      <c r="NRI48" s="84" t="str">
        <f>IF(ISNUMBER(outYear),NRI37+NRI42+#REF!+#REF!,"")</f>
        <v/>
      </c>
      <c r="NRJ48" s="84" t="str">
        <f>IF(ISNUMBER(outYear),NRJ37+NRJ42+#REF!+#REF!,"")</f>
        <v/>
      </c>
      <c r="NRK48" s="84" t="str">
        <f>IF(ISNUMBER(outYear),NRK37+NRK42+#REF!+#REF!,"")</f>
        <v/>
      </c>
      <c r="NRL48" s="84" t="str">
        <f>IF(ISNUMBER(outYear),NRL37+NRL42+#REF!+#REF!,"")</f>
        <v/>
      </c>
      <c r="NRM48" s="84" t="str">
        <f>IF(ISNUMBER(outYear),NRM37+NRM42+#REF!+#REF!,"")</f>
        <v/>
      </c>
      <c r="NRN48" s="84" t="str">
        <f>IF(ISNUMBER(outYear),NRN37+NRN42+#REF!+#REF!,"")</f>
        <v/>
      </c>
      <c r="NRO48" s="84" t="str">
        <f>IF(ISNUMBER(outYear),NRO37+NRO42+#REF!+#REF!,"")</f>
        <v/>
      </c>
      <c r="NRP48" s="84" t="str">
        <f>IF(ISNUMBER(outYear),NRP37+NRP42+#REF!+#REF!,"")</f>
        <v/>
      </c>
      <c r="NRQ48" s="84" t="str">
        <f>IF(ISNUMBER(outYear),NRQ37+NRQ42+#REF!+#REF!,"")</f>
        <v/>
      </c>
      <c r="NRR48" s="84" t="str">
        <f>IF(ISNUMBER(outYear),NRR37+NRR42+#REF!+#REF!,"")</f>
        <v/>
      </c>
      <c r="NRS48" s="84" t="str">
        <f>IF(ISNUMBER(outYear),NRS37+NRS42+#REF!+#REF!,"")</f>
        <v/>
      </c>
      <c r="NRT48" s="84" t="str">
        <f>IF(ISNUMBER(outYear),NRT37+NRT42+#REF!+#REF!,"")</f>
        <v/>
      </c>
      <c r="NRU48" s="84" t="str">
        <f>IF(ISNUMBER(outYear),NRU37+NRU42+#REF!+#REF!,"")</f>
        <v/>
      </c>
      <c r="NRV48" s="84" t="str">
        <f>IF(ISNUMBER(outYear),NRV37+NRV42+#REF!+#REF!,"")</f>
        <v/>
      </c>
      <c r="NRW48" s="84" t="str">
        <f>IF(ISNUMBER(outYear),NRW37+NRW42+#REF!+#REF!,"")</f>
        <v/>
      </c>
      <c r="NRX48" s="84" t="str">
        <f>IF(ISNUMBER(outYear),NRX37+NRX42+#REF!+#REF!,"")</f>
        <v/>
      </c>
      <c r="NRY48" s="84" t="str">
        <f>IF(ISNUMBER(outYear),NRY37+NRY42+#REF!+#REF!,"")</f>
        <v/>
      </c>
      <c r="NRZ48" s="84" t="str">
        <f>IF(ISNUMBER(outYear),NRZ37+NRZ42+#REF!+#REF!,"")</f>
        <v/>
      </c>
      <c r="NSA48" s="84" t="str">
        <f>IF(ISNUMBER(outYear),NSA37+NSA42+#REF!+#REF!,"")</f>
        <v/>
      </c>
      <c r="NSB48" s="84" t="str">
        <f>IF(ISNUMBER(outYear),NSB37+NSB42+#REF!+#REF!,"")</f>
        <v/>
      </c>
      <c r="NSC48" s="84" t="str">
        <f>IF(ISNUMBER(outYear),NSC37+NSC42+#REF!+#REF!,"")</f>
        <v/>
      </c>
      <c r="NSD48" s="84" t="str">
        <f>IF(ISNUMBER(outYear),NSD37+NSD42+#REF!+#REF!,"")</f>
        <v/>
      </c>
      <c r="NSE48" s="84" t="str">
        <f>IF(ISNUMBER(outYear),NSE37+NSE42+#REF!+#REF!,"")</f>
        <v/>
      </c>
      <c r="NSF48" s="84" t="str">
        <f>IF(ISNUMBER(outYear),NSF37+NSF42+#REF!+#REF!,"")</f>
        <v/>
      </c>
      <c r="NSG48" s="84" t="str">
        <f>IF(ISNUMBER(outYear),NSG37+NSG42+#REF!+#REF!,"")</f>
        <v/>
      </c>
      <c r="NSH48" s="84" t="str">
        <f>IF(ISNUMBER(outYear),NSH37+NSH42+#REF!+#REF!,"")</f>
        <v/>
      </c>
      <c r="NSI48" s="84" t="str">
        <f>IF(ISNUMBER(outYear),NSI37+NSI42+#REF!+#REF!,"")</f>
        <v/>
      </c>
      <c r="NSJ48" s="84" t="str">
        <f>IF(ISNUMBER(outYear),NSJ37+NSJ42+#REF!+#REF!,"")</f>
        <v/>
      </c>
      <c r="NSK48" s="84" t="str">
        <f>IF(ISNUMBER(outYear),NSK37+NSK42+#REF!+#REF!,"")</f>
        <v/>
      </c>
      <c r="NSL48" s="84" t="str">
        <f>IF(ISNUMBER(outYear),NSL37+NSL42+#REF!+#REF!,"")</f>
        <v/>
      </c>
      <c r="NSM48" s="84" t="str">
        <f>IF(ISNUMBER(outYear),NSM37+NSM42+#REF!+#REF!,"")</f>
        <v/>
      </c>
      <c r="NSN48" s="84" t="str">
        <f>IF(ISNUMBER(outYear),NSN37+NSN42+#REF!+#REF!,"")</f>
        <v/>
      </c>
      <c r="NSO48" s="84" t="str">
        <f>IF(ISNUMBER(outYear),NSO37+NSO42+#REF!+#REF!,"")</f>
        <v/>
      </c>
      <c r="NSP48" s="84" t="str">
        <f>IF(ISNUMBER(outYear),NSP37+NSP42+#REF!+#REF!,"")</f>
        <v/>
      </c>
      <c r="NSQ48" s="84" t="str">
        <f>IF(ISNUMBER(outYear),NSQ37+NSQ42+#REF!+#REF!,"")</f>
        <v/>
      </c>
      <c r="NSR48" s="84" t="str">
        <f>IF(ISNUMBER(outYear),NSR37+NSR42+#REF!+#REF!,"")</f>
        <v/>
      </c>
      <c r="NSS48" s="84" t="str">
        <f>IF(ISNUMBER(outYear),NSS37+NSS42+#REF!+#REF!,"")</f>
        <v/>
      </c>
      <c r="NST48" s="84" t="str">
        <f>IF(ISNUMBER(outYear),NST37+NST42+#REF!+#REF!,"")</f>
        <v/>
      </c>
      <c r="NSU48" s="84" t="str">
        <f>IF(ISNUMBER(outYear),NSU37+NSU42+#REF!+#REF!,"")</f>
        <v/>
      </c>
      <c r="NSV48" s="84" t="str">
        <f>IF(ISNUMBER(outYear),NSV37+NSV42+#REF!+#REF!,"")</f>
        <v/>
      </c>
      <c r="NSW48" s="84" t="str">
        <f>IF(ISNUMBER(outYear),NSW37+NSW42+#REF!+#REF!,"")</f>
        <v/>
      </c>
      <c r="NSX48" s="84" t="str">
        <f>IF(ISNUMBER(outYear),NSX37+NSX42+#REF!+#REF!,"")</f>
        <v/>
      </c>
      <c r="NSY48" s="84" t="str">
        <f>IF(ISNUMBER(outYear),NSY37+NSY42+#REF!+#REF!,"")</f>
        <v/>
      </c>
      <c r="NSZ48" s="84" t="str">
        <f>IF(ISNUMBER(outYear),NSZ37+NSZ42+#REF!+#REF!,"")</f>
        <v/>
      </c>
      <c r="NTA48" s="84" t="str">
        <f>IF(ISNUMBER(outYear),NTA37+NTA42+#REF!+#REF!,"")</f>
        <v/>
      </c>
      <c r="NTB48" s="84" t="str">
        <f>IF(ISNUMBER(outYear),NTB37+NTB42+#REF!+#REF!,"")</f>
        <v/>
      </c>
      <c r="NTC48" s="84" t="str">
        <f>IF(ISNUMBER(outYear),NTC37+NTC42+#REF!+#REF!,"")</f>
        <v/>
      </c>
      <c r="NTD48" s="84" t="str">
        <f>IF(ISNUMBER(outYear),NTD37+NTD42+#REF!+#REF!,"")</f>
        <v/>
      </c>
      <c r="NTE48" s="84" t="str">
        <f>IF(ISNUMBER(outYear),NTE37+NTE42+#REF!+#REF!,"")</f>
        <v/>
      </c>
      <c r="NTF48" s="84" t="str">
        <f>IF(ISNUMBER(outYear),NTF37+NTF42+#REF!+#REF!,"")</f>
        <v/>
      </c>
      <c r="NTG48" s="84" t="str">
        <f>IF(ISNUMBER(outYear),NTG37+NTG42+#REF!+#REF!,"")</f>
        <v/>
      </c>
      <c r="NTH48" s="84" t="str">
        <f>IF(ISNUMBER(outYear),NTH37+NTH42+#REF!+#REF!,"")</f>
        <v/>
      </c>
      <c r="NTI48" s="84" t="str">
        <f>IF(ISNUMBER(outYear),NTI37+NTI42+#REF!+#REF!,"")</f>
        <v/>
      </c>
      <c r="NTJ48" s="84" t="str">
        <f>IF(ISNUMBER(outYear),NTJ37+NTJ42+#REF!+#REF!,"")</f>
        <v/>
      </c>
      <c r="NTK48" s="84" t="str">
        <f>IF(ISNUMBER(outYear),NTK37+NTK42+#REF!+#REF!,"")</f>
        <v/>
      </c>
      <c r="NTL48" s="84" t="str">
        <f>IF(ISNUMBER(outYear),NTL37+NTL42+#REF!+#REF!,"")</f>
        <v/>
      </c>
      <c r="NTM48" s="84" t="str">
        <f>IF(ISNUMBER(outYear),NTM37+NTM42+#REF!+#REF!,"")</f>
        <v/>
      </c>
      <c r="NTN48" s="84" t="str">
        <f>IF(ISNUMBER(outYear),NTN37+NTN42+#REF!+#REF!,"")</f>
        <v/>
      </c>
      <c r="NTO48" s="84" t="str">
        <f>IF(ISNUMBER(outYear),NTO37+NTO42+#REF!+#REF!,"")</f>
        <v/>
      </c>
      <c r="NTP48" s="84" t="str">
        <f>IF(ISNUMBER(outYear),NTP37+NTP42+#REF!+#REF!,"")</f>
        <v/>
      </c>
      <c r="NTQ48" s="84" t="str">
        <f>IF(ISNUMBER(outYear),NTQ37+NTQ42+#REF!+#REF!,"")</f>
        <v/>
      </c>
      <c r="NTR48" s="84" t="str">
        <f>IF(ISNUMBER(outYear),NTR37+NTR42+#REF!+#REF!,"")</f>
        <v/>
      </c>
      <c r="NTS48" s="84" t="str">
        <f>IF(ISNUMBER(outYear),NTS37+NTS42+#REF!+#REF!,"")</f>
        <v/>
      </c>
      <c r="NTT48" s="84" t="str">
        <f>IF(ISNUMBER(outYear),NTT37+NTT42+#REF!+#REF!,"")</f>
        <v/>
      </c>
      <c r="NTU48" s="84" t="str">
        <f>IF(ISNUMBER(outYear),NTU37+NTU42+#REF!+#REF!,"")</f>
        <v/>
      </c>
      <c r="NTV48" s="84" t="str">
        <f>IF(ISNUMBER(outYear),NTV37+NTV42+#REF!+#REF!,"")</f>
        <v/>
      </c>
      <c r="NTW48" s="84" t="str">
        <f>IF(ISNUMBER(outYear),NTW37+NTW42+#REF!+#REF!,"")</f>
        <v/>
      </c>
      <c r="NTX48" s="84" t="str">
        <f>IF(ISNUMBER(outYear),NTX37+NTX42+#REF!+#REF!,"")</f>
        <v/>
      </c>
      <c r="NTY48" s="84" t="str">
        <f>IF(ISNUMBER(outYear),NTY37+NTY42+#REF!+#REF!,"")</f>
        <v/>
      </c>
      <c r="NTZ48" s="84" t="str">
        <f>IF(ISNUMBER(outYear),NTZ37+NTZ42+#REF!+#REF!,"")</f>
        <v/>
      </c>
      <c r="NUA48" s="84" t="str">
        <f>IF(ISNUMBER(outYear),NUA37+NUA42+#REF!+#REF!,"")</f>
        <v/>
      </c>
      <c r="NUB48" s="84" t="str">
        <f>IF(ISNUMBER(outYear),NUB37+NUB42+#REF!+#REF!,"")</f>
        <v/>
      </c>
      <c r="NUC48" s="84" t="str">
        <f>IF(ISNUMBER(outYear),NUC37+NUC42+#REF!+#REF!,"")</f>
        <v/>
      </c>
      <c r="NUD48" s="84" t="str">
        <f>IF(ISNUMBER(outYear),NUD37+NUD42+#REF!+#REF!,"")</f>
        <v/>
      </c>
      <c r="NUE48" s="84" t="str">
        <f>IF(ISNUMBER(outYear),NUE37+NUE42+#REF!+#REF!,"")</f>
        <v/>
      </c>
      <c r="NUF48" s="84" t="str">
        <f>IF(ISNUMBER(outYear),NUF37+NUF42+#REF!+#REF!,"")</f>
        <v/>
      </c>
      <c r="NUG48" s="84" t="str">
        <f>IF(ISNUMBER(outYear),NUG37+NUG42+#REF!+#REF!,"")</f>
        <v/>
      </c>
      <c r="NUH48" s="84" t="str">
        <f>IF(ISNUMBER(outYear),NUH37+NUH42+#REF!+#REF!,"")</f>
        <v/>
      </c>
      <c r="NUI48" s="84" t="str">
        <f>IF(ISNUMBER(outYear),NUI37+NUI42+#REF!+#REF!,"")</f>
        <v/>
      </c>
      <c r="NUJ48" s="84" t="str">
        <f>IF(ISNUMBER(outYear),NUJ37+NUJ42+#REF!+#REF!,"")</f>
        <v/>
      </c>
      <c r="NUK48" s="84" t="str">
        <f>IF(ISNUMBER(outYear),NUK37+NUK42+#REF!+#REF!,"")</f>
        <v/>
      </c>
      <c r="NUL48" s="84" t="str">
        <f>IF(ISNUMBER(outYear),NUL37+NUL42+#REF!+#REF!,"")</f>
        <v/>
      </c>
      <c r="NUM48" s="84" t="str">
        <f>IF(ISNUMBER(outYear),NUM37+NUM42+#REF!+#REF!,"")</f>
        <v/>
      </c>
      <c r="NUN48" s="84" t="str">
        <f>IF(ISNUMBER(outYear),NUN37+NUN42+#REF!+#REF!,"")</f>
        <v/>
      </c>
      <c r="NUO48" s="84" t="str">
        <f>IF(ISNUMBER(outYear),NUO37+NUO42+#REF!+#REF!,"")</f>
        <v/>
      </c>
      <c r="NUP48" s="84" t="str">
        <f>IF(ISNUMBER(outYear),NUP37+NUP42+#REF!+#REF!,"")</f>
        <v/>
      </c>
      <c r="NUQ48" s="84" t="str">
        <f>IF(ISNUMBER(outYear),NUQ37+NUQ42+#REF!+#REF!,"")</f>
        <v/>
      </c>
      <c r="NUR48" s="84" t="str">
        <f>IF(ISNUMBER(outYear),NUR37+NUR42+#REF!+#REF!,"")</f>
        <v/>
      </c>
      <c r="NUS48" s="84" t="str">
        <f>IF(ISNUMBER(outYear),NUS37+NUS42+#REF!+#REF!,"")</f>
        <v/>
      </c>
      <c r="NUT48" s="84" t="str">
        <f>IF(ISNUMBER(outYear),NUT37+NUT42+#REF!+#REF!,"")</f>
        <v/>
      </c>
      <c r="NUU48" s="84" t="str">
        <f>IF(ISNUMBER(outYear),NUU37+NUU42+#REF!+#REF!,"")</f>
        <v/>
      </c>
      <c r="NUV48" s="84" t="str">
        <f>IF(ISNUMBER(outYear),NUV37+NUV42+#REF!+#REF!,"")</f>
        <v/>
      </c>
      <c r="NUW48" s="84" t="str">
        <f>IF(ISNUMBER(outYear),NUW37+NUW42+#REF!+#REF!,"")</f>
        <v/>
      </c>
      <c r="NUX48" s="84" t="str">
        <f>IF(ISNUMBER(outYear),NUX37+NUX42+#REF!+#REF!,"")</f>
        <v/>
      </c>
      <c r="NUY48" s="84" t="str">
        <f>IF(ISNUMBER(outYear),NUY37+NUY42+#REF!+#REF!,"")</f>
        <v/>
      </c>
      <c r="NUZ48" s="84" t="str">
        <f>IF(ISNUMBER(outYear),NUZ37+NUZ42+#REF!+#REF!,"")</f>
        <v/>
      </c>
      <c r="NVA48" s="84" t="str">
        <f>IF(ISNUMBER(outYear),NVA37+NVA42+#REF!+#REF!,"")</f>
        <v/>
      </c>
      <c r="NVB48" s="84" t="str">
        <f>IF(ISNUMBER(outYear),NVB37+NVB42+#REF!+#REF!,"")</f>
        <v/>
      </c>
      <c r="NVC48" s="84" t="str">
        <f>IF(ISNUMBER(outYear),NVC37+NVC42+#REF!+#REF!,"")</f>
        <v/>
      </c>
      <c r="NVD48" s="84" t="str">
        <f>IF(ISNUMBER(outYear),NVD37+NVD42+#REF!+#REF!,"")</f>
        <v/>
      </c>
      <c r="NVE48" s="84" t="str">
        <f>IF(ISNUMBER(outYear),NVE37+NVE42+#REF!+#REF!,"")</f>
        <v/>
      </c>
      <c r="NVF48" s="84" t="str">
        <f>IF(ISNUMBER(outYear),NVF37+NVF42+#REF!+#REF!,"")</f>
        <v/>
      </c>
      <c r="NVG48" s="84" t="str">
        <f>IF(ISNUMBER(outYear),NVG37+NVG42+#REF!+#REF!,"")</f>
        <v/>
      </c>
      <c r="NVH48" s="84" t="str">
        <f>IF(ISNUMBER(outYear),NVH37+NVH42+#REF!+#REF!,"")</f>
        <v/>
      </c>
      <c r="NVI48" s="84" t="str">
        <f>IF(ISNUMBER(outYear),NVI37+NVI42+#REF!+#REF!,"")</f>
        <v/>
      </c>
      <c r="NVJ48" s="84" t="str">
        <f>IF(ISNUMBER(outYear),NVJ37+NVJ42+#REF!+#REF!,"")</f>
        <v/>
      </c>
      <c r="NVK48" s="84" t="str">
        <f>IF(ISNUMBER(outYear),NVK37+NVK42+#REF!+#REF!,"")</f>
        <v/>
      </c>
      <c r="NVL48" s="84" t="str">
        <f>IF(ISNUMBER(outYear),NVL37+NVL42+#REF!+#REF!,"")</f>
        <v/>
      </c>
      <c r="NVM48" s="84" t="str">
        <f>IF(ISNUMBER(outYear),NVM37+NVM42+#REF!+#REF!,"")</f>
        <v/>
      </c>
      <c r="NVN48" s="84" t="str">
        <f>IF(ISNUMBER(outYear),NVN37+NVN42+#REF!+#REF!,"")</f>
        <v/>
      </c>
      <c r="NVO48" s="84" t="str">
        <f>IF(ISNUMBER(outYear),NVO37+NVO42+#REF!+#REF!,"")</f>
        <v/>
      </c>
      <c r="NVP48" s="84" t="str">
        <f>IF(ISNUMBER(outYear),NVP37+NVP42+#REF!+#REF!,"")</f>
        <v/>
      </c>
      <c r="NVQ48" s="84" t="str">
        <f>IF(ISNUMBER(outYear),NVQ37+NVQ42+#REF!+#REF!,"")</f>
        <v/>
      </c>
      <c r="NVR48" s="84" t="str">
        <f>IF(ISNUMBER(outYear),NVR37+NVR42+#REF!+#REF!,"")</f>
        <v/>
      </c>
      <c r="NVS48" s="84" t="str">
        <f>IF(ISNUMBER(outYear),NVS37+NVS42+#REF!+#REF!,"")</f>
        <v/>
      </c>
      <c r="NVT48" s="84" t="str">
        <f>IF(ISNUMBER(outYear),NVT37+NVT42+#REF!+#REF!,"")</f>
        <v/>
      </c>
      <c r="NVU48" s="84" t="str">
        <f>IF(ISNUMBER(outYear),NVU37+NVU42+#REF!+#REF!,"")</f>
        <v/>
      </c>
      <c r="NVV48" s="84" t="str">
        <f>IF(ISNUMBER(outYear),NVV37+NVV42+#REF!+#REF!,"")</f>
        <v/>
      </c>
      <c r="NVW48" s="84" t="str">
        <f>IF(ISNUMBER(outYear),NVW37+NVW42+#REF!+#REF!,"")</f>
        <v/>
      </c>
      <c r="NVX48" s="84" t="str">
        <f>IF(ISNUMBER(outYear),NVX37+NVX42+#REF!+#REF!,"")</f>
        <v/>
      </c>
      <c r="NVY48" s="84" t="str">
        <f>IF(ISNUMBER(outYear),NVY37+NVY42+#REF!+#REF!,"")</f>
        <v/>
      </c>
      <c r="NVZ48" s="84" t="str">
        <f>IF(ISNUMBER(outYear),NVZ37+NVZ42+#REF!+#REF!,"")</f>
        <v/>
      </c>
      <c r="NWA48" s="84" t="str">
        <f>IF(ISNUMBER(outYear),NWA37+NWA42+#REF!+#REF!,"")</f>
        <v/>
      </c>
      <c r="NWB48" s="84" t="str">
        <f>IF(ISNUMBER(outYear),NWB37+NWB42+#REF!+#REF!,"")</f>
        <v/>
      </c>
      <c r="NWC48" s="84" t="str">
        <f>IF(ISNUMBER(outYear),NWC37+NWC42+#REF!+#REF!,"")</f>
        <v/>
      </c>
      <c r="NWD48" s="84" t="str">
        <f>IF(ISNUMBER(outYear),NWD37+NWD42+#REF!+#REF!,"")</f>
        <v/>
      </c>
      <c r="NWE48" s="84" t="str">
        <f>IF(ISNUMBER(outYear),NWE37+NWE42+#REF!+#REF!,"")</f>
        <v/>
      </c>
      <c r="NWF48" s="84" t="str">
        <f>IF(ISNUMBER(outYear),NWF37+NWF42+#REF!+#REF!,"")</f>
        <v/>
      </c>
      <c r="NWG48" s="84" t="str">
        <f>IF(ISNUMBER(outYear),NWG37+NWG42+#REF!+#REF!,"")</f>
        <v/>
      </c>
      <c r="NWH48" s="84" t="str">
        <f>IF(ISNUMBER(outYear),NWH37+NWH42+#REF!+#REF!,"")</f>
        <v/>
      </c>
      <c r="NWI48" s="84" t="str">
        <f>IF(ISNUMBER(outYear),NWI37+NWI42+#REF!+#REF!,"")</f>
        <v/>
      </c>
      <c r="NWJ48" s="84" t="str">
        <f>IF(ISNUMBER(outYear),NWJ37+NWJ42+#REF!+#REF!,"")</f>
        <v/>
      </c>
      <c r="NWK48" s="84" t="str">
        <f>IF(ISNUMBER(outYear),NWK37+NWK42+#REF!+#REF!,"")</f>
        <v/>
      </c>
      <c r="NWL48" s="84" t="str">
        <f>IF(ISNUMBER(outYear),NWL37+NWL42+#REF!+#REF!,"")</f>
        <v/>
      </c>
      <c r="NWM48" s="84" t="str">
        <f>IF(ISNUMBER(outYear),NWM37+NWM42+#REF!+#REF!,"")</f>
        <v/>
      </c>
      <c r="NWN48" s="84" t="str">
        <f>IF(ISNUMBER(outYear),NWN37+NWN42+#REF!+#REF!,"")</f>
        <v/>
      </c>
      <c r="NWO48" s="84" t="str">
        <f>IF(ISNUMBER(outYear),NWO37+NWO42+#REF!+#REF!,"")</f>
        <v/>
      </c>
      <c r="NWP48" s="84" t="str">
        <f>IF(ISNUMBER(outYear),NWP37+NWP42+#REF!+#REF!,"")</f>
        <v/>
      </c>
      <c r="NWQ48" s="84" t="str">
        <f>IF(ISNUMBER(outYear),NWQ37+NWQ42+#REF!+#REF!,"")</f>
        <v/>
      </c>
      <c r="NWR48" s="84" t="str">
        <f>IF(ISNUMBER(outYear),NWR37+NWR42+#REF!+#REF!,"")</f>
        <v/>
      </c>
      <c r="NWS48" s="84" t="str">
        <f>IF(ISNUMBER(outYear),NWS37+NWS42+#REF!+#REF!,"")</f>
        <v/>
      </c>
      <c r="NWT48" s="84" t="str">
        <f>IF(ISNUMBER(outYear),NWT37+NWT42+#REF!+#REF!,"")</f>
        <v/>
      </c>
      <c r="NWU48" s="84" t="str">
        <f>IF(ISNUMBER(outYear),NWU37+NWU42+#REF!+#REF!,"")</f>
        <v/>
      </c>
      <c r="NWV48" s="84" t="str">
        <f>IF(ISNUMBER(outYear),NWV37+NWV42+#REF!+#REF!,"")</f>
        <v/>
      </c>
      <c r="NWW48" s="84" t="str">
        <f>IF(ISNUMBER(outYear),NWW37+NWW42+#REF!+#REF!,"")</f>
        <v/>
      </c>
      <c r="NWX48" s="84" t="str">
        <f>IF(ISNUMBER(outYear),NWX37+NWX42+#REF!+#REF!,"")</f>
        <v/>
      </c>
      <c r="NWY48" s="84" t="str">
        <f>IF(ISNUMBER(outYear),NWY37+NWY42+#REF!+#REF!,"")</f>
        <v/>
      </c>
      <c r="NWZ48" s="84" t="str">
        <f>IF(ISNUMBER(outYear),NWZ37+NWZ42+#REF!+#REF!,"")</f>
        <v/>
      </c>
      <c r="NXA48" s="84" t="str">
        <f>IF(ISNUMBER(outYear),NXA37+NXA42+#REF!+#REF!,"")</f>
        <v/>
      </c>
      <c r="NXB48" s="84" t="str">
        <f>IF(ISNUMBER(outYear),NXB37+NXB42+#REF!+#REF!,"")</f>
        <v/>
      </c>
      <c r="NXC48" s="84" t="str">
        <f>IF(ISNUMBER(outYear),NXC37+NXC42+#REF!+#REF!,"")</f>
        <v/>
      </c>
      <c r="NXD48" s="84" t="str">
        <f>IF(ISNUMBER(outYear),NXD37+NXD42+#REF!+#REF!,"")</f>
        <v/>
      </c>
      <c r="NXE48" s="84" t="str">
        <f>IF(ISNUMBER(outYear),NXE37+NXE42+#REF!+#REF!,"")</f>
        <v/>
      </c>
      <c r="NXF48" s="84" t="str">
        <f>IF(ISNUMBER(outYear),NXF37+NXF42+#REF!+#REF!,"")</f>
        <v/>
      </c>
      <c r="NXG48" s="84" t="str">
        <f>IF(ISNUMBER(outYear),NXG37+NXG42+#REF!+#REF!,"")</f>
        <v/>
      </c>
      <c r="NXH48" s="84" t="str">
        <f>IF(ISNUMBER(outYear),NXH37+NXH42+#REF!+#REF!,"")</f>
        <v/>
      </c>
      <c r="NXI48" s="84" t="str">
        <f>IF(ISNUMBER(outYear),NXI37+NXI42+#REF!+#REF!,"")</f>
        <v/>
      </c>
      <c r="NXJ48" s="84" t="str">
        <f>IF(ISNUMBER(outYear),NXJ37+NXJ42+#REF!+#REF!,"")</f>
        <v/>
      </c>
      <c r="NXK48" s="84" t="str">
        <f>IF(ISNUMBER(outYear),NXK37+NXK42+#REF!+#REF!,"")</f>
        <v/>
      </c>
      <c r="NXL48" s="84" t="str">
        <f>IF(ISNUMBER(outYear),NXL37+NXL42+#REF!+#REF!,"")</f>
        <v/>
      </c>
      <c r="NXM48" s="84" t="str">
        <f>IF(ISNUMBER(outYear),NXM37+NXM42+#REF!+#REF!,"")</f>
        <v/>
      </c>
      <c r="NXN48" s="84" t="str">
        <f>IF(ISNUMBER(outYear),NXN37+NXN42+#REF!+#REF!,"")</f>
        <v/>
      </c>
      <c r="NXO48" s="84" t="str">
        <f>IF(ISNUMBER(outYear),NXO37+NXO42+#REF!+#REF!,"")</f>
        <v/>
      </c>
      <c r="NXP48" s="84" t="str">
        <f>IF(ISNUMBER(outYear),NXP37+NXP42+#REF!+#REF!,"")</f>
        <v/>
      </c>
      <c r="NXQ48" s="84" t="str">
        <f>IF(ISNUMBER(outYear),NXQ37+NXQ42+#REF!+#REF!,"")</f>
        <v/>
      </c>
      <c r="NXR48" s="84" t="str">
        <f>IF(ISNUMBER(outYear),NXR37+NXR42+#REF!+#REF!,"")</f>
        <v/>
      </c>
      <c r="NXS48" s="84" t="str">
        <f>IF(ISNUMBER(outYear),NXS37+NXS42+#REF!+#REF!,"")</f>
        <v/>
      </c>
      <c r="NXT48" s="84" t="str">
        <f>IF(ISNUMBER(outYear),NXT37+NXT42+#REF!+#REF!,"")</f>
        <v/>
      </c>
      <c r="NXU48" s="84" t="str">
        <f>IF(ISNUMBER(outYear),NXU37+NXU42+#REF!+#REF!,"")</f>
        <v/>
      </c>
      <c r="NXV48" s="84" t="str">
        <f>IF(ISNUMBER(outYear),NXV37+NXV42+#REF!+#REF!,"")</f>
        <v/>
      </c>
      <c r="NXW48" s="84" t="str">
        <f>IF(ISNUMBER(outYear),NXW37+NXW42+#REF!+#REF!,"")</f>
        <v/>
      </c>
      <c r="NXX48" s="84" t="str">
        <f>IF(ISNUMBER(outYear),NXX37+NXX42+#REF!+#REF!,"")</f>
        <v/>
      </c>
      <c r="NXY48" s="84" t="str">
        <f>IF(ISNUMBER(outYear),NXY37+NXY42+#REF!+#REF!,"")</f>
        <v/>
      </c>
      <c r="NXZ48" s="84" t="str">
        <f>IF(ISNUMBER(outYear),NXZ37+NXZ42+#REF!+#REF!,"")</f>
        <v/>
      </c>
      <c r="NYA48" s="84" t="str">
        <f>IF(ISNUMBER(outYear),NYA37+NYA42+#REF!+#REF!,"")</f>
        <v/>
      </c>
      <c r="NYB48" s="84" t="str">
        <f>IF(ISNUMBER(outYear),NYB37+NYB42+#REF!+#REF!,"")</f>
        <v/>
      </c>
      <c r="NYC48" s="84" t="str">
        <f>IF(ISNUMBER(outYear),NYC37+NYC42+#REF!+#REF!,"")</f>
        <v/>
      </c>
      <c r="NYD48" s="84" t="str">
        <f>IF(ISNUMBER(outYear),NYD37+NYD42+#REF!+#REF!,"")</f>
        <v/>
      </c>
      <c r="NYE48" s="84" t="str">
        <f>IF(ISNUMBER(outYear),NYE37+NYE42+#REF!+#REF!,"")</f>
        <v/>
      </c>
      <c r="NYF48" s="84" t="str">
        <f>IF(ISNUMBER(outYear),NYF37+NYF42+#REF!+#REF!,"")</f>
        <v/>
      </c>
      <c r="NYG48" s="84" t="str">
        <f>IF(ISNUMBER(outYear),NYG37+NYG42+#REF!+#REF!,"")</f>
        <v/>
      </c>
      <c r="NYH48" s="84" t="str">
        <f>IF(ISNUMBER(outYear),NYH37+NYH42+#REF!+#REF!,"")</f>
        <v/>
      </c>
      <c r="NYI48" s="84" t="str">
        <f>IF(ISNUMBER(outYear),NYI37+NYI42+#REF!+#REF!,"")</f>
        <v/>
      </c>
      <c r="NYJ48" s="84" t="str">
        <f>IF(ISNUMBER(outYear),NYJ37+NYJ42+#REF!+#REF!,"")</f>
        <v/>
      </c>
      <c r="NYK48" s="84" t="str">
        <f>IF(ISNUMBER(outYear),NYK37+NYK42+#REF!+#REF!,"")</f>
        <v/>
      </c>
      <c r="NYL48" s="84" t="str">
        <f>IF(ISNUMBER(outYear),NYL37+NYL42+#REF!+#REF!,"")</f>
        <v/>
      </c>
      <c r="NYM48" s="84" t="str">
        <f>IF(ISNUMBER(outYear),NYM37+NYM42+#REF!+#REF!,"")</f>
        <v/>
      </c>
      <c r="NYN48" s="84" t="str">
        <f>IF(ISNUMBER(outYear),NYN37+NYN42+#REF!+#REF!,"")</f>
        <v/>
      </c>
      <c r="NYO48" s="84" t="str">
        <f>IF(ISNUMBER(outYear),NYO37+NYO42+#REF!+#REF!,"")</f>
        <v/>
      </c>
      <c r="NYP48" s="84" t="str">
        <f>IF(ISNUMBER(outYear),NYP37+NYP42+#REF!+#REF!,"")</f>
        <v/>
      </c>
      <c r="NYQ48" s="84" t="str">
        <f>IF(ISNUMBER(outYear),NYQ37+NYQ42+#REF!+#REF!,"")</f>
        <v/>
      </c>
      <c r="NYR48" s="84" t="str">
        <f>IF(ISNUMBER(outYear),NYR37+NYR42+#REF!+#REF!,"")</f>
        <v/>
      </c>
      <c r="NYS48" s="84" t="str">
        <f>IF(ISNUMBER(outYear),NYS37+NYS42+#REF!+#REF!,"")</f>
        <v/>
      </c>
      <c r="NYT48" s="84" t="str">
        <f>IF(ISNUMBER(outYear),NYT37+NYT42+#REF!+#REF!,"")</f>
        <v/>
      </c>
      <c r="NYU48" s="84" t="str">
        <f>IF(ISNUMBER(outYear),NYU37+NYU42+#REF!+#REF!,"")</f>
        <v/>
      </c>
      <c r="NYV48" s="84" t="str">
        <f>IF(ISNUMBER(outYear),NYV37+NYV42+#REF!+#REF!,"")</f>
        <v/>
      </c>
      <c r="NYW48" s="84" t="str">
        <f>IF(ISNUMBER(outYear),NYW37+NYW42+#REF!+#REF!,"")</f>
        <v/>
      </c>
      <c r="NYX48" s="84" t="str">
        <f>IF(ISNUMBER(outYear),NYX37+NYX42+#REF!+#REF!,"")</f>
        <v/>
      </c>
      <c r="NYY48" s="84" t="str">
        <f>IF(ISNUMBER(outYear),NYY37+NYY42+#REF!+#REF!,"")</f>
        <v/>
      </c>
      <c r="NYZ48" s="84" t="str">
        <f>IF(ISNUMBER(outYear),NYZ37+NYZ42+#REF!+#REF!,"")</f>
        <v/>
      </c>
      <c r="NZA48" s="84" t="str">
        <f>IF(ISNUMBER(outYear),NZA37+NZA42+#REF!+#REF!,"")</f>
        <v/>
      </c>
      <c r="NZB48" s="84" t="str">
        <f>IF(ISNUMBER(outYear),NZB37+NZB42+#REF!+#REF!,"")</f>
        <v/>
      </c>
      <c r="NZC48" s="84" t="str">
        <f>IF(ISNUMBER(outYear),NZC37+NZC42+#REF!+#REF!,"")</f>
        <v/>
      </c>
      <c r="NZD48" s="84" t="str">
        <f>IF(ISNUMBER(outYear),NZD37+NZD42+#REF!+#REF!,"")</f>
        <v/>
      </c>
      <c r="NZE48" s="84" t="str">
        <f>IF(ISNUMBER(outYear),NZE37+NZE42+#REF!+#REF!,"")</f>
        <v/>
      </c>
      <c r="NZF48" s="84" t="str">
        <f>IF(ISNUMBER(outYear),NZF37+NZF42+#REF!+#REF!,"")</f>
        <v/>
      </c>
      <c r="NZG48" s="84" t="str">
        <f>IF(ISNUMBER(outYear),NZG37+NZG42+#REF!+#REF!,"")</f>
        <v/>
      </c>
      <c r="NZH48" s="84" t="str">
        <f>IF(ISNUMBER(outYear),NZH37+NZH42+#REF!+#REF!,"")</f>
        <v/>
      </c>
      <c r="NZI48" s="84" t="str">
        <f>IF(ISNUMBER(outYear),NZI37+NZI42+#REF!+#REF!,"")</f>
        <v/>
      </c>
      <c r="NZJ48" s="84" t="str">
        <f>IF(ISNUMBER(outYear),NZJ37+NZJ42+#REF!+#REF!,"")</f>
        <v/>
      </c>
      <c r="NZK48" s="84" t="str">
        <f>IF(ISNUMBER(outYear),NZK37+NZK42+#REF!+#REF!,"")</f>
        <v/>
      </c>
      <c r="NZL48" s="84" t="str">
        <f>IF(ISNUMBER(outYear),NZL37+NZL42+#REF!+#REF!,"")</f>
        <v/>
      </c>
      <c r="NZM48" s="84" t="str">
        <f>IF(ISNUMBER(outYear),NZM37+NZM42+#REF!+#REF!,"")</f>
        <v/>
      </c>
      <c r="NZN48" s="84" t="str">
        <f>IF(ISNUMBER(outYear),NZN37+NZN42+#REF!+#REF!,"")</f>
        <v/>
      </c>
      <c r="NZO48" s="84" t="str">
        <f>IF(ISNUMBER(outYear),NZO37+NZO42+#REF!+#REF!,"")</f>
        <v/>
      </c>
      <c r="NZP48" s="84" t="str">
        <f>IF(ISNUMBER(outYear),NZP37+NZP42+#REF!+#REF!,"")</f>
        <v/>
      </c>
      <c r="NZQ48" s="84" t="str">
        <f>IF(ISNUMBER(outYear),NZQ37+NZQ42+#REF!+#REF!,"")</f>
        <v/>
      </c>
      <c r="NZR48" s="84" t="str">
        <f>IF(ISNUMBER(outYear),NZR37+NZR42+#REF!+#REF!,"")</f>
        <v/>
      </c>
      <c r="NZS48" s="84" t="str">
        <f>IF(ISNUMBER(outYear),NZS37+NZS42+#REF!+#REF!,"")</f>
        <v/>
      </c>
      <c r="NZT48" s="84" t="str">
        <f>IF(ISNUMBER(outYear),NZT37+NZT42+#REF!+#REF!,"")</f>
        <v/>
      </c>
      <c r="NZU48" s="84" t="str">
        <f>IF(ISNUMBER(outYear),NZU37+NZU42+#REF!+#REF!,"")</f>
        <v/>
      </c>
      <c r="NZV48" s="84" t="str">
        <f>IF(ISNUMBER(outYear),NZV37+NZV42+#REF!+#REF!,"")</f>
        <v/>
      </c>
      <c r="NZW48" s="84" t="str">
        <f>IF(ISNUMBER(outYear),NZW37+NZW42+#REF!+#REF!,"")</f>
        <v/>
      </c>
      <c r="NZX48" s="84" t="str">
        <f>IF(ISNUMBER(outYear),NZX37+NZX42+#REF!+#REF!,"")</f>
        <v/>
      </c>
      <c r="NZY48" s="84" t="str">
        <f>IF(ISNUMBER(outYear),NZY37+NZY42+#REF!+#REF!,"")</f>
        <v/>
      </c>
      <c r="NZZ48" s="84" t="str">
        <f>IF(ISNUMBER(outYear),NZZ37+NZZ42+#REF!+#REF!,"")</f>
        <v/>
      </c>
      <c r="OAA48" s="84" t="str">
        <f>IF(ISNUMBER(outYear),OAA37+OAA42+#REF!+#REF!,"")</f>
        <v/>
      </c>
      <c r="OAB48" s="84" t="str">
        <f>IF(ISNUMBER(outYear),OAB37+OAB42+#REF!+#REF!,"")</f>
        <v/>
      </c>
      <c r="OAC48" s="84" t="str">
        <f>IF(ISNUMBER(outYear),OAC37+OAC42+#REF!+#REF!,"")</f>
        <v/>
      </c>
      <c r="OAD48" s="84" t="str">
        <f>IF(ISNUMBER(outYear),OAD37+OAD42+#REF!+#REF!,"")</f>
        <v/>
      </c>
      <c r="OAE48" s="84" t="str">
        <f>IF(ISNUMBER(outYear),OAE37+OAE42+#REF!+#REF!,"")</f>
        <v/>
      </c>
      <c r="OAF48" s="84" t="str">
        <f>IF(ISNUMBER(outYear),OAF37+OAF42+#REF!+#REF!,"")</f>
        <v/>
      </c>
      <c r="OAG48" s="84" t="str">
        <f>IF(ISNUMBER(outYear),OAG37+OAG42+#REF!+#REF!,"")</f>
        <v/>
      </c>
      <c r="OAH48" s="84" t="str">
        <f>IF(ISNUMBER(outYear),OAH37+OAH42+#REF!+#REF!,"")</f>
        <v/>
      </c>
      <c r="OAI48" s="84" t="str">
        <f>IF(ISNUMBER(outYear),OAI37+OAI42+#REF!+#REF!,"")</f>
        <v/>
      </c>
      <c r="OAJ48" s="84" t="str">
        <f>IF(ISNUMBER(outYear),OAJ37+OAJ42+#REF!+#REF!,"")</f>
        <v/>
      </c>
      <c r="OAK48" s="84" t="str">
        <f>IF(ISNUMBER(outYear),OAK37+OAK42+#REF!+#REF!,"")</f>
        <v/>
      </c>
      <c r="OAL48" s="84" t="str">
        <f>IF(ISNUMBER(outYear),OAL37+OAL42+#REF!+#REF!,"")</f>
        <v/>
      </c>
      <c r="OAM48" s="84" t="str">
        <f>IF(ISNUMBER(outYear),OAM37+OAM42+#REF!+#REF!,"")</f>
        <v/>
      </c>
      <c r="OAN48" s="84" t="str">
        <f>IF(ISNUMBER(outYear),OAN37+OAN42+#REF!+#REF!,"")</f>
        <v/>
      </c>
      <c r="OAO48" s="84" t="str">
        <f>IF(ISNUMBER(outYear),OAO37+OAO42+#REF!+#REF!,"")</f>
        <v/>
      </c>
      <c r="OAP48" s="84" t="str">
        <f>IF(ISNUMBER(outYear),OAP37+OAP42+#REF!+#REF!,"")</f>
        <v/>
      </c>
      <c r="OAQ48" s="84" t="str">
        <f>IF(ISNUMBER(outYear),OAQ37+OAQ42+#REF!+#REF!,"")</f>
        <v/>
      </c>
      <c r="OAR48" s="84" t="str">
        <f>IF(ISNUMBER(outYear),OAR37+OAR42+#REF!+#REF!,"")</f>
        <v/>
      </c>
      <c r="OAS48" s="84" t="str">
        <f>IF(ISNUMBER(outYear),OAS37+OAS42+#REF!+#REF!,"")</f>
        <v/>
      </c>
      <c r="OAT48" s="84" t="str">
        <f>IF(ISNUMBER(outYear),OAT37+OAT42+#REF!+#REF!,"")</f>
        <v/>
      </c>
      <c r="OAU48" s="84" t="str">
        <f>IF(ISNUMBER(outYear),OAU37+OAU42+#REF!+#REF!,"")</f>
        <v/>
      </c>
      <c r="OAV48" s="84" t="str">
        <f>IF(ISNUMBER(outYear),OAV37+OAV42+#REF!+#REF!,"")</f>
        <v/>
      </c>
      <c r="OAW48" s="84" t="str">
        <f>IF(ISNUMBER(outYear),OAW37+OAW42+#REF!+#REF!,"")</f>
        <v/>
      </c>
      <c r="OAX48" s="84" t="str">
        <f>IF(ISNUMBER(outYear),OAX37+OAX42+#REF!+#REF!,"")</f>
        <v/>
      </c>
      <c r="OAY48" s="84" t="str">
        <f>IF(ISNUMBER(outYear),OAY37+OAY42+#REF!+#REF!,"")</f>
        <v/>
      </c>
      <c r="OAZ48" s="84" t="str">
        <f>IF(ISNUMBER(outYear),OAZ37+OAZ42+#REF!+#REF!,"")</f>
        <v/>
      </c>
      <c r="OBA48" s="84" t="str">
        <f>IF(ISNUMBER(outYear),OBA37+OBA42+#REF!+#REF!,"")</f>
        <v/>
      </c>
      <c r="OBB48" s="84" t="str">
        <f>IF(ISNUMBER(outYear),OBB37+OBB42+#REF!+#REF!,"")</f>
        <v/>
      </c>
      <c r="OBC48" s="84" t="str">
        <f>IF(ISNUMBER(outYear),OBC37+OBC42+#REF!+#REF!,"")</f>
        <v/>
      </c>
      <c r="OBD48" s="84" t="str">
        <f>IF(ISNUMBER(outYear),OBD37+OBD42+#REF!+#REF!,"")</f>
        <v/>
      </c>
      <c r="OBE48" s="84" t="str">
        <f>IF(ISNUMBER(outYear),OBE37+OBE42+#REF!+#REF!,"")</f>
        <v/>
      </c>
      <c r="OBF48" s="84" t="str">
        <f>IF(ISNUMBER(outYear),OBF37+OBF42+#REF!+#REF!,"")</f>
        <v/>
      </c>
      <c r="OBG48" s="84" t="str">
        <f>IF(ISNUMBER(outYear),OBG37+OBG42+#REF!+#REF!,"")</f>
        <v/>
      </c>
      <c r="OBH48" s="84" t="str">
        <f>IF(ISNUMBER(outYear),OBH37+OBH42+#REF!+#REF!,"")</f>
        <v/>
      </c>
      <c r="OBI48" s="84" t="str">
        <f>IF(ISNUMBER(outYear),OBI37+OBI42+#REF!+#REF!,"")</f>
        <v/>
      </c>
      <c r="OBJ48" s="84" t="str">
        <f>IF(ISNUMBER(outYear),OBJ37+OBJ42+#REF!+#REF!,"")</f>
        <v/>
      </c>
      <c r="OBK48" s="84" t="str">
        <f>IF(ISNUMBER(outYear),OBK37+OBK42+#REF!+#REF!,"")</f>
        <v/>
      </c>
      <c r="OBL48" s="84" t="str">
        <f>IF(ISNUMBER(outYear),OBL37+OBL42+#REF!+#REF!,"")</f>
        <v/>
      </c>
      <c r="OBM48" s="84" t="str">
        <f>IF(ISNUMBER(outYear),OBM37+OBM42+#REF!+#REF!,"")</f>
        <v/>
      </c>
      <c r="OBN48" s="84" t="str">
        <f>IF(ISNUMBER(outYear),OBN37+OBN42+#REF!+#REF!,"")</f>
        <v/>
      </c>
      <c r="OBO48" s="84" t="str">
        <f>IF(ISNUMBER(outYear),OBO37+OBO42+#REF!+#REF!,"")</f>
        <v/>
      </c>
      <c r="OBP48" s="84" t="str">
        <f>IF(ISNUMBER(outYear),OBP37+OBP42+#REF!+#REF!,"")</f>
        <v/>
      </c>
      <c r="OBQ48" s="84" t="str">
        <f>IF(ISNUMBER(outYear),OBQ37+OBQ42+#REF!+#REF!,"")</f>
        <v/>
      </c>
      <c r="OBR48" s="84" t="str">
        <f>IF(ISNUMBER(outYear),OBR37+OBR42+#REF!+#REF!,"")</f>
        <v/>
      </c>
      <c r="OBS48" s="84" t="str">
        <f>IF(ISNUMBER(outYear),OBS37+OBS42+#REF!+#REF!,"")</f>
        <v/>
      </c>
      <c r="OBT48" s="84" t="str">
        <f>IF(ISNUMBER(outYear),OBT37+OBT42+#REF!+#REF!,"")</f>
        <v/>
      </c>
      <c r="OBU48" s="84" t="str">
        <f>IF(ISNUMBER(outYear),OBU37+OBU42+#REF!+#REF!,"")</f>
        <v/>
      </c>
      <c r="OBV48" s="84" t="str">
        <f>IF(ISNUMBER(outYear),OBV37+OBV42+#REF!+#REF!,"")</f>
        <v/>
      </c>
      <c r="OBW48" s="84" t="str">
        <f>IF(ISNUMBER(outYear),OBW37+OBW42+#REF!+#REF!,"")</f>
        <v/>
      </c>
      <c r="OBX48" s="84" t="str">
        <f>IF(ISNUMBER(outYear),OBX37+OBX42+#REF!+#REF!,"")</f>
        <v/>
      </c>
      <c r="OBY48" s="84" t="str">
        <f>IF(ISNUMBER(outYear),OBY37+OBY42+#REF!+#REF!,"")</f>
        <v/>
      </c>
      <c r="OBZ48" s="84" t="str">
        <f>IF(ISNUMBER(outYear),OBZ37+OBZ42+#REF!+#REF!,"")</f>
        <v/>
      </c>
      <c r="OCA48" s="84" t="str">
        <f>IF(ISNUMBER(outYear),OCA37+OCA42+#REF!+#REF!,"")</f>
        <v/>
      </c>
      <c r="OCB48" s="84" t="str">
        <f>IF(ISNUMBER(outYear),OCB37+OCB42+#REF!+#REF!,"")</f>
        <v/>
      </c>
      <c r="OCC48" s="84" t="str">
        <f>IF(ISNUMBER(outYear),OCC37+OCC42+#REF!+#REF!,"")</f>
        <v/>
      </c>
      <c r="OCD48" s="84" t="str">
        <f>IF(ISNUMBER(outYear),OCD37+OCD42+#REF!+#REF!,"")</f>
        <v/>
      </c>
      <c r="OCE48" s="84" t="str">
        <f>IF(ISNUMBER(outYear),OCE37+OCE42+#REF!+#REF!,"")</f>
        <v/>
      </c>
      <c r="OCF48" s="84" t="str">
        <f>IF(ISNUMBER(outYear),OCF37+OCF42+#REF!+#REF!,"")</f>
        <v/>
      </c>
      <c r="OCG48" s="84" t="str">
        <f>IF(ISNUMBER(outYear),OCG37+OCG42+#REF!+#REF!,"")</f>
        <v/>
      </c>
      <c r="OCH48" s="84" t="str">
        <f>IF(ISNUMBER(outYear),OCH37+OCH42+#REF!+#REF!,"")</f>
        <v/>
      </c>
      <c r="OCI48" s="84" t="str">
        <f>IF(ISNUMBER(outYear),OCI37+OCI42+#REF!+#REF!,"")</f>
        <v/>
      </c>
      <c r="OCJ48" s="84" t="str">
        <f>IF(ISNUMBER(outYear),OCJ37+OCJ42+#REF!+#REF!,"")</f>
        <v/>
      </c>
      <c r="OCK48" s="84" t="str">
        <f>IF(ISNUMBER(outYear),OCK37+OCK42+#REF!+#REF!,"")</f>
        <v/>
      </c>
      <c r="OCL48" s="84" t="str">
        <f>IF(ISNUMBER(outYear),OCL37+OCL42+#REF!+#REF!,"")</f>
        <v/>
      </c>
      <c r="OCM48" s="84" t="str">
        <f>IF(ISNUMBER(outYear),OCM37+OCM42+#REF!+#REF!,"")</f>
        <v/>
      </c>
      <c r="OCN48" s="84" t="str">
        <f>IF(ISNUMBER(outYear),OCN37+OCN42+#REF!+#REF!,"")</f>
        <v/>
      </c>
      <c r="OCO48" s="84" t="str">
        <f>IF(ISNUMBER(outYear),OCO37+OCO42+#REF!+#REF!,"")</f>
        <v/>
      </c>
      <c r="OCP48" s="84" t="str">
        <f>IF(ISNUMBER(outYear),OCP37+OCP42+#REF!+#REF!,"")</f>
        <v/>
      </c>
      <c r="OCQ48" s="84" t="str">
        <f>IF(ISNUMBER(outYear),OCQ37+OCQ42+#REF!+#REF!,"")</f>
        <v/>
      </c>
      <c r="OCR48" s="84" t="str">
        <f>IF(ISNUMBER(outYear),OCR37+OCR42+#REF!+#REF!,"")</f>
        <v/>
      </c>
      <c r="OCS48" s="84" t="str">
        <f>IF(ISNUMBER(outYear),OCS37+OCS42+#REF!+#REF!,"")</f>
        <v/>
      </c>
      <c r="OCT48" s="84" t="str">
        <f>IF(ISNUMBER(outYear),OCT37+OCT42+#REF!+#REF!,"")</f>
        <v/>
      </c>
      <c r="OCU48" s="84" t="str">
        <f>IF(ISNUMBER(outYear),OCU37+OCU42+#REF!+#REF!,"")</f>
        <v/>
      </c>
      <c r="OCV48" s="84" t="str">
        <f>IF(ISNUMBER(outYear),OCV37+OCV42+#REF!+#REF!,"")</f>
        <v/>
      </c>
      <c r="OCW48" s="84" t="str">
        <f>IF(ISNUMBER(outYear),OCW37+OCW42+#REF!+#REF!,"")</f>
        <v/>
      </c>
      <c r="OCX48" s="84" t="str">
        <f>IF(ISNUMBER(outYear),OCX37+OCX42+#REF!+#REF!,"")</f>
        <v/>
      </c>
      <c r="OCY48" s="84" t="str">
        <f>IF(ISNUMBER(outYear),OCY37+OCY42+#REF!+#REF!,"")</f>
        <v/>
      </c>
      <c r="OCZ48" s="84" t="str">
        <f>IF(ISNUMBER(outYear),OCZ37+OCZ42+#REF!+#REF!,"")</f>
        <v/>
      </c>
      <c r="ODA48" s="84" t="str">
        <f>IF(ISNUMBER(outYear),ODA37+ODA42+#REF!+#REF!,"")</f>
        <v/>
      </c>
      <c r="ODB48" s="84" t="str">
        <f>IF(ISNUMBER(outYear),ODB37+ODB42+#REF!+#REF!,"")</f>
        <v/>
      </c>
      <c r="ODC48" s="84" t="str">
        <f>IF(ISNUMBER(outYear),ODC37+ODC42+#REF!+#REF!,"")</f>
        <v/>
      </c>
      <c r="ODD48" s="84" t="str">
        <f>IF(ISNUMBER(outYear),ODD37+ODD42+#REF!+#REF!,"")</f>
        <v/>
      </c>
      <c r="ODE48" s="84" t="str">
        <f>IF(ISNUMBER(outYear),ODE37+ODE42+#REF!+#REF!,"")</f>
        <v/>
      </c>
      <c r="ODF48" s="84" t="str">
        <f>IF(ISNUMBER(outYear),ODF37+ODF42+#REF!+#REF!,"")</f>
        <v/>
      </c>
      <c r="ODG48" s="84" t="str">
        <f>IF(ISNUMBER(outYear),ODG37+ODG42+#REF!+#REF!,"")</f>
        <v/>
      </c>
      <c r="ODH48" s="84" t="str">
        <f>IF(ISNUMBER(outYear),ODH37+ODH42+#REF!+#REF!,"")</f>
        <v/>
      </c>
      <c r="ODI48" s="84" t="str">
        <f>IF(ISNUMBER(outYear),ODI37+ODI42+#REF!+#REF!,"")</f>
        <v/>
      </c>
      <c r="ODJ48" s="84" t="str">
        <f>IF(ISNUMBER(outYear),ODJ37+ODJ42+#REF!+#REF!,"")</f>
        <v/>
      </c>
      <c r="ODK48" s="84" t="str">
        <f>IF(ISNUMBER(outYear),ODK37+ODK42+#REF!+#REF!,"")</f>
        <v/>
      </c>
      <c r="ODL48" s="84" t="str">
        <f>IF(ISNUMBER(outYear),ODL37+ODL42+#REF!+#REF!,"")</f>
        <v/>
      </c>
      <c r="ODM48" s="84" t="str">
        <f>IF(ISNUMBER(outYear),ODM37+ODM42+#REF!+#REF!,"")</f>
        <v/>
      </c>
      <c r="ODN48" s="84" t="str">
        <f>IF(ISNUMBER(outYear),ODN37+ODN42+#REF!+#REF!,"")</f>
        <v/>
      </c>
      <c r="ODO48" s="84" t="str">
        <f>IF(ISNUMBER(outYear),ODO37+ODO42+#REF!+#REF!,"")</f>
        <v/>
      </c>
      <c r="ODP48" s="84" t="str">
        <f>IF(ISNUMBER(outYear),ODP37+ODP42+#REF!+#REF!,"")</f>
        <v/>
      </c>
      <c r="ODQ48" s="84" t="str">
        <f>IF(ISNUMBER(outYear),ODQ37+ODQ42+#REF!+#REF!,"")</f>
        <v/>
      </c>
      <c r="ODR48" s="84" t="str">
        <f>IF(ISNUMBER(outYear),ODR37+ODR42+#REF!+#REF!,"")</f>
        <v/>
      </c>
      <c r="ODS48" s="84" t="str">
        <f>IF(ISNUMBER(outYear),ODS37+ODS42+#REF!+#REF!,"")</f>
        <v/>
      </c>
      <c r="ODT48" s="84" t="str">
        <f>IF(ISNUMBER(outYear),ODT37+ODT42+#REF!+#REF!,"")</f>
        <v/>
      </c>
      <c r="ODU48" s="84" t="str">
        <f>IF(ISNUMBER(outYear),ODU37+ODU42+#REF!+#REF!,"")</f>
        <v/>
      </c>
      <c r="ODV48" s="84" t="str">
        <f>IF(ISNUMBER(outYear),ODV37+ODV42+#REF!+#REF!,"")</f>
        <v/>
      </c>
      <c r="ODW48" s="84" t="str">
        <f>IF(ISNUMBER(outYear),ODW37+ODW42+#REF!+#REF!,"")</f>
        <v/>
      </c>
      <c r="ODX48" s="84" t="str">
        <f>IF(ISNUMBER(outYear),ODX37+ODX42+#REF!+#REF!,"")</f>
        <v/>
      </c>
      <c r="ODY48" s="84" t="str">
        <f>IF(ISNUMBER(outYear),ODY37+ODY42+#REF!+#REF!,"")</f>
        <v/>
      </c>
      <c r="ODZ48" s="84" t="str">
        <f>IF(ISNUMBER(outYear),ODZ37+ODZ42+#REF!+#REF!,"")</f>
        <v/>
      </c>
      <c r="OEA48" s="84" t="str">
        <f>IF(ISNUMBER(outYear),OEA37+OEA42+#REF!+#REF!,"")</f>
        <v/>
      </c>
      <c r="OEB48" s="84" t="str">
        <f>IF(ISNUMBER(outYear),OEB37+OEB42+#REF!+#REF!,"")</f>
        <v/>
      </c>
      <c r="OEC48" s="84" t="str">
        <f>IF(ISNUMBER(outYear),OEC37+OEC42+#REF!+#REF!,"")</f>
        <v/>
      </c>
      <c r="OED48" s="84" t="str">
        <f>IF(ISNUMBER(outYear),OED37+OED42+#REF!+#REF!,"")</f>
        <v/>
      </c>
      <c r="OEE48" s="84" t="str">
        <f>IF(ISNUMBER(outYear),OEE37+OEE42+#REF!+#REF!,"")</f>
        <v/>
      </c>
      <c r="OEF48" s="84" t="str">
        <f>IF(ISNUMBER(outYear),OEF37+OEF42+#REF!+#REF!,"")</f>
        <v/>
      </c>
      <c r="OEG48" s="84" t="str">
        <f>IF(ISNUMBER(outYear),OEG37+OEG42+#REF!+#REF!,"")</f>
        <v/>
      </c>
      <c r="OEH48" s="84" t="str">
        <f>IF(ISNUMBER(outYear),OEH37+OEH42+#REF!+#REF!,"")</f>
        <v/>
      </c>
      <c r="OEI48" s="84" t="str">
        <f>IF(ISNUMBER(outYear),OEI37+OEI42+#REF!+#REF!,"")</f>
        <v/>
      </c>
      <c r="OEJ48" s="84" t="str">
        <f>IF(ISNUMBER(outYear),OEJ37+OEJ42+#REF!+#REF!,"")</f>
        <v/>
      </c>
      <c r="OEK48" s="84" t="str">
        <f>IF(ISNUMBER(outYear),OEK37+OEK42+#REF!+#REF!,"")</f>
        <v/>
      </c>
      <c r="OEL48" s="84" t="str">
        <f>IF(ISNUMBER(outYear),OEL37+OEL42+#REF!+#REF!,"")</f>
        <v/>
      </c>
      <c r="OEM48" s="84" t="str">
        <f>IF(ISNUMBER(outYear),OEM37+OEM42+#REF!+#REF!,"")</f>
        <v/>
      </c>
      <c r="OEN48" s="84" t="str">
        <f>IF(ISNUMBER(outYear),OEN37+OEN42+#REF!+#REF!,"")</f>
        <v/>
      </c>
      <c r="OEO48" s="84" t="str">
        <f>IF(ISNUMBER(outYear),OEO37+OEO42+#REF!+#REF!,"")</f>
        <v/>
      </c>
      <c r="OEP48" s="84" t="str">
        <f>IF(ISNUMBER(outYear),OEP37+OEP42+#REF!+#REF!,"")</f>
        <v/>
      </c>
      <c r="OEQ48" s="84" t="str">
        <f>IF(ISNUMBER(outYear),OEQ37+OEQ42+#REF!+#REF!,"")</f>
        <v/>
      </c>
      <c r="OER48" s="84" t="str">
        <f>IF(ISNUMBER(outYear),OER37+OER42+#REF!+#REF!,"")</f>
        <v/>
      </c>
      <c r="OES48" s="84" t="str">
        <f>IF(ISNUMBER(outYear),OES37+OES42+#REF!+#REF!,"")</f>
        <v/>
      </c>
      <c r="OET48" s="84" t="str">
        <f>IF(ISNUMBER(outYear),OET37+OET42+#REF!+#REF!,"")</f>
        <v/>
      </c>
      <c r="OEU48" s="84" t="str">
        <f>IF(ISNUMBER(outYear),OEU37+OEU42+#REF!+#REF!,"")</f>
        <v/>
      </c>
      <c r="OEV48" s="84" t="str">
        <f>IF(ISNUMBER(outYear),OEV37+OEV42+#REF!+#REF!,"")</f>
        <v/>
      </c>
      <c r="OEW48" s="84" t="str">
        <f>IF(ISNUMBER(outYear),OEW37+OEW42+#REF!+#REF!,"")</f>
        <v/>
      </c>
      <c r="OEX48" s="84" t="str">
        <f>IF(ISNUMBER(outYear),OEX37+OEX42+#REF!+#REF!,"")</f>
        <v/>
      </c>
      <c r="OEY48" s="84" t="str">
        <f>IF(ISNUMBER(outYear),OEY37+OEY42+#REF!+#REF!,"")</f>
        <v/>
      </c>
      <c r="OEZ48" s="84" t="str">
        <f>IF(ISNUMBER(outYear),OEZ37+OEZ42+#REF!+#REF!,"")</f>
        <v/>
      </c>
      <c r="OFA48" s="84" t="str">
        <f>IF(ISNUMBER(outYear),OFA37+OFA42+#REF!+#REF!,"")</f>
        <v/>
      </c>
      <c r="OFB48" s="84" t="str">
        <f>IF(ISNUMBER(outYear),OFB37+OFB42+#REF!+#REF!,"")</f>
        <v/>
      </c>
      <c r="OFC48" s="84" t="str">
        <f>IF(ISNUMBER(outYear),OFC37+OFC42+#REF!+#REF!,"")</f>
        <v/>
      </c>
      <c r="OFD48" s="84" t="str">
        <f>IF(ISNUMBER(outYear),OFD37+OFD42+#REF!+#REF!,"")</f>
        <v/>
      </c>
      <c r="OFE48" s="84" t="str">
        <f>IF(ISNUMBER(outYear),OFE37+OFE42+#REF!+#REF!,"")</f>
        <v/>
      </c>
      <c r="OFF48" s="84" t="str">
        <f>IF(ISNUMBER(outYear),OFF37+OFF42+#REF!+#REF!,"")</f>
        <v/>
      </c>
      <c r="OFG48" s="84" t="str">
        <f>IF(ISNUMBER(outYear),OFG37+OFG42+#REF!+#REF!,"")</f>
        <v/>
      </c>
      <c r="OFH48" s="84" t="str">
        <f>IF(ISNUMBER(outYear),OFH37+OFH42+#REF!+#REF!,"")</f>
        <v/>
      </c>
      <c r="OFI48" s="84" t="str">
        <f>IF(ISNUMBER(outYear),OFI37+OFI42+#REF!+#REF!,"")</f>
        <v/>
      </c>
      <c r="OFJ48" s="84" t="str">
        <f>IF(ISNUMBER(outYear),OFJ37+OFJ42+#REF!+#REF!,"")</f>
        <v/>
      </c>
      <c r="OFK48" s="84" t="str">
        <f>IF(ISNUMBER(outYear),OFK37+OFK42+#REF!+#REF!,"")</f>
        <v/>
      </c>
      <c r="OFL48" s="84" t="str">
        <f>IF(ISNUMBER(outYear),OFL37+OFL42+#REF!+#REF!,"")</f>
        <v/>
      </c>
      <c r="OFM48" s="84" t="str">
        <f>IF(ISNUMBER(outYear),OFM37+OFM42+#REF!+#REF!,"")</f>
        <v/>
      </c>
      <c r="OFN48" s="84" t="str">
        <f>IF(ISNUMBER(outYear),OFN37+OFN42+#REF!+#REF!,"")</f>
        <v/>
      </c>
      <c r="OFO48" s="84" t="str">
        <f>IF(ISNUMBER(outYear),OFO37+OFO42+#REF!+#REF!,"")</f>
        <v/>
      </c>
      <c r="OFP48" s="84" t="str">
        <f>IF(ISNUMBER(outYear),OFP37+OFP42+#REF!+#REF!,"")</f>
        <v/>
      </c>
      <c r="OFQ48" s="84" t="str">
        <f>IF(ISNUMBER(outYear),OFQ37+OFQ42+#REF!+#REF!,"")</f>
        <v/>
      </c>
      <c r="OFR48" s="84" t="str">
        <f>IF(ISNUMBER(outYear),OFR37+OFR42+#REF!+#REF!,"")</f>
        <v/>
      </c>
      <c r="OFS48" s="84" t="str">
        <f>IF(ISNUMBER(outYear),OFS37+OFS42+#REF!+#REF!,"")</f>
        <v/>
      </c>
      <c r="OFT48" s="84" t="str">
        <f>IF(ISNUMBER(outYear),OFT37+OFT42+#REF!+#REF!,"")</f>
        <v/>
      </c>
      <c r="OFU48" s="84" t="str">
        <f>IF(ISNUMBER(outYear),OFU37+OFU42+#REF!+#REF!,"")</f>
        <v/>
      </c>
      <c r="OFV48" s="84" t="str">
        <f>IF(ISNUMBER(outYear),OFV37+OFV42+#REF!+#REF!,"")</f>
        <v/>
      </c>
      <c r="OFW48" s="84" t="str">
        <f>IF(ISNUMBER(outYear),OFW37+OFW42+#REF!+#REF!,"")</f>
        <v/>
      </c>
      <c r="OFX48" s="84" t="str">
        <f>IF(ISNUMBER(outYear),OFX37+OFX42+#REF!+#REF!,"")</f>
        <v/>
      </c>
      <c r="OFY48" s="84" t="str">
        <f>IF(ISNUMBER(outYear),OFY37+OFY42+#REF!+#REF!,"")</f>
        <v/>
      </c>
      <c r="OFZ48" s="84" t="str">
        <f>IF(ISNUMBER(outYear),OFZ37+OFZ42+#REF!+#REF!,"")</f>
        <v/>
      </c>
      <c r="OGA48" s="84" t="str">
        <f>IF(ISNUMBER(outYear),OGA37+OGA42+#REF!+#REF!,"")</f>
        <v/>
      </c>
      <c r="OGB48" s="84" t="str">
        <f>IF(ISNUMBER(outYear),OGB37+OGB42+#REF!+#REF!,"")</f>
        <v/>
      </c>
      <c r="OGC48" s="84" t="str">
        <f>IF(ISNUMBER(outYear),OGC37+OGC42+#REF!+#REF!,"")</f>
        <v/>
      </c>
      <c r="OGD48" s="84" t="str">
        <f>IF(ISNUMBER(outYear),OGD37+OGD42+#REF!+#REF!,"")</f>
        <v/>
      </c>
      <c r="OGE48" s="84" t="str">
        <f>IF(ISNUMBER(outYear),OGE37+OGE42+#REF!+#REF!,"")</f>
        <v/>
      </c>
      <c r="OGF48" s="84" t="str">
        <f>IF(ISNUMBER(outYear),OGF37+OGF42+#REF!+#REF!,"")</f>
        <v/>
      </c>
      <c r="OGG48" s="84" t="str">
        <f>IF(ISNUMBER(outYear),OGG37+OGG42+#REF!+#REF!,"")</f>
        <v/>
      </c>
      <c r="OGH48" s="84" t="str">
        <f>IF(ISNUMBER(outYear),OGH37+OGH42+#REF!+#REF!,"")</f>
        <v/>
      </c>
      <c r="OGI48" s="84" t="str">
        <f>IF(ISNUMBER(outYear),OGI37+OGI42+#REF!+#REF!,"")</f>
        <v/>
      </c>
      <c r="OGJ48" s="84" t="str">
        <f>IF(ISNUMBER(outYear),OGJ37+OGJ42+#REF!+#REF!,"")</f>
        <v/>
      </c>
      <c r="OGK48" s="84" t="str">
        <f>IF(ISNUMBER(outYear),OGK37+OGK42+#REF!+#REF!,"")</f>
        <v/>
      </c>
      <c r="OGL48" s="84" t="str">
        <f>IF(ISNUMBER(outYear),OGL37+OGL42+#REF!+#REF!,"")</f>
        <v/>
      </c>
      <c r="OGM48" s="84" t="str">
        <f>IF(ISNUMBER(outYear),OGM37+OGM42+#REF!+#REF!,"")</f>
        <v/>
      </c>
      <c r="OGN48" s="84" t="str">
        <f>IF(ISNUMBER(outYear),OGN37+OGN42+#REF!+#REF!,"")</f>
        <v/>
      </c>
      <c r="OGO48" s="84" t="str">
        <f>IF(ISNUMBER(outYear),OGO37+OGO42+#REF!+#REF!,"")</f>
        <v/>
      </c>
      <c r="OGP48" s="84" t="str">
        <f>IF(ISNUMBER(outYear),OGP37+OGP42+#REF!+#REF!,"")</f>
        <v/>
      </c>
      <c r="OGQ48" s="84" t="str">
        <f>IF(ISNUMBER(outYear),OGQ37+OGQ42+#REF!+#REF!,"")</f>
        <v/>
      </c>
      <c r="OGR48" s="84" t="str">
        <f>IF(ISNUMBER(outYear),OGR37+OGR42+#REF!+#REF!,"")</f>
        <v/>
      </c>
      <c r="OGS48" s="84" t="str">
        <f>IF(ISNUMBER(outYear),OGS37+OGS42+#REF!+#REF!,"")</f>
        <v/>
      </c>
      <c r="OGT48" s="84" t="str">
        <f>IF(ISNUMBER(outYear),OGT37+OGT42+#REF!+#REF!,"")</f>
        <v/>
      </c>
      <c r="OGU48" s="84" t="str">
        <f>IF(ISNUMBER(outYear),OGU37+OGU42+#REF!+#REF!,"")</f>
        <v/>
      </c>
      <c r="OGV48" s="84" t="str">
        <f>IF(ISNUMBER(outYear),OGV37+OGV42+#REF!+#REF!,"")</f>
        <v/>
      </c>
      <c r="OGW48" s="84" t="str">
        <f>IF(ISNUMBER(outYear),OGW37+OGW42+#REF!+#REF!,"")</f>
        <v/>
      </c>
      <c r="OGX48" s="84" t="str">
        <f>IF(ISNUMBER(outYear),OGX37+OGX42+#REF!+#REF!,"")</f>
        <v/>
      </c>
      <c r="OGY48" s="84" t="str">
        <f>IF(ISNUMBER(outYear),OGY37+OGY42+#REF!+#REF!,"")</f>
        <v/>
      </c>
      <c r="OGZ48" s="84" t="str">
        <f>IF(ISNUMBER(outYear),OGZ37+OGZ42+#REF!+#REF!,"")</f>
        <v/>
      </c>
      <c r="OHA48" s="84" t="str">
        <f>IF(ISNUMBER(outYear),OHA37+OHA42+#REF!+#REF!,"")</f>
        <v/>
      </c>
      <c r="OHB48" s="84" t="str">
        <f>IF(ISNUMBER(outYear),OHB37+OHB42+#REF!+#REF!,"")</f>
        <v/>
      </c>
      <c r="OHC48" s="84" t="str">
        <f>IF(ISNUMBER(outYear),OHC37+OHC42+#REF!+#REF!,"")</f>
        <v/>
      </c>
      <c r="OHD48" s="84" t="str">
        <f>IF(ISNUMBER(outYear),OHD37+OHD42+#REF!+#REF!,"")</f>
        <v/>
      </c>
      <c r="OHE48" s="84" t="str">
        <f>IF(ISNUMBER(outYear),OHE37+OHE42+#REF!+#REF!,"")</f>
        <v/>
      </c>
      <c r="OHF48" s="84" t="str">
        <f>IF(ISNUMBER(outYear),OHF37+OHF42+#REF!+#REF!,"")</f>
        <v/>
      </c>
      <c r="OHG48" s="84" t="str">
        <f>IF(ISNUMBER(outYear),OHG37+OHG42+#REF!+#REF!,"")</f>
        <v/>
      </c>
      <c r="OHH48" s="84" t="str">
        <f>IF(ISNUMBER(outYear),OHH37+OHH42+#REF!+#REF!,"")</f>
        <v/>
      </c>
      <c r="OHI48" s="84" t="str">
        <f>IF(ISNUMBER(outYear),OHI37+OHI42+#REF!+#REF!,"")</f>
        <v/>
      </c>
      <c r="OHJ48" s="84" t="str">
        <f>IF(ISNUMBER(outYear),OHJ37+OHJ42+#REF!+#REF!,"")</f>
        <v/>
      </c>
      <c r="OHK48" s="84" t="str">
        <f>IF(ISNUMBER(outYear),OHK37+OHK42+#REF!+#REF!,"")</f>
        <v/>
      </c>
      <c r="OHL48" s="84" t="str">
        <f>IF(ISNUMBER(outYear),OHL37+OHL42+#REF!+#REF!,"")</f>
        <v/>
      </c>
      <c r="OHM48" s="84" t="str">
        <f>IF(ISNUMBER(outYear),OHM37+OHM42+#REF!+#REF!,"")</f>
        <v/>
      </c>
      <c r="OHN48" s="84" t="str">
        <f>IF(ISNUMBER(outYear),OHN37+OHN42+#REF!+#REF!,"")</f>
        <v/>
      </c>
      <c r="OHO48" s="84" t="str">
        <f>IF(ISNUMBER(outYear),OHO37+OHO42+#REF!+#REF!,"")</f>
        <v/>
      </c>
      <c r="OHP48" s="84" t="str">
        <f>IF(ISNUMBER(outYear),OHP37+OHP42+#REF!+#REF!,"")</f>
        <v/>
      </c>
      <c r="OHQ48" s="84" t="str">
        <f>IF(ISNUMBER(outYear),OHQ37+OHQ42+#REF!+#REF!,"")</f>
        <v/>
      </c>
      <c r="OHR48" s="84" t="str">
        <f>IF(ISNUMBER(outYear),OHR37+OHR42+#REF!+#REF!,"")</f>
        <v/>
      </c>
      <c r="OHS48" s="84" t="str">
        <f>IF(ISNUMBER(outYear),OHS37+OHS42+#REF!+#REF!,"")</f>
        <v/>
      </c>
      <c r="OHT48" s="84" t="str">
        <f>IF(ISNUMBER(outYear),OHT37+OHT42+#REF!+#REF!,"")</f>
        <v/>
      </c>
      <c r="OHU48" s="84" t="str">
        <f>IF(ISNUMBER(outYear),OHU37+OHU42+#REF!+#REF!,"")</f>
        <v/>
      </c>
      <c r="OHV48" s="84" t="str">
        <f>IF(ISNUMBER(outYear),OHV37+OHV42+#REF!+#REF!,"")</f>
        <v/>
      </c>
      <c r="OHW48" s="84" t="str">
        <f>IF(ISNUMBER(outYear),OHW37+OHW42+#REF!+#REF!,"")</f>
        <v/>
      </c>
      <c r="OHX48" s="84" t="str">
        <f>IF(ISNUMBER(outYear),OHX37+OHX42+#REF!+#REF!,"")</f>
        <v/>
      </c>
      <c r="OHY48" s="84" t="str">
        <f>IF(ISNUMBER(outYear),OHY37+OHY42+#REF!+#REF!,"")</f>
        <v/>
      </c>
      <c r="OHZ48" s="84" t="str">
        <f>IF(ISNUMBER(outYear),OHZ37+OHZ42+#REF!+#REF!,"")</f>
        <v/>
      </c>
      <c r="OIA48" s="84" t="str">
        <f>IF(ISNUMBER(outYear),OIA37+OIA42+#REF!+#REF!,"")</f>
        <v/>
      </c>
      <c r="OIB48" s="84" t="str">
        <f>IF(ISNUMBER(outYear),OIB37+OIB42+#REF!+#REF!,"")</f>
        <v/>
      </c>
      <c r="OIC48" s="84" t="str">
        <f>IF(ISNUMBER(outYear),OIC37+OIC42+#REF!+#REF!,"")</f>
        <v/>
      </c>
      <c r="OID48" s="84" t="str">
        <f>IF(ISNUMBER(outYear),OID37+OID42+#REF!+#REF!,"")</f>
        <v/>
      </c>
      <c r="OIE48" s="84" t="str">
        <f>IF(ISNUMBER(outYear),OIE37+OIE42+#REF!+#REF!,"")</f>
        <v/>
      </c>
      <c r="OIF48" s="84" t="str">
        <f>IF(ISNUMBER(outYear),OIF37+OIF42+#REF!+#REF!,"")</f>
        <v/>
      </c>
      <c r="OIG48" s="84" t="str">
        <f>IF(ISNUMBER(outYear),OIG37+OIG42+#REF!+#REF!,"")</f>
        <v/>
      </c>
      <c r="OIH48" s="84" t="str">
        <f>IF(ISNUMBER(outYear),OIH37+OIH42+#REF!+#REF!,"")</f>
        <v/>
      </c>
      <c r="OII48" s="84" t="str">
        <f>IF(ISNUMBER(outYear),OII37+OII42+#REF!+#REF!,"")</f>
        <v/>
      </c>
      <c r="OIJ48" s="84" t="str">
        <f>IF(ISNUMBER(outYear),OIJ37+OIJ42+#REF!+#REF!,"")</f>
        <v/>
      </c>
      <c r="OIK48" s="84" t="str">
        <f>IF(ISNUMBER(outYear),OIK37+OIK42+#REF!+#REF!,"")</f>
        <v/>
      </c>
      <c r="OIL48" s="84" t="str">
        <f>IF(ISNUMBER(outYear),OIL37+OIL42+#REF!+#REF!,"")</f>
        <v/>
      </c>
      <c r="OIM48" s="84" t="str">
        <f>IF(ISNUMBER(outYear),OIM37+OIM42+#REF!+#REF!,"")</f>
        <v/>
      </c>
      <c r="OIN48" s="84" t="str">
        <f>IF(ISNUMBER(outYear),OIN37+OIN42+#REF!+#REF!,"")</f>
        <v/>
      </c>
      <c r="OIO48" s="84" t="str">
        <f>IF(ISNUMBER(outYear),OIO37+OIO42+#REF!+#REF!,"")</f>
        <v/>
      </c>
      <c r="OIP48" s="84" t="str">
        <f>IF(ISNUMBER(outYear),OIP37+OIP42+#REF!+#REF!,"")</f>
        <v/>
      </c>
      <c r="OIQ48" s="84" t="str">
        <f>IF(ISNUMBER(outYear),OIQ37+OIQ42+#REF!+#REF!,"")</f>
        <v/>
      </c>
      <c r="OIR48" s="84" t="str">
        <f>IF(ISNUMBER(outYear),OIR37+OIR42+#REF!+#REF!,"")</f>
        <v/>
      </c>
      <c r="OIS48" s="84" t="str">
        <f>IF(ISNUMBER(outYear),OIS37+OIS42+#REF!+#REF!,"")</f>
        <v/>
      </c>
      <c r="OIT48" s="84" t="str">
        <f>IF(ISNUMBER(outYear),OIT37+OIT42+#REF!+#REF!,"")</f>
        <v/>
      </c>
      <c r="OIU48" s="84" t="str">
        <f>IF(ISNUMBER(outYear),OIU37+OIU42+#REF!+#REF!,"")</f>
        <v/>
      </c>
      <c r="OIV48" s="84" t="str">
        <f>IF(ISNUMBER(outYear),OIV37+OIV42+#REF!+#REF!,"")</f>
        <v/>
      </c>
      <c r="OIW48" s="84" t="str">
        <f>IF(ISNUMBER(outYear),OIW37+OIW42+#REF!+#REF!,"")</f>
        <v/>
      </c>
      <c r="OIX48" s="84" t="str">
        <f>IF(ISNUMBER(outYear),OIX37+OIX42+#REF!+#REF!,"")</f>
        <v/>
      </c>
      <c r="OIY48" s="84" t="str">
        <f>IF(ISNUMBER(outYear),OIY37+OIY42+#REF!+#REF!,"")</f>
        <v/>
      </c>
      <c r="OIZ48" s="84" t="str">
        <f>IF(ISNUMBER(outYear),OIZ37+OIZ42+#REF!+#REF!,"")</f>
        <v/>
      </c>
      <c r="OJA48" s="84" t="str">
        <f>IF(ISNUMBER(outYear),OJA37+OJA42+#REF!+#REF!,"")</f>
        <v/>
      </c>
      <c r="OJB48" s="84" t="str">
        <f>IF(ISNUMBER(outYear),OJB37+OJB42+#REF!+#REF!,"")</f>
        <v/>
      </c>
      <c r="OJC48" s="84" t="str">
        <f>IF(ISNUMBER(outYear),OJC37+OJC42+#REF!+#REF!,"")</f>
        <v/>
      </c>
      <c r="OJD48" s="84" t="str">
        <f>IF(ISNUMBER(outYear),OJD37+OJD42+#REF!+#REF!,"")</f>
        <v/>
      </c>
      <c r="OJE48" s="84" t="str">
        <f>IF(ISNUMBER(outYear),OJE37+OJE42+#REF!+#REF!,"")</f>
        <v/>
      </c>
      <c r="OJF48" s="84" t="str">
        <f>IF(ISNUMBER(outYear),OJF37+OJF42+#REF!+#REF!,"")</f>
        <v/>
      </c>
      <c r="OJG48" s="84" t="str">
        <f>IF(ISNUMBER(outYear),OJG37+OJG42+#REF!+#REF!,"")</f>
        <v/>
      </c>
      <c r="OJH48" s="84" t="str">
        <f>IF(ISNUMBER(outYear),OJH37+OJH42+#REF!+#REF!,"")</f>
        <v/>
      </c>
      <c r="OJI48" s="84" t="str">
        <f>IF(ISNUMBER(outYear),OJI37+OJI42+#REF!+#REF!,"")</f>
        <v/>
      </c>
      <c r="OJJ48" s="84" t="str">
        <f>IF(ISNUMBER(outYear),OJJ37+OJJ42+#REF!+#REF!,"")</f>
        <v/>
      </c>
      <c r="OJK48" s="84" t="str">
        <f>IF(ISNUMBER(outYear),OJK37+OJK42+#REF!+#REF!,"")</f>
        <v/>
      </c>
      <c r="OJL48" s="84" t="str">
        <f>IF(ISNUMBER(outYear),OJL37+OJL42+#REF!+#REF!,"")</f>
        <v/>
      </c>
      <c r="OJM48" s="84" t="str">
        <f>IF(ISNUMBER(outYear),OJM37+OJM42+#REF!+#REF!,"")</f>
        <v/>
      </c>
      <c r="OJN48" s="84" t="str">
        <f>IF(ISNUMBER(outYear),OJN37+OJN42+#REF!+#REF!,"")</f>
        <v/>
      </c>
      <c r="OJO48" s="84" t="str">
        <f>IF(ISNUMBER(outYear),OJO37+OJO42+#REF!+#REF!,"")</f>
        <v/>
      </c>
      <c r="OJP48" s="84" t="str">
        <f>IF(ISNUMBER(outYear),OJP37+OJP42+#REF!+#REF!,"")</f>
        <v/>
      </c>
      <c r="OJQ48" s="84" t="str">
        <f>IF(ISNUMBER(outYear),OJQ37+OJQ42+#REF!+#REF!,"")</f>
        <v/>
      </c>
      <c r="OJR48" s="84" t="str">
        <f>IF(ISNUMBER(outYear),OJR37+OJR42+#REF!+#REF!,"")</f>
        <v/>
      </c>
      <c r="OJS48" s="84" t="str">
        <f>IF(ISNUMBER(outYear),OJS37+OJS42+#REF!+#REF!,"")</f>
        <v/>
      </c>
      <c r="OJT48" s="84" t="str">
        <f>IF(ISNUMBER(outYear),OJT37+OJT42+#REF!+#REF!,"")</f>
        <v/>
      </c>
      <c r="OJU48" s="84" t="str">
        <f>IF(ISNUMBER(outYear),OJU37+OJU42+#REF!+#REF!,"")</f>
        <v/>
      </c>
      <c r="OJV48" s="84" t="str">
        <f>IF(ISNUMBER(outYear),OJV37+OJV42+#REF!+#REF!,"")</f>
        <v/>
      </c>
      <c r="OJW48" s="84" t="str">
        <f>IF(ISNUMBER(outYear),OJW37+OJW42+#REF!+#REF!,"")</f>
        <v/>
      </c>
      <c r="OJX48" s="84" t="str">
        <f>IF(ISNUMBER(outYear),OJX37+OJX42+#REF!+#REF!,"")</f>
        <v/>
      </c>
      <c r="OJY48" s="84" t="str">
        <f>IF(ISNUMBER(outYear),OJY37+OJY42+#REF!+#REF!,"")</f>
        <v/>
      </c>
      <c r="OJZ48" s="84" t="str">
        <f>IF(ISNUMBER(outYear),OJZ37+OJZ42+#REF!+#REF!,"")</f>
        <v/>
      </c>
      <c r="OKA48" s="84" t="str">
        <f>IF(ISNUMBER(outYear),OKA37+OKA42+#REF!+#REF!,"")</f>
        <v/>
      </c>
      <c r="OKB48" s="84" t="str">
        <f>IF(ISNUMBER(outYear),OKB37+OKB42+#REF!+#REF!,"")</f>
        <v/>
      </c>
      <c r="OKC48" s="84" t="str">
        <f>IF(ISNUMBER(outYear),OKC37+OKC42+#REF!+#REF!,"")</f>
        <v/>
      </c>
      <c r="OKD48" s="84" t="str">
        <f>IF(ISNUMBER(outYear),OKD37+OKD42+#REF!+#REF!,"")</f>
        <v/>
      </c>
      <c r="OKE48" s="84" t="str">
        <f>IF(ISNUMBER(outYear),OKE37+OKE42+#REF!+#REF!,"")</f>
        <v/>
      </c>
      <c r="OKF48" s="84" t="str">
        <f>IF(ISNUMBER(outYear),OKF37+OKF42+#REF!+#REF!,"")</f>
        <v/>
      </c>
      <c r="OKG48" s="84" t="str">
        <f>IF(ISNUMBER(outYear),OKG37+OKG42+#REF!+#REF!,"")</f>
        <v/>
      </c>
      <c r="OKH48" s="84" t="str">
        <f>IF(ISNUMBER(outYear),OKH37+OKH42+#REF!+#REF!,"")</f>
        <v/>
      </c>
      <c r="OKI48" s="84" t="str">
        <f>IF(ISNUMBER(outYear),OKI37+OKI42+#REF!+#REF!,"")</f>
        <v/>
      </c>
      <c r="OKJ48" s="84" t="str">
        <f>IF(ISNUMBER(outYear),OKJ37+OKJ42+#REF!+#REF!,"")</f>
        <v/>
      </c>
      <c r="OKK48" s="84" t="str">
        <f>IF(ISNUMBER(outYear),OKK37+OKK42+#REF!+#REF!,"")</f>
        <v/>
      </c>
      <c r="OKL48" s="84" t="str">
        <f>IF(ISNUMBER(outYear),OKL37+OKL42+#REF!+#REF!,"")</f>
        <v/>
      </c>
      <c r="OKM48" s="84" t="str">
        <f>IF(ISNUMBER(outYear),OKM37+OKM42+#REF!+#REF!,"")</f>
        <v/>
      </c>
      <c r="OKN48" s="84" t="str">
        <f>IF(ISNUMBER(outYear),OKN37+OKN42+#REF!+#REF!,"")</f>
        <v/>
      </c>
      <c r="OKO48" s="84" t="str">
        <f>IF(ISNUMBER(outYear),OKO37+OKO42+#REF!+#REF!,"")</f>
        <v/>
      </c>
      <c r="OKP48" s="84" t="str">
        <f>IF(ISNUMBER(outYear),OKP37+OKP42+#REF!+#REF!,"")</f>
        <v/>
      </c>
      <c r="OKQ48" s="84" t="str">
        <f>IF(ISNUMBER(outYear),OKQ37+OKQ42+#REF!+#REF!,"")</f>
        <v/>
      </c>
      <c r="OKR48" s="84" t="str">
        <f>IF(ISNUMBER(outYear),OKR37+OKR42+#REF!+#REF!,"")</f>
        <v/>
      </c>
      <c r="OKS48" s="84" t="str">
        <f>IF(ISNUMBER(outYear),OKS37+OKS42+#REF!+#REF!,"")</f>
        <v/>
      </c>
      <c r="OKT48" s="84" t="str">
        <f>IF(ISNUMBER(outYear),OKT37+OKT42+#REF!+#REF!,"")</f>
        <v/>
      </c>
      <c r="OKU48" s="84" t="str">
        <f>IF(ISNUMBER(outYear),OKU37+OKU42+#REF!+#REF!,"")</f>
        <v/>
      </c>
      <c r="OKV48" s="84" t="str">
        <f>IF(ISNUMBER(outYear),OKV37+OKV42+#REF!+#REF!,"")</f>
        <v/>
      </c>
      <c r="OKW48" s="84" t="str">
        <f>IF(ISNUMBER(outYear),OKW37+OKW42+#REF!+#REF!,"")</f>
        <v/>
      </c>
      <c r="OKX48" s="84" t="str">
        <f>IF(ISNUMBER(outYear),OKX37+OKX42+#REF!+#REF!,"")</f>
        <v/>
      </c>
      <c r="OKY48" s="84" t="str">
        <f>IF(ISNUMBER(outYear),OKY37+OKY42+#REF!+#REF!,"")</f>
        <v/>
      </c>
      <c r="OKZ48" s="84" t="str">
        <f>IF(ISNUMBER(outYear),OKZ37+OKZ42+#REF!+#REF!,"")</f>
        <v/>
      </c>
      <c r="OLA48" s="84" t="str">
        <f>IF(ISNUMBER(outYear),OLA37+OLA42+#REF!+#REF!,"")</f>
        <v/>
      </c>
      <c r="OLB48" s="84" t="str">
        <f>IF(ISNUMBER(outYear),OLB37+OLB42+#REF!+#REF!,"")</f>
        <v/>
      </c>
      <c r="OLC48" s="84" t="str">
        <f>IF(ISNUMBER(outYear),OLC37+OLC42+#REF!+#REF!,"")</f>
        <v/>
      </c>
      <c r="OLD48" s="84" t="str">
        <f>IF(ISNUMBER(outYear),OLD37+OLD42+#REF!+#REF!,"")</f>
        <v/>
      </c>
      <c r="OLE48" s="84" t="str">
        <f>IF(ISNUMBER(outYear),OLE37+OLE42+#REF!+#REF!,"")</f>
        <v/>
      </c>
      <c r="OLF48" s="84" t="str">
        <f>IF(ISNUMBER(outYear),OLF37+OLF42+#REF!+#REF!,"")</f>
        <v/>
      </c>
      <c r="OLG48" s="84" t="str">
        <f>IF(ISNUMBER(outYear),OLG37+OLG42+#REF!+#REF!,"")</f>
        <v/>
      </c>
      <c r="OLH48" s="84" t="str">
        <f>IF(ISNUMBER(outYear),OLH37+OLH42+#REF!+#REF!,"")</f>
        <v/>
      </c>
      <c r="OLI48" s="84" t="str">
        <f>IF(ISNUMBER(outYear),OLI37+OLI42+#REF!+#REF!,"")</f>
        <v/>
      </c>
      <c r="OLJ48" s="84" t="str">
        <f>IF(ISNUMBER(outYear),OLJ37+OLJ42+#REF!+#REF!,"")</f>
        <v/>
      </c>
      <c r="OLK48" s="84" t="str">
        <f>IF(ISNUMBER(outYear),OLK37+OLK42+#REF!+#REF!,"")</f>
        <v/>
      </c>
      <c r="OLL48" s="84" t="str">
        <f>IF(ISNUMBER(outYear),OLL37+OLL42+#REF!+#REF!,"")</f>
        <v/>
      </c>
      <c r="OLM48" s="84" t="str">
        <f>IF(ISNUMBER(outYear),OLM37+OLM42+#REF!+#REF!,"")</f>
        <v/>
      </c>
      <c r="OLN48" s="84" t="str">
        <f>IF(ISNUMBER(outYear),OLN37+OLN42+#REF!+#REF!,"")</f>
        <v/>
      </c>
      <c r="OLO48" s="84" t="str">
        <f>IF(ISNUMBER(outYear),OLO37+OLO42+#REF!+#REF!,"")</f>
        <v/>
      </c>
      <c r="OLP48" s="84" t="str">
        <f>IF(ISNUMBER(outYear),OLP37+OLP42+#REF!+#REF!,"")</f>
        <v/>
      </c>
      <c r="OLQ48" s="84" t="str">
        <f>IF(ISNUMBER(outYear),OLQ37+OLQ42+#REF!+#REF!,"")</f>
        <v/>
      </c>
      <c r="OLR48" s="84" t="str">
        <f>IF(ISNUMBER(outYear),OLR37+OLR42+#REF!+#REF!,"")</f>
        <v/>
      </c>
      <c r="OLS48" s="84" t="str">
        <f>IF(ISNUMBER(outYear),OLS37+OLS42+#REF!+#REF!,"")</f>
        <v/>
      </c>
      <c r="OLT48" s="84" t="str">
        <f>IF(ISNUMBER(outYear),OLT37+OLT42+#REF!+#REF!,"")</f>
        <v/>
      </c>
      <c r="OLU48" s="84" t="str">
        <f>IF(ISNUMBER(outYear),OLU37+OLU42+#REF!+#REF!,"")</f>
        <v/>
      </c>
      <c r="OLV48" s="84" t="str">
        <f>IF(ISNUMBER(outYear),OLV37+OLV42+#REF!+#REF!,"")</f>
        <v/>
      </c>
      <c r="OLW48" s="84" t="str">
        <f>IF(ISNUMBER(outYear),OLW37+OLW42+#REF!+#REF!,"")</f>
        <v/>
      </c>
      <c r="OLX48" s="84" t="str">
        <f>IF(ISNUMBER(outYear),OLX37+OLX42+#REF!+#REF!,"")</f>
        <v/>
      </c>
      <c r="OLY48" s="84" t="str">
        <f>IF(ISNUMBER(outYear),OLY37+OLY42+#REF!+#REF!,"")</f>
        <v/>
      </c>
      <c r="OLZ48" s="84" t="str">
        <f>IF(ISNUMBER(outYear),OLZ37+OLZ42+#REF!+#REF!,"")</f>
        <v/>
      </c>
      <c r="OMA48" s="84" t="str">
        <f>IF(ISNUMBER(outYear),OMA37+OMA42+#REF!+#REF!,"")</f>
        <v/>
      </c>
      <c r="OMB48" s="84" t="str">
        <f>IF(ISNUMBER(outYear),OMB37+OMB42+#REF!+#REF!,"")</f>
        <v/>
      </c>
      <c r="OMC48" s="84" t="str">
        <f>IF(ISNUMBER(outYear),OMC37+OMC42+#REF!+#REF!,"")</f>
        <v/>
      </c>
      <c r="OMD48" s="84" t="str">
        <f>IF(ISNUMBER(outYear),OMD37+OMD42+#REF!+#REF!,"")</f>
        <v/>
      </c>
      <c r="OME48" s="84" t="str">
        <f>IF(ISNUMBER(outYear),OME37+OME42+#REF!+#REF!,"")</f>
        <v/>
      </c>
      <c r="OMF48" s="84" t="str">
        <f>IF(ISNUMBER(outYear),OMF37+OMF42+#REF!+#REF!,"")</f>
        <v/>
      </c>
      <c r="OMG48" s="84" t="str">
        <f>IF(ISNUMBER(outYear),OMG37+OMG42+#REF!+#REF!,"")</f>
        <v/>
      </c>
      <c r="OMH48" s="84" t="str">
        <f>IF(ISNUMBER(outYear),OMH37+OMH42+#REF!+#REF!,"")</f>
        <v/>
      </c>
      <c r="OMI48" s="84" t="str">
        <f>IF(ISNUMBER(outYear),OMI37+OMI42+#REF!+#REF!,"")</f>
        <v/>
      </c>
      <c r="OMJ48" s="84" t="str">
        <f>IF(ISNUMBER(outYear),OMJ37+OMJ42+#REF!+#REF!,"")</f>
        <v/>
      </c>
      <c r="OMK48" s="84" t="str">
        <f>IF(ISNUMBER(outYear),OMK37+OMK42+#REF!+#REF!,"")</f>
        <v/>
      </c>
      <c r="OML48" s="84" t="str">
        <f>IF(ISNUMBER(outYear),OML37+OML42+#REF!+#REF!,"")</f>
        <v/>
      </c>
      <c r="OMM48" s="84" t="str">
        <f>IF(ISNUMBER(outYear),OMM37+OMM42+#REF!+#REF!,"")</f>
        <v/>
      </c>
      <c r="OMN48" s="84" t="str">
        <f>IF(ISNUMBER(outYear),OMN37+OMN42+#REF!+#REF!,"")</f>
        <v/>
      </c>
      <c r="OMO48" s="84" t="str">
        <f>IF(ISNUMBER(outYear),OMO37+OMO42+#REF!+#REF!,"")</f>
        <v/>
      </c>
      <c r="OMP48" s="84" t="str">
        <f>IF(ISNUMBER(outYear),OMP37+OMP42+#REF!+#REF!,"")</f>
        <v/>
      </c>
      <c r="OMQ48" s="84" t="str">
        <f>IF(ISNUMBER(outYear),OMQ37+OMQ42+#REF!+#REF!,"")</f>
        <v/>
      </c>
      <c r="OMR48" s="84" t="str">
        <f>IF(ISNUMBER(outYear),OMR37+OMR42+#REF!+#REF!,"")</f>
        <v/>
      </c>
      <c r="OMS48" s="84" t="str">
        <f>IF(ISNUMBER(outYear),OMS37+OMS42+#REF!+#REF!,"")</f>
        <v/>
      </c>
      <c r="OMT48" s="84" t="str">
        <f>IF(ISNUMBER(outYear),OMT37+OMT42+#REF!+#REF!,"")</f>
        <v/>
      </c>
      <c r="OMU48" s="84" t="str">
        <f>IF(ISNUMBER(outYear),OMU37+OMU42+#REF!+#REF!,"")</f>
        <v/>
      </c>
      <c r="OMV48" s="84" t="str">
        <f>IF(ISNUMBER(outYear),OMV37+OMV42+#REF!+#REF!,"")</f>
        <v/>
      </c>
      <c r="OMW48" s="84" t="str">
        <f>IF(ISNUMBER(outYear),OMW37+OMW42+#REF!+#REF!,"")</f>
        <v/>
      </c>
      <c r="OMX48" s="84" t="str">
        <f>IF(ISNUMBER(outYear),OMX37+OMX42+#REF!+#REF!,"")</f>
        <v/>
      </c>
      <c r="OMY48" s="84" t="str">
        <f>IF(ISNUMBER(outYear),OMY37+OMY42+#REF!+#REF!,"")</f>
        <v/>
      </c>
      <c r="OMZ48" s="84" t="str">
        <f>IF(ISNUMBER(outYear),OMZ37+OMZ42+#REF!+#REF!,"")</f>
        <v/>
      </c>
      <c r="ONA48" s="84" t="str">
        <f>IF(ISNUMBER(outYear),ONA37+ONA42+#REF!+#REF!,"")</f>
        <v/>
      </c>
      <c r="ONB48" s="84" t="str">
        <f>IF(ISNUMBER(outYear),ONB37+ONB42+#REF!+#REF!,"")</f>
        <v/>
      </c>
      <c r="ONC48" s="84" t="str">
        <f>IF(ISNUMBER(outYear),ONC37+ONC42+#REF!+#REF!,"")</f>
        <v/>
      </c>
      <c r="OND48" s="84" t="str">
        <f>IF(ISNUMBER(outYear),OND37+OND42+#REF!+#REF!,"")</f>
        <v/>
      </c>
      <c r="ONE48" s="84" t="str">
        <f>IF(ISNUMBER(outYear),ONE37+ONE42+#REF!+#REF!,"")</f>
        <v/>
      </c>
      <c r="ONF48" s="84" t="str">
        <f>IF(ISNUMBER(outYear),ONF37+ONF42+#REF!+#REF!,"")</f>
        <v/>
      </c>
      <c r="ONG48" s="84" t="str">
        <f>IF(ISNUMBER(outYear),ONG37+ONG42+#REF!+#REF!,"")</f>
        <v/>
      </c>
      <c r="ONH48" s="84" t="str">
        <f>IF(ISNUMBER(outYear),ONH37+ONH42+#REF!+#REF!,"")</f>
        <v/>
      </c>
      <c r="ONI48" s="84" t="str">
        <f>IF(ISNUMBER(outYear),ONI37+ONI42+#REF!+#REF!,"")</f>
        <v/>
      </c>
      <c r="ONJ48" s="84" t="str">
        <f>IF(ISNUMBER(outYear),ONJ37+ONJ42+#REF!+#REF!,"")</f>
        <v/>
      </c>
      <c r="ONK48" s="84" t="str">
        <f>IF(ISNUMBER(outYear),ONK37+ONK42+#REF!+#REF!,"")</f>
        <v/>
      </c>
      <c r="ONL48" s="84" t="str">
        <f>IF(ISNUMBER(outYear),ONL37+ONL42+#REF!+#REF!,"")</f>
        <v/>
      </c>
      <c r="ONM48" s="84" t="str">
        <f>IF(ISNUMBER(outYear),ONM37+ONM42+#REF!+#REF!,"")</f>
        <v/>
      </c>
      <c r="ONN48" s="84" t="str">
        <f>IF(ISNUMBER(outYear),ONN37+ONN42+#REF!+#REF!,"")</f>
        <v/>
      </c>
      <c r="ONO48" s="84" t="str">
        <f>IF(ISNUMBER(outYear),ONO37+ONO42+#REF!+#REF!,"")</f>
        <v/>
      </c>
      <c r="ONP48" s="84" t="str">
        <f>IF(ISNUMBER(outYear),ONP37+ONP42+#REF!+#REF!,"")</f>
        <v/>
      </c>
      <c r="ONQ48" s="84" t="str">
        <f>IF(ISNUMBER(outYear),ONQ37+ONQ42+#REF!+#REF!,"")</f>
        <v/>
      </c>
      <c r="ONR48" s="84" t="str">
        <f>IF(ISNUMBER(outYear),ONR37+ONR42+#REF!+#REF!,"")</f>
        <v/>
      </c>
      <c r="ONS48" s="84" t="str">
        <f>IF(ISNUMBER(outYear),ONS37+ONS42+#REF!+#REF!,"")</f>
        <v/>
      </c>
      <c r="ONT48" s="84" t="str">
        <f>IF(ISNUMBER(outYear),ONT37+ONT42+#REF!+#REF!,"")</f>
        <v/>
      </c>
      <c r="ONU48" s="84" t="str">
        <f>IF(ISNUMBER(outYear),ONU37+ONU42+#REF!+#REF!,"")</f>
        <v/>
      </c>
      <c r="ONV48" s="84" t="str">
        <f>IF(ISNUMBER(outYear),ONV37+ONV42+#REF!+#REF!,"")</f>
        <v/>
      </c>
      <c r="ONW48" s="84" t="str">
        <f>IF(ISNUMBER(outYear),ONW37+ONW42+#REF!+#REF!,"")</f>
        <v/>
      </c>
      <c r="ONX48" s="84" t="str">
        <f>IF(ISNUMBER(outYear),ONX37+ONX42+#REF!+#REF!,"")</f>
        <v/>
      </c>
      <c r="ONY48" s="84" t="str">
        <f>IF(ISNUMBER(outYear),ONY37+ONY42+#REF!+#REF!,"")</f>
        <v/>
      </c>
      <c r="ONZ48" s="84" t="str">
        <f>IF(ISNUMBER(outYear),ONZ37+ONZ42+#REF!+#REF!,"")</f>
        <v/>
      </c>
      <c r="OOA48" s="84" t="str">
        <f>IF(ISNUMBER(outYear),OOA37+OOA42+#REF!+#REF!,"")</f>
        <v/>
      </c>
      <c r="OOB48" s="84" t="str">
        <f>IF(ISNUMBER(outYear),OOB37+OOB42+#REF!+#REF!,"")</f>
        <v/>
      </c>
      <c r="OOC48" s="84" t="str">
        <f>IF(ISNUMBER(outYear),OOC37+OOC42+#REF!+#REF!,"")</f>
        <v/>
      </c>
      <c r="OOD48" s="84" t="str">
        <f>IF(ISNUMBER(outYear),OOD37+OOD42+#REF!+#REF!,"")</f>
        <v/>
      </c>
      <c r="OOE48" s="84" t="str">
        <f>IF(ISNUMBER(outYear),OOE37+OOE42+#REF!+#REF!,"")</f>
        <v/>
      </c>
      <c r="OOF48" s="84" t="str">
        <f>IF(ISNUMBER(outYear),OOF37+OOF42+#REF!+#REF!,"")</f>
        <v/>
      </c>
      <c r="OOG48" s="84" t="str">
        <f>IF(ISNUMBER(outYear),OOG37+OOG42+#REF!+#REF!,"")</f>
        <v/>
      </c>
      <c r="OOH48" s="84" t="str">
        <f>IF(ISNUMBER(outYear),OOH37+OOH42+#REF!+#REF!,"")</f>
        <v/>
      </c>
      <c r="OOI48" s="84" t="str">
        <f>IF(ISNUMBER(outYear),OOI37+OOI42+#REF!+#REF!,"")</f>
        <v/>
      </c>
      <c r="OOJ48" s="84" t="str">
        <f>IF(ISNUMBER(outYear),OOJ37+OOJ42+#REF!+#REF!,"")</f>
        <v/>
      </c>
      <c r="OOK48" s="84" t="str">
        <f>IF(ISNUMBER(outYear),OOK37+OOK42+#REF!+#REF!,"")</f>
        <v/>
      </c>
      <c r="OOL48" s="84" t="str">
        <f>IF(ISNUMBER(outYear),OOL37+OOL42+#REF!+#REF!,"")</f>
        <v/>
      </c>
      <c r="OOM48" s="84" t="str">
        <f>IF(ISNUMBER(outYear),OOM37+OOM42+#REF!+#REF!,"")</f>
        <v/>
      </c>
      <c r="OON48" s="84" t="str">
        <f>IF(ISNUMBER(outYear),OON37+OON42+#REF!+#REF!,"")</f>
        <v/>
      </c>
      <c r="OOO48" s="84" t="str">
        <f>IF(ISNUMBER(outYear),OOO37+OOO42+#REF!+#REF!,"")</f>
        <v/>
      </c>
      <c r="OOP48" s="84" t="str">
        <f>IF(ISNUMBER(outYear),OOP37+OOP42+#REF!+#REF!,"")</f>
        <v/>
      </c>
      <c r="OOQ48" s="84" t="str">
        <f>IF(ISNUMBER(outYear),OOQ37+OOQ42+#REF!+#REF!,"")</f>
        <v/>
      </c>
      <c r="OOR48" s="84" t="str">
        <f>IF(ISNUMBER(outYear),OOR37+OOR42+#REF!+#REF!,"")</f>
        <v/>
      </c>
      <c r="OOS48" s="84" t="str">
        <f>IF(ISNUMBER(outYear),OOS37+OOS42+#REF!+#REF!,"")</f>
        <v/>
      </c>
      <c r="OOT48" s="84" t="str">
        <f>IF(ISNUMBER(outYear),OOT37+OOT42+#REF!+#REF!,"")</f>
        <v/>
      </c>
      <c r="OOU48" s="84" t="str">
        <f>IF(ISNUMBER(outYear),OOU37+OOU42+#REF!+#REF!,"")</f>
        <v/>
      </c>
      <c r="OOV48" s="84" t="str">
        <f>IF(ISNUMBER(outYear),OOV37+OOV42+#REF!+#REF!,"")</f>
        <v/>
      </c>
      <c r="OOW48" s="84" t="str">
        <f>IF(ISNUMBER(outYear),OOW37+OOW42+#REF!+#REF!,"")</f>
        <v/>
      </c>
      <c r="OOX48" s="84" t="str">
        <f>IF(ISNUMBER(outYear),OOX37+OOX42+#REF!+#REF!,"")</f>
        <v/>
      </c>
      <c r="OOY48" s="84" t="str">
        <f>IF(ISNUMBER(outYear),OOY37+OOY42+#REF!+#REF!,"")</f>
        <v/>
      </c>
      <c r="OOZ48" s="84" t="str">
        <f>IF(ISNUMBER(outYear),OOZ37+OOZ42+#REF!+#REF!,"")</f>
        <v/>
      </c>
      <c r="OPA48" s="84" t="str">
        <f>IF(ISNUMBER(outYear),OPA37+OPA42+#REF!+#REF!,"")</f>
        <v/>
      </c>
      <c r="OPB48" s="84" t="str">
        <f>IF(ISNUMBER(outYear),OPB37+OPB42+#REF!+#REF!,"")</f>
        <v/>
      </c>
      <c r="OPC48" s="84" t="str">
        <f>IF(ISNUMBER(outYear),OPC37+OPC42+#REF!+#REF!,"")</f>
        <v/>
      </c>
      <c r="OPD48" s="84" t="str">
        <f>IF(ISNUMBER(outYear),OPD37+OPD42+#REF!+#REF!,"")</f>
        <v/>
      </c>
      <c r="OPE48" s="84" t="str">
        <f>IF(ISNUMBER(outYear),OPE37+OPE42+#REF!+#REF!,"")</f>
        <v/>
      </c>
      <c r="OPF48" s="84" t="str">
        <f>IF(ISNUMBER(outYear),OPF37+OPF42+#REF!+#REF!,"")</f>
        <v/>
      </c>
      <c r="OPG48" s="84" t="str">
        <f>IF(ISNUMBER(outYear),OPG37+OPG42+#REF!+#REF!,"")</f>
        <v/>
      </c>
      <c r="OPH48" s="84" t="str">
        <f>IF(ISNUMBER(outYear),OPH37+OPH42+#REF!+#REF!,"")</f>
        <v/>
      </c>
      <c r="OPI48" s="84" t="str">
        <f>IF(ISNUMBER(outYear),OPI37+OPI42+#REF!+#REF!,"")</f>
        <v/>
      </c>
      <c r="OPJ48" s="84" t="str">
        <f>IF(ISNUMBER(outYear),OPJ37+OPJ42+#REF!+#REF!,"")</f>
        <v/>
      </c>
      <c r="OPK48" s="84" t="str">
        <f>IF(ISNUMBER(outYear),OPK37+OPK42+#REF!+#REF!,"")</f>
        <v/>
      </c>
      <c r="OPL48" s="84" t="str">
        <f>IF(ISNUMBER(outYear),OPL37+OPL42+#REF!+#REF!,"")</f>
        <v/>
      </c>
      <c r="OPM48" s="84" t="str">
        <f>IF(ISNUMBER(outYear),OPM37+OPM42+#REF!+#REF!,"")</f>
        <v/>
      </c>
      <c r="OPN48" s="84" t="str">
        <f>IF(ISNUMBER(outYear),OPN37+OPN42+#REF!+#REF!,"")</f>
        <v/>
      </c>
      <c r="OPO48" s="84" t="str">
        <f>IF(ISNUMBER(outYear),OPO37+OPO42+#REF!+#REF!,"")</f>
        <v/>
      </c>
      <c r="OPP48" s="84" t="str">
        <f>IF(ISNUMBER(outYear),OPP37+OPP42+#REF!+#REF!,"")</f>
        <v/>
      </c>
      <c r="OPQ48" s="84" t="str">
        <f>IF(ISNUMBER(outYear),OPQ37+OPQ42+#REF!+#REF!,"")</f>
        <v/>
      </c>
      <c r="OPR48" s="84" t="str">
        <f>IF(ISNUMBER(outYear),OPR37+OPR42+#REF!+#REF!,"")</f>
        <v/>
      </c>
      <c r="OPS48" s="84" t="str">
        <f>IF(ISNUMBER(outYear),OPS37+OPS42+#REF!+#REF!,"")</f>
        <v/>
      </c>
      <c r="OPT48" s="84" t="str">
        <f>IF(ISNUMBER(outYear),OPT37+OPT42+#REF!+#REF!,"")</f>
        <v/>
      </c>
      <c r="OPU48" s="84" t="str">
        <f>IF(ISNUMBER(outYear),OPU37+OPU42+#REF!+#REF!,"")</f>
        <v/>
      </c>
      <c r="OPV48" s="84" t="str">
        <f>IF(ISNUMBER(outYear),OPV37+OPV42+#REF!+#REF!,"")</f>
        <v/>
      </c>
      <c r="OPW48" s="84" t="str">
        <f>IF(ISNUMBER(outYear),OPW37+OPW42+#REF!+#REF!,"")</f>
        <v/>
      </c>
      <c r="OPX48" s="84" t="str">
        <f>IF(ISNUMBER(outYear),OPX37+OPX42+#REF!+#REF!,"")</f>
        <v/>
      </c>
      <c r="OPY48" s="84" t="str">
        <f>IF(ISNUMBER(outYear),OPY37+OPY42+#REF!+#REF!,"")</f>
        <v/>
      </c>
      <c r="OPZ48" s="84" t="str">
        <f>IF(ISNUMBER(outYear),OPZ37+OPZ42+#REF!+#REF!,"")</f>
        <v/>
      </c>
      <c r="OQA48" s="84" t="str">
        <f>IF(ISNUMBER(outYear),OQA37+OQA42+#REF!+#REF!,"")</f>
        <v/>
      </c>
      <c r="OQB48" s="84" t="str">
        <f>IF(ISNUMBER(outYear),OQB37+OQB42+#REF!+#REF!,"")</f>
        <v/>
      </c>
      <c r="OQC48" s="84" t="str">
        <f>IF(ISNUMBER(outYear),OQC37+OQC42+#REF!+#REF!,"")</f>
        <v/>
      </c>
      <c r="OQD48" s="84" t="str">
        <f>IF(ISNUMBER(outYear),OQD37+OQD42+#REF!+#REF!,"")</f>
        <v/>
      </c>
      <c r="OQE48" s="84" t="str">
        <f>IF(ISNUMBER(outYear),OQE37+OQE42+#REF!+#REF!,"")</f>
        <v/>
      </c>
      <c r="OQF48" s="84" t="str">
        <f>IF(ISNUMBER(outYear),OQF37+OQF42+#REF!+#REF!,"")</f>
        <v/>
      </c>
      <c r="OQG48" s="84" t="str">
        <f>IF(ISNUMBER(outYear),OQG37+OQG42+#REF!+#REF!,"")</f>
        <v/>
      </c>
      <c r="OQH48" s="84" t="str">
        <f>IF(ISNUMBER(outYear),OQH37+OQH42+#REF!+#REF!,"")</f>
        <v/>
      </c>
      <c r="OQI48" s="84" t="str">
        <f>IF(ISNUMBER(outYear),OQI37+OQI42+#REF!+#REF!,"")</f>
        <v/>
      </c>
      <c r="OQJ48" s="84" t="str">
        <f>IF(ISNUMBER(outYear),OQJ37+OQJ42+#REF!+#REF!,"")</f>
        <v/>
      </c>
      <c r="OQK48" s="84" t="str">
        <f>IF(ISNUMBER(outYear),OQK37+OQK42+#REF!+#REF!,"")</f>
        <v/>
      </c>
      <c r="OQL48" s="84" t="str">
        <f>IF(ISNUMBER(outYear),OQL37+OQL42+#REF!+#REF!,"")</f>
        <v/>
      </c>
      <c r="OQM48" s="84" t="str">
        <f>IF(ISNUMBER(outYear),OQM37+OQM42+#REF!+#REF!,"")</f>
        <v/>
      </c>
      <c r="OQN48" s="84" t="str">
        <f>IF(ISNUMBER(outYear),OQN37+OQN42+#REF!+#REF!,"")</f>
        <v/>
      </c>
      <c r="OQO48" s="84" t="str">
        <f>IF(ISNUMBER(outYear),OQO37+OQO42+#REF!+#REF!,"")</f>
        <v/>
      </c>
      <c r="OQP48" s="84" t="str">
        <f>IF(ISNUMBER(outYear),OQP37+OQP42+#REF!+#REF!,"")</f>
        <v/>
      </c>
      <c r="OQQ48" s="84" t="str">
        <f>IF(ISNUMBER(outYear),OQQ37+OQQ42+#REF!+#REF!,"")</f>
        <v/>
      </c>
      <c r="OQR48" s="84" t="str">
        <f>IF(ISNUMBER(outYear),OQR37+OQR42+#REF!+#REF!,"")</f>
        <v/>
      </c>
      <c r="OQS48" s="84" t="str">
        <f>IF(ISNUMBER(outYear),OQS37+OQS42+#REF!+#REF!,"")</f>
        <v/>
      </c>
      <c r="OQT48" s="84" t="str">
        <f>IF(ISNUMBER(outYear),OQT37+OQT42+#REF!+#REF!,"")</f>
        <v/>
      </c>
      <c r="OQU48" s="84" t="str">
        <f>IF(ISNUMBER(outYear),OQU37+OQU42+#REF!+#REF!,"")</f>
        <v/>
      </c>
      <c r="OQV48" s="84" t="str">
        <f>IF(ISNUMBER(outYear),OQV37+OQV42+#REF!+#REF!,"")</f>
        <v/>
      </c>
      <c r="OQW48" s="84" t="str">
        <f>IF(ISNUMBER(outYear),OQW37+OQW42+#REF!+#REF!,"")</f>
        <v/>
      </c>
      <c r="OQX48" s="84" t="str">
        <f>IF(ISNUMBER(outYear),OQX37+OQX42+#REF!+#REF!,"")</f>
        <v/>
      </c>
      <c r="OQY48" s="84" t="str">
        <f>IF(ISNUMBER(outYear),OQY37+OQY42+#REF!+#REF!,"")</f>
        <v/>
      </c>
      <c r="OQZ48" s="84" t="str">
        <f>IF(ISNUMBER(outYear),OQZ37+OQZ42+#REF!+#REF!,"")</f>
        <v/>
      </c>
      <c r="ORA48" s="84" t="str">
        <f>IF(ISNUMBER(outYear),ORA37+ORA42+#REF!+#REF!,"")</f>
        <v/>
      </c>
      <c r="ORB48" s="84" t="str">
        <f>IF(ISNUMBER(outYear),ORB37+ORB42+#REF!+#REF!,"")</f>
        <v/>
      </c>
      <c r="ORC48" s="84" t="str">
        <f>IF(ISNUMBER(outYear),ORC37+ORC42+#REF!+#REF!,"")</f>
        <v/>
      </c>
      <c r="ORD48" s="84" t="str">
        <f>IF(ISNUMBER(outYear),ORD37+ORD42+#REF!+#REF!,"")</f>
        <v/>
      </c>
      <c r="ORE48" s="84" t="str">
        <f>IF(ISNUMBER(outYear),ORE37+ORE42+#REF!+#REF!,"")</f>
        <v/>
      </c>
      <c r="ORF48" s="84" t="str">
        <f>IF(ISNUMBER(outYear),ORF37+ORF42+#REF!+#REF!,"")</f>
        <v/>
      </c>
      <c r="ORG48" s="84" t="str">
        <f>IF(ISNUMBER(outYear),ORG37+ORG42+#REF!+#REF!,"")</f>
        <v/>
      </c>
      <c r="ORH48" s="84" t="str">
        <f>IF(ISNUMBER(outYear),ORH37+ORH42+#REF!+#REF!,"")</f>
        <v/>
      </c>
      <c r="ORI48" s="84" t="str">
        <f>IF(ISNUMBER(outYear),ORI37+ORI42+#REF!+#REF!,"")</f>
        <v/>
      </c>
      <c r="ORJ48" s="84" t="str">
        <f>IF(ISNUMBER(outYear),ORJ37+ORJ42+#REF!+#REF!,"")</f>
        <v/>
      </c>
      <c r="ORK48" s="84" t="str">
        <f>IF(ISNUMBER(outYear),ORK37+ORK42+#REF!+#REF!,"")</f>
        <v/>
      </c>
      <c r="ORL48" s="84" t="str">
        <f>IF(ISNUMBER(outYear),ORL37+ORL42+#REF!+#REF!,"")</f>
        <v/>
      </c>
      <c r="ORM48" s="84" t="str">
        <f>IF(ISNUMBER(outYear),ORM37+ORM42+#REF!+#REF!,"")</f>
        <v/>
      </c>
      <c r="ORN48" s="84" t="str">
        <f>IF(ISNUMBER(outYear),ORN37+ORN42+#REF!+#REF!,"")</f>
        <v/>
      </c>
      <c r="ORO48" s="84" t="str">
        <f>IF(ISNUMBER(outYear),ORO37+ORO42+#REF!+#REF!,"")</f>
        <v/>
      </c>
      <c r="ORP48" s="84" t="str">
        <f>IF(ISNUMBER(outYear),ORP37+ORP42+#REF!+#REF!,"")</f>
        <v/>
      </c>
      <c r="ORQ48" s="84" t="str">
        <f>IF(ISNUMBER(outYear),ORQ37+ORQ42+#REF!+#REF!,"")</f>
        <v/>
      </c>
      <c r="ORR48" s="84" t="str">
        <f>IF(ISNUMBER(outYear),ORR37+ORR42+#REF!+#REF!,"")</f>
        <v/>
      </c>
      <c r="ORS48" s="84" t="str">
        <f>IF(ISNUMBER(outYear),ORS37+ORS42+#REF!+#REF!,"")</f>
        <v/>
      </c>
      <c r="ORT48" s="84" t="str">
        <f>IF(ISNUMBER(outYear),ORT37+ORT42+#REF!+#REF!,"")</f>
        <v/>
      </c>
      <c r="ORU48" s="84" t="str">
        <f>IF(ISNUMBER(outYear),ORU37+ORU42+#REF!+#REF!,"")</f>
        <v/>
      </c>
      <c r="ORV48" s="84" t="str">
        <f>IF(ISNUMBER(outYear),ORV37+ORV42+#REF!+#REF!,"")</f>
        <v/>
      </c>
      <c r="ORW48" s="84" t="str">
        <f>IF(ISNUMBER(outYear),ORW37+ORW42+#REF!+#REF!,"")</f>
        <v/>
      </c>
      <c r="ORX48" s="84" t="str">
        <f>IF(ISNUMBER(outYear),ORX37+ORX42+#REF!+#REF!,"")</f>
        <v/>
      </c>
      <c r="ORY48" s="84" t="str">
        <f>IF(ISNUMBER(outYear),ORY37+ORY42+#REF!+#REF!,"")</f>
        <v/>
      </c>
      <c r="ORZ48" s="84" t="str">
        <f>IF(ISNUMBER(outYear),ORZ37+ORZ42+#REF!+#REF!,"")</f>
        <v/>
      </c>
      <c r="OSA48" s="84" t="str">
        <f>IF(ISNUMBER(outYear),OSA37+OSA42+#REF!+#REF!,"")</f>
        <v/>
      </c>
      <c r="OSB48" s="84" t="str">
        <f>IF(ISNUMBER(outYear),OSB37+OSB42+#REF!+#REF!,"")</f>
        <v/>
      </c>
      <c r="OSC48" s="84" t="str">
        <f>IF(ISNUMBER(outYear),OSC37+OSC42+#REF!+#REF!,"")</f>
        <v/>
      </c>
      <c r="OSD48" s="84" t="str">
        <f>IF(ISNUMBER(outYear),OSD37+OSD42+#REF!+#REF!,"")</f>
        <v/>
      </c>
      <c r="OSE48" s="84" t="str">
        <f>IF(ISNUMBER(outYear),OSE37+OSE42+#REF!+#REF!,"")</f>
        <v/>
      </c>
      <c r="OSF48" s="84" t="str">
        <f>IF(ISNUMBER(outYear),OSF37+OSF42+#REF!+#REF!,"")</f>
        <v/>
      </c>
      <c r="OSG48" s="84" t="str">
        <f>IF(ISNUMBER(outYear),OSG37+OSG42+#REF!+#REF!,"")</f>
        <v/>
      </c>
      <c r="OSH48" s="84" t="str">
        <f>IF(ISNUMBER(outYear),OSH37+OSH42+#REF!+#REF!,"")</f>
        <v/>
      </c>
      <c r="OSI48" s="84" t="str">
        <f>IF(ISNUMBER(outYear),OSI37+OSI42+#REF!+#REF!,"")</f>
        <v/>
      </c>
      <c r="OSJ48" s="84" t="str">
        <f>IF(ISNUMBER(outYear),OSJ37+OSJ42+#REF!+#REF!,"")</f>
        <v/>
      </c>
      <c r="OSK48" s="84" t="str">
        <f>IF(ISNUMBER(outYear),OSK37+OSK42+#REF!+#REF!,"")</f>
        <v/>
      </c>
      <c r="OSL48" s="84" t="str">
        <f>IF(ISNUMBER(outYear),OSL37+OSL42+#REF!+#REF!,"")</f>
        <v/>
      </c>
      <c r="OSM48" s="84" t="str">
        <f>IF(ISNUMBER(outYear),OSM37+OSM42+#REF!+#REF!,"")</f>
        <v/>
      </c>
      <c r="OSN48" s="84" t="str">
        <f>IF(ISNUMBER(outYear),OSN37+OSN42+#REF!+#REF!,"")</f>
        <v/>
      </c>
      <c r="OSO48" s="84" t="str">
        <f>IF(ISNUMBER(outYear),OSO37+OSO42+#REF!+#REF!,"")</f>
        <v/>
      </c>
      <c r="OSP48" s="84" t="str">
        <f>IF(ISNUMBER(outYear),OSP37+OSP42+#REF!+#REF!,"")</f>
        <v/>
      </c>
      <c r="OSQ48" s="84" t="str">
        <f>IF(ISNUMBER(outYear),OSQ37+OSQ42+#REF!+#REF!,"")</f>
        <v/>
      </c>
      <c r="OSR48" s="84" t="str">
        <f>IF(ISNUMBER(outYear),OSR37+OSR42+#REF!+#REF!,"")</f>
        <v/>
      </c>
      <c r="OSS48" s="84" t="str">
        <f>IF(ISNUMBER(outYear),OSS37+OSS42+#REF!+#REF!,"")</f>
        <v/>
      </c>
      <c r="OST48" s="84" t="str">
        <f>IF(ISNUMBER(outYear),OST37+OST42+#REF!+#REF!,"")</f>
        <v/>
      </c>
      <c r="OSU48" s="84" t="str">
        <f>IF(ISNUMBER(outYear),OSU37+OSU42+#REF!+#REF!,"")</f>
        <v/>
      </c>
      <c r="OSV48" s="84" t="str">
        <f>IF(ISNUMBER(outYear),OSV37+OSV42+#REF!+#REF!,"")</f>
        <v/>
      </c>
      <c r="OSW48" s="84" t="str">
        <f>IF(ISNUMBER(outYear),OSW37+OSW42+#REF!+#REF!,"")</f>
        <v/>
      </c>
      <c r="OSX48" s="84" t="str">
        <f>IF(ISNUMBER(outYear),OSX37+OSX42+#REF!+#REF!,"")</f>
        <v/>
      </c>
      <c r="OSY48" s="84" t="str">
        <f>IF(ISNUMBER(outYear),OSY37+OSY42+#REF!+#REF!,"")</f>
        <v/>
      </c>
      <c r="OSZ48" s="84" t="str">
        <f>IF(ISNUMBER(outYear),OSZ37+OSZ42+#REF!+#REF!,"")</f>
        <v/>
      </c>
      <c r="OTA48" s="84" t="str">
        <f>IF(ISNUMBER(outYear),OTA37+OTA42+#REF!+#REF!,"")</f>
        <v/>
      </c>
      <c r="OTB48" s="84" t="str">
        <f>IF(ISNUMBER(outYear),OTB37+OTB42+#REF!+#REF!,"")</f>
        <v/>
      </c>
      <c r="OTC48" s="84" t="str">
        <f>IF(ISNUMBER(outYear),OTC37+OTC42+#REF!+#REF!,"")</f>
        <v/>
      </c>
      <c r="OTD48" s="84" t="str">
        <f>IF(ISNUMBER(outYear),OTD37+OTD42+#REF!+#REF!,"")</f>
        <v/>
      </c>
      <c r="OTE48" s="84" t="str">
        <f>IF(ISNUMBER(outYear),OTE37+OTE42+#REF!+#REF!,"")</f>
        <v/>
      </c>
      <c r="OTF48" s="84" t="str">
        <f>IF(ISNUMBER(outYear),OTF37+OTF42+#REF!+#REF!,"")</f>
        <v/>
      </c>
      <c r="OTG48" s="84" t="str">
        <f>IF(ISNUMBER(outYear),OTG37+OTG42+#REF!+#REF!,"")</f>
        <v/>
      </c>
      <c r="OTH48" s="84" t="str">
        <f>IF(ISNUMBER(outYear),OTH37+OTH42+#REF!+#REF!,"")</f>
        <v/>
      </c>
      <c r="OTI48" s="84" t="str">
        <f>IF(ISNUMBER(outYear),OTI37+OTI42+#REF!+#REF!,"")</f>
        <v/>
      </c>
      <c r="OTJ48" s="84" t="str">
        <f>IF(ISNUMBER(outYear),OTJ37+OTJ42+#REF!+#REF!,"")</f>
        <v/>
      </c>
      <c r="OTK48" s="84" t="str">
        <f>IF(ISNUMBER(outYear),OTK37+OTK42+#REF!+#REF!,"")</f>
        <v/>
      </c>
      <c r="OTL48" s="84" t="str">
        <f>IF(ISNUMBER(outYear),OTL37+OTL42+#REF!+#REF!,"")</f>
        <v/>
      </c>
      <c r="OTM48" s="84" t="str">
        <f>IF(ISNUMBER(outYear),OTM37+OTM42+#REF!+#REF!,"")</f>
        <v/>
      </c>
      <c r="OTN48" s="84" t="str">
        <f>IF(ISNUMBER(outYear),OTN37+OTN42+#REF!+#REF!,"")</f>
        <v/>
      </c>
      <c r="OTO48" s="84" t="str">
        <f>IF(ISNUMBER(outYear),OTO37+OTO42+#REF!+#REF!,"")</f>
        <v/>
      </c>
      <c r="OTP48" s="84" t="str">
        <f>IF(ISNUMBER(outYear),OTP37+OTP42+#REF!+#REF!,"")</f>
        <v/>
      </c>
      <c r="OTQ48" s="84" t="str">
        <f>IF(ISNUMBER(outYear),OTQ37+OTQ42+#REF!+#REF!,"")</f>
        <v/>
      </c>
      <c r="OTR48" s="84" t="str">
        <f>IF(ISNUMBER(outYear),OTR37+OTR42+#REF!+#REF!,"")</f>
        <v/>
      </c>
      <c r="OTS48" s="84" t="str">
        <f>IF(ISNUMBER(outYear),OTS37+OTS42+#REF!+#REF!,"")</f>
        <v/>
      </c>
      <c r="OTT48" s="84" t="str">
        <f>IF(ISNUMBER(outYear),OTT37+OTT42+#REF!+#REF!,"")</f>
        <v/>
      </c>
      <c r="OTU48" s="84" t="str">
        <f>IF(ISNUMBER(outYear),OTU37+OTU42+#REF!+#REF!,"")</f>
        <v/>
      </c>
      <c r="OTV48" s="84" t="str">
        <f>IF(ISNUMBER(outYear),OTV37+OTV42+#REF!+#REF!,"")</f>
        <v/>
      </c>
      <c r="OTW48" s="84" t="str">
        <f>IF(ISNUMBER(outYear),OTW37+OTW42+#REF!+#REF!,"")</f>
        <v/>
      </c>
      <c r="OTX48" s="84" t="str">
        <f>IF(ISNUMBER(outYear),OTX37+OTX42+#REF!+#REF!,"")</f>
        <v/>
      </c>
      <c r="OTY48" s="84" t="str">
        <f>IF(ISNUMBER(outYear),OTY37+OTY42+#REF!+#REF!,"")</f>
        <v/>
      </c>
      <c r="OTZ48" s="84" t="str">
        <f>IF(ISNUMBER(outYear),OTZ37+OTZ42+#REF!+#REF!,"")</f>
        <v/>
      </c>
      <c r="OUA48" s="84" t="str">
        <f>IF(ISNUMBER(outYear),OUA37+OUA42+#REF!+#REF!,"")</f>
        <v/>
      </c>
      <c r="OUB48" s="84" t="str">
        <f>IF(ISNUMBER(outYear),OUB37+OUB42+#REF!+#REF!,"")</f>
        <v/>
      </c>
      <c r="OUC48" s="84" t="str">
        <f>IF(ISNUMBER(outYear),OUC37+OUC42+#REF!+#REF!,"")</f>
        <v/>
      </c>
      <c r="OUD48" s="84" t="str">
        <f>IF(ISNUMBER(outYear),OUD37+OUD42+#REF!+#REF!,"")</f>
        <v/>
      </c>
      <c r="OUE48" s="84" t="str">
        <f>IF(ISNUMBER(outYear),OUE37+OUE42+#REF!+#REF!,"")</f>
        <v/>
      </c>
      <c r="OUF48" s="84" t="str">
        <f>IF(ISNUMBER(outYear),OUF37+OUF42+#REF!+#REF!,"")</f>
        <v/>
      </c>
      <c r="OUG48" s="84" t="str">
        <f>IF(ISNUMBER(outYear),OUG37+OUG42+#REF!+#REF!,"")</f>
        <v/>
      </c>
      <c r="OUH48" s="84" t="str">
        <f>IF(ISNUMBER(outYear),OUH37+OUH42+#REF!+#REF!,"")</f>
        <v/>
      </c>
      <c r="OUI48" s="84" t="str">
        <f>IF(ISNUMBER(outYear),OUI37+OUI42+#REF!+#REF!,"")</f>
        <v/>
      </c>
      <c r="OUJ48" s="84" t="str">
        <f>IF(ISNUMBER(outYear),OUJ37+OUJ42+#REF!+#REF!,"")</f>
        <v/>
      </c>
      <c r="OUK48" s="84" t="str">
        <f>IF(ISNUMBER(outYear),OUK37+OUK42+#REF!+#REF!,"")</f>
        <v/>
      </c>
      <c r="OUL48" s="84" t="str">
        <f>IF(ISNUMBER(outYear),OUL37+OUL42+#REF!+#REF!,"")</f>
        <v/>
      </c>
      <c r="OUM48" s="84" t="str">
        <f>IF(ISNUMBER(outYear),OUM37+OUM42+#REF!+#REF!,"")</f>
        <v/>
      </c>
      <c r="OUN48" s="84" t="str">
        <f>IF(ISNUMBER(outYear),OUN37+OUN42+#REF!+#REF!,"")</f>
        <v/>
      </c>
      <c r="OUO48" s="84" t="str">
        <f>IF(ISNUMBER(outYear),OUO37+OUO42+#REF!+#REF!,"")</f>
        <v/>
      </c>
      <c r="OUP48" s="84" t="str">
        <f>IF(ISNUMBER(outYear),OUP37+OUP42+#REF!+#REF!,"")</f>
        <v/>
      </c>
      <c r="OUQ48" s="84" t="str">
        <f>IF(ISNUMBER(outYear),OUQ37+OUQ42+#REF!+#REF!,"")</f>
        <v/>
      </c>
      <c r="OUR48" s="84" t="str">
        <f>IF(ISNUMBER(outYear),OUR37+OUR42+#REF!+#REF!,"")</f>
        <v/>
      </c>
      <c r="OUS48" s="84" t="str">
        <f>IF(ISNUMBER(outYear),OUS37+OUS42+#REF!+#REF!,"")</f>
        <v/>
      </c>
      <c r="OUT48" s="84" t="str">
        <f>IF(ISNUMBER(outYear),OUT37+OUT42+#REF!+#REF!,"")</f>
        <v/>
      </c>
      <c r="OUU48" s="84" t="str">
        <f>IF(ISNUMBER(outYear),OUU37+OUU42+#REF!+#REF!,"")</f>
        <v/>
      </c>
      <c r="OUV48" s="84" t="str">
        <f>IF(ISNUMBER(outYear),OUV37+OUV42+#REF!+#REF!,"")</f>
        <v/>
      </c>
      <c r="OUW48" s="84" t="str">
        <f>IF(ISNUMBER(outYear),OUW37+OUW42+#REF!+#REF!,"")</f>
        <v/>
      </c>
      <c r="OUX48" s="84" t="str">
        <f>IF(ISNUMBER(outYear),OUX37+OUX42+#REF!+#REF!,"")</f>
        <v/>
      </c>
      <c r="OUY48" s="84" t="str">
        <f>IF(ISNUMBER(outYear),OUY37+OUY42+#REF!+#REF!,"")</f>
        <v/>
      </c>
      <c r="OUZ48" s="84" t="str">
        <f>IF(ISNUMBER(outYear),OUZ37+OUZ42+#REF!+#REF!,"")</f>
        <v/>
      </c>
      <c r="OVA48" s="84" t="str">
        <f>IF(ISNUMBER(outYear),OVA37+OVA42+#REF!+#REF!,"")</f>
        <v/>
      </c>
      <c r="OVB48" s="84" t="str">
        <f>IF(ISNUMBER(outYear),OVB37+OVB42+#REF!+#REF!,"")</f>
        <v/>
      </c>
      <c r="OVC48" s="84" t="str">
        <f>IF(ISNUMBER(outYear),OVC37+OVC42+#REF!+#REF!,"")</f>
        <v/>
      </c>
      <c r="OVD48" s="84" t="str">
        <f>IF(ISNUMBER(outYear),OVD37+OVD42+#REF!+#REF!,"")</f>
        <v/>
      </c>
      <c r="OVE48" s="84" t="str">
        <f>IF(ISNUMBER(outYear),OVE37+OVE42+#REF!+#REF!,"")</f>
        <v/>
      </c>
      <c r="OVF48" s="84" t="str">
        <f>IF(ISNUMBER(outYear),OVF37+OVF42+#REF!+#REF!,"")</f>
        <v/>
      </c>
      <c r="OVG48" s="84" t="str">
        <f>IF(ISNUMBER(outYear),OVG37+OVG42+#REF!+#REF!,"")</f>
        <v/>
      </c>
      <c r="OVH48" s="84" t="str">
        <f>IF(ISNUMBER(outYear),OVH37+OVH42+#REF!+#REF!,"")</f>
        <v/>
      </c>
      <c r="OVI48" s="84" t="str">
        <f>IF(ISNUMBER(outYear),OVI37+OVI42+#REF!+#REF!,"")</f>
        <v/>
      </c>
      <c r="OVJ48" s="84" t="str">
        <f>IF(ISNUMBER(outYear),OVJ37+OVJ42+#REF!+#REF!,"")</f>
        <v/>
      </c>
      <c r="OVK48" s="84" t="str">
        <f>IF(ISNUMBER(outYear),OVK37+OVK42+#REF!+#REF!,"")</f>
        <v/>
      </c>
      <c r="OVL48" s="84" t="str">
        <f>IF(ISNUMBER(outYear),OVL37+OVL42+#REF!+#REF!,"")</f>
        <v/>
      </c>
      <c r="OVM48" s="84" t="str">
        <f>IF(ISNUMBER(outYear),OVM37+OVM42+#REF!+#REF!,"")</f>
        <v/>
      </c>
      <c r="OVN48" s="84" t="str">
        <f>IF(ISNUMBER(outYear),OVN37+OVN42+#REF!+#REF!,"")</f>
        <v/>
      </c>
      <c r="OVO48" s="84" t="str">
        <f>IF(ISNUMBER(outYear),OVO37+OVO42+#REF!+#REF!,"")</f>
        <v/>
      </c>
      <c r="OVP48" s="84" t="str">
        <f>IF(ISNUMBER(outYear),OVP37+OVP42+#REF!+#REF!,"")</f>
        <v/>
      </c>
      <c r="OVQ48" s="84" t="str">
        <f>IF(ISNUMBER(outYear),OVQ37+OVQ42+#REF!+#REF!,"")</f>
        <v/>
      </c>
      <c r="OVR48" s="84" t="str">
        <f>IF(ISNUMBER(outYear),OVR37+OVR42+#REF!+#REF!,"")</f>
        <v/>
      </c>
      <c r="OVS48" s="84" t="str">
        <f>IF(ISNUMBER(outYear),OVS37+OVS42+#REF!+#REF!,"")</f>
        <v/>
      </c>
      <c r="OVT48" s="84" t="str">
        <f>IF(ISNUMBER(outYear),OVT37+OVT42+#REF!+#REF!,"")</f>
        <v/>
      </c>
      <c r="OVU48" s="84" t="str">
        <f>IF(ISNUMBER(outYear),OVU37+OVU42+#REF!+#REF!,"")</f>
        <v/>
      </c>
      <c r="OVV48" s="84" t="str">
        <f>IF(ISNUMBER(outYear),OVV37+OVV42+#REF!+#REF!,"")</f>
        <v/>
      </c>
      <c r="OVW48" s="84" t="str">
        <f>IF(ISNUMBER(outYear),OVW37+OVW42+#REF!+#REF!,"")</f>
        <v/>
      </c>
      <c r="OVX48" s="84" t="str">
        <f>IF(ISNUMBER(outYear),OVX37+OVX42+#REF!+#REF!,"")</f>
        <v/>
      </c>
      <c r="OVY48" s="84" t="str">
        <f>IF(ISNUMBER(outYear),OVY37+OVY42+#REF!+#REF!,"")</f>
        <v/>
      </c>
      <c r="OVZ48" s="84" t="str">
        <f>IF(ISNUMBER(outYear),OVZ37+OVZ42+#REF!+#REF!,"")</f>
        <v/>
      </c>
      <c r="OWA48" s="84" t="str">
        <f>IF(ISNUMBER(outYear),OWA37+OWA42+#REF!+#REF!,"")</f>
        <v/>
      </c>
      <c r="OWB48" s="84" t="str">
        <f>IF(ISNUMBER(outYear),OWB37+OWB42+#REF!+#REF!,"")</f>
        <v/>
      </c>
      <c r="OWC48" s="84" t="str">
        <f>IF(ISNUMBER(outYear),OWC37+OWC42+#REF!+#REF!,"")</f>
        <v/>
      </c>
      <c r="OWD48" s="84" t="str">
        <f>IF(ISNUMBER(outYear),OWD37+OWD42+#REF!+#REF!,"")</f>
        <v/>
      </c>
      <c r="OWE48" s="84" t="str">
        <f>IF(ISNUMBER(outYear),OWE37+OWE42+#REF!+#REF!,"")</f>
        <v/>
      </c>
      <c r="OWF48" s="84" t="str">
        <f>IF(ISNUMBER(outYear),OWF37+OWF42+#REF!+#REF!,"")</f>
        <v/>
      </c>
      <c r="OWG48" s="84" t="str">
        <f>IF(ISNUMBER(outYear),OWG37+OWG42+#REF!+#REF!,"")</f>
        <v/>
      </c>
      <c r="OWH48" s="84" t="str">
        <f>IF(ISNUMBER(outYear),OWH37+OWH42+#REF!+#REF!,"")</f>
        <v/>
      </c>
      <c r="OWI48" s="84" t="str">
        <f>IF(ISNUMBER(outYear),OWI37+OWI42+#REF!+#REF!,"")</f>
        <v/>
      </c>
      <c r="OWJ48" s="84" t="str">
        <f>IF(ISNUMBER(outYear),OWJ37+OWJ42+#REF!+#REF!,"")</f>
        <v/>
      </c>
      <c r="OWK48" s="84" t="str">
        <f>IF(ISNUMBER(outYear),OWK37+OWK42+#REF!+#REF!,"")</f>
        <v/>
      </c>
      <c r="OWL48" s="84" t="str">
        <f>IF(ISNUMBER(outYear),OWL37+OWL42+#REF!+#REF!,"")</f>
        <v/>
      </c>
      <c r="OWM48" s="84" t="str">
        <f>IF(ISNUMBER(outYear),OWM37+OWM42+#REF!+#REF!,"")</f>
        <v/>
      </c>
      <c r="OWN48" s="84" t="str">
        <f>IF(ISNUMBER(outYear),OWN37+OWN42+#REF!+#REF!,"")</f>
        <v/>
      </c>
      <c r="OWO48" s="84" t="str">
        <f>IF(ISNUMBER(outYear),OWO37+OWO42+#REF!+#REF!,"")</f>
        <v/>
      </c>
      <c r="OWP48" s="84" t="str">
        <f>IF(ISNUMBER(outYear),OWP37+OWP42+#REF!+#REF!,"")</f>
        <v/>
      </c>
      <c r="OWQ48" s="84" t="str">
        <f>IF(ISNUMBER(outYear),OWQ37+OWQ42+#REF!+#REF!,"")</f>
        <v/>
      </c>
      <c r="OWR48" s="84" t="str">
        <f>IF(ISNUMBER(outYear),OWR37+OWR42+#REF!+#REF!,"")</f>
        <v/>
      </c>
      <c r="OWS48" s="84" t="str">
        <f>IF(ISNUMBER(outYear),OWS37+OWS42+#REF!+#REF!,"")</f>
        <v/>
      </c>
      <c r="OWT48" s="84" t="str">
        <f>IF(ISNUMBER(outYear),OWT37+OWT42+#REF!+#REF!,"")</f>
        <v/>
      </c>
      <c r="OWU48" s="84" t="str">
        <f>IF(ISNUMBER(outYear),OWU37+OWU42+#REF!+#REF!,"")</f>
        <v/>
      </c>
      <c r="OWV48" s="84" t="str">
        <f>IF(ISNUMBER(outYear),OWV37+OWV42+#REF!+#REF!,"")</f>
        <v/>
      </c>
      <c r="OWW48" s="84" t="str">
        <f>IF(ISNUMBER(outYear),OWW37+OWW42+#REF!+#REF!,"")</f>
        <v/>
      </c>
      <c r="OWX48" s="84" t="str">
        <f>IF(ISNUMBER(outYear),OWX37+OWX42+#REF!+#REF!,"")</f>
        <v/>
      </c>
      <c r="OWY48" s="84" t="str">
        <f>IF(ISNUMBER(outYear),OWY37+OWY42+#REF!+#REF!,"")</f>
        <v/>
      </c>
      <c r="OWZ48" s="84" t="str">
        <f>IF(ISNUMBER(outYear),OWZ37+OWZ42+#REF!+#REF!,"")</f>
        <v/>
      </c>
      <c r="OXA48" s="84" t="str">
        <f>IF(ISNUMBER(outYear),OXA37+OXA42+#REF!+#REF!,"")</f>
        <v/>
      </c>
      <c r="OXB48" s="84" t="str">
        <f>IF(ISNUMBER(outYear),OXB37+OXB42+#REF!+#REF!,"")</f>
        <v/>
      </c>
      <c r="OXC48" s="84" t="str">
        <f>IF(ISNUMBER(outYear),OXC37+OXC42+#REF!+#REF!,"")</f>
        <v/>
      </c>
      <c r="OXD48" s="84" t="str">
        <f>IF(ISNUMBER(outYear),OXD37+OXD42+#REF!+#REF!,"")</f>
        <v/>
      </c>
      <c r="OXE48" s="84" t="str">
        <f>IF(ISNUMBER(outYear),OXE37+OXE42+#REF!+#REF!,"")</f>
        <v/>
      </c>
      <c r="OXF48" s="84" t="str">
        <f>IF(ISNUMBER(outYear),OXF37+OXF42+#REF!+#REF!,"")</f>
        <v/>
      </c>
      <c r="OXG48" s="84" t="str">
        <f>IF(ISNUMBER(outYear),OXG37+OXG42+#REF!+#REF!,"")</f>
        <v/>
      </c>
      <c r="OXH48" s="84" t="str">
        <f>IF(ISNUMBER(outYear),OXH37+OXH42+#REF!+#REF!,"")</f>
        <v/>
      </c>
      <c r="OXI48" s="84" t="str">
        <f>IF(ISNUMBER(outYear),OXI37+OXI42+#REF!+#REF!,"")</f>
        <v/>
      </c>
      <c r="OXJ48" s="84" t="str">
        <f>IF(ISNUMBER(outYear),OXJ37+OXJ42+#REF!+#REF!,"")</f>
        <v/>
      </c>
      <c r="OXK48" s="84" t="str">
        <f>IF(ISNUMBER(outYear),OXK37+OXK42+#REF!+#REF!,"")</f>
        <v/>
      </c>
      <c r="OXL48" s="84" t="str">
        <f>IF(ISNUMBER(outYear),OXL37+OXL42+#REF!+#REF!,"")</f>
        <v/>
      </c>
      <c r="OXM48" s="84" t="str">
        <f>IF(ISNUMBER(outYear),OXM37+OXM42+#REF!+#REF!,"")</f>
        <v/>
      </c>
      <c r="OXN48" s="84" t="str">
        <f>IF(ISNUMBER(outYear),OXN37+OXN42+#REF!+#REF!,"")</f>
        <v/>
      </c>
      <c r="OXO48" s="84" t="str">
        <f>IF(ISNUMBER(outYear),OXO37+OXO42+#REF!+#REF!,"")</f>
        <v/>
      </c>
      <c r="OXP48" s="84" t="str">
        <f>IF(ISNUMBER(outYear),OXP37+OXP42+#REF!+#REF!,"")</f>
        <v/>
      </c>
      <c r="OXQ48" s="84" t="str">
        <f>IF(ISNUMBER(outYear),OXQ37+OXQ42+#REF!+#REF!,"")</f>
        <v/>
      </c>
      <c r="OXR48" s="84" t="str">
        <f>IF(ISNUMBER(outYear),OXR37+OXR42+#REF!+#REF!,"")</f>
        <v/>
      </c>
      <c r="OXS48" s="84" t="str">
        <f>IF(ISNUMBER(outYear),OXS37+OXS42+#REF!+#REF!,"")</f>
        <v/>
      </c>
      <c r="OXT48" s="84" t="str">
        <f>IF(ISNUMBER(outYear),OXT37+OXT42+#REF!+#REF!,"")</f>
        <v/>
      </c>
      <c r="OXU48" s="84" t="str">
        <f>IF(ISNUMBER(outYear),OXU37+OXU42+#REF!+#REF!,"")</f>
        <v/>
      </c>
      <c r="OXV48" s="84" t="str">
        <f>IF(ISNUMBER(outYear),OXV37+OXV42+#REF!+#REF!,"")</f>
        <v/>
      </c>
      <c r="OXW48" s="84" t="str">
        <f>IF(ISNUMBER(outYear),OXW37+OXW42+#REF!+#REF!,"")</f>
        <v/>
      </c>
      <c r="OXX48" s="84" t="str">
        <f>IF(ISNUMBER(outYear),OXX37+OXX42+#REF!+#REF!,"")</f>
        <v/>
      </c>
      <c r="OXY48" s="84" t="str">
        <f>IF(ISNUMBER(outYear),OXY37+OXY42+#REF!+#REF!,"")</f>
        <v/>
      </c>
      <c r="OXZ48" s="84" t="str">
        <f>IF(ISNUMBER(outYear),OXZ37+OXZ42+#REF!+#REF!,"")</f>
        <v/>
      </c>
      <c r="OYA48" s="84" t="str">
        <f>IF(ISNUMBER(outYear),OYA37+OYA42+#REF!+#REF!,"")</f>
        <v/>
      </c>
      <c r="OYB48" s="84" t="str">
        <f>IF(ISNUMBER(outYear),OYB37+OYB42+#REF!+#REF!,"")</f>
        <v/>
      </c>
      <c r="OYC48" s="84" t="str">
        <f>IF(ISNUMBER(outYear),OYC37+OYC42+#REF!+#REF!,"")</f>
        <v/>
      </c>
      <c r="OYD48" s="84" t="str">
        <f>IF(ISNUMBER(outYear),OYD37+OYD42+#REF!+#REF!,"")</f>
        <v/>
      </c>
      <c r="OYE48" s="84" t="str">
        <f>IF(ISNUMBER(outYear),OYE37+OYE42+#REF!+#REF!,"")</f>
        <v/>
      </c>
      <c r="OYF48" s="84" t="str">
        <f>IF(ISNUMBER(outYear),OYF37+OYF42+#REF!+#REF!,"")</f>
        <v/>
      </c>
      <c r="OYG48" s="84" t="str">
        <f>IF(ISNUMBER(outYear),OYG37+OYG42+#REF!+#REF!,"")</f>
        <v/>
      </c>
      <c r="OYH48" s="84" t="str">
        <f>IF(ISNUMBER(outYear),OYH37+OYH42+#REF!+#REF!,"")</f>
        <v/>
      </c>
      <c r="OYI48" s="84" t="str">
        <f>IF(ISNUMBER(outYear),OYI37+OYI42+#REF!+#REF!,"")</f>
        <v/>
      </c>
      <c r="OYJ48" s="84" t="str">
        <f>IF(ISNUMBER(outYear),OYJ37+OYJ42+#REF!+#REF!,"")</f>
        <v/>
      </c>
      <c r="OYK48" s="84" t="str">
        <f>IF(ISNUMBER(outYear),OYK37+OYK42+#REF!+#REF!,"")</f>
        <v/>
      </c>
      <c r="OYL48" s="84" t="str">
        <f>IF(ISNUMBER(outYear),OYL37+OYL42+#REF!+#REF!,"")</f>
        <v/>
      </c>
      <c r="OYM48" s="84" t="str">
        <f>IF(ISNUMBER(outYear),OYM37+OYM42+#REF!+#REF!,"")</f>
        <v/>
      </c>
      <c r="OYN48" s="84" t="str">
        <f>IF(ISNUMBER(outYear),OYN37+OYN42+#REF!+#REF!,"")</f>
        <v/>
      </c>
      <c r="OYO48" s="84" t="str">
        <f>IF(ISNUMBER(outYear),OYO37+OYO42+#REF!+#REF!,"")</f>
        <v/>
      </c>
      <c r="OYP48" s="84" t="str">
        <f>IF(ISNUMBER(outYear),OYP37+OYP42+#REF!+#REF!,"")</f>
        <v/>
      </c>
      <c r="OYQ48" s="84" t="str">
        <f>IF(ISNUMBER(outYear),OYQ37+OYQ42+#REF!+#REF!,"")</f>
        <v/>
      </c>
      <c r="OYR48" s="84" t="str">
        <f>IF(ISNUMBER(outYear),OYR37+OYR42+#REF!+#REF!,"")</f>
        <v/>
      </c>
      <c r="OYS48" s="84" t="str">
        <f>IF(ISNUMBER(outYear),OYS37+OYS42+#REF!+#REF!,"")</f>
        <v/>
      </c>
      <c r="OYT48" s="84" t="str">
        <f>IF(ISNUMBER(outYear),OYT37+OYT42+#REF!+#REF!,"")</f>
        <v/>
      </c>
      <c r="OYU48" s="84" t="str">
        <f>IF(ISNUMBER(outYear),OYU37+OYU42+#REF!+#REF!,"")</f>
        <v/>
      </c>
      <c r="OYV48" s="84" t="str">
        <f>IF(ISNUMBER(outYear),OYV37+OYV42+#REF!+#REF!,"")</f>
        <v/>
      </c>
      <c r="OYW48" s="84" t="str">
        <f>IF(ISNUMBER(outYear),OYW37+OYW42+#REF!+#REF!,"")</f>
        <v/>
      </c>
      <c r="OYX48" s="84" t="str">
        <f>IF(ISNUMBER(outYear),OYX37+OYX42+#REF!+#REF!,"")</f>
        <v/>
      </c>
      <c r="OYY48" s="84" t="str">
        <f>IF(ISNUMBER(outYear),OYY37+OYY42+#REF!+#REF!,"")</f>
        <v/>
      </c>
      <c r="OYZ48" s="84" t="str">
        <f>IF(ISNUMBER(outYear),OYZ37+OYZ42+#REF!+#REF!,"")</f>
        <v/>
      </c>
      <c r="OZA48" s="84" t="str">
        <f>IF(ISNUMBER(outYear),OZA37+OZA42+#REF!+#REF!,"")</f>
        <v/>
      </c>
      <c r="OZB48" s="84" t="str">
        <f>IF(ISNUMBER(outYear),OZB37+OZB42+#REF!+#REF!,"")</f>
        <v/>
      </c>
      <c r="OZC48" s="84" t="str">
        <f>IF(ISNUMBER(outYear),OZC37+OZC42+#REF!+#REF!,"")</f>
        <v/>
      </c>
      <c r="OZD48" s="84" t="str">
        <f>IF(ISNUMBER(outYear),OZD37+OZD42+#REF!+#REF!,"")</f>
        <v/>
      </c>
      <c r="OZE48" s="84" t="str">
        <f>IF(ISNUMBER(outYear),OZE37+OZE42+#REF!+#REF!,"")</f>
        <v/>
      </c>
      <c r="OZF48" s="84" t="str">
        <f>IF(ISNUMBER(outYear),OZF37+OZF42+#REF!+#REF!,"")</f>
        <v/>
      </c>
      <c r="OZG48" s="84" t="str">
        <f>IF(ISNUMBER(outYear),OZG37+OZG42+#REF!+#REF!,"")</f>
        <v/>
      </c>
      <c r="OZH48" s="84" t="str">
        <f>IF(ISNUMBER(outYear),OZH37+OZH42+#REF!+#REF!,"")</f>
        <v/>
      </c>
      <c r="OZI48" s="84" t="str">
        <f>IF(ISNUMBER(outYear),OZI37+OZI42+#REF!+#REF!,"")</f>
        <v/>
      </c>
      <c r="OZJ48" s="84" t="str">
        <f>IF(ISNUMBER(outYear),OZJ37+OZJ42+#REF!+#REF!,"")</f>
        <v/>
      </c>
      <c r="OZK48" s="84" t="str">
        <f>IF(ISNUMBER(outYear),OZK37+OZK42+#REF!+#REF!,"")</f>
        <v/>
      </c>
      <c r="OZL48" s="84" t="str">
        <f>IF(ISNUMBER(outYear),OZL37+OZL42+#REF!+#REF!,"")</f>
        <v/>
      </c>
      <c r="OZM48" s="84" t="str">
        <f>IF(ISNUMBER(outYear),OZM37+OZM42+#REF!+#REF!,"")</f>
        <v/>
      </c>
      <c r="OZN48" s="84" t="str">
        <f>IF(ISNUMBER(outYear),OZN37+OZN42+#REF!+#REF!,"")</f>
        <v/>
      </c>
      <c r="OZO48" s="84" t="str">
        <f>IF(ISNUMBER(outYear),OZO37+OZO42+#REF!+#REF!,"")</f>
        <v/>
      </c>
      <c r="OZP48" s="84" t="str">
        <f>IF(ISNUMBER(outYear),OZP37+OZP42+#REF!+#REF!,"")</f>
        <v/>
      </c>
      <c r="OZQ48" s="84" t="str">
        <f>IF(ISNUMBER(outYear),OZQ37+OZQ42+#REF!+#REF!,"")</f>
        <v/>
      </c>
      <c r="OZR48" s="84" t="str">
        <f>IF(ISNUMBER(outYear),OZR37+OZR42+#REF!+#REF!,"")</f>
        <v/>
      </c>
      <c r="OZS48" s="84" t="str">
        <f>IF(ISNUMBER(outYear),OZS37+OZS42+#REF!+#REF!,"")</f>
        <v/>
      </c>
      <c r="OZT48" s="84" t="str">
        <f>IF(ISNUMBER(outYear),OZT37+OZT42+#REF!+#REF!,"")</f>
        <v/>
      </c>
      <c r="OZU48" s="84" t="str">
        <f>IF(ISNUMBER(outYear),OZU37+OZU42+#REF!+#REF!,"")</f>
        <v/>
      </c>
      <c r="OZV48" s="84" t="str">
        <f>IF(ISNUMBER(outYear),OZV37+OZV42+#REF!+#REF!,"")</f>
        <v/>
      </c>
      <c r="OZW48" s="84" t="str">
        <f>IF(ISNUMBER(outYear),OZW37+OZW42+#REF!+#REF!,"")</f>
        <v/>
      </c>
      <c r="OZX48" s="84" t="str">
        <f>IF(ISNUMBER(outYear),OZX37+OZX42+#REF!+#REF!,"")</f>
        <v/>
      </c>
      <c r="OZY48" s="84" t="str">
        <f>IF(ISNUMBER(outYear),OZY37+OZY42+#REF!+#REF!,"")</f>
        <v/>
      </c>
      <c r="OZZ48" s="84" t="str">
        <f>IF(ISNUMBER(outYear),OZZ37+OZZ42+#REF!+#REF!,"")</f>
        <v/>
      </c>
      <c r="PAA48" s="84" t="str">
        <f>IF(ISNUMBER(outYear),PAA37+PAA42+#REF!+#REF!,"")</f>
        <v/>
      </c>
      <c r="PAB48" s="84" t="str">
        <f>IF(ISNUMBER(outYear),PAB37+PAB42+#REF!+#REF!,"")</f>
        <v/>
      </c>
      <c r="PAC48" s="84" t="str">
        <f>IF(ISNUMBER(outYear),PAC37+PAC42+#REF!+#REF!,"")</f>
        <v/>
      </c>
      <c r="PAD48" s="84" t="str">
        <f>IF(ISNUMBER(outYear),PAD37+PAD42+#REF!+#REF!,"")</f>
        <v/>
      </c>
      <c r="PAE48" s="84" t="str">
        <f>IF(ISNUMBER(outYear),PAE37+PAE42+#REF!+#REF!,"")</f>
        <v/>
      </c>
      <c r="PAF48" s="84" t="str">
        <f>IF(ISNUMBER(outYear),PAF37+PAF42+#REF!+#REF!,"")</f>
        <v/>
      </c>
      <c r="PAG48" s="84" t="str">
        <f>IF(ISNUMBER(outYear),PAG37+PAG42+#REF!+#REF!,"")</f>
        <v/>
      </c>
      <c r="PAH48" s="84" t="str">
        <f>IF(ISNUMBER(outYear),PAH37+PAH42+#REF!+#REF!,"")</f>
        <v/>
      </c>
      <c r="PAI48" s="84" t="str">
        <f>IF(ISNUMBER(outYear),PAI37+PAI42+#REF!+#REF!,"")</f>
        <v/>
      </c>
      <c r="PAJ48" s="84" t="str">
        <f>IF(ISNUMBER(outYear),PAJ37+PAJ42+#REF!+#REF!,"")</f>
        <v/>
      </c>
      <c r="PAK48" s="84" t="str">
        <f>IF(ISNUMBER(outYear),PAK37+PAK42+#REF!+#REF!,"")</f>
        <v/>
      </c>
      <c r="PAL48" s="84" t="str">
        <f>IF(ISNUMBER(outYear),PAL37+PAL42+#REF!+#REF!,"")</f>
        <v/>
      </c>
      <c r="PAM48" s="84" t="str">
        <f>IF(ISNUMBER(outYear),PAM37+PAM42+#REF!+#REF!,"")</f>
        <v/>
      </c>
      <c r="PAN48" s="84" t="str">
        <f>IF(ISNUMBER(outYear),PAN37+PAN42+#REF!+#REF!,"")</f>
        <v/>
      </c>
      <c r="PAO48" s="84" t="str">
        <f>IF(ISNUMBER(outYear),PAO37+PAO42+#REF!+#REF!,"")</f>
        <v/>
      </c>
      <c r="PAP48" s="84" t="str">
        <f>IF(ISNUMBER(outYear),PAP37+PAP42+#REF!+#REF!,"")</f>
        <v/>
      </c>
      <c r="PAQ48" s="84" t="str">
        <f>IF(ISNUMBER(outYear),PAQ37+PAQ42+#REF!+#REF!,"")</f>
        <v/>
      </c>
      <c r="PAR48" s="84" t="str">
        <f>IF(ISNUMBER(outYear),PAR37+PAR42+#REF!+#REF!,"")</f>
        <v/>
      </c>
      <c r="PAS48" s="84" t="str">
        <f>IF(ISNUMBER(outYear),PAS37+PAS42+#REF!+#REF!,"")</f>
        <v/>
      </c>
      <c r="PAT48" s="84" t="str">
        <f>IF(ISNUMBER(outYear),PAT37+PAT42+#REF!+#REF!,"")</f>
        <v/>
      </c>
      <c r="PAU48" s="84" t="str">
        <f>IF(ISNUMBER(outYear),PAU37+PAU42+#REF!+#REF!,"")</f>
        <v/>
      </c>
      <c r="PAV48" s="84" t="str">
        <f>IF(ISNUMBER(outYear),PAV37+PAV42+#REF!+#REF!,"")</f>
        <v/>
      </c>
      <c r="PAW48" s="84" t="str">
        <f>IF(ISNUMBER(outYear),PAW37+PAW42+#REF!+#REF!,"")</f>
        <v/>
      </c>
      <c r="PAX48" s="84" t="str">
        <f>IF(ISNUMBER(outYear),PAX37+PAX42+#REF!+#REF!,"")</f>
        <v/>
      </c>
      <c r="PAY48" s="84" t="str">
        <f>IF(ISNUMBER(outYear),PAY37+PAY42+#REF!+#REF!,"")</f>
        <v/>
      </c>
      <c r="PAZ48" s="84" t="str">
        <f>IF(ISNUMBER(outYear),PAZ37+PAZ42+#REF!+#REF!,"")</f>
        <v/>
      </c>
      <c r="PBA48" s="84" t="str">
        <f>IF(ISNUMBER(outYear),PBA37+PBA42+#REF!+#REF!,"")</f>
        <v/>
      </c>
      <c r="PBB48" s="84" t="str">
        <f>IF(ISNUMBER(outYear),PBB37+PBB42+#REF!+#REF!,"")</f>
        <v/>
      </c>
      <c r="PBC48" s="84" t="str">
        <f>IF(ISNUMBER(outYear),PBC37+PBC42+#REF!+#REF!,"")</f>
        <v/>
      </c>
      <c r="PBD48" s="84" t="str">
        <f>IF(ISNUMBER(outYear),PBD37+PBD42+#REF!+#REF!,"")</f>
        <v/>
      </c>
      <c r="PBE48" s="84" t="str">
        <f>IF(ISNUMBER(outYear),PBE37+PBE42+#REF!+#REF!,"")</f>
        <v/>
      </c>
      <c r="PBF48" s="84" t="str">
        <f>IF(ISNUMBER(outYear),PBF37+PBF42+#REF!+#REF!,"")</f>
        <v/>
      </c>
      <c r="PBG48" s="84" t="str">
        <f>IF(ISNUMBER(outYear),PBG37+PBG42+#REF!+#REF!,"")</f>
        <v/>
      </c>
      <c r="PBH48" s="84" t="str">
        <f>IF(ISNUMBER(outYear),PBH37+PBH42+#REF!+#REF!,"")</f>
        <v/>
      </c>
      <c r="PBI48" s="84" t="str">
        <f>IF(ISNUMBER(outYear),PBI37+PBI42+#REF!+#REF!,"")</f>
        <v/>
      </c>
      <c r="PBJ48" s="84" t="str">
        <f>IF(ISNUMBER(outYear),PBJ37+PBJ42+#REF!+#REF!,"")</f>
        <v/>
      </c>
      <c r="PBK48" s="84" t="str">
        <f>IF(ISNUMBER(outYear),PBK37+PBK42+#REF!+#REF!,"")</f>
        <v/>
      </c>
      <c r="PBL48" s="84" t="str">
        <f>IF(ISNUMBER(outYear),PBL37+PBL42+#REF!+#REF!,"")</f>
        <v/>
      </c>
      <c r="PBM48" s="84" t="str">
        <f>IF(ISNUMBER(outYear),PBM37+PBM42+#REF!+#REF!,"")</f>
        <v/>
      </c>
      <c r="PBN48" s="84" t="str">
        <f>IF(ISNUMBER(outYear),PBN37+PBN42+#REF!+#REF!,"")</f>
        <v/>
      </c>
      <c r="PBO48" s="84" t="str">
        <f>IF(ISNUMBER(outYear),PBO37+PBO42+#REF!+#REF!,"")</f>
        <v/>
      </c>
      <c r="PBP48" s="84" t="str">
        <f>IF(ISNUMBER(outYear),PBP37+PBP42+#REF!+#REF!,"")</f>
        <v/>
      </c>
      <c r="PBQ48" s="84" t="str">
        <f>IF(ISNUMBER(outYear),PBQ37+PBQ42+#REF!+#REF!,"")</f>
        <v/>
      </c>
      <c r="PBR48" s="84" t="str">
        <f>IF(ISNUMBER(outYear),PBR37+PBR42+#REF!+#REF!,"")</f>
        <v/>
      </c>
      <c r="PBS48" s="84" t="str">
        <f>IF(ISNUMBER(outYear),PBS37+PBS42+#REF!+#REF!,"")</f>
        <v/>
      </c>
      <c r="PBT48" s="84" t="str">
        <f>IF(ISNUMBER(outYear),PBT37+PBT42+#REF!+#REF!,"")</f>
        <v/>
      </c>
      <c r="PBU48" s="84" t="str">
        <f>IF(ISNUMBER(outYear),PBU37+PBU42+#REF!+#REF!,"")</f>
        <v/>
      </c>
      <c r="PBV48" s="84" t="str">
        <f>IF(ISNUMBER(outYear),PBV37+PBV42+#REF!+#REF!,"")</f>
        <v/>
      </c>
      <c r="PBW48" s="84" t="str">
        <f>IF(ISNUMBER(outYear),PBW37+PBW42+#REF!+#REF!,"")</f>
        <v/>
      </c>
      <c r="PBX48" s="84" t="str">
        <f>IF(ISNUMBER(outYear),PBX37+PBX42+#REF!+#REF!,"")</f>
        <v/>
      </c>
      <c r="PBY48" s="84" t="str">
        <f>IF(ISNUMBER(outYear),PBY37+PBY42+#REF!+#REF!,"")</f>
        <v/>
      </c>
      <c r="PBZ48" s="84" t="str">
        <f>IF(ISNUMBER(outYear),PBZ37+PBZ42+#REF!+#REF!,"")</f>
        <v/>
      </c>
      <c r="PCA48" s="84" t="str">
        <f>IF(ISNUMBER(outYear),PCA37+PCA42+#REF!+#REF!,"")</f>
        <v/>
      </c>
      <c r="PCB48" s="84" t="str">
        <f>IF(ISNUMBER(outYear),PCB37+PCB42+#REF!+#REF!,"")</f>
        <v/>
      </c>
      <c r="PCC48" s="84" t="str">
        <f>IF(ISNUMBER(outYear),PCC37+PCC42+#REF!+#REF!,"")</f>
        <v/>
      </c>
      <c r="PCD48" s="84" t="str">
        <f>IF(ISNUMBER(outYear),PCD37+PCD42+#REF!+#REF!,"")</f>
        <v/>
      </c>
      <c r="PCE48" s="84" t="str">
        <f>IF(ISNUMBER(outYear),PCE37+PCE42+#REF!+#REF!,"")</f>
        <v/>
      </c>
      <c r="PCF48" s="84" t="str">
        <f>IF(ISNUMBER(outYear),PCF37+PCF42+#REF!+#REF!,"")</f>
        <v/>
      </c>
      <c r="PCG48" s="84" t="str">
        <f>IF(ISNUMBER(outYear),PCG37+PCG42+#REF!+#REF!,"")</f>
        <v/>
      </c>
      <c r="PCH48" s="84" t="str">
        <f>IF(ISNUMBER(outYear),PCH37+PCH42+#REF!+#REF!,"")</f>
        <v/>
      </c>
      <c r="PCI48" s="84" t="str">
        <f>IF(ISNUMBER(outYear),PCI37+PCI42+#REF!+#REF!,"")</f>
        <v/>
      </c>
      <c r="PCJ48" s="84" t="str">
        <f>IF(ISNUMBER(outYear),PCJ37+PCJ42+#REF!+#REF!,"")</f>
        <v/>
      </c>
      <c r="PCK48" s="84" t="str">
        <f>IF(ISNUMBER(outYear),PCK37+PCK42+#REF!+#REF!,"")</f>
        <v/>
      </c>
      <c r="PCL48" s="84" t="str">
        <f>IF(ISNUMBER(outYear),PCL37+PCL42+#REF!+#REF!,"")</f>
        <v/>
      </c>
      <c r="PCM48" s="84" t="str">
        <f>IF(ISNUMBER(outYear),PCM37+PCM42+#REF!+#REF!,"")</f>
        <v/>
      </c>
      <c r="PCN48" s="84" t="str">
        <f>IF(ISNUMBER(outYear),PCN37+PCN42+#REF!+#REF!,"")</f>
        <v/>
      </c>
      <c r="PCO48" s="84" t="str">
        <f>IF(ISNUMBER(outYear),PCO37+PCO42+#REF!+#REF!,"")</f>
        <v/>
      </c>
      <c r="PCP48" s="84" t="str">
        <f>IF(ISNUMBER(outYear),PCP37+PCP42+#REF!+#REF!,"")</f>
        <v/>
      </c>
      <c r="PCQ48" s="84" t="str">
        <f>IF(ISNUMBER(outYear),PCQ37+PCQ42+#REF!+#REF!,"")</f>
        <v/>
      </c>
      <c r="PCR48" s="84" t="str">
        <f>IF(ISNUMBER(outYear),PCR37+PCR42+#REF!+#REF!,"")</f>
        <v/>
      </c>
      <c r="PCS48" s="84" t="str">
        <f>IF(ISNUMBER(outYear),PCS37+PCS42+#REF!+#REF!,"")</f>
        <v/>
      </c>
      <c r="PCT48" s="84" t="str">
        <f>IF(ISNUMBER(outYear),PCT37+PCT42+#REF!+#REF!,"")</f>
        <v/>
      </c>
      <c r="PCU48" s="84" t="str">
        <f>IF(ISNUMBER(outYear),PCU37+PCU42+#REF!+#REF!,"")</f>
        <v/>
      </c>
      <c r="PCV48" s="84" t="str">
        <f>IF(ISNUMBER(outYear),PCV37+PCV42+#REF!+#REF!,"")</f>
        <v/>
      </c>
      <c r="PCW48" s="84" t="str">
        <f>IF(ISNUMBER(outYear),PCW37+PCW42+#REF!+#REF!,"")</f>
        <v/>
      </c>
      <c r="PCX48" s="84" t="str">
        <f>IF(ISNUMBER(outYear),PCX37+PCX42+#REF!+#REF!,"")</f>
        <v/>
      </c>
      <c r="PCY48" s="84" t="str">
        <f>IF(ISNUMBER(outYear),PCY37+PCY42+#REF!+#REF!,"")</f>
        <v/>
      </c>
      <c r="PCZ48" s="84" t="str">
        <f>IF(ISNUMBER(outYear),PCZ37+PCZ42+#REF!+#REF!,"")</f>
        <v/>
      </c>
      <c r="PDA48" s="84" t="str">
        <f>IF(ISNUMBER(outYear),PDA37+PDA42+#REF!+#REF!,"")</f>
        <v/>
      </c>
      <c r="PDB48" s="84" t="str">
        <f>IF(ISNUMBER(outYear),PDB37+PDB42+#REF!+#REF!,"")</f>
        <v/>
      </c>
      <c r="PDC48" s="84" t="str">
        <f>IF(ISNUMBER(outYear),PDC37+PDC42+#REF!+#REF!,"")</f>
        <v/>
      </c>
      <c r="PDD48" s="84" t="str">
        <f>IF(ISNUMBER(outYear),PDD37+PDD42+#REF!+#REF!,"")</f>
        <v/>
      </c>
      <c r="PDE48" s="84" t="str">
        <f>IF(ISNUMBER(outYear),PDE37+PDE42+#REF!+#REF!,"")</f>
        <v/>
      </c>
      <c r="PDF48" s="84" t="str">
        <f>IF(ISNUMBER(outYear),PDF37+PDF42+#REF!+#REF!,"")</f>
        <v/>
      </c>
      <c r="PDG48" s="84" t="str">
        <f>IF(ISNUMBER(outYear),PDG37+PDG42+#REF!+#REF!,"")</f>
        <v/>
      </c>
      <c r="PDH48" s="84" t="str">
        <f>IF(ISNUMBER(outYear),PDH37+PDH42+#REF!+#REF!,"")</f>
        <v/>
      </c>
      <c r="PDI48" s="84" t="str">
        <f>IF(ISNUMBER(outYear),PDI37+PDI42+#REF!+#REF!,"")</f>
        <v/>
      </c>
      <c r="PDJ48" s="84" t="str">
        <f>IF(ISNUMBER(outYear),PDJ37+PDJ42+#REF!+#REF!,"")</f>
        <v/>
      </c>
      <c r="PDK48" s="84" t="str">
        <f>IF(ISNUMBER(outYear),PDK37+PDK42+#REF!+#REF!,"")</f>
        <v/>
      </c>
      <c r="PDL48" s="84" t="str">
        <f>IF(ISNUMBER(outYear),PDL37+PDL42+#REF!+#REF!,"")</f>
        <v/>
      </c>
      <c r="PDM48" s="84" t="str">
        <f>IF(ISNUMBER(outYear),PDM37+PDM42+#REF!+#REF!,"")</f>
        <v/>
      </c>
      <c r="PDN48" s="84" t="str">
        <f>IF(ISNUMBER(outYear),PDN37+PDN42+#REF!+#REF!,"")</f>
        <v/>
      </c>
      <c r="PDO48" s="84" t="str">
        <f>IF(ISNUMBER(outYear),PDO37+PDO42+#REF!+#REF!,"")</f>
        <v/>
      </c>
      <c r="PDP48" s="84" t="str">
        <f>IF(ISNUMBER(outYear),PDP37+PDP42+#REF!+#REF!,"")</f>
        <v/>
      </c>
      <c r="PDQ48" s="84" t="str">
        <f>IF(ISNUMBER(outYear),PDQ37+PDQ42+#REF!+#REF!,"")</f>
        <v/>
      </c>
      <c r="PDR48" s="84" t="str">
        <f>IF(ISNUMBER(outYear),PDR37+PDR42+#REF!+#REF!,"")</f>
        <v/>
      </c>
      <c r="PDS48" s="84" t="str">
        <f>IF(ISNUMBER(outYear),PDS37+PDS42+#REF!+#REF!,"")</f>
        <v/>
      </c>
      <c r="PDT48" s="84" t="str">
        <f>IF(ISNUMBER(outYear),PDT37+PDT42+#REF!+#REF!,"")</f>
        <v/>
      </c>
      <c r="PDU48" s="84" t="str">
        <f>IF(ISNUMBER(outYear),PDU37+PDU42+#REF!+#REF!,"")</f>
        <v/>
      </c>
      <c r="PDV48" s="84" t="str">
        <f>IF(ISNUMBER(outYear),PDV37+PDV42+#REF!+#REF!,"")</f>
        <v/>
      </c>
      <c r="PDW48" s="84" t="str">
        <f>IF(ISNUMBER(outYear),PDW37+PDW42+#REF!+#REF!,"")</f>
        <v/>
      </c>
      <c r="PDX48" s="84" t="str">
        <f>IF(ISNUMBER(outYear),PDX37+PDX42+#REF!+#REF!,"")</f>
        <v/>
      </c>
      <c r="PDY48" s="84" t="str">
        <f>IF(ISNUMBER(outYear),PDY37+PDY42+#REF!+#REF!,"")</f>
        <v/>
      </c>
      <c r="PDZ48" s="84" t="str">
        <f>IF(ISNUMBER(outYear),PDZ37+PDZ42+#REF!+#REF!,"")</f>
        <v/>
      </c>
      <c r="PEA48" s="84" t="str">
        <f>IF(ISNUMBER(outYear),PEA37+PEA42+#REF!+#REF!,"")</f>
        <v/>
      </c>
      <c r="PEB48" s="84" t="str">
        <f>IF(ISNUMBER(outYear),PEB37+PEB42+#REF!+#REF!,"")</f>
        <v/>
      </c>
      <c r="PEC48" s="84" t="str">
        <f>IF(ISNUMBER(outYear),PEC37+PEC42+#REF!+#REF!,"")</f>
        <v/>
      </c>
      <c r="PED48" s="84" t="str">
        <f>IF(ISNUMBER(outYear),PED37+PED42+#REF!+#REF!,"")</f>
        <v/>
      </c>
      <c r="PEE48" s="84" t="str">
        <f>IF(ISNUMBER(outYear),PEE37+PEE42+#REF!+#REF!,"")</f>
        <v/>
      </c>
      <c r="PEF48" s="84" t="str">
        <f>IF(ISNUMBER(outYear),PEF37+PEF42+#REF!+#REF!,"")</f>
        <v/>
      </c>
      <c r="PEG48" s="84" t="str">
        <f>IF(ISNUMBER(outYear),PEG37+PEG42+#REF!+#REF!,"")</f>
        <v/>
      </c>
      <c r="PEH48" s="84" t="str">
        <f>IF(ISNUMBER(outYear),PEH37+PEH42+#REF!+#REF!,"")</f>
        <v/>
      </c>
      <c r="PEI48" s="84" t="str">
        <f>IF(ISNUMBER(outYear),PEI37+PEI42+#REF!+#REF!,"")</f>
        <v/>
      </c>
      <c r="PEJ48" s="84" t="str">
        <f>IF(ISNUMBER(outYear),PEJ37+PEJ42+#REF!+#REF!,"")</f>
        <v/>
      </c>
      <c r="PEK48" s="84" t="str">
        <f>IF(ISNUMBER(outYear),PEK37+PEK42+#REF!+#REF!,"")</f>
        <v/>
      </c>
      <c r="PEL48" s="84" t="str">
        <f>IF(ISNUMBER(outYear),PEL37+PEL42+#REF!+#REF!,"")</f>
        <v/>
      </c>
      <c r="PEM48" s="84" t="str">
        <f>IF(ISNUMBER(outYear),PEM37+PEM42+#REF!+#REF!,"")</f>
        <v/>
      </c>
      <c r="PEN48" s="84" t="str">
        <f>IF(ISNUMBER(outYear),PEN37+PEN42+#REF!+#REF!,"")</f>
        <v/>
      </c>
      <c r="PEO48" s="84" t="str">
        <f>IF(ISNUMBER(outYear),PEO37+PEO42+#REF!+#REF!,"")</f>
        <v/>
      </c>
      <c r="PEP48" s="84" t="str">
        <f>IF(ISNUMBER(outYear),PEP37+PEP42+#REF!+#REF!,"")</f>
        <v/>
      </c>
      <c r="PEQ48" s="84" t="str">
        <f>IF(ISNUMBER(outYear),PEQ37+PEQ42+#REF!+#REF!,"")</f>
        <v/>
      </c>
      <c r="PER48" s="84" t="str">
        <f>IF(ISNUMBER(outYear),PER37+PER42+#REF!+#REF!,"")</f>
        <v/>
      </c>
      <c r="PES48" s="84" t="str">
        <f>IF(ISNUMBER(outYear),PES37+PES42+#REF!+#REF!,"")</f>
        <v/>
      </c>
      <c r="PET48" s="84" t="str">
        <f>IF(ISNUMBER(outYear),PET37+PET42+#REF!+#REF!,"")</f>
        <v/>
      </c>
      <c r="PEU48" s="84" t="str">
        <f>IF(ISNUMBER(outYear),PEU37+PEU42+#REF!+#REF!,"")</f>
        <v/>
      </c>
      <c r="PEV48" s="84" t="str">
        <f>IF(ISNUMBER(outYear),PEV37+PEV42+#REF!+#REF!,"")</f>
        <v/>
      </c>
      <c r="PEW48" s="84" t="str">
        <f>IF(ISNUMBER(outYear),PEW37+PEW42+#REF!+#REF!,"")</f>
        <v/>
      </c>
      <c r="PEX48" s="84" t="str">
        <f>IF(ISNUMBER(outYear),PEX37+PEX42+#REF!+#REF!,"")</f>
        <v/>
      </c>
      <c r="PEY48" s="84" t="str">
        <f>IF(ISNUMBER(outYear),PEY37+PEY42+#REF!+#REF!,"")</f>
        <v/>
      </c>
      <c r="PEZ48" s="84" t="str">
        <f>IF(ISNUMBER(outYear),PEZ37+PEZ42+#REF!+#REF!,"")</f>
        <v/>
      </c>
      <c r="PFA48" s="84" t="str">
        <f>IF(ISNUMBER(outYear),PFA37+PFA42+#REF!+#REF!,"")</f>
        <v/>
      </c>
      <c r="PFB48" s="84" t="str">
        <f>IF(ISNUMBER(outYear),PFB37+PFB42+#REF!+#REF!,"")</f>
        <v/>
      </c>
      <c r="PFC48" s="84" t="str">
        <f>IF(ISNUMBER(outYear),PFC37+PFC42+#REF!+#REF!,"")</f>
        <v/>
      </c>
      <c r="PFD48" s="84" t="str">
        <f>IF(ISNUMBER(outYear),PFD37+PFD42+#REF!+#REF!,"")</f>
        <v/>
      </c>
      <c r="PFE48" s="84" t="str">
        <f>IF(ISNUMBER(outYear),PFE37+PFE42+#REF!+#REF!,"")</f>
        <v/>
      </c>
      <c r="PFF48" s="84" t="str">
        <f>IF(ISNUMBER(outYear),PFF37+PFF42+#REF!+#REF!,"")</f>
        <v/>
      </c>
      <c r="PFG48" s="84" t="str">
        <f>IF(ISNUMBER(outYear),PFG37+PFG42+#REF!+#REF!,"")</f>
        <v/>
      </c>
      <c r="PFH48" s="84" t="str">
        <f>IF(ISNUMBER(outYear),PFH37+PFH42+#REF!+#REF!,"")</f>
        <v/>
      </c>
      <c r="PFI48" s="84" t="str">
        <f>IF(ISNUMBER(outYear),PFI37+PFI42+#REF!+#REF!,"")</f>
        <v/>
      </c>
      <c r="PFJ48" s="84" t="str">
        <f>IF(ISNUMBER(outYear),PFJ37+PFJ42+#REF!+#REF!,"")</f>
        <v/>
      </c>
      <c r="PFK48" s="84" t="str">
        <f>IF(ISNUMBER(outYear),PFK37+PFK42+#REF!+#REF!,"")</f>
        <v/>
      </c>
      <c r="PFL48" s="84" t="str">
        <f>IF(ISNUMBER(outYear),PFL37+PFL42+#REF!+#REF!,"")</f>
        <v/>
      </c>
      <c r="PFM48" s="84" t="str">
        <f>IF(ISNUMBER(outYear),PFM37+PFM42+#REF!+#REF!,"")</f>
        <v/>
      </c>
      <c r="PFN48" s="84" t="str">
        <f>IF(ISNUMBER(outYear),PFN37+PFN42+#REF!+#REF!,"")</f>
        <v/>
      </c>
      <c r="PFO48" s="84" t="str">
        <f>IF(ISNUMBER(outYear),PFO37+PFO42+#REF!+#REF!,"")</f>
        <v/>
      </c>
      <c r="PFP48" s="84" t="str">
        <f>IF(ISNUMBER(outYear),PFP37+PFP42+#REF!+#REF!,"")</f>
        <v/>
      </c>
      <c r="PFQ48" s="84" t="str">
        <f>IF(ISNUMBER(outYear),PFQ37+PFQ42+#REF!+#REF!,"")</f>
        <v/>
      </c>
      <c r="PFR48" s="84" t="str">
        <f>IF(ISNUMBER(outYear),PFR37+PFR42+#REF!+#REF!,"")</f>
        <v/>
      </c>
      <c r="PFS48" s="84" t="str">
        <f>IF(ISNUMBER(outYear),PFS37+PFS42+#REF!+#REF!,"")</f>
        <v/>
      </c>
      <c r="PFT48" s="84" t="str">
        <f>IF(ISNUMBER(outYear),PFT37+PFT42+#REF!+#REF!,"")</f>
        <v/>
      </c>
      <c r="PFU48" s="84" t="str">
        <f>IF(ISNUMBER(outYear),PFU37+PFU42+#REF!+#REF!,"")</f>
        <v/>
      </c>
      <c r="PFV48" s="84" t="str">
        <f>IF(ISNUMBER(outYear),PFV37+PFV42+#REF!+#REF!,"")</f>
        <v/>
      </c>
      <c r="PFW48" s="84" t="str">
        <f>IF(ISNUMBER(outYear),PFW37+PFW42+#REF!+#REF!,"")</f>
        <v/>
      </c>
      <c r="PFX48" s="84" t="str">
        <f>IF(ISNUMBER(outYear),PFX37+PFX42+#REF!+#REF!,"")</f>
        <v/>
      </c>
      <c r="PFY48" s="84" t="str">
        <f>IF(ISNUMBER(outYear),PFY37+PFY42+#REF!+#REF!,"")</f>
        <v/>
      </c>
      <c r="PFZ48" s="84" t="str">
        <f>IF(ISNUMBER(outYear),PFZ37+PFZ42+#REF!+#REF!,"")</f>
        <v/>
      </c>
      <c r="PGA48" s="84" t="str">
        <f>IF(ISNUMBER(outYear),PGA37+PGA42+#REF!+#REF!,"")</f>
        <v/>
      </c>
      <c r="PGB48" s="84" t="str">
        <f>IF(ISNUMBER(outYear),PGB37+PGB42+#REF!+#REF!,"")</f>
        <v/>
      </c>
      <c r="PGC48" s="84" t="str">
        <f>IF(ISNUMBER(outYear),PGC37+PGC42+#REF!+#REF!,"")</f>
        <v/>
      </c>
      <c r="PGD48" s="84" t="str">
        <f>IF(ISNUMBER(outYear),PGD37+PGD42+#REF!+#REF!,"")</f>
        <v/>
      </c>
      <c r="PGE48" s="84" t="str">
        <f>IF(ISNUMBER(outYear),PGE37+PGE42+#REF!+#REF!,"")</f>
        <v/>
      </c>
      <c r="PGF48" s="84" t="str">
        <f>IF(ISNUMBER(outYear),PGF37+PGF42+#REF!+#REF!,"")</f>
        <v/>
      </c>
      <c r="PGG48" s="84" t="str">
        <f>IF(ISNUMBER(outYear),PGG37+PGG42+#REF!+#REF!,"")</f>
        <v/>
      </c>
      <c r="PGH48" s="84" t="str">
        <f>IF(ISNUMBER(outYear),PGH37+PGH42+#REF!+#REF!,"")</f>
        <v/>
      </c>
      <c r="PGI48" s="84" t="str">
        <f>IF(ISNUMBER(outYear),PGI37+PGI42+#REF!+#REF!,"")</f>
        <v/>
      </c>
      <c r="PGJ48" s="84" t="str">
        <f>IF(ISNUMBER(outYear),PGJ37+PGJ42+#REF!+#REF!,"")</f>
        <v/>
      </c>
      <c r="PGK48" s="84" t="str">
        <f>IF(ISNUMBER(outYear),PGK37+PGK42+#REF!+#REF!,"")</f>
        <v/>
      </c>
      <c r="PGL48" s="84" t="str">
        <f>IF(ISNUMBER(outYear),PGL37+PGL42+#REF!+#REF!,"")</f>
        <v/>
      </c>
      <c r="PGM48" s="84" t="str">
        <f>IF(ISNUMBER(outYear),PGM37+PGM42+#REF!+#REF!,"")</f>
        <v/>
      </c>
      <c r="PGN48" s="84" t="str">
        <f>IF(ISNUMBER(outYear),PGN37+PGN42+#REF!+#REF!,"")</f>
        <v/>
      </c>
      <c r="PGO48" s="84" t="str">
        <f>IF(ISNUMBER(outYear),PGO37+PGO42+#REF!+#REF!,"")</f>
        <v/>
      </c>
      <c r="PGP48" s="84" t="str">
        <f>IF(ISNUMBER(outYear),PGP37+PGP42+#REF!+#REF!,"")</f>
        <v/>
      </c>
      <c r="PGQ48" s="84" t="str">
        <f>IF(ISNUMBER(outYear),PGQ37+PGQ42+#REF!+#REF!,"")</f>
        <v/>
      </c>
      <c r="PGR48" s="84" t="str">
        <f>IF(ISNUMBER(outYear),PGR37+PGR42+#REF!+#REF!,"")</f>
        <v/>
      </c>
      <c r="PGS48" s="84" t="str">
        <f>IF(ISNUMBER(outYear),PGS37+PGS42+#REF!+#REF!,"")</f>
        <v/>
      </c>
      <c r="PGT48" s="84" t="str">
        <f>IF(ISNUMBER(outYear),PGT37+PGT42+#REF!+#REF!,"")</f>
        <v/>
      </c>
      <c r="PGU48" s="84" t="str">
        <f>IF(ISNUMBER(outYear),PGU37+PGU42+#REF!+#REF!,"")</f>
        <v/>
      </c>
      <c r="PGV48" s="84" t="str">
        <f>IF(ISNUMBER(outYear),PGV37+PGV42+#REF!+#REF!,"")</f>
        <v/>
      </c>
      <c r="PGW48" s="84" t="str">
        <f>IF(ISNUMBER(outYear),PGW37+PGW42+#REF!+#REF!,"")</f>
        <v/>
      </c>
      <c r="PGX48" s="84" t="str">
        <f>IF(ISNUMBER(outYear),PGX37+PGX42+#REF!+#REF!,"")</f>
        <v/>
      </c>
      <c r="PGY48" s="84" t="str">
        <f>IF(ISNUMBER(outYear),PGY37+PGY42+#REF!+#REF!,"")</f>
        <v/>
      </c>
      <c r="PGZ48" s="84" t="str">
        <f>IF(ISNUMBER(outYear),PGZ37+PGZ42+#REF!+#REF!,"")</f>
        <v/>
      </c>
      <c r="PHA48" s="84" t="str">
        <f>IF(ISNUMBER(outYear),PHA37+PHA42+#REF!+#REF!,"")</f>
        <v/>
      </c>
      <c r="PHB48" s="84" t="str">
        <f>IF(ISNUMBER(outYear),PHB37+PHB42+#REF!+#REF!,"")</f>
        <v/>
      </c>
      <c r="PHC48" s="84" t="str">
        <f>IF(ISNUMBER(outYear),PHC37+PHC42+#REF!+#REF!,"")</f>
        <v/>
      </c>
      <c r="PHD48" s="84" t="str">
        <f>IF(ISNUMBER(outYear),PHD37+PHD42+#REF!+#REF!,"")</f>
        <v/>
      </c>
      <c r="PHE48" s="84" t="str">
        <f>IF(ISNUMBER(outYear),PHE37+PHE42+#REF!+#REF!,"")</f>
        <v/>
      </c>
      <c r="PHF48" s="84" t="str">
        <f>IF(ISNUMBER(outYear),PHF37+PHF42+#REF!+#REF!,"")</f>
        <v/>
      </c>
      <c r="PHG48" s="84" t="str">
        <f>IF(ISNUMBER(outYear),PHG37+PHG42+#REF!+#REF!,"")</f>
        <v/>
      </c>
      <c r="PHH48" s="84" t="str">
        <f>IF(ISNUMBER(outYear),PHH37+PHH42+#REF!+#REF!,"")</f>
        <v/>
      </c>
      <c r="PHI48" s="84" t="str">
        <f>IF(ISNUMBER(outYear),PHI37+PHI42+#REF!+#REF!,"")</f>
        <v/>
      </c>
      <c r="PHJ48" s="84" t="str">
        <f>IF(ISNUMBER(outYear),PHJ37+PHJ42+#REF!+#REF!,"")</f>
        <v/>
      </c>
      <c r="PHK48" s="84" t="str">
        <f>IF(ISNUMBER(outYear),PHK37+PHK42+#REF!+#REF!,"")</f>
        <v/>
      </c>
      <c r="PHL48" s="84" t="str">
        <f>IF(ISNUMBER(outYear),PHL37+PHL42+#REF!+#REF!,"")</f>
        <v/>
      </c>
      <c r="PHM48" s="84" t="str">
        <f>IF(ISNUMBER(outYear),PHM37+PHM42+#REF!+#REF!,"")</f>
        <v/>
      </c>
      <c r="PHN48" s="84" t="str">
        <f>IF(ISNUMBER(outYear),PHN37+PHN42+#REF!+#REF!,"")</f>
        <v/>
      </c>
      <c r="PHO48" s="84" t="str">
        <f>IF(ISNUMBER(outYear),PHO37+PHO42+#REF!+#REF!,"")</f>
        <v/>
      </c>
      <c r="PHP48" s="84" t="str">
        <f>IF(ISNUMBER(outYear),PHP37+PHP42+#REF!+#REF!,"")</f>
        <v/>
      </c>
      <c r="PHQ48" s="84" t="str">
        <f>IF(ISNUMBER(outYear),PHQ37+PHQ42+#REF!+#REF!,"")</f>
        <v/>
      </c>
      <c r="PHR48" s="84" t="str">
        <f>IF(ISNUMBER(outYear),PHR37+PHR42+#REF!+#REF!,"")</f>
        <v/>
      </c>
      <c r="PHS48" s="84" t="str">
        <f>IF(ISNUMBER(outYear),PHS37+PHS42+#REF!+#REF!,"")</f>
        <v/>
      </c>
      <c r="PHT48" s="84" t="str">
        <f>IF(ISNUMBER(outYear),PHT37+PHT42+#REF!+#REF!,"")</f>
        <v/>
      </c>
      <c r="PHU48" s="84" t="str">
        <f>IF(ISNUMBER(outYear),PHU37+PHU42+#REF!+#REF!,"")</f>
        <v/>
      </c>
      <c r="PHV48" s="84" t="str">
        <f>IF(ISNUMBER(outYear),PHV37+PHV42+#REF!+#REF!,"")</f>
        <v/>
      </c>
      <c r="PHW48" s="84" t="str">
        <f>IF(ISNUMBER(outYear),PHW37+PHW42+#REF!+#REF!,"")</f>
        <v/>
      </c>
      <c r="PHX48" s="84" t="str">
        <f>IF(ISNUMBER(outYear),PHX37+PHX42+#REF!+#REF!,"")</f>
        <v/>
      </c>
      <c r="PHY48" s="84" t="str">
        <f>IF(ISNUMBER(outYear),PHY37+PHY42+#REF!+#REF!,"")</f>
        <v/>
      </c>
      <c r="PHZ48" s="84" t="str">
        <f>IF(ISNUMBER(outYear),PHZ37+PHZ42+#REF!+#REF!,"")</f>
        <v/>
      </c>
      <c r="PIA48" s="84" t="str">
        <f>IF(ISNUMBER(outYear),PIA37+PIA42+#REF!+#REF!,"")</f>
        <v/>
      </c>
      <c r="PIB48" s="84" t="str">
        <f>IF(ISNUMBER(outYear),PIB37+PIB42+#REF!+#REF!,"")</f>
        <v/>
      </c>
      <c r="PIC48" s="84" t="str">
        <f>IF(ISNUMBER(outYear),PIC37+PIC42+#REF!+#REF!,"")</f>
        <v/>
      </c>
      <c r="PID48" s="84" t="str">
        <f>IF(ISNUMBER(outYear),PID37+PID42+#REF!+#REF!,"")</f>
        <v/>
      </c>
      <c r="PIE48" s="84" t="str">
        <f>IF(ISNUMBER(outYear),PIE37+PIE42+#REF!+#REF!,"")</f>
        <v/>
      </c>
      <c r="PIF48" s="84" t="str">
        <f>IF(ISNUMBER(outYear),PIF37+PIF42+#REF!+#REF!,"")</f>
        <v/>
      </c>
      <c r="PIG48" s="84" t="str">
        <f>IF(ISNUMBER(outYear),PIG37+PIG42+#REF!+#REF!,"")</f>
        <v/>
      </c>
      <c r="PIH48" s="84" t="str">
        <f>IF(ISNUMBER(outYear),PIH37+PIH42+#REF!+#REF!,"")</f>
        <v/>
      </c>
      <c r="PII48" s="84" t="str">
        <f>IF(ISNUMBER(outYear),PII37+PII42+#REF!+#REF!,"")</f>
        <v/>
      </c>
      <c r="PIJ48" s="84" t="str">
        <f>IF(ISNUMBER(outYear),PIJ37+PIJ42+#REF!+#REF!,"")</f>
        <v/>
      </c>
      <c r="PIK48" s="84" t="str">
        <f>IF(ISNUMBER(outYear),PIK37+PIK42+#REF!+#REF!,"")</f>
        <v/>
      </c>
      <c r="PIL48" s="84" t="str">
        <f>IF(ISNUMBER(outYear),PIL37+PIL42+#REF!+#REF!,"")</f>
        <v/>
      </c>
      <c r="PIM48" s="84" t="str">
        <f>IF(ISNUMBER(outYear),PIM37+PIM42+#REF!+#REF!,"")</f>
        <v/>
      </c>
      <c r="PIN48" s="84" t="str">
        <f>IF(ISNUMBER(outYear),PIN37+PIN42+#REF!+#REF!,"")</f>
        <v/>
      </c>
      <c r="PIO48" s="84" t="str">
        <f>IF(ISNUMBER(outYear),PIO37+PIO42+#REF!+#REF!,"")</f>
        <v/>
      </c>
      <c r="PIP48" s="84" t="str">
        <f>IF(ISNUMBER(outYear),PIP37+PIP42+#REF!+#REF!,"")</f>
        <v/>
      </c>
      <c r="PIQ48" s="84" t="str">
        <f>IF(ISNUMBER(outYear),PIQ37+PIQ42+#REF!+#REF!,"")</f>
        <v/>
      </c>
      <c r="PIR48" s="84" t="str">
        <f>IF(ISNUMBER(outYear),PIR37+PIR42+#REF!+#REF!,"")</f>
        <v/>
      </c>
      <c r="PIS48" s="84" t="str">
        <f>IF(ISNUMBER(outYear),PIS37+PIS42+#REF!+#REF!,"")</f>
        <v/>
      </c>
      <c r="PIT48" s="84" t="str">
        <f>IF(ISNUMBER(outYear),PIT37+PIT42+#REF!+#REF!,"")</f>
        <v/>
      </c>
      <c r="PIU48" s="84" t="str">
        <f>IF(ISNUMBER(outYear),PIU37+PIU42+#REF!+#REF!,"")</f>
        <v/>
      </c>
      <c r="PIV48" s="84" t="str">
        <f>IF(ISNUMBER(outYear),PIV37+PIV42+#REF!+#REF!,"")</f>
        <v/>
      </c>
      <c r="PIW48" s="84" t="str">
        <f>IF(ISNUMBER(outYear),PIW37+PIW42+#REF!+#REF!,"")</f>
        <v/>
      </c>
      <c r="PIX48" s="84" t="str">
        <f>IF(ISNUMBER(outYear),PIX37+PIX42+#REF!+#REF!,"")</f>
        <v/>
      </c>
      <c r="PIY48" s="84" t="str">
        <f>IF(ISNUMBER(outYear),PIY37+PIY42+#REF!+#REF!,"")</f>
        <v/>
      </c>
      <c r="PIZ48" s="84" t="str">
        <f>IF(ISNUMBER(outYear),PIZ37+PIZ42+#REF!+#REF!,"")</f>
        <v/>
      </c>
      <c r="PJA48" s="84" t="str">
        <f>IF(ISNUMBER(outYear),PJA37+PJA42+#REF!+#REF!,"")</f>
        <v/>
      </c>
      <c r="PJB48" s="84" t="str">
        <f>IF(ISNUMBER(outYear),PJB37+PJB42+#REF!+#REF!,"")</f>
        <v/>
      </c>
      <c r="PJC48" s="84" t="str">
        <f>IF(ISNUMBER(outYear),PJC37+PJC42+#REF!+#REF!,"")</f>
        <v/>
      </c>
      <c r="PJD48" s="84" t="str">
        <f>IF(ISNUMBER(outYear),PJD37+PJD42+#REF!+#REF!,"")</f>
        <v/>
      </c>
      <c r="PJE48" s="84" t="str">
        <f>IF(ISNUMBER(outYear),PJE37+PJE42+#REF!+#REF!,"")</f>
        <v/>
      </c>
      <c r="PJF48" s="84" t="str">
        <f>IF(ISNUMBER(outYear),PJF37+PJF42+#REF!+#REF!,"")</f>
        <v/>
      </c>
      <c r="PJG48" s="84" t="str">
        <f>IF(ISNUMBER(outYear),PJG37+PJG42+#REF!+#REF!,"")</f>
        <v/>
      </c>
      <c r="PJH48" s="84" t="str">
        <f>IF(ISNUMBER(outYear),PJH37+PJH42+#REF!+#REF!,"")</f>
        <v/>
      </c>
      <c r="PJI48" s="84" t="str">
        <f>IF(ISNUMBER(outYear),PJI37+PJI42+#REF!+#REF!,"")</f>
        <v/>
      </c>
      <c r="PJJ48" s="84" t="str">
        <f>IF(ISNUMBER(outYear),PJJ37+PJJ42+#REF!+#REF!,"")</f>
        <v/>
      </c>
      <c r="PJK48" s="84" t="str">
        <f>IF(ISNUMBER(outYear),PJK37+PJK42+#REF!+#REF!,"")</f>
        <v/>
      </c>
      <c r="PJL48" s="84" t="str">
        <f>IF(ISNUMBER(outYear),PJL37+PJL42+#REF!+#REF!,"")</f>
        <v/>
      </c>
      <c r="PJM48" s="84" t="str">
        <f>IF(ISNUMBER(outYear),PJM37+PJM42+#REF!+#REF!,"")</f>
        <v/>
      </c>
      <c r="PJN48" s="84" t="str">
        <f>IF(ISNUMBER(outYear),PJN37+PJN42+#REF!+#REF!,"")</f>
        <v/>
      </c>
      <c r="PJO48" s="84" t="str">
        <f>IF(ISNUMBER(outYear),PJO37+PJO42+#REF!+#REF!,"")</f>
        <v/>
      </c>
      <c r="PJP48" s="84" t="str">
        <f>IF(ISNUMBER(outYear),PJP37+PJP42+#REF!+#REF!,"")</f>
        <v/>
      </c>
      <c r="PJQ48" s="84" t="str">
        <f>IF(ISNUMBER(outYear),PJQ37+PJQ42+#REF!+#REF!,"")</f>
        <v/>
      </c>
      <c r="PJR48" s="84" t="str">
        <f>IF(ISNUMBER(outYear),PJR37+PJR42+#REF!+#REF!,"")</f>
        <v/>
      </c>
      <c r="PJS48" s="84" t="str">
        <f>IF(ISNUMBER(outYear),PJS37+PJS42+#REF!+#REF!,"")</f>
        <v/>
      </c>
      <c r="PJT48" s="84" t="str">
        <f>IF(ISNUMBER(outYear),PJT37+PJT42+#REF!+#REF!,"")</f>
        <v/>
      </c>
      <c r="PJU48" s="84" t="str">
        <f>IF(ISNUMBER(outYear),PJU37+PJU42+#REF!+#REF!,"")</f>
        <v/>
      </c>
      <c r="PJV48" s="84" t="str">
        <f>IF(ISNUMBER(outYear),PJV37+PJV42+#REF!+#REF!,"")</f>
        <v/>
      </c>
      <c r="PJW48" s="84" t="str">
        <f>IF(ISNUMBER(outYear),PJW37+PJW42+#REF!+#REF!,"")</f>
        <v/>
      </c>
      <c r="PJX48" s="84" t="str">
        <f>IF(ISNUMBER(outYear),PJX37+PJX42+#REF!+#REF!,"")</f>
        <v/>
      </c>
      <c r="PJY48" s="84" t="str">
        <f>IF(ISNUMBER(outYear),PJY37+PJY42+#REF!+#REF!,"")</f>
        <v/>
      </c>
      <c r="PJZ48" s="84" t="str">
        <f>IF(ISNUMBER(outYear),PJZ37+PJZ42+#REF!+#REF!,"")</f>
        <v/>
      </c>
      <c r="PKA48" s="84" t="str">
        <f>IF(ISNUMBER(outYear),PKA37+PKA42+#REF!+#REF!,"")</f>
        <v/>
      </c>
      <c r="PKB48" s="84" t="str">
        <f>IF(ISNUMBER(outYear),PKB37+PKB42+#REF!+#REF!,"")</f>
        <v/>
      </c>
      <c r="PKC48" s="84" t="str">
        <f>IF(ISNUMBER(outYear),PKC37+PKC42+#REF!+#REF!,"")</f>
        <v/>
      </c>
      <c r="PKD48" s="84" t="str">
        <f>IF(ISNUMBER(outYear),PKD37+PKD42+#REF!+#REF!,"")</f>
        <v/>
      </c>
      <c r="PKE48" s="84" t="str">
        <f>IF(ISNUMBER(outYear),PKE37+PKE42+#REF!+#REF!,"")</f>
        <v/>
      </c>
      <c r="PKF48" s="84" t="str">
        <f>IF(ISNUMBER(outYear),PKF37+PKF42+#REF!+#REF!,"")</f>
        <v/>
      </c>
      <c r="PKG48" s="84" t="str">
        <f>IF(ISNUMBER(outYear),PKG37+PKG42+#REF!+#REF!,"")</f>
        <v/>
      </c>
      <c r="PKH48" s="84" t="str">
        <f>IF(ISNUMBER(outYear),PKH37+PKH42+#REF!+#REF!,"")</f>
        <v/>
      </c>
      <c r="PKI48" s="84" t="str">
        <f>IF(ISNUMBER(outYear),PKI37+PKI42+#REF!+#REF!,"")</f>
        <v/>
      </c>
      <c r="PKJ48" s="84" t="str">
        <f>IF(ISNUMBER(outYear),PKJ37+PKJ42+#REF!+#REF!,"")</f>
        <v/>
      </c>
      <c r="PKK48" s="84" t="str">
        <f>IF(ISNUMBER(outYear),PKK37+PKK42+#REF!+#REF!,"")</f>
        <v/>
      </c>
      <c r="PKL48" s="84" t="str">
        <f>IF(ISNUMBER(outYear),PKL37+PKL42+#REF!+#REF!,"")</f>
        <v/>
      </c>
      <c r="PKM48" s="84" t="str">
        <f>IF(ISNUMBER(outYear),PKM37+PKM42+#REF!+#REF!,"")</f>
        <v/>
      </c>
      <c r="PKN48" s="84" t="str">
        <f>IF(ISNUMBER(outYear),PKN37+PKN42+#REF!+#REF!,"")</f>
        <v/>
      </c>
      <c r="PKO48" s="84" t="str">
        <f>IF(ISNUMBER(outYear),PKO37+PKO42+#REF!+#REF!,"")</f>
        <v/>
      </c>
      <c r="PKP48" s="84" t="str">
        <f>IF(ISNUMBER(outYear),PKP37+PKP42+#REF!+#REF!,"")</f>
        <v/>
      </c>
      <c r="PKQ48" s="84" t="str">
        <f>IF(ISNUMBER(outYear),PKQ37+PKQ42+#REF!+#REF!,"")</f>
        <v/>
      </c>
      <c r="PKR48" s="84" t="str">
        <f>IF(ISNUMBER(outYear),PKR37+PKR42+#REF!+#REF!,"")</f>
        <v/>
      </c>
      <c r="PKS48" s="84" t="str">
        <f>IF(ISNUMBER(outYear),PKS37+PKS42+#REF!+#REF!,"")</f>
        <v/>
      </c>
      <c r="PKT48" s="84" t="str">
        <f>IF(ISNUMBER(outYear),PKT37+PKT42+#REF!+#REF!,"")</f>
        <v/>
      </c>
      <c r="PKU48" s="84" t="str">
        <f>IF(ISNUMBER(outYear),PKU37+PKU42+#REF!+#REF!,"")</f>
        <v/>
      </c>
      <c r="PKV48" s="84" t="str">
        <f>IF(ISNUMBER(outYear),PKV37+PKV42+#REF!+#REF!,"")</f>
        <v/>
      </c>
      <c r="PKW48" s="84" t="str">
        <f>IF(ISNUMBER(outYear),PKW37+PKW42+#REF!+#REF!,"")</f>
        <v/>
      </c>
      <c r="PKX48" s="84" t="str">
        <f>IF(ISNUMBER(outYear),PKX37+PKX42+#REF!+#REF!,"")</f>
        <v/>
      </c>
      <c r="PKY48" s="84" t="str">
        <f>IF(ISNUMBER(outYear),PKY37+PKY42+#REF!+#REF!,"")</f>
        <v/>
      </c>
      <c r="PKZ48" s="84" t="str">
        <f>IF(ISNUMBER(outYear),PKZ37+PKZ42+#REF!+#REF!,"")</f>
        <v/>
      </c>
      <c r="PLA48" s="84" t="str">
        <f>IF(ISNUMBER(outYear),PLA37+PLA42+#REF!+#REF!,"")</f>
        <v/>
      </c>
      <c r="PLB48" s="84" t="str">
        <f>IF(ISNUMBER(outYear),PLB37+PLB42+#REF!+#REF!,"")</f>
        <v/>
      </c>
      <c r="PLC48" s="84" t="str">
        <f>IF(ISNUMBER(outYear),PLC37+PLC42+#REF!+#REF!,"")</f>
        <v/>
      </c>
      <c r="PLD48" s="84" t="str">
        <f>IF(ISNUMBER(outYear),PLD37+PLD42+#REF!+#REF!,"")</f>
        <v/>
      </c>
      <c r="PLE48" s="84" t="str">
        <f>IF(ISNUMBER(outYear),PLE37+PLE42+#REF!+#REF!,"")</f>
        <v/>
      </c>
      <c r="PLF48" s="84" t="str">
        <f>IF(ISNUMBER(outYear),PLF37+PLF42+#REF!+#REF!,"")</f>
        <v/>
      </c>
      <c r="PLG48" s="84" t="str">
        <f>IF(ISNUMBER(outYear),PLG37+PLG42+#REF!+#REF!,"")</f>
        <v/>
      </c>
      <c r="PLH48" s="84" t="str">
        <f>IF(ISNUMBER(outYear),PLH37+PLH42+#REF!+#REF!,"")</f>
        <v/>
      </c>
      <c r="PLI48" s="84" t="str">
        <f>IF(ISNUMBER(outYear),PLI37+PLI42+#REF!+#REF!,"")</f>
        <v/>
      </c>
      <c r="PLJ48" s="84" t="str">
        <f>IF(ISNUMBER(outYear),PLJ37+PLJ42+#REF!+#REF!,"")</f>
        <v/>
      </c>
      <c r="PLK48" s="84" t="str">
        <f>IF(ISNUMBER(outYear),PLK37+PLK42+#REF!+#REF!,"")</f>
        <v/>
      </c>
      <c r="PLL48" s="84" t="str">
        <f>IF(ISNUMBER(outYear),PLL37+PLL42+#REF!+#REF!,"")</f>
        <v/>
      </c>
      <c r="PLM48" s="84" t="str">
        <f>IF(ISNUMBER(outYear),PLM37+PLM42+#REF!+#REF!,"")</f>
        <v/>
      </c>
      <c r="PLN48" s="84" t="str">
        <f>IF(ISNUMBER(outYear),PLN37+PLN42+#REF!+#REF!,"")</f>
        <v/>
      </c>
      <c r="PLO48" s="84" t="str">
        <f>IF(ISNUMBER(outYear),PLO37+PLO42+#REF!+#REF!,"")</f>
        <v/>
      </c>
      <c r="PLP48" s="84" t="str">
        <f>IF(ISNUMBER(outYear),PLP37+PLP42+#REF!+#REF!,"")</f>
        <v/>
      </c>
      <c r="PLQ48" s="84" t="str">
        <f>IF(ISNUMBER(outYear),PLQ37+PLQ42+#REF!+#REF!,"")</f>
        <v/>
      </c>
      <c r="PLR48" s="84" t="str">
        <f>IF(ISNUMBER(outYear),PLR37+PLR42+#REF!+#REF!,"")</f>
        <v/>
      </c>
      <c r="PLS48" s="84" t="str">
        <f>IF(ISNUMBER(outYear),PLS37+PLS42+#REF!+#REF!,"")</f>
        <v/>
      </c>
      <c r="PLT48" s="84" t="str">
        <f>IF(ISNUMBER(outYear),PLT37+PLT42+#REF!+#REF!,"")</f>
        <v/>
      </c>
      <c r="PLU48" s="84" t="str">
        <f>IF(ISNUMBER(outYear),PLU37+PLU42+#REF!+#REF!,"")</f>
        <v/>
      </c>
      <c r="PLV48" s="84" t="str">
        <f>IF(ISNUMBER(outYear),PLV37+PLV42+#REF!+#REF!,"")</f>
        <v/>
      </c>
      <c r="PLW48" s="84" t="str">
        <f>IF(ISNUMBER(outYear),PLW37+PLW42+#REF!+#REF!,"")</f>
        <v/>
      </c>
      <c r="PLX48" s="84" t="str">
        <f>IF(ISNUMBER(outYear),PLX37+PLX42+#REF!+#REF!,"")</f>
        <v/>
      </c>
      <c r="PLY48" s="84" t="str">
        <f>IF(ISNUMBER(outYear),PLY37+PLY42+#REF!+#REF!,"")</f>
        <v/>
      </c>
      <c r="PLZ48" s="84" t="str">
        <f>IF(ISNUMBER(outYear),PLZ37+PLZ42+#REF!+#REF!,"")</f>
        <v/>
      </c>
      <c r="PMA48" s="84" t="str">
        <f>IF(ISNUMBER(outYear),PMA37+PMA42+#REF!+#REF!,"")</f>
        <v/>
      </c>
      <c r="PMB48" s="84" t="str">
        <f>IF(ISNUMBER(outYear),PMB37+PMB42+#REF!+#REF!,"")</f>
        <v/>
      </c>
      <c r="PMC48" s="84" t="str">
        <f>IF(ISNUMBER(outYear),PMC37+PMC42+#REF!+#REF!,"")</f>
        <v/>
      </c>
      <c r="PMD48" s="84" t="str">
        <f>IF(ISNUMBER(outYear),PMD37+PMD42+#REF!+#REF!,"")</f>
        <v/>
      </c>
      <c r="PME48" s="84" t="str">
        <f>IF(ISNUMBER(outYear),PME37+PME42+#REF!+#REF!,"")</f>
        <v/>
      </c>
      <c r="PMF48" s="84" t="str">
        <f>IF(ISNUMBER(outYear),PMF37+PMF42+#REF!+#REF!,"")</f>
        <v/>
      </c>
      <c r="PMG48" s="84" t="str">
        <f>IF(ISNUMBER(outYear),PMG37+PMG42+#REF!+#REF!,"")</f>
        <v/>
      </c>
      <c r="PMH48" s="84" t="str">
        <f>IF(ISNUMBER(outYear),PMH37+PMH42+#REF!+#REF!,"")</f>
        <v/>
      </c>
      <c r="PMI48" s="84" t="str">
        <f>IF(ISNUMBER(outYear),PMI37+PMI42+#REF!+#REF!,"")</f>
        <v/>
      </c>
      <c r="PMJ48" s="84" t="str">
        <f>IF(ISNUMBER(outYear),PMJ37+PMJ42+#REF!+#REF!,"")</f>
        <v/>
      </c>
      <c r="PMK48" s="84" t="str">
        <f>IF(ISNUMBER(outYear),PMK37+PMK42+#REF!+#REF!,"")</f>
        <v/>
      </c>
      <c r="PML48" s="84" t="str">
        <f>IF(ISNUMBER(outYear),PML37+PML42+#REF!+#REF!,"")</f>
        <v/>
      </c>
      <c r="PMM48" s="84" t="str">
        <f>IF(ISNUMBER(outYear),PMM37+PMM42+#REF!+#REF!,"")</f>
        <v/>
      </c>
      <c r="PMN48" s="84" t="str">
        <f>IF(ISNUMBER(outYear),PMN37+PMN42+#REF!+#REF!,"")</f>
        <v/>
      </c>
      <c r="PMO48" s="84" t="str">
        <f>IF(ISNUMBER(outYear),PMO37+PMO42+#REF!+#REF!,"")</f>
        <v/>
      </c>
      <c r="PMP48" s="84" t="str">
        <f>IF(ISNUMBER(outYear),PMP37+PMP42+#REF!+#REF!,"")</f>
        <v/>
      </c>
      <c r="PMQ48" s="84" t="str">
        <f>IF(ISNUMBER(outYear),PMQ37+PMQ42+#REF!+#REF!,"")</f>
        <v/>
      </c>
      <c r="PMR48" s="84" t="str">
        <f>IF(ISNUMBER(outYear),PMR37+PMR42+#REF!+#REF!,"")</f>
        <v/>
      </c>
      <c r="PMS48" s="84" t="str">
        <f>IF(ISNUMBER(outYear),PMS37+PMS42+#REF!+#REF!,"")</f>
        <v/>
      </c>
      <c r="PMT48" s="84" t="str">
        <f>IF(ISNUMBER(outYear),PMT37+PMT42+#REF!+#REF!,"")</f>
        <v/>
      </c>
      <c r="PMU48" s="84" t="str">
        <f>IF(ISNUMBER(outYear),PMU37+PMU42+#REF!+#REF!,"")</f>
        <v/>
      </c>
      <c r="PMV48" s="84" t="str">
        <f>IF(ISNUMBER(outYear),PMV37+PMV42+#REF!+#REF!,"")</f>
        <v/>
      </c>
      <c r="PMW48" s="84" t="str">
        <f>IF(ISNUMBER(outYear),PMW37+PMW42+#REF!+#REF!,"")</f>
        <v/>
      </c>
      <c r="PMX48" s="84" t="str">
        <f>IF(ISNUMBER(outYear),PMX37+PMX42+#REF!+#REF!,"")</f>
        <v/>
      </c>
      <c r="PMY48" s="84" t="str">
        <f>IF(ISNUMBER(outYear),PMY37+PMY42+#REF!+#REF!,"")</f>
        <v/>
      </c>
      <c r="PMZ48" s="84" t="str">
        <f>IF(ISNUMBER(outYear),PMZ37+PMZ42+#REF!+#REF!,"")</f>
        <v/>
      </c>
      <c r="PNA48" s="84" t="str">
        <f>IF(ISNUMBER(outYear),PNA37+PNA42+#REF!+#REF!,"")</f>
        <v/>
      </c>
      <c r="PNB48" s="84" t="str">
        <f>IF(ISNUMBER(outYear),PNB37+PNB42+#REF!+#REF!,"")</f>
        <v/>
      </c>
      <c r="PNC48" s="84" t="str">
        <f>IF(ISNUMBER(outYear),PNC37+PNC42+#REF!+#REF!,"")</f>
        <v/>
      </c>
      <c r="PND48" s="84" t="str">
        <f>IF(ISNUMBER(outYear),PND37+PND42+#REF!+#REF!,"")</f>
        <v/>
      </c>
      <c r="PNE48" s="84" t="str">
        <f>IF(ISNUMBER(outYear),PNE37+PNE42+#REF!+#REF!,"")</f>
        <v/>
      </c>
      <c r="PNF48" s="84" t="str">
        <f>IF(ISNUMBER(outYear),PNF37+PNF42+#REF!+#REF!,"")</f>
        <v/>
      </c>
      <c r="PNG48" s="84" t="str">
        <f>IF(ISNUMBER(outYear),PNG37+PNG42+#REF!+#REF!,"")</f>
        <v/>
      </c>
      <c r="PNH48" s="84" t="str">
        <f>IF(ISNUMBER(outYear),PNH37+PNH42+#REF!+#REF!,"")</f>
        <v/>
      </c>
      <c r="PNI48" s="84" t="str">
        <f>IF(ISNUMBER(outYear),PNI37+PNI42+#REF!+#REF!,"")</f>
        <v/>
      </c>
      <c r="PNJ48" s="84" t="str">
        <f>IF(ISNUMBER(outYear),PNJ37+PNJ42+#REF!+#REF!,"")</f>
        <v/>
      </c>
      <c r="PNK48" s="84" t="str">
        <f>IF(ISNUMBER(outYear),PNK37+PNK42+#REF!+#REF!,"")</f>
        <v/>
      </c>
      <c r="PNL48" s="84" t="str">
        <f>IF(ISNUMBER(outYear),PNL37+PNL42+#REF!+#REF!,"")</f>
        <v/>
      </c>
      <c r="PNM48" s="84" t="str">
        <f>IF(ISNUMBER(outYear),PNM37+PNM42+#REF!+#REF!,"")</f>
        <v/>
      </c>
      <c r="PNN48" s="84" t="str">
        <f>IF(ISNUMBER(outYear),PNN37+PNN42+#REF!+#REF!,"")</f>
        <v/>
      </c>
      <c r="PNO48" s="84" t="str">
        <f>IF(ISNUMBER(outYear),PNO37+PNO42+#REF!+#REF!,"")</f>
        <v/>
      </c>
      <c r="PNP48" s="84" t="str">
        <f>IF(ISNUMBER(outYear),PNP37+PNP42+#REF!+#REF!,"")</f>
        <v/>
      </c>
      <c r="PNQ48" s="84" t="str">
        <f>IF(ISNUMBER(outYear),PNQ37+PNQ42+#REF!+#REF!,"")</f>
        <v/>
      </c>
      <c r="PNR48" s="84" t="str">
        <f>IF(ISNUMBER(outYear),PNR37+PNR42+#REF!+#REF!,"")</f>
        <v/>
      </c>
      <c r="PNS48" s="84" t="str">
        <f>IF(ISNUMBER(outYear),PNS37+PNS42+#REF!+#REF!,"")</f>
        <v/>
      </c>
      <c r="PNT48" s="84" t="str">
        <f>IF(ISNUMBER(outYear),PNT37+PNT42+#REF!+#REF!,"")</f>
        <v/>
      </c>
      <c r="PNU48" s="84" t="str">
        <f>IF(ISNUMBER(outYear),PNU37+PNU42+#REF!+#REF!,"")</f>
        <v/>
      </c>
      <c r="PNV48" s="84" t="str">
        <f>IF(ISNUMBER(outYear),PNV37+PNV42+#REF!+#REF!,"")</f>
        <v/>
      </c>
      <c r="PNW48" s="84" t="str">
        <f>IF(ISNUMBER(outYear),PNW37+PNW42+#REF!+#REF!,"")</f>
        <v/>
      </c>
      <c r="PNX48" s="84" t="str">
        <f>IF(ISNUMBER(outYear),PNX37+PNX42+#REF!+#REF!,"")</f>
        <v/>
      </c>
      <c r="PNY48" s="84" t="str">
        <f>IF(ISNUMBER(outYear),PNY37+PNY42+#REF!+#REF!,"")</f>
        <v/>
      </c>
      <c r="PNZ48" s="84" t="str">
        <f>IF(ISNUMBER(outYear),PNZ37+PNZ42+#REF!+#REF!,"")</f>
        <v/>
      </c>
      <c r="POA48" s="84" t="str">
        <f>IF(ISNUMBER(outYear),POA37+POA42+#REF!+#REF!,"")</f>
        <v/>
      </c>
      <c r="POB48" s="84" t="str">
        <f>IF(ISNUMBER(outYear),POB37+POB42+#REF!+#REF!,"")</f>
        <v/>
      </c>
      <c r="POC48" s="84" t="str">
        <f>IF(ISNUMBER(outYear),POC37+POC42+#REF!+#REF!,"")</f>
        <v/>
      </c>
      <c r="POD48" s="84" t="str">
        <f>IF(ISNUMBER(outYear),POD37+POD42+#REF!+#REF!,"")</f>
        <v/>
      </c>
      <c r="POE48" s="84" t="str">
        <f>IF(ISNUMBER(outYear),POE37+POE42+#REF!+#REF!,"")</f>
        <v/>
      </c>
      <c r="POF48" s="84" t="str">
        <f>IF(ISNUMBER(outYear),POF37+POF42+#REF!+#REF!,"")</f>
        <v/>
      </c>
      <c r="POG48" s="84" t="str">
        <f>IF(ISNUMBER(outYear),POG37+POG42+#REF!+#REF!,"")</f>
        <v/>
      </c>
      <c r="POH48" s="84" t="str">
        <f>IF(ISNUMBER(outYear),POH37+POH42+#REF!+#REF!,"")</f>
        <v/>
      </c>
      <c r="POI48" s="84" t="str">
        <f>IF(ISNUMBER(outYear),POI37+POI42+#REF!+#REF!,"")</f>
        <v/>
      </c>
      <c r="POJ48" s="84" t="str">
        <f>IF(ISNUMBER(outYear),POJ37+POJ42+#REF!+#REF!,"")</f>
        <v/>
      </c>
      <c r="POK48" s="84" t="str">
        <f>IF(ISNUMBER(outYear),POK37+POK42+#REF!+#REF!,"")</f>
        <v/>
      </c>
      <c r="POL48" s="84" t="str">
        <f>IF(ISNUMBER(outYear),POL37+POL42+#REF!+#REF!,"")</f>
        <v/>
      </c>
      <c r="POM48" s="84" t="str">
        <f>IF(ISNUMBER(outYear),POM37+POM42+#REF!+#REF!,"")</f>
        <v/>
      </c>
      <c r="PON48" s="84" t="str">
        <f>IF(ISNUMBER(outYear),PON37+PON42+#REF!+#REF!,"")</f>
        <v/>
      </c>
      <c r="POO48" s="84" t="str">
        <f>IF(ISNUMBER(outYear),POO37+POO42+#REF!+#REF!,"")</f>
        <v/>
      </c>
      <c r="POP48" s="84" t="str">
        <f>IF(ISNUMBER(outYear),POP37+POP42+#REF!+#REF!,"")</f>
        <v/>
      </c>
      <c r="POQ48" s="84" t="str">
        <f>IF(ISNUMBER(outYear),POQ37+POQ42+#REF!+#REF!,"")</f>
        <v/>
      </c>
      <c r="POR48" s="84" t="str">
        <f>IF(ISNUMBER(outYear),POR37+POR42+#REF!+#REF!,"")</f>
        <v/>
      </c>
      <c r="POS48" s="84" t="str">
        <f>IF(ISNUMBER(outYear),POS37+POS42+#REF!+#REF!,"")</f>
        <v/>
      </c>
      <c r="POT48" s="84" t="str">
        <f>IF(ISNUMBER(outYear),POT37+POT42+#REF!+#REF!,"")</f>
        <v/>
      </c>
      <c r="POU48" s="84" t="str">
        <f>IF(ISNUMBER(outYear),POU37+POU42+#REF!+#REF!,"")</f>
        <v/>
      </c>
      <c r="POV48" s="84" t="str">
        <f>IF(ISNUMBER(outYear),POV37+POV42+#REF!+#REF!,"")</f>
        <v/>
      </c>
      <c r="POW48" s="84" t="str">
        <f>IF(ISNUMBER(outYear),POW37+POW42+#REF!+#REF!,"")</f>
        <v/>
      </c>
      <c r="POX48" s="84" t="str">
        <f>IF(ISNUMBER(outYear),POX37+POX42+#REF!+#REF!,"")</f>
        <v/>
      </c>
      <c r="POY48" s="84" t="str">
        <f>IF(ISNUMBER(outYear),POY37+POY42+#REF!+#REF!,"")</f>
        <v/>
      </c>
      <c r="POZ48" s="84" t="str">
        <f>IF(ISNUMBER(outYear),POZ37+POZ42+#REF!+#REF!,"")</f>
        <v/>
      </c>
      <c r="PPA48" s="84" t="str">
        <f>IF(ISNUMBER(outYear),PPA37+PPA42+#REF!+#REF!,"")</f>
        <v/>
      </c>
      <c r="PPB48" s="84" t="str">
        <f>IF(ISNUMBER(outYear),PPB37+PPB42+#REF!+#REF!,"")</f>
        <v/>
      </c>
      <c r="PPC48" s="84" t="str">
        <f>IF(ISNUMBER(outYear),PPC37+PPC42+#REF!+#REF!,"")</f>
        <v/>
      </c>
      <c r="PPD48" s="84" t="str">
        <f>IF(ISNUMBER(outYear),PPD37+PPD42+#REF!+#REF!,"")</f>
        <v/>
      </c>
      <c r="PPE48" s="84" t="str">
        <f>IF(ISNUMBER(outYear),PPE37+PPE42+#REF!+#REF!,"")</f>
        <v/>
      </c>
      <c r="PPF48" s="84" t="str">
        <f>IF(ISNUMBER(outYear),PPF37+PPF42+#REF!+#REF!,"")</f>
        <v/>
      </c>
      <c r="PPG48" s="84" t="str">
        <f>IF(ISNUMBER(outYear),PPG37+PPG42+#REF!+#REF!,"")</f>
        <v/>
      </c>
      <c r="PPH48" s="84" t="str">
        <f>IF(ISNUMBER(outYear),PPH37+PPH42+#REF!+#REF!,"")</f>
        <v/>
      </c>
      <c r="PPI48" s="84" t="str">
        <f>IF(ISNUMBER(outYear),PPI37+PPI42+#REF!+#REF!,"")</f>
        <v/>
      </c>
      <c r="PPJ48" s="84" t="str">
        <f>IF(ISNUMBER(outYear),PPJ37+PPJ42+#REF!+#REF!,"")</f>
        <v/>
      </c>
      <c r="PPK48" s="84" t="str">
        <f>IF(ISNUMBER(outYear),PPK37+PPK42+#REF!+#REF!,"")</f>
        <v/>
      </c>
      <c r="PPL48" s="84" t="str">
        <f>IF(ISNUMBER(outYear),PPL37+PPL42+#REF!+#REF!,"")</f>
        <v/>
      </c>
      <c r="PPM48" s="84" t="str">
        <f>IF(ISNUMBER(outYear),PPM37+PPM42+#REF!+#REF!,"")</f>
        <v/>
      </c>
      <c r="PPN48" s="84" t="str">
        <f>IF(ISNUMBER(outYear),PPN37+PPN42+#REF!+#REF!,"")</f>
        <v/>
      </c>
      <c r="PPO48" s="84" t="str">
        <f>IF(ISNUMBER(outYear),PPO37+PPO42+#REF!+#REF!,"")</f>
        <v/>
      </c>
      <c r="PPP48" s="84" t="str">
        <f>IF(ISNUMBER(outYear),PPP37+PPP42+#REF!+#REF!,"")</f>
        <v/>
      </c>
      <c r="PPQ48" s="84" t="str">
        <f>IF(ISNUMBER(outYear),PPQ37+PPQ42+#REF!+#REF!,"")</f>
        <v/>
      </c>
      <c r="PPR48" s="84" t="str">
        <f>IF(ISNUMBER(outYear),PPR37+PPR42+#REF!+#REF!,"")</f>
        <v/>
      </c>
      <c r="PPS48" s="84" t="str">
        <f>IF(ISNUMBER(outYear),PPS37+PPS42+#REF!+#REF!,"")</f>
        <v/>
      </c>
      <c r="PPT48" s="84" t="str">
        <f>IF(ISNUMBER(outYear),PPT37+PPT42+#REF!+#REF!,"")</f>
        <v/>
      </c>
      <c r="PPU48" s="84" t="str">
        <f>IF(ISNUMBER(outYear),PPU37+PPU42+#REF!+#REF!,"")</f>
        <v/>
      </c>
      <c r="PPV48" s="84" t="str">
        <f>IF(ISNUMBER(outYear),PPV37+PPV42+#REF!+#REF!,"")</f>
        <v/>
      </c>
      <c r="PPW48" s="84" t="str">
        <f>IF(ISNUMBER(outYear),PPW37+PPW42+#REF!+#REF!,"")</f>
        <v/>
      </c>
      <c r="PPX48" s="84" t="str">
        <f>IF(ISNUMBER(outYear),PPX37+PPX42+#REF!+#REF!,"")</f>
        <v/>
      </c>
      <c r="PPY48" s="84" t="str">
        <f>IF(ISNUMBER(outYear),PPY37+PPY42+#REF!+#REF!,"")</f>
        <v/>
      </c>
      <c r="PPZ48" s="84" t="str">
        <f>IF(ISNUMBER(outYear),PPZ37+PPZ42+#REF!+#REF!,"")</f>
        <v/>
      </c>
      <c r="PQA48" s="84" t="str">
        <f>IF(ISNUMBER(outYear),PQA37+PQA42+#REF!+#REF!,"")</f>
        <v/>
      </c>
      <c r="PQB48" s="84" t="str">
        <f>IF(ISNUMBER(outYear),PQB37+PQB42+#REF!+#REF!,"")</f>
        <v/>
      </c>
      <c r="PQC48" s="84" t="str">
        <f>IF(ISNUMBER(outYear),PQC37+PQC42+#REF!+#REF!,"")</f>
        <v/>
      </c>
      <c r="PQD48" s="84" t="str">
        <f>IF(ISNUMBER(outYear),PQD37+PQD42+#REF!+#REF!,"")</f>
        <v/>
      </c>
      <c r="PQE48" s="84" t="str">
        <f>IF(ISNUMBER(outYear),PQE37+PQE42+#REF!+#REF!,"")</f>
        <v/>
      </c>
      <c r="PQF48" s="84" t="str">
        <f>IF(ISNUMBER(outYear),PQF37+PQF42+#REF!+#REF!,"")</f>
        <v/>
      </c>
      <c r="PQG48" s="84" t="str">
        <f>IF(ISNUMBER(outYear),PQG37+PQG42+#REF!+#REF!,"")</f>
        <v/>
      </c>
      <c r="PQH48" s="84" t="str">
        <f>IF(ISNUMBER(outYear),PQH37+PQH42+#REF!+#REF!,"")</f>
        <v/>
      </c>
      <c r="PQI48" s="84" t="str">
        <f>IF(ISNUMBER(outYear),PQI37+PQI42+#REF!+#REF!,"")</f>
        <v/>
      </c>
      <c r="PQJ48" s="84" t="str">
        <f>IF(ISNUMBER(outYear),PQJ37+PQJ42+#REF!+#REF!,"")</f>
        <v/>
      </c>
      <c r="PQK48" s="84" t="str">
        <f>IF(ISNUMBER(outYear),PQK37+PQK42+#REF!+#REF!,"")</f>
        <v/>
      </c>
      <c r="PQL48" s="84" t="str">
        <f>IF(ISNUMBER(outYear),PQL37+PQL42+#REF!+#REF!,"")</f>
        <v/>
      </c>
      <c r="PQM48" s="84" t="str">
        <f>IF(ISNUMBER(outYear),PQM37+PQM42+#REF!+#REF!,"")</f>
        <v/>
      </c>
      <c r="PQN48" s="84" t="str">
        <f>IF(ISNUMBER(outYear),PQN37+PQN42+#REF!+#REF!,"")</f>
        <v/>
      </c>
      <c r="PQO48" s="84" t="str">
        <f>IF(ISNUMBER(outYear),PQO37+PQO42+#REF!+#REF!,"")</f>
        <v/>
      </c>
      <c r="PQP48" s="84" t="str">
        <f>IF(ISNUMBER(outYear),PQP37+PQP42+#REF!+#REF!,"")</f>
        <v/>
      </c>
      <c r="PQQ48" s="84" t="str">
        <f>IF(ISNUMBER(outYear),PQQ37+PQQ42+#REF!+#REF!,"")</f>
        <v/>
      </c>
      <c r="PQR48" s="84" t="str">
        <f>IF(ISNUMBER(outYear),PQR37+PQR42+#REF!+#REF!,"")</f>
        <v/>
      </c>
      <c r="PQS48" s="84" t="str">
        <f>IF(ISNUMBER(outYear),PQS37+PQS42+#REF!+#REF!,"")</f>
        <v/>
      </c>
      <c r="PQT48" s="84" t="str">
        <f>IF(ISNUMBER(outYear),PQT37+PQT42+#REF!+#REF!,"")</f>
        <v/>
      </c>
      <c r="PQU48" s="84" t="str">
        <f>IF(ISNUMBER(outYear),PQU37+PQU42+#REF!+#REF!,"")</f>
        <v/>
      </c>
      <c r="PQV48" s="84" t="str">
        <f>IF(ISNUMBER(outYear),PQV37+PQV42+#REF!+#REF!,"")</f>
        <v/>
      </c>
      <c r="PQW48" s="84" t="str">
        <f>IF(ISNUMBER(outYear),PQW37+PQW42+#REF!+#REF!,"")</f>
        <v/>
      </c>
      <c r="PQX48" s="84" t="str">
        <f>IF(ISNUMBER(outYear),PQX37+PQX42+#REF!+#REF!,"")</f>
        <v/>
      </c>
      <c r="PQY48" s="84" t="str">
        <f>IF(ISNUMBER(outYear),PQY37+PQY42+#REF!+#REF!,"")</f>
        <v/>
      </c>
      <c r="PQZ48" s="84" t="str">
        <f>IF(ISNUMBER(outYear),PQZ37+PQZ42+#REF!+#REF!,"")</f>
        <v/>
      </c>
      <c r="PRA48" s="84" t="str">
        <f>IF(ISNUMBER(outYear),PRA37+PRA42+#REF!+#REF!,"")</f>
        <v/>
      </c>
      <c r="PRB48" s="84" t="str">
        <f>IF(ISNUMBER(outYear),PRB37+PRB42+#REF!+#REF!,"")</f>
        <v/>
      </c>
      <c r="PRC48" s="84" t="str">
        <f>IF(ISNUMBER(outYear),PRC37+PRC42+#REF!+#REF!,"")</f>
        <v/>
      </c>
      <c r="PRD48" s="84" t="str">
        <f>IF(ISNUMBER(outYear),PRD37+PRD42+#REF!+#REF!,"")</f>
        <v/>
      </c>
      <c r="PRE48" s="84" t="str">
        <f>IF(ISNUMBER(outYear),PRE37+PRE42+#REF!+#REF!,"")</f>
        <v/>
      </c>
      <c r="PRF48" s="84" t="str">
        <f>IF(ISNUMBER(outYear),PRF37+PRF42+#REF!+#REF!,"")</f>
        <v/>
      </c>
      <c r="PRG48" s="84" t="str">
        <f>IF(ISNUMBER(outYear),PRG37+PRG42+#REF!+#REF!,"")</f>
        <v/>
      </c>
      <c r="PRH48" s="84" t="str">
        <f>IF(ISNUMBER(outYear),PRH37+PRH42+#REF!+#REF!,"")</f>
        <v/>
      </c>
      <c r="PRI48" s="84" t="str">
        <f>IF(ISNUMBER(outYear),PRI37+PRI42+#REF!+#REF!,"")</f>
        <v/>
      </c>
      <c r="PRJ48" s="84" t="str">
        <f>IF(ISNUMBER(outYear),PRJ37+PRJ42+#REF!+#REF!,"")</f>
        <v/>
      </c>
      <c r="PRK48" s="84" t="str">
        <f>IF(ISNUMBER(outYear),PRK37+PRK42+#REF!+#REF!,"")</f>
        <v/>
      </c>
      <c r="PRL48" s="84" t="str">
        <f>IF(ISNUMBER(outYear),PRL37+PRL42+#REF!+#REF!,"")</f>
        <v/>
      </c>
      <c r="PRM48" s="84" t="str">
        <f>IF(ISNUMBER(outYear),PRM37+PRM42+#REF!+#REF!,"")</f>
        <v/>
      </c>
      <c r="PRN48" s="84" t="str">
        <f>IF(ISNUMBER(outYear),PRN37+PRN42+#REF!+#REF!,"")</f>
        <v/>
      </c>
      <c r="PRO48" s="84" t="str">
        <f>IF(ISNUMBER(outYear),PRO37+PRO42+#REF!+#REF!,"")</f>
        <v/>
      </c>
      <c r="PRP48" s="84" t="str">
        <f>IF(ISNUMBER(outYear),PRP37+PRP42+#REF!+#REF!,"")</f>
        <v/>
      </c>
      <c r="PRQ48" s="84" t="str">
        <f>IF(ISNUMBER(outYear),PRQ37+PRQ42+#REF!+#REF!,"")</f>
        <v/>
      </c>
      <c r="PRR48" s="84" t="str">
        <f>IF(ISNUMBER(outYear),PRR37+PRR42+#REF!+#REF!,"")</f>
        <v/>
      </c>
      <c r="PRS48" s="84" t="str">
        <f>IF(ISNUMBER(outYear),PRS37+PRS42+#REF!+#REF!,"")</f>
        <v/>
      </c>
      <c r="PRT48" s="84" t="str">
        <f>IF(ISNUMBER(outYear),PRT37+PRT42+#REF!+#REF!,"")</f>
        <v/>
      </c>
      <c r="PRU48" s="84" t="str">
        <f>IF(ISNUMBER(outYear),PRU37+PRU42+#REF!+#REF!,"")</f>
        <v/>
      </c>
      <c r="PRV48" s="84" t="str">
        <f>IF(ISNUMBER(outYear),PRV37+PRV42+#REF!+#REF!,"")</f>
        <v/>
      </c>
      <c r="PRW48" s="84" t="str">
        <f>IF(ISNUMBER(outYear),PRW37+PRW42+#REF!+#REF!,"")</f>
        <v/>
      </c>
      <c r="PRX48" s="84" t="str">
        <f>IF(ISNUMBER(outYear),PRX37+PRX42+#REF!+#REF!,"")</f>
        <v/>
      </c>
      <c r="PRY48" s="84" t="str">
        <f>IF(ISNUMBER(outYear),PRY37+PRY42+#REF!+#REF!,"")</f>
        <v/>
      </c>
      <c r="PRZ48" s="84" t="str">
        <f>IF(ISNUMBER(outYear),PRZ37+PRZ42+#REF!+#REF!,"")</f>
        <v/>
      </c>
      <c r="PSA48" s="84" t="str">
        <f>IF(ISNUMBER(outYear),PSA37+PSA42+#REF!+#REF!,"")</f>
        <v/>
      </c>
      <c r="PSB48" s="84" t="str">
        <f>IF(ISNUMBER(outYear),PSB37+PSB42+#REF!+#REF!,"")</f>
        <v/>
      </c>
      <c r="PSC48" s="84" t="str">
        <f>IF(ISNUMBER(outYear),PSC37+PSC42+#REF!+#REF!,"")</f>
        <v/>
      </c>
      <c r="PSD48" s="84" t="str">
        <f>IF(ISNUMBER(outYear),PSD37+PSD42+#REF!+#REF!,"")</f>
        <v/>
      </c>
      <c r="PSE48" s="84" t="str">
        <f>IF(ISNUMBER(outYear),PSE37+PSE42+#REF!+#REF!,"")</f>
        <v/>
      </c>
      <c r="PSF48" s="84" t="str">
        <f>IF(ISNUMBER(outYear),PSF37+PSF42+#REF!+#REF!,"")</f>
        <v/>
      </c>
      <c r="PSG48" s="84" t="str">
        <f>IF(ISNUMBER(outYear),PSG37+PSG42+#REF!+#REF!,"")</f>
        <v/>
      </c>
      <c r="PSH48" s="84" t="str">
        <f>IF(ISNUMBER(outYear),PSH37+PSH42+#REF!+#REF!,"")</f>
        <v/>
      </c>
      <c r="PSI48" s="84" t="str">
        <f>IF(ISNUMBER(outYear),PSI37+PSI42+#REF!+#REF!,"")</f>
        <v/>
      </c>
      <c r="PSJ48" s="84" t="str">
        <f>IF(ISNUMBER(outYear),PSJ37+PSJ42+#REF!+#REF!,"")</f>
        <v/>
      </c>
      <c r="PSK48" s="84" t="str">
        <f>IF(ISNUMBER(outYear),PSK37+PSK42+#REF!+#REF!,"")</f>
        <v/>
      </c>
      <c r="PSL48" s="84" t="str">
        <f>IF(ISNUMBER(outYear),PSL37+PSL42+#REF!+#REF!,"")</f>
        <v/>
      </c>
      <c r="PSM48" s="84" t="str">
        <f>IF(ISNUMBER(outYear),PSM37+PSM42+#REF!+#REF!,"")</f>
        <v/>
      </c>
      <c r="PSN48" s="84" t="str">
        <f>IF(ISNUMBER(outYear),PSN37+PSN42+#REF!+#REF!,"")</f>
        <v/>
      </c>
      <c r="PSO48" s="84" t="str">
        <f>IF(ISNUMBER(outYear),PSO37+PSO42+#REF!+#REF!,"")</f>
        <v/>
      </c>
      <c r="PSP48" s="84" t="str">
        <f>IF(ISNUMBER(outYear),PSP37+PSP42+#REF!+#REF!,"")</f>
        <v/>
      </c>
      <c r="PSQ48" s="84" t="str">
        <f>IF(ISNUMBER(outYear),PSQ37+PSQ42+#REF!+#REF!,"")</f>
        <v/>
      </c>
      <c r="PSR48" s="84" t="str">
        <f>IF(ISNUMBER(outYear),PSR37+PSR42+#REF!+#REF!,"")</f>
        <v/>
      </c>
      <c r="PSS48" s="84" t="str">
        <f>IF(ISNUMBER(outYear),PSS37+PSS42+#REF!+#REF!,"")</f>
        <v/>
      </c>
      <c r="PST48" s="84" t="str">
        <f>IF(ISNUMBER(outYear),PST37+PST42+#REF!+#REF!,"")</f>
        <v/>
      </c>
      <c r="PSU48" s="84" t="str">
        <f>IF(ISNUMBER(outYear),PSU37+PSU42+#REF!+#REF!,"")</f>
        <v/>
      </c>
      <c r="PSV48" s="84" t="str">
        <f>IF(ISNUMBER(outYear),PSV37+PSV42+#REF!+#REF!,"")</f>
        <v/>
      </c>
      <c r="PSW48" s="84" t="str">
        <f>IF(ISNUMBER(outYear),PSW37+PSW42+#REF!+#REF!,"")</f>
        <v/>
      </c>
      <c r="PSX48" s="84" t="str">
        <f>IF(ISNUMBER(outYear),PSX37+PSX42+#REF!+#REF!,"")</f>
        <v/>
      </c>
      <c r="PSY48" s="84" t="str">
        <f>IF(ISNUMBER(outYear),PSY37+PSY42+#REF!+#REF!,"")</f>
        <v/>
      </c>
      <c r="PSZ48" s="84" t="str">
        <f>IF(ISNUMBER(outYear),PSZ37+PSZ42+#REF!+#REF!,"")</f>
        <v/>
      </c>
      <c r="PTA48" s="84" t="str">
        <f>IF(ISNUMBER(outYear),PTA37+PTA42+#REF!+#REF!,"")</f>
        <v/>
      </c>
      <c r="PTB48" s="84" t="str">
        <f>IF(ISNUMBER(outYear),PTB37+PTB42+#REF!+#REF!,"")</f>
        <v/>
      </c>
      <c r="PTC48" s="84" t="str">
        <f>IF(ISNUMBER(outYear),PTC37+PTC42+#REF!+#REF!,"")</f>
        <v/>
      </c>
      <c r="PTD48" s="84" t="str">
        <f>IF(ISNUMBER(outYear),PTD37+PTD42+#REF!+#REF!,"")</f>
        <v/>
      </c>
      <c r="PTE48" s="84" t="str">
        <f>IF(ISNUMBER(outYear),PTE37+PTE42+#REF!+#REF!,"")</f>
        <v/>
      </c>
      <c r="PTF48" s="84" t="str">
        <f>IF(ISNUMBER(outYear),PTF37+PTF42+#REF!+#REF!,"")</f>
        <v/>
      </c>
      <c r="PTG48" s="84" t="str">
        <f>IF(ISNUMBER(outYear),PTG37+PTG42+#REF!+#REF!,"")</f>
        <v/>
      </c>
      <c r="PTH48" s="84" t="str">
        <f>IF(ISNUMBER(outYear),PTH37+PTH42+#REF!+#REF!,"")</f>
        <v/>
      </c>
      <c r="PTI48" s="84" t="str">
        <f>IF(ISNUMBER(outYear),PTI37+PTI42+#REF!+#REF!,"")</f>
        <v/>
      </c>
      <c r="PTJ48" s="84" t="str">
        <f>IF(ISNUMBER(outYear),PTJ37+PTJ42+#REF!+#REF!,"")</f>
        <v/>
      </c>
      <c r="PTK48" s="84" t="str">
        <f>IF(ISNUMBER(outYear),PTK37+PTK42+#REF!+#REF!,"")</f>
        <v/>
      </c>
      <c r="PTL48" s="84" t="str">
        <f>IF(ISNUMBER(outYear),PTL37+PTL42+#REF!+#REF!,"")</f>
        <v/>
      </c>
      <c r="PTM48" s="84" t="str">
        <f>IF(ISNUMBER(outYear),PTM37+PTM42+#REF!+#REF!,"")</f>
        <v/>
      </c>
      <c r="PTN48" s="84" t="str">
        <f>IF(ISNUMBER(outYear),PTN37+PTN42+#REF!+#REF!,"")</f>
        <v/>
      </c>
      <c r="PTO48" s="84" t="str">
        <f>IF(ISNUMBER(outYear),PTO37+PTO42+#REF!+#REF!,"")</f>
        <v/>
      </c>
      <c r="PTP48" s="84" t="str">
        <f>IF(ISNUMBER(outYear),PTP37+PTP42+#REF!+#REF!,"")</f>
        <v/>
      </c>
      <c r="PTQ48" s="84" t="str">
        <f>IF(ISNUMBER(outYear),PTQ37+PTQ42+#REF!+#REF!,"")</f>
        <v/>
      </c>
      <c r="PTR48" s="84" t="str">
        <f>IF(ISNUMBER(outYear),PTR37+PTR42+#REF!+#REF!,"")</f>
        <v/>
      </c>
      <c r="PTS48" s="84" t="str">
        <f>IF(ISNUMBER(outYear),PTS37+PTS42+#REF!+#REF!,"")</f>
        <v/>
      </c>
      <c r="PTT48" s="84" t="str">
        <f>IF(ISNUMBER(outYear),PTT37+PTT42+#REF!+#REF!,"")</f>
        <v/>
      </c>
      <c r="PTU48" s="84" t="str">
        <f>IF(ISNUMBER(outYear),PTU37+PTU42+#REF!+#REF!,"")</f>
        <v/>
      </c>
      <c r="PTV48" s="84" t="str">
        <f>IF(ISNUMBER(outYear),PTV37+PTV42+#REF!+#REF!,"")</f>
        <v/>
      </c>
      <c r="PTW48" s="84" t="str">
        <f>IF(ISNUMBER(outYear),PTW37+PTW42+#REF!+#REF!,"")</f>
        <v/>
      </c>
      <c r="PTX48" s="84" t="str">
        <f>IF(ISNUMBER(outYear),PTX37+PTX42+#REF!+#REF!,"")</f>
        <v/>
      </c>
      <c r="PTY48" s="84" t="str">
        <f>IF(ISNUMBER(outYear),PTY37+PTY42+#REF!+#REF!,"")</f>
        <v/>
      </c>
      <c r="PTZ48" s="84" t="str">
        <f>IF(ISNUMBER(outYear),PTZ37+PTZ42+#REF!+#REF!,"")</f>
        <v/>
      </c>
      <c r="PUA48" s="84" t="str">
        <f>IF(ISNUMBER(outYear),PUA37+PUA42+#REF!+#REF!,"")</f>
        <v/>
      </c>
      <c r="PUB48" s="84" t="str">
        <f>IF(ISNUMBER(outYear),PUB37+PUB42+#REF!+#REF!,"")</f>
        <v/>
      </c>
      <c r="PUC48" s="84" t="str">
        <f>IF(ISNUMBER(outYear),PUC37+PUC42+#REF!+#REF!,"")</f>
        <v/>
      </c>
      <c r="PUD48" s="84" t="str">
        <f>IF(ISNUMBER(outYear),PUD37+PUD42+#REF!+#REF!,"")</f>
        <v/>
      </c>
      <c r="PUE48" s="84" t="str">
        <f>IF(ISNUMBER(outYear),PUE37+PUE42+#REF!+#REF!,"")</f>
        <v/>
      </c>
      <c r="PUF48" s="84" t="str">
        <f>IF(ISNUMBER(outYear),PUF37+PUF42+#REF!+#REF!,"")</f>
        <v/>
      </c>
      <c r="PUG48" s="84" t="str">
        <f>IF(ISNUMBER(outYear),PUG37+PUG42+#REF!+#REF!,"")</f>
        <v/>
      </c>
      <c r="PUH48" s="84" t="str">
        <f>IF(ISNUMBER(outYear),PUH37+PUH42+#REF!+#REF!,"")</f>
        <v/>
      </c>
      <c r="PUI48" s="84" t="str">
        <f>IF(ISNUMBER(outYear),PUI37+PUI42+#REF!+#REF!,"")</f>
        <v/>
      </c>
      <c r="PUJ48" s="84" t="str">
        <f>IF(ISNUMBER(outYear),PUJ37+PUJ42+#REF!+#REF!,"")</f>
        <v/>
      </c>
      <c r="PUK48" s="84" t="str">
        <f>IF(ISNUMBER(outYear),PUK37+PUK42+#REF!+#REF!,"")</f>
        <v/>
      </c>
      <c r="PUL48" s="84" t="str">
        <f>IF(ISNUMBER(outYear),PUL37+PUL42+#REF!+#REF!,"")</f>
        <v/>
      </c>
      <c r="PUM48" s="84" t="str">
        <f>IF(ISNUMBER(outYear),PUM37+PUM42+#REF!+#REF!,"")</f>
        <v/>
      </c>
      <c r="PUN48" s="84" t="str">
        <f>IF(ISNUMBER(outYear),PUN37+PUN42+#REF!+#REF!,"")</f>
        <v/>
      </c>
      <c r="PUO48" s="84" t="str">
        <f>IF(ISNUMBER(outYear),PUO37+PUO42+#REF!+#REF!,"")</f>
        <v/>
      </c>
      <c r="PUP48" s="84" t="str">
        <f>IF(ISNUMBER(outYear),PUP37+PUP42+#REF!+#REF!,"")</f>
        <v/>
      </c>
      <c r="PUQ48" s="84" t="str">
        <f>IF(ISNUMBER(outYear),PUQ37+PUQ42+#REF!+#REF!,"")</f>
        <v/>
      </c>
      <c r="PUR48" s="84" t="str">
        <f>IF(ISNUMBER(outYear),PUR37+PUR42+#REF!+#REF!,"")</f>
        <v/>
      </c>
      <c r="PUS48" s="84" t="str">
        <f>IF(ISNUMBER(outYear),PUS37+PUS42+#REF!+#REF!,"")</f>
        <v/>
      </c>
      <c r="PUT48" s="84" t="str">
        <f>IF(ISNUMBER(outYear),PUT37+PUT42+#REF!+#REF!,"")</f>
        <v/>
      </c>
      <c r="PUU48" s="84" t="str">
        <f>IF(ISNUMBER(outYear),PUU37+PUU42+#REF!+#REF!,"")</f>
        <v/>
      </c>
      <c r="PUV48" s="84" t="str">
        <f>IF(ISNUMBER(outYear),PUV37+PUV42+#REF!+#REF!,"")</f>
        <v/>
      </c>
      <c r="PUW48" s="84" t="str">
        <f>IF(ISNUMBER(outYear),PUW37+PUW42+#REF!+#REF!,"")</f>
        <v/>
      </c>
      <c r="PUX48" s="84" t="str">
        <f>IF(ISNUMBER(outYear),PUX37+PUX42+#REF!+#REF!,"")</f>
        <v/>
      </c>
      <c r="PUY48" s="84" t="str">
        <f>IF(ISNUMBER(outYear),PUY37+PUY42+#REF!+#REF!,"")</f>
        <v/>
      </c>
      <c r="PUZ48" s="84" t="str">
        <f>IF(ISNUMBER(outYear),PUZ37+PUZ42+#REF!+#REF!,"")</f>
        <v/>
      </c>
      <c r="PVA48" s="84" t="str">
        <f>IF(ISNUMBER(outYear),PVA37+PVA42+#REF!+#REF!,"")</f>
        <v/>
      </c>
      <c r="PVB48" s="84" t="str">
        <f>IF(ISNUMBER(outYear),PVB37+PVB42+#REF!+#REF!,"")</f>
        <v/>
      </c>
      <c r="PVC48" s="84" t="str">
        <f>IF(ISNUMBER(outYear),PVC37+PVC42+#REF!+#REF!,"")</f>
        <v/>
      </c>
      <c r="PVD48" s="84" t="str">
        <f>IF(ISNUMBER(outYear),PVD37+PVD42+#REF!+#REF!,"")</f>
        <v/>
      </c>
      <c r="PVE48" s="84" t="str">
        <f>IF(ISNUMBER(outYear),PVE37+PVE42+#REF!+#REF!,"")</f>
        <v/>
      </c>
      <c r="PVF48" s="84" t="str">
        <f>IF(ISNUMBER(outYear),PVF37+PVF42+#REF!+#REF!,"")</f>
        <v/>
      </c>
      <c r="PVG48" s="84" t="str">
        <f>IF(ISNUMBER(outYear),PVG37+PVG42+#REF!+#REF!,"")</f>
        <v/>
      </c>
      <c r="PVH48" s="84" t="str">
        <f>IF(ISNUMBER(outYear),PVH37+PVH42+#REF!+#REF!,"")</f>
        <v/>
      </c>
      <c r="PVI48" s="84" t="str">
        <f>IF(ISNUMBER(outYear),PVI37+PVI42+#REF!+#REF!,"")</f>
        <v/>
      </c>
      <c r="PVJ48" s="84" t="str">
        <f>IF(ISNUMBER(outYear),PVJ37+PVJ42+#REF!+#REF!,"")</f>
        <v/>
      </c>
      <c r="PVK48" s="84" t="str">
        <f>IF(ISNUMBER(outYear),PVK37+PVK42+#REF!+#REF!,"")</f>
        <v/>
      </c>
      <c r="PVL48" s="84" t="str">
        <f>IF(ISNUMBER(outYear),PVL37+PVL42+#REF!+#REF!,"")</f>
        <v/>
      </c>
      <c r="PVM48" s="84" t="str">
        <f>IF(ISNUMBER(outYear),PVM37+PVM42+#REF!+#REF!,"")</f>
        <v/>
      </c>
      <c r="PVN48" s="84" t="str">
        <f>IF(ISNUMBER(outYear),PVN37+PVN42+#REF!+#REF!,"")</f>
        <v/>
      </c>
      <c r="PVO48" s="84" t="str">
        <f>IF(ISNUMBER(outYear),PVO37+PVO42+#REF!+#REF!,"")</f>
        <v/>
      </c>
      <c r="PVP48" s="84" t="str">
        <f>IF(ISNUMBER(outYear),PVP37+PVP42+#REF!+#REF!,"")</f>
        <v/>
      </c>
      <c r="PVQ48" s="84" t="str">
        <f>IF(ISNUMBER(outYear),PVQ37+PVQ42+#REF!+#REF!,"")</f>
        <v/>
      </c>
      <c r="PVR48" s="84" t="str">
        <f>IF(ISNUMBER(outYear),PVR37+PVR42+#REF!+#REF!,"")</f>
        <v/>
      </c>
      <c r="PVS48" s="84" t="str">
        <f>IF(ISNUMBER(outYear),PVS37+PVS42+#REF!+#REF!,"")</f>
        <v/>
      </c>
      <c r="PVT48" s="84" t="str">
        <f>IF(ISNUMBER(outYear),PVT37+PVT42+#REF!+#REF!,"")</f>
        <v/>
      </c>
      <c r="PVU48" s="84" t="str">
        <f>IF(ISNUMBER(outYear),PVU37+PVU42+#REF!+#REF!,"")</f>
        <v/>
      </c>
      <c r="PVV48" s="84" t="str">
        <f>IF(ISNUMBER(outYear),PVV37+PVV42+#REF!+#REF!,"")</f>
        <v/>
      </c>
      <c r="PVW48" s="84" t="str">
        <f>IF(ISNUMBER(outYear),PVW37+PVW42+#REF!+#REF!,"")</f>
        <v/>
      </c>
      <c r="PVX48" s="84" t="str">
        <f>IF(ISNUMBER(outYear),PVX37+PVX42+#REF!+#REF!,"")</f>
        <v/>
      </c>
      <c r="PVY48" s="84" t="str">
        <f>IF(ISNUMBER(outYear),PVY37+PVY42+#REF!+#REF!,"")</f>
        <v/>
      </c>
      <c r="PVZ48" s="84" t="str">
        <f>IF(ISNUMBER(outYear),PVZ37+PVZ42+#REF!+#REF!,"")</f>
        <v/>
      </c>
      <c r="PWA48" s="84" t="str">
        <f>IF(ISNUMBER(outYear),PWA37+PWA42+#REF!+#REF!,"")</f>
        <v/>
      </c>
      <c r="PWB48" s="84" t="str">
        <f>IF(ISNUMBER(outYear),PWB37+PWB42+#REF!+#REF!,"")</f>
        <v/>
      </c>
      <c r="PWC48" s="84" t="str">
        <f>IF(ISNUMBER(outYear),PWC37+PWC42+#REF!+#REF!,"")</f>
        <v/>
      </c>
      <c r="PWD48" s="84" t="str">
        <f>IF(ISNUMBER(outYear),PWD37+PWD42+#REF!+#REF!,"")</f>
        <v/>
      </c>
      <c r="PWE48" s="84" t="str">
        <f>IF(ISNUMBER(outYear),PWE37+PWE42+#REF!+#REF!,"")</f>
        <v/>
      </c>
      <c r="PWF48" s="84" t="str">
        <f>IF(ISNUMBER(outYear),PWF37+PWF42+#REF!+#REF!,"")</f>
        <v/>
      </c>
      <c r="PWG48" s="84" t="str">
        <f>IF(ISNUMBER(outYear),PWG37+PWG42+#REF!+#REF!,"")</f>
        <v/>
      </c>
      <c r="PWH48" s="84" t="str">
        <f>IF(ISNUMBER(outYear),PWH37+PWH42+#REF!+#REF!,"")</f>
        <v/>
      </c>
      <c r="PWI48" s="84" t="str">
        <f>IF(ISNUMBER(outYear),PWI37+PWI42+#REF!+#REF!,"")</f>
        <v/>
      </c>
      <c r="PWJ48" s="84" t="str">
        <f>IF(ISNUMBER(outYear),PWJ37+PWJ42+#REF!+#REF!,"")</f>
        <v/>
      </c>
      <c r="PWK48" s="84" t="str">
        <f>IF(ISNUMBER(outYear),PWK37+PWK42+#REF!+#REF!,"")</f>
        <v/>
      </c>
      <c r="PWL48" s="84" t="str">
        <f>IF(ISNUMBER(outYear),PWL37+PWL42+#REF!+#REF!,"")</f>
        <v/>
      </c>
      <c r="PWM48" s="84" t="str">
        <f>IF(ISNUMBER(outYear),PWM37+PWM42+#REF!+#REF!,"")</f>
        <v/>
      </c>
      <c r="PWN48" s="84" t="str">
        <f>IF(ISNUMBER(outYear),PWN37+PWN42+#REF!+#REF!,"")</f>
        <v/>
      </c>
      <c r="PWO48" s="84" t="str">
        <f>IF(ISNUMBER(outYear),PWO37+PWO42+#REF!+#REF!,"")</f>
        <v/>
      </c>
      <c r="PWP48" s="84" t="str">
        <f>IF(ISNUMBER(outYear),PWP37+PWP42+#REF!+#REF!,"")</f>
        <v/>
      </c>
      <c r="PWQ48" s="84" t="str">
        <f>IF(ISNUMBER(outYear),PWQ37+PWQ42+#REF!+#REF!,"")</f>
        <v/>
      </c>
      <c r="PWR48" s="84" t="str">
        <f>IF(ISNUMBER(outYear),PWR37+PWR42+#REF!+#REF!,"")</f>
        <v/>
      </c>
      <c r="PWS48" s="84" t="str">
        <f>IF(ISNUMBER(outYear),PWS37+PWS42+#REF!+#REF!,"")</f>
        <v/>
      </c>
      <c r="PWT48" s="84" t="str">
        <f>IF(ISNUMBER(outYear),PWT37+PWT42+#REF!+#REF!,"")</f>
        <v/>
      </c>
      <c r="PWU48" s="84" t="str">
        <f>IF(ISNUMBER(outYear),PWU37+PWU42+#REF!+#REF!,"")</f>
        <v/>
      </c>
      <c r="PWV48" s="84" t="str">
        <f>IF(ISNUMBER(outYear),PWV37+PWV42+#REF!+#REF!,"")</f>
        <v/>
      </c>
      <c r="PWW48" s="84" t="str">
        <f>IF(ISNUMBER(outYear),PWW37+PWW42+#REF!+#REF!,"")</f>
        <v/>
      </c>
      <c r="PWX48" s="84" t="str">
        <f>IF(ISNUMBER(outYear),PWX37+PWX42+#REF!+#REF!,"")</f>
        <v/>
      </c>
      <c r="PWY48" s="84" t="str">
        <f>IF(ISNUMBER(outYear),PWY37+PWY42+#REF!+#REF!,"")</f>
        <v/>
      </c>
      <c r="PWZ48" s="84" t="str">
        <f>IF(ISNUMBER(outYear),PWZ37+PWZ42+#REF!+#REF!,"")</f>
        <v/>
      </c>
      <c r="PXA48" s="84" t="str">
        <f>IF(ISNUMBER(outYear),PXA37+PXA42+#REF!+#REF!,"")</f>
        <v/>
      </c>
      <c r="PXB48" s="84" t="str">
        <f>IF(ISNUMBER(outYear),PXB37+PXB42+#REF!+#REF!,"")</f>
        <v/>
      </c>
      <c r="PXC48" s="84" t="str">
        <f>IF(ISNUMBER(outYear),PXC37+PXC42+#REF!+#REF!,"")</f>
        <v/>
      </c>
      <c r="PXD48" s="84" t="str">
        <f>IF(ISNUMBER(outYear),PXD37+PXD42+#REF!+#REF!,"")</f>
        <v/>
      </c>
      <c r="PXE48" s="84" t="str">
        <f>IF(ISNUMBER(outYear),PXE37+PXE42+#REF!+#REF!,"")</f>
        <v/>
      </c>
      <c r="PXF48" s="84" t="str">
        <f>IF(ISNUMBER(outYear),PXF37+PXF42+#REF!+#REF!,"")</f>
        <v/>
      </c>
      <c r="PXG48" s="84" t="str">
        <f>IF(ISNUMBER(outYear),PXG37+PXG42+#REF!+#REF!,"")</f>
        <v/>
      </c>
      <c r="PXH48" s="84" t="str">
        <f>IF(ISNUMBER(outYear),PXH37+PXH42+#REF!+#REF!,"")</f>
        <v/>
      </c>
      <c r="PXI48" s="84" t="str">
        <f>IF(ISNUMBER(outYear),PXI37+PXI42+#REF!+#REF!,"")</f>
        <v/>
      </c>
      <c r="PXJ48" s="84" t="str">
        <f>IF(ISNUMBER(outYear),PXJ37+PXJ42+#REF!+#REF!,"")</f>
        <v/>
      </c>
      <c r="PXK48" s="84" t="str">
        <f>IF(ISNUMBER(outYear),PXK37+PXK42+#REF!+#REF!,"")</f>
        <v/>
      </c>
      <c r="PXL48" s="84" t="str">
        <f>IF(ISNUMBER(outYear),PXL37+PXL42+#REF!+#REF!,"")</f>
        <v/>
      </c>
      <c r="PXM48" s="84" t="str">
        <f>IF(ISNUMBER(outYear),PXM37+PXM42+#REF!+#REF!,"")</f>
        <v/>
      </c>
      <c r="PXN48" s="84" t="str">
        <f>IF(ISNUMBER(outYear),PXN37+PXN42+#REF!+#REF!,"")</f>
        <v/>
      </c>
      <c r="PXO48" s="84" t="str">
        <f>IF(ISNUMBER(outYear),PXO37+PXO42+#REF!+#REF!,"")</f>
        <v/>
      </c>
      <c r="PXP48" s="84" t="str">
        <f>IF(ISNUMBER(outYear),PXP37+PXP42+#REF!+#REF!,"")</f>
        <v/>
      </c>
      <c r="PXQ48" s="84" t="str">
        <f>IF(ISNUMBER(outYear),PXQ37+PXQ42+#REF!+#REF!,"")</f>
        <v/>
      </c>
      <c r="PXR48" s="84" t="str">
        <f>IF(ISNUMBER(outYear),PXR37+PXR42+#REF!+#REF!,"")</f>
        <v/>
      </c>
      <c r="PXS48" s="84" t="str">
        <f>IF(ISNUMBER(outYear),PXS37+PXS42+#REF!+#REF!,"")</f>
        <v/>
      </c>
      <c r="PXT48" s="84" t="str">
        <f>IF(ISNUMBER(outYear),PXT37+PXT42+#REF!+#REF!,"")</f>
        <v/>
      </c>
      <c r="PXU48" s="84" t="str">
        <f>IF(ISNUMBER(outYear),PXU37+PXU42+#REF!+#REF!,"")</f>
        <v/>
      </c>
      <c r="PXV48" s="84" t="str">
        <f>IF(ISNUMBER(outYear),PXV37+PXV42+#REF!+#REF!,"")</f>
        <v/>
      </c>
      <c r="PXW48" s="84" t="str">
        <f>IF(ISNUMBER(outYear),PXW37+PXW42+#REF!+#REF!,"")</f>
        <v/>
      </c>
      <c r="PXX48" s="84" t="str">
        <f>IF(ISNUMBER(outYear),PXX37+PXX42+#REF!+#REF!,"")</f>
        <v/>
      </c>
      <c r="PXY48" s="84" t="str">
        <f>IF(ISNUMBER(outYear),PXY37+PXY42+#REF!+#REF!,"")</f>
        <v/>
      </c>
      <c r="PXZ48" s="84" t="str">
        <f>IF(ISNUMBER(outYear),PXZ37+PXZ42+#REF!+#REF!,"")</f>
        <v/>
      </c>
      <c r="PYA48" s="84" t="str">
        <f>IF(ISNUMBER(outYear),PYA37+PYA42+#REF!+#REF!,"")</f>
        <v/>
      </c>
      <c r="PYB48" s="84" t="str">
        <f>IF(ISNUMBER(outYear),PYB37+PYB42+#REF!+#REF!,"")</f>
        <v/>
      </c>
      <c r="PYC48" s="84" t="str">
        <f>IF(ISNUMBER(outYear),PYC37+PYC42+#REF!+#REF!,"")</f>
        <v/>
      </c>
      <c r="PYD48" s="84" t="str">
        <f>IF(ISNUMBER(outYear),PYD37+PYD42+#REF!+#REF!,"")</f>
        <v/>
      </c>
      <c r="PYE48" s="84" t="str">
        <f>IF(ISNUMBER(outYear),PYE37+PYE42+#REF!+#REF!,"")</f>
        <v/>
      </c>
      <c r="PYF48" s="84" t="str">
        <f>IF(ISNUMBER(outYear),PYF37+PYF42+#REF!+#REF!,"")</f>
        <v/>
      </c>
      <c r="PYG48" s="84" t="str">
        <f>IF(ISNUMBER(outYear),PYG37+PYG42+#REF!+#REF!,"")</f>
        <v/>
      </c>
      <c r="PYH48" s="84" t="str">
        <f>IF(ISNUMBER(outYear),PYH37+PYH42+#REF!+#REF!,"")</f>
        <v/>
      </c>
      <c r="PYI48" s="84" t="str">
        <f>IF(ISNUMBER(outYear),PYI37+PYI42+#REF!+#REF!,"")</f>
        <v/>
      </c>
      <c r="PYJ48" s="84" t="str">
        <f>IF(ISNUMBER(outYear),PYJ37+PYJ42+#REF!+#REF!,"")</f>
        <v/>
      </c>
      <c r="PYK48" s="84" t="str">
        <f>IF(ISNUMBER(outYear),PYK37+PYK42+#REF!+#REF!,"")</f>
        <v/>
      </c>
      <c r="PYL48" s="84" t="str">
        <f>IF(ISNUMBER(outYear),PYL37+PYL42+#REF!+#REF!,"")</f>
        <v/>
      </c>
      <c r="PYM48" s="84" t="str">
        <f>IF(ISNUMBER(outYear),PYM37+PYM42+#REF!+#REF!,"")</f>
        <v/>
      </c>
      <c r="PYN48" s="84" t="str">
        <f>IF(ISNUMBER(outYear),PYN37+PYN42+#REF!+#REF!,"")</f>
        <v/>
      </c>
      <c r="PYO48" s="84" t="str">
        <f>IF(ISNUMBER(outYear),PYO37+PYO42+#REF!+#REF!,"")</f>
        <v/>
      </c>
      <c r="PYP48" s="84" t="str">
        <f>IF(ISNUMBER(outYear),PYP37+PYP42+#REF!+#REF!,"")</f>
        <v/>
      </c>
      <c r="PYQ48" s="84" t="str">
        <f>IF(ISNUMBER(outYear),PYQ37+PYQ42+#REF!+#REF!,"")</f>
        <v/>
      </c>
      <c r="PYR48" s="84" t="str">
        <f>IF(ISNUMBER(outYear),PYR37+PYR42+#REF!+#REF!,"")</f>
        <v/>
      </c>
      <c r="PYS48" s="84" t="str">
        <f>IF(ISNUMBER(outYear),PYS37+PYS42+#REF!+#REF!,"")</f>
        <v/>
      </c>
      <c r="PYT48" s="84" t="str">
        <f>IF(ISNUMBER(outYear),PYT37+PYT42+#REF!+#REF!,"")</f>
        <v/>
      </c>
      <c r="PYU48" s="84" t="str">
        <f>IF(ISNUMBER(outYear),PYU37+PYU42+#REF!+#REF!,"")</f>
        <v/>
      </c>
      <c r="PYV48" s="84" t="str">
        <f>IF(ISNUMBER(outYear),PYV37+PYV42+#REF!+#REF!,"")</f>
        <v/>
      </c>
      <c r="PYW48" s="84" t="str">
        <f>IF(ISNUMBER(outYear),PYW37+PYW42+#REF!+#REF!,"")</f>
        <v/>
      </c>
      <c r="PYX48" s="84" t="str">
        <f>IF(ISNUMBER(outYear),PYX37+PYX42+#REF!+#REF!,"")</f>
        <v/>
      </c>
      <c r="PYY48" s="84" t="str">
        <f>IF(ISNUMBER(outYear),PYY37+PYY42+#REF!+#REF!,"")</f>
        <v/>
      </c>
      <c r="PYZ48" s="84" t="str">
        <f>IF(ISNUMBER(outYear),PYZ37+PYZ42+#REF!+#REF!,"")</f>
        <v/>
      </c>
      <c r="PZA48" s="84" t="str">
        <f>IF(ISNUMBER(outYear),PZA37+PZA42+#REF!+#REF!,"")</f>
        <v/>
      </c>
      <c r="PZB48" s="84" t="str">
        <f>IF(ISNUMBER(outYear),PZB37+PZB42+#REF!+#REF!,"")</f>
        <v/>
      </c>
      <c r="PZC48" s="84" t="str">
        <f>IF(ISNUMBER(outYear),PZC37+PZC42+#REF!+#REF!,"")</f>
        <v/>
      </c>
      <c r="PZD48" s="84" t="str">
        <f>IF(ISNUMBER(outYear),PZD37+PZD42+#REF!+#REF!,"")</f>
        <v/>
      </c>
      <c r="PZE48" s="84" t="str">
        <f>IF(ISNUMBER(outYear),PZE37+PZE42+#REF!+#REF!,"")</f>
        <v/>
      </c>
      <c r="PZF48" s="84" t="str">
        <f>IF(ISNUMBER(outYear),PZF37+PZF42+#REF!+#REF!,"")</f>
        <v/>
      </c>
      <c r="PZG48" s="84" t="str">
        <f>IF(ISNUMBER(outYear),PZG37+PZG42+#REF!+#REF!,"")</f>
        <v/>
      </c>
      <c r="PZH48" s="84" t="str">
        <f>IF(ISNUMBER(outYear),PZH37+PZH42+#REF!+#REF!,"")</f>
        <v/>
      </c>
      <c r="PZI48" s="84" t="str">
        <f>IF(ISNUMBER(outYear),PZI37+PZI42+#REF!+#REF!,"")</f>
        <v/>
      </c>
      <c r="PZJ48" s="84" t="str">
        <f>IF(ISNUMBER(outYear),PZJ37+PZJ42+#REF!+#REF!,"")</f>
        <v/>
      </c>
      <c r="PZK48" s="84" t="str">
        <f>IF(ISNUMBER(outYear),PZK37+PZK42+#REF!+#REF!,"")</f>
        <v/>
      </c>
      <c r="PZL48" s="84" t="str">
        <f>IF(ISNUMBER(outYear),PZL37+PZL42+#REF!+#REF!,"")</f>
        <v/>
      </c>
      <c r="PZM48" s="84" t="str">
        <f>IF(ISNUMBER(outYear),PZM37+PZM42+#REF!+#REF!,"")</f>
        <v/>
      </c>
      <c r="PZN48" s="84" t="str">
        <f>IF(ISNUMBER(outYear),PZN37+PZN42+#REF!+#REF!,"")</f>
        <v/>
      </c>
      <c r="PZO48" s="84" t="str">
        <f>IF(ISNUMBER(outYear),PZO37+PZO42+#REF!+#REF!,"")</f>
        <v/>
      </c>
      <c r="PZP48" s="84" t="str">
        <f>IF(ISNUMBER(outYear),PZP37+PZP42+#REF!+#REF!,"")</f>
        <v/>
      </c>
      <c r="PZQ48" s="84" t="str">
        <f>IF(ISNUMBER(outYear),PZQ37+PZQ42+#REF!+#REF!,"")</f>
        <v/>
      </c>
      <c r="PZR48" s="84" t="str">
        <f>IF(ISNUMBER(outYear),PZR37+PZR42+#REF!+#REF!,"")</f>
        <v/>
      </c>
      <c r="PZS48" s="84" t="str">
        <f>IF(ISNUMBER(outYear),PZS37+PZS42+#REF!+#REF!,"")</f>
        <v/>
      </c>
      <c r="PZT48" s="84" t="str">
        <f>IF(ISNUMBER(outYear),PZT37+PZT42+#REF!+#REF!,"")</f>
        <v/>
      </c>
      <c r="PZU48" s="84" t="str">
        <f>IF(ISNUMBER(outYear),PZU37+PZU42+#REF!+#REF!,"")</f>
        <v/>
      </c>
      <c r="PZV48" s="84" t="str">
        <f>IF(ISNUMBER(outYear),PZV37+PZV42+#REF!+#REF!,"")</f>
        <v/>
      </c>
      <c r="PZW48" s="84" t="str">
        <f>IF(ISNUMBER(outYear),PZW37+PZW42+#REF!+#REF!,"")</f>
        <v/>
      </c>
      <c r="PZX48" s="84" t="str">
        <f>IF(ISNUMBER(outYear),PZX37+PZX42+#REF!+#REF!,"")</f>
        <v/>
      </c>
      <c r="PZY48" s="84" t="str">
        <f>IF(ISNUMBER(outYear),PZY37+PZY42+#REF!+#REF!,"")</f>
        <v/>
      </c>
      <c r="PZZ48" s="84" t="str">
        <f>IF(ISNUMBER(outYear),PZZ37+PZZ42+#REF!+#REF!,"")</f>
        <v/>
      </c>
      <c r="QAA48" s="84" t="str">
        <f>IF(ISNUMBER(outYear),QAA37+QAA42+#REF!+#REF!,"")</f>
        <v/>
      </c>
      <c r="QAB48" s="84" t="str">
        <f>IF(ISNUMBER(outYear),QAB37+QAB42+#REF!+#REF!,"")</f>
        <v/>
      </c>
      <c r="QAC48" s="84" t="str">
        <f>IF(ISNUMBER(outYear),QAC37+QAC42+#REF!+#REF!,"")</f>
        <v/>
      </c>
      <c r="QAD48" s="84" t="str">
        <f>IF(ISNUMBER(outYear),QAD37+QAD42+#REF!+#REF!,"")</f>
        <v/>
      </c>
      <c r="QAE48" s="84" t="str">
        <f>IF(ISNUMBER(outYear),QAE37+QAE42+#REF!+#REF!,"")</f>
        <v/>
      </c>
      <c r="QAF48" s="84" t="str">
        <f>IF(ISNUMBER(outYear),QAF37+QAF42+#REF!+#REF!,"")</f>
        <v/>
      </c>
      <c r="QAG48" s="84" t="str">
        <f>IF(ISNUMBER(outYear),QAG37+QAG42+#REF!+#REF!,"")</f>
        <v/>
      </c>
      <c r="QAH48" s="84" t="str">
        <f>IF(ISNUMBER(outYear),QAH37+QAH42+#REF!+#REF!,"")</f>
        <v/>
      </c>
      <c r="QAI48" s="84" t="str">
        <f>IF(ISNUMBER(outYear),QAI37+QAI42+#REF!+#REF!,"")</f>
        <v/>
      </c>
      <c r="QAJ48" s="84" t="str">
        <f>IF(ISNUMBER(outYear),QAJ37+QAJ42+#REF!+#REF!,"")</f>
        <v/>
      </c>
      <c r="QAK48" s="84" t="str">
        <f>IF(ISNUMBER(outYear),QAK37+QAK42+#REF!+#REF!,"")</f>
        <v/>
      </c>
      <c r="QAL48" s="84" t="str">
        <f>IF(ISNUMBER(outYear),QAL37+QAL42+#REF!+#REF!,"")</f>
        <v/>
      </c>
      <c r="QAM48" s="84" t="str">
        <f>IF(ISNUMBER(outYear),QAM37+QAM42+#REF!+#REF!,"")</f>
        <v/>
      </c>
      <c r="QAN48" s="84" t="str">
        <f>IF(ISNUMBER(outYear),QAN37+QAN42+#REF!+#REF!,"")</f>
        <v/>
      </c>
      <c r="QAO48" s="84" t="str">
        <f>IF(ISNUMBER(outYear),QAO37+QAO42+#REF!+#REF!,"")</f>
        <v/>
      </c>
      <c r="QAP48" s="84" t="str">
        <f>IF(ISNUMBER(outYear),QAP37+QAP42+#REF!+#REF!,"")</f>
        <v/>
      </c>
      <c r="QAQ48" s="84" t="str">
        <f>IF(ISNUMBER(outYear),QAQ37+QAQ42+#REF!+#REF!,"")</f>
        <v/>
      </c>
      <c r="QAR48" s="84" t="str">
        <f>IF(ISNUMBER(outYear),QAR37+QAR42+#REF!+#REF!,"")</f>
        <v/>
      </c>
      <c r="QAS48" s="84" t="str">
        <f>IF(ISNUMBER(outYear),QAS37+QAS42+#REF!+#REF!,"")</f>
        <v/>
      </c>
      <c r="QAT48" s="84" t="str">
        <f>IF(ISNUMBER(outYear),QAT37+QAT42+#REF!+#REF!,"")</f>
        <v/>
      </c>
      <c r="QAU48" s="84" t="str">
        <f>IF(ISNUMBER(outYear),QAU37+QAU42+#REF!+#REF!,"")</f>
        <v/>
      </c>
      <c r="QAV48" s="84" t="str">
        <f>IF(ISNUMBER(outYear),QAV37+QAV42+#REF!+#REF!,"")</f>
        <v/>
      </c>
      <c r="QAW48" s="84" t="str">
        <f>IF(ISNUMBER(outYear),QAW37+QAW42+#REF!+#REF!,"")</f>
        <v/>
      </c>
      <c r="QAX48" s="84" t="str">
        <f>IF(ISNUMBER(outYear),QAX37+QAX42+#REF!+#REF!,"")</f>
        <v/>
      </c>
      <c r="QAY48" s="84" t="str">
        <f>IF(ISNUMBER(outYear),QAY37+QAY42+#REF!+#REF!,"")</f>
        <v/>
      </c>
      <c r="QAZ48" s="84" t="str">
        <f>IF(ISNUMBER(outYear),QAZ37+QAZ42+#REF!+#REF!,"")</f>
        <v/>
      </c>
      <c r="QBA48" s="84" t="str">
        <f>IF(ISNUMBER(outYear),QBA37+QBA42+#REF!+#REF!,"")</f>
        <v/>
      </c>
      <c r="QBB48" s="84" t="str">
        <f>IF(ISNUMBER(outYear),QBB37+QBB42+#REF!+#REF!,"")</f>
        <v/>
      </c>
      <c r="QBC48" s="84" t="str">
        <f>IF(ISNUMBER(outYear),QBC37+QBC42+#REF!+#REF!,"")</f>
        <v/>
      </c>
      <c r="QBD48" s="84" t="str">
        <f>IF(ISNUMBER(outYear),QBD37+QBD42+#REF!+#REF!,"")</f>
        <v/>
      </c>
      <c r="QBE48" s="84" t="str">
        <f>IF(ISNUMBER(outYear),QBE37+QBE42+#REF!+#REF!,"")</f>
        <v/>
      </c>
      <c r="QBF48" s="84" t="str">
        <f>IF(ISNUMBER(outYear),QBF37+QBF42+#REF!+#REF!,"")</f>
        <v/>
      </c>
      <c r="QBG48" s="84" t="str">
        <f>IF(ISNUMBER(outYear),QBG37+QBG42+#REF!+#REF!,"")</f>
        <v/>
      </c>
      <c r="QBH48" s="84" t="str">
        <f>IF(ISNUMBER(outYear),QBH37+QBH42+#REF!+#REF!,"")</f>
        <v/>
      </c>
      <c r="QBI48" s="84" t="str">
        <f>IF(ISNUMBER(outYear),QBI37+QBI42+#REF!+#REF!,"")</f>
        <v/>
      </c>
      <c r="QBJ48" s="84" t="str">
        <f>IF(ISNUMBER(outYear),QBJ37+QBJ42+#REF!+#REF!,"")</f>
        <v/>
      </c>
      <c r="QBK48" s="84" t="str">
        <f>IF(ISNUMBER(outYear),QBK37+QBK42+#REF!+#REF!,"")</f>
        <v/>
      </c>
      <c r="QBL48" s="84" t="str">
        <f>IF(ISNUMBER(outYear),QBL37+QBL42+#REF!+#REF!,"")</f>
        <v/>
      </c>
      <c r="QBM48" s="84" t="str">
        <f>IF(ISNUMBER(outYear),QBM37+QBM42+#REF!+#REF!,"")</f>
        <v/>
      </c>
      <c r="QBN48" s="84" t="str">
        <f>IF(ISNUMBER(outYear),QBN37+QBN42+#REF!+#REF!,"")</f>
        <v/>
      </c>
      <c r="QBO48" s="84" t="str">
        <f>IF(ISNUMBER(outYear),QBO37+QBO42+#REF!+#REF!,"")</f>
        <v/>
      </c>
      <c r="QBP48" s="84" t="str">
        <f>IF(ISNUMBER(outYear),QBP37+QBP42+#REF!+#REF!,"")</f>
        <v/>
      </c>
      <c r="QBQ48" s="84" t="str">
        <f>IF(ISNUMBER(outYear),QBQ37+QBQ42+#REF!+#REF!,"")</f>
        <v/>
      </c>
      <c r="QBR48" s="84" t="str">
        <f>IF(ISNUMBER(outYear),QBR37+QBR42+#REF!+#REF!,"")</f>
        <v/>
      </c>
      <c r="QBS48" s="84" t="str">
        <f>IF(ISNUMBER(outYear),QBS37+QBS42+#REF!+#REF!,"")</f>
        <v/>
      </c>
      <c r="QBT48" s="84" t="str">
        <f>IF(ISNUMBER(outYear),QBT37+QBT42+#REF!+#REF!,"")</f>
        <v/>
      </c>
      <c r="QBU48" s="84" t="str">
        <f>IF(ISNUMBER(outYear),QBU37+QBU42+#REF!+#REF!,"")</f>
        <v/>
      </c>
      <c r="QBV48" s="84" t="str">
        <f>IF(ISNUMBER(outYear),QBV37+QBV42+#REF!+#REF!,"")</f>
        <v/>
      </c>
      <c r="QBW48" s="84" t="str">
        <f>IF(ISNUMBER(outYear),QBW37+QBW42+#REF!+#REF!,"")</f>
        <v/>
      </c>
      <c r="QBX48" s="84" t="str">
        <f>IF(ISNUMBER(outYear),QBX37+QBX42+#REF!+#REF!,"")</f>
        <v/>
      </c>
      <c r="QBY48" s="84" t="str">
        <f>IF(ISNUMBER(outYear),QBY37+QBY42+#REF!+#REF!,"")</f>
        <v/>
      </c>
      <c r="QBZ48" s="84" t="str">
        <f>IF(ISNUMBER(outYear),QBZ37+QBZ42+#REF!+#REF!,"")</f>
        <v/>
      </c>
      <c r="QCA48" s="84" t="str">
        <f>IF(ISNUMBER(outYear),QCA37+QCA42+#REF!+#REF!,"")</f>
        <v/>
      </c>
      <c r="QCB48" s="84" t="str">
        <f>IF(ISNUMBER(outYear),QCB37+QCB42+#REF!+#REF!,"")</f>
        <v/>
      </c>
      <c r="QCC48" s="84" t="str">
        <f>IF(ISNUMBER(outYear),QCC37+QCC42+#REF!+#REF!,"")</f>
        <v/>
      </c>
      <c r="QCD48" s="84" t="str">
        <f>IF(ISNUMBER(outYear),QCD37+QCD42+#REF!+#REF!,"")</f>
        <v/>
      </c>
      <c r="QCE48" s="84" t="str">
        <f>IF(ISNUMBER(outYear),QCE37+QCE42+#REF!+#REF!,"")</f>
        <v/>
      </c>
      <c r="QCF48" s="84" t="str">
        <f>IF(ISNUMBER(outYear),QCF37+QCF42+#REF!+#REF!,"")</f>
        <v/>
      </c>
      <c r="QCG48" s="84" t="str">
        <f>IF(ISNUMBER(outYear),QCG37+QCG42+#REF!+#REF!,"")</f>
        <v/>
      </c>
      <c r="QCH48" s="84" t="str">
        <f>IF(ISNUMBER(outYear),QCH37+QCH42+#REF!+#REF!,"")</f>
        <v/>
      </c>
      <c r="QCI48" s="84" t="str">
        <f>IF(ISNUMBER(outYear),QCI37+QCI42+#REF!+#REF!,"")</f>
        <v/>
      </c>
      <c r="QCJ48" s="84" t="str">
        <f>IF(ISNUMBER(outYear),QCJ37+QCJ42+#REF!+#REF!,"")</f>
        <v/>
      </c>
      <c r="QCK48" s="84" t="str">
        <f>IF(ISNUMBER(outYear),QCK37+QCK42+#REF!+#REF!,"")</f>
        <v/>
      </c>
      <c r="QCL48" s="84" t="str">
        <f>IF(ISNUMBER(outYear),QCL37+QCL42+#REF!+#REF!,"")</f>
        <v/>
      </c>
      <c r="QCM48" s="84" t="str">
        <f>IF(ISNUMBER(outYear),QCM37+QCM42+#REF!+#REF!,"")</f>
        <v/>
      </c>
      <c r="QCN48" s="84" t="str">
        <f>IF(ISNUMBER(outYear),QCN37+QCN42+#REF!+#REF!,"")</f>
        <v/>
      </c>
      <c r="QCO48" s="84" t="str">
        <f>IF(ISNUMBER(outYear),QCO37+QCO42+#REF!+#REF!,"")</f>
        <v/>
      </c>
      <c r="QCP48" s="84" t="str">
        <f>IF(ISNUMBER(outYear),QCP37+QCP42+#REF!+#REF!,"")</f>
        <v/>
      </c>
      <c r="QCQ48" s="84" t="str">
        <f>IF(ISNUMBER(outYear),QCQ37+QCQ42+#REF!+#REF!,"")</f>
        <v/>
      </c>
      <c r="QCR48" s="84" t="str">
        <f>IF(ISNUMBER(outYear),QCR37+QCR42+#REF!+#REF!,"")</f>
        <v/>
      </c>
      <c r="QCS48" s="84" t="str">
        <f>IF(ISNUMBER(outYear),QCS37+QCS42+#REF!+#REF!,"")</f>
        <v/>
      </c>
      <c r="QCT48" s="84" t="str">
        <f>IF(ISNUMBER(outYear),QCT37+QCT42+#REF!+#REF!,"")</f>
        <v/>
      </c>
      <c r="QCU48" s="84" t="str">
        <f>IF(ISNUMBER(outYear),QCU37+QCU42+#REF!+#REF!,"")</f>
        <v/>
      </c>
      <c r="QCV48" s="84" t="str">
        <f>IF(ISNUMBER(outYear),QCV37+QCV42+#REF!+#REF!,"")</f>
        <v/>
      </c>
      <c r="QCW48" s="84" t="str">
        <f>IF(ISNUMBER(outYear),QCW37+QCW42+#REF!+#REF!,"")</f>
        <v/>
      </c>
      <c r="QCX48" s="84" t="str">
        <f>IF(ISNUMBER(outYear),QCX37+QCX42+#REF!+#REF!,"")</f>
        <v/>
      </c>
      <c r="QCY48" s="84" t="str">
        <f>IF(ISNUMBER(outYear),QCY37+QCY42+#REF!+#REF!,"")</f>
        <v/>
      </c>
      <c r="QCZ48" s="84" t="str">
        <f>IF(ISNUMBER(outYear),QCZ37+QCZ42+#REF!+#REF!,"")</f>
        <v/>
      </c>
      <c r="QDA48" s="84" t="str">
        <f>IF(ISNUMBER(outYear),QDA37+QDA42+#REF!+#REF!,"")</f>
        <v/>
      </c>
      <c r="QDB48" s="84" t="str">
        <f>IF(ISNUMBER(outYear),QDB37+QDB42+#REF!+#REF!,"")</f>
        <v/>
      </c>
      <c r="QDC48" s="84" t="str">
        <f>IF(ISNUMBER(outYear),QDC37+QDC42+#REF!+#REF!,"")</f>
        <v/>
      </c>
      <c r="QDD48" s="84" t="str">
        <f>IF(ISNUMBER(outYear),QDD37+QDD42+#REF!+#REF!,"")</f>
        <v/>
      </c>
      <c r="QDE48" s="84" t="str">
        <f>IF(ISNUMBER(outYear),QDE37+QDE42+#REF!+#REF!,"")</f>
        <v/>
      </c>
      <c r="QDF48" s="84" t="str">
        <f>IF(ISNUMBER(outYear),QDF37+QDF42+#REF!+#REF!,"")</f>
        <v/>
      </c>
      <c r="QDG48" s="84" t="str">
        <f>IF(ISNUMBER(outYear),QDG37+QDG42+#REF!+#REF!,"")</f>
        <v/>
      </c>
      <c r="QDH48" s="84" t="str">
        <f>IF(ISNUMBER(outYear),QDH37+QDH42+#REF!+#REF!,"")</f>
        <v/>
      </c>
      <c r="QDI48" s="84" t="str">
        <f>IF(ISNUMBER(outYear),QDI37+QDI42+#REF!+#REF!,"")</f>
        <v/>
      </c>
      <c r="QDJ48" s="84" t="str">
        <f>IF(ISNUMBER(outYear),QDJ37+QDJ42+#REF!+#REF!,"")</f>
        <v/>
      </c>
      <c r="QDK48" s="84" t="str">
        <f>IF(ISNUMBER(outYear),QDK37+QDK42+#REF!+#REF!,"")</f>
        <v/>
      </c>
      <c r="QDL48" s="84" t="str">
        <f>IF(ISNUMBER(outYear),QDL37+QDL42+#REF!+#REF!,"")</f>
        <v/>
      </c>
      <c r="QDM48" s="84" t="str">
        <f>IF(ISNUMBER(outYear),QDM37+QDM42+#REF!+#REF!,"")</f>
        <v/>
      </c>
      <c r="QDN48" s="84" t="str">
        <f>IF(ISNUMBER(outYear),QDN37+QDN42+#REF!+#REF!,"")</f>
        <v/>
      </c>
      <c r="QDO48" s="84" t="str">
        <f>IF(ISNUMBER(outYear),QDO37+QDO42+#REF!+#REF!,"")</f>
        <v/>
      </c>
      <c r="QDP48" s="84" t="str">
        <f>IF(ISNUMBER(outYear),QDP37+QDP42+#REF!+#REF!,"")</f>
        <v/>
      </c>
      <c r="QDQ48" s="84" t="str">
        <f>IF(ISNUMBER(outYear),QDQ37+QDQ42+#REF!+#REF!,"")</f>
        <v/>
      </c>
      <c r="QDR48" s="84" t="str">
        <f>IF(ISNUMBER(outYear),QDR37+QDR42+#REF!+#REF!,"")</f>
        <v/>
      </c>
      <c r="QDS48" s="84" t="str">
        <f>IF(ISNUMBER(outYear),QDS37+QDS42+#REF!+#REF!,"")</f>
        <v/>
      </c>
      <c r="QDT48" s="84" t="str">
        <f>IF(ISNUMBER(outYear),QDT37+QDT42+#REF!+#REF!,"")</f>
        <v/>
      </c>
      <c r="QDU48" s="84" t="str">
        <f>IF(ISNUMBER(outYear),QDU37+QDU42+#REF!+#REF!,"")</f>
        <v/>
      </c>
      <c r="QDV48" s="84" t="str">
        <f>IF(ISNUMBER(outYear),QDV37+QDV42+#REF!+#REF!,"")</f>
        <v/>
      </c>
      <c r="QDW48" s="84" t="str">
        <f>IF(ISNUMBER(outYear),QDW37+QDW42+#REF!+#REF!,"")</f>
        <v/>
      </c>
      <c r="QDX48" s="84" t="str">
        <f>IF(ISNUMBER(outYear),QDX37+QDX42+#REF!+#REF!,"")</f>
        <v/>
      </c>
      <c r="QDY48" s="84" t="str">
        <f>IF(ISNUMBER(outYear),QDY37+QDY42+#REF!+#REF!,"")</f>
        <v/>
      </c>
      <c r="QDZ48" s="84" t="str">
        <f>IF(ISNUMBER(outYear),QDZ37+QDZ42+#REF!+#REF!,"")</f>
        <v/>
      </c>
      <c r="QEA48" s="84" t="str">
        <f>IF(ISNUMBER(outYear),QEA37+QEA42+#REF!+#REF!,"")</f>
        <v/>
      </c>
      <c r="QEB48" s="84" t="str">
        <f>IF(ISNUMBER(outYear),QEB37+QEB42+#REF!+#REF!,"")</f>
        <v/>
      </c>
      <c r="QEC48" s="84" t="str">
        <f>IF(ISNUMBER(outYear),QEC37+QEC42+#REF!+#REF!,"")</f>
        <v/>
      </c>
      <c r="QED48" s="84" t="str">
        <f>IF(ISNUMBER(outYear),QED37+QED42+#REF!+#REF!,"")</f>
        <v/>
      </c>
      <c r="QEE48" s="84" t="str">
        <f>IF(ISNUMBER(outYear),QEE37+QEE42+#REF!+#REF!,"")</f>
        <v/>
      </c>
      <c r="QEF48" s="84" t="str">
        <f>IF(ISNUMBER(outYear),QEF37+QEF42+#REF!+#REF!,"")</f>
        <v/>
      </c>
      <c r="QEG48" s="84" t="str">
        <f>IF(ISNUMBER(outYear),QEG37+QEG42+#REF!+#REF!,"")</f>
        <v/>
      </c>
      <c r="QEH48" s="84" t="str">
        <f>IF(ISNUMBER(outYear),QEH37+QEH42+#REF!+#REF!,"")</f>
        <v/>
      </c>
      <c r="QEI48" s="84" t="str">
        <f>IF(ISNUMBER(outYear),QEI37+QEI42+#REF!+#REF!,"")</f>
        <v/>
      </c>
      <c r="QEJ48" s="84" t="str">
        <f>IF(ISNUMBER(outYear),QEJ37+QEJ42+#REF!+#REF!,"")</f>
        <v/>
      </c>
      <c r="QEK48" s="84" t="str">
        <f>IF(ISNUMBER(outYear),QEK37+QEK42+#REF!+#REF!,"")</f>
        <v/>
      </c>
      <c r="QEL48" s="84" t="str">
        <f>IF(ISNUMBER(outYear),QEL37+QEL42+#REF!+#REF!,"")</f>
        <v/>
      </c>
      <c r="QEM48" s="84" t="str">
        <f>IF(ISNUMBER(outYear),QEM37+QEM42+#REF!+#REF!,"")</f>
        <v/>
      </c>
      <c r="QEN48" s="84" t="str">
        <f>IF(ISNUMBER(outYear),QEN37+QEN42+#REF!+#REF!,"")</f>
        <v/>
      </c>
      <c r="QEO48" s="84" t="str">
        <f>IF(ISNUMBER(outYear),QEO37+QEO42+#REF!+#REF!,"")</f>
        <v/>
      </c>
      <c r="QEP48" s="84" t="str">
        <f>IF(ISNUMBER(outYear),QEP37+QEP42+#REF!+#REF!,"")</f>
        <v/>
      </c>
      <c r="QEQ48" s="84" t="str">
        <f>IF(ISNUMBER(outYear),QEQ37+QEQ42+#REF!+#REF!,"")</f>
        <v/>
      </c>
      <c r="QER48" s="84" t="str">
        <f>IF(ISNUMBER(outYear),QER37+QER42+#REF!+#REF!,"")</f>
        <v/>
      </c>
      <c r="QES48" s="84" t="str">
        <f>IF(ISNUMBER(outYear),QES37+QES42+#REF!+#REF!,"")</f>
        <v/>
      </c>
      <c r="QET48" s="84" t="str">
        <f>IF(ISNUMBER(outYear),QET37+QET42+#REF!+#REF!,"")</f>
        <v/>
      </c>
      <c r="QEU48" s="84" t="str">
        <f>IF(ISNUMBER(outYear),QEU37+QEU42+#REF!+#REF!,"")</f>
        <v/>
      </c>
      <c r="QEV48" s="84" t="str">
        <f>IF(ISNUMBER(outYear),QEV37+QEV42+#REF!+#REF!,"")</f>
        <v/>
      </c>
      <c r="QEW48" s="84" t="str">
        <f>IF(ISNUMBER(outYear),QEW37+QEW42+#REF!+#REF!,"")</f>
        <v/>
      </c>
      <c r="QEX48" s="84" t="str">
        <f>IF(ISNUMBER(outYear),QEX37+QEX42+#REF!+#REF!,"")</f>
        <v/>
      </c>
      <c r="QEY48" s="84" t="str">
        <f>IF(ISNUMBER(outYear),QEY37+QEY42+#REF!+#REF!,"")</f>
        <v/>
      </c>
      <c r="QEZ48" s="84" t="str">
        <f>IF(ISNUMBER(outYear),QEZ37+QEZ42+#REF!+#REF!,"")</f>
        <v/>
      </c>
      <c r="QFA48" s="84" t="str">
        <f>IF(ISNUMBER(outYear),QFA37+QFA42+#REF!+#REF!,"")</f>
        <v/>
      </c>
      <c r="QFB48" s="84" t="str">
        <f>IF(ISNUMBER(outYear),QFB37+QFB42+#REF!+#REF!,"")</f>
        <v/>
      </c>
      <c r="QFC48" s="84" t="str">
        <f>IF(ISNUMBER(outYear),QFC37+QFC42+#REF!+#REF!,"")</f>
        <v/>
      </c>
      <c r="QFD48" s="84" t="str">
        <f>IF(ISNUMBER(outYear),QFD37+QFD42+#REF!+#REF!,"")</f>
        <v/>
      </c>
      <c r="QFE48" s="84" t="str">
        <f>IF(ISNUMBER(outYear),QFE37+QFE42+#REF!+#REF!,"")</f>
        <v/>
      </c>
      <c r="QFF48" s="84" t="str">
        <f>IF(ISNUMBER(outYear),QFF37+QFF42+#REF!+#REF!,"")</f>
        <v/>
      </c>
      <c r="QFG48" s="84" t="str">
        <f>IF(ISNUMBER(outYear),QFG37+QFG42+#REF!+#REF!,"")</f>
        <v/>
      </c>
      <c r="QFH48" s="84" t="str">
        <f>IF(ISNUMBER(outYear),QFH37+QFH42+#REF!+#REF!,"")</f>
        <v/>
      </c>
      <c r="QFI48" s="84" t="str">
        <f>IF(ISNUMBER(outYear),QFI37+QFI42+#REF!+#REF!,"")</f>
        <v/>
      </c>
      <c r="QFJ48" s="84" t="str">
        <f>IF(ISNUMBER(outYear),QFJ37+QFJ42+#REF!+#REF!,"")</f>
        <v/>
      </c>
      <c r="QFK48" s="84" t="str">
        <f>IF(ISNUMBER(outYear),QFK37+QFK42+#REF!+#REF!,"")</f>
        <v/>
      </c>
      <c r="QFL48" s="84" t="str">
        <f>IF(ISNUMBER(outYear),QFL37+QFL42+#REF!+#REF!,"")</f>
        <v/>
      </c>
      <c r="QFM48" s="84" t="str">
        <f>IF(ISNUMBER(outYear),QFM37+QFM42+#REF!+#REF!,"")</f>
        <v/>
      </c>
      <c r="QFN48" s="84" t="str">
        <f>IF(ISNUMBER(outYear),QFN37+QFN42+#REF!+#REF!,"")</f>
        <v/>
      </c>
      <c r="QFO48" s="84" t="str">
        <f>IF(ISNUMBER(outYear),QFO37+QFO42+#REF!+#REF!,"")</f>
        <v/>
      </c>
      <c r="QFP48" s="84" t="str">
        <f>IF(ISNUMBER(outYear),QFP37+QFP42+#REF!+#REF!,"")</f>
        <v/>
      </c>
      <c r="QFQ48" s="84" t="str">
        <f>IF(ISNUMBER(outYear),QFQ37+QFQ42+#REF!+#REF!,"")</f>
        <v/>
      </c>
      <c r="QFR48" s="84" t="str">
        <f>IF(ISNUMBER(outYear),QFR37+QFR42+#REF!+#REF!,"")</f>
        <v/>
      </c>
      <c r="QFS48" s="84" t="str">
        <f>IF(ISNUMBER(outYear),QFS37+QFS42+#REF!+#REF!,"")</f>
        <v/>
      </c>
      <c r="QFT48" s="84" t="str">
        <f>IF(ISNUMBER(outYear),QFT37+QFT42+#REF!+#REF!,"")</f>
        <v/>
      </c>
      <c r="QFU48" s="84" t="str">
        <f>IF(ISNUMBER(outYear),QFU37+QFU42+#REF!+#REF!,"")</f>
        <v/>
      </c>
      <c r="QFV48" s="84" t="str">
        <f>IF(ISNUMBER(outYear),QFV37+QFV42+#REF!+#REF!,"")</f>
        <v/>
      </c>
      <c r="QFW48" s="84" t="str">
        <f>IF(ISNUMBER(outYear),QFW37+QFW42+#REF!+#REF!,"")</f>
        <v/>
      </c>
      <c r="QFX48" s="84" t="str">
        <f>IF(ISNUMBER(outYear),QFX37+QFX42+#REF!+#REF!,"")</f>
        <v/>
      </c>
      <c r="QFY48" s="84" t="str">
        <f>IF(ISNUMBER(outYear),QFY37+QFY42+#REF!+#REF!,"")</f>
        <v/>
      </c>
      <c r="QFZ48" s="84" t="str">
        <f>IF(ISNUMBER(outYear),QFZ37+QFZ42+#REF!+#REF!,"")</f>
        <v/>
      </c>
      <c r="QGA48" s="84" t="str">
        <f>IF(ISNUMBER(outYear),QGA37+QGA42+#REF!+#REF!,"")</f>
        <v/>
      </c>
      <c r="QGB48" s="84" t="str">
        <f>IF(ISNUMBER(outYear),QGB37+QGB42+#REF!+#REF!,"")</f>
        <v/>
      </c>
      <c r="QGC48" s="84" t="str">
        <f>IF(ISNUMBER(outYear),QGC37+QGC42+#REF!+#REF!,"")</f>
        <v/>
      </c>
      <c r="QGD48" s="84" t="str">
        <f>IF(ISNUMBER(outYear),QGD37+QGD42+#REF!+#REF!,"")</f>
        <v/>
      </c>
      <c r="QGE48" s="84" t="str">
        <f>IF(ISNUMBER(outYear),QGE37+QGE42+#REF!+#REF!,"")</f>
        <v/>
      </c>
      <c r="QGF48" s="84" t="str">
        <f>IF(ISNUMBER(outYear),QGF37+QGF42+#REF!+#REF!,"")</f>
        <v/>
      </c>
      <c r="QGG48" s="84" t="str">
        <f>IF(ISNUMBER(outYear),QGG37+QGG42+#REF!+#REF!,"")</f>
        <v/>
      </c>
      <c r="QGH48" s="84" t="str">
        <f>IF(ISNUMBER(outYear),QGH37+QGH42+#REF!+#REF!,"")</f>
        <v/>
      </c>
      <c r="QGI48" s="84" t="str">
        <f>IF(ISNUMBER(outYear),QGI37+QGI42+#REF!+#REF!,"")</f>
        <v/>
      </c>
      <c r="QGJ48" s="84" t="str">
        <f>IF(ISNUMBER(outYear),QGJ37+QGJ42+#REF!+#REF!,"")</f>
        <v/>
      </c>
      <c r="QGK48" s="84" t="str">
        <f>IF(ISNUMBER(outYear),QGK37+QGK42+#REF!+#REF!,"")</f>
        <v/>
      </c>
      <c r="QGL48" s="84" t="str">
        <f>IF(ISNUMBER(outYear),QGL37+QGL42+#REF!+#REF!,"")</f>
        <v/>
      </c>
      <c r="QGM48" s="84" t="str">
        <f>IF(ISNUMBER(outYear),QGM37+QGM42+#REF!+#REF!,"")</f>
        <v/>
      </c>
      <c r="QGN48" s="84" t="str">
        <f>IF(ISNUMBER(outYear),QGN37+QGN42+#REF!+#REF!,"")</f>
        <v/>
      </c>
      <c r="QGO48" s="84" t="str">
        <f>IF(ISNUMBER(outYear),QGO37+QGO42+#REF!+#REF!,"")</f>
        <v/>
      </c>
      <c r="QGP48" s="84" t="str">
        <f>IF(ISNUMBER(outYear),QGP37+QGP42+#REF!+#REF!,"")</f>
        <v/>
      </c>
      <c r="QGQ48" s="84" t="str">
        <f>IF(ISNUMBER(outYear),QGQ37+QGQ42+#REF!+#REF!,"")</f>
        <v/>
      </c>
      <c r="QGR48" s="84" t="str">
        <f>IF(ISNUMBER(outYear),QGR37+QGR42+#REF!+#REF!,"")</f>
        <v/>
      </c>
      <c r="QGS48" s="84" t="str">
        <f>IF(ISNUMBER(outYear),QGS37+QGS42+#REF!+#REF!,"")</f>
        <v/>
      </c>
      <c r="QGT48" s="84" t="str">
        <f>IF(ISNUMBER(outYear),QGT37+QGT42+#REF!+#REF!,"")</f>
        <v/>
      </c>
      <c r="QGU48" s="84" t="str">
        <f>IF(ISNUMBER(outYear),QGU37+QGU42+#REF!+#REF!,"")</f>
        <v/>
      </c>
      <c r="QGV48" s="84" t="str">
        <f>IF(ISNUMBER(outYear),QGV37+QGV42+#REF!+#REF!,"")</f>
        <v/>
      </c>
      <c r="QGW48" s="84" t="str">
        <f>IF(ISNUMBER(outYear),QGW37+QGW42+#REF!+#REF!,"")</f>
        <v/>
      </c>
      <c r="QGX48" s="84" t="str">
        <f>IF(ISNUMBER(outYear),QGX37+QGX42+#REF!+#REF!,"")</f>
        <v/>
      </c>
      <c r="QGY48" s="84" t="str">
        <f>IF(ISNUMBER(outYear),QGY37+QGY42+#REF!+#REF!,"")</f>
        <v/>
      </c>
      <c r="QGZ48" s="84" t="str">
        <f>IF(ISNUMBER(outYear),QGZ37+QGZ42+#REF!+#REF!,"")</f>
        <v/>
      </c>
      <c r="QHA48" s="84" t="str">
        <f>IF(ISNUMBER(outYear),QHA37+QHA42+#REF!+#REF!,"")</f>
        <v/>
      </c>
      <c r="QHB48" s="84" t="str">
        <f>IF(ISNUMBER(outYear),QHB37+QHB42+#REF!+#REF!,"")</f>
        <v/>
      </c>
      <c r="QHC48" s="84" t="str">
        <f>IF(ISNUMBER(outYear),QHC37+QHC42+#REF!+#REF!,"")</f>
        <v/>
      </c>
      <c r="QHD48" s="84" t="str">
        <f>IF(ISNUMBER(outYear),QHD37+QHD42+#REF!+#REF!,"")</f>
        <v/>
      </c>
      <c r="QHE48" s="84" t="str">
        <f>IF(ISNUMBER(outYear),QHE37+QHE42+#REF!+#REF!,"")</f>
        <v/>
      </c>
      <c r="QHF48" s="84" t="str">
        <f>IF(ISNUMBER(outYear),QHF37+QHF42+#REF!+#REF!,"")</f>
        <v/>
      </c>
      <c r="QHG48" s="84" t="str">
        <f>IF(ISNUMBER(outYear),QHG37+QHG42+#REF!+#REF!,"")</f>
        <v/>
      </c>
      <c r="QHH48" s="84" t="str">
        <f>IF(ISNUMBER(outYear),QHH37+QHH42+#REF!+#REF!,"")</f>
        <v/>
      </c>
      <c r="QHI48" s="84" t="str">
        <f>IF(ISNUMBER(outYear),QHI37+QHI42+#REF!+#REF!,"")</f>
        <v/>
      </c>
      <c r="QHJ48" s="84" t="str">
        <f>IF(ISNUMBER(outYear),QHJ37+QHJ42+#REF!+#REF!,"")</f>
        <v/>
      </c>
      <c r="QHK48" s="84" t="str">
        <f>IF(ISNUMBER(outYear),QHK37+QHK42+#REF!+#REF!,"")</f>
        <v/>
      </c>
      <c r="QHL48" s="84" t="str">
        <f>IF(ISNUMBER(outYear),QHL37+QHL42+#REF!+#REF!,"")</f>
        <v/>
      </c>
      <c r="QHM48" s="84" t="str">
        <f>IF(ISNUMBER(outYear),QHM37+QHM42+#REF!+#REF!,"")</f>
        <v/>
      </c>
      <c r="QHN48" s="84" t="str">
        <f>IF(ISNUMBER(outYear),QHN37+QHN42+#REF!+#REF!,"")</f>
        <v/>
      </c>
      <c r="QHO48" s="84" t="str">
        <f>IF(ISNUMBER(outYear),QHO37+QHO42+#REF!+#REF!,"")</f>
        <v/>
      </c>
      <c r="QHP48" s="84" t="str">
        <f>IF(ISNUMBER(outYear),QHP37+QHP42+#REF!+#REF!,"")</f>
        <v/>
      </c>
      <c r="QHQ48" s="84" t="str">
        <f>IF(ISNUMBER(outYear),QHQ37+QHQ42+#REF!+#REF!,"")</f>
        <v/>
      </c>
      <c r="QHR48" s="84" t="str">
        <f>IF(ISNUMBER(outYear),QHR37+QHR42+#REF!+#REF!,"")</f>
        <v/>
      </c>
      <c r="QHS48" s="84" t="str">
        <f>IF(ISNUMBER(outYear),QHS37+QHS42+#REF!+#REF!,"")</f>
        <v/>
      </c>
      <c r="QHT48" s="84" t="str">
        <f>IF(ISNUMBER(outYear),QHT37+QHT42+#REF!+#REF!,"")</f>
        <v/>
      </c>
      <c r="QHU48" s="84" t="str">
        <f>IF(ISNUMBER(outYear),QHU37+QHU42+#REF!+#REF!,"")</f>
        <v/>
      </c>
      <c r="QHV48" s="84" t="str">
        <f>IF(ISNUMBER(outYear),QHV37+QHV42+#REF!+#REF!,"")</f>
        <v/>
      </c>
      <c r="QHW48" s="84" t="str">
        <f>IF(ISNUMBER(outYear),QHW37+QHW42+#REF!+#REF!,"")</f>
        <v/>
      </c>
      <c r="QHX48" s="84" t="str">
        <f>IF(ISNUMBER(outYear),QHX37+QHX42+#REF!+#REF!,"")</f>
        <v/>
      </c>
      <c r="QHY48" s="84" t="str">
        <f>IF(ISNUMBER(outYear),QHY37+QHY42+#REF!+#REF!,"")</f>
        <v/>
      </c>
      <c r="QHZ48" s="84" t="str">
        <f>IF(ISNUMBER(outYear),QHZ37+QHZ42+#REF!+#REF!,"")</f>
        <v/>
      </c>
      <c r="QIA48" s="84" t="str">
        <f>IF(ISNUMBER(outYear),QIA37+QIA42+#REF!+#REF!,"")</f>
        <v/>
      </c>
      <c r="QIB48" s="84" t="str">
        <f>IF(ISNUMBER(outYear),QIB37+QIB42+#REF!+#REF!,"")</f>
        <v/>
      </c>
      <c r="QIC48" s="84" t="str">
        <f>IF(ISNUMBER(outYear),QIC37+QIC42+#REF!+#REF!,"")</f>
        <v/>
      </c>
      <c r="QID48" s="84" t="str">
        <f>IF(ISNUMBER(outYear),QID37+QID42+#REF!+#REF!,"")</f>
        <v/>
      </c>
      <c r="QIE48" s="84" t="str">
        <f>IF(ISNUMBER(outYear),QIE37+QIE42+#REF!+#REF!,"")</f>
        <v/>
      </c>
      <c r="QIF48" s="84" t="str">
        <f>IF(ISNUMBER(outYear),QIF37+QIF42+#REF!+#REF!,"")</f>
        <v/>
      </c>
      <c r="QIG48" s="84" t="str">
        <f>IF(ISNUMBER(outYear),QIG37+QIG42+#REF!+#REF!,"")</f>
        <v/>
      </c>
      <c r="QIH48" s="84" t="str">
        <f>IF(ISNUMBER(outYear),QIH37+QIH42+#REF!+#REF!,"")</f>
        <v/>
      </c>
      <c r="QII48" s="84" t="str">
        <f>IF(ISNUMBER(outYear),QII37+QII42+#REF!+#REF!,"")</f>
        <v/>
      </c>
      <c r="QIJ48" s="84" t="str">
        <f>IF(ISNUMBER(outYear),QIJ37+QIJ42+#REF!+#REF!,"")</f>
        <v/>
      </c>
      <c r="QIK48" s="84" t="str">
        <f>IF(ISNUMBER(outYear),QIK37+QIK42+#REF!+#REF!,"")</f>
        <v/>
      </c>
      <c r="QIL48" s="84" t="str">
        <f>IF(ISNUMBER(outYear),QIL37+QIL42+#REF!+#REF!,"")</f>
        <v/>
      </c>
      <c r="QIM48" s="84" t="str">
        <f>IF(ISNUMBER(outYear),QIM37+QIM42+#REF!+#REF!,"")</f>
        <v/>
      </c>
      <c r="QIN48" s="84" t="str">
        <f>IF(ISNUMBER(outYear),QIN37+QIN42+#REF!+#REF!,"")</f>
        <v/>
      </c>
      <c r="QIO48" s="84" t="str">
        <f>IF(ISNUMBER(outYear),QIO37+QIO42+#REF!+#REF!,"")</f>
        <v/>
      </c>
      <c r="QIP48" s="84" t="str">
        <f>IF(ISNUMBER(outYear),QIP37+QIP42+#REF!+#REF!,"")</f>
        <v/>
      </c>
      <c r="QIQ48" s="84" t="str">
        <f>IF(ISNUMBER(outYear),QIQ37+QIQ42+#REF!+#REF!,"")</f>
        <v/>
      </c>
      <c r="QIR48" s="84" t="str">
        <f>IF(ISNUMBER(outYear),QIR37+QIR42+#REF!+#REF!,"")</f>
        <v/>
      </c>
      <c r="QIS48" s="84" t="str">
        <f>IF(ISNUMBER(outYear),QIS37+QIS42+#REF!+#REF!,"")</f>
        <v/>
      </c>
      <c r="QIT48" s="84" t="str">
        <f>IF(ISNUMBER(outYear),QIT37+QIT42+#REF!+#REF!,"")</f>
        <v/>
      </c>
      <c r="QIU48" s="84" t="str">
        <f>IF(ISNUMBER(outYear),QIU37+QIU42+#REF!+#REF!,"")</f>
        <v/>
      </c>
      <c r="QIV48" s="84" t="str">
        <f>IF(ISNUMBER(outYear),QIV37+QIV42+#REF!+#REF!,"")</f>
        <v/>
      </c>
      <c r="QIW48" s="84" t="str">
        <f>IF(ISNUMBER(outYear),QIW37+QIW42+#REF!+#REF!,"")</f>
        <v/>
      </c>
      <c r="QIX48" s="84" t="str">
        <f>IF(ISNUMBER(outYear),QIX37+QIX42+#REF!+#REF!,"")</f>
        <v/>
      </c>
      <c r="QIY48" s="84" t="str">
        <f>IF(ISNUMBER(outYear),QIY37+QIY42+#REF!+#REF!,"")</f>
        <v/>
      </c>
      <c r="QIZ48" s="84" t="str">
        <f>IF(ISNUMBER(outYear),QIZ37+QIZ42+#REF!+#REF!,"")</f>
        <v/>
      </c>
      <c r="QJA48" s="84" t="str">
        <f>IF(ISNUMBER(outYear),QJA37+QJA42+#REF!+#REF!,"")</f>
        <v/>
      </c>
      <c r="QJB48" s="84" t="str">
        <f>IF(ISNUMBER(outYear),QJB37+QJB42+#REF!+#REF!,"")</f>
        <v/>
      </c>
      <c r="QJC48" s="84" t="str">
        <f>IF(ISNUMBER(outYear),QJC37+QJC42+#REF!+#REF!,"")</f>
        <v/>
      </c>
      <c r="QJD48" s="84" t="str">
        <f>IF(ISNUMBER(outYear),QJD37+QJD42+#REF!+#REF!,"")</f>
        <v/>
      </c>
      <c r="QJE48" s="84" t="str">
        <f>IF(ISNUMBER(outYear),QJE37+QJE42+#REF!+#REF!,"")</f>
        <v/>
      </c>
      <c r="QJF48" s="84" t="str">
        <f>IF(ISNUMBER(outYear),QJF37+QJF42+#REF!+#REF!,"")</f>
        <v/>
      </c>
      <c r="QJG48" s="84" t="str">
        <f>IF(ISNUMBER(outYear),QJG37+QJG42+#REF!+#REF!,"")</f>
        <v/>
      </c>
      <c r="QJH48" s="84" t="str">
        <f>IF(ISNUMBER(outYear),QJH37+QJH42+#REF!+#REF!,"")</f>
        <v/>
      </c>
      <c r="QJI48" s="84" t="str">
        <f>IF(ISNUMBER(outYear),QJI37+QJI42+#REF!+#REF!,"")</f>
        <v/>
      </c>
      <c r="QJJ48" s="84" t="str">
        <f>IF(ISNUMBER(outYear),QJJ37+QJJ42+#REF!+#REF!,"")</f>
        <v/>
      </c>
      <c r="QJK48" s="84" t="str">
        <f>IF(ISNUMBER(outYear),QJK37+QJK42+#REF!+#REF!,"")</f>
        <v/>
      </c>
      <c r="QJL48" s="84" t="str">
        <f>IF(ISNUMBER(outYear),QJL37+QJL42+#REF!+#REF!,"")</f>
        <v/>
      </c>
      <c r="QJM48" s="84" t="str">
        <f>IF(ISNUMBER(outYear),QJM37+QJM42+#REF!+#REF!,"")</f>
        <v/>
      </c>
      <c r="QJN48" s="84" t="str">
        <f>IF(ISNUMBER(outYear),QJN37+QJN42+#REF!+#REF!,"")</f>
        <v/>
      </c>
      <c r="QJO48" s="84" t="str">
        <f>IF(ISNUMBER(outYear),QJO37+QJO42+#REF!+#REF!,"")</f>
        <v/>
      </c>
      <c r="QJP48" s="84" t="str">
        <f>IF(ISNUMBER(outYear),QJP37+QJP42+#REF!+#REF!,"")</f>
        <v/>
      </c>
      <c r="QJQ48" s="84" t="str">
        <f>IF(ISNUMBER(outYear),QJQ37+QJQ42+#REF!+#REF!,"")</f>
        <v/>
      </c>
      <c r="QJR48" s="84" t="str">
        <f>IF(ISNUMBER(outYear),QJR37+QJR42+#REF!+#REF!,"")</f>
        <v/>
      </c>
      <c r="QJS48" s="84" t="str">
        <f>IF(ISNUMBER(outYear),QJS37+QJS42+#REF!+#REF!,"")</f>
        <v/>
      </c>
      <c r="QJT48" s="84" t="str">
        <f>IF(ISNUMBER(outYear),QJT37+QJT42+#REF!+#REF!,"")</f>
        <v/>
      </c>
      <c r="QJU48" s="84" t="str">
        <f>IF(ISNUMBER(outYear),QJU37+QJU42+#REF!+#REF!,"")</f>
        <v/>
      </c>
      <c r="QJV48" s="84" t="str">
        <f>IF(ISNUMBER(outYear),QJV37+QJV42+#REF!+#REF!,"")</f>
        <v/>
      </c>
      <c r="QJW48" s="84" t="str">
        <f>IF(ISNUMBER(outYear),QJW37+QJW42+#REF!+#REF!,"")</f>
        <v/>
      </c>
      <c r="QJX48" s="84" t="str">
        <f>IF(ISNUMBER(outYear),QJX37+QJX42+#REF!+#REF!,"")</f>
        <v/>
      </c>
      <c r="QJY48" s="84" t="str">
        <f>IF(ISNUMBER(outYear),QJY37+QJY42+#REF!+#REF!,"")</f>
        <v/>
      </c>
      <c r="QJZ48" s="84" t="str">
        <f>IF(ISNUMBER(outYear),QJZ37+QJZ42+#REF!+#REF!,"")</f>
        <v/>
      </c>
      <c r="QKA48" s="84" t="str">
        <f>IF(ISNUMBER(outYear),QKA37+QKA42+#REF!+#REF!,"")</f>
        <v/>
      </c>
      <c r="QKB48" s="84" t="str">
        <f>IF(ISNUMBER(outYear),QKB37+QKB42+#REF!+#REF!,"")</f>
        <v/>
      </c>
      <c r="QKC48" s="84" t="str">
        <f>IF(ISNUMBER(outYear),QKC37+QKC42+#REF!+#REF!,"")</f>
        <v/>
      </c>
      <c r="QKD48" s="84" t="str">
        <f>IF(ISNUMBER(outYear),QKD37+QKD42+#REF!+#REF!,"")</f>
        <v/>
      </c>
      <c r="QKE48" s="84" t="str">
        <f>IF(ISNUMBER(outYear),QKE37+QKE42+#REF!+#REF!,"")</f>
        <v/>
      </c>
      <c r="QKF48" s="84" t="str">
        <f>IF(ISNUMBER(outYear),QKF37+QKF42+#REF!+#REF!,"")</f>
        <v/>
      </c>
      <c r="QKG48" s="84" t="str">
        <f>IF(ISNUMBER(outYear),QKG37+QKG42+#REF!+#REF!,"")</f>
        <v/>
      </c>
      <c r="QKH48" s="84" t="str">
        <f>IF(ISNUMBER(outYear),QKH37+QKH42+#REF!+#REF!,"")</f>
        <v/>
      </c>
      <c r="QKI48" s="84" t="str">
        <f>IF(ISNUMBER(outYear),QKI37+QKI42+#REF!+#REF!,"")</f>
        <v/>
      </c>
      <c r="QKJ48" s="84" t="str">
        <f>IF(ISNUMBER(outYear),QKJ37+QKJ42+#REF!+#REF!,"")</f>
        <v/>
      </c>
      <c r="QKK48" s="84" t="str">
        <f>IF(ISNUMBER(outYear),QKK37+QKK42+#REF!+#REF!,"")</f>
        <v/>
      </c>
      <c r="QKL48" s="84" t="str">
        <f>IF(ISNUMBER(outYear),QKL37+QKL42+#REF!+#REF!,"")</f>
        <v/>
      </c>
      <c r="QKM48" s="84" t="str">
        <f>IF(ISNUMBER(outYear),QKM37+QKM42+#REF!+#REF!,"")</f>
        <v/>
      </c>
      <c r="QKN48" s="84" t="str">
        <f>IF(ISNUMBER(outYear),QKN37+QKN42+#REF!+#REF!,"")</f>
        <v/>
      </c>
      <c r="QKO48" s="84" t="str">
        <f>IF(ISNUMBER(outYear),QKO37+QKO42+#REF!+#REF!,"")</f>
        <v/>
      </c>
      <c r="QKP48" s="84" t="str">
        <f>IF(ISNUMBER(outYear),QKP37+QKP42+#REF!+#REF!,"")</f>
        <v/>
      </c>
      <c r="QKQ48" s="84" t="str">
        <f>IF(ISNUMBER(outYear),QKQ37+QKQ42+#REF!+#REF!,"")</f>
        <v/>
      </c>
      <c r="QKR48" s="84" t="str">
        <f>IF(ISNUMBER(outYear),QKR37+QKR42+#REF!+#REF!,"")</f>
        <v/>
      </c>
      <c r="QKS48" s="84" t="str">
        <f>IF(ISNUMBER(outYear),QKS37+QKS42+#REF!+#REF!,"")</f>
        <v/>
      </c>
      <c r="QKT48" s="84" t="str">
        <f>IF(ISNUMBER(outYear),QKT37+QKT42+#REF!+#REF!,"")</f>
        <v/>
      </c>
      <c r="QKU48" s="84" t="str">
        <f>IF(ISNUMBER(outYear),QKU37+QKU42+#REF!+#REF!,"")</f>
        <v/>
      </c>
      <c r="QKV48" s="84" t="str">
        <f>IF(ISNUMBER(outYear),QKV37+QKV42+#REF!+#REF!,"")</f>
        <v/>
      </c>
      <c r="QKW48" s="84" t="str">
        <f>IF(ISNUMBER(outYear),QKW37+QKW42+#REF!+#REF!,"")</f>
        <v/>
      </c>
      <c r="QKX48" s="84" t="str">
        <f>IF(ISNUMBER(outYear),QKX37+QKX42+#REF!+#REF!,"")</f>
        <v/>
      </c>
      <c r="QKY48" s="84" t="str">
        <f>IF(ISNUMBER(outYear),QKY37+QKY42+#REF!+#REF!,"")</f>
        <v/>
      </c>
      <c r="QKZ48" s="84" t="str">
        <f>IF(ISNUMBER(outYear),QKZ37+QKZ42+#REF!+#REF!,"")</f>
        <v/>
      </c>
      <c r="QLA48" s="84" t="str">
        <f>IF(ISNUMBER(outYear),QLA37+QLA42+#REF!+#REF!,"")</f>
        <v/>
      </c>
      <c r="QLB48" s="84" t="str">
        <f>IF(ISNUMBER(outYear),QLB37+QLB42+#REF!+#REF!,"")</f>
        <v/>
      </c>
      <c r="QLC48" s="84" t="str">
        <f>IF(ISNUMBER(outYear),QLC37+QLC42+#REF!+#REF!,"")</f>
        <v/>
      </c>
      <c r="QLD48" s="84" t="str">
        <f>IF(ISNUMBER(outYear),QLD37+QLD42+#REF!+#REF!,"")</f>
        <v/>
      </c>
      <c r="QLE48" s="84" t="str">
        <f>IF(ISNUMBER(outYear),QLE37+QLE42+#REF!+#REF!,"")</f>
        <v/>
      </c>
      <c r="QLF48" s="84" t="str">
        <f>IF(ISNUMBER(outYear),QLF37+QLF42+#REF!+#REF!,"")</f>
        <v/>
      </c>
      <c r="QLG48" s="84" t="str">
        <f>IF(ISNUMBER(outYear),QLG37+QLG42+#REF!+#REF!,"")</f>
        <v/>
      </c>
      <c r="QLH48" s="84" t="str">
        <f>IF(ISNUMBER(outYear),QLH37+QLH42+#REF!+#REF!,"")</f>
        <v/>
      </c>
      <c r="QLI48" s="84" t="str">
        <f>IF(ISNUMBER(outYear),QLI37+QLI42+#REF!+#REF!,"")</f>
        <v/>
      </c>
      <c r="QLJ48" s="84" t="str">
        <f>IF(ISNUMBER(outYear),QLJ37+QLJ42+#REF!+#REF!,"")</f>
        <v/>
      </c>
      <c r="QLK48" s="84" t="str">
        <f>IF(ISNUMBER(outYear),QLK37+QLK42+#REF!+#REF!,"")</f>
        <v/>
      </c>
      <c r="QLL48" s="84" t="str">
        <f>IF(ISNUMBER(outYear),QLL37+QLL42+#REF!+#REF!,"")</f>
        <v/>
      </c>
      <c r="QLM48" s="84" t="str">
        <f>IF(ISNUMBER(outYear),QLM37+QLM42+#REF!+#REF!,"")</f>
        <v/>
      </c>
      <c r="QLN48" s="84" t="str">
        <f>IF(ISNUMBER(outYear),QLN37+QLN42+#REF!+#REF!,"")</f>
        <v/>
      </c>
      <c r="QLO48" s="84" t="str">
        <f>IF(ISNUMBER(outYear),QLO37+QLO42+#REF!+#REF!,"")</f>
        <v/>
      </c>
      <c r="QLP48" s="84" t="str">
        <f>IF(ISNUMBER(outYear),QLP37+QLP42+#REF!+#REF!,"")</f>
        <v/>
      </c>
      <c r="QLQ48" s="84" t="str">
        <f>IF(ISNUMBER(outYear),QLQ37+QLQ42+#REF!+#REF!,"")</f>
        <v/>
      </c>
      <c r="QLR48" s="84" t="str">
        <f>IF(ISNUMBER(outYear),QLR37+QLR42+#REF!+#REF!,"")</f>
        <v/>
      </c>
      <c r="QLS48" s="84" t="str">
        <f>IF(ISNUMBER(outYear),QLS37+QLS42+#REF!+#REF!,"")</f>
        <v/>
      </c>
      <c r="QLT48" s="84" t="str">
        <f>IF(ISNUMBER(outYear),QLT37+QLT42+#REF!+#REF!,"")</f>
        <v/>
      </c>
      <c r="QLU48" s="84" t="str">
        <f>IF(ISNUMBER(outYear),QLU37+QLU42+#REF!+#REF!,"")</f>
        <v/>
      </c>
      <c r="QLV48" s="84" t="str">
        <f>IF(ISNUMBER(outYear),QLV37+QLV42+#REF!+#REF!,"")</f>
        <v/>
      </c>
      <c r="QLW48" s="84" t="str">
        <f>IF(ISNUMBER(outYear),QLW37+QLW42+#REF!+#REF!,"")</f>
        <v/>
      </c>
      <c r="QLX48" s="84" t="str">
        <f>IF(ISNUMBER(outYear),QLX37+QLX42+#REF!+#REF!,"")</f>
        <v/>
      </c>
      <c r="QLY48" s="84" t="str">
        <f>IF(ISNUMBER(outYear),QLY37+QLY42+#REF!+#REF!,"")</f>
        <v/>
      </c>
      <c r="QLZ48" s="84" t="str">
        <f>IF(ISNUMBER(outYear),QLZ37+QLZ42+#REF!+#REF!,"")</f>
        <v/>
      </c>
      <c r="QMA48" s="84" t="str">
        <f>IF(ISNUMBER(outYear),QMA37+QMA42+#REF!+#REF!,"")</f>
        <v/>
      </c>
      <c r="QMB48" s="84" t="str">
        <f>IF(ISNUMBER(outYear),QMB37+QMB42+#REF!+#REF!,"")</f>
        <v/>
      </c>
      <c r="QMC48" s="84" t="str">
        <f>IF(ISNUMBER(outYear),QMC37+QMC42+#REF!+#REF!,"")</f>
        <v/>
      </c>
      <c r="QMD48" s="84" t="str">
        <f>IF(ISNUMBER(outYear),QMD37+QMD42+#REF!+#REF!,"")</f>
        <v/>
      </c>
      <c r="QME48" s="84" t="str">
        <f>IF(ISNUMBER(outYear),QME37+QME42+#REF!+#REF!,"")</f>
        <v/>
      </c>
      <c r="QMF48" s="84" t="str">
        <f>IF(ISNUMBER(outYear),QMF37+QMF42+#REF!+#REF!,"")</f>
        <v/>
      </c>
      <c r="QMG48" s="84" t="str">
        <f>IF(ISNUMBER(outYear),QMG37+QMG42+#REF!+#REF!,"")</f>
        <v/>
      </c>
      <c r="QMH48" s="84" t="str">
        <f>IF(ISNUMBER(outYear),QMH37+QMH42+#REF!+#REF!,"")</f>
        <v/>
      </c>
      <c r="QMI48" s="84" t="str">
        <f>IF(ISNUMBER(outYear),QMI37+QMI42+#REF!+#REF!,"")</f>
        <v/>
      </c>
      <c r="QMJ48" s="84" t="str">
        <f>IF(ISNUMBER(outYear),QMJ37+QMJ42+#REF!+#REF!,"")</f>
        <v/>
      </c>
      <c r="QMK48" s="84" t="str">
        <f>IF(ISNUMBER(outYear),QMK37+QMK42+#REF!+#REF!,"")</f>
        <v/>
      </c>
      <c r="QML48" s="84" t="str">
        <f>IF(ISNUMBER(outYear),QML37+QML42+#REF!+#REF!,"")</f>
        <v/>
      </c>
      <c r="QMM48" s="84" t="str">
        <f>IF(ISNUMBER(outYear),QMM37+QMM42+#REF!+#REF!,"")</f>
        <v/>
      </c>
      <c r="QMN48" s="84" t="str">
        <f>IF(ISNUMBER(outYear),QMN37+QMN42+#REF!+#REF!,"")</f>
        <v/>
      </c>
      <c r="QMO48" s="84" t="str">
        <f>IF(ISNUMBER(outYear),QMO37+QMO42+#REF!+#REF!,"")</f>
        <v/>
      </c>
      <c r="QMP48" s="84" t="str">
        <f>IF(ISNUMBER(outYear),QMP37+QMP42+#REF!+#REF!,"")</f>
        <v/>
      </c>
      <c r="QMQ48" s="84" t="str">
        <f>IF(ISNUMBER(outYear),QMQ37+QMQ42+#REF!+#REF!,"")</f>
        <v/>
      </c>
      <c r="QMR48" s="84" t="str">
        <f>IF(ISNUMBER(outYear),QMR37+QMR42+#REF!+#REF!,"")</f>
        <v/>
      </c>
      <c r="QMS48" s="84" t="str">
        <f>IF(ISNUMBER(outYear),QMS37+QMS42+#REF!+#REF!,"")</f>
        <v/>
      </c>
      <c r="QMT48" s="84" t="str">
        <f>IF(ISNUMBER(outYear),QMT37+QMT42+#REF!+#REF!,"")</f>
        <v/>
      </c>
      <c r="QMU48" s="84" t="str">
        <f>IF(ISNUMBER(outYear),QMU37+QMU42+#REF!+#REF!,"")</f>
        <v/>
      </c>
      <c r="QMV48" s="84" t="str">
        <f>IF(ISNUMBER(outYear),QMV37+QMV42+#REF!+#REF!,"")</f>
        <v/>
      </c>
      <c r="QMW48" s="84" t="str">
        <f>IF(ISNUMBER(outYear),QMW37+QMW42+#REF!+#REF!,"")</f>
        <v/>
      </c>
      <c r="QMX48" s="84" t="str">
        <f>IF(ISNUMBER(outYear),QMX37+QMX42+#REF!+#REF!,"")</f>
        <v/>
      </c>
      <c r="QMY48" s="84" t="str">
        <f>IF(ISNUMBER(outYear),QMY37+QMY42+#REF!+#REF!,"")</f>
        <v/>
      </c>
      <c r="QMZ48" s="84" t="str">
        <f>IF(ISNUMBER(outYear),QMZ37+QMZ42+#REF!+#REF!,"")</f>
        <v/>
      </c>
      <c r="QNA48" s="84" t="str">
        <f>IF(ISNUMBER(outYear),QNA37+QNA42+#REF!+#REF!,"")</f>
        <v/>
      </c>
      <c r="QNB48" s="84" t="str">
        <f>IF(ISNUMBER(outYear),QNB37+QNB42+#REF!+#REF!,"")</f>
        <v/>
      </c>
      <c r="QNC48" s="84" t="str">
        <f>IF(ISNUMBER(outYear),QNC37+QNC42+#REF!+#REF!,"")</f>
        <v/>
      </c>
      <c r="QND48" s="84" t="str">
        <f>IF(ISNUMBER(outYear),QND37+QND42+#REF!+#REF!,"")</f>
        <v/>
      </c>
      <c r="QNE48" s="84" t="str">
        <f>IF(ISNUMBER(outYear),QNE37+QNE42+#REF!+#REF!,"")</f>
        <v/>
      </c>
      <c r="QNF48" s="84" t="str">
        <f>IF(ISNUMBER(outYear),QNF37+QNF42+#REF!+#REF!,"")</f>
        <v/>
      </c>
      <c r="QNG48" s="84" t="str">
        <f>IF(ISNUMBER(outYear),QNG37+QNG42+#REF!+#REF!,"")</f>
        <v/>
      </c>
      <c r="QNH48" s="84" t="str">
        <f>IF(ISNUMBER(outYear),QNH37+QNH42+#REF!+#REF!,"")</f>
        <v/>
      </c>
      <c r="QNI48" s="84" t="str">
        <f>IF(ISNUMBER(outYear),QNI37+QNI42+#REF!+#REF!,"")</f>
        <v/>
      </c>
      <c r="QNJ48" s="84" t="str">
        <f>IF(ISNUMBER(outYear),QNJ37+QNJ42+#REF!+#REF!,"")</f>
        <v/>
      </c>
      <c r="QNK48" s="84" t="str">
        <f>IF(ISNUMBER(outYear),QNK37+QNK42+#REF!+#REF!,"")</f>
        <v/>
      </c>
      <c r="QNL48" s="84" t="str">
        <f>IF(ISNUMBER(outYear),QNL37+QNL42+#REF!+#REF!,"")</f>
        <v/>
      </c>
      <c r="QNM48" s="84" t="str">
        <f>IF(ISNUMBER(outYear),QNM37+QNM42+#REF!+#REF!,"")</f>
        <v/>
      </c>
      <c r="QNN48" s="84" t="str">
        <f>IF(ISNUMBER(outYear),QNN37+QNN42+#REF!+#REF!,"")</f>
        <v/>
      </c>
      <c r="QNO48" s="84" t="str">
        <f>IF(ISNUMBER(outYear),QNO37+QNO42+#REF!+#REF!,"")</f>
        <v/>
      </c>
      <c r="QNP48" s="84" t="str">
        <f>IF(ISNUMBER(outYear),QNP37+QNP42+#REF!+#REF!,"")</f>
        <v/>
      </c>
      <c r="QNQ48" s="84" t="str">
        <f>IF(ISNUMBER(outYear),QNQ37+QNQ42+#REF!+#REF!,"")</f>
        <v/>
      </c>
      <c r="QNR48" s="84" t="str">
        <f>IF(ISNUMBER(outYear),QNR37+QNR42+#REF!+#REF!,"")</f>
        <v/>
      </c>
      <c r="QNS48" s="84" t="str">
        <f>IF(ISNUMBER(outYear),QNS37+QNS42+#REF!+#REF!,"")</f>
        <v/>
      </c>
      <c r="QNT48" s="84" t="str">
        <f>IF(ISNUMBER(outYear),QNT37+QNT42+#REF!+#REF!,"")</f>
        <v/>
      </c>
      <c r="QNU48" s="84" t="str">
        <f>IF(ISNUMBER(outYear),QNU37+QNU42+#REF!+#REF!,"")</f>
        <v/>
      </c>
      <c r="QNV48" s="84" t="str">
        <f>IF(ISNUMBER(outYear),QNV37+QNV42+#REF!+#REF!,"")</f>
        <v/>
      </c>
      <c r="QNW48" s="84" t="str">
        <f>IF(ISNUMBER(outYear),QNW37+QNW42+#REF!+#REF!,"")</f>
        <v/>
      </c>
      <c r="QNX48" s="84" t="str">
        <f>IF(ISNUMBER(outYear),QNX37+QNX42+#REF!+#REF!,"")</f>
        <v/>
      </c>
      <c r="QNY48" s="84" t="str">
        <f>IF(ISNUMBER(outYear),QNY37+QNY42+#REF!+#REF!,"")</f>
        <v/>
      </c>
      <c r="QNZ48" s="84" t="str">
        <f>IF(ISNUMBER(outYear),QNZ37+QNZ42+#REF!+#REF!,"")</f>
        <v/>
      </c>
      <c r="QOA48" s="84" t="str">
        <f>IF(ISNUMBER(outYear),QOA37+QOA42+#REF!+#REF!,"")</f>
        <v/>
      </c>
      <c r="QOB48" s="84" t="str">
        <f>IF(ISNUMBER(outYear),QOB37+QOB42+#REF!+#REF!,"")</f>
        <v/>
      </c>
      <c r="QOC48" s="84" t="str">
        <f>IF(ISNUMBER(outYear),QOC37+QOC42+#REF!+#REF!,"")</f>
        <v/>
      </c>
      <c r="QOD48" s="84" t="str">
        <f>IF(ISNUMBER(outYear),QOD37+QOD42+#REF!+#REF!,"")</f>
        <v/>
      </c>
      <c r="QOE48" s="84" t="str">
        <f>IF(ISNUMBER(outYear),QOE37+QOE42+#REF!+#REF!,"")</f>
        <v/>
      </c>
      <c r="QOF48" s="84" t="str">
        <f>IF(ISNUMBER(outYear),QOF37+QOF42+#REF!+#REF!,"")</f>
        <v/>
      </c>
      <c r="QOG48" s="84" t="str">
        <f>IF(ISNUMBER(outYear),QOG37+QOG42+#REF!+#REF!,"")</f>
        <v/>
      </c>
      <c r="QOH48" s="84" t="str">
        <f>IF(ISNUMBER(outYear),QOH37+QOH42+#REF!+#REF!,"")</f>
        <v/>
      </c>
      <c r="QOI48" s="84" t="str">
        <f>IF(ISNUMBER(outYear),QOI37+QOI42+#REF!+#REF!,"")</f>
        <v/>
      </c>
      <c r="QOJ48" s="84" t="str">
        <f>IF(ISNUMBER(outYear),QOJ37+QOJ42+#REF!+#REF!,"")</f>
        <v/>
      </c>
      <c r="QOK48" s="84" t="str">
        <f>IF(ISNUMBER(outYear),QOK37+QOK42+#REF!+#REF!,"")</f>
        <v/>
      </c>
      <c r="QOL48" s="84" t="str">
        <f>IF(ISNUMBER(outYear),QOL37+QOL42+#REF!+#REF!,"")</f>
        <v/>
      </c>
      <c r="QOM48" s="84" t="str">
        <f>IF(ISNUMBER(outYear),QOM37+QOM42+#REF!+#REF!,"")</f>
        <v/>
      </c>
      <c r="QON48" s="84" t="str">
        <f>IF(ISNUMBER(outYear),QON37+QON42+#REF!+#REF!,"")</f>
        <v/>
      </c>
      <c r="QOO48" s="84" t="str">
        <f>IF(ISNUMBER(outYear),QOO37+QOO42+#REF!+#REF!,"")</f>
        <v/>
      </c>
      <c r="QOP48" s="84" t="str">
        <f>IF(ISNUMBER(outYear),QOP37+QOP42+#REF!+#REF!,"")</f>
        <v/>
      </c>
      <c r="QOQ48" s="84" t="str">
        <f>IF(ISNUMBER(outYear),QOQ37+QOQ42+#REF!+#REF!,"")</f>
        <v/>
      </c>
      <c r="QOR48" s="84" t="str">
        <f>IF(ISNUMBER(outYear),QOR37+QOR42+#REF!+#REF!,"")</f>
        <v/>
      </c>
      <c r="QOS48" s="84" t="str">
        <f>IF(ISNUMBER(outYear),QOS37+QOS42+#REF!+#REF!,"")</f>
        <v/>
      </c>
      <c r="QOT48" s="84" t="str">
        <f>IF(ISNUMBER(outYear),QOT37+QOT42+#REF!+#REF!,"")</f>
        <v/>
      </c>
      <c r="QOU48" s="84" t="str">
        <f>IF(ISNUMBER(outYear),QOU37+QOU42+#REF!+#REF!,"")</f>
        <v/>
      </c>
      <c r="QOV48" s="84" t="str">
        <f>IF(ISNUMBER(outYear),QOV37+QOV42+#REF!+#REF!,"")</f>
        <v/>
      </c>
      <c r="QOW48" s="84" t="str">
        <f>IF(ISNUMBER(outYear),QOW37+QOW42+#REF!+#REF!,"")</f>
        <v/>
      </c>
      <c r="QOX48" s="84" t="str">
        <f>IF(ISNUMBER(outYear),QOX37+QOX42+#REF!+#REF!,"")</f>
        <v/>
      </c>
      <c r="QOY48" s="84" t="str">
        <f>IF(ISNUMBER(outYear),QOY37+QOY42+#REF!+#REF!,"")</f>
        <v/>
      </c>
      <c r="QOZ48" s="84" t="str">
        <f>IF(ISNUMBER(outYear),QOZ37+QOZ42+#REF!+#REF!,"")</f>
        <v/>
      </c>
      <c r="QPA48" s="84" t="str">
        <f>IF(ISNUMBER(outYear),QPA37+QPA42+#REF!+#REF!,"")</f>
        <v/>
      </c>
      <c r="QPB48" s="84" t="str">
        <f>IF(ISNUMBER(outYear),QPB37+QPB42+#REF!+#REF!,"")</f>
        <v/>
      </c>
      <c r="QPC48" s="84" t="str">
        <f>IF(ISNUMBER(outYear),QPC37+QPC42+#REF!+#REF!,"")</f>
        <v/>
      </c>
      <c r="QPD48" s="84" t="str">
        <f>IF(ISNUMBER(outYear),QPD37+QPD42+#REF!+#REF!,"")</f>
        <v/>
      </c>
      <c r="QPE48" s="84" t="str">
        <f>IF(ISNUMBER(outYear),QPE37+QPE42+#REF!+#REF!,"")</f>
        <v/>
      </c>
      <c r="QPF48" s="84" t="str">
        <f>IF(ISNUMBER(outYear),QPF37+QPF42+#REF!+#REF!,"")</f>
        <v/>
      </c>
      <c r="QPG48" s="84" t="str">
        <f>IF(ISNUMBER(outYear),QPG37+QPG42+#REF!+#REF!,"")</f>
        <v/>
      </c>
      <c r="QPH48" s="84" t="str">
        <f>IF(ISNUMBER(outYear),QPH37+QPH42+#REF!+#REF!,"")</f>
        <v/>
      </c>
      <c r="QPI48" s="84" t="str">
        <f>IF(ISNUMBER(outYear),QPI37+QPI42+#REF!+#REF!,"")</f>
        <v/>
      </c>
      <c r="QPJ48" s="84" t="str">
        <f>IF(ISNUMBER(outYear),QPJ37+QPJ42+#REF!+#REF!,"")</f>
        <v/>
      </c>
      <c r="QPK48" s="84" t="str">
        <f>IF(ISNUMBER(outYear),QPK37+QPK42+#REF!+#REF!,"")</f>
        <v/>
      </c>
      <c r="QPL48" s="84" t="str">
        <f>IF(ISNUMBER(outYear),QPL37+QPL42+#REF!+#REF!,"")</f>
        <v/>
      </c>
      <c r="QPM48" s="84" t="str">
        <f>IF(ISNUMBER(outYear),QPM37+QPM42+#REF!+#REF!,"")</f>
        <v/>
      </c>
      <c r="QPN48" s="84" t="str">
        <f>IF(ISNUMBER(outYear),QPN37+QPN42+#REF!+#REF!,"")</f>
        <v/>
      </c>
      <c r="QPO48" s="84" t="str">
        <f>IF(ISNUMBER(outYear),QPO37+QPO42+#REF!+#REF!,"")</f>
        <v/>
      </c>
      <c r="QPP48" s="84" t="str">
        <f>IF(ISNUMBER(outYear),QPP37+QPP42+#REF!+#REF!,"")</f>
        <v/>
      </c>
      <c r="QPQ48" s="84" t="str">
        <f>IF(ISNUMBER(outYear),QPQ37+QPQ42+#REF!+#REF!,"")</f>
        <v/>
      </c>
      <c r="QPR48" s="84" t="str">
        <f>IF(ISNUMBER(outYear),QPR37+QPR42+#REF!+#REF!,"")</f>
        <v/>
      </c>
      <c r="QPS48" s="84" t="str">
        <f>IF(ISNUMBER(outYear),QPS37+QPS42+#REF!+#REF!,"")</f>
        <v/>
      </c>
      <c r="QPT48" s="84" t="str">
        <f>IF(ISNUMBER(outYear),QPT37+QPT42+#REF!+#REF!,"")</f>
        <v/>
      </c>
      <c r="QPU48" s="84" t="str">
        <f>IF(ISNUMBER(outYear),QPU37+QPU42+#REF!+#REF!,"")</f>
        <v/>
      </c>
      <c r="QPV48" s="84" t="str">
        <f>IF(ISNUMBER(outYear),QPV37+QPV42+#REF!+#REF!,"")</f>
        <v/>
      </c>
      <c r="QPW48" s="84" t="str">
        <f>IF(ISNUMBER(outYear),QPW37+QPW42+#REF!+#REF!,"")</f>
        <v/>
      </c>
      <c r="QPX48" s="84" t="str">
        <f>IF(ISNUMBER(outYear),QPX37+QPX42+#REF!+#REF!,"")</f>
        <v/>
      </c>
      <c r="QPY48" s="84" t="str">
        <f>IF(ISNUMBER(outYear),QPY37+QPY42+#REF!+#REF!,"")</f>
        <v/>
      </c>
      <c r="QPZ48" s="84" t="str">
        <f>IF(ISNUMBER(outYear),QPZ37+QPZ42+#REF!+#REF!,"")</f>
        <v/>
      </c>
      <c r="QQA48" s="84" t="str">
        <f>IF(ISNUMBER(outYear),QQA37+QQA42+#REF!+#REF!,"")</f>
        <v/>
      </c>
      <c r="QQB48" s="84" t="str">
        <f>IF(ISNUMBER(outYear),QQB37+QQB42+#REF!+#REF!,"")</f>
        <v/>
      </c>
      <c r="QQC48" s="84" t="str">
        <f>IF(ISNUMBER(outYear),QQC37+QQC42+#REF!+#REF!,"")</f>
        <v/>
      </c>
      <c r="QQD48" s="84" t="str">
        <f>IF(ISNUMBER(outYear),QQD37+QQD42+#REF!+#REF!,"")</f>
        <v/>
      </c>
      <c r="QQE48" s="84" t="str">
        <f>IF(ISNUMBER(outYear),QQE37+QQE42+#REF!+#REF!,"")</f>
        <v/>
      </c>
      <c r="QQF48" s="84" t="str">
        <f>IF(ISNUMBER(outYear),QQF37+QQF42+#REF!+#REF!,"")</f>
        <v/>
      </c>
      <c r="QQG48" s="84" t="str">
        <f>IF(ISNUMBER(outYear),QQG37+QQG42+#REF!+#REF!,"")</f>
        <v/>
      </c>
      <c r="QQH48" s="84" t="str">
        <f>IF(ISNUMBER(outYear),QQH37+QQH42+#REF!+#REF!,"")</f>
        <v/>
      </c>
      <c r="QQI48" s="84" t="str">
        <f>IF(ISNUMBER(outYear),QQI37+QQI42+#REF!+#REF!,"")</f>
        <v/>
      </c>
      <c r="QQJ48" s="84" t="str">
        <f>IF(ISNUMBER(outYear),QQJ37+QQJ42+#REF!+#REF!,"")</f>
        <v/>
      </c>
      <c r="QQK48" s="84" t="str">
        <f>IF(ISNUMBER(outYear),QQK37+QQK42+#REF!+#REF!,"")</f>
        <v/>
      </c>
      <c r="QQL48" s="84" t="str">
        <f>IF(ISNUMBER(outYear),QQL37+QQL42+#REF!+#REF!,"")</f>
        <v/>
      </c>
      <c r="QQM48" s="84" t="str">
        <f>IF(ISNUMBER(outYear),QQM37+QQM42+#REF!+#REF!,"")</f>
        <v/>
      </c>
      <c r="QQN48" s="84" t="str">
        <f>IF(ISNUMBER(outYear),QQN37+QQN42+#REF!+#REF!,"")</f>
        <v/>
      </c>
      <c r="QQO48" s="84" t="str">
        <f>IF(ISNUMBER(outYear),QQO37+QQO42+#REF!+#REF!,"")</f>
        <v/>
      </c>
      <c r="QQP48" s="84" t="str">
        <f>IF(ISNUMBER(outYear),QQP37+QQP42+#REF!+#REF!,"")</f>
        <v/>
      </c>
      <c r="QQQ48" s="84" t="str">
        <f>IF(ISNUMBER(outYear),QQQ37+QQQ42+#REF!+#REF!,"")</f>
        <v/>
      </c>
      <c r="QQR48" s="84" t="str">
        <f>IF(ISNUMBER(outYear),QQR37+QQR42+#REF!+#REF!,"")</f>
        <v/>
      </c>
      <c r="QQS48" s="84" t="str">
        <f>IF(ISNUMBER(outYear),QQS37+QQS42+#REF!+#REF!,"")</f>
        <v/>
      </c>
      <c r="QQT48" s="84" t="str">
        <f>IF(ISNUMBER(outYear),QQT37+QQT42+#REF!+#REF!,"")</f>
        <v/>
      </c>
      <c r="QQU48" s="84" t="str">
        <f>IF(ISNUMBER(outYear),QQU37+QQU42+#REF!+#REF!,"")</f>
        <v/>
      </c>
      <c r="QQV48" s="84" t="str">
        <f>IF(ISNUMBER(outYear),QQV37+QQV42+#REF!+#REF!,"")</f>
        <v/>
      </c>
      <c r="QQW48" s="84" t="str">
        <f>IF(ISNUMBER(outYear),QQW37+QQW42+#REF!+#REF!,"")</f>
        <v/>
      </c>
      <c r="QQX48" s="84" t="str">
        <f>IF(ISNUMBER(outYear),QQX37+QQX42+#REF!+#REF!,"")</f>
        <v/>
      </c>
      <c r="QQY48" s="84" t="str">
        <f>IF(ISNUMBER(outYear),QQY37+QQY42+#REF!+#REF!,"")</f>
        <v/>
      </c>
      <c r="QQZ48" s="84" t="str">
        <f>IF(ISNUMBER(outYear),QQZ37+QQZ42+#REF!+#REF!,"")</f>
        <v/>
      </c>
      <c r="QRA48" s="84" t="str">
        <f>IF(ISNUMBER(outYear),QRA37+QRA42+#REF!+#REF!,"")</f>
        <v/>
      </c>
      <c r="QRB48" s="84" t="str">
        <f>IF(ISNUMBER(outYear),QRB37+QRB42+#REF!+#REF!,"")</f>
        <v/>
      </c>
      <c r="QRC48" s="84" t="str">
        <f>IF(ISNUMBER(outYear),QRC37+QRC42+#REF!+#REF!,"")</f>
        <v/>
      </c>
      <c r="QRD48" s="84" t="str">
        <f>IF(ISNUMBER(outYear),QRD37+QRD42+#REF!+#REF!,"")</f>
        <v/>
      </c>
      <c r="QRE48" s="84" t="str">
        <f>IF(ISNUMBER(outYear),QRE37+QRE42+#REF!+#REF!,"")</f>
        <v/>
      </c>
      <c r="QRF48" s="84" t="str">
        <f>IF(ISNUMBER(outYear),QRF37+QRF42+#REF!+#REF!,"")</f>
        <v/>
      </c>
      <c r="QRG48" s="84" t="str">
        <f>IF(ISNUMBER(outYear),QRG37+QRG42+#REF!+#REF!,"")</f>
        <v/>
      </c>
      <c r="QRH48" s="84" t="str">
        <f>IF(ISNUMBER(outYear),QRH37+QRH42+#REF!+#REF!,"")</f>
        <v/>
      </c>
      <c r="QRI48" s="84" t="str">
        <f>IF(ISNUMBER(outYear),QRI37+QRI42+#REF!+#REF!,"")</f>
        <v/>
      </c>
      <c r="QRJ48" s="84" t="str">
        <f>IF(ISNUMBER(outYear),QRJ37+QRJ42+#REF!+#REF!,"")</f>
        <v/>
      </c>
      <c r="QRK48" s="84" t="str">
        <f>IF(ISNUMBER(outYear),QRK37+QRK42+#REF!+#REF!,"")</f>
        <v/>
      </c>
      <c r="QRL48" s="84" t="str">
        <f>IF(ISNUMBER(outYear),QRL37+QRL42+#REF!+#REF!,"")</f>
        <v/>
      </c>
      <c r="QRM48" s="84" t="str">
        <f>IF(ISNUMBER(outYear),QRM37+QRM42+#REF!+#REF!,"")</f>
        <v/>
      </c>
      <c r="QRN48" s="84" t="str">
        <f>IF(ISNUMBER(outYear),QRN37+QRN42+#REF!+#REF!,"")</f>
        <v/>
      </c>
      <c r="QRO48" s="84" t="str">
        <f>IF(ISNUMBER(outYear),QRO37+QRO42+#REF!+#REF!,"")</f>
        <v/>
      </c>
      <c r="QRP48" s="84" t="str">
        <f>IF(ISNUMBER(outYear),QRP37+QRP42+#REF!+#REF!,"")</f>
        <v/>
      </c>
      <c r="QRQ48" s="84" t="str">
        <f>IF(ISNUMBER(outYear),QRQ37+QRQ42+#REF!+#REF!,"")</f>
        <v/>
      </c>
      <c r="QRR48" s="84" t="str">
        <f>IF(ISNUMBER(outYear),QRR37+QRR42+#REF!+#REF!,"")</f>
        <v/>
      </c>
      <c r="QRS48" s="84" t="str">
        <f>IF(ISNUMBER(outYear),QRS37+QRS42+#REF!+#REF!,"")</f>
        <v/>
      </c>
      <c r="QRT48" s="84" t="str">
        <f>IF(ISNUMBER(outYear),QRT37+QRT42+#REF!+#REF!,"")</f>
        <v/>
      </c>
      <c r="QRU48" s="84" t="str">
        <f>IF(ISNUMBER(outYear),QRU37+QRU42+#REF!+#REF!,"")</f>
        <v/>
      </c>
      <c r="QRV48" s="84" t="str">
        <f>IF(ISNUMBER(outYear),QRV37+QRV42+#REF!+#REF!,"")</f>
        <v/>
      </c>
      <c r="QRW48" s="84" t="str">
        <f>IF(ISNUMBER(outYear),QRW37+QRW42+#REF!+#REF!,"")</f>
        <v/>
      </c>
      <c r="QRX48" s="84" t="str">
        <f>IF(ISNUMBER(outYear),QRX37+QRX42+#REF!+#REF!,"")</f>
        <v/>
      </c>
      <c r="QRY48" s="84" t="str">
        <f>IF(ISNUMBER(outYear),QRY37+QRY42+#REF!+#REF!,"")</f>
        <v/>
      </c>
      <c r="QRZ48" s="84" t="str">
        <f>IF(ISNUMBER(outYear),QRZ37+QRZ42+#REF!+#REF!,"")</f>
        <v/>
      </c>
      <c r="QSA48" s="84" t="str">
        <f>IF(ISNUMBER(outYear),QSA37+QSA42+#REF!+#REF!,"")</f>
        <v/>
      </c>
      <c r="QSB48" s="84" t="str">
        <f>IF(ISNUMBER(outYear),QSB37+QSB42+#REF!+#REF!,"")</f>
        <v/>
      </c>
      <c r="QSC48" s="84" t="str">
        <f>IF(ISNUMBER(outYear),QSC37+QSC42+#REF!+#REF!,"")</f>
        <v/>
      </c>
      <c r="QSD48" s="84" t="str">
        <f>IF(ISNUMBER(outYear),QSD37+QSD42+#REF!+#REF!,"")</f>
        <v/>
      </c>
      <c r="QSE48" s="84" t="str">
        <f>IF(ISNUMBER(outYear),QSE37+QSE42+#REF!+#REF!,"")</f>
        <v/>
      </c>
      <c r="QSF48" s="84" t="str">
        <f>IF(ISNUMBER(outYear),QSF37+QSF42+#REF!+#REF!,"")</f>
        <v/>
      </c>
      <c r="QSG48" s="84" t="str">
        <f>IF(ISNUMBER(outYear),QSG37+QSG42+#REF!+#REF!,"")</f>
        <v/>
      </c>
      <c r="QSH48" s="84" t="str">
        <f>IF(ISNUMBER(outYear),QSH37+QSH42+#REF!+#REF!,"")</f>
        <v/>
      </c>
      <c r="QSI48" s="84" t="str">
        <f>IF(ISNUMBER(outYear),QSI37+QSI42+#REF!+#REF!,"")</f>
        <v/>
      </c>
      <c r="QSJ48" s="84" t="str">
        <f>IF(ISNUMBER(outYear),QSJ37+QSJ42+#REF!+#REF!,"")</f>
        <v/>
      </c>
      <c r="QSK48" s="84" t="str">
        <f>IF(ISNUMBER(outYear),QSK37+QSK42+#REF!+#REF!,"")</f>
        <v/>
      </c>
      <c r="QSL48" s="84" t="str">
        <f>IF(ISNUMBER(outYear),QSL37+QSL42+#REF!+#REF!,"")</f>
        <v/>
      </c>
      <c r="QSM48" s="84" t="str">
        <f>IF(ISNUMBER(outYear),QSM37+QSM42+#REF!+#REF!,"")</f>
        <v/>
      </c>
      <c r="QSN48" s="84" t="str">
        <f>IF(ISNUMBER(outYear),QSN37+QSN42+#REF!+#REF!,"")</f>
        <v/>
      </c>
      <c r="QSO48" s="84" t="str">
        <f>IF(ISNUMBER(outYear),QSO37+QSO42+#REF!+#REF!,"")</f>
        <v/>
      </c>
      <c r="QSP48" s="84" t="str">
        <f>IF(ISNUMBER(outYear),QSP37+QSP42+#REF!+#REF!,"")</f>
        <v/>
      </c>
      <c r="QSQ48" s="84" t="str">
        <f>IF(ISNUMBER(outYear),QSQ37+QSQ42+#REF!+#REF!,"")</f>
        <v/>
      </c>
      <c r="QSR48" s="84" t="str">
        <f>IF(ISNUMBER(outYear),QSR37+QSR42+#REF!+#REF!,"")</f>
        <v/>
      </c>
      <c r="QSS48" s="84" t="str">
        <f>IF(ISNUMBER(outYear),QSS37+QSS42+#REF!+#REF!,"")</f>
        <v/>
      </c>
      <c r="QST48" s="84" t="str">
        <f>IF(ISNUMBER(outYear),QST37+QST42+#REF!+#REF!,"")</f>
        <v/>
      </c>
      <c r="QSU48" s="84" t="str">
        <f>IF(ISNUMBER(outYear),QSU37+QSU42+#REF!+#REF!,"")</f>
        <v/>
      </c>
      <c r="QSV48" s="84" t="str">
        <f>IF(ISNUMBER(outYear),QSV37+QSV42+#REF!+#REF!,"")</f>
        <v/>
      </c>
      <c r="QSW48" s="84" t="str">
        <f>IF(ISNUMBER(outYear),QSW37+QSW42+#REF!+#REF!,"")</f>
        <v/>
      </c>
      <c r="QSX48" s="84" t="str">
        <f>IF(ISNUMBER(outYear),QSX37+QSX42+#REF!+#REF!,"")</f>
        <v/>
      </c>
      <c r="QSY48" s="84" t="str">
        <f>IF(ISNUMBER(outYear),QSY37+QSY42+#REF!+#REF!,"")</f>
        <v/>
      </c>
      <c r="QSZ48" s="84" t="str">
        <f>IF(ISNUMBER(outYear),QSZ37+QSZ42+#REF!+#REF!,"")</f>
        <v/>
      </c>
      <c r="QTA48" s="84" t="str">
        <f>IF(ISNUMBER(outYear),QTA37+QTA42+#REF!+#REF!,"")</f>
        <v/>
      </c>
      <c r="QTB48" s="84" t="str">
        <f>IF(ISNUMBER(outYear),QTB37+QTB42+#REF!+#REF!,"")</f>
        <v/>
      </c>
      <c r="QTC48" s="84" t="str">
        <f>IF(ISNUMBER(outYear),QTC37+QTC42+#REF!+#REF!,"")</f>
        <v/>
      </c>
      <c r="QTD48" s="84" t="str">
        <f>IF(ISNUMBER(outYear),QTD37+QTD42+#REF!+#REF!,"")</f>
        <v/>
      </c>
      <c r="QTE48" s="84" t="str">
        <f>IF(ISNUMBER(outYear),QTE37+QTE42+#REF!+#REF!,"")</f>
        <v/>
      </c>
      <c r="QTF48" s="84" t="str">
        <f>IF(ISNUMBER(outYear),QTF37+QTF42+#REF!+#REF!,"")</f>
        <v/>
      </c>
      <c r="QTG48" s="84" t="str">
        <f>IF(ISNUMBER(outYear),QTG37+QTG42+#REF!+#REF!,"")</f>
        <v/>
      </c>
      <c r="QTH48" s="84" t="str">
        <f>IF(ISNUMBER(outYear),QTH37+QTH42+#REF!+#REF!,"")</f>
        <v/>
      </c>
      <c r="QTI48" s="84" t="str">
        <f>IF(ISNUMBER(outYear),QTI37+QTI42+#REF!+#REF!,"")</f>
        <v/>
      </c>
      <c r="QTJ48" s="84" t="str">
        <f>IF(ISNUMBER(outYear),QTJ37+QTJ42+#REF!+#REF!,"")</f>
        <v/>
      </c>
      <c r="QTK48" s="84" t="str">
        <f>IF(ISNUMBER(outYear),QTK37+QTK42+#REF!+#REF!,"")</f>
        <v/>
      </c>
      <c r="QTL48" s="84" t="str">
        <f>IF(ISNUMBER(outYear),QTL37+QTL42+#REF!+#REF!,"")</f>
        <v/>
      </c>
      <c r="QTM48" s="84" t="str">
        <f>IF(ISNUMBER(outYear),QTM37+QTM42+#REF!+#REF!,"")</f>
        <v/>
      </c>
      <c r="QTN48" s="84" t="str">
        <f>IF(ISNUMBER(outYear),QTN37+QTN42+#REF!+#REF!,"")</f>
        <v/>
      </c>
      <c r="QTO48" s="84" t="str">
        <f>IF(ISNUMBER(outYear),QTO37+QTO42+#REF!+#REF!,"")</f>
        <v/>
      </c>
      <c r="QTP48" s="84" t="str">
        <f>IF(ISNUMBER(outYear),QTP37+QTP42+#REF!+#REF!,"")</f>
        <v/>
      </c>
      <c r="QTQ48" s="84" t="str">
        <f>IF(ISNUMBER(outYear),QTQ37+QTQ42+#REF!+#REF!,"")</f>
        <v/>
      </c>
      <c r="QTR48" s="84" t="str">
        <f>IF(ISNUMBER(outYear),QTR37+QTR42+#REF!+#REF!,"")</f>
        <v/>
      </c>
      <c r="QTS48" s="84" t="str">
        <f>IF(ISNUMBER(outYear),QTS37+QTS42+#REF!+#REF!,"")</f>
        <v/>
      </c>
      <c r="QTT48" s="84" t="str">
        <f>IF(ISNUMBER(outYear),QTT37+QTT42+#REF!+#REF!,"")</f>
        <v/>
      </c>
      <c r="QTU48" s="84" t="str">
        <f>IF(ISNUMBER(outYear),QTU37+QTU42+#REF!+#REF!,"")</f>
        <v/>
      </c>
      <c r="QTV48" s="84" t="str">
        <f>IF(ISNUMBER(outYear),QTV37+QTV42+#REF!+#REF!,"")</f>
        <v/>
      </c>
      <c r="QTW48" s="84" t="str">
        <f>IF(ISNUMBER(outYear),QTW37+QTW42+#REF!+#REF!,"")</f>
        <v/>
      </c>
      <c r="QTX48" s="84" t="str">
        <f>IF(ISNUMBER(outYear),QTX37+QTX42+#REF!+#REF!,"")</f>
        <v/>
      </c>
      <c r="QTY48" s="84" t="str">
        <f>IF(ISNUMBER(outYear),QTY37+QTY42+#REF!+#REF!,"")</f>
        <v/>
      </c>
      <c r="QTZ48" s="84" t="str">
        <f>IF(ISNUMBER(outYear),QTZ37+QTZ42+#REF!+#REF!,"")</f>
        <v/>
      </c>
      <c r="QUA48" s="84" t="str">
        <f>IF(ISNUMBER(outYear),QUA37+QUA42+#REF!+#REF!,"")</f>
        <v/>
      </c>
      <c r="QUB48" s="84" t="str">
        <f>IF(ISNUMBER(outYear),QUB37+QUB42+#REF!+#REF!,"")</f>
        <v/>
      </c>
      <c r="QUC48" s="84" t="str">
        <f>IF(ISNUMBER(outYear),QUC37+QUC42+#REF!+#REF!,"")</f>
        <v/>
      </c>
      <c r="QUD48" s="84" t="str">
        <f>IF(ISNUMBER(outYear),QUD37+QUD42+#REF!+#REF!,"")</f>
        <v/>
      </c>
      <c r="QUE48" s="84" t="str">
        <f>IF(ISNUMBER(outYear),QUE37+QUE42+#REF!+#REF!,"")</f>
        <v/>
      </c>
      <c r="QUF48" s="84" t="str">
        <f>IF(ISNUMBER(outYear),QUF37+QUF42+#REF!+#REF!,"")</f>
        <v/>
      </c>
      <c r="QUG48" s="84" t="str">
        <f>IF(ISNUMBER(outYear),QUG37+QUG42+#REF!+#REF!,"")</f>
        <v/>
      </c>
      <c r="QUH48" s="84" t="str">
        <f>IF(ISNUMBER(outYear),QUH37+QUH42+#REF!+#REF!,"")</f>
        <v/>
      </c>
      <c r="QUI48" s="84" t="str">
        <f>IF(ISNUMBER(outYear),QUI37+QUI42+#REF!+#REF!,"")</f>
        <v/>
      </c>
      <c r="QUJ48" s="84" t="str">
        <f>IF(ISNUMBER(outYear),QUJ37+QUJ42+#REF!+#REF!,"")</f>
        <v/>
      </c>
      <c r="QUK48" s="84" t="str">
        <f>IF(ISNUMBER(outYear),QUK37+QUK42+#REF!+#REF!,"")</f>
        <v/>
      </c>
      <c r="QUL48" s="84" t="str">
        <f>IF(ISNUMBER(outYear),QUL37+QUL42+#REF!+#REF!,"")</f>
        <v/>
      </c>
      <c r="QUM48" s="84" t="str">
        <f>IF(ISNUMBER(outYear),QUM37+QUM42+#REF!+#REF!,"")</f>
        <v/>
      </c>
      <c r="QUN48" s="84" t="str">
        <f>IF(ISNUMBER(outYear),QUN37+QUN42+#REF!+#REF!,"")</f>
        <v/>
      </c>
      <c r="QUO48" s="84" t="str">
        <f>IF(ISNUMBER(outYear),QUO37+QUO42+#REF!+#REF!,"")</f>
        <v/>
      </c>
      <c r="QUP48" s="84" t="str">
        <f>IF(ISNUMBER(outYear),QUP37+QUP42+#REF!+#REF!,"")</f>
        <v/>
      </c>
      <c r="QUQ48" s="84" t="str">
        <f>IF(ISNUMBER(outYear),QUQ37+QUQ42+#REF!+#REF!,"")</f>
        <v/>
      </c>
      <c r="QUR48" s="84" t="str">
        <f>IF(ISNUMBER(outYear),QUR37+QUR42+#REF!+#REF!,"")</f>
        <v/>
      </c>
      <c r="QUS48" s="84" t="str">
        <f>IF(ISNUMBER(outYear),QUS37+QUS42+#REF!+#REF!,"")</f>
        <v/>
      </c>
      <c r="QUT48" s="84" t="str">
        <f>IF(ISNUMBER(outYear),QUT37+QUT42+#REF!+#REF!,"")</f>
        <v/>
      </c>
      <c r="QUU48" s="84" t="str">
        <f>IF(ISNUMBER(outYear),QUU37+QUU42+#REF!+#REF!,"")</f>
        <v/>
      </c>
      <c r="QUV48" s="84" t="str">
        <f>IF(ISNUMBER(outYear),QUV37+QUV42+#REF!+#REF!,"")</f>
        <v/>
      </c>
      <c r="QUW48" s="84" t="str">
        <f>IF(ISNUMBER(outYear),QUW37+QUW42+#REF!+#REF!,"")</f>
        <v/>
      </c>
      <c r="QUX48" s="84" t="str">
        <f>IF(ISNUMBER(outYear),QUX37+QUX42+#REF!+#REF!,"")</f>
        <v/>
      </c>
      <c r="QUY48" s="84" t="str">
        <f>IF(ISNUMBER(outYear),QUY37+QUY42+#REF!+#REF!,"")</f>
        <v/>
      </c>
      <c r="QUZ48" s="84" t="str">
        <f>IF(ISNUMBER(outYear),QUZ37+QUZ42+#REF!+#REF!,"")</f>
        <v/>
      </c>
      <c r="QVA48" s="84" t="str">
        <f>IF(ISNUMBER(outYear),QVA37+QVA42+#REF!+#REF!,"")</f>
        <v/>
      </c>
      <c r="QVB48" s="84" t="str">
        <f>IF(ISNUMBER(outYear),QVB37+QVB42+#REF!+#REF!,"")</f>
        <v/>
      </c>
      <c r="QVC48" s="84" t="str">
        <f>IF(ISNUMBER(outYear),QVC37+QVC42+#REF!+#REF!,"")</f>
        <v/>
      </c>
      <c r="QVD48" s="84" t="str">
        <f>IF(ISNUMBER(outYear),QVD37+QVD42+#REF!+#REF!,"")</f>
        <v/>
      </c>
      <c r="QVE48" s="84" t="str">
        <f>IF(ISNUMBER(outYear),QVE37+QVE42+#REF!+#REF!,"")</f>
        <v/>
      </c>
      <c r="QVF48" s="84" t="str">
        <f>IF(ISNUMBER(outYear),QVF37+QVF42+#REF!+#REF!,"")</f>
        <v/>
      </c>
      <c r="QVG48" s="84" t="str">
        <f>IF(ISNUMBER(outYear),QVG37+QVG42+#REF!+#REF!,"")</f>
        <v/>
      </c>
      <c r="QVH48" s="84" t="str">
        <f>IF(ISNUMBER(outYear),QVH37+QVH42+#REF!+#REF!,"")</f>
        <v/>
      </c>
      <c r="QVI48" s="84" t="str">
        <f>IF(ISNUMBER(outYear),QVI37+QVI42+#REF!+#REF!,"")</f>
        <v/>
      </c>
      <c r="QVJ48" s="84" t="str">
        <f>IF(ISNUMBER(outYear),QVJ37+QVJ42+#REF!+#REF!,"")</f>
        <v/>
      </c>
      <c r="QVK48" s="84" t="str">
        <f>IF(ISNUMBER(outYear),QVK37+QVK42+#REF!+#REF!,"")</f>
        <v/>
      </c>
      <c r="QVL48" s="84" t="str">
        <f>IF(ISNUMBER(outYear),QVL37+QVL42+#REF!+#REF!,"")</f>
        <v/>
      </c>
      <c r="QVM48" s="84" t="str">
        <f>IF(ISNUMBER(outYear),QVM37+QVM42+#REF!+#REF!,"")</f>
        <v/>
      </c>
      <c r="QVN48" s="84" t="str">
        <f>IF(ISNUMBER(outYear),QVN37+QVN42+#REF!+#REF!,"")</f>
        <v/>
      </c>
      <c r="QVO48" s="84" t="str">
        <f>IF(ISNUMBER(outYear),QVO37+QVO42+#REF!+#REF!,"")</f>
        <v/>
      </c>
      <c r="QVP48" s="84" t="str">
        <f>IF(ISNUMBER(outYear),QVP37+QVP42+#REF!+#REF!,"")</f>
        <v/>
      </c>
      <c r="QVQ48" s="84" t="str">
        <f>IF(ISNUMBER(outYear),QVQ37+QVQ42+#REF!+#REF!,"")</f>
        <v/>
      </c>
      <c r="QVR48" s="84" t="str">
        <f>IF(ISNUMBER(outYear),QVR37+QVR42+#REF!+#REF!,"")</f>
        <v/>
      </c>
      <c r="QVS48" s="84" t="str">
        <f>IF(ISNUMBER(outYear),QVS37+QVS42+#REF!+#REF!,"")</f>
        <v/>
      </c>
      <c r="QVT48" s="84" t="str">
        <f>IF(ISNUMBER(outYear),QVT37+QVT42+#REF!+#REF!,"")</f>
        <v/>
      </c>
      <c r="QVU48" s="84" t="str">
        <f>IF(ISNUMBER(outYear),QVU37+QVU42+#REF!+#REF!,"")</f>
        <v/>
      </c>
      <c r="QVV48" s="84" t="str">
        <f>IF(ISNUMBER(outYear),QVV37+QVV42+#REF!+#REF!,"")</f>
        <v/>
      </c>
      <c r="QVW48" s="84" t="str">
        <f>IF(ISNUMBER(outYear),QVW37+QVW42+#REF!+#REF!,"")</f>
        <v/>
      </c>
      <c r="QVX48" s="84" t="str">
        <f>IF(ISNUMBER(outYear),QVX37+QVX42+#REF!+#REF!,"")</f>
        <v/>
      </c>
      <c r="QVY48" s="84" t="str">
        <f>IF(ISNUMBER(outYear),QVY37+QVY42+#REF!+#REF!,"")</f>
        <v/>
      </c>
      <c r="QVZ48" s="84" t="str">
        <f>IF(ISNUMBER(outYear),QVZ37+QVZ42+#REF!+#REF!,"")</f>
        <v/>
      </c>
      <c r="QWA48" s="84" t="str">
        <f>IF(ISNUMBER(outYear),QWA37+QWA42+#REF!+#REF!,"")</f>
        <v/>
      </c>
      <c r="QWB48" s="84" t="str">
        <f>IF(ISNUMBER(outYear),QWB37+QWB42+#REF!+#REF!,"")</f>
        <v/>
      </c>
      <c r="QWC48" s="84" t="str">
        <f>IF(ISNUMBER(outYear),QWC37+QWC42+#REF!+#REF!,"")</f>
        <v/>
      </c>
      <c r="QWD48" s="84" t="str">
        <f>IF(ISNUMBER(outYear),QWD37+QWD42+#REF!+#REF!,"")</f>
        <v/>
      </c>
      <c r="QWE48" s="84" t="str">
        <f>IF(ISNUMBER(outYear),QWE37+QWE42+#REF!+#REF!,"")</f>
        <v/>
      </c>
      <c r="QWF48" s="84" t="str">
        <f>IF(ISNUMBER(outYear),QWF37+QWF42+#REF!+#REF!,"")</f>
        <v/>
      </c>
      <c r="QWG48" s="84" t="str">
        <f>IF(ISNUMBER(outYear),QWG37+QWG42+#REF!+#REF!,"")</f>
        <v/>
      </c>
      <c r="QWH48" s="84" t="str">
        <f>IF(ISNUMBER(outYear),QWH37+QWH42+#REF!+#REF!,"")</f>
        <v/>
      </c>
      <c r="QWI48" s="84" t="str">
        <f>IF(ISNUMBER(outYear),QWI37+QWI42+#REF!+#REF!,"")</f>
        <v/>
      </c>
      <c r="QWJ48" s="84" t="str">
        <f>IF(ISNUMBER(outYear),QWJ37+QWJ42+#REF!+#REF!,"")</f>
        <v/>
      </c>
      <c r="QWK48" s="84" t="str">
        <f>IF(ISNUMBER(outYear),QWK37+QWK42+#REF!+#REF!,"")</f>
        <v/>
      </c>
      <c r="QWL48" s="84" t="str">
        <f>IF(ISNUMBER(outYear),QWL37+QWL42+#REF!+#REF!,"")</f>
        <v/>
      </c>
      <c r="QWM48" s="84" t="str">
        <f>IF(ISNUMBER(outYear),QWM37+QWM42+#REF!+#REF!,"")</f>
        <v/>
      </c>
      <c r="QWN48" s="84" t="str">
        <f>IF(ISNUMBER(outYear),QWN37+QWN42+#REF!+#REF!,"")</f>
        <v/>
      </c>
      <c r="QWO48" s="84" t="str">
        <f>IF(ISNUMBER(outYear),QWO37+QWO42+#REF!+#REF!,"")</f>
        <v/>
      </c>
      <c r="QWP48" s="84" t="str">
        <f>IF(ISNUMBER(outYear),QWP37+QWP42+#REF!+#REF!,"")</f>
        <v/>
      </c>
      <c r="QWQ48" s="84" t="str">
        <f>IF(ISNUMBER(outYear),QWQ37+QWQ42+#REF!+#REF!,"")</f>
        <v/>
      </c>
      <c r="QWR48" s="84" t="str">
        <f>IF(ISNUMBER(outYear),QWR37+QWR42+#REF!+#REF!,"")</f>
        <v/>
      </c>
      <c r="QWS48" s="84" t="str">
        <f>IF(ISNUMBER(outYear),QWS37+QWS42+#REF!+#REF!,"")</f>
        <v/>
      </c>
      <c r="QWT48" s="84" t="str">
        <f>IF(ISNUMBER(outYear),QWT37+QWT42+#REF!+#REF!,"")</f>
        <v/>
      </c>
      <c r="QWU48" s="84" t="str">
        <f>IF(ISNUMBER(outYear),QWU37+QWU42+#REF!+#REF!,"")</f>
        <v/>
      </c>
      <c r="QWV48" s="84" t="str">
        <f>IF(ISNUMBER(outYear),QWV37+QWV42+#REF!+#REF!,"")</f>
        <v/>
      </c>
      <c r="QWW48" s="84" t="str">
        <f>IF(ISNUMBER(outYear),QWW37+QWW42+#REF!+#REF!,"")</f>
        <v/>
      </c>
      <c r="QWX48" s="84" t="str">
        <f>IF(ISNUMBER(outYear),QWX37+QWX42+#REF!+#REF!,"")</f>
        <v/>
      </c>
      <c r="QWY48" s="84" t="str">
        <f>IF(ISNUMBER(outYear),QWY37+QWY42+#REF!+#REF!,"")</f>
        <v/>
      </c>
      <c r="QWZ48" s="84" t="str">
        <f>IF(ISNUMBER(outYear),QWZ37+QWZ42+#REF!+#REF!,"")</f>
        <v/>
      </c>
      <c r="QXA48" s="84" t="str">
        <f>IF(ISNUMBER(outYear),QXA37+QXA42+#REF!+#REF!,"")</f>
        <v/>
      </c>
      <c r="QXB48" s="84" t="str">
        <f>IF(ISNUMBER(outYear),QXB37+QXB42+#REF!+#REF!,"")</f>
        <v/>
      </c>
      <c r="QXC48" s="84" t="str">
        <f>IF(ISNUMBER(outYear),QXC37+QXC42+#REF!+#REF!,"")</f>
        <v/>
      </c>
      <c r="QXD48" s="84" t="str">
        <f>IF(ISNUMBER(outYear),QXD37+QXD42+#REF!+#REF!,"")</f>
        <v/>
      </c>
      <c r="QXE48" s="84" t="str">
        <f>IF(ISNUMBER(outYear),QXE37+QXE42+#REF!+#REF!,"")</f>
        <v/>
      </c>
      <c r="QXF48" s="84" t="str">
        <f>IF(ISNUMBER(outYear),QXF37+QXF42+#REF!+#REF!,"")</f>
        <v/>
      </c>
      <c r="QXG48" s="84" t="str">
        <f>IF(ISNUMBER(outYear),QXG37+QXG42+#REF!+#REF!,"")</f>
        <v/>
      </c>
      <c r="QXH48" s="84" t="str">
        <f>IF(ISNUMBER(outYear),QXH37+QXH42+#REF!+#REF!,"")</f>
        <v/>
      </c>
      <c r="QXI48" s="84" t="str">
        <f>IF(ISNUMBER(outYear),QXI37+QXI42+#REF!+#REF!,"")</f>
        <v/>
      </c>
      <c r="QXJ48" s="84" t="str">
        <f>IF(ISNUMBER(outYear),QXJ37+QXJ42+#REF!+#REF!,"")</f>
        <v/>
      </c>
      <c r="QXK48" s="84" t="str">
        <f>IF(ISNUMBER(outYear),QXK37+QXK42+#REF!+#REF!,"")</f>
        <v/>
      </c>
      <c r="QXL48" s="84" t="str">
        <f>IF(ISNUMBER(outYear),QXL37+QXL42+#REF!+#REF!,"")</f>
        <v/>
      </c>
      <c r="QXM48" s="84" t="str">
        <f>IF(ISNUMBER(outYear),QXM37+QXM42+#REF!+#REF!,"")</f>
        <v/>
      </c>
      <c r="QXN48" s="84" t="str">
        <f>IF(ISNUMBER(outYear),QXN37+QXN42+#REF!+#REF!,"")</f>
        <v/>
      </c>
      <c r="QXO48" s="84" t="str">
        <f>IF(ISNUMBER(outYear),QXO37+QXO42+#REF!+#REF!,"")</f>
        <v/>
      </c>
      <c r="QXP48" s="84" t="str">
        <f>IF(ISNUMBER(outYear),QXP37+QXP42+#REF!+#REF!,"")</f>
        <v/>
      </c>
      <c r="QXQ48" s="84" t="str">
        <f>IF(ISNUMBER(outYear),QXQ37+QXQ42+#REF!+#REF!,"")</f>
        <v/>
      </c>
      <c r="QXR48" s="84" t="str">
        <f>IF(ISNUMBER(outYear),QXR37+QXR42+#REF!+#REF!,"")</f>
        <v/>
      </c>
      <c r="QXS48" s="84" t="str">
        <f>IF(ISNUMBER(outYear),QXS37+QXS42+#REF!+#REF!,"")</f>
        <v/>
      </c>
      <c r="QXT48" s="84" t="str">
        <f>IF(ISNUMBER(outYear),QXT37+QXT42+#REF!+#REF!,"")</f>
        <v/>
      </c>
      <c r="QXU48" s="84" t="str">
        <f>IF(ISNUMBER(outYear),QXU37+QXU42+#REF!+#REF!,"")</f>
        <v/>
      </c>
      <c r="QXV48" s="84" t="str">
        <f>IF(ISNUMBER(outYear),QXV37+QXV42+#REF!+#REF!,"")</f>
        <v/>
      </c>
      <c r="QXW48" s="84" t="str">
        <f>IF(ISNUMBER(outYear),QXW37+QXW42+#REF!+#REF!,"")</f>
        <v/>
      </c>
      <c r="QXX48" s="84" t="str">
        <f>IF(ISNUMBER(outYear),QXX37+QXX42+#REF!+#REF!,"")</f>
        <v/>
      </c>
      <c r="QXY48" s="84" t="str">
        <f>IF(ISNUMBER(outYear),QXY37+QXY42+#REF!+#REF!,"")</f>
        <v/>
      </c>
      <c r="QXZ48" s="84" t="str">
        <f>IF(ISNUMBER(outYear),QXZ37+QXZ42+#REF!+#REF!,"")</f>
        <v/>
      </c>
      <c r="QYA48" s="84" t="str">
        <f>IF(ISNUMBER(outYear),QYA37+QYA42+#REF!+#REF!,"")</f>
        <v/>
      </c>
      <c r="QYB48" s="84" t="str">
        <f>IF(ISNUMBER(outYear),QYB37+QYB42+#REF!+#REF!,"")</f>
        <v/>
      </c>
      <c r="QYC48" s="84" t="str">
        <f>IF(ISNUMBER(outYear),QYC37+QYC42+#REF!+#REF!,"")</f>
        <v/>
      </c>
      <c r="QYD48" s="84" t="str">
        <f>IF(ISNUMBER(outYear),QYD37+QYD42+#REF!+#REF!,"")</f>
        <v/>
      </c>
      <c r="QYE48" s="84" t="str">
        <f>IF(ISNUMBER(outYear),QYE37+QYE42+#REF!+#REF!,"")</f>
        <v/>
      </c>
      <c r="QYF48" s="84" t="str">
        <f>IF(ISNUMBER(outYear),QYF37+QYF42+#REF!+#REF!,"")</f>
        <v/>
      </c>
      <c r="QYG48" s="84" t="str">
        <f>IF(ISNUMBER(outYear),QYG37+QYG42+#REF!+#REF!,"")</f>
        <v/>
      </c>
      <c r="QYH48" s="84" t="str">
        <f>IF(ISNUMBER(outYear),QYH37+QYH42+#REF!+#REF!,"")</f>
        <v/>
      </c>
      <c r="QYI48" s="84" t="str">
        <f>IF(ISNUMBER(outYear),QYI37+QYI42+#REF!+#REF!,"")</f>
        <v/>
      </c>
      <c r="QYJ48" s="84" t="str">
        <f>IF(ISNUMBER(outYear),QYJ37+QYJ42+#REF!+#REF!,"")</f>
        <v/>
      </c>
      <c r="QYK48" s="84" t="str">
        <f>IF(ISNUMBER(outYear),QYK37+QYK42+#REF!+#REF!,"")</f>
        <v/>
      </c>
      <c r="QYL48" s="84" t="str">
        <f>IF(ISNUMBER(outYear),QYL37+QYL42+#REF!+#REF!,"")</f>
        <v/>
      </c>
      <c r="QYM48" s="84" t="str">
        <f>IF(ISNUMBER(outYear),QYM37+QYM42+#REF!+#REF!,"")</f>
        <v/>
      </c>
      <c r="QYN48" s="84" t="str">
        <f>IF(ISNUMBER(outYear),QYN37+QYN42+#REF!+#REF!,"")</f>
        <v/>
      </c>
      <c r="QYO48" s="84" t="str">
        <f>IF(ISNUMBER(outYear),QYO37+QYO42+#REF!+#REF!,"")</f>
        <v/>
      </c>
      <c r="QYP48" s="84" t="str">
        <f>IF(ISNUMBER(outYear),QYP37+QYP42+#REF!+#REF!,"")</f>
        <v/>
      </c>
      <c r="QYQ48" s="84" t="str">
        <f>IF(ISNUMBER(outYear),QYQ37+QYQ42+#REF!+#REF!,"")</f>
        <v/>
      </c>
      <c r="QYR48" s="84" t="str">
        <f>IF(ISNUMBER(outYear),QYR37+QYR42+#REF!+#REF!,"")</f>
        <v/>
      </c>
      <c r="QYS48" s="84" t="str">
        <f>IF(ISNUMBER(outYear),QYS37+QYS42+#REF!+#REF!,"")</f>
        <v/>
      </c>
      <c r="QYT48" s="84" t="str">
        <f>IF(ISNUMBER(outYear),QYT37+QYT42+#REF!+#REF!,"")</f>
        <v/>
      </c>
      <c r="QYU48" s="84" t="str">
        <f>IF(ISNUMBER(outYear),QYU37+QYU42+#REF!+#REF!,"")</f>
        <v/>
      </c>
      <c r="QYV48" s="84" t="str">
        <f>IF(ISNUMBER(outYear),QYV37+QYV42+#REF!+#REF!,"")</f>
        <v/>
      </c>
      <c r="QYW48" s="84" t="str">
        <f>IF(ISNUMBER(outYear),QYW37+QYW42+#REF!+#REF!,"")</f>
        <v/>
      </c>
      <c r="QYX48" s="84" t="str">
        <f>IF(ISNUMBER(outYear),QYX37+QYX42+#REF!+#REF!,"")</f>
        <v/>
      </c>
      <c r="QYY48" s="84" t="str">
        <f>IF(ISNUMBER(outYear),QYY37+QYY42+#REF!+#REF!,"")</f>
        <v/>
      </c>
      <c r="QYZ48" s="84" t="str">
        <f>IF(ISNUMBER(outYear),QYZ37+QYZ42+#REF!+#REF!,"")</f>
        <v/>
      </c>
      <c r="QZA48" s="84" t="str">
        <f>IF(ISNUMBER(outYear),QZA37+QZA42+#REF!+#REF!,"")</f>
        <v/>
      </c>
      <c r="QZB48" s="84" t="str">
        <f>IF(ISNUMBER(outYear),QZB37+QZB42+#REF!+#REF!,"")</f>
        <v/>
      </c>
      <c r="QZC48" s="84" t="str">
        <f>IF(ISNUMBER(outYear),QZC37+QZC42+#REF!+#REF!,"")</f>
        <v/>
      </c>
      <c r="QZD48" s="84" t="str">
        <f>IF(ISNUMBER(outYear),QZD37+QZD42+#REF!+#REF!,"")</f>
        <v/>
      </c>
      <c r="QZE48" s="84" t="str">
        <f>IF(ISNUMBER(outYear),QZE37+QZE42+#REF!+#REF!,"")</f>
        <v/>
      </c>
      <c r="QZF48" s="84" t="str">
        <f>IF(ISNUMBER(outYear),QZF37+QZF42+#REF!+#REF!,"")</f>
        <v/>
      </c>
      <c r="QZG48" s="84" t="str">
        <f>IF(ISNUMBER(outYear),QZG37+QZG42+#REF!+#REF!,"")</f>
        <v/>
      </c>
      <c r="QZH48" s="84" t="str">
        <f>IF(ISNUMBER(outYear),QZH37+QZH42+#REF!+#REF!,"")</f>
        <v/>
      </c>
      <c r="QZI48" s="84" t="str">
        <f>IF(ISNUMBER(outYear),QZI37+QZI42+#REF!+#REF!,"")</f>
        <v/>
      </c>
      <c r="QZJ48" s="84" t="str">
        <f>IF(ISNUMBER(outYear),QZJ37+QZJ42+#REF!+#REF!,"")</f>
        <v/>
      </c>
      <c r="QZK48" s="84" t="str">
        <f>IF(ISNUMBER(outYear),QZK37+QZK42+#REF!+#REF!,"")</f>
        <v/>
      </c>
      <c r="QZL48" s="84" t="str">
        <f>IF(ISNUMBER(outYear),QZL37+QZL42+#REF!+#REF!,"")</f>
        <v/>
      </c>
      <c r="QZM48" s="84" t="str">
        <f>IF(ISNUMBER(outYear),QZM37+QZM42+#REF!+#REF!,"")</f>
        <v/>
      </c>
      <c r="QZN48" s="84" t="str">
        <f>IF(ISNUMBER(outYear),QZN37+QZN42+#REF!+#REF!,"")</f>
        <v/>
      </c>
      <c r="QZO48" s="84" t="str">
        <f>IF(ISNUMBER(outYear),QZO37+QZO42+#REF!+#REF!,"")</f>
        <v/>
      </c>
      <c r="QZP48" s="84" t="str">
        <f>IF(ISNUMBER(outYear),QZP37+QZP42+#REF!+#REF!,"")</f>
        <v/>
      </c>
      <c r="QZQ48" s="84" t="str">
        <f>IF(ISNUMBER(outYear),QZQ37+QZQ42+#REF!+#REF!,"")</f>
        <v/>
      </c>
      <c r="QZR48" s="84" t="str">
        <f>IF(ISNUMBER(outYear),QZR37+QZR42+#REF!+#REF!,"")</f>
        <v/>
      </c>
      <c r="QZS48" s="84" t="str">
        <f>IF(ISNUMBER(outYear),QZS37+QZS42+#REF!+#REF!,"")</f>
        <v/>
      </c>
      <c r="QZT48" s="84" t="str">
        <f>IF(ISNUMBER(outYear),QZT37+QZT42+#REF!+#REF!,"")</f>
        <v/>
      </c>
      <c r="QZU48" s="84" t="str">
        <f>IF(ISNUMBER(outYear),QZU37+QZU42+#REF!+#REF!,"")</f>
        <v/>
      </c>
      <c r="QZV48" s="84" t="str">
        <f>IF(ISNUMBER(outYear),QZV37+QZV42+#REF!+#REF!,"")</f>
        <v/>
      </c>
      <c r="QZW48" s="84" t="str">
        <f>IF(ISNUMBER(outYear),QZW37+QZW42+#REF!+#REF!,"")</f>
        <v/>
      </c>
      <c r="QZX48" s="84" t="str">
        <f>IF(ISNUMBER(outYear),QZX37+QZX42+#REF!+#REF!,"")</f>
        <v/>
      </c>
      <c r="QZY48" s="84" t="str">
        <f>IF(ISNUMBER(outYear),QZY37+QZY42+#REF!+#REF!,"")</f>
        <v/>
      </c>
      <c r="QZZ48" s="84" t="str">
        <f>IF(ISNUMBER(outYear),QZZ37+QZZ42+#REF!+#REF!,"")</f>
        <v/>
      </c>
      <c r="RAA48" s="84" t="str">
        <f>IF(ISNUMBER(outYear),RAA37+RAA42+#REF!+#REF!,"")</f>
        <v/>
      </c>
      <c r="RAB48" s="84" t="str">
        <f>IF(ISNUMBER(outYear),RAB37+RAB42+#REF!+#REF!,"")</f>
        <v/>
      </c>
      <c r="RAC48" s="84" t="str">
        <f>IF(ISNUMBER(outYear),RAC37+RAC42+#REF!+#REF!,"")</f>
        <v/>
      </c>
      <c r="RAD48" s="84" t="str">
        <f>IF(ISNUMBER(outYear),RAD37+RAD42+#REF!+#REF!,"")</f>
        <v/>
      </c>
      <c r="RAE48" s="84" t="str">
        <f>IF(ISNUMBER(outYear),RAE37+RAE42+#REF!+#REF!,"")</f>
        <v/>
      </c>
      <c r="RAF48" s="84" t="str">
        <f>IF(ISNUMBER(outYear),RAF37+RAF42+#REF!+#REF!,"")</f>
        <v/>
      </c>
      <c r="RAG48" s="84" t="str">
        <f>IF(ISNUMBER(outYear),RAG37+RAG42+#REF!+#REF!,"")</f>
        <v/>
      </c>
      <c r="RAH48" s="84" t="str">
        <f>IF(ISNUMBER(outYear),RAH37+RAH42+#REF!+#REF!,"")</f>
        <v/>
      </c>
      <c r="RAI48" s="84" t="str">
        <f>IF(ISNUMBER(outYear),RAI37+RAI42+#REF!+#REF!,"")</f>
        <v/>
      </c>
      <c r="RAJ48" s="84" t="str">
        <f>IF(ISNUMBER(outYear),RAJ37+RAJ42+#REF!+#REF!,"")</f>
        <v/>
      </c>
      <c r="RAK48" s="84" t="str">
        <f>IF(ISNUMBER(outYear),RAK37+RAK42+#REF!+#REF!,"")</f>
        <v/>
      </c>
      <c r="RAL48" s="84" t="str">
        <f>IF(ISNUMBER(outYear),RAL37+RAL42+#REF!+#REF!,"")</f>
        <v/>
      </c>
      <c r="RAM48" s="84" t="str">
        <f>IF(ISNUMBER(outYear),RAM37+RAM42+#REF!+#REF!,"")</f>
        <v/>
      </c>
      <c r="RAN48" s="84" t="str">
        <f>IF(ISNUMBER(outYear),RAN37+RAN42+#REF!+#REF!,"")</f>
        <v/>
      </c>
      <c r="RAO48" s="84" t="str">
        <f>IF(ISNUMBER(outYear),RAO37+RAO42+#REF!+#REF!,"")</f>
        <v/>
      </c>
      <c r="RAP48" s="84" t="str">
        <f>IF(ISNUMBER(outYear),RAP37+RAP42+#REF!+#REF!,"")</f>
        <v/>
      </c>
      <c r="RAQ48" s="84" t="str">
        <f>IF(ISNUMBER(outYear),RAQ37+RAQ42+#REF!+#REF!,"")</f>
        <v/>
      </c>
      <c r="RAR48" s="84" t="str">
        <f>IF(ISNUMBER(outYear),RAR37+RAR42+#REF!+#REF!,"")</f>
        <v/>
      </c>
      <c r="RAS48" s="84" t="str">
        <f>IF(ISNUMBER(outYear),RAS37+RAS42+#REF!+#REF!,"")</f>
        <v/>
      </c>
      <c r="RAT48" s="84" t="str">
        <f>IF(ISNUMBER(outYear),RAT37+RAT42+#REF!+#REF!,"")</f>
        <v/>
      </c>
      <c r="RAU48" s="84" t="str">
        <f>IF(ISNUMBER(outYear),RAU37+RAU42+#REF!+#REF!,"")</f>
        <v/>
      </c>
      <c r="RAV48" s="84" t="str">
        <f>IF(ISNUMBER(outYear),RAV37+RAV42+#REF!+#REF!,"")</f>
        <v/>
      </c>
      <c r="RAW48" s="84" t="str">
        <f>IF(ISNUMBER(outYear),RAW37+RAW42+#REF!+#REF!,"")</f>
        <v/>
      </c>
      <c r="RAX48" s="84" t="str">
        <f>IF(ISNUMBER(outYear),RAX37+RAX42+#REF!+#REF!,"")</f>
        <v/>
      </c>
      <c r="RAY48" s="84" t="str">
        <f>IF(ISNUMBER(outYear),RAY37+RAY42+#REF!+#REF!,"")</f>
        <v/>
      </c>
      <c r="RAZ48" s="84" t="str">
        <f>IF(ISNUMBER(outYear),RAZ37+RAZ42+#REF!+#REF!,"")</f>
        <v/>
      </c>
      <c r="RBA48" s="84" t="str">
        <f>IF(ISNUMBER(outYear),RBA37+RBA42+#REF!+#REF!,"")</f>
        <v/>
      </c>
      <c r="RBB48" s="84" t="str">
        <f>IF(ISNUMBER(outYear),RBB37+RBB42+#REF!+#REF!,"")</f>
        <v/>
      </c>
      <c r="RBC48" s="84" t="str">
        <f>IF(ISNUMBER(outYear),RBC37+RBC42+#REF!+#REF!,"")</f>
        <v/>
      </c>
      <c r="RBD48" s="84" t="str">
        <f>IF(ISNUMBER(outYear),RBD37+RBD42+#REF!+#REF!,"")</f>
        <v/>
      </c>
      <c r="RBE48" s="84" t="str">
        <f>IF(ISNUMBER(outYear),RBE37+RBE42+#REF!+#REF!,"")</f>
        <v/>
      </c>
      <c r="RBF48" s="84" t="str">
        <f>IF(ISNUMBER(outYear),RBF37+RBF42+#REF!+#REF!,"")</f>
        <v/>
      </c>
      <c r="RBG48" s="84" t="str">
        <f>IF(ISNUMBER(outYear),RBG37+RBG42+#REF!+#REF!,"")</f>
        <v/>
      </c>
      <c r="RBH48" s="84" t="str">
        <f>IF(ISNUMBER(outYear),RBH37+RBH42+#REF!+#REF!,"")</f>
        <v/>
      </c>
      <c r="RBI48" s="84" t="str">
        <f>IF(ISNUMBER(outYear),RBI37+RBI42+#REF!+#REF!,"")</f>
        <v/>
      </c>
      <c r="RBJ48" s="84" t="str">
        <f>IF(ISNUMBER(outYear),RBJ37+RBJ42+#REF!+#REF!,"")</f>
        <v/>
      </c>
      <c r="RBK48" s="84" t="str">
        <f>IF(ISNUMBER(outYear),RBK37+RBK42+#REF!+#REF!,"")</f>
        <v/>
      </c>
      <c r="RBL48" s="84" t="str">
        <f>IF(ISNUMBER(outYear),RBL37+RBL42+#REF!+#REF!,"")</f>
        <v/>
      </c>
      <c r="RBM48" s="84" t="str">
        <f>IF(ISNUMBER(outYear),RBM37+RBM42+#REF!+#REF!,"")</f>
        <v/>
      </c>
      <c r="RBN48" s="84" t="str">
        <f>IF(ISNUMBER(outYear),RBN37+RBN42+#REF!+#REF!,"")</f>
        <v/>
      </c>
      <c r="RBO48" s="84" t="str">
        <f>IF(ISNUMBER(outYear),RBO37+RBO42+#REF!+#REF!,"")</f>
        <v/>
      </c>
      <c r="RBP48" s="84" t="str">
        <f>IF(ISNUMBER(outYear),RBP37+RBP42+#REF!+#REF!,"")</f>
        <v/>
      </c>
      <c r="RBQ48" s="84" t="str">
        <f>IF(ISNUMBER(outYear),RBQ37+RBQ42+#REF!+#REF!,"")</f>
        <v/>
      </c>
      <c r="RBR48" s="84" t="str">
        <f>IF(ISNUMBER(outYear),RBR37+RBR42+#REF!+#REF!,"")</f>
        <v/>
      </c>
      <c r="RBS48" s="84" t="str">
        <f>IF(ISNUMBER(outYear),RBS37+RBS42+#REF!+#REF!,"")</f>
        <v/>
      </c>
      <c r="RBT48" s="84" t="str">
        <f>IF(ISNUMBER(outYear),RBT37+RBT42+#REF!+#REF!,"")</f>
        <v/>
      </c>
      <c r="RBU48" s="84" t="str">
        <f>IF(ISNUMBER(outYear),RBU37+RBU42+#REF!+#REF!,"")</f>
        <v/>
      </c>
      <c r="RBV48" s="84" t="str">
        <f>IF(ISNUMBER(outYear),RBV37+RBV42+#REF!+#REF!,"")</f>
        <v/>
      </c>
      <c r="RBW48" s="84" t="str">
        <f>IF(ISNUMBER(outYear),RBW37+RBW42+#REF!+#REF!,"")</f>
        <v/>
      </c>
      <c r="RBX48" s="84" t="str">
        <f>IF(ISNUMBER(outYear),RBX37+RBX42+#REF!+#REF!,"")</f>
        <v/>
      </c>
      <c r="RBY48" s="84" t="str">
        <f>IF(ISNUMBER(outYear),RBY37+RBY42+#REF!+#REF!,"")</f>
        <v/>
      </c>
      <c r="RBZ48" s="84" t="str">
        <f>IF(ISNUMBER(outYear),RBZ37+RBZ42+#REF!+#REF!,"")</f>
        <v/>
      </c>
      <c r="RCA48" s="84" t="str">
        <f>IF(ISNUMBER(outYear),RCA37+RCA42+#REF!+#REF!,"")</f>
        <v/>
      </c>
      <c r="RCB48" s="84" t="str">
        <f>IF(ISNUMBER(outYear),RCB37+RCB42+#REF!+#REF!,"")</f>
        <v/>
      </c>
      <c r="RCC48" s="84" t="str">
        <f>IF(ISNUMBER(outYear),RCC37+RCC42+#REF!+#REF!,"")</f>
        <v/>
      </c>
      <c r="RCD48" s="84" t="str">
        <f>IF(ISNUMBER(outYear),RCD37+RCD42+#REF!+#REF!,"")</f>
        <v/>
      </c>
      <c r="RCE48" s="84" t="str">
        <f>IF(ISNUMBER(outYear),RCE37+RCE42+#REF!+#REF!,"")</f>
        <v/>
      </c>
      <c r="RCF48" s="84" t="str">
        <f>IF(ISNUMBER(outYear),RCF37+RCF42+#REF!+#REF!,"")</f>
        <v/>
      </c>
      <c r="RCG48" s="84" t="str">
        <f>IF(ISNUMBER(outYear),RCG37+RCG42+#REF!+#REF!,"")</f>
        <v/>
      </c>
      <c r="RCH48" s="84" t="str">
        <f>IF(ISNUMBER(outYear),RCH37+RCH42+#REF!+#REF!,"")</f>
        <v/>
      </c>
      <c r="RCI48" s="84" t="str">
        <f>IF(ISNUMBER(outYear),RCI37+RCI42+#REF!+#REF!,"")</f>
        <v/>
      </c>
      <c r="RCJ48" s="84" t="str">
        <f>IF(ISNUMBER(outYear),RCJ37+RCJ42+#REF!+#REF!,"")</f>
        <v/>
      </c>
      <c r="RCK48" s="84" t="str">
        <f>IF(ISNUMBER(outYear),RCK37+RCK42+#REF!+#REF!,"")</f>
        <v/>
      </c>
      <c r="RCL48" s="84" t="str">
        <f>IF(ISNUMBER(outYear),RCL37+RCL42+#REF!+#REF!,"")</f>
        <v/>
      </c>
      <c r="RCM48" s="84" t="str">
        <f>IF(ISNUMBER(outYear),RCM37+RCM42+#REF!+#REF!,"")</f>
        <v/>
      </c>
      <c r="RCN48" s="84" t="str">
        <f>IF(ISNUMBER(outYear),RCN37+RCN42+#REF!+#REF!,"")</f>
        <v/>
      </c>
      <c r="RCO48" s="84" t="str">
        <f>IF(ISNUMBER(outYear),RCO37+RCO42+#REF!+#REF!,"")</f>
        <v/>
      </c>
      <c r="RCP48" s="84" t="str">
        <f>IF(ISNUMBER(outYear),RCP37+RCP42+#REF!+#REF!,"")</f>
        <v/>
      </c>
      <c r="RCQ48" s="84" t="str">
        <f>IF(ISNUMBER(outYear),RCQ37+RCQ42+#REF!+#REF!,"")</f>
        <v/>
      </c>
      <c r="RCR48" s="84" t="str">
        <f>IF(ISNUMBER(outYear),RCR37+RCR42+#REF!+#REF!,"")</f>
        <v/>
      </c>
      <c r="RCS48" s="84" t="str">
        <f>IF(ISNUMBER(outYear),RCS37+RCS42+#REF!+#REF!,"")</f>
        <v/>
      </c>
      <c r="RCT48" s="84" t="str">
        <f>IF(ISNUMBER(outYear),RCT37+RCT42+#REF!+#REF!,"")</f>
        <v/>
      </c>
      <c r="RCU48" s="84" t="str">
        <f>IF(ISNUMBER(outYear),RCU37+RCU42+#REF!+#REF!,"")</f>
        <v/>
      </c>
      <c r="RCV48" s="84" t="str">
        <f>IF(ISNUMBER(outYear),RCV37+RCV42+#REF!+#REF!,"")</f>
        <v/>
      </c>
      <c r="RCW48" s="84" t="str">
        <f>IF(ISNUMBER(outYear),RCW37+RCW42+#REF!+#REF!,"")</f>
        <v/>
      </c>
      <c r="RCX48" s="84" t="str">
        <f>IF(ISNUMBER(outYear),RCX37+RCX42+#REF!+#REF!,"")</f>
        <v/>
      </c>
      <c r="RCY48" s="84" t="str">
        <f>IF(ISNUMBER(outYear),RCY37+RCY42+#REF!+#REF!,"")</f>
        <v/>
      </c>
      <c r="RCZ48" s="84" t="str">
        <f>IF(ISNUMBER(outYear),RCZ37+RCZ42+#REF!+#REF!,"")</f>
        <v/>
      </c>
      <c r="RDA48" s="84" t="str">
        <f>IF(ISNUMBER(outYear),RDA37+RDA42+#REF!+#REF!,"")</f>
        <v/>
      </c>
      <c r="RDB48" s="84" t="str">
        <f>IF(ISNUMBER(outYear),RDB37+RDB42+#REF!+#REF!,"")</f>
        <v/>
      </c>
      <c r="RDC48" s="84" t="str">
        <f>IF(ISNUMBER(outYear),RDC37+RDC42+#REF!+#REF!,"")</f>
        <v/>
      </c>
      <c r="RDD48" s="84" t="str">
        <f>IF(ISNUMBER(outYear),RDD37+RDD42+#REF!+#REF!,"")</f>
        <v/>
      </c>
      <c r="RDE48" s="84" t="str">
        <f>IF(ISNUMBER(outYear),RDE37+RDE42+#REF!+#REF!,"")</f>
        <v/>
      </c>
      <c r="RDF48" s="84" t="str">
        <f>IF(ISNUMBER(outYear),RDF37+RDF42+#REF!+#REF!,"")</f>
        <v/>
      </c>
      <c r="RDG48" s="84" t="str">
        <f>IF(ISNUMBER(outYear),RDG37+RDG42+#REF!+#REF!,"")</f>
        <v/>
      </c>
      <c r="RDH48" s="84" t="str">
        <f>IF(ISNUMBER(outYear),RDH37+RDH42+#REF!+#REF!,"")</f>
        <v/>
      </c>
      <c r="RDI48" s="84" t="str">
        <f>IF(ISNUMBER(outYear),RDI37+RDI42+#REF!+#REF!,"")</f>
        <v/>
      </c>
      <c r="RDJ48" s="84" t="str">
        <f>IF(ISNUMBER(outYear),RDJ37+RDJ42+#REF!+#REF!,"")</f>
        <v/>
      </c>
      <c r="RDK48" s="84" t="str">
        <f>IF(ISNUMBER(outYear),RDK37+RDK42+#REF!+#REF!,"")</f>
        <v/>
      </c>
      <c r="RDL48" s="84" t="str">
        <f>IF(ISNUMBER(outYear),RDL37+RDL42+#REF!+#REF!,"")</f>
        <v/>
      </c>
      <c r="RDM48" s="84" t="str">
        <f>IF(ISNUMBER(outYear),RDM37+RDM42+#REF!+#REF!,"")</f>
        <v/>
      </c>
      <c r="RDN48" s="84" t="str">
        <f>IF(ISNUMBER(outYear),RDN37+RDN42+#REF!+#REF!,"")</f>
        <v/>
      </c>
      <c r="RDO48" s="84" t="str">
        <f>IF(ISNUMBER(outYear),RDO37+RDO42+#REF!+#REF!,"")</f>
        <v/>
      </c>
      <c r="RDP48" s="84" t="str">
        <f>IF(ISNUMBER(outYear),RDP37+RDP42+#REF!+#REF!,"")</f>
        <v/>
      </c>
      <c r="RDQ48" s="84" t="str">
        <f>IF(ISNUMBER(outYear),RDQ37+RDQ42+#REF!+#REF!,"")</f>
        <v/>
      </c>
      <c r="RDR48" s="84" t="str">
        <f>IF(ISNUMBER(outYear),RDR37+RDR42+#REF!+#REF!,"")</f>
        <v/>
      </c>
      <c r="RDS48" s="84" t="str">
        <f>IF(ISNUMBER(outYear),RDS37+RDS42+#REF!+#REF!,"")</f>
        <v/>
      </c>
      <c r="RDT48" s="84" t="str">
        <f>IF(ISNUMBER(outYear),RDT37+RDT42+#REF!+#REF!,"")</f>
        <v/>
      </c>
      <c r="RDU48" s="84" t="str">
        <f>IF(ISNUMBER(outYear),RDU37+RDU42+#REF!+#REF!,"")</f>
        <v/>
      </c>
      <c r="RDV48" s="84" t="str">
        <f>IF(ISNUMBER(outYear),RDV37+RDV42+#REF!+#REF!,"")</f>
        <v/>
      </c>
      <c r="RDW48" s="84" t="str">
        <f>IF(ISNUMBER(outYear),RDW37+RDW42+#REF!+#REF!,"")</f>
        <v/>
      </c>
      <c r="RDX48" s="84" t="str">
        <f>IF(ISNUMBER(outYear),RDX37+RDX42+#REF!+#REF!,"")</f>
        <v/>
      </c>
      <c r="RDY48" s="84" t="str">
        <f>IF(ISNUMBER(outYear),RDY37+RDY42+#REF!+#REF!,"")</f>
        <v/>
      </c>
      <c r="RDZ48" s="84" t="str">
        <f>IF(ISNUMBER(outYear),RDZ37+RDZ42+#REF!+#REF!,"")</f>
        <v/>
      </c>
      <c r="REA48" s="84" t="str">
        <f>IF(ISNUMBER(outYear),REA37+REA42+#REF!+#REF!,"")</f>
        <v/>
      </c>
      <c r="REB48" s="84" t="str">
        <f>IF(ISNUMBER(outYear),REB37+REB42+#REF!+#REF!,"")</f>
        <v/>
      </c>
      <c r="REC48" s="84" t="str">
        <f>IF(ISNUMBER(outYear),REC37+REC42+#REF!+#REF!,"")</f>
        <v/>
      </c>
      <c r="RED48" s="84" t="str">
        <f>IF(ISNUMBER(outYear),RED37+RED42+#REF!+#REF!,"")</f>
        <v/>
      </c>
      <c r="REE48" s="84" t="str">
        <f>IF(ISNUMBER(outYear),REE37+REE42+#REF!+#REF!,"")</f>
        <v/>
      </c>
      <c r="REF48" s="84" t="str">
        <f>IF(ISNUMBER(outYear),REF37+REF42+#REF!+#REF!,"")</f>
        <v/>
      </c>
      <c r="REG48" s="84" t="str">
        <f>IF(ISNUMBER(outYear),REG37+REG42+#REF!+#REF!,"")</f>
        <v/>
      </c>
      <c r="REH48" s="84" t="str">
        <f>IF(ISNUMBER(outYear),REH37+REH42+#REF!+#REF!,"")</f>
        <v/>
      </c>
      <c r="REI48" s="84" t="str">
        <f>IF(ISNUMBER(outYear),REI37+REI42+#REF!+#REF!,"")</f>
        <v/>
      </c>
      <c r="REJ48" s="84" t="str">
        <f>IF(ISNUMBER(outYear),REJ37+REJ42+#REF!+#REF!,"")</f>
        <v/>
      </c>
      <c r="REK48" s="84" t="str">
        <f>IF(ISNUMBER(outYear),REK37+REK42+#REF!+#REF!,"")</f>
        <v/>
      </c>
      <c r="REL48" s="84" t="str">
        <f>IF(ISNUMBER(outYear),REL37+REL42+#REF!+#REF!,"")</f>
        <v/>
      </c>
      <c r="REM48" s="84" t="str">
        <f>IF(ISNUMBER(outYear),REM37+REM42+#REF!+#REF!,"")</f>
        <v/>
      </c>
      <c r="REN48" s="84" t="str">
        <f>IF(ISNUMBER(outYear),REN37+REN42+#REF!+#REF!,"")</f>
        <v/>
      </c>
      <c r="REO48" s="84" t="str">
        <f>IF(ISNUMBER(outYear),REO37+REO42+#REF!+#REF!,"")</f>
        <v/>
      </c>
      <c r="REP48" s="84" t="str">
        <f>IF(ISNUMBER(outYear),REP37+REP42+#REF!+#REF!,"")</f>
        <v/>
      </c>
      <c r="REQ48" s="84" t="str">
        <f>IF(ISNUMBER(outYear),REQ37+REQ42+#REF!+#REF!,"")</f>
        <v/>
      </c>
      <c r="RER48" s="84" t="str">
        <f>IF(ISNUMBER(outYear),RER37+RER42+#REF!+#REF!,"")</f>
        <v/>
      </c>
      <c r="RES48" s="84" t="str">
        <f>IF(ISNUMBER(outYear),RES37+RES42+#REF!+#REF!,"")</f>
        <v/>
      </c>
      <c r="RET48" s="84" t="str">
        <f>IF(ISNUMBER(outYear),RET37+RET42+#REF!+#REF!,"")</f>
        <v/>
      </c>
      <c r="REU48" s="84" t="str">
        <f>IF(ISNUMBER(outYear),REU37+REU42+#REF!+#REF!,"")</f>
        <v/>
      </c>
      <c r="REV48" s="84" t="str">
        <f>IF(ISNUMBER(outYear),REV37+REV42+#REF!+#REF!,"")</f>
        <v/>
      </c>
      <c r="REW48" s="84" t="str">
        <f>IF(ISNUMBER(outYear),REW37+REW42+#REF!+#REF!,"")</f>
        <v/>
      </c>
      <c r="REX48" s="84" t="str">
        <f>IF(ISNUMBER(outYear),REX37+REX42+#REF!+#REF!,"")</f>
        <v/>
      </c>
      <c r="REY48" s="84" t="str">
        <f>IF(ISNUMBER(outYear),REY37+REY42+#REF!+#REF!,"")</f>
        <v/>
      </c>
      <c r="REZ48" s="84" t="str">
        <f>IF(ISNUMBER(outYear),REZ37+REZ42+#REF!+#REF!,"")</f>
        <v/>
      </c>
      <c r="RFA48" s="84" t="str">
        <f>IF(ISNUMBER(outYear),RFA37+RFA42+#REF!+#REF!,"")</f>
        <v/>
      </c>
      <c r="RFB48" s="84" t="str">
        <f>IF(ISNUMBER(outYear),RFB37+RFB42+#REF!+#REF!,"")</f>
        <v/>
      </c>
      <c r="RFC48" s="84" t="str">
        <f>IF(ISNUMBER(outYear),RFC37+RFC42+#REF!+#REF!,"")</f>
        <v/>
      </c>
      <c r="RFD48" s="84" t="str">
        <f>IF(ISNUMBER(outYear),RFD37+RFD42+#REF!+#REF!,"")</f>
        <v/>
      </c>
      <c r="RFE48" s="84" t="str">
        <f>IF(ISNUMBER(outYear),RFE37+RFE42+#REF!+#REF!,"")</f>
        <v/>
      </c>
      <c r="RFF48" s="84" t="str">
        <f>IF(ISNUMBER(outYear),RFF37+RFF42+#REF!+#REF!,"")</f>
        <v/>
      </c>
      <c r="RFG48" s="84" t="str">
        <f>IF(ISNUMBER(outYear),RFG37+RFG42+#REF!+#REF!,"")</f>
        <v/>
      </c>
      <c r="RFH48" s="84" t="str">
        <f>IF(ISNUMBER(outYear),RFH37+RFH42+#REF!+#REF!,"")</f>
        <v/>
      </c>
      <c r="RFI48" s="84" t="str">
        <f>IF(ISNUMBER(outYear),RFI37+RFI42+#REF!+#REF!,"")</f>
        <v/>
      </c>
      <c r="RFJ48" s="84" t="str">
        <f>IF(ISNUMBER(outYear),RFJ37+RFJ42+#REF!+#REF!,"")</f>
        <v/>
      </c>
      <c r="RFK48" s="84" t="str">
        <f>IF(ISNUMBER(outYear),RFK37+RFK42+#REF!+#REF!,"")</f>
        <v/>
      </c>
      <c r="RFL48" s="84" t="str">
        <f>IF(ISNUMBER(outYear),RFL37+RFL42+#REF!+#REF!,"")</f>
        <v/>
      </c>
      <c r="RFM48" s="84" t="str">
        <f>IF(ISNUMBER(outYear),RFM37+RFM42+#REF!+#REF!,"")</f>
        <v/>
      </c>
      <c r="RFN48" s="84" t="str">
        <f>IF(ISNUMBER(outYear),RFN37+RFN42+#REF!+#REF!,"")</f>
        <v/>
      </c>
      <c r="RFO48" s="84" t="str">
        <f>IF(ISNUMBER(outYear),RFO37+RFO42+#REF!+#REF!,"")</f>
        <v/>
      </c>
      <c r="RFP48" s="84" t="str">
        <f>IF(ISNUMBER(outYear),RFP37+RFP42+#REF!+#REF!,"")</f>
        <v/>
      </c>
      <c r="RFQ48" s="84" t="str">
        <f>IF(ISNUMBER(outYear),RFQ37+RFQ42+#REF!+#REF!,"")</f>
        <v/>
      </c>
      <c r="RFR48" s="84" t="str">
        <f>IF(ISNUMBER(outYear),RFR37+RFR42+#REF!+#REF!,"")</f>
        <v/>
      </c>
      <c r="RFS48" s="84" t="str">
        <f>IF(ISNUMBER(outYear),RFS37+RFS42+#REF!+#REF!,"")</f>
        <v/>
      </c>
      <c r="RFT48" s="84" t="str">
        <f>IF(ISNUMBER(outYear),RFT37+RFT42+#REF!+#REF!,"")</f>
        <v/>
      </c>
      <c r="RFU48" s="84" t="str">
        <f>IF(ISNUMBER(outYear),RFU37+RFU42+#REF!+#REF!,"")</f>
        <v/>
      </c>
      <c r="RFV48" s="84" t="str">
        <f>IF(ISNUMBER(outYear),RFV37+RFV42+#REF!+#REF!,"")</f>
        <v/>
      </c>
      <c r="RFW48" s="84" t="str">
        <f>IF(ISNUMBER(outYear),RFW37+RFW42+#REF!+#REF!,"")</f>
        <v/>
      </c>
      <c r="RFX48" s="84" t="str">
        <f>IF(ISNUMBER(outYear),RFX37+RFX42+#REF!+#REF!,"")</f>
        <v/>
      </c>
      <c r="RFY48" s="84" t="str">
        <f>IF(ISNUMBER(outYear),RFY37+RFY42+#REF!+#REF!,"")</f>
        <v/>
      </c>
      <c r="RFZ48" s="84" t="str">
        <f>IF(ISNUMBER(outYear),RFZ37+RFZ42+#REF!+#REF!,"")</f>
        <v/>
      </c>
      <c r="RGA48" s="84" t="str">
        <f>IF(ISNUMBER(outYear),RGA37+RGA42+#REF!+#REF!,"")</f>
        <v/>
      </c>
      <c r="RGB48" s="84" t="str">
        <f>IF(ISNUMBER(outYear),RGB37+RGB42+#REF!+#REF!,"")</f>
        <v/>
      </c>
      <c r="RGC48" s="84" t="str">
        <f>IF(ISNUMBER(outYear),RGC37+RGC42+#REF!+#REF!,"")</f>
        <v/>
      </c>
      <c r="RGD48" s="84" t="str">
        <f>IF(ISNUMBER(outYear),RGD37+RGD42+#REF!+#REF!,"")</f>
        <v/>
      </c>
      <c r="RGE48" s="84" t="str">
        <f>IF(ISNUMBER(outYear),RGE37+RGE42+#REF!+#REF!,"")</f>
        <v/>
      </c>
      <c r="RGF48" s="84" t="str">
        <f>IF(ISNUMBER(outYear),RGF37+RGF42+#REF!+#REF!,"")</f>
        <v/>
      </c>
      <c r="RGG48" s="84" t="str">
        <f>IF(ISNUMBER(outYear),RGG37+RGG42+#REF!+#REF!,"")</f>
        <v/>
      </c>
      <c r="RGH48" s="84" t="str">
        <f>IF(ISNUMBER(outYear),RGH37+RGH42+#REF!+#REF!,"")</f>
        <v/>
      </c>
      <c r="RGI48" s="84" t="str">
        <f>IF(ISNUMBER(outYear),RGI37+RGI42+#REF!+#REF!,"")</f>
        <v/>
      </c>
      <c r="RGJ48" s="84" t="str">
        <f>IF(ISNUMBER(outYear),RGJ37+RGJ42+#REF!+#REF!,"")</f>
        <v/>
      </c>
      <c r="RGK48" s="84" t="str">
        <f>IF(ISNUMBER(outYear),RGK37+RGK42+#REF!+#REF!,"")</f>
        <v/>
      </c>
      <c r="RGL48" s="84" t="str">
        <f>IF(ISNUMBER(outYear),RGL37+RGL42+#REF!+#REF!,"")</f>
        <v/>
      </c>
      <c r="RGM48" s="84" t="str">
        <f>IF(ISNUMBER(outYear),RGM37+RGM42+#REF!+#REF!,"")</f>
        <v/>
      </c>
      <c r="RGN48" s="84" t="str">
        <f>IF(ISNUMBER(outYear),RGN37+RGN42+#REF!+#REF!,"")</f>
        <v/>
      </c>
      <c r="RGO48" s="84" t="str">
        <f>IF(ISNUMBER(outYear),RGO37+RGO42+#REF!+#REF!,"")</f>
        <v/>
      </c>
      <c r="RGP48" s="84" t="str">
        <f>IF(ISNUMBER(outYear),RGP37+RGP42+#REF!+#REF!,"")</f>
        <v/>
      </c>
      <c r="RGQ48" s="84" t="str">
        <f>IF(ISNUMBER(outYear),RGQ37+RGQ42+#REF!+#REF!,"")</f>
        <v/>
      </c>
      <c r="RGR48" s="84" t="str">
        <f>IF(ISNUMBER(outYear),RGR37+RGR42+#REF!+#REF!,"")</f>
        <v/>
      </c>
      <c r="RGS48" s="84" t="str">
        <f>IF(ISNUMBER(outYear),RGS37+RGS42+#REF!+#REF!,"")</f>
        <v/>
      </c>
      <c r="RGT48" s="84" t="str">
        <f>IF(ISNUMBER(outYear),RGT37+RGT42+#REF!+#REF!,"")</f>
        <v/>
      </c>
      <c r="RGU48" s="84" t="str">
        <f>IF(ISNUMBER(outYear),RGU37+RGU42+#REF!+#REF!,"")</f>
        <v/>
      </c>
      <c r="RGV48" s="84" t="str">
        <f>IF(ISNUMBER(outYear),RGV37+RGV42+#REF!+#REF!,"")</f>
        <v/>
      </c>
      <c r="RGW48" s="84" t="str">
        <f>IF(ISNUMBER(outYear),RGW37+RGW42+#REF!+#REF!,"")</f>
        <v/>
      </c>
      <c r="RGX48" s="84" t="str">
        <f>IF(ISNUMBER(outYear),RGX37+RGX42+#REF!+#REF!,"")</f>
        <v/>
      </c>
      <c r="RGY48" s="84" t="str">
        <f>IF(ISNUMBER(outYear),RGY37+RGY42+#REF!+#REF!,"")</f>
        <v/>
      </c>
      <c r="RGZ48" s="84" t="str">
        <f>IF(ISNUMBER(outYear),RGZ37+RGZ42+#REF!+#REF!,"")</f>
        <v/>
      </c>
      <c r="RHA48" s="84" t="str">
        <f>IF(ISNUMBER(outYear),RHA37+RHA42+#REF!+#REF!,"")</f>
        <v/>
      </c>
      <c r="RHB48" s="84" t="str">
        <f>IF(ISNUMBER(outYear),RHB37+RHB42+#REF!+#REF!,"")</f>
        <v/>
      </c>
      <c r="RHC48" s="84" t="str">
        <f>IF(ISNUMBER(outYear),RHC37+RHC42+#REF!+#REF!,"")</f>
        <v/>
      </c>
      <c r="RHD48" s="84" t="str">
        <f>IF(ISNUMBER(outYear),RHD37+RHD42+#REF!+#REF!,"")</f>
        <v/>
      </c>
      <c r="RHE48" s="84" t="str">
        <f>IF(ISNUMBER(outYear),RHE37+RHE42+#REF!+#REF!,"")</f>
        <v/>
      </c>
      <c r="RHF48" s="84" t="str">
        <f>IF(ISNUMBER(outYear),RHF37+RHF42+#REF!+#REF!,"")</f>
        <v/>
      </c>
      <c r="RHG48" s="84" t="str">
        <f>IF(ISNUMBER(outYear),RHG37+RHG42+#REF!+#REF!,"")</f>
        <v/>
      </c>
      <c r="RHH48" s="84" t="str">
        <f>IF(ISNUMBER(outYear),RHH37+RHH42+#REF!+#REF!,"")</f>
        <v/>
      </c>
      <c r="RHI48" s="84" t="str">
        <f>IF(ISNUMBER(outYear),RHI37+RHI42+#REF!+#REF!,"")</f>
        <v/>
      </c>
      <c r="RHJ48" s="84" t="str">
        <f>IF(ISNUMBER(outYear),RHJ37+RHJ42+#REF!+#REF!,"")</f>
        <v/>
      </c>
      <c r="RHK48" s="84" t="str">
        <f>IF(ISNUMBER(outYear),RHK37+RHK42+#REF!+#REF!,"")</f>
        <v/>
      </c>
      <c r="RHL48" s="84" t="str">
        <f>IF(ISNUMBER(outYear),RHL37+RHL42+#REF!+#REF!,"")</f>
        <v/>
      </c>
      <c r="RHM48" s="84" t="str">
        <f>IF(ISNUMBER(outYear),RHM37+RHM42+#REF!+#REF!,"")</f>
        <v/>
      </c>
      <c r="RHN48" s="84" t="str">
        <f>IF(ISNUMBER(outYear),RHN37+RHN42+#REF!+#REF!,"")</f>
        <v/>
      </c>
      <c r="RHO48" s="84" t="str">
        <f>IF(ISNUMBER(outYear),RHO37+RHO42+#REF!+#REF!,"")</f>
        <v/>
      </c>
      <c r="RHP48" s="84" t="str">
        <f>IF(ISNUMBER(outYear),RHP37+RHP42+#REF!+#REF!,"")</f>
        <v/>
      </c>
      <c r="RHQ48" s="84" t="str">
        <f>IF(ISNUMBER(outYear),RHQ37+RHQ42+#REF!+#REF!,"")</f>
        <v/>
      </c>
      <c r="RHR48" s="84" t="str">
        <f>IF(ISNUMBER(outYear),RHR37+RHR42+#REF!+#REF!,"")</f>
        <v/>
      </c>
      <c r="RHS48" s="84" t="str">
        <f>IF(ISNUMBER(outYear),RHS37+RHS42+#REF!+#REF!,"")</f>
        <v/>
      </c>
      <c r="RHT48" s="84" t="str">
        <f>IF(ISNUMBER(outYear),RHT37+RHT42+#REF!+#REF!,"")</f>
        <v/>
      </c>
      <c r="RHU48" s="84" t="str">
        <f>IF(ISNUMBER(outYear),RHU37+RHU42+#REF!+#REF!,"")</f>
        <v/>
      </c>
      <c r="RHV48" s="84" t="str">
        <f>IF(ISNUMBER(outYear),RHV37+RHV42+#REF!+#REF!,"")</f>
        <v/>
      </c>
      <c r="RHW48" s="84" t="str">
        <f>IF(ISNUMBER(outYear),RHW37+RHW42+#REF!+#REF!,"")</f>
        <v/>
      </c>
      <c r="RHX48" s="84" t="str">
        <f>IF(ISNUMBER(outYear),RHX37+RHX42+#REF!+#REF!,"")</f>
        <v/>
      </c>
      <c r="RHY48" s="84" t="str">
        <f>IF(ISNUMBER(outYear),RHY37+RHY42+#REF!+#REF!,"")</f>
        <v/>
      </c>
      <c r="RHZ48" s="84" t="str">
        <f>IF(ISNUMBER(outYear),RHZ37+RHZ42+#REF!+#REF!,"")</f>
        <v/>
      </c>
      <c r="RIA48" s="84" t="str">
        <f>IF(ISNUMBER(outYear),RIA37+RIA42+#REF!+#REF!,"")</f>
        <v/>
      </c>
      <c r="RIB48" s="84" t="str">
        <f>IF(ISNUMBER(outYear),RIB37+RIB42+#REF!+#REF!,"")</f>
        <v/>
      </c>
      <c r="RIC48" s="84" t="str">
        <f>IF(ISNUMBER(outYear),RIC37+RIC42+#REF!+#REF!,"")</f>
        <v/>
      </c>
      <c r="RID48" s="84" t="str">
        <f>IF(ISNUMBER(outYear),RID37+RID42+#REF!+#REF!,"")</f>
        <v/>
      </c>
      <c r="RIE48" s="84" t="str">
        <f>IF(ISNUMBER(outYear),RIE37+RIE42+#REF!+#REF!,"")</f>
        <v/>
      </c>
      <c r="RIF48" s="84" t="str">
        <f>IF(ISNUMBER(outYear),RIF37+RIF42+#REF!+#REF!,"")</f>
        <v/>
      </c>
      <c r="RIG48" s="84" t="str">
        <f>IF(ISNUMBER(outYear),RIG37+RIG42+#REF!+#REF!,"")</f>
        <v/>
      </c>
      <c r="RIH48" s="84" t="str">
        <f>IF(ISNUMBER(outYear),RIH37+RIH42+#REF!+#REF!,"")</f>
        <v/>
      </c>
      <c r="RII48" s="84" t="str">
        <f>IF(ISNUMBER(outYear),RII37+RII42+#REF!+#REF!,"")</f>
        <v/>
      </c>
      <c r="RIJ48" s="84" t="str">
        <f>IF(ISNUMBER(outYear),RIJ37+RIJ42+#REF!+#REF!,"")</f>
        <v/>
      </c>
      <c r="RIK48" s="84" t="str">
        <f>IF(ISNUMBER(outYear),RIK37+RIK42+#REF!+#REF!,"")</f>
        <v/>
      </c>
      <c r="RIL48" s="84" t="str">
        <f>IF(ISNUMBER(outYear),RIL37+RIL42+#REF!+#REF!,"")</f>
        <v/>
      </c>
      <c r="RIM48" s="84" t="str">
        <f>IF(ISNUMBER(outYear),RIM37+RIM42+#REF!+#REF!,"")</f>
        <v/>
      </c>
      <c r="RIN48" s="84" t="str">
        <f>IF(ISNUMBER(outYear),RIN37+RIN42+#REF!+#REF!,"")</f>
        <v/>
      </c>
      <c r="RIO48" s="84" t="str">
        <f>IF(ISNUMBER(outYear),RIO37+RIO42+#REF!+#REF!,"")</f>
        <v/>
      </c>
      <c r="RIP48" s="84" t="str">
        <f>IF(ISNUMBER(outYear),RIP37+RIP42+#REF!+#REF!,"")</f>
        <v/>
      </c>
      <c r="RIQ48" s="84" t="str">
        <f>IF(ISNUMBER(outYear),RIQ37+RIQ42+#REF!+#REF!,"")</f>
        <v/>
      </c>
      <c r="RIR48" s="84" t="str">
        <f>IF(ISNUMBER(outYear),RIR37+RIR42+#REF!+#REF!,"")</f>
        <v/>
      </c>
      <c r="RIS48" s="84" t="str">
        <f>IF(ISNUMBER(outYear),RIS37+RIS42+#REF!+#REF!,"")</f>
        <v/>
      </c>
      <c r="RIT48" s="84" t="str">
        <f>IF(ISNUMBER(outYear),RIT37+RIT42+#REF!+#REF!,"")</f>
        <v/>
      </c>
      <c r="RIU48" s="84" t="str">
        <f>IF(ISNUMBER(outYear),RIU37+RIU42+#REF!+#REF!,"")</f>
        <v/>
      </c>
      <c r="RIV48" s="84" t="str">
        <f>IF(ISNUMBER(outYear),RIV37+RIV42+#REF!+#REF!,"")</f>
        <v/>
      </c>
      <c r="RIW48" s="84" t="str">
        <f>IF(ISNUMBER(outYear),RIW37+RIW42+#REF!+#REF!,"")</f>
        <v/>
      </c>
      <c r="RIX48" s="84" t="str">
        <f>IF(ISNUMBER(outYear),RIX37+RIX42+#REF!+#REF!,"")</f>
        <v/>
      </c>
      <c r="RIY48" s="84" t="str">
        <f>IF(ISNUMBER(outYear),RIY37+RIY42+#REF!+#REF!,"")</f>
        <v/>
      </c>
      <c r="RIZ48" s="84" t="str">
        <f>IF(ISNUMBER(outYear),RIZ37+RIZ42+#REF!+#REF!,"")</f>
        <v/>
      </c>
      <c r="RJA48" s="84" t="str">
        <f>IF(ISNUMBER(outYear),RJA37+RJA42+#REF!+#REF!,"")</f>
        <v/>
      </c>
      <c r="RJB48" s="84" t="str">
        <f>IF(ISNUMBER(outYear),RJB37+RJB42+#REF!+#REF!,"")</f>
        <v/>
      </c>
      <c r="RJC48" s="84" t="str">
        <f>IF(ISNUMBER(outYear),RJC37+RJC42+#REF!+#REF!,"")</f>
        <v/>
      </c>
      <c r="RJD48" s="84" t="str">
        <f>IF(ISNUMBER(outYear),RJD37+RJD42+#REF!+#REF!,"")</f>
        <v/>
      </c>
      <c r="RJE48" s="84" t="str">
        <f>IF(ISNUMBER(outYear),RJE37+RJE42+#REF!+#REF!,"")</f>
        <v/>
      </c>
      <c r="RJF48" s="84" t="str">
        <f>IF(ISNUMBER(outYear),RJF37+RJF42+#REF!+#REF!,"")</f>
        <v/>
      </c>
      <c r="RJG48" s="84" t="str">
        <f>IF(ISNUMBER(outYear),RJG37+RJG42+#REF!+#REF!,"")</f>
        <v/>
      </c>
      <c r="RJH48" s="84" t="str">
        <f>IF(ISNUMBER(outYear),RJH37+RJH42+#REF!+#REF!,"")</f>
        <v/>
      </c>
      <c r="RJI48" s="84" t="str">
        <f>IF(ISNUMBER(outYear),RJI37+RJI42+#REF!+#REF!,"")</f>
        <v/>
      </c>
      <c r="RJJ48" s="84" t="str">
        <f>IF(ISNUMBER(outYear),RJJ37+RJJ42+#REF!+#REF!,"")</f>
        <v/>
      </c>
      <c r="RJK48" s="84" t="str">
        <f>IF(ISNUMBER(outYear),RJK37+RJK42+#REF!+#REF!,"")</f>
        <v/>
      </c>
      <c r="RJL48" s="84" t="str">
        <f>IF(ISNUMBER(outYear),RJL37+RJL42+#REF!+#REF!,"")</f>
        <v/>
      </c>
      <c r="RJM48" s="84" t="str">
        <f>IF(ISNUMBER(outYear),RJM37+RJM42+#REF!+#REF!,"")</f>
        <v/>
      </c>
      <c r="RJN48" s="84" t="str">
        <f>IF(ISNUMBER(outYear),RJN37+RJN42+#REF!+#REF!,"")</f>
        <v/>
      </c>
      <c r="RJO48" s="84" t="str">
        <f>IF(ISNUMBER(outYear),RJO37+RJO42+#REF!+#REF!,"")</f>
        <v/>
      </c>
      <c r="RJP48" s="84" t="str">
        <f>IF(ISNUMBER(outYear),RJP37+RJP42+#REF!+#REF!,"")</f>
        <v/>
      </c>
      <c r="RJQ48" s="84" t="str">
        <f>IF(ISNUMBER(outYear),RJQ37+RJQ42+#REF!+#REF!,"")</f>
        <v/>
      </c>
      <c r="RJR48" s="84" t="str">
        <f>IF(ISNUMBER(outYear),RJR37+RJR42+#REF!+#REF!,"")</f>
        <v/>
      </c>
      <c r="RJS48" s="84" t="str">
        <f>IF(ISNUMBER(outYear),RJS37+RJS42+#REF!+#REF!,"")</f>
        <v/>
      </c>
      <c r="RJT48" s="84" t="str">
        <f>IF(ISNUMBER(outYear),RJT37+RJT42+#REF!+#REF!,"")</f>
        <v/>
      </c>
      <c r="RJU48" s="84" t="str">
        <f>IF(ISNUMBER(outYear),RJU37+RJU42+#REF!+#REF!,"")</f>
        <v/>
      </c>
      <c r="RJV48" s="84" t="str">
        <f>IF(ISNUMBER(outYear),RJV37+RJV42+#REF!+#REF!,"")</f>
        <v/>
      </c>
      <c r="RJW48" s="84" t="str">
        <f>IF(ISNUMBER(outYear),RJW37+RJW42+#REF!+#REF!,"")</f>
        <v/>
      </c>
      <c r="RJX48" s="84" t="str">
        <f>IF(ISNUMBER(outYear),RJX37+RJX42+#REF!+#REF!,"")</f>
        <v/>
      </c>
      <c r="RJY48" s="84" t="str">
        <f>IF(ISNUMBER(outYear),RJY37+RJY42+#REF!+#REF!,"")</f>
        <v/>
      </c>
      <c r="RJZ48" s="84" t="str">
        <f>IF(ISNUMBER(outYear),RJZ37+RJZ42+#REF!+#REF!,"")</f>
        <v/>
      </c>
      <c r="RKA48" s="84" t="str">
        <f>IF(ISNUMBER(outYear),RKA37+RKA42+#REF!+#REF!,"")</f>
        <v/>
      </c>
      <c r="RKB48" s="84" t="str">
        <f>IF(ISNUMBER(outYear),RKB37+RKB42+#REF!+#REF!,"")</f>
        <v/>
      </c>
      <c r="RKC48" s="84" t="str">
        <f>IF(ISNUMBER(outYear),RKC37+RKC42+#REF!+#REF!,"")</f>
        <v/>
      </c>
      <c r="RKD48" s="84" t="str">
        <f>IF(ISNUMBER(outYear),RKD37+RKD42+#REF!+#REF!,"")</f>
        <v/>
      </c>
      <c r="RKE48" s="84" t="str">
        <f>IF(ISNUMBER(outYear),RKE37+RKE42+#REF!+#REF!,"")</f>
        <v/>
      </c>
      <c r="RKF48" s="84" t="str">
        <f>IF(ISNUMBER(outYear),RKF37+RKF42+#REF!+#REF!,"")</f>
        <v/>
      </c>
      <c r="RKG48" s="84" t="str">
        <f>IF(ISNUMBER(outYear),RKG37+RKG42+#REF!+#REF!,"")</f>
        <v/>
      </c>
      <c r="RKH48" s="84" t="str">
        <f>IF(ISNUMBER(outYear),RKH37+RKH42+#REF!+#REF!,"")</f>
        <v/>
      </c>
      <c r="RKI48" s="84" t="str">
        <f>IF(ISNUMBER(outYear),RKI37+RKI42+#REF!+#REF!,"")</f>
        <v/>
      </c>
      <c r="RKJ48" s="84" t="str">
        <f>IF(ISNUMBER(outYear),RKJ37+RKJ42+#REF!+#REF!,"")</f>
        <v/>
      </c>
      <c r="RKK48" s="84" t="str">
        <f>IF(ISNUMBER(outYear),RKK37+RKK42+#REF!+#REF!,"")</f>
        <v/>
      </c>
      <c r="RKL48" s="84" t="str">
        <f>IF(ISNUMBER(outYear),RKL37+RKL42+#REF!+#REF!,"")</f>
        <v/>
      </c>
      <c r="RKM48" s="84" t="str">
        <f>IF(ISNUMBER(outYear),RKM37+RKM42+#REF!+#REF!,"")</f>
        <v/>
      </c>
      <c r="RKN48" s="84" t="str">
        <f>IF(ISNUMBER(outYear),RKN37+RKN42+#REF!+#REF!,"")</f>
        <v/>
      </c>
      <c r="RKO48" s="84" t="str">
        <f>IF(ISNUMBER(outYear),RKO37+RKO42+#REF!+#REF!,"")</f>
        <v/>
      </c>
      <c r="RKP48" s="84" t="str">
        <f>IF(ISNUMBER(outYear),RKP37+RKP42+#REF!+#REF!,"")</f>
        <v/>
      </c>
      <c r="RKQ48" s="84" t="str">
        <f>IF(ISNUMBER(outYear),RKQ37+RKQ42+#REF!+#REF!,"")</f>
        <v/>
      </c>
      <c r="RKR48" s="84" t="str">
        <f>IF(ISNUMBER(outYear),RKR37+RKR42+#REF!+#REF!,"")</f>
        <v/>
      </c>
      <c r="RKS48" s="84" t="str">
        <f>IF(ISNUMBER(outYear),RKS37+RKS42+#REF!+#REF!,"")</f>
        <v/>
      </c>
      <c r="RKT48" s="84" t="str">
        <f>IF(ISNUMBER(outYear),RKT37+RKT42+#REF!+#REF!,"")</f>
        <v/>
      </c>
      <c r="RKU48" s="84" t="str">
        <f>IF(ISNUMBER(outYear),RKU37+RKU42+#REF!+#REF!,"")</f>
        <v/>
      </c>
      <c r="RKV48" s="84" t="str">
        <f>IF(ISNUMBER(outYear),RKV37+RKV42+#REF!+#REF!,"")</f>
        <v/>
      </c>
      <c r="RKW48" s="84" t="str">
        <f>IF(ISNUMBER(outYear),RKW37+RKW42+#REF!+#REF!,"")</f>
        <v/>
      </c>
      <c r="RKX48" s="84" t="str">
        <f>IF(ISNUMBER(outYear),RKX37+RKX42+#REF!+#REF!,"")</f>
        <v/>
      </c>
      <c r="RKY48" s="84" t="str">
        <f>IF(ISNUMBER(outYear),RKY37+RKY42+#REF!+#REF!,"")</f>
        <v/>
      </c>
      <c r="RKZ48" s="84" t="str">
        <f>IF(ISNUMBER(outYear),RKZ37+RKZ42+#REF!+#REF!,"")</f>
        <v/>
      </c>
      <c r="RLA48" s="84" t="str">
        <f>IF(ISNUMBER(outYear),RLA37+RLA42+#REF!+#REF!,"")</f>
        <v/>
      </c>
      <c r="RLB48" s="84" t="str">
        <f>IF(ISNUMBER(outYear),RLB37+RLB42+#REF!+#REF!,"")</f>
        <v/>
      </c>
      <c r="RLC48" s="84" t="str">
        <f>IF(ISNUMBER(outYear),RLC37+RLC42+#REF!+#REF!,"")</f>
        <v/>
      </c>
      <c r="RLD48" s="84" t="str">
        <f>IF(ISNUMBER(outYear),RLD37+RLD42+#REF!+#REF!,"")</f>
        <v/>
      </c>
      <c r="RLE48" s="84" t="str">
        <f>IF(ISNUMBER(outYear),RLE37+RLE42+#REF!+#REF!,"")</f>
        <v/>
      </c>
      <c r="RLF48" s="84" t="str">
        <f>IF(ISNUMBER(outYear),RLF37+RLF42+#REF!+#REF!,"")</f>
        <v/>
      </c>
      <c r="RLG48" s="84" t="str">
        <f>IF(ISNUMBER(outYear),RLG37+RLG42+#REF!+#REF!,"")</f>
        <v/>
      </c>
      <c r="RLH48" s="84" t="str">
        <f>IF(ISNUMBER(outYear),RLH37+RLH42+#REF!+#REF!,"")</f>
        <v/>
      </c>
      <c r="RLI48" s="84" t="str">
        <f>IF(ISNUMBER(outYear),RLI37+RLI42+#REF!+#REF!,"")</f>
        <v/>
      </c>
      <c r="RLJ48" s="84" t="str">
        <f>IF(ISNUMBER(outYear),RLJ37+RLJ42+#REF!+#REF!,"")</f>
        <v/>
      </c>
      <c r="RLK48" s="84" t="str">
        <f>IF(ISNUMBER(outYear),RLK37+RLK42+#REF!+#REF!,"")</f>
        <v/>
      </c>
      <c r="RLL48" s="84" t="str">
        <f>IF(ISNUMBER(outYear),RLL37+RLL42+#REF!+#REF!,"")</f>
        <v/>
      </c>
      <c r="RLM48" s="84" t="str">
        <f>IF(ISNUMBER(outYear),RLM37+RLM42+#REF!+#REF!,"")</f>
        <v/>
      </c>
      <c r="RLN48" s="84" t="str">
        <f>IF(ISNUMBER(outYear),RLN37+RLN42+#REF!+#REF!,"")</f>
        <v/>
      </c>
      <c r="RLO48" s="84" t="str">
        <f>IF(ISNUMBER(outYear),RLO37+RLO42+#REF!+#REF!,"")</f>
        <v/>
      </c>
      <c r="RLP48" s="84" t="str">
        <f>IF(ISNUMBER(outYear),RLP37+RLP42+#REF!+#REF!,"")</f>
        <v/>
      </c>
      <c r="RLQ48" s="84" t="str">
        <f>IF(ISNUMBER(outYear),RLQ37+RLQ42+#REF!+#REF!,"")</f>
        <v/>
      </c>
      <c r="RLR48" s="84" t="str">
        <f>IF(ISNUMBER(outYear),RLR37+RLR42+#REF!+#REF!,"")</f>
        <v/>
      </c>
      <c r="RLS48" s="84" t="str">
        <f>IF(ISNUMBER(outYear),RLS37+RLS42+#REF!+#REF!,"")</f>
        <v/>
      </c>
      <c r="RLT48" s="84" t="str">
        <f>IF(ISNUMBER(outYear),RLT37+RLT42+#REF!+#REF!,"")</f>
        <v/>
      </c>
      <c r="RLU48" s="84" t="str">
        <f>IF(ISNUMBER(outYear),RLU37+RLU42+#REF!+#REF!,"")</f>
        <v/>
      </c>
      <c r="RLV48" s="84" t="str">
        <f>IF(ISNUMBER(outYear),RLV37+RLV42+#REF!+#REF!,"")</f>
        <v/>
      </c>
      <c r="RLW48" s="84" t="str">
        <f>IF(ISNUMBER(outYear),RLW37+RLW42+#REF!+#REF!,"")</f>
        <v/>
      </c>
      <c r="RLX48" s="84" t="str">
        <f>IF(ISNUMBER(outYear),RLX37+RLX42+#REF!+#REF!,"")</f>
        <v/>
      </c>
      <c r="RLY48" s="84" t="str">
        <f>IF(ISNUMBER(outYear),RLY37+RLY42+#REF!+#REF!,"")</f>
        <v/>
      </c>
      <c r="RLZ48" s="84" t="str">
        <f>IF(ISNUMBER(outYear),RLZ37+RLZ42+#REF!+#REF!,"")</f>
        <v/>
      </c>
      <c r="RMA48" s="84" t="str">
        <f>IF(ISNUMBER(outYear),RMA37+RMA42+#REF!+#REF!,"")</f>
        <v/>
      </c>
      <c r="RMB48" s="84" t="str">
        <f>IF(ISNUMBER(outYear),RMB37+RMB42+#REF!+#REF!,"")</f>
        <v/>
      </c>
      <c r="RMC48" s="84" t="str">
        <f>IF(ISNUMBER(outYear),RMC37+RMC42+#REF!+#REF!,"")</f>
        <v/>
      </c>
      <c r="RMD48" s="84" t="str">
        <f>IF(ISNUMBER(outYear),RMD37+RMD42+#REF!+#REF!,"")</f>
        <v/>
      </c>
      <c r="RME48" s="84" t="str">
        <f>IF(ISNUMBER(outYear),RME37+RME42+#REF!+#REF!,"")</f>
        <v/>
      </c>
      <c r="RMF48" s="84" t="str">
        <f>IF(ISNUMBER(outYear),RMF37+RMF42+#REF!+#REF!,"")</f>
        <v/>
      </c>
      <c r="RMG48" s="84" t="str">
        <f>IF(ISNUMBER(outYear),RMG37+RMG42+#REF!+#REF!,"")</f>
        <v/>
      </c>
      <c r="RMH48" s="84" t="str">
        <f>IF(ISNUMBER(outYear),RMH37+RMH42+#REF!+#REF!,"")</f>
        <v/>
      </c>
      <c r="RMI48" s="84" t="str">
        <f>IF(ISNUMBER(outYear),RMI37+RMI42+#REF!+#REF!,"")</f>
        <v/>
      </c>
      <c r="RMJ48" s="84" t="str">
        <f>IF(ISNUMBER(outYear),RMJ37+RMJ42+#REF!+#REF!,"")</f>
        <v/>
      </c>
      <c r="RMK48" s="84" t="str">
        <f>IF(ISNUMBER(outYear),RMK37+RMK42+#REF!+#REF!,"")</f>
        <v/>
      </c>
      <c r="RML48" s="84" t="str">
        <f>IF(ISNUMBER(outYear),RML37+RML42+#REF!+#REF!,"")</f>
        <v/>
      </c>
      <c r="RMM48" s="84" t="str">
        <f>IF(ISNUMBER(outYear),RMM37+RMM42+#REF!+#REF!,"")</f>
        <v/>
      </c>
      <c r="RMN48" s="84" t="str">
        <f>IF(ISNUMBER(outYear),RMN37+RMN42+#REF!+#REF!,"")</f>
        <v/>
      </c>
      <c r="RMO48" s="84" t="str">
        <f>IF(ISNUMBER(outYear),RMO37+RMO42+#REF!+#REF!,"")</f>
        <v/>
      </c>
      <c r="RMP48" s="84" t="str">
        <f>IF(ISNUMBER(outYear),RMP37+RMP42+#REF!+#REF!,"")</f>
        <v/>
      </c>
      <c r="RMQ48" s="84" t="str">
        <f>IF(ISNUMBER(outYear),RMQ37+RMQ42+#REF!+#REF!,"")</f>
        <v/>
      </c>
      <c r="RMR48" s="84" t="str">
        <f>IF(ISNUMBER(outYear),RMR37+RMR42+#REF!+#REF!,"")</f>
        <v/>
      </c>
      <c r="RMS48" s="84" t="str">
        <f>IF(ISNUMBER(outYear),RMS37+RMS42+#REF!+#REF!,"")</f>
        <v/>
      </c>
      <c r="RMT48" s="84" t="str">
        <f>IF(ISNUMBER(outYear),RMT37+RMT42+#REF!+#REF!,"")</f>
        <v/>
      </c>
      <c r="RMU48" s="84" t="str">
        <f>IF(ISNUMBER(outYear),RMU37+RMU42+#REF!+#REF!,"")</f>
        <v/>
      </c>
      <c r="RMV48" s="84" t="str">
        <f>IF(ISNUMBER(outYear),RMV37+RMV42+#REF!+#REF!,"")</f>
        <v/>
      </c>
      <c r="RMW48" s="84" t="str">
        <f>IF(ISNUMBER(outYear),RMW37+RMW42+#REF!+#REF!,"")</f>
        <v/>
      </c>
      <c r="RMX48" s="84" t="str">
        <f>IF(ISNUMBER(outYear),RMX37+RMX42+#REF!+#REF!,"")</f>
        <v/>
      </c>
      <c r="RMY48" s="84" t="str">
        <f>IF(ISNUMBER(outYear),RMY37+RMY42+#REF!+#REF!,"")</f>
        <v/>
      </c>
      <c r="RMZ48" s="84" t="str">
        <f>IF(ISNUMBER(outYear),RMZ37+RMZ42+#REF!+#REF!,"")</f>
        <v/>
      </c>
      <c r="RNA48" s="84" t="str">
        <f>IF(ISNUMBER(outYear),RNA37+RNA42+#REF!+#REF!,"")</f>
        <v/>
      </c>
      <c r="RNB48" s="84" t="str">
        <f>IF(ISNUMBER(outYear),RNB37+RNB42+#REF!+#REF!,"")</f>
        <v/>
      </c>
      <c r="RNC48" s="84" t="str">
        <f>IF(ISNUMBER(outYear),RNC37+RNC42+#REF!+#REF!,"")</f>
        <v/>
      </c>
      <c r="RND48" s="84" t="str">
        <f>IF(ISNUMBER(outYear),RND37+RND42+#REF!+#REF!,"")</f>
        <v/>
      </c>
      <c r="RNE48" s="84" t="str">
        <f>IF(ISNUMBER(outYear),RNE37+RNE42+#REF!+#REF!,"")</f>
        <v/>
      </c>
      <c r="RNF48" s="84" t="str">
        <f>IF(ISNUMBER(outYear),RNF37+RNF42+#REF!+#REF!,"")</f>
        <v/>
      </c>
      <c r="RNG48" s="84" t="str">
        <f>IF(ISNUMBER(outYear),RNG37+RNG42+#REF!+#REF!,"")</f>
        <v/>
      </c>
      <c r="RNH48" s="84" t="str">
        <f>IF(ISNUMBER(outYear),RNH37+RNH42+#REF!+#REF!,"")</f>
        <v/>
      </c>
      <c r="RNI48" s="84" t="str">
        <f>IF(ISNUMBER(outYear),RNI37+RNI42+#REF!+#REF!,"")</f>
        <v/>
      </c>
      <c r="RNJ48" s="84" t="str">
        <f>IF(ISNUMBER(outYear),RNJ37+RNJ42+#REF!+#REF!,"")</f>
        <v/>
      </c>
      <c r="RNK48" s="84" t="str">
        <f>IF(ISNUMBER(outYear),RNK37+RNK42+#REF!+#REF!,"")</f>
        <v/>
      </c>
      <c r="RNL48" s="84" t="str">
        <f>IF(ISNUMBER(outYear),RNL37+RNL42+#REF!+#REF!,"")</f>
        <v/>
      </c>
      <c r="RNM48" s="84" t="str">
        <f>IF(ISNUMBER(outYear),RNM37+RNM42+#REF!+#REF!,"")</f>
        <v/>
      </c>
      <c r="RNN48" s="84" t="str">
        <f>IF(ISNUMBER(outYear),RNN37+RNN42+#REF!+#REF!,"")</f>
        <v/>
      </c>
      <c r="RNO48" s="84" t="str">
        <f>IF(ISNUMBER(outYear),RNO37+RNO42+#REF!+#REF!,"")</f>
        <v/>
      </c>
      <c r="RNP48" s="84" t="str">
        <f>IF(ISNUMBER(outYear),RNP37+RNP42+#REF!+#REF!,"")</f>
        <v/>
      </c>
      <c r="RNQ48" s="84" t="str">
        <f>IF(ISNUMBER(outYear),RNQ37+RNQ42+#REF!+#REF!,"")</f>
        <v/>
      </c>
      <c r="RNR48" s="84" t="str">
        <f>IF(ISNUMBER(outYear),RNR37+RNR42+#REF!+#REF!,"")</f>
        <v/>
      </c>
      <c r="RNS48" s="84" t="str">
        <f>IF(ISNUMBER(outYear),RNS37+RNS42+#REF!+#REF!,"")</f>
        <v/>
      </c>
      <c r="RNT48" s="84" t="str">
        <f>IF(ISNUMBER(outYear),RNT37+RNT42+#REF!+#REF!,"")</f>
        <v/>
      </c>
      <c r="RNU48" s="84" t="str">
        <f>IF(ISNUMBER(outYear),RNU37+RNU42+#REF!+#REF!,"")</f>
        <v/>
      </c>
      <c r="RNV48" s="84" t="str">
        <f>IF(ISNUMBER(outYear),RNV37+RNV42+#REF!+#REF!,"")</f>
        <v/>
      </c>
      <c r="RNW48" s="84" t="str">
        <f>IF(ISNUMBER(outYear),RNW37+RNW42+#REF!+#REF!,"")</f>
        <v/>
      </c>
      <c r="RNX48" s="84" t="str">
        <f>IF(ISNUMBER(outYear),RNX37+RNX42+#REF!+#REF!,"")</f>
        <v/>
      </c>
      <c r="RNY48" s="84" t="str">
        <f>IF(ISNUMBER(outYear),RNY37+RNY42+#REF!+#REF!,"")</f>
        <v/>
      </c>
      <c r="RNZ48" s="84" t="str">
        <f>IF(ISNUMBER(outYear),RNZ37+RNZ42+#REF!+#REF!,"")</f>
        <v/>
      </c>
      <c r="ROA48" s="84" t="str">
        <f>IF(ISNUMBER(outYear),ROA37+ROA42+#REF!+#REF!,"")</f>
        <v/>
      </c>
      <c r="ROB48" s="84" t="str">
        <f>IF(ISNUMBER(outYear),ROB37+ROB42+#REF!+#REF!,"")</f>
        <v/>
      </c>
      <c r="ROC48" s="84" t="str">
        <f>IF(ISNUMBER(outYear),ROC37+ROC42+#REF!+#REF!,"")</f>
        <v/>
      </c>
      <c r="ROD48" s="84" t="str">
        <f>IF(ISNUMBER(outYear),ROD37+ROD42+#REF!+#REF!,"")</f>
        <v/>
      </c>
      <c r="ROE48" s="84" t="str">
        <f>IF(ISNUMBER(outYear),ROE37+ROE42+#REF!+#REF!,"")</f>
        <v/>
      </c>
      <c r="ROF48" s="84" t="str">
        <f>IF(ISNUMBER(outYear),ROF37+ROF42+#REF!+#REF!,"")</f>
        <v/>
      </c>
      <c r="ROG48" s="84" t="str">
        <f>IF(ISNUMBER(outYear),ROG37+ROG42+#REF!+#REF!,"")</f>
        <v/>
      </c>
      <c r="ROH48" s="84" t="str">
        <f>IF(ISNUMBER(outYear),ROH37+ROH42+#REF!+#REF!,"")</f>
        <v/>
      </c>
      <c r="ROI48" s="84" t="str">
        <f>IF(ISNUMBER(outYear),ROI37+ROI42+#REF!+#REF!,"")</f>
        <v/>
      </c>
      <c r="ROJ48" s="84" t="str">
        <f>IF(ISNUMBER(outYear),ROJ37+ROJ42+#REF!+#REF!,"")</f>
        <v/>
      </c>
      <c r="ROK48" s="84" t="str">
        <f>IF(ISNUMBER(outYear),ROK37+ROK42+#REF!+#REF!,"")</f>
        <v/>
      </c>
      <c r="ROL48" s="84" t="str">
        <f>IF(ISNUMBER(outYear),ROL37+ROL42+#REF!+#REF!,"")</f>
        <v/>
      </c>
      <c r="ROM48" s="84" t="str">
        <f>IF(ISNUMBER(outYear),ROM37+ROM42+#REF!+#REF!,"")</f>
        <v/>
      </c>
      <c r="RON48" s="84" t="str">
        <f>IF(ISNUMBER(outYear),RON37+RON42+#REF!+#REF!,"")</f>
        <v/>
      </c>
      <c r="ROO48" s="84" t="str">
        <f>IF(ISNUMBER(outYear),ROO37+ROO42+#REF!+#REF!,"")</f>
        <v/>
      </c>
      <c r="ROP48" s="84" t="str">
        <f>IF(ISNUMBER(outYear),ROP37+ROP42+#REF!+#REF!,"")</f>
        <v/>
      </c>
      <c r="ROQ48" s="84" t="str">
        <f>IF(ISNUMBER(outYear),ROQ37+ROQ42+#REF!+#REF!,"")</f>
        <v/>
      </c>
      <c r="ROR48" s="84" t="str">
        <f>IF(ISNUMBER(outYear),ROR37+ROR42+#REF!+#REF!,"")</f>
        <v/>
      </c>
      <c r="ROS48" s="84" t="str">
        <f>IF(ISNUMBER(outYear),ROS37+ROS42+#REF!+#REF!,"")</f>
        <v/>
      </c>
      <c r="ROT48" s="84" t="str">
        <f>IF(ISNUMBER(outYear),ROT37+ROT42+#REF!+#REF!,"")</f>
        <v/>
      </c>
      <c r="ROU48" s="84" t="str">
        <f>IF(ISNUMBER(outYear),ROU37+ROU42+#REF!+#REF!,"")</f>
        <v/>
      </c>
      <c r="ROV48" s="84" t="str">
        <f>IF(ISNUMBER(outYear),ROV37+ROV42+#REF!+#REF!,"")</f>
        <v/>
      </c>
      <c r="ROW48" s="84" t="str">
        <f>IF(ISNUMBER(outYear),ROW37+ROW42+#REF!+#REF!,"")</f>
        <v/>
      </c>
      <c r="ROX48" s="84" t="str">
        <f>IF(ISNUMBER(outYear),ROX37+ROX42+#REF!+#REF!,"")</f>
        <v/>
      </c>
      <c r="ROY48" s="84" t="str">
        <f>IF(ISNUMBER(outYear),ROY37+ROY42+#REF!+#REF!,"")</f>
        <v/>
      </c>
      <c r="ROZ48" s="84" t="str">
        <f>IF(ISNUMBER(outYear),ROZ37+ROZ42+#REF!+#REF!,"")</f>
        <v/>
      </c>
      <c r="RPA48" s="84" t="str">
        <f>IF(ISNUMBER(outYear),RPA37+RPA42+#REF!+#REF!,"")</f>
        <v/>
      </c>
      <c r="RPB48" s="84" t="str">
        <f>IF(ISNUMBER(outYear),RPB37+RPB42+#REF!+#REF!,"")</f>
        <v/>
      </c>
      <c r="RPC48" s="84" t="str">
        <f>IF(ISNUMBER(outYear),RPC37+RPC42+#REF!+#REF!,"")</f>
        <v/>
      </c>
      <c r="RPD48" s="84" t="str">
        <f>IF(ISNUMBER(outYear),RPD37+RPD42+#REF!+#REF!,"")</f>
        <v/>
      </c>
      <c r="RPE48" s="84" t="str">
        <f>IF(ISNUMBER(outYear),RPE37+RPE42+#REF!+#REF!,"")</f>
        <v/>
      </c>
      <c r="RPF48" s="84" t="str">
        <f>IF(ISNUMBER(outYear),RPF37+RPF42+#REF!+#REF!,"")</f>
        <v/>
      </c>
      <c r="RPG48" s="84" t="str">
        <f>IF(ISNUMBER(outYear),RPG37+RPG42+#REF!+#REF!,"")</f>
        <v/>
      </c>
      <c r="RPH48" s="84" t="str">
        <f>IF(ISNUMBER(outYear),RPH37+RPH42+#REF!+#REF!,"")</f>
        <v/>
      </c>
      <c r="RPI48" s="84" t="str">
        <f>IF(ISNUMBER(outYear),RPI37+RPI42+#REF!+#REF!,"")</f>
        <v/>
      </c>
      <c r="RPJ48" s="84" t="str">
        <f>IF(ISNUMBER(outYear),RPJ37+RPJ42+#REF!+#REF!,"")</f>
        <v/>
      </c>
      <c r="RPK48" s="84" t="str">
        <f>IF(ISNUMBER(outYear),RPK37+RPK42+#REF!+#REF!,"")</f>
        <v/>
      </c>
      <c r="RPL48" s="84" t="str">
        <f>IF(ISNUMBER(outYear),RPL37+RPL42+#REF!+#REF!,"")</f>
        <v/>
      </c>
      <c r="RPM48" s="84" t="str">
        <f>IF(ISNUMBER(outYear),RPM37+RPM42+#REF!+#REF!,"")</f>
        <v/>
      </c>
      <c r="RPN48" s="84" t="str">
        <f>IF(ISNUMBER(outYear),RPN37+RPN42+#REF!+#REF!,"")</f>
        <v/>
      </c>
      <c r="RPO48" s="84" t="str">
        <f>IF(ISNUMBER(outYear),RPO37+RPO42+#REF!+#REF!,"")</f>
        <v/>
      </c>
      <c r="RPP48" s="84" t="str">
        <f>IF(ISNUMBER(outYear),RPP37+RPP42+#REF!+#REF!,"")</f>
        <v/>
      </c>
      <c r="RPQ48" s="84" t="str">
        <f>IF(ISNUMBER(outYear),RPQ37+RPQ42+#REF!+#REF!,"")</f>
        <v/>
      </c>
      <c r="RPR48" s="84" t="str">
        <f>IF(ISNUMBER(outYear),RPR37+RPR42+#REF!+#REF!,"")</f>
        <v/>
      </c>
      <c r="RPS48" s="84" t="str">
        <f>IF(ISNUMBER(outYear),RPS37+RPS42+#REF!+#REF!,"")</f>
        <v/>
      </c>
      <c r="RPT48" s="84" t="str">
        <f>IF(ISNUMBER(outYear),RPT37+RPT42+#REF!+#REF!,"")</f>
        <v/>
      </c>
      <c r="RPU48" s="84" t="str">
        <f>IF(ISNUMBER(outYear),RPU37+RPU42+#REF!+#REF!,"")</f>
        <v/>
      </c>
      <c r="RPV48" s="84" t="str">
        <f>IF(ISNUMBER(outYear),RPV37+RPV42+#REF!+#REF!,"")</f>
        <v/>
      </c>
      <c r="RPW48" s="84" t="str">
        <f>IF(ISNUMBER(outYear),RPW37+RPW42+#REF!+#REF!,"")</f>
        <v/>
      </c>
      <c r="RPX48" s="84" t="str">
        <f>IF(ISNUMBER(outYear),RPX37+RPX42+#REF!+#REF!,"")</f>
        <v/>
      </c>
      <c r="RPY48" s="84" t="str">
        <f>IF(ISNUMBER(outYear),RPY37+RPY42+#REF!+#REF!,"")</f>
        <v/>
      </c>
      <c r="RPZ48" s="84" t="str">
        <f>IF(ISNUMBER(outYear),RPZ37+RPZ42+#REF!+#REF!,"")</f>
        <v/>
      </c>
      <c r="RQA48" s="84" t="str">
        <f>IF(ISNUMBER(outYear),RQA37+RQA42+#REF!+#REF!,"")</f>
        <v/>
      </c>
      <c r="RQB48" s="84" t="str">
        <f>IF(ISNUMBER(outYear),RQB37+RQB42+#REF!+#REF!,"")</f>
        <v/>
      </c>
      <c r="RQC48" s="84" t="str">
        <f>IF(ISNUMBER(outYear),RQC37+RQC42+#REF!+#REF!,"")</f>
        <v/>
      </c>
      <c r="RQD48" s="84" t="str">
        <f>IF(ISNUMBER(outYear),RQD37+RQD42+#REF!+#REF!,"")</f>
        <v/>
      </c>
      <c r="RQE48" s="84" t="str">
        <f>IF(ISNUMBER(outYear),RQE37+RQE42+#REF!+#REF!,"")</f>
        <v/>
      </c>
      <c r="RQF48" s="84" t="str">
        <f>IF(ISNUMBER(outYear),RQF37+RQF42+#REF!+#REF!,"")</f>
        <v/>
      </c>
      <c r="RQG48" s="84" t="str">
        <f>IF(ISNUMBER(outYear),RQG37+RQG42+#REF!+#REF!,"")</f>
        <v/>
      </c>
      <c r="RQH48" s="84" t="str">
        <f>IF(ISNUMBER(outYear),RQH37+RQH42+#REF!+#REF!,"")</f>
        <v/>
      </c>
      <c r="RQI48" s="84" t="str">
        <f>IF(ISNUMBER(outYear),RQI37+RQI42+#REF!+#REF!,"")</f>
        <v/>
      </c>
      <c r="RQJ48" s="84" t="str">
        <f>IF(ISNUMBER(outYear),RQJ37+RQJ42+#REF!+#REF!,"")</f>
        <v/>
      </c>
      <c r="RQK48" s="84" t="str">
        <f>IF(ISNUMBER(outYear),RQK37+RQK42+#REF!+#REF!,"")</f>
        <v/>
      </c>
      <c r="RQL48" s="84" t="str">
        <f>IF(ISNUMBER(outYear),RQL37+RQL42+#REF!+#REF!,"")</f>
        <v/>
      </c>
      <c r="RQM48" s="84" t="str">
        <f>IF(ISNUMBER(outYear),RQM37+RQM42+#REF!+#REF!,"")</f>
        <v/>
      </c>
      <c r="RQN48" s="84" t="str">
        <f>IF(ISNUMBER(outYear),RQN37+RQN42+#REF!+#REF!,"")</f>
        <v/>
      </c>
      <c r="RQO48" s="84" t="str">
        <f>IF(ISNUMBER(outYear),RQO37+RQO42+#REF!+#REF!,"")</f>
        <v/>
      </c>
      <c r="RQP48" s="84" t="str">
        <f>IF(ISNUMBER(outYear),RQP37+RQP42+#REF!+#REF!,"")</f>
        <v/>
      </c>
      <c r="RQQ48" s="84" t="str">
        <f>IF(ISNUMBER(outYear),RQQ37+RQQ42+#REF!+#REF!,"")</f>
        <v/>
      </c>
      <c r="RQR48" s="84" t="str">
        <f>IF(ISNUMBER(outYear),RQR37+RQR42+#REF!+#REF!,"")</f>
        <v/>
      </c>
      <c r="RQS48" s="84" t="str">
        <f>IF(ISNUMBER(outYear),RQS37+RQS42+#REF!+#REF!,"")</f>
        <v/>
      </c>
      <c r="RQT48" s="84" t="str">
        <f>IF(ISNUMBER(outYear),RQT37+RQT42+#REF!+#REF!,"")</f>
        <v/>
      </c>
      <c r="RQU48" s="84" t="str">
        <f>IF(ISNUMBER(outYear),RQU37+RQU42+#REF!+#REF!,"")</f>
        <v/>
      </c>
      <c r="RQV48" s="84" t="str">
        <f>IF(ISNUMBER(outYear),RQV37+RQV42+#REF!+#REF!,"")</f>
        <v/>
      </c>
      <c r="RQW48" s="84" t="str">
        <f>IF(ISNUMBER(outYear),RQW37+RQW42+#REF!+#REF!,"")</f>
        <v/>
      </c>
      <c r="RQX48" s="84" t="str">
        <f>IF(ISNUMBER(outYear),RQX37+RQX42+#REF!+#REF!,"")</f>
        <v/>
      </c>
      <c r="RQY48" s="84" t="str">
        <f>IF(ISNUMBER(outYear),RQY37+RQY42+#REF!+#REF!,"")</f>
        <v/>
      </c>
      <c r="RQZ48" s="84" t="str">
        <f>IF(ISNUMBER(outYear),RQZ37+RQZ42+#REF!+#REF!,"")</f>
        <v/>
      </c>
      <c r="RRA48" s="84" t="str">
        <f>IF(ISNUMBER(outYear),RRA37+RRA42+#REF!+#REF!,"")</f>
        <v/>
      </c>
      <c r="RRB48" s="84" t="str">
        <f>IF(ISNUMBER(outYear),RRB37+RRB42+#REF!+#REF!,"")</f>
        <v/>
      </c>
      <c r="RRC48" s="84" t="str">
        <f>IF(ISNUMBER(outYear),RRC37+RRC42+#REF!+#REF!,"")</f>
        <v/>
      </c>
      <c r="RRD48" s="84" t="str">
        <f>IF(ISNUMBER(outYear),RRD37+RRD42+#REF!+#REF!,"")</f>
        <v/>
      </c>
      <c r="RRE48" s="84" t="str">
        <f>IF(ISNUMBER(outYear),RRE37+RRE42+#REF!+#REF!,"")</f>
        <v/>
      </c>
      <c r="RRF48" s="84" t="str">
        <f>IF(ISNUMBER(outYear),RRF37+RRF42+#REF!+#REF!,"")</f>
        <v/>
      </c>
      <c r="RRG48" s="84" t="str">
        <f>IF(ISNUMBER(outYear),RRG37+RRG42+#REF!+#REF!,"")</f>
        <v/>
      </c>
      <c r="RRH48" s="84" t="str">
        <f>IF(ISNUMBER(outYear),RRH37+RRH42+#REF!+#REF!,"")</f>
        <v/>
      </c>
      <c r="RRI48" s="84" t="str">
        <f>IF(ISNUMBER(outYear),RRI37+RRI42+#REF!+#REF!,"")</f>
        <v/>
      </c>
      <c r="RRJ48" s="84" t="str">
        <f>IF(ISNUMBER(outYear),RRJ37+RRJ42+#REF!+#REF!,"")</f>
        <v/>
      </c>
      <c r="RRK48" s="84" t="str">
        <f>IF(ISNUMBER(outYear),RRK37+RRK42+#REF!+#REF!,"")</f>
        <v/>
      </c>
      <c r="RRL48" s="84" t="str">
        <f>IF(ISNUMBER(outYear),RRL37+RRL42+#REF!+#REF!,"")</f>
        <v/>
      </c>
      <c r="RRM48" s="84" t="str">
        <f>IF(ISNUMBER(outYear),RRM37+RRM42+#REF!+#REF!,"")</f>
        <v/>
      </c>
      <c r="RRN48" s="84" t="str">
        <f>IF(ISNUMBER(outYear),RRN37+RRN42+#REF!+#REF!,"")</f>
        <v/>
      </c>
      <c r="RRO48" s="84" t="str">
        <f>IF(ISNUMBER(outYear),RRO37+RRO42+#REF!+#REF!,"")</f>
        <v/>
      </c>
      <c r="RRP48" s="84" t="str">
        <f>IF(ISNUMBER(outYear),RRP37+RRP42+#REF!+#REF!,"")</f>
        <v/>
      </c>
      <c r="RRQ48" s="84" t="str">
        <f>IF(ISNUMBER(outYear),RRQ37+RRQ42+#REF!+#REF!,"")</f>
        <v/>
      </c>
      <c r="RRR48" s="84" t="str">
        <f>IF(ISNUMBER(outYear),RRR37+RRR42+#REF!+#REF!,"")</f>
        <v/>
      </c>
      <c r="RRS48" s="84" t="str">
        <f>IF(ISNUMBER(outYear),RRS37+RRS42+#REF!+#REF!,"")</f>
        <v/>
      </c>
      <c r="RRT48" s="84" t="str">
        <f>IF(ISNUMBER(outYear),RRT37+RRT42+#REF!+#REF!,"")</f>
        <v/>
      </c>
      <c r="RRU48" s="84" t="str">
        <f>IF(ISNUMBER(outYear),RRU37+RRU42+#REF!+#REF!,"")</f>
        <v/>
      </c>
      <c r="RRV48" s="84" t="str">
        <f>IF(ISNUMBER(outYear),RRV37+RRV42+#REF!+#REF!,"")</f>
        <v/>
      </c>
      <c r="RRW48" s="84" t="str">
        <f>IF(ISNUMBER(outYear),RRW37+RRW42+#REF!+#REF!,"")</f>
        <v/>
      </c>
      <c r="RRX48" s="84" t="str">
        <f>IF(ISNUMBER(outYear),RRX37+RRX42+#REF!+#REF!,"")</f>
        <v/>
      </c>
      <c r="RRY48" s="84" t="str">
        <f>IF(ISNUMBER(outYear),RRY37+RRY42+#REF!+#REF!,"")</f>
        <v/>
      </c>
      <c r="RRZ48" s="84" t="str">
        <f>IF(ISNUMBER(outYear),RRZ37+RRZ42+#REF!+#REF!,"")</f>
        <v/>
      </c>
      <c r="RSA48" s="84" t="str">
        <f>IF(ISNUMBER(outYear),RSA37+RSA42+#REF!+#REF!,"")</f>
        <v/>
      </c>
      <c r="RSB48" s="84" t="str">
        <f>IF(ISNUMBER(outYear),RSB37+RSB42+#REF!+#REF!,"")</f>
        <v/>
      </c>
      <c r="RSC48" s="84" t="str">
        <f>IF(ISNUMBER(outYear),RSC37+RSC42+#REF!+#REF!,"")</f>
        <v/>
      </c>
      <c r="RSD48" s="84" t="str">
        <f>IF(ISNUMBER(outYear),RSD37+RSD42+#REF!+#REF!,"")</f>
        <v/>
      </c>
      <c r="RSE48" s="84" t="str">
        <f>IF(ISNUMBER(outYear),RSE37+RSE42+#REF!+#REF!,"")</f>
        <v/>
      </c>
      <c r="RSF48" s="84" t="str">
        <f>IF(ISNUMBER(outYear),RSF37+RSF42+#REF!+#REF!,"")</f>
        <v/>
      </c>
      <c r="RSG48" s="84" t="str">
        <f>IF(ISNUMBER(outYear),RSG37+RSG42+#REF!+#REF!,"")</f>
        <v/>
      </c>
      <c r="RSH48" s="84" t="str">
        <f>IF(ISNUMBER(outYear),RSH37+RSH42+#REF!+#REF!,"")</f>
        <v/>
      </c>
      <c r="RSI48" s="84" t="str">
        <f>IF(ISNUMBER(outYear),RSI37+RSI42+#REF!+#REF!,"")</f>
        <v/>
      </c>
      <c r="RSJ48" s="84" t="str">
        <f>IF(ISNUMBER(outYear),RSJ37+RSJ42+#REF!+#REF!,"")</f>
        <v/>
      </c>
      <c r="RSK48" s="84" t="str">
        <f>IF(ISNUMBER(outYear),RSK37+RSK42+#REF!+#REF!,"")</f>
        <v/>
      </c>
      <c r="RSL48" s="84" t="str">
        <f>IF(ISNUMBER(outYear),RSL37+RSL42+#REF!+#REF!,"")</f>
        <v/>
      </c>
      <c r="RSM48" s="84" t="str">
        <f>IF(ISNUMBER(outYear),RSM37+RSM42+#REF!+#REF!,"")</f>
        <v/>
      </c>
      <c r="RSN48" s="84" t="str">
        <f>IF(ISNUMBER(outYear),RSN37+RSN42+#REF!+#REF!,"")</f>
        <v/>
      </c>
      <c r="RSO48" s="84" t="str">
        <f>IF(ISNUMBER(outYear),RSO37+RSO42+#REF!+#REF!,"")</f>
        <v/>
      </c>
      <c r="RSP48" s="84" t="str">
        <f>IF(ISNUMBER(outYear),RSP37+RSP42+#REF!+#REF!,"")</f>
        <v/>
      </c>
      <c r="RSQ48" s="84" t="str">
        <f>IF(ISNUMBER(outYear),RSQ37+RSQ42+#REF!+#REF!,"")</f>
        <v/>
      </c>
      <c r="RSR48" s="84" t="str">
        <f>IF(ISNUMBER(outYear),RSR37+RSR42+#REF!+#REF!,"")</f>
        <v/>
      </c>
      <c r="RSS48" s="84" t="str">
        <f>IF(ISNUMBER(outYear),RSS37+RSS42+#REF!+#REF!,"")</f>
        <v/>
      </c>
      <c r="RST48" s="84" t="str">
        <f>IF(ISNUMBER(outYear),RST37+RST42+#REF!+#REF!,"")</f>
        <v/>
      </c>
      <c r="RSU48" s="84" t="str">
        <f>IF(ISNUMBER(outYear),RSU37+RSU42+#REF!+#REF!,"")</f>
        <v/>
      </c>
      <c r="RSV48" s="84" t="str">
        <f>IF(ISNUMBER(outYear),RSV37+RSV42+#REF!+#REF!,"")</f>
        <v/>
      </c>
      <c r="RSW48" s="84" t="str">
        <f>IF(ISNUMBER(outYear),RSW37+RSW42+#REF!+#REF!,"")</f>
        <v/>
      </c>
      <c r="RSX48" s="84" t="str">
        <f>IF(ISNUMBER(outYear),RSX37+RSX42+#REF!+#REF!,"")</f>
        <v/>
      </c>
      <c r="RSY48" s="84" t="str">
        <f>IF(ISNUMBER(outYear),RSY37+RSY42+#REF!+#REF!,"")</f>
        <v/>
      </c>
      <c r="RSZ48" s="84" t="str">
        <f>IF(ISNUMBER(outYear),RSZ37+RSZ42+#REF!+#REF!,"")</f>
        <v/>
      </c>
      <c r="RTA48" s="84" t="str">
        <f>IF(ISNUMBER(outYear),RTA37+RTA42+#REF!+#REF!,"")</f>
        <v/>
      </c>
      <c r="RTB48" s="84" t="str">
        <f>IF(ISNUMBER(outYear),RTB37+RTB42+#REF!+#REF!,"")</f>
        <v/>
      </c>
      <c r="RTC48" s="84" t="str">
        <f>IF(ISNUMBER(outYear),RTC37+RTC42+#REF!+#REF!,"")</f>
        <v/>
      </c>
      <c r="RTD48" s="84" t="str">
        <f>IF(ISNUMBER(outYear),RTD37+RTD42+#REF!+#REF!,"")</f>
        <v/>
      </c>
      <c r="RTE48" s="84" t="str">
        <f>IF(ISNUMBER(outYear),RTE37+RTE42+#REF!+#REF!,"")</f>
        <v/>
      </c>
      <c r="RTF48" s="84" t="str">
        <f>IF(ISNUMBER(outYear),RTF37+RTF42+#REF!+#REF!,"")</f>
        <v/>
      </c>
      <c r="RTG48" s="84" t="str">
        <f>IF(ISNUMBER(outYear),RTG37+RTG42+#REF!+#REF!,"")</f>
        <v/>
      </c>
      <c r="RTH48" s="84" t="str">
        <f>IF(ISNUMBER(outYear),RTH37+RTH42+#REF!+#REF!,"")</f>
        <v/>
      </c>
      <c r="RTI48" s="84" t="str">
        <f>IF(ISNUMBER(outYear),RTI37+RTI42+#REF!+#REF!,"")</f>
        <v/>
      </c>
      <c r="RTJ48" s="84" t="str">
        <f>IF(ISNUMBER(outYear),RTJ37+RTJ42+#REF!+#REF!,"")</f>
        <v/>
      </c>
      <c r="RTK48" s="84" t="str">
        <f>IF(ISNUMBER(outYear),RTK37+RTK42+#REF!+#REF!,"")</f>
        <v/>
      </c>
      <c r="RTL48" s="84" t="str">
        <f>IF(ISNUMBER(outYear),RTL37+RTL42+#REF!+#REF!,"")</f>
        <v/>
      </c>
      <c r="RTM48" s="84" t="str">
        <f>IF(ISNUMBER(outYear),RTM37+RTM42+#REF!+#REF!,"")</f>
        <v/>
      </c>
      <c r="RTN48" s="84" t="str">
        <f>IF(ISNUMBER(outYear),RTN37+RTN42+#REF!+#REF!,"")</f>
        <v/>
      </c>
      <c r="RTO48" s="84" t="str">
        <f>IF(ISNUMBER(outYear),RTO37+RTO42+#REF!+#REF!,"")</f>
        <v/>
      </c>
      <c r="RTP48" s="84" t="str">
        <f>IF(ISNUMBER(outYear),RTP37+RTP42+#REF!+#REF!,"")</f>
        <v/>
      </c>
      <c r="RTQ48" s="84" t="str">
        <f>IF(ISNUMBER(outYear),RTQ37+RTQ42+#REF!+#REF!,"")</f>
        <v/>
      </c>
      <c r="RTR48" s="84" t="str">
        <f>IF(ISNUMBER(outYear),RTR37+RTR42+#REF!+#REF!,"")</f>
        <v/>
      </c>
      <c r="RTS48" s="84" t="str">
        <f>IF(ISNUMBER(outYear),RTS37+RTS42+#REF!+#REF!,"")</f>
        <v/>
      </c>
      <c r="RTT48" s="84" t="str">
        <f>IF(ISNUMBER(outYear),RTT37+RTT42+#REF!+#REF!,"")</f>
        <v/>
      </c>
      <c r="RTU48" s="84" t="str">
        <f>IF(ISNUMBER(outYear),RTU37+RTU42+#REF!+#REF!,"")</f>
        <v/>
      </c>
      <c r="RTV48" s="84" t="str">
        <f>IF(ISNUMBER(outYear),RTV37+RTV42+#REF!+#REF!,"")</f>
        <v/>
      </c>
      <c r="RTW48" s="84" t="str">
        <f>IF(ISNUMBER(outYear),RTW37+RTW42+#REF!+#REF!,"")</f>
        <v/>
      </c>
      <c r="RTX48" s="84" t="str">
        <f>IF(ISNUMBER(outYear),RTX37+RTX42+#REF!+#REF!,"")</f>
        <v/>
      </c>
      <c r="RTY48" s="84" t="str">
        <f>IF(ISNUMBER(outYear),RTY37+RTY42+#REF!+#REF!,"")</f>
        <v/>
      </c>
      <c r="RTZ48" s="84" t="str">
        <f>IF(ISNUMBER(outYear),RTZ37+RTZ42+#REF!+#REF!,"")</f>
        <v/>
      </c>
      <c r="RUA48" s="84" t="str">
        <f>IF(ISNUMBER(outYear),RUA37+RUA42+#REF!+#REF!,"")</f>
        <v/>
      </c>
      <c r="RUB48" s="84" t="str">
        <f>IF(ISNUMBER(outYear),RUB37+RUB42+#REF!+#REF!,"")</f>
        <v/>
      </c>
      <c r="RUC48" s="84" t="str">
        <f>IF(ISNUMBER(outYear),RUC37+RUC42+#REF!+#REF!,"")</f>
        <v/>
      </c>
      <c r="RUD48" s="84" t="str">
        <f>IF(ISNUMBER(outYear),RUD37+RUD42+#REF!+#REF!,"")</f>
        <v/>
      </c>
      <c r="RUE48" s="84" t="str">
        <f>IF(ISNUMBER(outYear),RUE37+RUE42+#REF!+#REF!,"")</f>
        <v/>
      </c>
      <c r="RUF48" s="84" t="str">
        <f>IF(ISNUMBER(outYear),RUF37+RUF42+#REF!+#REF!,"")</f>
        <v/>
      </c>
      <c r="RUG48" s="84" t="str">
        <f>IF(ISNUMBER(outYear),RUG37+RUG42+#REF!+#REF!,"")</f>
        <v/>
      </c>
      <c r="RUH48" s="84" t="str">
        <f>IF(ISNUMBER(outYear),RUH37+RUH42+#REF!+#REF!,"")</f>
        <v/>
      </c>
      <c r="RUI48" s="84" t="str">
        <f>IF(ISNUMBER(outYear),RUI37+RUI42+#REF!+#REF!,"")</f>
        <v/>
      </c>
      <c r="RUJ48" s="84" t="str">
        <f>IF(ISNUMBER(outYear),RUJ37+RUJ42+#REF!+#REF!,"")</f>
        <v/>
      </c>
      <c r="RUK48" s="84" t="str">
        <f>IF(ISNUMBER(outYear),RUK37+RUK42+#REF!+#REF!,"")</f>
        <v/>
      </c>
      <c r="RUL48" s="84" t="str">
        <f>IF(ISNUMBER(outYear),RUL37+RUL42+#REF!+#REF!,"")</f>
        <v/>
      </c>
      <c r="RUM48" s="84" t="str">
        <f>IF(ISNUMBER(outYear),RUM37+RUM42+#REF!+#REF!,"")</f>
        <v/>
      </c>
      <c r="RUN48" s="84" t="str">
        <f>IF(ISNUMBER(outYear),RUN37+RUN42+#REF!+#REF!,"")</f>
        <v/>
      </c>
      <c r="RUO48" s="84" t="str">
        <f>IF(ISNUMBER(outYear),RUO37+RUO42+#REF!+#REF!,"")</f>
        <v/>
      </c>
      <c r="RUP48" s="84" t="str">
        <f>IF(ISNUMBER(outYear),RUP37+RUP42+#REF!+#REF!,"")</f>
        <v/>
      </c>
      <c r="RUQ48" s="84" t="str">
        <f>IF(ISNUMBER(outYear),RUQ37+RUQ42+#REF!+#REF!,"")</f>
        <v/>
      </c>
      <c r="RUR48" s="84" t="str">
        <f>IF(ISNUMBER(outYear),RUR37+RUR42+#REF!+#REF!,"")</f>
        <v/>
      </c>
      <c r="RUS48" s="84" t="str">
        <f>IF(ISNUMBER(outYear),RUS37+RUS42+#REF!+#REF!,"")</f>
        <v/>
      </c>
      <c r="RUT48" s="84" t="str">
        <f>IF(ISNUMBER(outYear),RUT37+RUT42+#REF!+#REF!,"")</f>
        <v/>
      </c>
      <c r="RUU48" s="84" t="str">
        <f>IF(ISNUMBER(outYear),RUU37+RUU42+#REF!+#REF!,"")</f>
        <v/>
      </c>
      <c r="RUV48" s="84" t="str">
        <f>IF(ISNUMBER(outYear),RUV37+RUV42+#REF!+#REF!,"")</f>
        <v/>
      </c>
      <c r="RUW48" s="84" t="str">
        <f>IF(ISNUMBER(outYear),RUW37+RUW42+#REF!+#REF!,"")</f>
        <v/>
      </c>
      <c r="RUX48" s="84" t="str">
        <f>IF(ISNUMBER(outYear),RUX37+RUX42+#REF!+#REF!,"")</f>
        <v/>
      </c>
      <c r="RUY48" s="84" t="str">
        <f>IF(ISNUMBER(outYear),RUY37+RUY42+#REF!+#REF!,"")</f>
        <v/>
      </c>
      <c r="RUZ48" s="84" t="str">
        <f>IF(ISNUMBER(outYear),RUZ37+RUZ42+#REF!+#REF!,"")</f>
        <v/>
      </c>
      <c r="RVA48" s="84" t="str">
        <f>IF(ISNUMBER(outYear),RVA37+RVA42+#REF!+#REF!,"")</f>
        <v/>
      </c>
      <c r="RVB48" s="84" t="str">
        <f>IF(ISNUMBER(outYear),RVB37+RVB42+#REF!+#REF!,"")</f>
        <v/>
      </c>
      <c r="RVC48" s="84" t="str">
        <f>IF(ISNUMBER(outYear),RVC37+RVC42+#REF!+#REF!,"")</f>
        <v/>
      </c>
      <c r="RVD48" s="84" t="str">
        <f>IF(ISNUMBER(outYear),RVD37+RVD42+#REF!+#REF!,"")</f>
        <v/>
      </c>
      <c r="RVE48" s="84" t="str">
        <f>IF(ISNUMBER(outYear),RVE37+RVE42+#REF!+#REF!,"")</f>
        <v/>
      </c>
      <c r="RVF48" s="84" t="str">
        <f>IF(ISNUMBER(outYear),RVF37+RVF42+#REF!+#REF!,"")</f>
        <v/>
      </c>
      <c r="RVG48" s="84" t="str">
        <f>IF(ISNUMBER(outYear),RVG37+RVG42+#REF!+#REF!,"")</f>
        <v/>
      </c>
      <c r="RVH48" s="84" t="str">
        <f>IF(ISNUMBER(outYear),RVH37+RVH42+#REF!+#REF!,"")</f>
        <v/>
      </c>
      <c r="RVI48" s="84" t="str">
        <f>IF(ISNUMBER(outYear),RVI37+RVI42+#REF!+#REF!,"")</f>
        <v/>
      </c>
      <c r="RVJ48" s="84" t="str">
        <f>IF(ISNUMBER(outYear),RVJ37+RVJ42+#REF!+#REF!,"")</f>
        <v/>
      </c>
      <c r="RVK48" s="84" t="str">
        <f>IF(ISNUMBER(outYear),RVK37+RVK42+#REF!+#REF!,"")</f>
        <v/>
      </c>
      <c r="RVL48" s="84" t="str">
        <f>IF(ISNUMBER(outYear),RVL37+RVL42+#REF!+#REF!,"")</f>
        <v/>
      </c>
      <c r="RVM48" s="84" t="str">
        <f>IF(ISNUMBER(outYear),RVM37+RVM42+#REF!+#REF!,"")</f>
        <v/>
      </c>
      <c r="RVN48" s="84" t="str">
        <f>IF(ISNUMBER(outYear),RVN37+RVN42+#REF!+#REF!,"")</f>
        <v/>
      </c>
      <c r="RVO48" s="84" t="str">
        <f>IF(ISNUMBER(outYear),RVO37+RVO42+#REF!+#REF!,"")</f>
        <v/>
      </c>
      <c r="RVP48" s="84" t="str">
        <f>IF(ISNUMBER(outYear),RVP37+RVP42+#REF!+#REF!,"")</f>
        <v/>
      </c>
      <c r="RVQ48" s="84" t="str">
        <f>IF(ISNUMBER(outYear),RVQ37+RVQ42+#REF!+#REF!,"")</f>
        <v/>
      </c>
      <c r="RVR48" s="84" t="str">
        <f>IF(ISNUMBER(outYear),RVR37+RVR42+#REF!+#REF!,"")</f>
        <v/>
      </c>
      <c r="RVS48" s="84" t="str">
        <f>IF(ISNUMBER(outYear),RVS37+RVS42+#REF!+#REF!,"")</f>
        <v/>
      </c>
      <c r="RVT48" s="84" t="str">
        <f>IF(ISNUMBER(outYear),RVT37+RVT42+#REF!+#REF!,"")</f>
        <v/>
      </c>
      <c r="RVU48" s="84" t="str">
        <f>IF(ISNUMBER(outYear),RVU37+RVU42+#REF!+#REF!,"")</f>
        <v/>
      </c>
      <c r="RVV48" s="84" t="str">
        <f>IF(ISNUMBER(outYear),RVV37+RVV42+#REF!+#REF!,"")</f>
        <v/>
      </c>
      <c r="RVW48" s="84" t="str">
        <f>IF(ISNUMBER(outYear),RVW37+RVW42+#REF!+#REF!,"")</f>
        <v/>
      </c>
      <c r="RVX48" s="84" t="str">
        <f>IF(ISNUMBER(outYear),RVX37+RVX42+#REF!+#REF!,"")</f>
        <v/>
      </c>
      <c r="RVY48" s="84" t="str">
        <f>IF(ISNUMBER(outYear),RVY37+RVY42+#REF!+#REF!,"")</f>
        <v/>
      </c>
      <c r="RVZ48" s="84" t="str">
        <f>IF(ISNUMBER(outYear),RVZ37+RVZ42+#REF!+#REF!,"")</f>
        <v/>
      </c>
      <c r="RWA48" s="84" t="str">
        <f>IF(ISNUMBER(outYear),RWA37+RWA42+#REF!+#REF!,"")</f>
        <v/>
      </c>
      <c r="RWB48" s="84" t="str">
        <f>IF(ISNUMBER(outYear),RWB37+RWB42+#REF!+#REF!,"")</f>
        <v/>
      </c>
      <c r="RWC48" s="84" t="str">
        <f>IF(ISNUMBER(outYear),RWC37+RWC42+#REF!+#REF!,"")</f>
        <v/>
      </c>
      <c r="RWD48" s="84" t="str">
        <f>IF(ISNUMBER(outYear),RWD37+RWD42+#REF!+#REF!,"")</f>
        <v/>
      </c>
      <c r="RWE48" s="84" t="str">
        <f>IF(ISNUMBER(outYear),RWE37+RWE42+#REF!+#REF!,"")</f>
        <v/>
      </c>
      <c r="RWF48" s="84" t="str">
        <f>IF(ISNUMBER(outYear),RWF37+RWF42+#REF!+#REF!,"")</f>
        <v/>
      </c>
      <c r="RWG48" s="84" t="str">
        <f>IF(ISNUMBER(outYear),RWG37+RWG42+#REF!+#REF!,"")</f>
        <v/>
      </c>
      <c r="RWH48" s="84" t="str">
        <f>IF(ISNUMBER(outYear),RWH37+RWH42+#REF!+#REF!,"")</f>
        <v/>
      </c>
      <c r="RWI48" s="84" t="str">
        <f>IF(ISNUMBER(outYear),RWI37+RWI42+#REF!+#REF!,"")</f>
        <v/>
      </c>
      <c r="RWJ48" s="84" t="str">
        <f>IF(ISNUMBER(outYear),RWJ37+RWJ42+#REF!+#REF!,"")</f>
        <v/>
      </c>
      <c r="RWK48" s="84" t="str">
        <f>IF(ISNUMBER(outYear),RWK37+RWK42+#REF!+#REF!,"")</f>
        <v/>
      </c>
      <c r="RWL48" s="84" t="str">
        <f>IF(ISNUMBER(outYear),RWL37+RWL42+#REF!+#REF!,"")</f>
        <v/>
      </c>
      <c r="RWM48" s="84" t="str">
        <f>IF(ISNUMBER(outYear),RWM37+RWM42+#REF!+#REF!,"")</f>
        <v/>
      </c>
      <c r="RWN48" s="84" t="str">
        <f>IF(ISNUMBER(outYear),RWN37+RWN42+#REF!+#REF!,"")</f>
        <v/>
      </c>
      <c r="RWO48" s="84" t="str">
        <f>IF(ISNUMBER(outYear),RWO37+RWO42+#REF!+#REF!,"")</f>
        <v/>
      </c>
      <c r="RWP48" s="84" t="str">
        <f>IF(ISNUMBER(outYear),RWP37+RWP42+#REF!+#REF!,"")</f>
        <v/>
      </c>
      <c r="RWQ48" s="84" t="str">
        <f>IF(ISNUMBER(outYear),RWQ37+RWQ42+#REF!+#REF!,"")</f>
        <v/>
      </c>
      <c r="RWR48" s="84" t="str">
        <f>IF(ISNUMBER(outYear),RWR37+RWR42+#REF!+#REF!,"")</f>
        <v/>
      </c>
      <c r="RWS48" s="84" t="str">
        <f>IF(ISNUMBER(outYear),RWS37+RWS42+#REF!+#REF!,"")</f>
        <v/>
      </c>
      <c r="RWT48" s="84" t="str">
        <f>IF(ISNUMBER(outYear),RWT37+RWT42+#REF!+#REF!,"")</f>
        <v/>
      </c>
      <c r="RWU48" s="84" t="str">
        <f>IF(ISNUMBER(outYear),RWU37+RWU42+#REF!+#REF!,"")</f>
        <v/>
      </c>
      <c r="RWV48" s="84" t="str">
        <f>IF(ISNUMBER(outYear),RWV37+RWV42+#REF!+#REF!,"")</f>
        <v/>
      </c>
      <c r="RWW48" s="84" t="str">
        <f>IF(ISNUMBER(outYear),RWW37+RWW42+#REF!+#REF!,"")</f>
        <v/>
      </c>
      <c r="RWX48" s="84" t="str">
        <f>IF(ISNUMBER(outYear),RWX37+RWX42+#REF!+#REF!,"")</f>
        <v/>
      </c>
      <c r="RWY48" s="84" t="str">
        <f>IF(ISNUMBER(outYear),RWY37+RWY42+#REF!+#REF!,"")</f>
        <v/>
      </c>
      <c r="RWZ48" s="84" t="str">
        <f>IF(ISNUMBER(outYear),RWZ37+RWZ42+#REF!+#REF!,"")</f>
        <v/>
      </c>
      <c r="RXA48" s="84" t="str">
        <f>IF(ISNUMBER(outYear),RXA37+RXA42+#REF!+#REF!,"")</f>
        <v/>
      </c>
      <c r="RXB48" s="84" t="str">
        <f>IF(ISNUMBER(outYear),RXB37+RXB42+#REF!+#REF!,"")</f>
        <v/>
      </c>
      <c r="RXC48" s="84" t="str">
        <f>IF(ISNUMBER(outYear),RXC37+RXC42+#REF!+#REF!,"")</f>
        <v/>
      </c>
      <c r="RXD48" s="84" t="str">
        <f>IF(ISNUMBER(outYear),RXD37+RXD42+#REF!+#REF!,"")</f>
        <v/>
      </c>
      <c r="RXE48" s="84" t="str">
        <f>IF(ISNUMBER(outYear),RXE37+RXE42+#REF!+#REF!,"")</f>
        <v/>
      </c>
      <c r="RXF48" s="84" t="str">
        <f>IF(ISNUMBER(outYear),RXF37+RXF42+#REF!+#REF!,"")</f>
        <v/>
      </c>
      <c r="RXG48" s="84" t="str">
        <f>IF(ISNUMBER(outYear),RXG37+RXG42+#REF!+#REF!,"")</f>
        <v/>
      </c>
      <c r="RXH48" s="84" t="str">
        <f>IF(ISNUMBER(outYear),RXH37+RXH42+#REF!+#REF!,"")</f>
        <v/>
      </c>
      <c r="RXI48" s="84" t="str">
        <f>IF(ISNUMBER(outYear),RXI37+RXI42+#REF!+#REF!,"")</f>
        <v/>
      </c>
      <c r="RXJ48" s="84" t="str">
        <f>IF(ISNUMBER(outYear),RXJ37+RXJ42+#REF!+#REF!,"")</f>
        <v/>
      </c>
      <c r="RXK48" s="84" t="str">
        <f>IF(ISNUMBER(outYear),RXK37+RXK42+#REF!+#REF!,"")</f>
        <v/>
      </c>
      <c r="RXL48" s="84" t="str">
        <f>IF(ISNUMBER(outYear),RXL37+RXL42+#REF!+#REF!,"")</f>
        <v/>
      </c>
      <c r="RXM48" s="84" t="str">
        <f>IF(ISNUMBER(outYear),RXM37+RXM42+#REF!+#REF!,"")</f>
        <v/>
      </c>
      <c r="RXN48" s="84" t="str">
        <f>IF(ISNUMBER(outYear),RXN37+RXN42+#REF!+#REF!,"")</f>
        <v/>
      </c>
      <c r="RXO48" s="84" t="str">
        <f>IF(ISNUMBER(outYear),RXO37+RXO42+#REF!+#REF!,"")</f>
        <v/>
      </c>
      <c r="RXP48" s="84" t="str">
        <f>IF(ISNUMBER(outYear),RXP37+RXP42+#REF!+#REF!,"")</f>
        <v/>
      </c>
      <c r="RXQ48" s="84" t="str">
        <f>IF(ISNUMBER(outYear),RXQ37+RXQ42+#REF!+#REF!,"")</f>
        <v/>
      </c>
      <c r="RXR48" s="84" t="str">
        <f>IF(ISNUMBER(outYear),RXR37+RXR42+#REF!+#REF!,"")</f>
        <v/>
      </c>
      <c r="RXS48" s="84" t="str">
        <f>IF(ISNUMBER(outYear),RXS37+RXS42+#REF!+#REF!,"")</f>
        <v/>
      </c>
      <c r="RXT48" s="84" t="str">
        <f>IF(ISNUMBER(outYear),RXT37+RXT42+#REF!+#REF!,"")</f>
        <v/>
      </c>
      <c r="RXU48" s="84" t="str">
        <f>IF(ISNUMBER(outYear),RXU37+RXU42+#REF!+#REF!,"")</f>
        <v/>
      </c>
      <c r="RXV48" s="84" t="str">
        <f>IF(ISNUMBER(outYear),RXV37+RXV42+#REF!+#REF!,"")</f>
        <v/>
      </c>
      <c r="RXW48" s="84" t="str">
        <f>IF(ISNUMBER(outYear),RXW37+RXW42+#REF!+#REF!,"")</f>
        <v/>
      </c>
      <c r="RXX48" s="84" t="str">
        <f>IF(ISNUMBER(outYear),RXX37+RXX42+#REF!+#REF!,"")</f>
        <v/>
      </c>
      <c r="RXY48" s="84" t="str">
        <f>IF(ISNUMBER(outYear),RXY37+RXY42+#REF!+#REF!,"")</f>
        <v/>
      </c>
      <c r="RXZ48" s="84" t="str">
        <f>IF(ISNUMBER(outYear),RXZ37+RXZ42+#REF!+#REF!,"")</f>
        <v/>
      </c>
      <c r="RYA48" s="84" t="str">
        <f>IF(ISNUMBER(outYear),RYA37+RYA42+#REF!+#REF!,"")</f>
        <v/>
      </c>
      <c r="RYB48" s="84" t="str">
        <f>IF(ISNUMBER(outYear),RYB37+RYB42+#REF!+#REF!,"")</f>
        <v/>
      </c>
      <c r="RYC48" s="84" t="str">
        <f>IF(ISNUMBER(outYear),RYC37+RYC42+#REF!+#REF!,"")</f>
        <v/>
      </c>
      <c r="RYD48" s="84" t="str">
        <f>IF(ISNUMBER(outYear),RYD37+RYD42+#REF!+#REF!,"")</f>
        <v/>
      </c>
      <c r="RYE48" s="84" t="str">
        <f>IF(ISNUMBER(outYear),RYE37+RYE42+#REF!+#REF!,"")</f>
        <v/>
      </c>
      <c r="RYF48" s="84" t="str">
        <f>IF(ISNUMBER(outYear),RYF37+RYF42+#REF!+#REF!,"")</f>
        <v/>
      </c>
      <c r="RYG48" s="84" t="str">
        <f>IF(ISNUMBER(outYear),RYG37+RYG42+#REF!+#REF!,"")</f>
        <v/>
      </c>
      <c r="RYH48" s="84" t="str">
        <f>IF(ISNUMBER(outYear),RYH37+RYH42+#REF!+#REF!,"")</f>
        <v/>
      </c>
      <c r="RYI48" s="84" t="str">
        <f>IF(ISNUMBER(outYear),RYI37+RYI42+#REF!+#REF!,"")</f>
        <v/>
      </c>
      <c r="RYJ48" s="84" t="str">
        <f>IF(ISNUMBER(outYear),RYJ37+RYJ42+#REF!+#REF!,"")</f>
        <v/>
      </c>
      <c r="RYK48" s="84" t="str">
        <f>IF(ISNUMBER(outYear),RYK37+RYK42+#REF!+#REF!,"")</f>
        <v/>
      </c>
      <c r="RYL48" s="84" t="str">
        <f>IF(ISNUMBER(outYear),RYL37+RYL42+#REF!+#REF!,"")</f>
        <v/>
      </c>
      <c r="RYM48" s="84" t="str">
        <f>IF(ISNUMBER(outYear),RYM37+RYM42+#REF!+#REF!,"")</f>
        <v/>
      </c>
      <c r="RYN48" s="84" t="str">
        <f>IF(ISNUMBER(outYear),RYN37+RYN42+#REF!+#REF!,"")</f>
        <v/>
      </c>
      <c r="RYO48" s="84" t="str">
        <f>IF(ISNUMBER(outYear),RYO37+RYO42+#REF!+#REF!,"")</f>
        <v/>
      </c>
      <c r="RYP48" s="84" t="str">
        <f>IF(ISNUMBER(outYear),RYP37+RYP42+#REF!+#REF!,"")</f>
        <v/>
      </c>
      <c r="RYQ48" s="84" t="str">
        <f>IF(ISNUMBER(outYear),RYQ37+RYQ42+#REF!+#REF!,"")</f>
        <v/>
      </c>
      <c r="RYR48" s="84" t="str">
        <f>IF(ISNUMBER(outYear),RYR37+RYR42+#REF!+#REF!,"")</f>
        <v/>
      </c>
      <c r="RYS48" s="84" t="str">
        <f>IF(ISNUMBER(outYear),RYS37+RYS42+#REF!+#REF!,"")</f>
        <v/>
      </c>
      <c r="RYT48" s="84" t="str">
        <f>IF(ISNUMBER(outYear),RYT37+RYT42+#REF!+#REF!,"")</f>
        <v/>
      </c>
      <c r="RYU48" s="84" t="str">
        <f>IF(ISNUMBER(outYear),RYU37+RYU42+#REF!+#REF!,"")</f>
        <v/>
      </c>
      <c r="RYV48" s="84" t="str">
        <f>IF(ISNUMBER(outYear),RYV37+RYV42+#REF!+#REF!,"")</f>
        <v/>
      </c>
      <c r="RYW48" s="84" t="str">
        <f>IF(ISNUMBER(outYear),RYW37+RYW42+#REF!+#REF!,"")</f>
        <v/>
      </c>
      <c r="RYX48" s="84" t="str">
        <f>IF(ISNUMBER(outYear),RYX37+RYX42+#REF!+#REF!,"")</f>
        <v/>
      </c>
      <c r="RYY48" s="84" t="str">
        <f>IF(ISNUMBER(outYear),RYY37+RYY42+#REF!+#REF!,"")</f>
        <v/>
      </c>
      <c r="RYZ48" s="84" t="str">
        <f>IF(ISNUMBER(outYear),RYZ37+RYZ42+#REF!+#REF!,"")</f>
        <v/>
      </c>
      <c r="RZA48" s="84" t="str">
        <f>IF(ISNUMBER(outYear),RZA37+RZA42+#REF!+#REF!,"")</f>
        <v/>
      </c>
      <c r="RZB48" s="84" t="str">
        <f>IF(ISNUMBER(outYear),RZB37+RZB42+#REF!+#REF!,"")</f>
        <v/>
      </c>
      <c r="RZC48" s="84" t="str">
        <f>IF(ISNUMBER(outYear),RZC37+RZC42+#REF!+#REF!,"")</f>
        <v/>
      </c>
      <c r="RZD48" s="84" t="str">
        <f>IF(ISNUMBER(outYear),RZD37+RZD42+#REF!+#REF!,"")</f>
        <v/>
      </c>
      <c r="RZE48" s="84" t="str">
        <f>IF(ISNUMBER(outYear),RZE37+RZE42+#REF!+#REF!,"")</f>
        <v/>
      </c>
      <c r="RZF48" s="84" t="str">
        <f>IF(ISNUMBER(outYear),RZF37+RZF42+#REF!+#REF!,"")</f>
        <v/>
      </c>
      <c r="RZG48" s="84" t="str">
        <f>IF(ISNUMBER(outYear),RZG37+RZG42+#REF!+#REF!,"")</f>
        <v/>
      </c>
      <c r="RZH48" s="84" t="str">
        <f>IF(ISNUMBER(outYear),RZH37+RZH42+#REF!+#REF!,"")</f>
        <v/>
      </c>
      <c r="RZI48" s="84" t="str">
        <f>IF(ISNUMBER(outYear),RZI37+RZI42+#REF!+#REF!,"")</f>
        <v/>
      </c>
      <c r="RZJ48" s="84" t="str">
        <f>IF(ISNUMBER(outYear),RZJ37+RZJ42+#REF!+#REF!,"")</f>
        <v/>
      </c>
      <c r="RZK48" s="84" t="str">
        <f>IF(ISNUMBER(outYear),RZK37+RZK42+#REF!+#REF!,"")</f>
        <v/>
      </c>
      <c r="RZL48" s="84" t="str">
        <f>IF(ISNUMBER(outYear),RZL37+RZL42+#REF!+#REF!,"")</f>
        <v/>
      </c>
      <c r="RZM48" s="84" t="str">
        <f>IF(ISNUMBER(outYear),RZM37+RZM42+#REF!+#REF!,"")</f>
        <v/>
      </c>
      <c r="RZN48" s="84" t="str">
        <f>IF(ISNUMBER(outYear),RZN37+RZN42+#REF!+#REF!,"")</f>
        <v/>
      </c>
      <c r="RZO48" s="84" t="str">
        <f>IF(ISNUMBER(outYear),RZO37+RZO42+#REF!+#REF!,"")</f>
        <v/>
      </c>
      <c r="RZP48" s="84" t="str">
        <f>IF(ISNUMBER(outYear),RZP37+RZP42+#REF!+#REF!,"")</f>
        <v/>
      </c>
      <c r="RZQ48" s="84" t="str">
        <f>IF(ISNUMBER(outYear),RZQ37+RZQ42+#REF!+#REF!,"")</f>
        <v/>
      </c>
      <c r="RZR48" s="84" t="str">
        <f>IF(ISNUMBER(outYear),RZR37+RZR42+#REF!+#REF!,"")</f>
        <v/>
      </c>
      <c r="RZS48" s="84" t="str">
        <f>IF(ISNUMBER(outYear),RZS37+RZS42+#REF!+#REF!,"")</f>
        <v/>
      </c>
      <c r="RZT48" s="84" t="str">
        <f>IF(ISNUMBER(outYear),RZT37+RZT42+#REF!+#REF!,"")</f>
        <v/>
      </c>
      <c r="RZU48" s="84" t="str">
        <f>IF(ISNUMBER(outYear),RZU37+RZU42+#REF!+#REF!,"")</f>
        <v/>
      </c>
      <c r="RZV48" s="84" t="str">
        <f>IF(ISNUMBER(outYear),RZV37+RZV42+#REF!+#REF!,"")</f>
        <v/>
      </c>
      <c r="RZW48" s="84" t="str">
        <f>IF(ISNUMBER(outYear),RZW37+RZW42+#REF!+#REF!,"")</f>
        <v/>
      </c>
      <c r="RZX48" s="84" t="str">
        <f>IF(ISNUMBER(outYear),RZX37+RZX42+#REF!+#REF!,"")</f>
        <v/>
      </c>
      <c r="RZY48" s="84" t="str">
        <f>IF(ISNUMBER(outYear),RZY37+RZY42+#REF!+#REF!,"")</f>
        <v/>
      </c>
      <c r="RZZ48" s="84" t="str">
        <f>IF(ISNUMBER(outYear),RZZ37+RZZ42+#REF!+#REF!,"")</f>
        <v/>
      </c>
      <c r="SAA48" s="84" t="str">
        <f>IF(ISNUMBER(outYear),SAA37+SAA42+#REF!+#REF!,"")</f>
        <v/>
      </c>
      <c r="SAB48" s="84" t="str">
        <f>IF(ISNUMBER(outYear),SAB37+SAB42+#REF!+#REF!,"")</f>
        <v/>
      </c>
      <c r="SAC48" s="84" t="str">
        <f>IF(ISNUMBER(outYear),SAC37+SAC42+#REF!+#REF!,"")</f>
        <v/>
      </c>
      <c r="SAD48" s="84" t="str">
        <f>IF(ISNUMBER(outYear),SAD37+SAD42+#REF!+#REF!,"")</f>
        <v/>
      </c>
      <c r="SAE48" s="84" t="str">
        <f>IF(ISNUMBER(outYear),SAE37+SAE42+#REF!+#REF!,"")</f>
        <v/>
      </c>
      <c r="SAF48" s="84" t="str">
        <f>IF(ISNUMBER(outYear),SAF37+SAF42+#REF!+#REF!,"")</f>
        <v/>
      </c>
      <c r="SAG48" s="84" t="str">
        <f>IF(ISNUMBER(outYear),SAG37+SAG42+#REF!+#REF!,"")</f>
        <v/>
      </c>
      <c r="SAH48" s="84" t="str">
        <f>IF(ISNUMBER(outYear),SAH37+SAH42+#REF!+#REF!,"")</f>
        <v/>
      </c>
      <c r="SAI48" s="84" t="str">
        <f>IF(ISNUMBER(outYear),SAI37+SAI42+#REF!+#REF!,"")</f>
        <v/>
      </c>
      <c r="SAJ48" s="84" t="str">
        <f>IF(ISNUMBER(outYear),SAJ37+SAJ42+#REF!+#REF!,"")</f>
        <v/>
      </c>
      <c r="SAK48" s="84" t="str">
        <f>IF(ISNUMBER(outYear),SAK37+SAK42+#REF!+#REF!,"")</f>
        <v/>
      </c>
      <c r="SAL48" s="84" t="str">
        <f>IF(ISNUMBER(outYear),SAL37+SAL42+#REF!+#REF!,"")</f>
        <v/>
      </c>
      <c r="SAM48" s="84" t="str">
        <f>IF(ISNUMBER(outYear),SAM37+SAM42+#REF!+#REF!,"")</f>
        <v/>
      </c>
      <c r="SAN48" s="84" t="str">
        <f>IF(ISNUMBER(outYear),SAN37+SAN42+#REF!+#REF!,"")</f>
        <v/>
      </c>
      <c r="SAO48" s="84" t="str">
        <f>IF(ISNUMBER(outYear),SAO37+SAO42+#REF!+#REF!,"")</f>
        <v/>
      </c>
      <c r="SAP48" s="84" t="str">
        <f>IF(ISNUMBER(outYear),SAP37+SAP42+#REF!+#REF!,"")</f>
        <v/>
      </c>
      <c r="SAQ48" s="84" t="str">
        <f>IF(ISNUMBER(outYear),SAQ37+SAQ42+#REF!+#REF!,"")</f>
        <v/>
      </c>
      <c r="SAR48" s="84" t="str">
        <f>IF(ISNUMBER(outYear),SAR37+SAR42+#REF!+#REF!,"")</f>
        <v/>
      </c>
      <c r="SAS48" s="84" t="str">
        <f>IF(ISNUMBER(outYear),SAS37+SAS42+#REF!+#REF!,"")</f>
        <v/>
      </c>
      <c r="SAT48" s="84" t="str">
        <f>IF(ISNUMBER(outYear),SAT37+SAT42+#REF!+#REF!,"")</f>
        <v/>
      </c>
      <c r="SAU48" s="84" t="str">
        <f>IF(ISNUMBER(outYear),SAU37+SAU42+#REF!+#REF!,"")</f>
        <v/>
      </c>
      <c r="SAV48" s="84" t="str">
        <f>IF(ISNUMBER(outYear),SAV37+SAV42+#REF!+#REF!,"")</f>
        <v/>
      </c>
      <c r="SAW48" s="84" t="str">
        <f>IF(ISNUMBER(outYear),SAW37+SAW42+#REF!+#REF!,"")</f>
        <v/>
      </c>
      <c r="SAX48" s="84" t="str">
        <f>IF(ISNUMBER(outYear),SAX37+SAX42+#REF!+#REF!,"")</f>
        <v/>
      </c>
      <c r="SAY48" s="84" t="str">
        <f>IF(ISNUMBER(outYear),SAY37+SAY42+#REF!+#REF!,"")</f>
        <v/>
      </c>
      <c r="SAZ48" s="84" t="str">
        <f>IF(ISNUMBER(outYear),SAZ37+SAZ42+#REF!+#REF!,"")</f>
        <v/>
      </c>
      <c r="SBA48" s="84" t="str">
        <f>IF(ISNUMBER(outYear),SBA37+SBA42+#REF!+#REF!,"")</f>
        <v/>
      </c>
      <c r="SBB48" s="84" t="str">
        <f>IF(ISNUMBER(outYear),SBB37+SBB42+#REF!+#REF!,"")</f>
        <v/>
      </c>
      <c r="SBC48" s="84" t="str">
        <f>IF(ISNUMBER(outYear),SBC37+SBC42+#REF!+#REF!,"")</f>
        <v/>
      </c>
      <c r="SBD48" s="84" t="str">
        <f>IF(ISNUMBER(outYear),SBD37+SBD42+#REF!+#REF!,"")</f>
        <v/>
      </c>
      <c r="SBE48" s="84" t="str">
        <f>IF(ISNUMBER(outYear),SBE37+SBE42+#REF!+#REF!,"")</f>
        <v/>
      </c>
      <c r="SBF48" s="84" t="str">
        <f>IF(ISNUMBER(outYear),SBF37+SBF42+#REF!+#REF!,"")</f>
        <v/>
      </c>
      <c r="SBG48" s="84" t="str">
        <f>IF(ISNUMBER(outYear),SBG37+SBG42+#REF!+#REF!,"")</f>
        <v/>
      </c>
      <c r="SBH48" s="84" t="str">
        <f>IF(ISNUMBER(outYear),SBH37+SBH42+#REF!+#REF!,"")</f>
        <v/>
      </c>
      <c r="SBI48" s="84" t="str">
        <f>IF(ISNUMBER(outYear),SBI37+SBI42+#REF!+#REF!,"")</f>
        <v/>
      </c>
      <c r="SBJ48" s="84" t="str">
        <f>IF(ISNUMBER(outYear),SBJ37+SBJ42+#REF!+#REF!,"")</f>
        <v/>
      </c>
      <c r="SBK48" s="84" t="str">
        <f>IF(ISNUMBER(outYear),SBK37+SBK42+#REF!+#REF!,"")</f>
        <v/>
      </c>
      <c r="SBL48" s="84" t="str">
        <f>IF(ISNUMBER(outYear),SBL37+SBL42+#REF!+#REF!,"")</f>
        <v/>
      </c>
      <c r="SBM48" s="84" t="str">
        <f>IF(ISNUMBER(outYear),SBM37+SBM42+#REF!+#REF!,"")</f>
        <v/>
      </c>
      <c r="SBN48" s="84" t="str">
        <f>IF(ISNUMBER(outYear),SBN37+SBN42+#REF!+#REF!,"")</f>
        <v/>
      </c>
      <c r="SBO48" s="84" t="str">
        <f>IF(ISNUMBER(outYear),SBO37+SBO42+#REF!+#REF!,"")</f>
        <v/>
      </c>
      <c r="SBP48" s="84" t="str">
        <f>IF(ISNUMBER(outYear),SBP37+SBP42+#REF!+#REF!,"")</f>
        <v/>
      </c>
      <c r="SBQ48" s="84" t="str">
        <f>IF(ISNUMBER(outYear),SBQ37+SBQ42+#REF!+#REF!,"")</f>
        <v/>
      </c>
      <c r="SBR48" s="84" t="str">
        <f>IF(ISNUMBER(outYear),SBR37+SBR42+#REF!+#REF!,"")</f>
        <v/>
      </c>
      <c r="SBS48" s="84" t="str">
        <f>IF(ISNUMBER(outYear),SBS37+SBS42+#REF!+#REF!,"")</f>
        <v/>
      </c>
      <c r="SBT48" s="84" t="str">
        <f>IF(ISNUMBER(outYear),SBT37+SBT42+#REF!+#REF!,"")</f>
        <v/>
      </c>
      <c r="SBU48" s="84" t="str">
        <f>IF(ISNUMBER(outYear),SBU37+SBU42+#REF!+#REF!,"")</f>
        <v/>
      </c>
      <c r="SBV48" s="84" t="str">
        <f>IF(ISNUMBER(outYear),SBV37+SBV42+#REF!+#REF!,"")</f>
        <v/>
      </c>
      <c r="SBW48" s="84" t="str">
        <f>IF(ISNUMBER(outYear),SBW37+SBW42+#REF!+#REF!,"")</f>
        <v/>
      </c>
      <c r="SBX48" s="84" t="str">
        <f>IF(ISNUMBER(outYear),SBX37+SBX42+#REF!+#REF!,"")</f>
        <v/>
      </c>
      <c r="SBY48" s="84" t="str">
        <f>IF(ISNUMBER(outYear),SBY37+SBY42+#REF!+#REF!,"")</f>
        <v/>
      </c>
      <c r="SBZ48" s="84" t="str">
        <f>IF(ISNUMBER(outYear),SBZ37+SBZ42+#REF!+#REF!,"")</f>
        <v/>
      </c>
      <c r="SCA48" s="84" t="str">
        <f>IF(ISNUMBER(outYear),SCA37+SCA42+#REF!+#REF!,"")</f>
        <v/>
      </c>
      <c r="SCB48" s="84" t="str">
        <f>IF(ISNUMBER(outYear),SCB37+SCB42+#REF!+#REF!,"")</f>
        <v/>
      </c>
      <c r="SCC48" s="84" t="str">
        <f>IF(ISNUMBER(outYear),SCC37+SCC42+#REF!+#REF!,"")</f>
        <v/>
      </c>
      <c r="SCD48" s="84" t="str">
        <f>IF(ISNUMBER(outYear),SCD37+SCD42+#REF!+#REF!,"")</f>
        <v/>
      </c>
      <c r="SCE48" s="84" t="str">
        <f>IF(ISNUMBER(outYear),SCE37+SCE42+#REF!+#REF!,"")</f>
        <v/>
      </c>
      <c r="SCF48" s="84" t="str">
        <f>IF(ISNUMBER(outYear),SCF37+SCF42+#REF!+#REF!,"")</f>
        <v/>
      </c>
      <c r="SCG48" s="84" t="str">
        <f>IF(ISNUMBER(outYear),SCG37+SCG42+#REF!+#REF!,"")</f>
        <v/>
      </c>
      <c r="SCH48" s="84" t="str">
        <f>IF(ISNUMBER(outYear),SCH37+SCH42+#REF!+#REF!,"")</f>
        <v/>
      </c>
      <c r="SCI48" s="84" t="str">
        <f>IF(ISNUMBER(outYear),SCI37+SCI42+#REF!+#REF!,"")</f>
        <v/>
      </c>
      <c r="SCJ48" s="84" t="str">
        <f>IF(ISNUMBER(outYear),SCJ37+SCJ42+#REF!+#REF!,"")</f>
        <v/>
      </c>
      <c r="SCK48" s="84" t="str">
        <f>IF(ISNUMBER(outYear),SCK37+SCK42+#REF!+#REF!,"")</f>
        <v/>
      </c>
      <c r="SCL48" s="84" t="str">
        <f>IF(ISNUMBER(outYear),SCL37+SCL42+#REF!+#REF!,"")</f>
        <v/>
      </c>
      <c r="SCM48" s="84" t="str">
        <f>IF(ISNUMBER(outYear),SCM37+SCM42+#REF!+#REF!,"")</f>
        <v/>
      </c>
      <c r="SCN48" s="84" t="str">
        <f>IF(ISNUMBER(outYear),SCN37+SCN42+#REF!+#REF!,"")</f>
        <v/>
      </c>
      <c r="SCO48" s="84" t="str">
        <f>IF(ISNUMBER(outYear),SCO37+SCO42+#REF!+#REF!,"")</f>
        <v/>
      </c>
      <c r="SCP48" s="84" t="str">
        <f>IF(ISNUMBER(outYear),SCP37+SCP42+#REF!+#REF!,"")</f>
        <v/>
      </c>
      <c r="SCQ48" s="84" t="str">
        <f>IF(ISNUMBER(outYear),SCQ37+SCQ42+#REF!+#REF!,"")</f>
        <v/>
      </c>
      <c r="SCR48" s="84" t="str">
        <f>IF(ISNUMBER(outYear),SCR37+SCR42+#REF!+#REF!,"")</f>
        <v/>
      </c>
      <c r="SCS48" s="84" t="str">
        <f>IF(ISNUMBER(outYear),SCS37+SCS42+#REF!+#REF!,"")</f>
        <v/>
      </c>
      <c r="SCT48" s="84" t="str">
        <f>IF(ISNUMBER(outYear),SCT37+SCT42+#REF!+#REF!,"")</f>
        <v/>
      </c>
      <c r="SCU48" s="84" t="str">
        <f>IF(ISNUMBER(outYear),SCU37+SCU42+#REF!+#REF!,"")</f>
        <v/>
      </c>
      <c r="SCV48" s="84" t="str">
        <f>IF(ISNUMBER(outYear),SCV37+SCV42+#REF!+#REF!,"")</f>
        <v/>
      </c>
      <c r="SCW48" s="84" t="str">
        <f>IF(ISNUMBER(outYear),SCW37+SCW42+#REF!+#REF!,"")</f>
        <v/>
      </c>
      <c r="SCX48" s="84" t="str">
        <f>IF(ISNUMBER(outYear),SCX37+SCX42+#REF!+#REF!,"")</f>
        <v/>
      </c>
      <c r="SCY48" s="84" t="str">
        <f>IF(ISNUMBER(outYear),SCY37+SCY42+#REF!+#REF!,"")</f>
        <v/>
      </c>
      <c r="SCZ48" s="84" t="str">
        <f>IF(ISNUMBER(outYear),SCZ37+SCZ42+#REF!+#REF!,"")</f>
        <v/>
      </c>
      <c r="SDA48" s="84" t="str">
        <f>IF(ISNUMBER(outYear),SDA37+SDA42+#REF!+#REF!,"")</f>
        <v/>
      </c>
      <c r="SDB48" s="84" t="str">
        <f>IF(ISNUMBER(outYear),SDB37+SDB42+#REF!+#REF!,"")</f>
        <v/>
      </c>
      <c r="SDC48" s="84" t="str">
        <f>IF(ISNUMBER(outYear),SDC37+SDC42+#REF!+#REF!,"")</f>
        <v/>
      </c>
      <c r="SDD48" s="84" t="str">
        <f>IF(ISNUMBER(outYear),SDD37+SDD42+#REF!+#REF!,"")</f>
        <v/>
      </c>
      <c r="SDE48" s="84" t="str">
        <f>IF(ISNUMBER(outYear),SDE37+SDE42+#REF!+#REF!,"")</f>
        <v/>
      </c>
      <c r="SDF48" s="84" t="str">
        <f>IF(ISNUMBER(outYear),SDF37+SDF42+#REF!+#REF!,"")</f>
        <v/>
      </c>
      <c r="SDG48" s="84" t="str">
        <f>IF(ISNUMBER(outYear),SDG37+SDG42+#REF!+#REF!,"")</f>
        <v/>
      </c>
      <c r="SDH48" s="84" t="str">
        <f>IF(ISNUMBER(outYear),SDH37+SDH42+#REF!+#REF!,"")</f>
        <v/>
      </c>
      <c r="SDI48" s="84" t="str">
        <f>IF(ISNUMBER(outYear),SDI37+SDI42+#REF!+#REF!,"")</f>
        <v/>
      </c>
      <c r="SDJ48" s="84" t="str">
        <f>IF(ISNUMBER(outYear),SDJ37+SDJ42+#REF!+#REF!,"")</f>
        <v/>
      </c>
      <c r="SDK48" s="84" t="str">
        <f>IF(ISNUMBER(outYear),SDK37+SDK42+#REF!+#REF!,"")</f>
        <v/>
      </c>
      <c r="SDL48" s="84" t="str">
        <f>IF(ISNUMBER(outYear),SDL37+SDL42+#REF!+#REF!,"")</f>
        <v/>
      </c>
      <c r="SDM48" s="84" t="str">
        <f>IF(ISNUMBER(outYear),SDM37+SDM42+#REF!+#REF!,"")</f>
        <v/>
      </c>
      <c r="SDN48" s="84" t="str">
        <f>IF(ISNUMBER(outYear),SDN37+SDN42+#REF!+#REF!,"")</f>
        <v/>
      </c>
      <c r="SDO48" s="84" t="str">
        <f>IF(ISNUMBER(outYear),SDO37+SDO42+#REF!+#REF!,"")</f>
        <v/>
      </c>
      <c r="SDP48" s="84" t="str">
        <f>IF(ISNUMBER(outYear),SDP37+SDP42+#REF!+#REF!,"")</f>
        <v/>
      </c>
      <c r="SDQ48" s="84" t="str">
        <f>IF(ISNUMBER(outYear),SDQ37+SDQ42+#REF!+#REF!,"")</f>
        <v/>
      </c>
      <c r="SDR48" s="84" t="str">
        <f>IF(ISNUMBER(outYear),SDR37+SDR42+#REF!+#REF!,"")</f>
        <v/>
      </c>
      <c r="SDS48" s="84" t="str">
        <f>IF(ISNUMBER(outYear),SDS37+SDS42+#REF!+#REF!,"")</f>
        <v/>
      </c>
      <c r="SDT48" s="84" t="str">
        <f>IF(ISNUMBER(outYear),SDT37+SDT42+#REF!+#REF!,"")</f>
        <v/>
      </c>
      <c r="SDU48" s="84" t="str">
        <f>IF(ISNUMBER(outYear),SDU37+SDU42+#REF!+#REF!,"")</f>
        <v/>
      </c>
      <c r="SDV48" s="84" t="str">
        <f>IF(ISNUMBER(outYear),SDV37+SDV42+#REF!+#REF!,"")</f>
        <v/>
      </c>
      <c r="SDW48" s="84" t="str">
        <f>IF(ISNUMBER(outYear),SDW37+SDW42+#REF!+#REF!,"")</f>
        <v/>
      </c>
      <c r="SDX48" s="84" t="str">
        <f>IF(ISNUMBER(outYear),SDX37+SDX42+#REF!+#REF!,"")</f>
        <v/>
      </c>
      <c r="SDY48" s="84" t="str">
        <f>IF(ISNUMBER(outYear),SDY37+SDY42+#REF!+#REF!,"")</f>
        <v/>
      </c>
      <c r="SDZ48" s="84" t="str">
        <f>IF(ISNUMBER(outYear),SDZ37+SDZ42+#REF!+#REF!,"")</f>
        <v/>
      </c>
      <c r="SEA48" s="84" t="str">
        <f>IF(ISNUMBER(outYear),SEA37+SEA42+#REF!+#REF!,"")</f>
        <v/>
      </c>
      <c r="SEB48" s="84" t="str">
        <f>IF(ISNUMBER(outYear),SEB37+SEB42+#REF!+#REF!,"")</f>
        <v/>
      </c>
      <c r="SEC48" s="84" t="str">
        <f>IF(ISNUMBER(outYear),SEC37+SEC42+#REF!+#REF!,"")</f>
        <v/>
      </c>
      <c r="SED48" s="84" t="str">
        <f>IF(ISNUMBER(outYear),SED37+SED42+#REF!+#REF!,"")</f>
        <v/>
      </c>
      <c r="SEE48" s="84" t="str">
        <f>IF(ISNUMBER(outYear),SEE37+SEE42+#REF!+#REF!,"")</f>
        <v/>
      </c>
      <c r="SEF48" s="84" t="str">
        <f>IF(ISNUMBER(outYear),SEF37+SEF42+#REF!+#REF!,"")</f>
        <v/>
      </c>
      <c r="SEG48" s="84" t="str">
        <f>IF(ISNUMBER(outYear),SEG37+SEG42+#REF!+#REF!,"")</f>
        <v/>
      </c>
      <c r="SEH48" s="84" t="str">
        <f>IF(ISNUMBER(outYear),SEH37+SEH42+#REF!+#REF!,"")</f>
        <v/>
      </c>
      <c r="SEI48" s="84" t="str">
        <f>IF(ISNUMBER(outYear),SEI37+SEI42+#REF!+#REF!,"")</f>
        <v/>
      </c>
      <c r="SEJ48" s="84" t="str">
        <f>IF(ISNUMBER(outYear),SEJ37+SEJ42+#REF!+#REF!,"")</f>
        <v/>
      </c>
      <c r="SEK48" s="84" t="str">
        <f>IF(ISNUMBER(outYear),SEK37+SEK42+#REF!+#REF!,"")</f>
        <v/>
      </c>
      <c r="SEL48" s="84" t="str">
        <f>IF(ISNUMBER(outYear),SEL37+SEL42+#REF!+#REF!,"")</f>
        <v/>
      </c>
      <c r="SEM48" s="84" t="str">
        <f>IF(ISNUMBER(outYear),SEM37+SEM42+#REF!+#REF!,"")</f>
        <v/>
      </c>
      <c r="SEN48" s="84" t="str">
        <f>IF(ISNUMBER(outYear),SEN37+SEN42+#REF!+#REF!,"")</f>
        <v/>
      </c>
      <c r="SEO48" s="84" t="str">
        <f>IF(ISNUMBER(outYear),SEO37+SEO42+#REF!+#REF!,"")</f>
        <v/>
      </c>
      <c r="SEP48" s="84" t="str">
        <f>IF(ISNUMBER(outYear),SEP37+SEP42+#REF!+#REF!,"")</f>
        <v/>
      </c>
      <c r="SEQ48" s="84" t="str">
        <f>IF(ISNUMBER(outYear),SEQ37+SEQ42+#REF!+#REF!,"")</f>
        <v/>
      </c>
      <c r="SER48" s="84" t="str">
        <f>IF(ISNUMBER(outYear),SER37+SER42+#REF!+#REF!,"")</f>
        <v/>
      </c>
      <c r="SES48" s="84" t="str">
        <f>IF(ISNUMBER(outYear),SES37+SES42+#REF!+#REF!,"")</f>
        <v/>
      </c>
      <c r="SET48" s="84" t="str">
        <f>IF(ISNUMBER(outYear),SET37+SET42+#REF!+#REF!,"")</f>
        <v/>
      </c>
      <c r="SEU48" s="84" t="str">
        <f>IF(ISNUMBER(outYear),SEU37+SEU42+#REF!+#REF!,"")</f>
        <v/>
      </c>
      <c r="SEV48" s="84" t="str">
        <f>IF(ISNUMBER(outYear),SEV37+SEV42+#REF!+#REF!,"")</f>
        <v/>
      </c>
      <c r="SEW48" s="84" t="str">
        <f>IF(ISNUMBER(outYear),SEW37+SEW42+#REF!+#REF!,"")</f>
        <v/>
      </c>
      <c r="SEX48" s="84" t="str">
        <f>IF(ISNUMBER(outYear),SEX37+SEX42+#REF!+#REF!,"")</f>
        <v/>
      </c>
      <c r="SEY48" s="84" t="str">
        <f>IF(ISNUMBER(outYear),SEY37+SEY42+#REF!+#REF!,"")</f>
        <v/>
      </c>
      <c r="SEZ48" s="84" t="str">
        <f>IF(ISNUMBER(outYear),SEZ37+SEZ42+#REF!+#REF!,"")</f>
        <v/>
      </c>
      <c r="SFA48" s="84" t="str">
        <f>IF(ISNUMBER(outYear),SFA37+SFA42+#REF!+#REF!,"")</f>
        <v/>
      </c>
      <c r="SFB48" s="84" t="str">
        <f>IF(ISNUMBER(outYear),SFB37+SFB42+#REF!+#REF!,"")</f>
        <v/>
      </c>
      <c r="SFC48" s="84" t="str">
        <f>IF(ISNUMBER(outYear),SFC37+SFC42+#REF!+#REF!,"")</f>
        <v/>
      </c>
      <c r="SFD48" s="84" t="str">
        <f>IF(ISNUMBER(outYear),SFD37+SFD42+#REF!+#REF!,"")</f>
        <v/>
      </c>
      <c r="SFE48" s="84" t="str">
        <f>IF(ISNUMBER(outYear),SFE37+SFE42+#REF!+#REF!,"")</f>
        <v/>
      </c>
      <c r="SFF48" s="84" t="str">
        <f>IF(ISNUMBER(outYear),SFF37+SFF42+#REF!+#REF!,"")</f>
        <v/>
      </c>
      <c r="SFG48" s="84" t="str">
        <f>IF(ISNUMBER(outYear),SFG37+SFG42+#REF!+#REF!,"")</f>
        <v/>
      </c>
      <c r="SFH48" s="84" t="str">
        <f>IF(ISNUMBER(outYear),SFH37+SFH42+#REF!+#REF!,"")</f>
        <v/>
      </c>
      <c r="SFI48" s="84" t="str">
        <f>IF(ISNUMBER(outYear),SFI37+SFI42+#REF!+#REF!,"")</f>
        <v/>
      </c>
      <c r="SFJ48" s="84" t="str">
        <f>IF(ISNUMBER(outYear),SFJ37+SFJ42+#REF!+#REF!,"")</f>
        <v/>
      </c>
      <c r="SFK48" s="84" t="str">
        <f>IF(ISNUMBER(outYear),SFK37+SFK42+#REF!+#REF!,"")</f>
        <v/>
      </c>
      <c r="SFL48" s="84" t="str">
        <f>IF(ISNUMBER(outYear),SFL37+SFL42+#REF!+#REF!,"")</f>
        <v/>
      </c>
      <c r="SFM48" s="84" t="str">
        <f>IF(ISNUMBER(outYear),SFM37+SFM42+#REF!+#REF!,"")</f>
        <v/>
      </c>
      <c r="SFN48" s="84" t="str">
        <f>IF(ISNUMBER(outYear),SFN37+SFN42+#REF!+#REF!,"")</f>
        <v/>
      </c>
      <c r="SFO48" s="84" t="str">
        <f>IF(ISNUMBER(outYear),SFO37+SFO42+#REF!+#REF!,"")</f>
        <v/>
      </c>
      <c r="SFP48" s="84" t="str">
        <f>IF(ISNUMBER(outYear),SFP37+SFP42+#REF!+#REF!,"")</f>
        <v/>
      </c>
      <c r="SFQ48" s="84" t="str">
        <f>IF(ISNUMBER(outYear),SFQ37+SFQ42+#REF!+#REF!,"")</f>
        <v/>
      </c>
      <c r="SFR48" s="84" t="str">
        <f>IF(ISNUMBER(outYear),SFR37+SFR42+#REF!+#REF!,"")</f>
        <v/>
      </c>
      <c r="SFS48" s="84" t="str">
        <f>IF(ISNUMBER(outYear),SFS37+SFS42+#REF!+#REF!,"")</f>
        <v/>
      </c>
      <c r="SFT48" s="84" t="str">
        <f>IF(ISNUMBER(outYear),SFT37+SFT42+#REF!+#REF!,"")</f>
        <v/>
      </c>
      <c r="SFU48" s="84" t="str">
        <f>IF(ISNUMBER(outYear),SFU37+SFU42+#REF!+#REF!,"")</f>
        <v/>
      </c>
      <c r="SFV48" s="84" t="str">
        <f>IF(ISNUMBER(outYear),SFV37+SFV42+#REF!+#REF!,"")</f>
        <v/>
      </c>
      <c r="SFW48" s="84" t="str">
        <f>IF(ISNUMBER(outYear),SFW37+SFW42+#REF!+#REF!,"")</f>
        <v/>
      </c>
      <c r="SFX48" s="84" t="str">
        <f>IF(ISNUMBER(outYear),SFX37+SFX42+#REF!+#REF!,"")</f>
        <v/>
      </c>
      <c r="SFY48" s="84" t="str">
        <f>IF(ISNUMBER(outYear),SFY37+SFY42+#REF!+#REF!,"")</f>
        <v/>
      </c>
      <c r="SFZ48" s="84" t="str">
        <f>IF(ISNUMBER(outYear),SFZ37+SFZ42+#REF!+#REF!,"")</f>
        <v/>
      </c>
      <c r="SGA48" s="84" t="str">
        <f>IF(ISNUMBER(outYear),SGA37+SGA42+#REF!+#REF!,"")</f>
        <v/>
      </c>
      <c r="SGB48" s="84" t="str">
        <f>IF(ISNUMBER(outYear),SGB37+SGB42+#REF!+#REF!,"")</f>
        <v/>
      </c>
      <c r="SGC48" s="84" t="str">
        <f>IF(ISNUMBER(outYear),SGC37+SGC42+#REF!+#REF!,"")</f>
        <v/>
      </c>
      <c r="SGD48" s="84" t="str">
        <f>IF(ISNUMBER(outYear),SGD37+SGD42+#REF!+#REF!,"")</f>
        <v/>
      </c>
      <c r="SGE48" s="84" t="str">
        <f>IF(ISNUMBER(outYear),SGE37+SGE42+#REF!+#REF!,"")</f>
        <v/>
      </c>
      <c r="SGF48" s="84" t="str">
        <f>IF(ISNUMBER(outYear),SGF37+SGF42+#REF!+#REF!,"")</f>
        <v/>
      </c>
      <c r="SGG48" s="84" t="str">
        <f>IF(ISNUMBER(outYear),SGG37+SGG42+#REF!+#REF!,"")</f>
        <v/>
      </c>
      <c r="SGH48" s="84" t="str">
        <f>IF(ISNUMBER(outYear),SGH37+SGH42+#REF!+#REF!,"")</f>
        <v/>
      </c>
      <c r="SGI48" s="84" t="str">
        <f>IF(ISNUMBER(outYear),SGI37+SGI42+#REF!+#REF!,"")</f>
        <v/>
      </c>
      <c r="SGJ48" s="84" t="str">
        <f>IF(ISNUMBER(outYear),SGJ37+SGJ42+#REF!+#REF!,"")</f>
        <v/>
      </c>
      <c r="SGK48" s="84" t="str">
        <f>IF(ISNUMBER(outYear),SGK37+SGK42+#REF!+#REF!,"")</f>
        <v/>
      </c>
      <c r="SGL48" s="84" t="str">
        <f>IF(ISNUMBER(outYear),SGL37+SGL42+#REF!+#REF!,"")</f>
        <v/>
      </c>
      <c r="SGM48" s="84" t="str">
        <f>IF(ISNUMBER(outYear),SGM37+SGM42+#REF!+#REF!,"")</f>
        <v/>
      </c>
      <c r="SGN48" s="84" t="str">
        <f>IF(ISNUMBER(outYear),SGN37+SGN42+#REF!+#REF!,"")</f>
        <v/>
      </c>
      <c r="SGO48" s="84" t="str">
        <f>IF(ISNUMBER(outYear),SGO37+SGO42+#REF!+#REF!,"")</f>
        <v/>
      </c>
      <c r="SGP48" s="84" t="str">
        <f>IF(ISNUMBER(outYear),SGP37+SGP42+#REF!+#REF!,"")</f>
        <v/>
      </c>
      <c r="SGQ48" s="84" t="str">
        <f>IF(ISNUMBER(outYear),SGQ37+SGQ42+#REF!+#REF!,"")</f>
        <v/>
      </c>
      <c r="SGR48" s="84" t="str">
        <f>IF(ISNUMBER(outYear),SGR37+SGR42+#REF!+#REF!,"")</f>
        <v/>
      </c>
      <c r="SGS48" s="84" t="str">
        <f>IF(ISNUMBER(outYear),SGS37+SGS42+#REF!+#REF!,"")</f>
        <v/>
      </c>
      <c r="SGT48" s="84" t="str">
        <f>IF(ISNUMBER(outYear),SGT37+SGT42+#REF!+#REF!,"")</f>
        <v/>
      </c>
      <c r="SGU48" s="84" t="str">
        <f>IF(ISNUMBER(outYear),SGU37+SGU42+#REF!+#REF!,"")</f>
        <v/>
      </c>
      <c r="SGV48" s="84" t="str">
        <f>IF(ISNUMBER(outYear),SGV37+SGV42+#REF!+#REF!,"")</f>
        <v/>
      </c>
      <c r="SGW48" s="84" t="str">
        <f>IF(ISNUMBER(outYear),SGW37+SGW42+#REF!+#REF!,"")</f>
        <v/>
      </c>
      <c r="SGX48" s="84" t="str">
        <f>IF(ISNUMBER(outYear),SGX37+SGX42+#REF!+#REF!,"")</f>
        <v/>
      </c>
      <c r="SGY48" s="84" t="str">
        <f>IF(ISNUMBER(outYear),SGY37+SGY42+#REF!+#REF!,"")</f>
        <v/>
      </c>
      <c r="SGZ48" s="84" t="str">
        <f>IF(ISNUMBER(outYear),SGZ37+SGZ42+#REF!+#REF!,"")</f>
        <v/>
      </c>
      <c r="SHA48" s="84" t="str">
        <f>IF(ISNUMBER(outYear),SHA37+SHA42+#REF!+#REF!,"")</f>
        <v/>
      </c>
      <c r="SHB48" s="84" t="str">
        <f>IF(ISNUMBER(outYear),SHB37+SHB42+#REF!+#REF!,"")</f>
        <v/>
      </c>
      <c r="SHC48" s="84" t="str">
        <f>IF(ISNUMBER(outYear),SHC37+SHC42+#REF!+#REF!,"")</f>
        <v/>
      </c>
      <c r="SHD48" s="84" t="str">
        <f>IF(ISNUMBER(outYear),SHD37+SHD42+#REF!+#REF!,"")</f>
        <v/>
      </c>
      <c r="SHE48" s="84" t="str">
        <f>IF(ISNUMBER(outYear),SHE37+SHE42+#REF!+#REF!,"")</f>
        <v/>
      </c>
      <c r="SHF48" s="84" t="str">
        <f>IF(ISNUMBER(outYear),SHF37+SHF42+#REF!+#REF!,"")</f>
        <v/>
      </c>
      <c r="SHG48" s="84" t="str">
        <f>IF(ISNUMBER(outYear),SHG37+SHG42+#REF!+#REF!,"")</f>
        <v/>
      </c>
      <c r="SHH48" s="84" t="str">
        <f>IF(ISNUMBER(outYear),SHH37+SHH42+#REF!+#REF!,"")</f>
        <v/>
      </c>
      <c r="SHI48" s="84" t="str">
        <f>IF(ISNUMBER(outYear),SHI37+SHI42+#REF!+#REF!,"")</f>
        <v/>
      </c>
      <c r="SHJ48" s="84" t="str">
        <f>IF(ISNUMBER(outYear),SHJ37+SHJ42+#REF!+#REF!,"")</f>
        <v/>
      </c>
      <c r="SHK48" s="84" t="str">
        <f>IF(ISNUMBER(outYear),SHK37+SHK42+#REF!+#REF!,"")</f>
        <v/>
      </c>
      <c r="SHL48" s="84" t="str">
        <f>IF(ISNUMBER(outYear),SHL37+SHL42+#REF!+#REF!,"")</f>
        <v/>
      </c>
      <c r="SHM48" s="84" t="str">
        <f>IF(ISNUMBER(outYear),SHM37+SHM42+#REF!+#REF!,"")</f>
        <v/>
      </c>
      <c r="SHN48" s="84" t="str">
        <f>IF(ISNUMBER(outYear),SHN37+SHN42+#REF!+#REF!,"")</f>
        <v/>
      </c>
      <c r="SHO48" s="84" t="str">
        <f>IF(ISNUMBER(outYear),SHO37+SHO42+#REF!+#REF!,"")</f>
        <v/>
      </c>
      <c r="SHP48" s="84" t="str">
        <f>IF(ISNUMBER(outYear),SHP37+SHP42+#REF!+#REF!,"")</f>
        <v/>
      </c>
      <c r="SHQ48" s="84" t="str">
        <f>IF(ISNUMBER(outYear),SHQ37+SHQ42+#REF!+#REF!,"")</f>
        <v/>
      </c>
      <c r="SHR48" s="84" t="str">
        <f>IF(ISNUMBER(outYear),SHR37+SHR42+#REF!+#REF!,"")</f>
        <v/>
      </c>
      <c r="SHS48" s="84" t="str">
        <f>IF(ISNUMBER(outYear),SHS37+SHS42+#REF!+#REF!,"")</f>
        <v/>
      </c>
      <c r="SHT48" s="84" t="str">
        <f>IF(ISNUMBER(outYear),SHT37+SHT42+#REF!+#REF!,"")</f>
        <v/>
      </c>
      <c r="SHU48" s="84" t="str">
        <f>IF(ISNUMBER(outYear),SHU37+SHU42+#REF!+#REF!,"")</f>
        <v/>
      </c>
      <c r="SHV48" s="84" t="str">
        <f>IF(ISNUMBER(outYear),SHV37+SHV42+#REF!+#REF!,"")</f>
        <v/>
      </c>
      <c r="SHW48" s="84" t="str">
        <f>IF(ISNUMBER(outYear),SHW37+SHW42+#REF!+#REF!,"")</f>
        <v/>
      </c>
      <c r="SHX48" s="84" t="str">
        <f>IF(ISNUMBER(outYear),SHX37+SHX42+#REF!+#REF!,"")</f>
        <v/>
      </c>
      <c r="SHY48" s="84" t="str">
        <f>IF(ISNUMBER(outYear),SHY37+SHY42+#REF!+#REF!,"")</f>
        <v/>
      </c>
      <c r="SHZ48" s="84" t="str">
        <f>IF(ISNUMBER(outYear),SHZ37+SHZ42+#REF!+#REF!,"")</f>
        <v/>
      </c>
      <c r="SIA48" s="84" t="str">
        <f>IF(ISNUMBER(outYear),SIA37+SIA42+#REF!+#REF!,"")</f>
        <v/>
      </c>
      <c r="SIB48" s="84" t="str">
        <f>IF(ISNUMBER(outYear),SIB37+SIB42+#REF!+#REF!,"")</f>
        <v/>
      </c>
      <c r="SIC48" s="84" t="str">
        <f>IF(ISNUMBER(outYear),SIC37+SIC42+#REF!+#REF!,"")</f>
        <v/>
      </c>
      <c r="SID48" s="84" t="str">
        <f>IF(ISNUMBER(outYear),SID37+SID42+#REF!+#REF!,"")</f>
        <v/>
      </c>
      <c r="SIE48" s="84" t="str">
        <f>IF(ISNUMBER(outYear),SIE37+SIE42+#REF!+#REF!,"")</f>
        <v/>
      </c>
      <c r="SIF48" s="84" t="str">
        <f>IF(ISNUMBER(outYear),SIF37+SIF42+#REF!+#REF!,"")</f>
        <v/>
      </c>
      <c r="SIG48" s="84" t="str">
        <f>IF(ISNUMBER(outYear),SIG37+SIG42+#REF!+#REF!,"")</f>
        <v/>
      </c>
      <c r="SIH48" s="84" t="str">
        <f>IF(ISNUMBER(outYear),SIH37+SIH42+#REF!+#REF!,"")</f>
        <v/>
      </c>
      <c r="SII48" s="84" t="str">
        <f>IF(ISNUMBER(outYear),SII37+SII42+#REF!+#REF!,"")</f>
        <v/>
      </c>
      <c r="SIJ48" s="84" t="str">
        <f>IF(ISNUMBER(outYear),SIJ37+SIJ42+#REF!+#REF!,"")</f>
        <v/>
      </c>
      <c r="SIK48" s="84" t="str">
        <f>IF(ISNUMBER(outYear),SIK37+SIK42+#REF!+#REF!,"")</f>
        <v/>
      </c>
      <c r="SIL48" s="84" t="str">
        <f>IF(ISNUMBER(outYear),SIL37+SIL42+#REF!+#REF!,"")</f>
        <v/>
      </c>
      <c r="SIM48" s="84" t="str">
        <f>IF(ISNUMBER(outYear),SIM37+SIM42+#REF!+#REF!,"")</f>
        <v/>
      </c>
      <c r="SIN48" s="84" t="str">
        <f>IF(ISNUMBER(outYear),SIN37+SIN42+#REF!+#REF!,"")</f>
        <v/>
      </c>
      <c r="SIO48" s="84" t="str">
        <f>IF(ISNUMBER(outYear),SIO37+SIO42+#REF!+#REF!,"")</f>
        <v/>
      </c>
      <c r="SIP48" s="84" t="str">
        <f>IF(ISNUMBER(outYear),SIP37+SIP42+#REF!+#REF!,"")</f>
        <v/>
      </c>
      <c r="SIQ48" s="84" t="str">
        <f>IF(ISNUMBER(outYear),SIQ37+SIQ42+#REF!+#REF!,"")</f>
        <v/>
      </c>
      <c r="SIR48" s="84" t="str">
        <f>IF(ISNUMBER(outYear),SIR37+SIR42+#REF!+#REF!,"")</f>
        <v/>
      </c>
      <c r="SIS48" s="84" t="str">
        <f>IF(ISNUMBER(outYear),SIS37+SIS42+#REF!+#REF!,"")</f>
        <v/>
      </c>
      <c r="SIT48" s="84" t="str">
        <f>IF(ISNUMBER(outYear),SIT37+SIT42+#REF!+#REF!,"")</f>
        <v/>
      </c>
      <c r="SIU48" s="84" t="str">
        <f>IF(ISNUMBER(outYear),SIU37+SIU42+#REF!+#REF!,"")</f>
        <v/>
      </c>
      <c r="SIV48" s="84" t="str">
        <f>IF(ISNUMBER(outYear),SIV37+SIV42+#REF!+#REF!,"")</f>
        <v/>
      </c>
      <c r="SIW48" s="84" t="str">
        <f>IF(ISNUMBER(outYear),SIW37+SIW42+#REF!+#REF!,"")</f>
        <v/>
      </c>
      <c r="SIX48" s="84" t="str">
        <f>IF(ISNUMBER(outYear),SIX37+SIX42+#REF!+#REF!,"")</f>
        <v/>
      </c>
      <c r="SIY48" s="84" t="str">
        <f>IF(ISNUMBER(outYear),SIY37+SIY42+#REF!+#REF!,"")</f>
        <v/>
      </c>
      <c r="SIZ48" s="84" t="str">
        <f>IF(ISNUMBER(outYear),SIZ37+SIZ42+#REF!+#REF!,"")</f>
        <v/>
      </c>
      <c r="SJA48" s="84" t="str">
        <f>IF(ISNUMBER(outYear),SJA37+SJA42+#REF!+#REF!,"")</f>
        <v/>
      </c>
      <c r="SJB48" s="84" t="str">
        <f>IF(ISNUMBER(outYear),SJB37+SJB42+#REF!+#REF!,"")</f>
        <v/>
      </c>
      <c r="SJC48" s="84" t="str">
        <f>IF(ISNUMBER(outYear),SJC37+SJC42+#REF!+#REF!,"")</f>
        <v/>
      </c>
      <c r="SJD48" s="84" t="str">
        <f>IF(ISNUMBER(outYear),SJD37+SJD42+#REF!+#REF!,"")</f>
        <v/>
      </c>
      <c r="SJE48" s="84" t="str">
        <f>IF(ISNUMBER(outYear),SJE37+SJE42+#REF!+#REF!,"")</f>
        <v/>
      </c>
      <c r="SJF48" s="84" t="str">
        <f>IF(ISNUMBER(outYear),SJF37+SJF42+#REF!+#REF!,"")</f>
        <v/>
      </c>
      <c r="SJG48" s="84" t="str">
        <f>IF(ISNUMBER(outYear),SJG37+SJG42+#REF!+#REF!,"")</f>
        <v/>
      </c>
      <c r="SJH48" s="84" t="str">
        <f>IF(ISNUMBER(outYear),SJH37+SJH42+#REF!+#REF!,"")</f>
        <v/>
      </c>
      <c r="SJI48" s="84" t="str">
        <f>IF(ISNUMBER(outYear),SJI37+SJI42+#REF!+#REF!,"")</f>
        <v/>
      </c>
      <c r="SJJ48" s="84" t="str">
        <f>IF(ISNUMBER(outYear),SJJ37+SJJ42+#REF!+#REF!,"")</f>
        <v/>
      </c>
      <c r="SJK48" s="84" t="str">
        <f>IF(ISNUMBER(outYear),SJK37+SJK42+#REF!+#REF!,"")</f>
        <v/>
      </c>
      <c r="SJL48" s="84" t="str">
        <f>IF(ISNUMBER(outYear),SJL37+SJL42+#REF!+#REF!,"")</f>
        <v/>
      </c>
      <c r="SJM48" s="84" t="str">
        <f>IF(ISNUMBER(outYear),SJM37+SJM42+#REF!+#REF!,"")</f>
        <v/>
      </c>
      <c r="SJN48" s="84" t="str">
        <f>IF(ISNUMBER(outYear),SJN37+SJN42+#REF!+#REF!,"")</f>
        <v/>
      </c>
      <c r="SJO48" s="84" t="str">
        <f>IF(ISNUMBER(outYear),SJO37+SJO42+#REF!+#REF!,"")</f>
        <v/>
      </c>
      <c r="SJP48" s="84" t="str">
        <f>IF(ISNUMBER(outYear),SJP37+SJP42+#REF!+#REF!,"")</f>
        <v/>
      </c>
      <c r="SJQ48" s="84" t="str">
        <f>IF(ISNUMBER(outYear),SJQ37+SJQ42+#REF!+#REF!,"")</f>
        <v/>
      </c>
      <c r="SJR48" s="84" t="str">
        <f>IF(ISNUMBER(outYear),SJR37+SJR42+#REF!+#REF!,"")</f>
        <v/>
      </c>
      <c r="SJS48" s="84" t="str">
        <f>IF(ISNUMBER(outYear),SJS37+SJS42+#REF!+#REF!,"")</f>
        <v/>
      </c>
      <c r="SJT48" s="84" t="str">
        <f>IF(ISNUMBER(outYear),SJT37+SJT42+#REF!+#REF!,"")</f>
        <v/>
      </c>
      <c r="SJU48" s="84" t="str">
        <f>IF(ISNUMBER(outYear),SJU37+SJU42+#REF!+#REF!,"")</f>
        <v/>
      </c>
      <c r="SJV48" s="84" t="str">
        <f>IF(ISNUMBER(outYear),SJV37+SJV42+#REF!+#REF!,"")</f>
        <v/>
      </c>
      <c r="SJW48" s="84" t="str">
        <f>IF(ISNUMBER(outYear),SJW37+SJW42+#REF!+#REF!,"")</f>
        <v/>
      </c>
      <c r="SJX48" s="84" t="str">
        <f>IF(ISNUMBER(outYear),SJX37+SJX42+#REF!+#REF!,"")</f>
        <v/>
      </c>
      <c r="SJY48" s="84" t="str">
        <f>IF(ISNUMBER(outYear),SJY37+SJY42+#REF!+#REF!,"")</f>
        <v/>
      </c>
      <c r="SJZ48" s="84" t="str">
        <f>IF(ISNUMBER(outYear),SJZ37+SJZ42+#REF!+#REF!,"")</f>
        <v/>
      </c>
      <c r="SKA48" s="84" t="str">
        <f>IF(ISNUMBER(outYear),SKA37+SKA42+#REF!+#REF!,"")</f>
        <v/>
      </c>
      <c r="SKB48" s="84" t="str">
        <f>IF(ISNUMBER(outYear),SKB37+SKB42+#REF!+#REF!,"")</f>
        <v/>
      </c>
      <c r="SKC48" s="84" t="str">
        <f>IF(ISNUMBER(outYear),SKC37+SKC42+#REF!+#REF!,"")</f>
        <v/>
      </c>
      <c r="SKD48" s="84" t="str">
        <f>IF(ISNUMBER(outYear),SKD37+SKD42+#REF!+#REF!,"")</f>
        <v/>
      </c>
      <c r="SKE48" s="84" t="str">
        <f>IF(ISNUMBER(outYear),SKE37+SKE42+#REF!+#REF!,"")</f>
        <v/>
      </c>
      <c r="SKF48" s="84" t="str">
        <f>IF(ISNUMBER(outYear),SKF37+SKF42+#REF!+#REF!,"")</f>
        <v/>
      </c>
      <c r="SKG48" s="84" t="str">
        <f>IF(ISNUMBER(outYear),SKG37+SKG42+#REF!+#REF!,"")</f>
        <v/>
      </c>
      <c r="SKH48" s="84" t="str">
        <f>IF(ISNUMBER(outYear),SKH37+SKH42+#REF!+#REF!,"")</f>
        <v/>
      </c>
      <c r="SKI48" s="84" t="str">
        <f>IF(ISNUMBER(outYear),SKI37+SKI42+#REF!+#REF!,"")</f>
        <v/>
      </c>
      <c r="SKJ48" s="84" t="str">
        <f>IF(ISNUMBER(outYear),SKJ37+SKJ42+#REF!+#REF!,"")</f>
        <v/>
      </c>
      <c r="SKK48" s="84" t="str">
        <f>IF(ISNUMBER(outYear),SKK37+SKK42+#REF!+#REF!,"")</f>
        <v/>
      </c>
      <c r="SKL48" s="84" t="str">
        <f>IF(ISNUMBER(outYear),SKL37+SKL42+#REF!+#REF!,"")</f>
        <v/>
      </c>
      <c r="SKM48" s="84" t="str">
        <f>IF(ISNUMBER(outYear),SKM37+SKM42+#REF!+#REF!,"")</f>
        <v/>
      </c>
      <c r="SKN48" s="84" t="str">
        <f>IF(ISNUMBER(outYear),SKN37+SKN42+#REF!+#REF!,"")</f>
        <v/>
      </c>
      <c r="SKO48" s="84" t="str">
        <f>IF(ISNUMBER(outYear),SKO37+SKO42+#REF!+#REF!,"")</f>
        <v/>
      </c>
      <c r="SKP48" s="84" t="str">
        <f>IF(ISNUMBER(outYear),SKP37+SKP42+#REF!+#REF!,"")</f>
        <v/>
      </c>
      <c r="SKQ48" s="84" t="str">
        <f>IF(ISNUMBER(outYear),SKQ37+SKQ42+#REF!+#REF!,"")</f>
        <v/>
      </c>
      <c r="SKR48" s="84" t="str">
        <f>IF(ISNUMBER(outYear),SKR37+SKR42+#REF!+#REF!,"")</f>
        <v/>
      </c>
      <c r="SKS48" s="84" t="str">
        <f>IF(ISNUMBER(outYear),SKS37+SKS42+#REF!+#REF!,"")</f>
        <v/>
      </c>
      <c r="SKT48" s="84" t="str">
        <f>IF(ISNUMBER(outYear),SKT37+SKT42+#REF!+#REF!,"")</f>
        <v/>
      </c>
      <c r="SKU48" s="84" t="str">
        <f>IF(ISNUMBER(outYear),SKU37+SKU42+#REF!+#REF!,"")</f>
        <v/>
      </c>
      <c r="SKV48" s="84" t="str">
        <f>IF(ISNUMBER(outYear),SKV37+SKV42+#REF!+#REF!,"")</f>
        <v/>
      </c>
      <c r="SKW48" s="84" t="str">
        <f>IF(ISNUMBER(outYear),SKW37+SKW42+#REF!+#REF!,"")</f>
        <v/>
      </c>
      <c r="SKX48" s="84" t="str">
        <f>IF(ISNUMBER(outYear),SKX37+SKX42+#REF!+#REF!,"")</f>
        <v/>
      </c>
      <c r="SKY48" s="84" t="str">
        <f>IF(ISNUMBER(outYear),SKY37+SKY42+#REF!+#REF!,"")</f>
        <v/>
      </c>
      <c r="SKZ48" s="84" t="str">
        <f>IF(ISNUMBER(outYear),SKZ37+SKZ42+#REF!+#REF!,"")</f>
        <v/>
      </c>
      <c r="SLA48" s="84" t="str">
        <f>IF(ISNUMBER(outYear),SLA37+SLA42+#REF!+#REF!,"")</f>
        <v/>
      </c>
      <c r="SLB48" s="84" t="str">
        <f>IF(ISNUMBER(outYear),SLB37+SLB42+#REF!+#REF!,"")</f>
        <v/>
      </c>
      <c r="SLC48" s="84" t="str">
        <f>IF(ISNUMBER(outYear),SLC37+SLC42+#REF!+#REF!,"")</f>
        <v/>
      </c>
      <c r="SLD48" s="84" t="str">
        <f>IF(ISNUMBER(outYear),SLD37+SLD42+#REF!+#REF!,"")</f>
        <v/>
      </c>
      <c r="SLE48" s="84" t="str">
        <f>IF(ISNUMBER(outYear),SLE37+SLE42+#REF!+#REF!,"")</f>
        <v/>
      </c>
      <c r="SLF48" s="84" t="str">
        <f>IF(ISNUMBER(outYear),SLF37+SLF42+#REF!+#REF!,"")</f>
        <v/>
      </c>
      <c r="SLG48" s="84" t="str">
        <f>IF(ISNUMBER(outYear),SLG37+SLG42+#REF!+#REF!,"")</f>
        <v/>
      </c>
      <c r="SLH48" s="84" t="str">
        <f>IF(ISNUMBER(outYear),SLH37+SLH42+#REF!+#REF!,"")</f>
        <v/>
      </c>
      <c r="SLI48" s="84" t="str">
        <f>IF(ISNUMBER(outYear),SLI37+SLI42+#REF!+#REF!,"")</f>
        <v/>
      </c>
      <c r="SLJ48" s="84" t="str">
        <f>IF(ISNUMBER(outYear),SLJ37+SLJ42+#REF!+#REF!,"")</f>
        <v/>
      </c>
      <c r="SLK48" s="84" t="str">
        <f>IF(ISNUMBER(outYear),SLK37+SLK42+#REF!+#REF!,"")</f>
        <v/>
      </c>
      <c r="SLL48" s="84" t="str">
        <f>IF(ISNUMBER(outYear),SLL37+SLL42+#REF!+#REF!,"")</f>
        <v/>
      </c>
      <c r="SLM48" s="84" t="str">
        <f>IF(ISNUMBER(outYear),SLM37+SLM42+#REF!+#REF!,"")</f>
        <v/>
      </c>
      <c r="SLN48" s="84" t="str">
        <f>IF(ISNUMBER(outYear),SLN37+SLN42+#REF!+#REF!,"")</f>
        <v/>
      </c>
      <c r="SLO48" s="84" t="str">
        <f>IF(ISNUMBER(outYear),SLO37+SLO42+#REF!+#REF!,"")</f>
        <v/>
      </c>
      <c r="SLP48" s="84" t="str">
        <f>IF(ISNUMBER(outYear),SLP37+SLP42+#REF!+#REF!,"")</f>
        <v/>
      </c>
      <c r="SLQ48" s="84" t="str">
        <f>IF(ISNUMBER(outYear),SLQ37+SLQ42+#REF!+#REF!,"")</f>
        <v/>
      </c>
      <c r="SLR48" s="84" t="str">
        <f>IF(ISNUMBER(outYear),SLR37+SLR42+#REF!+#REF!,"")</f>
        <v/>
      </c>
      <c r="SLS48" s="84" t="str">
        <f>IF(ISNUMBER(outYear),SLS37+SLS42+#REF!+#REF!,"")</f>
        <v/>
      </c>
      <c r="SLT48" s="84" t="str">
        <f>IF(ISNUMBER(outYear),SLT37+SLT42+#REF!+#REF!,"")</f>
        <v/>
      </c>
      <c r="SLU48" s="84" t="str">
        <f>IF(ISNUMBER(outYear),SLU37+SLU42+#REF!+#REF!,"")</f>
        <v/>
      </c>
      <c r="SLV48" s="84" t="str">
        <f>IF(ISNUMBER(outYear),SLV37+SLV42+#REF!+#REF!,"")</f>
        <v/>
      </c>
      <c r="SLW48" s="84" t="str">
        <f>IF(ISNUMBER(outYear),SLW37+SLW42+#REF!+#REF!,"")</f>
        <v/>
      </c>
      <c r="SLX48" s="84" t="str">
        <f>IF(ISNUMBER(outYear),SLX37+SLX42+#REF!+#REF!,"")</f>
        <v/>
      </c>
      <c r="SLY48" s="84" t="str">
        <f>IF(ISNUMBER(outYear),SLY37+SLY42+#REF!+#REF!,"")</f>
        <v/>
      </c>
      <c r="SLZ48" s="84" t="str">
        <f>IF(ISNUMBER(outYear),SLZ37+SLZ42+#REF!+#REF!,"")</f>
        <v/>
      </c>
      <c r="SMA48" s="84" t="str">
        <f>IF(ISNUMBER(outYear),SMA37+SMA42+#REF!+#REF!,"")</f>
        <v/>
      </c>
      <c r="SMB48" s="84" t="str">
        <f>IF(ISNUMBER(outYear),SMB37+SMB42+#REF!+#REF!,"")</f>
        <v/>
      </c>
      <c r="SMC48" s="84" t="str">
        <f>IF(ISNUMBER(outYear),SMC37+SMC42+#REF!+#REF!,"")</f>
        <v/>
      </c>
      <c r="SMD48" s="84" t="str">
        <f>IF(ISNUMBER(outYear),SMD37+SMD42+#REF!+#REF!,"")</f>
        <v/>
      </c>
      <c r="SME48" s="84" t="str">
        <f>IF(ISNUMBER(outYear),SME37+SME42+#REF!+#REF!,"")</f>
        <v/>
      </c>
      <c r="SMF48" s="84" t="str">
        <f>IF(ISNUMBER(outYear),SMF37+SMF42+#REF!+#REF!,"")</f>
        <v/>
      </c>
      <c r="SMG48" s="84" t="str">
        <f>IF(ISNUMBER(outYear),SMG37+SMG42+#REF!+#REF!,"")</f>
        <v/>
      </c>
      <c r="SMH48" s="84" t="str">
        <f>IF(ISNUMBER(outYear),SMH37+SMH42+#REF!+#REF!,"")</f>
        <v/>
      </c>
      <c r="SMI48" s="84" t="str">
        <f>IF(ISNUMBER(outYear),SMI37+SMI42+#REF!+#REF!,"")</f>
        <v/>
      </c>
      <c r="SMJ48" s="84" t="str">
        <f>IF(ISNUMBER(outYear),SMJ37+SMJ42+#REF!+#REF!,"")</f>
        <v/>
      </c>
      <c r="SMK48" s="84" t="str">
        <f>IF(ISNUMBER(outYear),SMK37+SMK42+#REF!+#REF!,"")</f>
        <v/>
      </c>
      <c r="SML48" s="84" t="str">
        <f>IF(ISNUMBER(outYear),SML37+SML42+#REF!+#REF!,"")</f>
        <v/>
      </c>
      <c r="SMM48" s="84" t="str">
        <f>IF(ISNUMBER(outYear),SMM37+SMM42+#REF!+#REF!,"")</f>
        <v/>
      </c>
      <c r="SMN48" s="84" t="str">
        <f>IF(ISNUMBER(outYear),SMN37+SMN42+#REF!+#REF!,"")</f>
        <v/>
      </c>
      <c r="SMO48" s="84" t="str">
        <f>IF(ISNUMBER(outYear),SMO37+SMO42+#REF!+#REF!,"")</f>
        <v/>
      </c>
      <c r="SMP48" s="84" t="str">
        <f>IF(ISNUMBER(outYear),SMP37+SMP42+#REF!+#REF!,"")</f>
        <v/>
      </c>
      <c r="SMQ48" s="84" t="str">
        <f>IF(ISNUMBER(outYear),SMQ37+SMQ42+#REF!+#REF!,"")</f>
        <v/>
      </c>
      <c r="SMR48" s="84" t="str">
        <f>IF(ISNUMBER(outYear),SMR37+SMR42+#REF!+#REF!,"")</f>
        <v/>
      </c>
      <c r="SMS48" s="84" t="str">
        <f>IF(ISNUMBER(outYear),SMS37+SMS42+#REF!+#REF!,"")</f>
        <v/>
      </c>
      <c r="SMT48" s="84" t="str">
        <f>IF(ISNUMBER(outYear),SMT37+SMT42+#REF!+#REF!,"")</f>
        <v/>
      </c>
      <c r="SMU48" s="84" t="str">
        <f>IF(ISNUMBER(outYear),SMU37+SMU42+#REF!+#REF!,"")</f>
        <v/>
      </c>
      <c r="SMV48" s="84" t="str">
        <f>IF(ISNUMBER(outYear),SMV37+SMV42+#REF!+#REF!,"")</f>
        <v/>
      </c>
      <c r="SMW48" s="84" t="str">
        <f>IF(ISNUMBER(outYear),SMW37+SMW42+#REF!+#REF!,"")</f>
        <v/>
      </c>
      <c r="SMX48" s="84" t="str">
        <f>IF(ISNUMBER(outYear),SMX37+SMX42+#REF!+#REF!,"")</f>
        <v/>
      </c>
      <c r="SMY48" s="84" t="str">
        <f>IF(ISNUMBER(outYear),SMY37+SMY42+#REF!+#REF!,"")</f>
        <v/>
      </c>
      <c r="SMZ48" s="84" t="str">
        <f>IF(ISNUMBER(outYear),SMZ37+SMZ42+#REF!+#REF!,"")</f>
        <v/>
      </c>
      <c r="SNA48" s="84" t="str">
        <f>IF(ISNUMBER(outYear),SNA37+SNA42+#REF!+#REF!,"")</f>
        <v/>
      </c>
      <c r="SNB48" s="84" t="str">
        <f>IF(ISNUMBER(outYear),SNB37+SNB42+#REF!+#REF!,"")</f>
        <v/>
      </c>
      <c r="SNC48" s="84" t="str">
        <f>IF(ISNUMBER(outYear),SNC37+SNC42+#REF!+#REF!,"")</f>
        <v/>
      </c>
      <c r="SND48" s="84" t="str">
        <f>IF(ISNUMBER(outYear),SND37+SND42+#REF!+#REF!,"")</f>
        <v/>
      </c>
      <c r="SNE48" s="84" t="str">
        <f>IF(ISNUMBER(outYear),SNE37+SNE42+#REF!+#REF!,"")</f>
        <v/>
      </c>
      <c r="SNF48" s="84" t="str">
        <f>IF(ISNUMBER(outYear),SNF37+SNF42+#REF!+#REF!,"")</f>
        <v/>
      </c>
      <c r="SNG48" s="84" t="str">
        <f>IF(ISNUMBER(outYear),SNG37+SNG42+#REF!+#REF!,"")</f>
        <v/>
      </c>
      <c r="SNH48" s="84" t="str">
        <f>IF(ISNUMBER(outYear),SNH37+SNH42+#REF!+#REF!,"")</f>
        <v/>
      </c>
      <c r="SNI48" s="84" t="str">
        <f>IF(ISNUMBER(outYear),SNI37+SNI42+#REF!+#REF!,"")</f>
        <v/>
      </c>
      <c r="SNJ48" s="84" t="str">
        <f>IF(ISNUMBER(outYear),SNJ37+SNJ42+#REF!+#REF!,"")</f>
        <v/>
      </c>
      <c r="SNK48" s="84" t="str">
        <f>IF(ISNUMBER(outYear),SNK37+SNK42+#REF!+#REF!,"")</f>
        <v/>
      </c>
      <c r="SNL48" s="84" t="str">
        <f>IF(ISNUMBER(outYear),SNL37+SNL42+#REF!+#REF!,"")</f>
        <v/>
      </c>
      <c r="SNM48" s="84" t="str">
        <f>IF(ISNUMBER(outYear),SNM37+SNM42+#REF!+#REF!,"")</f>
        <v/>
      </c>
      <c r="SNN48" s="84" t="str">
        <f>IF(ISNUMBER(outYear),SNN37+SNN42+#REF!+#REF!,"")</f>
        <v/>
      </c>
      <c r="SNO48" s="84" t="str">
        <f>IF(ISNUMBER(outYear),SNO37+SNO42+#REF!+#REF!,"")</f>
        <v/>
      </c>
      <c r="SNP48" s="84" t="str">
        <f>IF(ISNUMBER(outYear),SNP37+SNP42+#REF!+#REF!,"")</f>
        <v/>
      </c>
      <c r="SNQ48" s="84" t="str">
        <f>IF(ISNUMBER(outYear),SNQ37+SNQ42+#REF!+#REF!,"")</f>
        <v/>
      </c>
      <c r="SNR48" s="84" t="str">
        <f>IF(ISNUMBER(outYear),SNR37+SNR42+#REF!+#REF!,"")</f>
        <v/>
      </c>
      <c r="SNS48" s="84" t="str">
        <f>IF(ISNUMBER(outYear),SNS37+SNS42+#REF!+#REF!,"")</f>
        <v/>
      </c>
      <c r="SNT48" s="84" t="str">
        <f>IF(ISNUMBER(outYear),SNT37+SNT42+#REF!+#REF!,"")</f>
        <v/>
      </c>
      <c r="SNU48" s="84" t="str">
        <f>IF(ISNUMBER(outYear),SNU37+SNU42+#REF!+#REF!,"")</f>
        <v/>
      </c>
      <c r="SNV48" s="84" t="str">
        <f>IF(ISNUMBER(outYear),SNV37+SNV42+#REF!+#REF!,"")</f>
        <v/>
      </c>
      <c r="SNW48" s="84" t="str">
        <f>IF(ISNUMBER(outYear),SNW37+SNW42+#REF!+#REF!,"")</f>
        <v/>
      </c>
      <c r="SNX48" s="84" t="str">
        <f>IF(ISNUMBER(outYear),SNX37+SNX42+#REF!+#REF!,"")</f>
        <v/>
      </c>
      <c r="SNY48" s="84" t="str">
        <f>IF(ISNUMBER(outYear),SNY37+SNY42+#REF!+#REF!,"")</f>
        <v/>
      </c>
      <c r="SNZ48" s="84" t="str">
        <f>IF(ISNUMBER(outYear),SNZ37+SNZ42+#REF!+#REF!,"")</f>
        <v/>
      </c>
      <c r="SOA48" s="84" t="str">
        <f>IF(ISNUMBER(outYear),SOA37+SOA42+#REF!+#REF!,"")</f>
        <v/>
      </c>
      <c r="SOB48" s="84" t="str">
        <f>IF(ISNUMBER(outYear),SOB37+SOB42+#REF!+#REF!,"")</f>
        <v/>
      </c>
      <c r="SOC48" s="84" t="str">
        <f>IF(ISNUMBER(outYear),SOC37+SOC42+#REF!+#REF!,"")</f>
        <v/>
      </c>
      <c r="SOD48" s="84" t="str">
        <f>IF(ISNUMBER(outYear),SOD37+SOD42+#REF!+#REF!,"")</f>
        <v/>
      </c>
      <c r="SOE48" s="84" t="str">
        <f>IF(ISNUMBER(outYear),SOE37+SOE42+#REF!+#REF!,"")</f>
        <v/>
      </c>
      <c r="SOF48" s="84" t="str">
        <f>IF(ISNUMBER(outYear),SOF37+SOF42+#REF!+#REF!,"")</f>
        <v/>
      </c>
      <c r="SOG48" s="84" t="str">
        <f>IF(ISNUMBER(outYear),SOG37+SOG42+#REF!+#REF!,"")</f>
        <v/>
      </c>
      <c r="SOH48" s="84" t="str">
        <f>IF(ISNUMBER(outYear),SOH37+SOH42+#REF!+#REF!,"")</f>
        <v/>
      </c>
      <c r="SOI48" s="84" t="str">
        <f>IF(ISNUMBER(outYear),SOI37+SOI42+#REF!+#REF!,"")</f>
        <v/>
      </c>
      <c r="SOJ48" s="84" t="str">
        <f>IF(ISNUMBER(outYear),SOJ37+SOJ42+#REF!+#REF!,"")</f>
        <v/>
      </c>
      <c r="SOK48" s="84" t="str">
        <f>IF(ISNUMBER(outYear),SOK37+SOK42+#REF!+#REF!,"")</f>
        <v/>
      </c>
      <c r="SOL48" s="84" t="str">
        <f>IF(ISNUMBER(outYear),SOL37+SOL42+#REF!+#REF!,"")</f>
        <v/>
      </c>
      <c r="SOM48" s="84" t="str">
        <f>IF(ISNUMBER(outYear),SOM37+SOM42+#REF!+#REF!,"")</f>
        <v/>
      </c>
      <c r="SON48" s="84" t="str">
        <f>IF(ISNUMBER(outYear),SON37+SON42+#REF!+#REF!,"")</f>
        <v/>
      </c>
      <c r="SOO48" s="84" t="str">
        <f>IF(ISNUMBER(outYear),SOO37+SOO42+#REF!+#REF!,"")</f>
        <v/>
      </c>
      <c r="SOP48" s="84" t="str">
        <f>IF(ISNUMBER(outYear),SOP37+SOP42+#REF!+#REF!,"")</f>
        <v/>
      </c>
      <c r="SOQ48" s="84" t="str">
        <f>IF(ISNUMBER(outYear),SOQ37+SOQ42+#REF!+#REF!,"")</f>
        <v/>
      </c>
      <c r="SOR48" s="84" t="str">
        <f>IF(ISNUMBER(outYear),SOR37+SOR42+#REF!+#REF!,"")</f>
        <v/>
      </c>
      <c r="SOS48" s="84" t="str">
        <f>IF(ISNUMBER(outYear),SOS37+SOS42+#REF!+#REF!,"")</f>
        <v/>
      </c>
      <c r="SOT48" s="84" t="str">
        <f>IF(ISNUMBER(outYear),SOT37+SOT42+#REF!+#REF!,"")</f>
        <v/>
      </c>
      <c r="SOU48" s="84" t="str">
        <f>IF(ISNUMBER(outYear),SOU37+SOU42+#REF!+#REF!,"")</f>
        <v/>
      </c>
      <c r="SOV48" s="84" t="str">
        <f>IF(ISNUMBER(outYear),SOV37+SOV42+#REF!+#REF!,"")</f>
        <v/>
      </c>
      <c r="SOW48" s="84" t="str">
        <f>IF(ISNUMBER(outYear),SOW37+SOW42+#REF!+#REF!,"")</f>
        <v/>
      </c>
      <c r="SOX48" s="84" t="str">
        <f>IF(ISNUMBER(outYear),SOX37+SOX42+#REF!+#REF!,"")</f>
        <v/>
      </c>
      <c r="SOY48" s="84" t="str">
        <f>IF(ISNUMBER(outYear),SOY37+SOY42+#REF!+#REF!,"")</f>
        <v/>
      </c>
      <c r="SOZ48" s="84" t="str">
        <f>IF(ISNUMBER(outYear),SOZ37+SOZ42+#REF!+#REF!,"")</f>
        <v/>
      </c>
      <c r="SPA48" s="84" t="str">
        <f>IF(ISNUMBER(outYear),SPA37+SPA42+#REF!+#REF!,"")</f>
        <v/>
      </c>
      <c r="SPB48" s="84" t="str">
        <f>IF(ISNUMBER(outYear),SPB37+SPB42+#REF!+#REF!,"")</f>
        <v/>
      </c>
      <c r="SPC48" s="84" t="str">
        <f>IF(ISNUMBER(outYear),SPC37+SPC42+#REF!+#REF!,"")</f>
        <v/>
      </c>
      <c r="SPD48" s="84" t="str">
        <f>IF(ISNUMBER(outYear),SPD37+SPD42+#REF!+#REF!,"")</f>
        <v/>
      </c>
      <c r="SPE48" s="84" t="str">
        <f>IF(ISNUMBER(outYear),SPE37+SPE42+#REF!+#REF!,"")</f>
        <v/>
      </c>
      <c r="SPF48" s="84" t="str">
        <f>IF(ISNUMBER(outYear),SPF37+SPF42+#REF!+#REF!,"")</f>
        <v/>
      </c>
      <c r="SPG48" s="84" t="str">
        <f>IF(ISNUMBER(outYear),SPG37+SPG42+#REF!+#REF!,"")</f>
        <v/>
      </c>
      <c r="SPH48" s="84" t="str">
        <f>IF(ISNUMBER(outYear),SPH37+SPH42+#REF!+#REF!,"")</f>
        <v/>
      </c>
      <c r="SPI48" s="84" t="str">
        <f>IF(ISNUMBER(outYear),SPI37+SPI42+#REF!+#REF!,"")</f>
        <v/>
      </c>
      <c r="SPJ48" s="84" t="str">
        <f>IF(ISNUMBER(outYear),SPJ37+SPJ42+#REF!+#REF!,"")</f>
        <v/>
      </c>
      <c r="SPK48" s="84" t="str">
        <f>IF(ISNUMBER(outYear),SPK37+SPK42+#REF!+#REF!,"")</f>
        <v/>
      </c>
      <c r="SPL48" s="84" t="str">
        <f>IF(ISNUMBER(outYear),SPL37+SPL42+#REF!+#REF!,"")</f>
        <v/>
      </c>
      <c r="SPM48" s="84" t="str">
        <f>IF(ISNUMBER(outYear),SPM37+SPM42+#REF!+#REF!,"")</f>
        <v/>
      </c>
      <c r="SPN48" s="84" t="str">
        <f>IF(ISNUMBER(outYear),SPN37+SPN42+#REF!+#REF!,"")</f>
        <v/>
      </c>
      <c r="SPO48" s="84" t="str">
        <f>IF(ISNUMBER(outYear),SPO37+SPO42+#REF!+#REF!,"")</f>
        <v/>
      </c>
      <c r="SPP48" s="84" t="str">
        <f>IF(ISNUMBER(outYear),SPP37+SPP42+#REF!+#REF!,"")</f>
        <v/>
      </c>
      <c r="SPQ48" s="84" t="str">
        <f>IF(ISNUMBER(outYear),SPQ37+SPQ42+#REF!+#REF!,"")</f>
        <v/>
      </c>
      <c r="SPR48" s="84" t="str">
        <f>IF(ISNUMBER(outYear),SPR37+SPR42+#REF!+#REF!,"")</f>
        <v/>
      </c>
      <c r="SPS48" s="84" t="str">
        <f>IF(ISNUMBER(outYear),SPS37+SPS42+#REF!+#REF!,"")</f>
        <v/>
      </c>
      <c r="SPT48" s="84" t="str">
        <f>IF(ISNUMBER(outYear),SPT37+SPT42+#REF!+#REF!,"")</f>
        <v/>
      </c>
      <c r="SPU48" s="84" t="str">
        <f>IF(ISNUMBER(outYear),SPU37+SPU42+#REF!+#REF!,"")</f>
        <v/>
      </c>
      <c r="SPV48" s="84" t="str">
        <f>IF(ISNUMBER(outYear),SPV37+SPV42+#REF!+#REF!,"")</f>
        <v/>
      </c>
      <c r="SPW48" s="84" t="str">
        <f>IF(ISNUMBER(outYear),SPW37+SPW42+#REF!+#REF!,"")</f>
        <v/>
      </c>
      <c r="SPX48" s="84" t="str">
        <f>IF(ISNUMBER(outYear),SPX37+SPX42+#REF!+#REF!,"")</f>
        <v/>
      </c>
      <c r="SPY48" s="84" t="str">
        <f>IF(ISNUMBER(outYear),SPY37+SPY42+#REF!+#REF!,"")</f>
        <v/>
      </c>
      <c r="SPZ48" s="84" t="str">
        <f>IF(ISNUMBER(outYear),SPZ37+SPZ42+#REF!+#REF!,"")</f>
        <v/>
      </c>
      <c r="SQA48" s="84" t="str">
        <f>IF(ISNUMBER(outYear),SQA37+SQA42+#REF!+#REF!,"")</f>
        <v/>
      </c>
      <c r="SQB48" s="84" t="str">
        <f>IF(ISNUMBER(outYear),SQB37+SQB42+#REF!+#REF!,"")</f>
        <v/>
      </c>
      <c r="SQC48" s="84" t="str">
        <f>IF(ISNUMBER(outYear),SQC37+SQC42+#REF!+#REF!,"")</f>
        <v/>
      </c>
      <c r="SQD48" s="84" t="str">
        <f>IF(ISNUMBER(outYear),SQD37+SQD42+#REF!+#REF!,"")</f>
        <v/>
      </c>
      <c r="SQE48" s="84" t="str">
        <f>IF(ISNUMBER(outYear),SQE37+SQE42+#REF!+#REF!,"")</f>
        <v/>
      </c>
      <c r="SQF48" s="84" t="str">
        <f>IF(ISNUMBER(outYear),SQF37+SQF42+#REF!+#REF!,"")</f>
        <v/>
      </c>
      <c r="SQG48" s="84" t="str">
        <f>IF(ISNUMBER(outYear),SQG37+SQG42+#REF!+#REF!,"")</f>
        <v/>
      </c>
      <c r="SQH48" s="84" t="str">
        <f>IF(ISNUMBER(outYear),SQH37+SQH42+#REF!+#REF!,"")</f>
        <v/>
      </c>
      <c r="SQI48" s="84" t="str">
        <f>IF(ISNUMBER(outYear),SQI37+SQI42+#REF!+#REF!,"")</f>
        <v/>
      </c>
      <c r="SQJ48" s="84" t="str">
        <f>IF(ISNUMBER(outYear),SQJ37+SQJ42+#REF!+#REF!,"")</f>
        <v/>
      </c>
      <c r="SQK48" s="84" t="str">
        <f>IF(ISNUMBER(outYear),SQK37+SQK42+#REF!+#REF!,"")</f>
        <v/>
      </c>
      <c r="SQL48" s="84" t="str">
        <f>IF(ISNUMBER(outYear),SQL37+SQL42+#REF!+#REF!,"")</f>
        <v/>
      </c>
      <c r="SQM48" s="84" t="str">
        <f>IF(ISNUMBER(outYear),SQM37+SQM42+#REF!+#REF!,"")</f>
        <v/>
      </c>
      <c r="SQN48" s="84" t="str">
        <f>IF(ISNUMBER(outYear),SQN37+SQN42+#REF!+#REF!,"")</f>
        <v/>
      </c>
      <c r="SQO48" s="84" t="str">
        <f>IF(ISNUMBER(outYear),SQO37+SQO42+#REF!+#REF!,"")</f>
        <v/>
      </c>
      <c r="SQP48" s="84" t="str">
        <f>IF(ISNUMBER(outYear),SQP37+SQP42+#REF!+#REF!,"")</f>
        <v/>
      </c>
      <c r="SQQ48" s="84" t="str">
        <f>IF(ISNUMBER(outYear),SQQ37+SQQ42+#REF!+#REF!,"")</f>
        <v/>
      </c>
      <c r="SQR48" s="84" t="str">
        <f>IF(ISNUMBER(outYear),SQR37+SQR42+#REF!+#REF!,"")</f>
        <v/>
      </c>
      <c r="SQS48" s="84" t="str">
        <f>IF(ISNUMBER(outYear),SQS37+SQS42+#REF!+#REF!,"")</f>
        <v/>
      </c>
      <c r="SQT48" s="84" t="str">
        <f>IF(ISNUMBER(outYear),SQT37+SQT42+#REF!+#REF!,"")</f>
        <v/>
      </c>
      <c r="SQU48" s="84" t="str">
        <f>IF(ISNUMBER(outYear),SQU37+SQU42+#REF!+#REF!,"")</f>
        <v/>
      </c>
      <c r="SQV48" s="84" t="str">
        <f>IF(ISNUMBER(outYear),SQV37+SQV42+#REF!+#REF!,"")</f>
        <v/>
      </c>
      <c r="SQW48" s="84" t="str">
        <f>IF(ISNUMBER(outYear),SQW37+SQW42+#REF!+#REF!,"")</f>
        <v/>
      </c>
      <c r="SQX48" s="84" t="str">
        <f>IF(ISNUMBER(outYear),SQX37+SQX42+#REF!+#REF!,"")</f>
        <v/>
      </c>
      <c r="SQY48" s="84" t="str">
        <f>IF(ISNUMBER(outYear),SQY37+SQY42+#REF!+#REF!,"")</f>
        <v/>
      </c>
      <c r="SQZ48" s="84" t="str">
        <f>IF(ISNUMBER(outYear),SQZ37+SQZ42+#REF!+#REF!,"")</f>
        <v/>
      </c>
      <c r="SRA48" s="84" t="str">
        <f>IF(ISNUMBER(outYear),SRA37+SRA42+#REF!+#REF!,"")</f>
        <v/>
      </c>
      <c r="SRB48" s="84" t="str">
        <f>IF(ISNUMBER(outYear),SRB37+SRB42+#REF!+#REF!,"")</f>
        <v/>
      </c>
      <c r="SRC48" s="84" t="str">
        <f>IF(ISNUMBER(outYear),SRC37+SRC42+#REF!+#REF!,"")</f>
        <v/>
      </c>
      <c r="SRD48" s="84" t="str">
        <f>IF(ISNUMBER(outYear),SRD37+SRD42+#REF!+#REF!,"")</f>
        <v/>
      </c>
      <c r="SRE48" s="84" t="str">
        <f>IF(ISNUMBER(outYear),SRE37+SRE42+#REF!+#REF!,"")</f>
        <v/>
      </c>
      <c r="SRF48" s="84" t="str">
        <f>IF(ISNUMBER(outYear),SRF37+SRF42+#REF!+#REF!,"")</f>
        <v/>
      </c>
      <c r="SRG48" s="84" t="str">
        <f>IF(ISNUMBER(outYear),SRG37+SRG42+#REF!+#REF!,"")</f>
        <v/>
      </c>
      <c r="SRH48" s="84" t="str">
        <f>IF(ISNUMBER(outYear),SRH37+SRH42+#REF!+#REF!,"")</f>
        <v/>
      </c>
      <c r="SRI48" s="84" t="str">
        <f>IF(ISNUMBER(outYear),SRI37+SRI42+#REF!+#REF!,"")</f>
        <v/>
      </c>
      <c r="SRJ48" s="84" t="str">
        <f>IF(ISNUMBER(outYear),SRJ37+SRJ42+#REF!+#REF!,"")</f>
        <v/>
      </c>
      <c r="SRK48" s="84" t="str">
        <f>IF(ISNUMBER(outYear),SRK37+SRK42+#REF!+#REF!,"")</f>
        <v/>
      </c>
      <c r="SRL48" s="84" t="str">
        <f>IF(ISNUMBER(outYear),SRL37+SRL42+#REF!+#REF!,"")</f>
        <v/>
      </c>
      <c r="SRM48" s="84" t="str">
        <f>IF(ISNUMBER(outYear),SRM37+SRM42+#REF!+#REF!,"")</f>
        <v/>
      </c>
      <c r="SRN48" s="84" t="str">
        <f>IF(ISNUMBER(outYear),SRN37+SRN42+#REF!+#REF!,"")</f>
        <v/>
      </c>
      <c r="SRO48" s="84" t="str">
        <f>IF(ISNUMBER(outYear),SRO37+SRO42+#REF!+#REF!,"")</f>
        <v/>
      </c>
      <c r="SRP48" s="84" t="str">
        <f>IF(ISNUMBER(outYear),SRP37+SRP42+#REF!+#REF!,"")</f>
        <v/>
      </c>
      <c r="SRQ48" s="84" t="str">
        <f>IF(ISNUMBER(outYear),SRQ37+SRQ42+#REF!+#REF!,"")</f>
        <v/>
      </c>
      <c r="SRR48" s="84" t="str">
        <f>IF(ISNUMBER(outYear),SRR37+SRR42+#REF!+#REF!,"")</f>
        <v/>
      </c>
      <c r="SRS48" s="84" t="str">
        <f>IF(ISNUMBER(outYear),SRS37+SRS42+#REF!+#REF!,"")</f>
        <v/>
      </c>
      <c r="SRT48" s="84" t="str">
        <f>IF(ISNUMBER(outYear),SRT37+SRT42+#REF!+#REF!,"")</f>
        <v/>
      </c>
      <c r="SRU48" s="84" t="str">
        <f>IF(ISNUMBER(outYear),SRU37+SRU42+#REF!+#REF!,"")</f>
        <v/>
      </c>
      <c r="SRV48" s="84" t="str">
        <f>IF(ISNUMBER(outYear),SRV37+SRV42+#REF!+#REF!,"")</f>
        <v/>
      </c>
      <c r="SRW48" s="84" t="str">
        <f>IF(ISNUMBER(outYear),SRW37+SRW42+#REF!+#REF!,"")</f>
        <v/>
      </c>
      <c r="SRX48" s="84" t="str">
        <f>IF(ISNUMBER(outYear),SRX37+SRX42+#REF!+#REF!,"")</f>
        <v/>
      </c>
      <c r="SRY48" s="84" t="str">
        <f>IF(ISNUMBER(outYear),SRY37+SRY42+#REF!+#REF!,"")</f>
        <v/>
      </c>
      <c r="SRZ48" s="84" t="str">
        <f>IF(ISNUMBER(outYear),SRZ37+SRZ42+#REF!+#REF!,"")</f>
        <v/>
      </c>
      <c r="SSA48" s="84" t="str">
        <f>IF(ISNUMBER(outYear),SSA37+SSA42+#REF!+#REF!,"")</f>
        <v/>
      </c>
      <c r="SSB48" s="84" t="str">
        <f>IF(ISNUMBER(outYear),SSB37+SSB42+#REF!+#REF!,"")</f>
        <v/>
      </c>
      <c r="SSC48" s="84" t="str">
        <f>IF(ISNUMBER(outYear),SSC37+SSC42+#REF!+#REF!,"")</f>
        <v/>
      </c>
      <c r="SSD48" s="84" t="str">
        <f>IF(ISNUMBER(outYear),SSD37+SSD42+#REF!+#REF!,"")</f>
        <v/>
      </c>
      <c r="SSE48" s="84" t="str">
        <f>IF(ISNUMBER(outYear),SSE37+SSE42+#REF!+#REF!,"")</f>
        <v/>
      </c>
      <c r="SSF48" s="84" t="str">
        <f>IF(ISNUMBER(outYear),SSF37+SSF42+#REF!+#REF!,"")</f>
        <v/>
      </c>
      <c r="SSG48" s="84" t="str">
        <f>IF(ISNUMBER(outYear),SSG37+SSG42+#REF!+#REF!,"")</f>
        <v/>
      </c>
      <c r="SSH48" s="84" t="str">
        <f>IF(ISNUMBER(outYear),SSH37+SSH42+#REF!+#REF!,"")</f>
        <v/>
      </c>
      <c r="SSI48" s="84" t="str">
        <f>IF(ISNUMBER(outYear),SSI37+SSI42+#REF!+#REF!,"")</f>
        <v/>
      </c>
      <c r="SSJ48" s="84" t="str">
        <f>IF(ISNUMBER(outYear),SSJ37+SSJ42+#REF!+#REF!,"")</f>
        <v/>
      </c>
      <c r="SSK48" s="84" t="str">
        <f>IF(ISNUMBER(outYear),SSK37+SSK42+#REF!+#REF!,"")</f>
        <v/>
      </c>
      <c r="SSL48" s="84" t="str">
        <f>IF(ISNUMBER(outYear),SSL37+SSL42+#REF!+#REF!,"")</f>
        <v/>
      </c>
      <c r="SSM48" s="84" t="str">
        <f>IF(ISNUMBER(outYear),SSM37+SSM42+#REF!+#REF!,"")</f>
        <v/>
      </c>
      <c r="SSN48" s="84" t="str">
        <f>IF(ISNUMBER(outYear),SSN37+SSN42+#REF!+#REF!,"")</f>
        <v/>
      </c>
      <c r="SSO48" s="84" t="str">
        <f>IF(ISNUMBER(outYear),SSO37+SSO42+#REF!+#REF!,"")</f>
        <v/>
      </c>
      <c r="SSP48" s="84" t="str">
        <f>IF(ISNUMBER(outYear),SSP37+SSP42+#REF!+#REF!,"")</f>
        <v/>
      </c>
      <c r="SSQ48" s="84" t="str">
        <f>IF(ISNUMBER(outYear),SSQ37+SSQ42+#REF!+#REF!,"")</f>
        <v/>
      </c>
      <c r="SSR48" s="84" t="str">
        <f>IF(ISNUMBER(outYear),SSR37+SSR42+#REF!+#REF!,"")</f>
        <v/>
      </c>
      <c r="SSS48" s="84" t="str">
        <f>IF(ISNUMBER(outYear),SSS37+SSS42+#REF!+#REF!,"")</f>
        <v/>
      </c>
      <c r="SST48" s="84" t="str">
        <f>IF(ISNUMBER(outYear),SST37+SST42+#REF!+#REF!,"")</f>
        <v/>
      </c>
      <c r="SSU48" s="84" t="str">
        <f>IF(ISNUMBER(outYear),SSU37+SSU42+#REF!+#REF!,"")</f>
        <v/>
      </c>
      <c r="SSV48" s="84" t="str">
        <f>IF(ISNUMBER(outYear),SSV37+SSV42+#REF!+#REF!,"")</f>
        <v/>
      </c>
      <c r="SSW48" s="84" t="str">
        <f>IF(ISNUMBER(outYear),SSW37+SSW42+#REF!+#REF!,"")</f>
        <v/>
      </c>
      <c r="SSX48" s="84" t="str">
        <f>IF(ISNUMBER(outYear),SSX37+SSX42+#REF!+#REF!,"")</f>
        <v/>
      </c>
      <c r="SSY48" s="84" t="str">
        <f>IF(ISNUMBER(outYear),SSY37+SSY42+#REF!+#REF!,"")</f>
        <v/>
      </c>
      <c r="SSZ48" s="84" t="str">
        <f>IF(ISNUMBER(outYear),SSZ37+SSZ42+#REF!+#REF!,"")</f>
        <v/>
      </c>
      <c r="STA48" s="84" t="str">
        <f>IF(ISNUMBER(outYear),STA37+STA42+#REF!+#REF!,"")</f>
        <v/>
      </c>
      <c r="STB48" s="84" t="str">
        <f>IF(ISNUMBER(outYear),STB37+STB42+#REF!+#REF!,"")</f>
        <v/>
      </c>
      <c r="STC48" s="84" t="str">
        <f>IF(ISNUMBER(outYear),STC37+STC42+#REF!+#REF!,"")</f>
        <v/>
      </c>
      <c r="STD48" s="84" t="str">
        <f>IF(ISNUMBER(outYear),STD37+STD42+#REF!+#REF!,"")</f>
        <v/>
      </c>
      <c r="STE48" s="84" t="str">
        <f>IF(ISNUMBER(outYear),STE37+STE42+#REF!+#REF!,"")</f>
        <v/>
      </c>
      <c r="STF48" s="84" t="str">
        <f>IF(ISNUMBER(outYear),STF37+STF42+#REF!+#REF!,"")</f>
        <v/>
      </c>
      <c r="STG48" s="84" t="str">
        <f>IF(ISNUMBER(outYear),STG37+STG42+#REF!+#REF!,"")</f>
        <v/>
      </c>
      <c r="STH48" s="84" t="str">
        <f>IF(ISNUMBER(outYear),STH37+STH42+#REF!+#REF!,"")</f>
        <v/>
      </c>
      <c r="STI48" s="84" t="str">
        <f>IF(ISNUMBER(outYear),STI37+STI42+#REF!+#REF!,"")</f>
        <v/>
      </c>
      <c r="STJ48" s="84" t="str">
        <f>IF(ISNUMBER(outYear),STJ37+STJ42+#REF!+#REF!,"")</f>
        <v/>
      </c>
      <c r="STK48" s="84" t="str">
        <f>IF(ISNUMBER(outYear),STK37+STK42+#REF!+#REF!,"")</f>
        <v/>
      </c>
      <c r="STL48" s="84" t="str">
        <f>IF(ISNUMBER(outYear),STL37+STL42+#REF!+#REF!,"")</f>
        <v/>
      </c>
      <c r="STM48" s="84" t="str">
        <f>IF(ISNUMBER(outYear),STM37+STM42+#REF!+#REF!,"")</f>
        <v/>
      </c>
      <c r="STN48" s="84" t="str">
        <f>IF(ISNUMBER(outYear),STN37+STN42+#REF!+#REF!,"")</f>
        <v/>
      </c>
      <c r="STO48" s="84" t="str">
        <f>IF(ISNUMBER(outYear),STO37+STO42+#REF!+#REF!,"")</f>
        <v/>
      </c>
      <c r="STP48" s="84" t="str">
        <f>IF(ISNUMBER(outYear),STP37+STP42+#REF!+#REF!,"")</f>
        <v/>
      </c>
      <c r="STQ48" s="84" t="str">
        <f>IF(ISNUMBER(outYear),STQ37+STQ42+#REF!+#REF!,"")</f>
        <v/>
      </c>
      <c r="STR48" s="84" t="str">
        <f>IF(ISNUMBER(outYear),STR37+STR42+#REF!+#REF!,"")</f>
        <v/>
      </c>
      <c r="STS48" s="84" t="str">
        <f>IF(ISNUMBER(outYear),STS37+STS42+#REF!+#REF!,"")</f>
        <v/>
      </c>
      <c r="STT48" s="84" t="str">
        <f>IF(ISNUMBER(outYear),STT37+STT42+#REF!+#REF!,"")</f>
        <v/>
      </c>
      <c r="STU48" s="84" t="str">
        <f>IF(ISNUMBER(outYear),STU37+STU42+#REF!+#REF!,"")</f>
        <v/>
      </c>
      <c r="STV48" s="84" t="str">
        <f>IF(ISNUMBER(outYear),STV37+STV42+#REF!+#REF!,"")</f>
        <v/>
      </c>
      <c r="STW48" s="84" t="str">
        <f>IF(ISNUMBER(outYear),STW37+STW42+#REF!+#REF!,"")</f>
        <v/>
      </c>
      <c r="STX48" s="84" t="str">
        <f>IF(ISNUMBER(outYear),STX37+STX42+#REF!+#REF!,"")</f>
        <v/>
      </c>
      <c r="STY48" s="84" t="str">
        <f>IF(ISNUMBER(outYear),STY37+STY42+#REF!+#REF!,"")</f>
        <v/>
      </c>
      <c r="STZ48" s="84" t="str">
        <f>IF(ISNUMBER(outYear),STZ37+STZ42+#REF!+#REF!,"")</f>
        <v/>
      </c>
      <c r="SUA48" s="84" t="str">
        <f>IF(ISNUMBER(outYear),SUA37+SUA42+#REF!+#REF!,"")</f>
        <v/>
      </c>
      <c r="SUB48" s="84" t="str">
        <f>IF(ISNUMBER(outYear),SUB37+SUB42+#REF!+#REF!,"")</f>
        <v/>
      </c>
      <c r="SUC48" s="84" t="str">
        <f>IF(ISNUMBER(outYear),SUC37+SUC42+#REF!+#REF!,"")</f>
        <v/>
      </c>
      <c r="SUD48" s="84" t="str">
        <f>IF(ISNUMBER(outYear),SUD37+SUD42+#REF!+#REF!,"")</f>
        <v/>
      </c>
      <c r="SUE48" s="84" t="str">
        <f>IF(ISNUMBER(outYear),SUE37+SUE42+#REF!+#REF!,"")</f>
        <v/>
      </c>
      <c r="SUF48" s="84" t="str">
        <f>IF(ISNUMBER(outYear),SUF37+SUF42+#REF!+#REF!,"")</f>
        <v/>
      </c>
      <c r="SUG48" s="84" t="str">
        <f>IF(ISNUMBER(outYear),SUG37+SUG42+#REF!+#REF!,"")</f>
        <v/>
      </c>
      <c r="SUH48" s="84" t="str">
        <f>IF(ISNUMBER(outYear),SUH37+SUH42+#REF!+#REF!,"")</f>
        <v/>
      </c>
      <c r="SUI48" s="84" t="str">
        <f>IF(ISNUMBER(outYear),SUI37+SUI42+#REF!+#REF!,"")</f>
        <v/>
      </c>
      <c r="SUJ48" s="84" t="str">
        <f>IF(ISNUMBER(outYear),SUJ37+SUJ42+#REF!+#REF!,"")</f>
        <v/>
      </c>
      <c r="SUK48" s="84" t="str">
        <f>IF(ISNUMBER(outYear),SUK37+SUK42+#REF!+#REF!,"")</f>
        <v/>
      </c>
      <c r="SUL48" s="84" t="str">
        <f>IF(ISNUMBER(outYear),SUL37+SUL42+#REF!+#REF!,"")</f>
        <v/>
      </c>
      <c r="SUM48" s="84" t="str">
        <f>IF(ISNUMBER(outYear),SUM37+SUM42+#REF!+#REF!,"")</f>
        <v/>
      </c>
      <c r="SUN48" s="84" t="str">
        <f>IF(ISNUMBER(outYear),SUN37+SUN42+#REF!+#REF!,"")</f>
        <v/>
      </c>
      <c r="SUO48" s="84" t="str">
        <f>IF(ISNUMBER(outYear),SUO37+SUO42+#REF!+#REF!,"")</f>
        <v/>
      </c>
      <c r="SUP48" s="84" t="str">
        <f>IF(ISNUMBER(outYear),SUP37+SUP42+#REF!+#REF!,"")</f>
        <v/>
      </c>
      <c r="SUQ48" s="84" t="str">
        <f>IF(ISNUMBER(outYear),SUQ37+SUQ42+#REF!+#REF!,"")</f>
        <v/>
      </c>
      <c r="SUR48" s="84" t="str">
        <f>IF(ISNUMBER(outYear),SUR37+SUR42+#REF!+#REF!,"")</f>
        <v/>
      </c>
      <c r="SUS48" s="84" t="str">
        <f>IF(ISNUMBER(outYear),SUS37+SUS42+#REF!+#REF!,"")</f>
        <v/>
      </c>
      <c r="SUT48" s="84" t="str">
        <f>IF(ISNUMBER(outYear),SUT37+SUT42+#REF!+#REF!,"")</f>
        <v/>
      </c>
      <c r="SUU48" s="84" t="str">
        <f>IF(ISNUMBER(outYear),SUU37+SUU42+#REF!+#REF!,"")</f>
        <v/>
      </c>
      <c r="SUV48" s="84" t="str">
        <f>IF(ISNUMBER(outYear),SUV37+SUV42+#REF!+#REF!,"")</f>
        <v/>
      </c>
      <c r="SUW48" s="84" t="str">
        <f>IF(ISNUMBER(outYear),SUW37+SUW42+#REF!+#REF!,"")</f>
        <v/>
      </c>
      <c r="SUX48" s="84" t="str">
        <f>IF(ISNUMBER(outYear),SUX37+SUX42+#REF!+#REF!,"")</f>
        <v/>
      </c>
      <c r="SUY48" s="84" t="str">
        <f>IF(ISNUMBER(outYear),SUY37+SUY42+#REF!+#REF!,"")</f>
        <v/>
      </c>
      <c r="SUZ48" s="84" t="str">
        <f>IF(ISNUMBER(outYear),SUZ37+SUZ42+#REF!+#REF!,"")</f>
        <v/>
      </c>
      <c r="SVA48" s="84" t="str">
        <f>IF(ISNUMBER(outYear),SVA37+SVA42+#REF!+#REF!,"")</f>
        <v/>
      </c>
      <c r="SVB48" s="84" t="str">
        <f>IF(ISNUMBER(outYear),SVB37+SVB42+#REF!+#REF!,"")</f>
        <v/>
      </c>
      <c r="SVC48" s="84" t="str">
        <f>IF(ISNUMBER(outYear),SVC37+SVC42+#REF!+#REF!,"")</f>
        <v/>
      </c>
      <c r="SVD48" s="84" t="str">
        <f>IF(ISNUMBER(outYear),SVD37+SVD42+#REF!+#REF!,"")</f>
        <v/>
      </c>
      <c r="SVE48" s="84" t="str">
        <f>IF(ISNUMBER(outYear),SVE37+SVE42+#REF!+#REF!,"")</f>
        <v/>
      </c>
      <c r="SVF48" s="84" t="str">
        <f>IF(ISNUMBER(outYear),SVF37+SVF42+#REF!+#REF!,"")</f>
        <v/>
      </c>
      <c r="SVG48" s="84" t="str">
        <f>IF(ISNUMBER(outYear),SVG37+SVG42+#REF!+#REF!,"")</f>
        <v/>
      </c>
      <c r="SVH48" s="84" t="str">
        <f>IF(ISNUMBER(outYear),SVH37+SVH42+#REF!+#REF!,"")</f>
        <v/>
      </c>
      <c r="SVI48" s="84" t="str">
        <f>IF(ISNUMBER(outYear),SVI37+SVI42+#REF!+#REF!,"")</f>
        <v/>
      </c>
      <c r="SVJ48" s="84" t="str">
        <f>IF(ISNUMBER(outYear),SVJ37+SVJ42+#REF!+#REF!,"")</f>
        <v/>
      </c>
      <c r="SVK48" s="84" t="str">
        <f>IF(ISNUMBER(outYear),SVK37+SVK42+#REF!+#REF!,"")</f>
        <v/>
      </c>
      <c r="SVL48" s="84" t="str">
        <f>IF(ISNUMBER(outYear),SVL37+SVL42+#REF!+#REF!,"")</f>
        <v/>
      </c>
      <c r="SVM48" s="84" t="str">
        <f>IF(ISNUMBER(outYear),SVM37+SVM42+#REF!+#REF!,"")</f>
        <v/>
      </c>
      <c r="SVN48" s="84" t="str">
        <f>IF(ISNUMBER(outYear),SVN37+SVN42+#REF!+#REF!,"")</f>
        <v/>
      </c>
      <c r="SVO48" s="84" t="str">
        <f>IF(ISNUMBER(outYear),SVO37+SVO42+#REF!+#REF!,"")</f>
        <v/>
      </c>
      <c r="SVP48" s="84" t="str">
        <f>IF(ISNUMBER(outYear),SVP37+SVP42+#REF!+#REF!,"")</f>
        <v/>
      </c>
      <c r="SVQ48" s="84" t="str">
        <f>IF(ISNUMBER(outYear),SVQ37+SVQ42+#REF!+#REF!,"")</f>
        <v/>
      </c>
      <c r="SVR48" s="84" t="str">
        <f>IF(ISNUMBER(outYear),SVR37+SVR42+#REF!+#REF!,"")</f>
        <v/>
      </c>
      <c r="SVS48" s="84" t="str">
        <f>IF(ISNUMBER(outYear),SVS37+SVS42+#REF!+#REF!,"")</f>
        <v/>
      </c>
      <c r="SVT48" s="84" t="str">
        <f>IF(ISNUMBER(outYear),SVT37+SVT42+#REF!+#REF!,"")</f>
        <v/>
      </c>
      <c r="SVU48" s="84" t="str">
        <f>IF(ISNUMBER(outYear),SVU37+SVU42+#REF!+#REF!,"")</f>
        <v/>
      </c>
      <c r="SVV48" s="84" t="str">
        <f>IF(ISNUMBER(outYear),SVV37+SVV42+#REF!+#REF!,"")</f>
        <v/>
      </c>
      <c r="SVW48" s="84" t="str">
        <f>IF(ISNUMBER(outYear),SVW37+SVW42+#REF!+#REF!,"")</f>
        <v/>
      </c>
      <c r="SVX48" s="84" t="str">
        <f>IF(ISNUMBER(outYear),SVX37+SVX42+#REF!+#REF!,"")</f>
        <v/>
      </c>
      <c r="SVY48" s="84" t="str">
        <f>IF(ISNUMBER(outYear),SVY37+SVY42+#REF!+#REF!,"")</f>
        <v/>
      </c>
      <c r="SVZ48" s="84" t="str">
        <f>IF(ISNUMBER(outYear),SVZ37+SVZ42+#REF!+#REF!,"")</f>
        <v/>
      </c>
      <c r="SWA48" s="84" t="str">
        <f>IF(ISNUMBER(outYear),SWA37+SWA42+#REF!+#REF!,"")</f>
        <v/>
      </c>
      <c r="SWB48" s="84" t="str">
        <f>IF(ISNUMBER(outYear),SWB37+SWB42+#REF!+#REF!,"")</f>
        <v/>
      </c>
      <c r="SWC48" s="84" t="str">
        <f>IF(ISNUMBER(outYear),SWC37+SWC42+#REF!+#REF!,"")</f>
        <v/>
      </c>
      <c r="SWD48" s="84" t="str">
        <f>IF(ISNUMBER(outYear),SWD37+SWD42+#REF!+#REF!,"")</f>
        <v/>
      </c>
      <c r="SWE48" s="84" t="str">
        <f>IF(ISNUMBER(outYear),SWE37+SWE42+#REF!+#REF!,"")</f>
        <v/>
      </c>
      <c r="SWF48" s="84" t="str">
        <f>IF(ISNUMBER(outYear),SWF37+SWF42+#REF!+#REF!,"")</f>
        <v/>
      </c>
      <c r="SWG48" s="84" t="str">
        <f>IF(ISNUMBER(outYear),SWG37+SWG42+#REF!+#REF!,"")</f>
        <v/>
      </c>
      <c r="SWH48" s="84" t="str">
        <f>IF(ISNUMBER(outYear),SWH37+SWH42+#REF!+#REF!,"")</f>
        <v/>
      </c>
      <c r="SWI48" s="84" t="str">
        <f>IF(ISNUMBER(outYear),SWI37+SWI42+#REF!+#REF!,"")</f>
        <v/>
      </c>
      <c r="SWJ48" s="84" t="str">
        <f>IF(ISNUMBER(outYear),SWJ37+SWJ42+#REF!+#REF!,"")</f>
        <v/>
      </c>
      <c r="SWK48" s="84" t="str">
        <f>IF(ISNUMBER(outYear),SWK37+SWK42+#REF!+#REF!,"")</f>
        <v/>
      </c>
      <c r="SWL48" s="84" t="str">
        <f>IF(ISNUMBER(outYear),SWL37+SWL42+#REF!+#REF!,"")</f>
        <v/>
      </c>
      <c r="SWM48" s="84" t="str">
        <f>IF(ISNUMBER(outYear),SWM37+SWM42+#REF!+#REF!,"")</f>
        <v/>
      </c>
      <c r="SWN48" s="84" t="str">
        <f>IF(ISNUMBER(outYear),SWN37+SWN42+#REF!+#REF!,"")</f>
        <v/>
      </c>
      <c r="SWO48" s="84" t="str">
        <f>IF(ISNUMBER(outYear),SWO37+SWO42+#REF!+#REF!,"")</f>
        <v/>
      </c>
      <c r="SWP48" s="84" t="str">
        <f>IF(ISNUMBER(outYear),SWP37+SWP42+#REF!+#REF!,"")</f>
        <v/>
      </c>
      <c r="SWQ48" s="84" t="str">
        <f>IF(ISNUMBER(outYear),SWQ37+SWQ42+#REF!+#REF!,"")</f>
        <v/>
      </c>
      <c r="SWR48" s="84" t="str">
        <f>IF(ISNUMBER(outYear),SWR37+SWR42+#REF!+#REF!,"")</f>
        <v/>
      </c>
      <c r="SWS48" s="84" t="str">
        <f>IF(ISNUMBER(outYear),SWS37+SWS42+#REF!+#REF!,"")</f>
        <v/>
      </c>
      <c r="SWT48" s="84" t="str">
        <f>IF(ISNUMBER(outYear),SWT37+SWT42+#REF!+#REF!,"")</f>
        <v/>
      </c>
      <c r="SWU48" s="84" t="str">
        <f>IF(ISNUMBER(outYear),SWU37+SWU42+#REF!+#REF!,"")</f>
        <v/>
      </c>
      <c r="SWV48" s="84" t="str">
        <f>IF(ISNUMBER(outYear),SWV37+SWV42+#REF!+#REF!,"")</f>
        <v/>
      </c>
      <c r="SWW48" s="84" t="str">
        <f>IF(ISNUMBER(outYear),SWW37+SWW42+#REF!+#REF!,"")</f>
        <v/>
      </c>
      <c r="SWX48" s="84" t="str">
        <f>IF(ISNUMBER(outYear),SWX37+SWX42+#REF!+#REF!,"")</f>
        <v/>
      </c>
      <c r="SWY48" s="84" t="str">
        <f>IF(ISNUMBER(outYear),SWY37+SWY42+#REF!+#REF!,"")</f>
        <v/>
      </c>
      <c r="SWZ48" s="84" t="str">
        <f>IF(ISNUMBER(outYear),SWZ37+SWZ42+#REF!+#REF!,"")</f>
        <v/>
      </c>
      <c r="SXA48" s="84" t="str">
        <f>IF(ISNUMBER(outYear),SXA37+SXA42+#REF!+#REF!,"")</f>
        <v/>
      </c>
      <c r="SXB48" s="84" t="str">
        <f>IF(ISNUMBER(outYear),SXB37+SXB42+#REF!+#REF!,"")</f>
        <v/>
      </c>
      <c r="SXC48" s="84" t="str">
        <f>IF(ISNUMBER(outYear),SXC37+SXC42+#REF!+#REF!,"")</f>
        <v/>
      </c>
      <c r="SXD48" s="84" t="str">
        <f>IF(ISNUMBER(outYear),SXD37+SXD42+#REF!+#REF!,"")</f>
        <v/>
      </c>
      <c r="SXE48" s="84" t="str">
        <f>IF(ISNUMBER(outYear),SXE37+SXE42+#REF!+#REF!,"")</f>
        <v/>
      </c>
      <c r="SXF48" s="84" t="str">
        <f>IF(ISNUMBER(outYear),SXF37+SXF42+#REF!+#REF!,"")</f>
        <v/>
      </c>
      <c r="SXG48" s="84" t="str">
        <f>IF(ISNUMBER(outYear),SXG37+SXG42+#REF!+#REF!,"")</f>
        <v/>
      </c>
      <c r="SXH48" s="84" t="str">
        <f>IF(ISNUMBER(outYear),SXH37+SXH42+#REF!+#REF!,"")</f>
        <v/>
      </c>
      <c r="SXI48" s="84" t="str">
        <f>IF(ISNUMBER(outYear),SXI37+SXI42+#REF!+#REF!,"")</f>
        <v/>
      </c>
      <c r="SXJ48" s="84" t="str">
        <f>IF(ISNUMBER(outYear),SXJ37+SXJ42+#REF!+#REF!,"")</f>
        <v/>
      </c>
      <c r="SXK48" s="84" t="str">
        <f>IF(ISNUMBER(outYear),SXK37+SXK42+#REF!+#REF!,"")</f>
        <v/>
      </c>
      <c r="SXL48" s="84" t="str">
        <f>IF(ISNUMBER(outYear),SXL37+SXL42+#REF!+#REF!,"")</f>
        <v/>
      </c>
      <c r="SXM48" s="84" t="str">
        <f>IF(ISNUMBER(outYear),SXM37+SXM42+#REF!+#REF!,"")</f>
        <v/>
      </c>
      <c r="SXN48" s="84" t="str">
        <f>IF(ISNUMBER(outYear),SXN37+SXN42+#REF!+#REF!,"")</f>
        <v/>
      </c>
      <c r="SXO48" s="84" t="str">
        <f>IF(ISNUMBER(outYear),SXO37+SXO42+#REF!+#REF!,"")</f>
        <v/>
      </c>
      <c r="SXP48" s="84" t="str">
        <f>IF(ISNUMBER(outYear),SXP37+SXP42+#REF!+#REF!,"")</f>
        <v/>
      </c>
      <c r="SXQ48" s="84" t="str">
        <f>IF(ISNUMBER(outYear),SXQ37+SXQ42+#REF!+#REF!,"")</f>
        <v/>
      </c>
      <c r="SXR48" s="84" t="str">
        <f>IF(ISNUMBER(outYear),SXR37+SXR42+#REF!+#REF!,"")</f>
        <v/>
      </c>
      <c r="SXS48" s="84" t="str">
        <f>IF(ISNUMBER(outYear),SXS37+SXS42+#REF!+#REF!,"")</f>
        <v/>
      </c>
      <c r="SXT48" s="84" t="str">
        <f>IF(ISNUMBER(outYear),SXT37+SXT42+#REF!+#REF!,"")</f>
        <v/>
      </c>
      <c r="SXU48" s="84" t="str">
        <f>IF(ISNUMBER(outYear),SXU37+SXU42+#REF!+#REF!,"")</f>
        <v/>
      </c>
      <c r="SXV48" s="84" t="str">
        <f>IF(ISNUMBER(outYear),SXV37+SXV42+#REF!+#REF!,"")</f>
        <v/>
      </c>
      <c r="SXW48" s="84" t="str">
        <f>IF(ISNUMBER(outYear),SXW37+SXW42+#REF!+#REF!,"")</f>
        <v/>
      </c>
      <c r="SXX48" s="84" t="str">
        <f>IF(ISNUMBER(outYear),SXX37+SXX42+#REF!+#REF!,"")</f>
        <v/>
      </c>
      <c r="SXY48" s="84" t="str">
        <f>IF(ISNUMBER(outYear),SXY37+SXY42+#REF!+#REF!,"")</f>
        <v/>
      </c>
      <c r="SXZ48" s="84" t="str">
        <f>IF(ISNUMBER(outYear),SXZ37+SXZ42+#REF!+#REF!,"")</f>
        <v/>
      </c>
      <c r="SYA48" s="84" t="str">
        <f>IF(ISNUMBER(outYear),SYA37+SYA42+#REF!+#REF!,"")</f>
        <v/>
      </c>
      <c r="SYB48" s="84" t="str">
        <f>IF(ISNUMBER(outYear),SYB37+SYB42+#REF!+#REF!,"")</f>
        <v/>
      </c>
      <c r="SYC48" s="84" t="str">
        <f>IF(ISNUMBER(outYear),SYC37+SYC42+#REF!+#REF!,"")</f>
        <v/>
      </c>
      <c r="SYD48" s="84" t="str">
        <f>IF(ISNUMBER(outYear),SYD37+SYD42+#REF!+#REF!,"")</f>
        <v/>
      </c>
      <c r="SYE48" s="84" t="str">
        <f>IF(ISNUMBER(outYear),SYE37+SYE42+#REF!+#REF!,"")</f>
        <v/>
      </c>
      <c r="SYF48" s="84" t="str">
        <f>IF(ISNUMBER(outYear),SYF37+SYF42+#REF!+#REF!,"")</f>
        <v/>
      </c>
      <c r="SYG48" s="84" t="str">
        <f>IF(ISNUMBER(outYear),SYG37+SYG42+#REF!+#REF!,"")</f>
        <v/>
      </c>
      <c r="SYH48" s="84" t="str">
        <f>IF(ISNUMBER(outYear),SYH37+SYH42+#REF!+#REF!,"")</f>
        <v/>
      </c>
      <c r="SYI48" s="84" t="str">
        <f>IF(ISNUMBER(outYear),SYI37+SYI42+#REF!+#REF!,"")</f>
        <v/>
      </c>
      <c r="SYJ48" s="84" t="str">
        <f>IF(ISNUMBER(outYear),SYJ37+SYJ42+#REF!+#REF!,"")</f>
        <v/>
      </c>
      <c r="SYK48" s="84" t="str">
        <f>IF(ISNUMBER(outYear),SYK37+SYK42+#REF!+#REF!,"")</f>
        <v/>
      </c>
      <c r="SYL48" s="84" t="str">
        <f>IF(ISNUMBER(outYear),SYL37+SYL42+#REF!+#REF!,"")</f>
        <v/>
      </c>
      <c r="SYM48" s="84" t="str">
        <f>IF(ISNUMBER(outYear),SYM37+SYM42+#REF!+#REF!,"")</f>
        <v/>
      </c>
      <c r="SYN48" s="84" t="str">
        <f>IF(ISNUMBER(outYear),SYN37+SYN42+#REF!+#REF!,"")</f>
        <v/>
      </c>
      <c r="SYO48" s="84" t="str">
        <f>IF(ISNUMBER(outYear),SYO37+SYO42+#REF!+#REF!,"")</f>
        <v/>
      </c>
      <c r="SYP48" s="84" t="str">
        <f>IF(ISNUMBER(outYear),SYP37+SYP42+#REF!+#REF!,"")</f>
        <v/>
      </c>
      <c r="SYQ48" s="84" t="str">
        <f>IF(ISNUMBER(outYear),SYQ37+SYQ42+#REF!+#REF!,"")</f>
        <v/>
      </c>
      <c r="SYR48" s="84" t="str">
        <f>IF(ISNUMBER(outYear),SYR37+SYR42+#REF!+#REF!,"")</f>
        <v/>
      </c>
      <c r="SYS48" s="84" t="str">
        <f>IF(ISNUMBER(outYear),SYS37+SYS42+#REF!+#REF!,"")</f>
        <v/>
      </c>
      <c r="SYT48" s="84" t="str">
        <f>IF(ISNUMBER(outYear),SYT37+SYT42+#REF!+#REF!,"")</f>
        <v/>
      </c>
      <c r="SYU48" s="84" t="str">
        <f>IF(ISNUMBER(outYear),SYU37+SYU42+#REF!+#REF!,"")</f>
        <v/>
      </c>
      <c r="SYV48" s="84" t="str">
        <f>IF(ISNUMBER(outYear),SYV37+SYV42+#REF!+#REF!,"")</f>
        <v/>
      </c>
      <c r="SYW48" s="84" t="str">
        <f>IF(ISNUMBER(outYear),SYW37+SYW42+#REF!+#REF!,"")</f>
        <v/>
      </c>
      <c r="SYX48" s="84" t="str">
        <f>IF(ISNUMBER(outYear),SYX37+SYX42+#REF!+#REF!,"")</f>
        <v/>
      </c>
      <c r="SYY48" s="84" t="str">
        <f>IF(ISNUMBER(outYear),SYY37+SYY42+#REF!+#REF!,"")</f>
        <v/>
      </c>
      <c r="SYZ48" s="84" t="str">
        <f>IF(ISNUMBER(outYear),SYZ37+SYZ42+#REF!+#REF!,"")</f>
        <v/>
      </c>
      <c r="SZA48" s="84" t="str">
        <f>IF(ISNUMBER(outYear),SZA37+SZA42+#REF!+#REF!,"")</f>
        <v/>
      </c>
      <c r="SZB48" s="84" t="str">
        <f>IF(ISNUMBER(outYear),SZB37+SZB42+#REF!+#REF!,"")</f>
        <v/>
      </c>
      <c r="SZC48" s="84" t="str">
        <f>IF(ISNUMBER(outYear),SZC37+SZC42+#REF!+#REF!,"")</f>
        <v/>
      </c>
      <c r="SZD48" s="84" t="str">
        <f>IF(ISNUMBER(outYear),SZD37+SZD42+#REF!+#REF!,"")</f>
        <v/>
      </c>
      <c r="SZE48" s="84" t="str">
        <f>IF(ISNUMBER(outYear),SZE37+SZE42+#REF!+#REF!,"")</f>
        <v/>
      </c>
      <c r="SZF48" s="84" t="str">
        <f>IF(ISNUMBER(outYear),SZF37+SZF42+#REF!+#REF!,"")</f>
        <v/>
      </c>
      <c r="SZG48" s="84" t="str">
        <f>IF(ISNUMBER(outYear),SZG37+SZG42+#REF!+#REF!,"")</f>
        <v/>
      </c>
      <c r="SZH48" s="84" t="str">
        <f>IF(ISNUMBER(outYear),SZH37+SZH42+#REF!+#REF!,"")</f>
        <v/>
      </c>
      <c r="SZI48" s="84" t="str">
        <f>IF(ISNUMBER(outYear),SZI37+SZI42+#REF!+#REF!,"")</f>
        <v/>
      </c>
      <c r="SZJ48" s="84" t="str">
        <f>IF(ISNUMBER(outYear),SZJ37+SZJ42+#REF!+#REF!,"")</f>
        <v/>
      </c>
      <c r="SZK48" s="84" t="str">
        <f>IF(ISNUMBER(outYear),SZK37+SZK42+#REF!+#REF!,"")</f>
        <v/>
      </c>
      <c r="SZL48" s="84" t="str">
        <f>IF(ISNUMBER(outYear),SZL37+SZL42+#REF!+#REF!,"")</f>
        <v/>
      </c>
      <c r="SZM48" s="84" t="str">
        <f>IF(ISNUMBER(outYear),SZM37+SZM42+#REF!+#REF!,"")</f>
        <v/>
      </c>
      <c r="SZN48" s="84" t="str">
        <f>IF(ISNUMBER(outYear),SZN37+SZN42+#REF!+#REF!,"")</f>
        <v/>
      </c>
      <c r="SZO48" s="84" t="str">
        <f>IF(ISNUMBER(outYear),SZO37+SZO42+#REF!+#REF!,"")</f>
        <v/>
      </c>
      <c r="SZP48" s="84" t="str">
        <f>IF(ISNUMBER(outYear),SZP37+SZP42+#REF!+#REF!,"")</f>
        <v/>
      </c>
      <c r="SZQ48" s="84" t="str">
        <f>IF(ISNUMBER(outYear),SZQ37+SZQ42+#REF!+#REF!,"")</f>
        <v/>
      </c>
      <c r="SZR48" s="84" t="str">
        <f>IF(ISNUMBER(outYear),SZR37+SZR42+#REF!+#REF!,"")</f>
        <v/>
      </c>
      <c r="SZS48" s="84" t="str">
        <f>IF(ISNUMBER(outYear),SZS37+SZS42+#REF!+#REF!,"")</f>
        <v/>
      </c>
      <c r="SZT48" s="84" t="str">
        <f>IF(ISNUMBER(outYear),SZT37+SZT42+#REF!+#REF!,"")</f>
        <v/>
      </c>
      <c r="SZU48" s="84" t="str">
        <f>IF(ISNUMBER(outYear),SZU37+SZU42+#REF!+#REF!,"")</f>
        <v/>
      </c>
      <c r="SZV48" s="84" t="str">
        <f>IF(ISNUMBER(outYear),SZV37+SZV42+#REF!+#REF!,"")</f>
        <v/>
      </c>
      <c r="SZW48" s="84" t="str">
        <f>IF(ISNUMBER(outYear),SZW37+SZW42+#REF!+#REF!,"")</f>
        <v/>
      </c>
      <c r="SZX48" s="84" t="str">
        <f>IF(ISNUMBER(outYear),SZX37+SZX42+#REF!+#REF!,"")</f>
        <v/>
      </c>
      <c r="SZY48" s="84" t="str">
        <f>IF(ISNUMBER(outYear),SZY37+SZY42+#REF!+#REF!,"")</f>
        <v/>
      </c>
      <c r="SZZ48" s="84" t="str">
        <f>IF(ISNUMBER(outYear),SZZ37+SZZ42+#REF!+#REF!,"")</f>
        <v/>
      </c>
      <c r="TAA48" s="84" t="str">
        <f>IF(ISNUMBER(outYear),TAA37+TAA42+#REF!+#REF!,"")</f>
        <v/>
      </c>
      <c r="TAB48" s="84" t="str">
        <f>IF(ISNUMBER(outYear),TAB37+TAB42+#REF!+#REF!,"")</f>
        <v/>
      </c>
      <c r="TAC48" s="84" t="str">
        <f>IF(ISNUMBER(outYear),TAC37+TAC42+#REF!+#REF!,"")</f>
        <v/>
      </c>
      <c r="TAD48" s="84" t="str">
        <f>IF(ISNUMBER(outYear),TAD37+TAD42+#REF!+#REF!,"")</f>
        <v/>
      </c>
      <c r="TAE48" s="84" t="str">
        <f>IF(ISNUMBER(outYear),TAE37+TAE42+#REF!+#REF!,"")</f>
        <v/>
      </c>
      <c r="TAF48" s="84" t="str">
        <f>IF(ISNUMBER(outYear),TAF37+TAF42+#REF!+#REF!,"")</f>
        <v/>
      </c>
      <c r="TAG48" s="84" t="str">
        <f>IF(ISNUMBER(outYear),TAG37+TAG42+#REF!+#REF!,"")</f>
        <v/>
      </c>
      <c r="TAH48" s="84" t="str">
        <f>IF(ISNUMBER(outYear),TAH37+TAH42+#REF!+#REF!,"")</f>
        <v/>
      </c>
      <c r="TAI48" s="84" t="str">
        <f>IF(ISNUMBER(outYear),TAI37+TAI42+#REF!+#REF!,"")</f>
        <v/>
      </c>
      <c r="TAJ48" s="84" t="str">
        <f>IF(ISNUMBER(outYear),TAJ37+TAJ42+#REF!+#REF!,"")</f>
        <v/>
      </c>
      <c r="TAK48" s="84" t="str">
        <f>IF(ISNUMBER(outYear),TAK37+TAK42+#REF!+#REF!,"")</f>
        <v/>
      </c>
      <c r="TAL48" s="84" t="str">
        <f>IF(ISNUMBER(outYear),TAL37+TAL42+#REF!+#REF!,"")</f>
        <v/>
      </c>
      <c r="TAM48" s="84" t="str">
        <f>IF(ISNUMBER(outYear),TAM37+TAM42+#REF!+#REF!,"")</f>
        <v/>
      </c>
      <c r="TAN48" s="84" t="str">
        <f>IF(ISNUMBER(outYear),TAN37+TAN42+#REF!+#REF!,"")</f>
        <v/>
      </c>
      <c r="TAO48" s="84" t="str">
        <f>IF(ISNUMBER(outYear),TAO37+TAO42+#REF!+#REF!,"")</f>
        <v/>
      </c>
      <c r="TAP48" s="84" t="str">
        <f>IF(ISNUMBER(outYear),TAP37+TAP42+#REF!+#REF!,"")</f>
        <v/>
      </c>
      <c r="TAQ48" s="84" t="str">
        <f>IF(ISNUMBER(outYear),TAQ37+TAQ42+#REF!+#REF!,"")</f>
        <v/>
      </c>
      <c r="TAR48" s="84" t="str">
        <f>IF(ISNUMBER(outYear),TAR37+TAR42+#REF!+#REF!,"")</f>
        <v/>
      </c>
      <c r="TAS48" s="84" t="str">
        <f>IF(ISNUMBER(outYear),TAS37+TAS42+#REF!+#REF!,"")</f>
        <v/>
      </c>
      <c r="TAT48" s="84" t="str">
        <f>IF(ISNUMBER(outYear),TAT37+TAT42+#REF!+#REF!,"")</f>
        <v/>
      </c>
      <c r="TAU48" s="84" t="str">
        <f>IF(ISNUMBER(outYear),TAU37+TAU42+#REF!+#REF!,"")</f>
        <v/>
      </c>
      <c r="TAV48" s="84" t="str">
        <f>IF(ISNUMBER(outYear),TAV37+TAV42+#REF!+#REF!,"")</f>
        <v/>
      </c>
      <c r="TAW48" s="84" t="str">
        <f>IF(ISNUMBER(outYear),TAW37+TAW42+#REF!+#REF!,"")</f>
        <v/>
      </c>
      <c r="TAX48" s="84" t="str">
        <f>IF(ISNUMBER(outYear),TAX37+TAX42+#REF!+#REF!,"")</f>
        <v/>
      </c>
      <c r="TAY48" s="84" t="str">
        <f>IF(ISNUMBER(outYear),TAY37+TAY42+#REF!+#REF!,"")</f>
        <v/>
      </c>
      <c r="TAZ48" s="84" t="str">
        <f>IF(ISNUMBER(outYear),TAZ37+TAZ42+#REF!+#REF!,"")</f>
        <v/>
      </c>
      <c r="TBA48" s="84" t="str">
        <f>IF(ISNUMBER(outYear),TBA37+TBA42+#REF!+#REF!,"")</f>
        <v/>
      </c>
      <c r="TBB48" s="84" t="str">
        <f>IF(ISNUMBER(outYear),TBB37+TBB42+#REF!+#REF!,"")</f>
        <v/>
      </c>
      <c r="TBC48" s="84" t="str">
        <f>IF(ISNUMBER(outYear),TBC37+TBC42+#REF!+#REF!,"")</f>
        <v/>
      </c>
      <c r="TBD48" s="84" t="str">
        <f>IF(ISNUMBER(outYear),TBD37+TBD42+#REF!+#REF!,"")</f>
        <v/>
      </c>
      <c r="TBE48" s="84" t="str">
        <f>IF(ISNUMBER(outYear),TBE37+TBE42+#REF!+#REF!,"")</f>
        <v/>
      </c>
      <c r="TBF48" s="84" t="str">
        <f>IF(ISNUMBER(outYear),TBF37+TBF42+#REF!+#REF!,"")</f>
        <v/>
      </c>
      <c r="TBG48" s="84" t="str">
        <f>IF(ISNUMBER(outYear),TBG37+TBG42+#REF!+#REF!,"")</f>
        <v/>
      </c>
      <c r="TBH48" s="84" t="str">
        <f>IF(ISNUMBER(outYear),TBH37+TBH42+#REF!+#REF!,"")</f>
        <v/>
      </c>
      <c r="TBI48" s="84" t="str">
        <f>IF(ISNUMBER(outYear),TBI37+TBI42+#REF!+#REF!,"")</f>
        <v/>
      </c>
      <c r="TBJ48" s="84" t="str">
        <f>IF(ISNUMBER(outYear),TBJ37+TBJ42+#REF!+#REF!,"")</f>
        <v/>
      </c>
      <c r="TBK48" s="84" t="str">
        <f>IF(ISNUMBER(outYear),TBK37+TBK42+#REF!+#REF!,"")</f>
        <v/>
      </c>
      <c r="TBL48" s="84" t="str">
        <f>IF(ISNUMBER(outYear),TBL37+TBL42+#REF!+#REF!,"")</f>
        <v/>
      </c>
      <c r="TBM48" s="84" t="str">
        <f>IF(ISNUMBER(outYear),TBM37+TBM42+#REF!+#REF!,"")</f>
        <v/>
      </c>
      <c r="TBN48" s="84" t="str">
        <f>IF(ISNUMBER(outYear),TBN37+TBN42+#REF!+#REF!,"")</f>
        <v/>
      </c>
      <c r="TBO48" s="84" t="str">
        <f>IF(ISNUMBER(outYear),TBO37+TBO42+#REF!+#REF!,"")</f>
        <v/>
      </c>
      <c r="TBP48" s="84" t="str">
        <f>IF(ISNUMBER(outYear),TBP37+TBP42+#REF!+#REF!,"")</f>
        <v/>
      </c>
      <c r="TBQ48" s="84" t="str">
        <f>IF(ISNUMBER(outYear),TBQ37+TBQ42+#REF!+#REF!,"")</f>
        <v/>
      </c>
      <c r="TBR48" s="84" t="str">
        <f>IF(ISNUMBER(outYear),TBR37+TBR42+#REF!+#REF!,"")</f>
        <v/>
      </c>
      <c r="TBS48" s="84" t="str">
        <f>IF(ISNUMBER(outYear),TBS37+TBS42+#REF!+#REF!,"")</f>
        <v/>
      </c>
      <c r="TBT48" s="84" t="str">
        <f>IF(ISNUMBER(outYear),TBT37+TBT42+#REF!+#REF!,"")</f>
        <v/>
      </c>
      <c r="TBU48" s="84" t="str">
        <f>IF(ISNUMBER(outYear),TBU37+TBU42+#REF!+#REF!,"")</f>
        <v/>
      </c>
      <c r="TBV48" s="84" t="str">
        <f>IF(ISNUMBER(outYear),TBV37+TBV42+#REF!+#REF!,"")</f>
        <v/>
      </c>
      <c r="TBW48" s="84" t="str">
        <f>IF(ISNUMBER(outYear),TBW37+TBW42+#REF!+#REF!,"")</f>
        <v/>
      </c>
      <c r="TBX48" s="84" t="str">
        <f>IF(ISNUMBER(outYear),TBX37+TBX42+#REF!+#REF!,"")</f>
        <v/>
      </c>
      <c r="TBY48" s="84" t="str">
        <f>IF(ISNUMBER(outYear),TBY37+TBY42+#REF!+#REF!,"")</f>
        <v/>
      </c>
      <c r="TBZ48" s="84" t="str">
        <f>IF(ISNUMBER(outYear),TBZ37+TBZ42+#REF!+#REF!,"")</f>
        <v/>
      </c>
      <c r="TCA48" s="84" t="str">
        <f>IF(ISNUMBER(outYear),TCA37+TCA42+#REF!+#REF!,"")</f>
        <v/>
      </c>
      <c r="TCB48" s="84" t="str">
        <f>IF(ISNUMBER(outYear),TCB37+TCB42+#REF!+#REF!,"")</f>
        <v/>
      </c>
      <c r="TCC48" s="84" t="str">
        <f>IF(ISNUMBER(outYear),TCC37+TCC42+#REF!+#REF!,"")</f>
        <v/>
      </c>
      <c r="TCD48" s="84" t="str">
        <f>IF(ISNUMBER(outYear),TCD37+TCD42+#REF!+#REF!,"")</f>
        <v/>
      </c>
      <c r="TCE48" s="84" t="str">
        <f>IF(ISNUMBER(outYear),TCE37+TCE42+#REF!+#REF!,"")</f>
        <v/>
      </c>
      <c r="TCF48" s="84" t="str">
        <f>IF(ISNUMBER(outYear),TCF37+TCF42+#REF!+#REF!,"")</f>
        <v/>
      </c>
      <c r="TCG48" s="84" t="str">
        <f>IF(ISNUMBER(outYear),TCG37+TCG42+#REF!+#REF!,"")</f>
        <v/>
      </c>
      <c r="TCH48" s="84" t="str">
        <f>IF(ISNUMBER(outYear),TCH37+TCH42+#REF!+#REF!,"")</f>
        <v/>
      </c>
      <c r="TCI48" s="84" t="str">
        <f>IF(ISNUMBER(outYear),TCI37+TCI42+#REF!+#REF!,"")</f>
        <v/>
      </c>
      <c r="TCJ48" s="84" t="str">
        <f>IF(ISNUMBER(outYear),TCJ37+TCJ42+#REF!+#REF!,"")</f>
        <v/>
      </c>
      <c r="TCK48" s="84" t="str">
        <f>IF(ISNUMBER(outYear),TCK37+TCK42+#REF!+#REF!,"")</f>
        <v/>
      </c>
      <c r="TCL48" s="84" t="str">
        <f>IF(ISNUMBER(outYear),TCL37+TCL42+#REF!+#REF!,"")</f>
        <v/>
      </c>
      <c r="TCM48" s="84" t="str">
        <f>IF(ISNUMBER(outYear),TCM37+TCM42+#REF!+#REF!,"")</f>
        <v/>
      </c>
      <c r="TCN48" s="84" t="str">
        <f>IF(ISNUMBER(outYear),TCN37+TCN42+#REF!+#REF!,"")</f>
        <v/>
      </c>
      <c r="TCO48" s="84" t="str">
        <f>IF(ISNUMBER(outYear),TCO37+TCO42+#REF!+#REF!,"")</f>
        <v/>
      </c>
      <c r="TCP48" s="84" t="str">
        <f>IF(ISNUMBER(outYear),TCP37+TCP42+#REF!+#REF!,"")</f>
        <v/>
      </c>
      <c r="TCQ48" s="84" t="str">
        <f>IF(ISNUMBER(outYear),TCQ37+TCQ42+#REF!+#REF!,"")</f>
        <v/>
      </c>
      <c r="TCR48" s="84" t="str">
        <f>IF(ISNUMBER(outYear),TCR37+TCR42+#REF!+#REF!,"")</f>
        <v/>
      </c>
      <c r="TCS48" s="84" t="str">
        <f>IF(ISNUMBER(outYear),TCS37+TCS42+#REF!+#REF!,"")</f>
        <v/>
      </c>
      <c r="TCT48" s="84" t="str">
        <f>IF(ISNUMBER(outYear),TCT37+TCT42+#REF!+#REF!,"")</f>
        <v/>
      </c>
      <c r="TCU48" s="84" t="str">
        <f>IF(ISNUMBER(outYear),TCU37+TCU42+#REF!+#REF!,"")</f>
        <v/>
      </c>
      <c r="TCV48" s="84" t="str">
        <f>IF(ISNUMBER(outYear),TCV37+TCV42+#REF!+#REF!,"")</f>
        <v/>
      </c>
      <c r="TCW48" s="84" t="str">
        <f>IF(ISNUMBER(outYear),TCW37+TCW42+#REF!+#REF!,"")</f>
        <v/>
      </c>
      <c r="TCX48" s="84" t="str">
        <f>IF(ISNUMBER(outYear),TCX37+TCX42+#REF!+#REF!,"")</f>
        <v/>
      </c>
      <c r="TCY48" s="84" t="str">
        <f>IF(ISNUMBER(outYear),TCY37+TCY42+#REF!+#REF!,"")</f>
        <v/>
      </c>
      <c r="TCZ48" s="84" t="str">
        <f>IF(ISNUMBER(outYear),TCZ37+TCZ42+#REF!+#REF!,"")</f>
        <v/>
      </c>
      <c r="TDA48" s="84" t="str">
        <f>IF(ISNUMBER(outYear),TDA37+TDA42+#REF!+#REF!,"")</f>
        <v/>
      </c>
      <c r="TDB48" s="84" t="str">
        <f>IF(ISNUMBER(outYear),TDB37+TDB42+#REF!+#REF!,"")</f>
        <v/>
      </c>
      <c r="TDC48" s="84" t="str">
        <f>IF(ISNUMBER(outYear),TDC37+TDC42+#REF!+#REF!,"")</f>
        <v/>
      </c>
      <c r="TDD48" s="84" t="str">
        <f>IF(ISNUMBER(outYear),TDD37+TDD42+#REF!+#REF!,"")</f>
        <v/>
      </c>
      <c r="TDE48" s="84" t="str">
        <f>IF(ISNUMBER(outYear),TDE37+TDE42+#REF!+#REF!,"")</f>
        <v/>
      </c>
      <c r="TDF48" s="84" t="str">
        <f>IF(ISNUMBER(outYear),TDF37+TDF42+#REF!+#REF!,"")</f>
        <v/>
      </c>
      <c r="TDG48" s="84" t="str">
        <f>IF(ISNUMBER(outYear),TDG37+TDG42+#REF!+#REF!,"")</f>
        <v/>
      </c>
      <c r="TDH48" s="84" t="str">
        <f>IF(ISNUMBER(outYear),TDH37+TDH42+#REF!+#REF!,"")</f>
        <v/>
      </c>
      <c r="TDI48" s="84" t="str">
        <f>IF(ISNUMBER(outYear),TDI37+TDI42+#REF!+#REF!,"")</f>
        <v/>
      </c>
      <c r="TDJ48" s="84" t="str">
        <f>IF(ISNUMBER(outYear),TDJ37+TDJ42+#REF!+#REF!,"")</f>
        <v/>
      </c>
      <c r="TDK48" s="84" t="str">
        <f>IF(ISNUMBER(outYear),TDK37+TDK42+#REF!+#REF!,"")</f>
        <v/>
      </c>
      <c r="TDL48" s="84" t="str">
        <f>IF(ISNUMBER(outYear),TDL37+TDL42+#REF!+#REF!,"")</f>
        <v/>
      </c>
      <c r="TDM48" s="84" t="str">
        <f>IF(ISNUMBER(outYear),TDM37+TDM42+#REF!+#REF!,"")</f>
        <v/>
      </c>
      <c r="TDN48" s="84" t="str">
        <f>IF(ISNUMBER(outYear),TDN37+TDN42+#REF!+#REF!,"")</f>
        <v/>
      </c>
      <c r="TDO48" s="84" t="str">
        <f>IF(ISNUMBER(outYear),TDO37+TDO42+#REF!+#REF!,"")</f>
        <v/>
      </c>
      <c r="TDP48" s="84" t="str">
        <f>IF(ISNUMBER(outYear),TDP37+TDP42+#REF!+#REF!,"")</f>
        <v/>
      </c>
      <c r="TDQ48" s="84" t="str">
        <f>IF(ISNUMBER(outYear),TDQ37+TDQ42+#REF!+#REF!,"")</f>
        <v/>
      </c>
      <c r="TDR48" s="84" t="str">
        <f>IF(ISNUMBER(outYear),TDR37+TDR42+#REF!+#REF!,"")</f>
        <v/>
      </c>
      <c r="TDS48" s="84" t="str">
        <f>IF(ISNUMBER(outYear),TDS37+TDS42+#REF!+#REF!,"")</f>
        <v/>
      </c>
      <c r="TDT48" s="84" t="str">
        <f>IF(ISNUMBER(outYear),TDT37+TDT42+#REF!+#REF!,"")</f>
        <v/>
      </c>
      <c r="TDU48" s="84" t="str">
        <f>IF(ISNUMBER(outYear),TDU37+TDU42+#REF!+#REF!,"")</f>
        <v/>
      </c>
      <c r="TDV48" s="84" t="str">
        <f>IF(ISNUMBER(outYear),TDV37+TDV42+#REF!+#REF!,"")</f>
        <v/>
      </c>
      <c r="TDW48" s="84" t="str">
        <f>IF(ISNUMBER(outYear),TDW37+TDW42+#REF!+#REF!,"")</f>
        <v/>
      </c>
      <c r="TDX48" s="84" t="str">
        <f>IF(ISNUMBER(outYear),TDX37+TDX42+#REF!+#REF!,"")</f>
        <v/>
      </c>
      <c r="TDY48" s="84" t="str">
        <f>IF(ISNUMBER(outYear),TDY37+TDY42+#REF!+#REF!,"")</f>
        <v/>
      </c>
      <c r="TDZ48" s="84" t="str">
        <f>IF(ISNUMBER(outYear),TDZ37+TDZ42+#REF!+#REF!,"")</f>
        <v/>
      </c>
      <c r="TEA48" s="84" t="str">
        <f>IF(ISNUMBER(outYear),TEA37+TEA42+#REF!+#REF!,"")</f>
        <v/>
      </c>
      <c r="TEB48" s="84" t="str">
        <f>IF(ISNUMBER(outYear),TEB37+TEB42+#REF!+#REF!,"")</f>
        <v/>
      </c>
      <c r="TEC48" s="84" t="str">
        <f>IF(ISNUMBER(outYear),TEC37+TEC42+#REF!+#REF!,"")</f>
        <v/>
      </c>
      <c r="TED48" s="84" t="str">
        <f>IF(ISNUMBER(outYear),TED37+TED42+#REF!+#REF!,"")</f>
        <v/>
      </c>
      <c r="TEE48" s="84" t="str">
        <f>IF(ISNUMBER(outYear),TEE37+TEE42+#REF!+#REF!,"")</f>
        <v/>
      </c>
      <c r="TEF48" s="84" t="str">
        <f>IF(ISNUMBER(outYear),TEF37+TEF42+#REF!+#REF!,"")</f>
        <v/>
      </c>
      <c r="TEG48" s="84" t="str">
        <f>IF(ISNUMBER(outYear),TEG37+TEG42+#REF!+#REF!,"")</f>
        <v/>
      </c>
      <c r="TEH48" s="84" t="str">
        <f>IF(ISNUMBER(outYear),TEH37+TEH42+#REF!+#REF!,"")</f>
        <v/>
      </c>
      <c r="TEI48" s="84" t="str">
        <f>IF(ISNUMBER(outYear),TEI37+TEI42+#REF!+#REF!,"")</f>
        <v/>
      </c>
      <c r="TEJ48" s="84" t="str">
        <f>IF(ISNUMBER(outYear),TEJ37+TEJ42+#REF!+#REF!,"")</f>
        <v/>
      </c>
      <c r="TEK48" s="84" t="str">
        <f>IF(ISNUMBER(outYear),TEK37+TEK42+#REF!+#REF!,"")</f>
        <v/>
      </c>
      <c r="TEL48" s="84" t="str">
        <f>IF(ISNUMBER(outYear),TEL37+TEL42+#REF!+#REF!,"")</f>
        <v/>
      </c>
      <c r="TEM48" s="84" t="str">
        <f>IF(ISNUMBER(outYear),TEM37+TEM42+#REF!+#REF!,"")</f>
        <v/>
      </c>
      <c r="TEN48" s="84" t="str">
        <f>IF(ISNUMBER(outYear),TEN37+TEN42+#REF!+#REF!,"")</f>
        <v/>
      </c>
      <c r="TEO48" s="84" t="str">
        <f>IF(ISNUMBER(outYear),TEO37+TEO42+#REF!+#REF!,"")</f>
        <v/>
      </c>
      <c r="TEP48" s="84" t="str">
        <f>IF(ISNUMBER(outYear),TEP37+TEP42+#REF!+#REF!,"")</f>
        <v/>
      </c>
      <c r="TEQ48" s="84" t="str">
        <f>IF(ISNUMBER(outYear),TEQ37+TEQ42+#REF!+#REF!,"")</f>
        <v/>
      </c>
      <c r="TER48" s="84" t="str">
        <f>IF(ISNUMBER(outYear),TER37+TER42+#REF!+#REF!,"")</f>
        <v/>
      </c>
      <c r="TES48" s="84" t="str">
        <f>IF(ISNUMBER(outYear),TES37+TES42+#REF!+#REF!,"")</f>
        <v/>
      </c>
      <c r="TET48" s="84" t="str">
        <f>IF(ISNUMBER(outYear),TET37+TET42+#REF!+#REF!,"")</f>
        <v/>
      </c>
      <c r="TEU48" s="84" t="str">
        <f>IF(ISNUMBER(outYear),TEU37+TEU42+#REF!+#REF!,"")</f>
        <v/>
      </c>
      <c r="TEV48" s="84" t="str">
        <f>IF(ISNUMBER(outYear),TEV37+TEV42+#REF!+#REF!,"")</f>
        <v/>
      </c>
      <c r="TEW48" s="84" t="str">
        <f>IF(ISNUMBER(outYear),TEW37+TEW42+#REF!+#REF!,"")</f>
        <v/>
      </c>
      <c r="TEX48" s="84" t="str">
        <f>IF(ISNUMBER(outYear),TEX37+TEX42+#REF!+#REF!,"")</f>
        <v/>
      </c>
      <c r="TEY48" s="84" t="str">
        <f>IF(ISNUMBER(outYear),TEY37+TEY42+#REF!+#REF!,"")</f>
        <v/>
      </c>
      <c r="TEZ48" s="84" t="str">
        <f>IF(ISNUMBER(outYear),TEZ37+TEZ42+#REF!+#REF!,"")</f>
        <v/>
      </c>
      <c r="TFA48" s="84" t="str">
        <f>IF(ISNUMBER(outYear),TFA37+TFA42+#REF!+#REF!,"")</f>
        <v/>
      </c>
      <c r="TFB48" s="84" t="str">
        <f>IF(ISNUMBER(outYear),TFB37+TFB42+#REF!+#REF!,"")</f>
        <v/>
      </c>
      <c r="TFC48" s="84" t="str">
        <f>IF(ISNUMBER(outYear),TFC37+TFC42+#REF!+#REF!,"")</f>
        <v/>
      </c>
      <c r="TFD48" s="84" t="str">
        <f>IF(ISNUMBER(outYear),TFD37+TFD42+#REF!+#REF!,"")</f>
        <v/>
      </c>
      <c r="TFE48" s="84" t="str">
        <f>IF(ISNUMBER(outYear),TFE37+TFE42+#REF!+#REF!,"")</f>
        <v/>
      </c>
      <c r="TFF48" s="84" t="str">
        <f>IF(ISNUMBER(outYear),TFF37+TFF42+#REF!+#REF!,"")</f>
        <v/>
      </c>
      <c r="TFG48" s="84" t="str">
        <f>IF(ISNUMBER(outYear),TFG37+TFG42+#REF!+#REF!,"")</f>
        <v/>
      </c>
      <c r="TFH48" s="84" t="str">
        <f>IF(ISNUMBER(outYear),TFH37+TFH42+#REF!+#REF!,"")</f>
        <v/>
      </c>
      <c r="TFI48" s="84" t="str">
        <f>IF(ISNUMBER(outYear),TFI37+TFI42+#REF!+#REF!,"")</f>
        <v/>
      </c>
      <c r="TFJ48" s="84" t="str">
        <f>IF(ISNUMBER(outYear),TFJ37+TFJ42+#REF!+#REF!,"")</f>
        <v/>
      </c>
      <c r="TFK48" s="84" t="str">
        <f>IF(ISNUMBER(outYear),TFK37+TFK42+#REF!+#REF!,"")</f>
        <v/>
      </c>
      <c r="TFL48" s="84" t="str">
        <f>IF(ISNUMBER(outYear),TFL37+TFL42+#REF!+#REF!,"")</f>
        <v/>
      </c>
      <c r="TFM48" s="84" t="str">
        <f>IF(ISNUMBER(outYear),TFM37+TFM42+#REF!+#REF!,"")</f>
        <v/>
      </c>
      <c r="TFN48" s="84" t="str">
        <f>IF(ISNUMBER(outYear),TFN37+TFN42+#REF!+#REF!,"")</f>
        <v/>
      </c>
      <c r="TFO48" s="84" t="str">
        <f>IF(ISNUMBER(outYear),TFO37+TFO42+#REF!+#REF!,"")</f>
        <v/>
      </c>
      <c r="TFP48" s="84" t="str">
        <f>IF(ISNUMBER(outYear),TFP37+TFP42+#REF!+#REF!,"")</f>
        <v/>
      </c>
      <c r="TFQ48" s="84" t="str">
        <f>IF(ISNUMBER(outYear),TFQ37+TFQ42+#REF!+#REF!,"")</f>
        <v/>
      </c>
      <c r="TFR48" s="84" t="str">
        <f>IF(ISNUMBER(outYear),TFR37+TFR42+#REF!+#REF!,"")</f>
        <v/>
      </c>
      <c r="TFS48" s="84" t="str">
        <f>IF(ISNUMBER(outYear),TFS37+TFS42+#REF!+#REF!,"")</f>
        <v/>
      </c>
      <c r="TFT48" s="84" t="str">
        <f>IF(ISNUMBER(outYear),TFT37+TFT42+#REF!+#REF!,"")</f>
        <v/>
      </c>
      <c r="TFU48" s="84" t="str">
        <f>IF(ISNUMBER(outYear),TFU37+TFU42+#REF!+#REF!,"")</f>
        <v/>
      </c>
      <c r="TFV48" s="84" t="str">
        <f>IF(ISNUMBER(outYear),TFV37+TFV42+#REF!+#REF!,"")</f>
        <v/>
      </c>
      <c r="TFW48" s="84" t="str">
        <f>IF(ISNUMBER(outYear),TFW37+TFW42+#REF!+#REF!,"")</f>
        <v/>
      </c>
      <c r="TFX48" s="84" t="str">
        <f>IF(ISNUMBER(outYear),TFX37+TFX42+#REF!+#REF!,"")</f>
        <v/>
      </c>
      <c r="TFY48" s="84" t="str">
        <f>IF(ISNUMBER(outYear),TFY37+TFY42+#REF!+#REF!,"")</f>
        <v/>
      </c>
      <c r="TFZ48" s="84" t="str">
        <f>IF(ISNUMBER(outYear),TFZ37+TFZ42+#REF!+#REF!,"")</f>
        <v/>
      </c>
      <c r="TGA48" s="84" t="str">
        <f>IF(ISNUMBER(outYear),TGA37+TGA42+#REF!+#REF!,"")</f>
        <v/>
      </c>
      <c r="TGB48" s="84" t="str">
        <f>IF(ISNUMBER(outYear),TGB37+TGB42+#REF!+#REF!,"")</f>
        <v/>
      </c>
      <c r="TGC48" s="84" t="str">
        <f>IF(ISNUMBER(outYear),TGC37+TGC42+#REF!+#REF!,"")</f>
        <v/>
      </c>
      <c r="TGD48" s="84" t="str">
        <f>IF(ISNUMBER(outYear),TGD37+TGD42+#REF!+#REF!,"")</f>
        <v/>
      </c>
      <c r="TGE48" s="84" t="str">
        <f>IF(ISNUMBER(outYear),TGE37+TGE42+#REF!+#REF!,"")</f>
        <v/>
      </c>
      <c r="TGF48" s="84" t="str">
        <f>IF(ISNUMBER(outYear),TGF37+TGF42+#REF!+#REF!,"")</f>
        <v/>
      </c>
      <c r="TGG48" s="84" t="str">
        <f>IF(ISNUMBER(outYear),TGG37+TGG42+#REF!+#REF!,"")</f>
        <v/>
      </c>
      <c r="TGH48" s="84" t="str">
        <f>IF(ISNUMBER(outYear),TGH37+TGH42+#REF!+#REF!,"")</f>
        <v/>
      </c>
      <c r="TGI48" s="84" t="str">
        <f>IF(ISNUMBER(outYear),TGI37+TGI42+#REF!+#REF!,"")</f>
        <v/>
      </c>
      <c r="TGJ48" s="84" t="str">
        <f>IF(ISNUMBER(outYear),TGJ37+TGJ42+#REF!+#REF!,"")</f>
        <v/>
      </c>
      <c r="TGK48" s="84" t="str">
        <f>IF(ISNUMBER(outYear),TGK37+TGK42+#REF!+#REF!,"")</f>
        <v/>
      </c>
      <c r="TGL48" s="84" t="str">
        <f>IF(ISNUMBER(outYear),TGL37+TGL42+#REF!+#REF!,"")</f>
        <v/>
      </c>
      <c r="TGM48" s="84" t="str">
        <f>IF(ISNUMBER(outYear),TGM37+TGM42+#REF!+#REF!,"")</f>
        <v/>
      </c>
      <c r="TGN48" s="84" t="str">
        <f>IF(ISNUMBER(outYear),TGN37+TGN42+#REF!+#REF!,"")</f>
        <v/>
      </c>
      <c r="TGO48" s="84" t="str">
        <f>IF(ISNUMBER(outYear),TGO37+TGO42+#REF!+#REF!,"")</f>
        <v/>
      </c>
      <c r="TGP48" s="84" t="str">
        <f>IF(ISNUMBER(outYear),TGP37+TGP42+#REF!+#REF!,"")</f>
        <v/>
      </c>
      <c r="TGQ48" s="84" t="str">
        <f>IF(ISNUMBER(outYear),TGQ37+TGQ42+#REF!+#REF!,"")</f>
        <v/>
      </c>
      <c r="TGR48" s="84" t="str">
        <f>IF(ISNUMBER(outYear),TGR37+TGR42+#REF!+#REF!,"")</f>
        <v/>
      </c>
      <c r="TGS48" s="84" t="str">
        <f>IF(ISNUMBER(outYear),TGS37+TGS42+#REF!+#REF!,"")</f>
        <v/>
      </c>
      <c r="TGT48" s="84" t="str">
        <f>IF(ISNUMBER(outYear),TGT37+TGT42+#REF!+#REF!,"")</f>
        <v/>
      </c>
      <c r="TGU48" s="84" t="str">
        <f>IF(ISNUMBER(outYear),TGU37+TGU42+#REF!+#REF!,"")</f>
        <v/>
      </c>
      <c r="TGV48" s="84" t="str">
        <f>IF(ISNUMBER(outYear),TGV37+TGV42+#REF!+#REF!,"")</f>
        <v/>
      </c>
      <c r="TGW48" s="84" t="str">
        <f>IF(ISNUMBER(outYear),TGW37+TGW42+#REF!+#REF!,"")</f>
        <v/>
      </c>
      <c r="TGX48" s="84" t="str">
        <f>IF(ISNUMBER(outYear),TGX37+TGX42+#REF!+#REF!,"")</f>
        <v/>
      </c>
      <c r="TGY48" s="84" t="str">
        <f>IF(ISNUMBER(outYear),TGY37+TGY42+#REF!+#REF!,"")</f>
        <v/>
      </c>
      <c r="TGZ48" s="84" t="str">
        <f>IF(ISNUMBER(outYear),TGZ37+TGZ42+#REF!+#REF!,"")</f>
        <v/>
      </c>
      <c r="THA48" s="84" t="str">
        <f>IF(ISNUMBER(outYear),THA37+THA42+#REF!+#REF!,"")</f>
        <v/>
      </c>
      <c r="THB48" s="84" t="str">
        <f>IF(ISNUMBER(outYear),THB37+THB42+#REF!+#REF!,"")</f>
        <v/>
      </c>
      <c r="THC48" s="84" t="str">
        <f>IF(ISNUMBER(outYear),THC37+THC42+#REF!+#REF!,"")</f>
        <v/>
      </c>
      <c r="THD48" s="84" t="str">
        <f>IF(ISNUMBER(outYear),THD37+THD42+#REF!+#REF!,"")</f>
        <v/>
      </c>
      <c r="THE48" s="84" t="str">
        <f>IF(ISNUMBER(outYear),THE37+THE42+#REF!+#REF!,"")</f>
        <v/>
      </c>
      <c r="THF48" s="84" t="str">
        <f>IF(ISNUMBER(outYear),THF37+THF42+#REF!+#REF!,"")</f>
        <v/>
      </c>
      <c r="THG48" s="84" t="str">
        <f>IF(ISNUMBER(outYear),THG37+THG42+#REF!+#REF!,"")</f>
        <v/>
      </c>
      <c r="THH48" s="84" t="str">
        <f>IF(ISNUMBER(outYear),THH37+THH42+#REF!+#REF!,"")</f>
        <v/>
      </c>
      <c r="THI48" s="84" t="str">
        <f>IF(ISNUMBER(outYear),THI37+THI42+#REF!+#REF!,"")</f>
        <v/>
      </c>
      <c r="THJ48" s="84" t="str">
        <f>IF(ISNUMBER(outYear),THJ37+THJ42+#REF!+#REF!,"")</f>
        <v/>
      </c>
      <c r="THK48" s="84" t="str">
        <f>IF(ISNUMBER(outYear),THK37+THK42+#REF!+#REF!,"")</f>
        <v/>
      </c>
      <c r="THL48" s="84" t="str">
        <f>IF(ISNUMBER(outYear),THL37+THL42+#REF!+#REF!,"")</f>
        <v/>
      </c>
      <c r="THM48" s="84" t="str">
        <f>IF(ISNUMBER(outYear),THM37+THM42+#REF!+#REF!,"")</f>
        <v/>
      </c>
      <c r="THN48" s="84" t="str">
        <f>IF(ISNUMBER(outYear),THN37+THN42+#REF!+#REF!,"")</f>
        <v/>
      </c>
      <c r="THO48" s="84" t="str">
        <f>IF(ISNUMBER(outYear),THO37+THO42+#REF!+#REF!,"")</f>
        <v/>
      </c>
      <c r="THP48" s="84" t="str">
        <f>IF(ISNUMBER(outYear),THP37+THP42+#REF!+#REF!,"")</f>
        <v/>
      </c>
      <c r="THQ48" s="84" t="str">
        <f>IF(ISNUMBER(outYear),THQ37+THQ42+#REF!+#REF!,"")</f>
        <v/>
      </c>
      <c r="THR48" s="84" t="str">
        <f>IF(ISNUMBER(outYear),THR37+THR42+#REF!+#REF!,"")</f>
        <v/>
      </c>
      <c r="THS48" s="84" t="str">
        <f>IF(ISNUMBER(outYear),THS37+THS42+#REF!+#REF!,"")</f>
        <v/>
      </c>
      <c r="THT48" s="84" t="str">
        <f>IF(ISNUMBER(outYear),THT37+THT42+#REF!+#REF!,"")</f>
        <v/>
      </c>
      <c r="THU48" s="84" t="str">
        <f>IF(ISNUMBER(outYear),THU37+THU42+#REF!+#REF!,"")</f>
        <v/>
      </c>
      <c r="THV48" s="84" t="str">
        <f>IF(ISNUMBER(outYear),THV37+THV42+#REF!+#REF!,"")</f>
        <v/>
      </c>
      <c r="THW48" s="84" t="str">
        <f>IF(ISNUMBER(outYear),THW37+THW42+#REF!+#REF!,"")</f>
        <v/>
      </c>
      <c r="THX48" s="84" t="str">
        <f>IF(ISNUMBER(outYear),THX37+THX42+#REF!+#REF!,"")</f>
        <v/>
      </c>
      <c r="THY48" s="84" t="str">
        <f>IF(ISNUMBER(outYear),THY37+THY42+#REF!+#REF!,"")</f>
        <v/>
      </c>
      <c r="THZ48" s="84" t="str">
        <f>IF(ISNUMBER(outYear),THZ37+THZ42+#REF!+#REF!,"")</f>
        <v/>
      </c>
      <c r="TIA48" s="84" t="str">
        <f>IF(ISNUMBER(outYear),TIA37+TIA42+#REF!+#REF!,"")</f>
        <v/>
      </c>
      <c r="TIB48" s="84" t="str">
        <f>IF(ISNUMBER(outYear),TIB37+TIB42+#REF!+#REF!,"")</f>
        <v/>
      </c>
      <c r="TIC48" s="84" t="str">
        <f>IF(ISNUMBER(outYear),TIC37+TIC42+#REF!+#REF!,"")</f>
        <v/>
      </c>
      <c r="TID48" s="84" t="str">
        <f>IF(ISNUMBER(outYear),TID37+TID42+#REF!+#REF!,"")</f>
        <v/>
      </c>
      <c r="TIE48" s="84" t="str">
        <f>IF(ISNUMBER(outYear),TIE37+TIE42+#REF!+#REF!,"")</f>
        <v/>
      </c>
      <c r="TIF48" s="84" t="str">
        <f>IF(ISNUMBER(outYear),TIF37+TIF42+#REF!+#REF!,"")</f>
        <v/>
      </c>
      <c r="TIG48" s="84" t="str">
        <f>IF(ISNUMBER(outYear),TIG37+TIG42+#REF!+#REF!,"")</f>
        <v/>
      </c>
      <c r="TIH48" s="84" t="str">
        <f>IF(ISNUMBER(outYear),TIH37+TIH42+#REF!+#REF!,"")</f>
        <v/>
      </c>
      <c r="TII48" s="84" t="str">
        <f>IF(ISNUMBER(outYear),TII37+TII42+#REF!+#REF!,"")</f>
        <v/>
      </c>
      <c r="TIJ48" s="84" t="str">
        <f>IF(ISNUMBER(outYear),TIJ37+TIJ42+#REF!+#REF!,"")</f>
        <v/>
      </c>
      <c r="TIK48" s="84" t="str">
        <f>IF(ISNUMBER(outYear),TIK37+TIK42+#REF!+#REF!,"")</f>
        <v/>
      </c>
      <c r="TIL48" s="84" t="str">
        <f>IF(ISNUMBER(outYear),TIL37+TIL42+#REF!+#REF!,"")</f>
        <v/>
      </c>
      <c r="TIM48" s="84" t="str">
        <f>IF(ISNUMBER(outYear),TIM37+TIM42+#REF!+#REF!,"")</f>
        <v/>
      </c>
      <c r="TIN48" s="84" t="str">
        <f>IF(ISNUMBER(outYear),TIN37+TIN42+#REF!+#REF!,"")</f>
        <v/>
      </c>
      <c r="TIO48" s="84" t="str">
        <f>IF(ISNUMBER(outYear),TIO37+TIO42+#REF!+#REF!,"")</f>
        <v/>
      </c>
      <c r="TIP48" s="84" t="str">
        <f>IF(ISNUMBER(outYear),TIP37+TIP42+#REF!+#REF!,"")</f>
        <v/>
      </c>
      <c r="TIQ48" s="84" t="str">
        <f>IF(ISNUMBER(outYear),TIQ37+TIQ42+#REF!+#REF!,"")</f>
        <v/>
      </c>
      <c r="TIR48" s="84" t="str">
        <f>IF(ISNUMBER(outYear),TIR37+TIR42+#REF!+#REF!,"")</f>
        <v/>
      </c>
      <c r="TIS48" s="84" t="str">
        <f>IF(ISNUMBER(outYear),TIS37+TIS42+#REF!+#REF!,"")</f>
        <v/>
      </c>
      <c r="TIT48" s="84" t="str">
        <f>IF(ISNUMBER(outYear),TIT37+TIT42+#REF!+#REF!,"")</f>
        <v/>
      </c>
      <c r="TIU48" s="84" t="str">
        <f>IF(ISNUMBER(outYear),TIU37+TIU42+#REF!+#REF!,"")</f>
        <v/>
      </c>
      <c r="TIV48" s="84" t="str">
        <f>IF(ISNUMBER(outYear),TIV37+TIV42+#REF!+#REF!,"")</f>
        <v/>
      </c>
      <c r="TIW48" s="84" t="str">
        <f>IF(ISNUMBER(outYear),TIW37+TIW42+#REF!+#REF!,"")</f>
        <v/>
      </c>
      <c r="TIX48" s="84" t="str">
        <f>IF(ISNUMBER(outYear),TIX37+TIX42+#REF!+#REF!,"")</f>
        <v/>
      </c>
      <c r="TIY48" s="84" t="str">
        <f>IF(ISNUMBER(outYear),TIY37+TIY42+#REF!+#REF!,"")</f>
        <v/>
      </c>
      <c r="TIZ48" s="84" t="str">
        <f>IF(ISNUMBER(outYear),TIZ37+TIZ42+#REF!+#REF!,"")</f>
        <v/>
      </c>
      <c r="TJA48" s="84" t="str">
        <f>IF(ISNUMBER(outYear),TJA37+TJA42+#REF!+#REF!,"")</f>
        <v/>
      </c>
      <c r="TJB48" s="84" t="str">
        <f>IF(ISNUMBER(outYear),TJB37+TJB42+#REF!+#REF!,"")</f>
        <v/>
      </c>
      <c r="TJC48" s="84" t="str">
        <f>IF(ISNUMBER(outYear),TJC37+TJC42+#REF!+#REF!,"")</f>
        <v/>
      </c>
      <c r="TJD48" s="84" t="str">
        <f>IF(ISNUMBER(outYear),TJD37+TJD42+#REF!+#REF!,"")</f>
        <v/>
      </c>
      <c r="TJE48" s="84" t="str">
        <f>IF(ISNUMBER(outYear),TJE37+TJE42+#REF!+#REF!,"")</f>
        <v/>
      </c>
      <c r="TJF48" s="84" t="str">
        <f>IF(ISNUMBER(outYear),TJF37+TJF42+#REF!+#REF!,"")</f>
        <v/>
      </c>
      <c r="TJG48" s="84" t="str">
        <f>IF(ISNUMBER(outYear),TJG37+TJG42+#REF!+#REF!,"")</f>
        <v/>
      </c>
      <c r="TJH48" s="84" t="str">
        <f>IF(ISNUMBER(outYear),TJH37+TJH42+#REF!+#REF!,"")</f>
        <v/>
      </c>
      <c r="TJI48" s="84" t="str">
        <f>IF(ISNUMBER(outYear),TJI37+TJI42+#REF!+#REF!,"")</f>
        <v/>
      </c>
      <c r="TJJ48" s="84" t="str">
        <f>IF(ISNUMBER(outYear),TJJ37+TJJ42+#REF!+#REF!,"")</f>
        <v/>
      </c>
      <c r="TJK48" s="84" t="str">
        <f>IF(ISNUMBER(outYear),TJK37+TJK42+#REF!+#REF!,"")</f>
        <v/>
      </c>
      <c r="TJL48" s="84" t="str">
        <f>IF(ISNUMBER(outYear),TJL37+TJL42+#REF!+#REF!,"")</f>
        <v/>
      </c>
      <c r="TJM48" s="84" t="str">
        <f>IF(ISNUMBER(outYear),TJM37+TJM42+#REF!+#REF!,"")</f>
        <v/>
      </c>
      <c r="TJN48" s="84" t="str">
        <f>IF(ISNUMBER(outYear),TJN37+TJN42+#REF!+#REF!,"")</f>
        <v/>
      </c>
      <c r="TJO48" s="84" t="str">
        <f>IF(ISNUMBER(outYear),TJO37+TJO42+#REF!+#REF!,"")</f>
        <v/>
      </c>
      <c r="TJP48" s="84" t="str">
        <f>IF(ISNUMBER(outYear),TJP37+TJP42+#REF!+#REF!,"")</f>
        <v/>
      </c>
      <c r="TJQ48" s="84" t="str">
        <f>IF(ISNUMBER(outYear),TJQ37+TJQ42+#REF!+#REF!,"")</f>
        <v/>
      </c>
      <c r="TJR48" s="84" t="str">
        <f>IF(ISNUMBER(outYear),TJR37+TJR42+#REF!+#REF!,"")</f>
        <v/>
      </c>
      <c r="TJS48" s="84" t="str">
        <f>IF(ISNUMBER(outYear),TJS37+TJS42+#REF!+#REF!,"")</f>
        <v/>
      </c>
      <c r="TJT48" s="84" t="str">
        <f>IF(ISNUMBER(outYear),TJT37+TJT42+#REF!+#REF!,"")</f>
        <v/>
      </c>
      <c r="TJU48" s="84" t="str">
        <f>IF(ISNUMBER(outYear),TJU37+TJU42+#REF!+#REF!,"")</f>
        <v/>
      </c>
      <c r="TJV48" s="84" t="str">
        <f>IF(ISNUMBER(outYear),TJV37+TJV42+#REF!+#REF!,"")</f>
        <v/>
      </c>
      <c r="TJW48" s="84" t="str">
        <f>IF(ISNUMBER(outYear),TJW37+TJW42+#REF!+#REF!,"")</f>
        <v/>
      </c>
      <c r="TJX48" s="84" t="str">
        <f>IF(ISNUMBER(outYear),TJX37+TJX42+#REF!+#REF!,"")</f>
        <v/>
      </c>
      <c r="TJY48" s="84" t="str">
        <f>IF(ISNUMBER(outYear),TJY37+TJY42+#REF!+#REF!,"")</f>
        <v/>
      </c>
      <c r="TJZ48" s="84" t="str">
        <f>IF(ISNUMBER(outYear),TJZ37+TJZ42+#REF!+#REF!,"")</f>
        <v/>
      </c>
      <c r="TKA48" s="84" t="str">
        <f>IF(ISNUMBER(outYear),TKA37+TKA42+#REF!+#REF!,"")</f>
        <v/>
      </c>
      <c r="TKB48" s="84" t="str">
        <f>IF(ISNUMBER(outYear),TKB37+TKB42+#REF!+#REF!,"")</f>
        <v/>
      </c>
      <c r="TKC48" s="84" t="str">
        <f>IF(ISNUMBER(outYear),TKC37+TKC42+#REF!+#REF!,"")</f>
        <v/>
      </c>
      <c r="TKD48" s="84" t="str">
        <f>IF(ISNUMBER(outYear),TKD37+TKD42+#REF!+#REF!,"")</f>
        <v/>
      </c>
      <c r="TKE48" s="84" t="str">
        <f>IF(ISNUMBER(outYear),TKE37+TKE42+#REF!+#REF!,"")</f>
        <v/>
      </c>
      <c r="TKF48" s="84" t="str">
        <f>IF(ISNUMBER(outYear),TKF37+TKF42+#REF!+#REF!,"")</f>
        <v/>
      </c>
      <c r="TKG48" s="84" t="str">
        <f>IF(ISNUMBER(outYear),TKG37+TKG42+#REF!+#REF!,"")</f>
        <v/>
      </c>
      <c r="TKH48" s="84" t="str">
        <f>IF(ISNUMBER(outYear),TKH37+TKH42+#REF!+#REF!,"")</f>
        <v/>
      </c>
      <c r="TKI48" s="84" t="str">
        <f>IF(ISNUMBER(outYear),TKI37+TKI42+#REF!+#REF!,"")</f>
        <v/>
      </c>
      <c r="TKJ48" s="84" t="str">
        <f>IF(ISNUMBER(outYear),TKJ37+TKJ42+#REF!+#REF!,"")</f>
        <v/>
      </c>
      <c r="TKK48" s="84" t="str">
        <f>IF(ISNUMBER(outYear),TKK37+TKK42+#REF!+#REF!,"")</f>
        <v/>
      </c>
      <c r="TKL48" s="84" t="str">
        <f>IF(ISNUMBER(outYear),TKL37+TKL42+#REF!+#REF!,"")</f>
        <v/>
      </c>
      <c r="TKM48" s="84" t="str">
        <f>IF(ISNUMBER(outYear),TKM37+TKM42+#REF!+#REF!,"")</f>
        <v/>
      </c>
      <c r="TKN48" s="84" t="str">
        <f>IF(ISNUMBER(outYear),TKN37+TKN42+#REF!+#REF!,"")</f>
        <v/>
      </c>
      <c r="TKO48" s="84" t="str">
        <f>IF(ISNUMBER(outYear),TKO37+TKO42+#REF!+#REF!,"")</f>
        <v/>
      </c>
      <c r="TKP48" s="84" t="str">
        <f>IF(ISNUMBER(outYear),TKP37+TKP42+#REF!+#REF!,"")</f>
        <v/>
      </c>
      <c r="TKQ48" s="84" t="str">
        <f>IF(ISNUMBER(outYear),TKQ37+TKQ42+#REF!+#REF!,"")</f>
        <v/>
      </c>
      <c r="TKR48" s="84" t="str">
        <f>IF(ISNUMBER(outYear),TKR37+TKR42+#REF!+#REF!,"")</f>
        <v/>
      </c>
      <c r="TKS48" s="84" t="str">
        <f>IF(ISNUMBER(outYear),TKS37+TKS42+#REF!+#REF!,"")</f>
        <v/>
      </c>
      <c r="TKT48" s="84" t="str">
        <f>IF(ISNUMBER(outYear),TKT37+TKT42+#REF!+#REF!,"")</f>
        <v/>
      </c>
      <c r="TKU48" s="84" t="str">
        <f>IF(ISNUMBER(outYear),TKU37+TKU42+#REF!+#REF!,"")</f>
        <v/>
      </c>
      <c r="TKV48" s="84" t="str">
        <f>IF(ISNUMBER(outYear),TKV37+TKV42+#REF!+#REF!,"")</f>
        <v/>
      </c>
      <c r="TKW48" s="84" t="str">
        <f>IF(ISNUMBER(outYear),TKW37+TKW42+#REF!+#REF!,"")</f>
        <v/>
      </c>
      <c r="TKX48" s="84" t="str">
        <f>IF(ISNUMBER(outYear),TKX37+TKX42+#REF!+#REF!,"")</f>
        <v/>
      </c>
      <c r="TKY48" s="84" t="str">
        <f>IF(ISNUMBER(outYear),TKY37+TKY42+#REF!+#REF!,"")</f>
        <v/>
      </c>
      <c r="TKZ48" s="84" t="str">
        <f>IF(ISNUMBER(outYear),TKZ37+TKZ42+#REF!+#REF!,"")</f>
        <v/>
      </c>
      <c r="TLA48" s="84" t="str">
        <f>IF(ISNUMBER(outYear),TLA37+TLA42+#REF!+#REF!,"")</f>
        <v/>
      </c>
      <c r="TLB48" s="84" t="str">
        <f>IF(ISNUMBER(outYear),TLB37+TLB42+#REF!+#REF!,"")</f>
        <v/>
      </c>
      <c r="TLC48" s="84" t="str">
        <f>IF(ISNUMBER(outYear),TLC37+TLC42+#REF!+#REF!,"")</f>
        <v/>
      </c>
      <c r="TLD48" s="84" t="str">
        <f>IF(ISNUMBER(outYear),TLD37+TLD42+#REF!+#REF!,"")</f>
        <v/>
      </c>
      <c r="TLE48" s="84" t="str">
        <f>IF(ISNUMBER(outYear),TLE37+TLE42+#REF!+#REF!,"")</f>
        <v/>
      </c>
      <c r="TLF48" s="84" t="str">
        <f>IF(ISNUMBER(outYear),TLF37+TLF42+#REF!+#REF!,"")</f>
        <v/>
      </c>
      <c r="TLG48" s="84" t="str">
        <f>IF(ISNUMBER(outYear),TLG37+TLG42+#REF!+#REF!,"")</f>
        <v/>
      </c>
      <c r="TLH48" s="84" t="str">
        <f>IF(ISNUMBER(outYear),TLH37+TLH42+#REF!+#REF!,"")</f>
        <v/>
      </c>
      <c r="TLI48" s="84" t="str">
        <f>IF(ISNUMBER(outYear),TLI37+TLI42+#REF!+#REF!,"")</f>
        <v/>
      </c>
      <c r="TLJ48" s="84" t="str">
        <f>IF(ISNUMBER(outYear),TLJ37+TLJ42+#REF!+#REF!,"")</f>
        <v/>
      </c>
      <c r="TLK48" s="84" t="str">
        <f>IF(ISNUMBER(outYear),TLK37+TLK42+#REF!+#REF!,"")</f>
        <v/>
      </c>
      <c r="TLL48" s="84" t="str">
        <f>IF(ISNUMBER(outYear),TLL37+TLL42+#REF!+#REF!,"")</f>
        <v/>
      </c>
      <c r="TLM48" s="84" t="str">
        <f>IF(ISNUMBER(outYear),TLM37+TLM42+#REF!+#REF!,"")</f>
        <v/>
      </c>
      <c r="TLN48" s="84" t="str">
        <f>IF(ISNUMBER(outYear),TLN37+TLN42+#REF!+#REF!,"")</f>
        <v/>
      </c>
      <c r="TLO48" s="84" t="str">
        <f>IF(ISNUMBER(outYear),TLO37+TLO42+#REF!+#REF!,"")</f>
        <v/>
      </c>
      <c r="TLP48" s="84" t="str">
        <f>IF(ISNUMBER(outYear),TLP37+TLP42+#REF!+#REF!,"")</f>
        <v/>
      </c>
      <c r="TLQ48" s="84" t="str">
        <f>IF(ISNUMBER(outYear),TLQ37+TLQ42+#REF!+#REF!,"")</f>
        <v/>
      </c>
      <c r="TLR48" s="84" t="str">
        <f>IF(ISNUMBER(outYear),TLR37+TLR42+#REF!+#REF!,"")</f>
        <v/>
      </c>
      <c r="TLS48" s="84" t="str">
        <f>IF(ISNUMBER(outYear),TLS37+TLS42+#REF!+#REF!,"")</f>
        <v/>
      </c>
      <c r="TLT48" s="84" t="str">
        <f>IF(ISNUMBER(outYear),TLT37+TLT42+#REF!+#REF!,"")</f>
        <v/>
      </c>
      <c r="TLU48" s="84" t="str">
        <f>IF(ISNUMBER(outYear),TLU37+TLU42+#REF!+#REF!,"")</f>
        <v/>
      </c>
      <c r="TLV48" s="84" t="str">
        <f>IF(ISNUMBER(outYear),TLV37+TLV42+#REF!+#REF!,"")</f>
        <v/>
      </c>
      <c r="TLW48" s="84" t="str">
        <f>IF(ISNUMBER(outYear),TLW37+TLW42+#REF!+#REF!,"")</f>
        <v/>
      </c>
      <c r="TLX48" s="84" t="str">
        <f>IF(ISNUMBER(outYear),TLX37+TLX42+#REF!+#REF!,"")</f>
        <v/>
      </c>
      <c r="TLY48" s="84" t="str">
        <f>IF(ISNUMBER(outYear),TLY37+TLY42+#REF!+#REF!,"")</f>
        <v/>
      </c>
      <c r="TLZ48" s="84" t="str">
        <f>IF(ISNUMBER(outYear),TLZ37+TLZ42+#REF!+#REF!,"")</f>
        <v/>
      </c>
      <c r="TMA48" s="84" t="str">
        <f>IF(ISNUMBER(outYear),TMA37+TMA42+#REF!+#REF!,"")</f>
        <v/>
      </c>
      <c r="TMB48" s="84" t="str">
        <f>IF(ISNUMBER(outYear),TMB37+TMB42+#REF!+#REF!,"")</f>
        <v/>
      </c>
      <c r="TMC48" s="84" t="str">
        <f>IF(ISNUMBER(outYear),TMC37+TMC42+#REF!+#REF!,"")</f>
        <v/>
      </c>
      <c r="TMD48" s="84" t="str">
        <f>IF(ISNUMBER(outYear),TMD37+TMD42+#REF!+#REF!,"")</f>
        <v/>
      </c>
      <c r="TME48" s="84" t="str">
        <f>IF(ISNUMBER(outYear),TME37+TME42+#REF!+#REF!,"")</f>
        <v/>
      </c>
      <c r="TMF48" s="84" t="str">
        <f>IF(ISNUMBER(outYear),TMF37+TMF42+#REF!+#REF!,"")</f>
        <v/>
      </c>
      <c r="TMG48" s="84" t="str">
        <f>IF(ISNUMBER(outYear),TMG37+TMG42+#REF!+#REF!,"")</f>
        <v/>
      </c>
      <c r="TMH48" s="84" t="str">
        <f>IF(ISNUMBER(outYear),TMH37+TMH42+#REF!+#REF!,"")</f>
        <v/>
      </c>
      <c r="TMI48" s="84" t="str">
        <f>IF(ISNUMBER(outYear),TMI37+TMI42+#REF!+#REF!,"")</f>
        <v/>
      </c>
      <c r="TMJ48" s="84" t="str">
        <f>IF(ISNUMBER(outYear),TMJ37+TMJ42+#REF!+#REF!,"")</f>
        <v/>
      </c>
      <c r="TMK48" s="84" t="str">
        <f>IF(ISNUMBER(outYear),TMK37+TMK42+#REF!+#REF!,"")</f>
        <v/>
      </c>
      <c r="TML48" s="84" t="str">
        <f>IF(ISNUMBER(outYear),TML37+TML42+#REF!+#REF!,"")</f>
        <v/>
      </c>
      <c r="TMM48" s="84" t="str">
        <f>IF(ISNUMBER(outYear),TMM37+TMM42+#REF!+#REF!,"")</f>
        <v/>
      </c>
      <c r="TMN48" s="84" t="str">
        <f>IF(ISNUMBER(outYear),TMN37+TMN42+#REF!+#REF!,"")</f>
        <v/>
      </c>
      <c r="TMO48" s="84" t="str">
        <f>IF(ISNUMBER(outYear),TMO37+TMO42+#REF!+#REF!,"")</f>
        <v/>
      </c>
      <c r="TMP48" s="84" t="str">
        <f>IF(ISNUMBER(outYear),TMP37+TMP42+#REF!+#REF!,"")</f>
        <v/>
      </c>
      <c r="TMQ48" s="84" t="str">
        <f>IF(ISNUMBER(outYear),TMQ37+TMQ42+#REF!+#REF!,"")</f>
        <v/>
      </c>
      <c r="TMR48" s="84" t="str">
        <f>IF(ISNUMBER(outYear),TMR37+TMR42+#REF!+#REF!,"")</f>
        <v/>
      </c>
      <c r="TMS48" s="84" t="str">
        <f>IF(ISNUMBER(outYear),TMS37+TMS42+#REF!+#REF!,"")</f>
        <v/>
      </c>
      <c r="TMT48" s="84" t="str">
        <f>IF(ISNUMBER(outYear),TMT37+TMT42+#REF!+#REF!,"")</f>
        <v/>
      </c>
      <c r="TMU48" s="84" t="str">
        <f>IF(ISNUMBER(outYear),TMU37+TMU42+#REF!+#REF!,"")</f>
        <v/>
      </c>
      <c r="TMV48" s="84" t="str">
        <f>IF(ISNUMBER(outYear),TMV37+TMV42+#REF!+#REF!,"")</f>
        <v/>
      </c>
      <c r="TMW48" s="84" t="str">
        <f>IF(ISNUMBER(outYear),TMW37+TMW42+#REF!+#REF!,"")</f>
        <v/>
      </c>
      <c r="TMX48" s="84" t="str">
        <f>IF(ISNUMBER(outYear),TMX37+TMX42+#REF!+#REF!,"")</f>
        <v/>
      </c>
      <c r="TMY48" s="84" t="str">
        <f>IF(ISNUMBER(outYear),TMY37+TMY42+#REF!+#REF!,"")</f>
        <v/>
      </c>
      <c r="TMZ48" s="84" t="str">
        <f>IF(ISNUMBER(outYear),TMZ37+TMZ42+#REF!+#REF!,"")</f>
        <v/>
      </c>
      <c r="TNA48" s="84" t="str">
        <f>IF(ISNUMBER(outYear),TNA37+TNA42+#REF!+#REF!,"")</f>
        <v/>
      </c>
      <c r="TNB48" s="84" t="str">
        <f>IF(ISNUMBER(outYear),TNB37+TNB42+#REF!+#REF!,"")</f>
        <v/>
      </c>
      <c r="TNC48" s="84" t="str">
        <f>IF(ISNUMBER(outYear),TNC37+TNC42+#REF!+#REF!,"")</f>
        <v/>
      </c>
      <c r="TND48" s="84" t="str">
        <f>IF(ISNUMBER(outYear),TND37+TND42+#REF!+#REF!,"")</f>
        <v/>
      </c>
      <c r="TNE48" s="84" t="str">
        <f>IF(ISNUMBER(outYear),TNE37+TNE42+#REF!+#REF!,"")</f>
        <v/>
      </c>
      <c r="TNF48" s="84" t="str">
        <f>IF(ISNUMBER(outYear),TNF37+TNF42+#REF!+#REF!,"")</f>
        <v/>
      </c>
      <c r="TNG48" s="84" t="str">
        <f>IF(ISNUMBER(outYear),TNG37+TNG42+#REF!+#REF!,"")</f>
        <v/>
      </c>
      <c r="TNH48" s="84" t="str">
        <f>IF(ISNUMBER(outYear),TNH37+TNH42+#REF!+#REF!,"")</f>
        <v/>
      </c>
      <c r="TNI48" s="84" t="str">
        <f>IF(ISNUMBER(outYear),TNI37+TNI42+#REF!+#REF!,"")</f>
        <v/>
      </c>
      <c r="TNJ48" s="84" t="str">
        <f>IF(ISNUMBER(outYear),TNJ37+TNJ42+#REF!+#REF!,"")</f>
        <v/>
      </c>
      <c r="TNK48" s="84" t="str">
        <f>IF(ISNUMBER(outYear),TNK37+TNK42+#REF!+#REF!,"")</f>
        <v/>
      </c>
      <c r="TNL48" s="84" t="str">
        <f>IF(ISNUMBER(outYear),TNL37+TNL42+#REF!+#REF!,"")</f>
        <v/>
      </c>
      <c r="TNM48" s="84" t="str">
        <f>IF(ISNUMBER(outYear),TNM37+TNM42+#REF!+#REF!,"")</f>
        <v/>
      </c>
      <c r="TNN48" s="84" t="str">
        <f>IF(ISNUMBER(outYear),TNN37+TNN42+#REF!+#REF!,"")</f>
        <v/>
      </c>
      <c r="TNO48" s="84" t="str">
        <f>IF(ISNUMBER(outYear),TNO37+TNO42+#REF!+#REF!,"")</f>
        <v/>
      </c>
      <c r="TNP48" s="84" t="str">
        <f>IF(ISNUMBER(outYear),TNP37+TNP42+#REF!+#REF!,"")</f>
        <v/>
      </c>
      <c r="TNQ48" s="84" t="str">
        <f>IF(ISNUMBER(outYear),TNQ37+TNQ42+#REF!+#REF!,"")</f>
        <v/>
      </c>
      <c r="TNR48" s="84" t="str">
        <f>IF(ISNUMBER(outYear),TNR37+TNR42+#REF!+#REF!,"")</f>
        <v/>
      </c>
      <c r="TNS48" s="84" t="str">
        <f>IF(ISNUMBER(outYear),TNS37+TNS42+#REF!+#REF!,"")</f>
        <v/>
      </c>
      <c r="TNT48" s="84" t="str">
        <f>IF(ISNUMBER(outYear),TNT37+TNT42+#REF!+#REF!,"")</f>
        <v/>
      </c>
      <c r="TNU48" s="84" t="str">
        <f>IF(ISNUMBER(outYear),TNU37+TNU42+#REF!+#REF!,"")</f>
        <v/>
      </c>
      <c r="TNV48" s="84" t="str">
        <f>IF(ISNUMBER(outYear),TNV37+TNV42+#REF!+#REF!,"")</f>
        <v/>
      </c>
      <c r="TNW48" s="84" t="str">
        <f>IF(ISNUMBER(outYear),TNW37+TNW42+#REF!+#REF!,"")</f>
        <v/>
      </c>
      <c r="TNX48" s="84" t="str">
        <f>IF(ISNUMBER(outYear),TNX37+TNX42+#REF!+#REF!,"")</f>
        <v/>
      </c>
      <c r="TNY48" s="84" t="str">
        <f>IF(ISNUMBER(outYear),TNY37+TNY42+#REF!+#REF!,"")</f>
        <v/>
      </c>
      <c r="TNZ48" s="84" t="str">
        <f>IF(ISNUMBER(outYear),TNZ37+TNZ42+#REF!+#REF!,"")</f>
        <v/>
      </c>
      <c r="TOA48" s="84" t="str">
        <f>IF(ISNUMBER(outYear),TOA37+TOA42+#REF!+#REF!,"")</f>
        <v/>
      </c>
      <c r="TOB48" s="84" t="str">
        <f>IF(ISNUMBER(outYear),TOB37+TOB42+#REF!+#REF!,"")</f>
        <v/>
      </c>
      <c r="TOC48" s="84" t="str">
        <f>IF(ISNUMBER(outYear),TOC37+TOC42+#REF!+#REF!,"")</f>
        <v/>
      </c>
      <c r="TOD48" s="84" t="str">
        <f>IF(ISNUMBER(outYear),TOD37+TOD42+#REF!+#REF!,"")</f>
        <v/>
      </c>
      <c r="TOE48" s="84" t="str">
        <f>IF(ISNUMBER(outYear),TOE37+TOE42+#REF!+#REF!,"")</f>
        <v/>
      </c>
      <c r="TOF48" s="84" t="str">
        <f>IF(ISNUMBER(outYear),TOF37+TOF42+#REF!+#REF!,"")</f>
        <v/>
      </c>
      <c r="TOG48" s="84" t="str">
        <f>IF(ISNUMBER(outYear),TOG37+TOG42+#REF!+#REF!,"")</f>
        <v/>
      </c>
      <c r="TOH48" s="84" t="str">
        <f>IF(ISNUMBER(outYear),TOH37+TOH42+#REF!+#REF!,"")</f>
        <v/>
      </c>
      <c r="TOI48" s="84" t="str">
        <f>IF(ISNUMBER(outYear),TOI37+TOI42+#REF!+#REF!,"")</f>
        <v/>
      </c>
      <c r="TOJ48" s="84" t="str">
        <f>IF(ISNUMBER(outYear),TOJ37+TOJ42+#REF!+#REF!,"")</f>
        <v/>
      </c>
      <c r="TOK48" s="84" t="str">
        <f>IF(ISNUMBER(outYear),TOK37+TOK42+#REF!+#REF!,"")</f>
        <v/>
      </c>
      <c r="TOL48" s="84" t="str">
        <f>IF(ISNUMBER(outYear),TOL37+TOL42+#REF!+#REF!,"")</f>
        <v/>
      </c>
      <c r="TOM48" s="84" t="str">
        <f>IF(ISNUMBER(outYear),TOM37+TOM42+#REF!+#REF!,"")</f>
        <v/>
      </c>
      <c r="TON48" s="84" t="str">
        <f>IF(ISNUMBER(outYear),TON37+TON42+#REF!+#REF!,"")</f>
        <v/>
      </c>
      <c r="TOO48" s="84" t="str">
        <f>IF(ISNUMBER(outYear),TOO37+TOO42+#REF!+#REF!,"")</f>
        <v/>
      </c>
      <c r="TOP48" s="84" t="str">
        <f>IF(ISNUMBER(outYear),TOP37+TOP42+#REF!+#REF!,"")</f>
        <v/>
      </c>
      <c r="TOQ48" s="84" t="str">
        <f>IF(ISNUMBER(outYear),TOQ37+TOQ42+#REF!+#REF!,"")</f>
        <v/>
      </c>
      <c r="TOR48" s="84" t="str">
        <f>IF(ISNUMBER(outYear),TOR37+TOR42+#REF!+#REF!,"")</f>
        <v/>
      </c>
      <c r="TOS48" s="84" t="str">
        <f>IF(ISNUMBER(outYear),TOS37+TOS42+#REF!+#REF!,"")</f>
        <v/>
      </c>
      <c r="TOT48" s="84" t="str">
        <f>IF(ISNUMBER(outYear),TOT37+TOT42+#REF!+#REF!,"")</f>
        <v/>
      </c>
      <c r="TOU48" s="84" t="str">
        <f>IF(ISNUMBER(outYear),TOU37+TOU42+#REF!+#REF!,"")</f>
        <v/>
      </c>
      <c r="TOV48" s="84" t="str">
        <f>IF(ISNUMBER(outYear),TOV37+TOV42+#REF!+#REF!,"")</f>
        <v/>
      </c>
      <c r="TOW48" s="84" t="str">
        <f>IF(ISNUMBER(outYear),TOW37+TOW42+#REF!+#REF!,"")</f>
        <v/>
      </c>
      <c r="TOX48" s="84" t="str">
        <f>IF(ISNUMBER(outYear),TOX37+TOX42+#REF!+#REF!,"")</f>
        <v/>
      </c>
      <c r="TOY48" s="84" t="str">
        <f>IF(ISNUMBER(outYear),TOY37+TOY42+#REF!+#REF!,"")</f>
        <v/>
      </c>
      <c r="TOZ48" s="84" t="str">
        <f>IF(ISNUMBER(outYear),TOZ37+TOZ42+#REF!+#REF!,"")</f>
        <v/>
      </c>
      <c r="TPA48" s="84" t="str">
        <f>IF(ISNUMBER(outYear),TPA37+TPA42+#REF!+#REF!,"")</f>
        <v/>
      </c>
      <c r="TPB48" s="84" t="str">
        <f>IF(ISNUMBER(outYear),TPB37+TPB42+#REF!+#REF!,"")</f>
        <v/>
      </c>
      <c r="TPC48" s="84" t="str">
        <f>IF(ISNUMBER(outYear),TPC37+TPC42+#REF!+#REF!,"")</f>
        <v/>
      </c>
      <c r="TPD48" s="84" t="str">
        <f>IF(ISNUMBER(outYear),TPD37+TPD42+#REF!+#REF!,"")</f>
        <v/>
      </c>
      <c r="TPE48" s="84" t="str">
        <f>IF(ISNUMBER(outYear),TPE37+TPE42+#REF!+#REF!,"")</f>
        <v/>
      </c>
      <c r="TPF48" s="84" t="str">
        <f>IF(ISNUMBER(outYear),TPF37+TPF42+#REF!+#REF!,"")</f>
        <v/>
      </c>
      <c r="TPG48" s="84" t="str">
        <f>IF(ISNUMBER(outYear),TPG37+TPG42+#REF!+#REF!,"")</f>
        <v/>
      </c>
      <c r="TPH48" s="84" t="str">
        <f>IF(ISNUMBER(outYear),TPH37+TPH42+#REF!+#REF!,"")</f>
        <v/>
      </c>
      <c r="TPI48" s="84" t="str">
        <f>IF(ISNUMBER(outYear),TPI37+TPI42+#REF!+#REF!,"")</f>
        <v/>
      </c>
      <c r="TPJ48" s="84" t="str">
        <f>IF(ISNUMBER(outYear),TPJ37+TPJ42+#REF!+#REF!,"")</f>
        <v/>
      </c>
      <c r="TPK48" s="84" t="str">
        <f>IF(ISNUMBER(outYear),TPK37+TPK42+#REF!+#REF!,"")</f>
        <v/>
      </c>
      <c r="TPL48" s="84" t="str">
        <f>IF(ISNUMBER(outYear),TPL37+TPL42+#REF!+#REF!,"")</f>
        <v/>
      </c>
      <c r="TPM48" s="84" t="str">
        <f>IF(ISNUMBER(outYear),TPM37+TPM42+#REF!+#REF!,"")</f>
        <v/>
      </c>
      <c r="TPN48" s="84" t="str">
        <f>IF(ISNUMBER(outYear),TPN37+TPN42+#REF!+#REF!,"")</f>
        <v/>
      </c>
      <c r="TPO48" s="84" t="str">
        <f>IF(ISNUMBER(outYear),TPO37+TPO42+#REF!+#REF!,"")</f>
        <v/>
      </c>
      <c r="TPP48" s="84" t="str">
        <f>IF(ISNUMBER(outYear),TPP37+TPP42+#REF!+#REF!,"")</f>
        <v/>
      </c>
      <c r="TPQ48" s="84" t="str">
        <f>IF(ISNUMBER(outYear),TPQ37+TPQ42+#REF!+#REF!,"")</f>
        <v/>
      </c>
      <c r="TPR48" s="84" t="str">
        <f>IF(ISNUMBER(outYear),TPR37+TPR42+#REF!+#REF!,"")</f>
        <v/>
      </c>
      <c r="TPS48" s="84" t="str">
        <f>IF(ISNUMBER(outYear),TPS37+TPS42+#REF!+#REF!,"")</f>
        <v/>
      </c>
      <c r="TPT48" s="84" t="str">
        <f>IF(ISNUMBER(outYear),TPT37+TPT42+#REF!+#REF!,"")</f>
        <v/>
      </c>
      <c r="TPU48" s="84" t="str">
        <f>IF(ISNUMBER(outYear),TPU37+TPU42+#REF!+#REF!,"")</f>
        <v/>
      </c>
      <c r="TPV48" s="84" t="str">
        <f>IF(ISNUMBER(outYear),TPV37+TPV42+#REF!+#REF!,"")</f>
        <v/>
      </c>
      <c r="TPW48" s="84" t="str">
        <f>IF(ISNUMBER(outYear),TPW37+TPW42+#REF!+#REF!,"")</f>
        <v/>
      </c>
      <c r="TPX48" s="84" t="str">
        <f>IF(ISNUMBER(outYear),TPX37+TPX42+#REF!+#REF!,"")</f>
        <v/>
      </c>
      <c r="TPY48" s="84" t="str">
        <f>IF(ISNUMBER(outYear),TPY37+TPY42+#REF!+#REF!,"")</f>
        <v/>
      </c>
      <c r="TPZ48" s="84" t="str">
        <f>IF(ISNUMBER(outYear),TPZ37+TPZ42+#REF!+#REF!,"")</f>
        <v/>
      </c>
      <c r="TQA48" s="84" t="str">
        <f>IF(ISNUMBER(outYear),TQA37+TQA42+#REF!+#REF!,"")</f>
        <v/>
      </c>
      <c r="TQB48" s="84" t="str">
        <f>IF(ISNUMBER(outYear),TQB37+TQB42+#REF!+#REF!,"")</f>
        <v/>
      </c>
      <c r="TQC48" s="84" t="str">
        <f>IF(ISNUMBER(outYear),TQC37+TQC42+#REF!+#REF!,"")</f>
        <v/>
      </c>
      <c r="TQD48" s="84" t="str">
        <f>IF(ISNUMBER(outYear),TQD37+TQD42+#REF!+#REF!,"")</f>
        <v/>
      </c>
      <c r="TQE48" s="84" t="str">
        <f>IF(ISNUMBER(outYear),TQE37+TQE42+#REF!+#REF!,"")</f>
        <v/>
      </c>
      <c r="TQF48" s="84" t="str">
        <f>IF(ISNUMBER(outYear),TQF37+TQF42+#REF!+#REF!,"")</f>
        <v/>
      </c>
      <c r="TQG48" s="84" t="str">
        <f>IF(ISNUMBER(outYear),TQG37+TQG42+#REF!+#REF!,"")</f>
        <v/>
      </c>
      <c r="TQH48" s="84" t="str">
        <f>IF(ISNUMBER(outYear),TQH37+TQH42+#REF!+#REF!,"")</f>
        <v/>
      </c>
      <c r="TQI48" s="84" t="str">
        <f>IF(ISNUMBER(outYear),TQI37+TQI42+#REF!+#REF!,"")</f>
        <v/>
      </c>
      <c r="TQJ48" s="84" t="str">
        <f>IF(ISNUMBER(outYear),TQJ37+TQJ42+#REF!+#REF!,"")</f>
        <v/>
      </c>
      <c r="TQK48" s="84" t="str">
        <f>IF(ISNUMBER(outYear),TQK37+TQK42+#REF!+#REF!,"")</f>
        <v/>
      </c>
      <c r="TQL48" s="84" t="str">
        <f>IF(ISNUMBER(outYear),TQL37+TQL42+#REF!+#REF!,"")</f>
        <v/>
      </c>
      <c r="TQM48" s="84" t="str">
        <f>IF(ISNUMBER(outYear),TQM37+TQM42+#REF!+#REF!,"")</f>
        <v/>
      </c>
      <c r="TQN48" s="84" t="str">
        <f>IF(ISNUMBER(outYear),TQN37+TQN42+#REF!+#REF!,"")</f>
        <v/>
      </c>
      <c r="TQO48" s="84" t="str">
        <f>IF(ISNUMBER(outYear),TQO37+TQO42+#REF!+#REF!,"")</f>
        <v/>
      </c>
      <c r="TQP48" s="84" t="str">
        <f>IF(ISNUMBER(outYear),TQP37+TQP42+#REF!+#REF!,"")</f>
        <v/>
      </c>
      <c r="TQQ48" s="84" t="str">
        <f>IF(ISNUMBER(outYear),TQQ37+TQQ42+#REF!+#REF!,"")</f>
        <v/>
      </c>
      <c r="TQR48" s="84" t="str">
        <f>IF(ISNUMBER(outYear),TQR37+TQR42+#REF!+#REF!,"")</f>
        <v/>
      </c>
      <c r="TQS48" s="84" t="str">
        <f>IF(ISNUMBER(outYear),TQS37+TQS42+#REF!+#REF!,"")</f>
        <v/>
      </c>
      <c r="TQT48" s="84" t="str">
        <f>IF(ISNUMBER(outYear),TQT37+TQT42+#REF!+#REF!,"")</f>
        <v/>
      </c>
      <c r="TQU48" s="84" t="str">
        <f>IF(ISNUMBER(outYear),TQU37+TQU42+#REF!+#REF!,"")</f>
        <v/>
      </c>
      <c r="TQV48" s="84" t="str">
        <f>IF(ISNUMBER(outYear),TQV37+TQV42+#REF!+#REF!,"")</f>
        <v/>
      </c>
      <c r="TQW48" s="84" t="str">
        <f>IF(ISNUMBER(outYear),TQW37+TQW42+#REF!+#REF!,"")</f>
        <v/>
      </c>
      <c r="TQX48" s="84" t="str">
        <f>IF(ISNUMBER(outYear),TQX37+TQX42+#REF!+#REF!,"")</f>
        <v/>
      </c>
      <c r="TQY48" s="84" t="str">
        <f>IF(ISNUMBER(outYear),TQY37+TQY42+#REF!+#REF!,"")</f>
        <v/>
      </c>
      <c r="TQZ48" s="84" t="str">
        <f>IF(ISNUMBER(outYear),TQZ37+TQZ42+#REF!+#REF!,"")</f>
        <v/>
      </c>
      <c r="TRA48" s="84" t="str">
        <f>IF(ISNUMBER(outYear),TRA37+TRA42+#REF!+#REF!,"")</f>
        <v/>
      </c>
      <c r="TRB48" s="84" t="str">
        <f>IF(ISNUMBER(outYear),TRB37+TRB42+#REF!+#REF!,"")</f>
        <v/>
      </c>
      <c r="TRC48" s="84" t="str">
        <f>IF(ISNUMBER(outYear),TRC37+TRC42+#REF!+#REF!,"")</f>
        <v/>
      </c>
      <c r="TRD48" s="84" t="str">
        <f>IF(ISNUMBER(outYear),TRD37+TRD42+#REF!+#REF!,"")</f>
        <v/>
      </c>
      <c r="TRE48" s="84" t="str">
        <f>IF(ISNUMBER(outYear),TRE37+TRE42+#REF!+#REF!,"")</f>
        <v/>
      </c>
      <c r="TRF48" s="84" t="str">
        <f>IF(ISNUMBER(outYear),TRF37+TRF42+#REF!+#REF!,"")</f>
        <v/>
      </c>
      <c r="TRG48" s="84" t="str">
        <f>IF(ISNUMBER(outYear),TRG37+TRG42+#REF!+#REF!,"")</f>
        <v/>
      </c>
      <c r="TRH48" s="84" t="str">
        <f>IF(ISNUMBER(outYear),TRH37+TRH42+#REF!+#REF!,"")</f>
        <v/>
      </c>
      <c r="TRI48" s="84" t="str">
        <f>IF(ISNUMBER(outYear),TRI37+TRI42+#REF!+#REF!,"")</f>
        <v/>
      </c>
      <c r="TRJ48" s="84" t="str">
        <f>IF(ISNUMBER(outYear),TRJ37+TRJ42+#REF!+#REF!,"")</f>
        <v/>
      </c>
      <c r="TRK48" s="84" t="str">
        <f>IF(ISNUMBER(outYear),TRK37+TRK42+#REF!+#REF!,"")</f>
        <v/>
      </c>
      <c r="TRL48" s="84" t="str">
        <f>IF(ISNUMBER(outYear),TRL37+TRL42+#REF!+#REF!,"")</f>
        <v/>
      </c>
      <c r="TRM48" s="84" t="str">
        <f>IF(ISNUMBER(outYear),TRM37+TRM42+#REF!+#REF!,"")</f>
        <v/>
      </c>
      <c r="TRN48" s="84" t="str">
        <f>IF(ISNUMBER(outYear),TRN37+TRN42+#REF!+#REF!,"")</f>
        <v/>
      </c>
      <c r="TRO48" s="84" t="str">
        <f>IF(ISNUMBER(outYear),TRO37+TRO42+#REF!+#REF!,"")</f>
        <v/>
      </c>
      <c r="TRP48" s="84" t="str">
        <f>IF(ISNUMBER(outYear),TRP37+TRP42+#REF!+#REF!,"")</f>
        <v/>
      </c>
      <c r="TRQ48" s="84" t="str">
        <f>IF(ISNUMBER(outYear),TRQ37+TRQ42+#REF!+#REF!,"")</f>
        <v/>
      </c>
      <c r="TRR48" s="84" t="str">
        <f>IF(ISNUMBER(outYear),TRR37+TRR42+#REF!+#REF!,"")</f>
        <v/>
      </c>
      <c r="TRS48" s="84" t="str">
        <f>IF(ISNUMBER(outYear),TRS37+TRS42+#REF!+#REF!,"")</f>
        <v/>
      </c>
      <c r="TRT48" s="84" t="str">
        <f>IF(ISNUMBER(outYear),TRT37+TRT42+#REF!+#REF!,"")</f>
        <v/>
      </c>
      <c r="TRU48" s="84" t="str">
        <f>IF(ISNUMBER(outYear),TRU37+TRU42+#REF!+#REF!,"")</f>
        <v/>
      </c>
      <c r="TRV48" s="84" t="str">
        <f>IF(ISNUMBER(outYear),TRV37+TRV42+#REF!+#REF!,"")</f>
        <v/>
      </c>
      <c r="TRW48" s="84" t="str">
        <f>IF(ISNUMBER(outYear),TRW37+TRW42+#REF!+#REF!,"")</f>
        <v/>
      </c>
      <c r="TRX48" s="84" t="str">
        <f>IF(ISNUMBER(outYear),TRX37+TRX42+#REF!+#REF!,"")</f>
        <v/>
      </c>
      <c r="TRY48" s="84" t="str">
        <f>IF(ISNUMBER(outYear),TRY37+TRY42+#REF!+#REF!,"")</f>
        <v/>
      </c>
      <c r="TRZ48" s="84" t="str">
        <f>IF(ISNUMBER(outYear),TRZ37+TRZ42+#REF!+#REF!,"")</f>
        <v/>
      </c>
      <c r="TSA48" s="84" t="str">
        <f>IF(ISNUMBER(outYear),TSA37+TSA42+#REF!+#REF!,"")</f>
        <v/>
      </c>
      <c r="TSB48" s="84" t="str">
        <f>IF(ISNUMBER(outYear),TSB37+TSB42+#REF!+#REF!,"")</f>
        <v/>
      </c>
      <c r="TSC48" s="84" t="str">
        <f>IF(ISNUMBER(outYear),TSC37+TSC42+#REF!+#REF!,"")</f>
        <v/>
      </c>
      <c r="TSD48" s="84" t="str">
        <f>IF(ISNUMBER(outYear),TSD37+TSD42+#REF!+#REF!,"")</f>
        <v/>
      </c>
      <c r="TSE48" s="84" t="str">
        <f>IF(ISNUMBER(outYear),TSE37+TSE42+#REF!+#REF!,"")</f>
        <v/>
      </c>
      <c r="TSF48" s="84" t="str">
        <f>IF(ISNUMBER(outYear),TSF37+TSF42+#REF!+#REF!,"")</f>
        <v/>
      </c>
      <c r="TSG48" s="84" t="str">
        <f>IF(ISNUMBER(outYear),TSG37+TSG42+#REF!+#REF!,"")</f>
        <v/>
      </c>
      <c r="TSH48" s="84" t="str">
        <f>IF(ISNUMBER(outYear),TSH37+TSH42+#REF!+#REF!,"")</f>
        <v/>
      </c>
      <c r="TSI48" s="84" t="str">
        <f>IF(ISNUMBER(outYear),TSI37+TSI42+#REF!+#REF!,"")</f>
        <v/>
      </c>
      <c r="TSJ48" s="84" t="str">
        <f>IF(ISNUMBER(outYear),TSJ37+TSJ42+#REF!+#REF!,"")</f>
        <v/>
      </c>
      <c r="TSK48" s="84" t="str">
        <f>IF(ISNUMBER(outYear),TSK37+TSK42+#REF!+#REF!,"")</f>
        <v/>
      </c>
      <c r="TSL48" s="84" t="str">
        <f>IF(ISNUMBER(outYear),TSL37+TSL42+#REF!+#REF!,"")</f>
        <v/>
      </c>
      <c r="TSM48" s="84" t="str">
        <f>IF(ISNUMBER(outYear),TSM37+TSM42+#REF!+#REF!,"")</f>
        <v/>
      </c>
      <c r="TSN48" s="84" t="str">
        <f>IF(ISNUMBER(outYear),TSN37+TSN42+#REF!+#REF!,"")</f>
        <v/>
      </c>
      <c r="TSO48" s="84" t="str">
        <f>IF(ISNUMBER(outYear),TSO37+TSO42+#REF!+#REF!,"")</f>
        <v/>
      </c>
      <c r="TSP48" s="84" t="str">
        <f>IF(ISNUMBER(outYear),TSP37+TSP42+#REF!+#REF!,"")</f>
        <v/>
      </c>
      <c r="TSQ48" s="84" t="str">
        <f>IF(ISNUMBER(outYear),TSQ37+TSQ42+#REF!+#REF!,"")</f>
        <v/>
      </c>
      <c r="TSR48" s="84" t="str">
        <f>IF(ISNUMBER(outYear),TSR37+TSR42+#REF!+#REF!,"")</f>
        <v/>
      </c>
      <c r="TSS48" s="84" t="str">
        <f>IF(ISNUMBER(outYear),TSS37+TSS42+#REF!+#REF!,"")</f>
        <v/>
      </c>
      <c r="TST48" s="84" t="str">
        <f>IF(ISNUMBER(outYear),TST37+TST42+#REF!+#REF!,"")</f>
        <v/>
      </c>
      <c r="TSU48" s="84" t="str">
        <f>IF(ISNUMBER(outYear),TSU37+TSU42+#REF!+#REF!,"")</f>
        <v/>
      </c>
      <c r="TSV48" s="84" t="str">
        <f>IF(ISNUMBER(outYear),TSV37+TSV42+#REF!+#REF!,"")</f>
        <v/>
      </c>
      <c r="TSW48" s="84" t="str">
        <f>IF(ISNUMBER(outYear),TSW37+TSW42+#REF!+#REF!,"")</f>
        <v/>
      </c>
      <c r="TSX48" s="84" t="str">
        <f>IF(ISNUMBER(outYear),TSX37+TSX42+#REF!+#REF!,"")</f>
        <v/>
      </c>
      <c r="TSY48" s="84" t="str">
        <f>IF(ISNUMBER(outYear),TSY37+TSY42+#REF!+#REF!,"")</f>
        <v/>
      </c>
      <c r="TSZ48" s="84" t="str">
        <f>IF(ISNUMBER(outYear),TSZ37+TSZ42+#REF!+#REF!,"")</f>
        <v/>
      </c>
      <c r="TTA48" s="84" t="str">
        <f>IF(ISNUMBER(outYear),TTA37+TTA42+#REF!+#REF!,"")</f>
        <v/>
      </c>
      <c r="TTB48" s="84" t="str">
        <f>IF(ISNUMBER(outYear),TTB37+TTB42+#REF!+#REF!,"")</f>
        <v/>
      </c>
      <c r="TTC48" s="84" t="str">
        <f>IF(ISNUMBER(outYear),TTC37+TTC42+#REF!+#REF!,"")</f>
        <v/>
      </c>
      <c r="TTD48" s="84" t="str">
        <f>IF(ISNUMBER(outYear),TTD37+TTD42+#REF!+#REF!,"")</f>
        <v/>
      </c>
      <c r="TTE48" s="84" t="str">
        <f>IF(ISNUMBER(outYear),TTE37+TTE42+#REF!+#REF!,"")</f>
        <v/>
      </c>
      <c r="TTF48" s="84" t="str">
        <f>IF(ISNUMBER(outYear),TTF37+TTF42+#REF!+#REF!,"")</f>
        <v/>
      </c>
      <c r="TTG48" s="84" t="str">
        <f>IF(ISNUMBER(outYear),TTG37+TTG42+#REF!+#REF!,"")</f>
        <v/>
      </c>
      <c r="TTH48" s="84" t="str">
        <f>IF(ISNUMBER(outYear),TTH37+TTH42+#REF!+#REF!,"")</f>
        <v/>
      </c>
      <c r="TTI48" s="84" t="str">
        <f>IF(ISNUMBER(outYear),TTI37+TTI42+#REF!+#REF!,"")</f>
        <v/>
      </c>
      <c r="TTJ48" s="84" t="str">
        <f>IF(ISNUMBER(outYear),TTJ37+TTJ42+#REF!+#REF!,"")</f>
        <v/>
      </c>
      <c r="TTK48" s="84" t="str">
        <f>IF(ISNUMBER(outYear),TTK37+TTK42+#REF!+#REF!,"")</f>
        <v/>
      </c>
      <c r="TTL48" s="84" t="str">
        <f>IF(ISNUMBER(outYear),TTL37+TTL42+#REF!+#REF!,"")</f>
        <v/>
      </c>
      <c r="TTM48" s="84" t="str">
        <f>IF(ISNUMBER(outYear),TTM37+TTM42+#REF!+#REF!,"")</f>
        <v/>
      </c>
      <c r="TTN48" s="84" t="str">
        <f>IF(ISNUMBER(outYear),TTN37+TTN42+#REF!+#REF!,"")</f>
        <v/>
      </c>
      <c r="TTO48" s="84" t="str">
        <f>IF(ISNUMBER(outYear),TTO37+TTO42+#REF!+#REF!,"")</f>
        <v/>
      </c>
      <c r="TTP48" s="84" t="str">
        <f>IF(ISNUMBER(outYear),TTP37+TTP42+#REF!+#REF!,"")</f>
        <v/>
      </c>
      <c r="TTQ48" s="84" t="str">
        <f>IF(ISNUMBER(outYear),TTQ37+TTQ42+#REF!+#REF!,"")</f>
        <v/>
      </c>
      <c r="TTR48" s="84" t="str">
        <f>IF(ISNUMBER(outYear),TTR37+TTR42+#REF!+#REF!,"")</f>
        <v/>
      </c>
      <c r="TTS48" s="84" t="str">
        <f>IF(ISNUMBER(outYear),TTS37+TTS42+#REF!+#REF!,"")</f>
        <v/>
      </c>
      <c r="TTT48" s="84" t="str">
        <f>IF(ISNUMBER(outYear),TTT37+TTT42+#REF!+#REF!,"")</f>
        <v/>
      </c>
      <c r="TTU48" s="84" t="str">
        <f>IF(ISNUMBER(outYear),TTU37+TTU42+#REF!+#REF!,"")</f>
        <v/>
      </c>
      <c r="TTV48" s="84" t="str">
        <f>IF(ISNUMBER(outYear),TTV37+TTV42+#REF!+#REF!,"")</f>
        <v/>
      </c>
      <c r="TTW48" s="84" t="str">
        <f>IF(ISNUMBER(outYear),TTW37+TTW42+#REF!+#REF!,"")</f>
        <v/>
      </c>
      <c r="TTX48" s="84" t="str">
        <f>IF(ISNUMBER(outYear),TTX37+TTX42+#REF!+#REF!,"")</f>
        <v/>
      </c>
      <c r="TTY48" s="84" t="str">
        <f>IF(ISNUMBER(outYear),TTY37+TTY42+#REF!+#REF!,"")</f>
        <v/>
      </c>
      <c r="TTZ48" s="84" t="str">
        <f>IF(ISNUMBER(outYear),TTZ37+TTZ42+#REF!+#REF!,"")</f>
        <v/>
      </c>
      <c r="TUA48" s="84" t="str">
        <f>IF(ISNUMBER(outYear),TUA37+TUA42+#REF!+#REF!,"")</f>
        <v/>
      </c>
      <c r="TUB48" s="84" t="str">
        <f>IF(ISNUMBER(outYear),TUB37+TUB42+#REF!+#REF!,"")</f>
        <v/>
      </c>
      <c r="TUC48" s="84" t="str">
        <f>IF(ISNUMBER(outYear),TUC37+TUC42+#REF!+#REF!,"")</f>
        <v/>
      </c>
      <c r="TUD48" s="84" t="str">
        <f>IF(ISNUMBER(outYear),TUD37+TUD42+#REF!+#REF!,"")</f>
        <v/>
      </c>
      <c r="TUE48" s="84" t="str">
        <f>IF(ISNUMBER(outYear),TUE37+TUE42+#REF!+#REF!,"")</f>
        <v/>
      </c>
      <c r="TUF48" s="84" t="str">
        <f>IF(ISNUMBER(outYear),TUF37+TUF42+#REF!+#REF!,"")</f>
        <v/>
      </c>
      <c r="TUG48" s="84" t="str">
        <f>IF(ISNUMBER(outYear),TUG37+TUG42+#REF!+#REF!,"")</f>
        <v/>
      </c>
      <c r="TUH48" s="84" t="str">
        <f>IF(ISNUMBER(outYear),TUH37+TUH42+#REF!+#REF!,"")</f>
        <v/>
      </c>
      <c r="TUI48" s="84" t="str">
        <f>IF(ISNUMBER(outYear),TUI37+TUI42+#REF!+#REF!,"")</f>
        <v/>
      </c>
      <c r="TUJ48" s="84" t="str">
        <f>IF(ISNUMBER(outYear),TUJ37+TUJ42+#REF!+#REF!,"")</f>
        <v/>
      </c>
      <c r="TUK48" s="84" t="str">
        <f>IF(ISNUMBER(outYear),TUK37+TUK42+#REF!+#REF!,"")</f>
        <v/>
      </c>
      <c r="TUL48" s="84" t="str">
        <f>IF(ISNUMBER(outYear),TUL37+TUL42+#REF!+#REF!,"")</f>
        <v/>
      </c>
      <c r="TUM48" s="84" t="str">
        <f>IF(ISNUMBER(outYear),TUM37+TUM42+#REF!+#REF!,"")</f>
        <v/>
      </c>
      <c r="TUN48" s="84" t="str">
        <f>IF(ISNUMBER(outYear),TUN37+TUN42+#REF!+#REF!,"")</f>
        <v/>
      </c>
      <c r="TUO48" s="84" t="str">
        <f>IF(ISNUMBER(outYear),TUO37+TUO42+#REF!+#REF!,"")</f>
        <v/>
      </c>
      <c r="TUP48" s="84" t="str">
        <f>IF(ISNUMBER(outYear),TUP37+TUP42+#REF!+#REF!,"")</f>
        <v/>
      </c>
      <c r="TUQ48" s="84" t="str">
        <f>IF(ISNUMBER(outYear),TUQ37+TUQ42+#REF!+#REF!,"")</f>
        <v/>
      </c>
      <c r="TUR48" s="84" t="str">
        <f>IF(ISNUMBER(outYear),TUR37+TUR42+#REF!+#REF!,"")</f>
        <v/>
      </c>
      <c r="TUS48" s="84" t="str">
        <f>IF(ISNUMBER(outYear),TUS37+TUS42+#REF!+#REF!,"")</f>
        <v/>
      </c>
      <c r="TUT48" s="84" t="str">
        <f>IF(ISNUMBER(outYear),TUT37+TUT42+#REF!+#REF!,"")</f>
        <v/>
      </c>
      <c r="TUU48" s="84" t="str">
        <f>IF(ISNUMBER(outYear),TUU37+TUU42+#REF!+#REF!,"")</f>
        <v/>
      </c>
      <c r="TUV48" s="84" t="str">
        <f>IF(ISNUMBER(outYear),TUV37+TUV42+#REF!+#REF!,"")</f>
        <v/>
      </c>
      <c r="TUW48" s="84" t="str">
        <f>IF(ISNUMBER(outYear),TUW37+TUW42+#REF!+#REF!,"")</f>
        <v/>
      </c>
      <c r="TUX48" s="84" t="str">
        <f>IF(ISNUMBER(outYear),TUX37+TUX42+#REF!+#REF!,"")</f>
        <v/>
      </c>
      <c r="TUY48" s="84" t="str">
        <f>IF(ISNUMBER(outYear),TUY37+TUY42+#REF!+#REF!,"")</f>
        <v/>
      </c>
      <c r="TUZ48" s="84" t="str">
        <f>IF(ISNUMBER(outYear),TUZ37+TUZ42+#REF!+#REF!,"")</f>
        <v/>
      </c>
      <c r="TVA48" s="84" t="str">
        <f>IF(ISNUMBER(outYear),TVA37+TVA42+#REF!+#REF!,"")</f>
        <v/>
      </c>
      <c r="TVB48" s="84" t="str">
        <f>IF(ISNUMBER(outYear),TVB37+TVB42+#REF!+#REF!,"")</f>
        <v/>
      </c>
      <c r="TVC48" s="84" t="str">
        <f>IF(ISNUMBER(outYear),TVC37+TVC42+#REF!+#REF!,"")</f>
        <v/>
      </c>
      <c r="TVD48" s="84" t="str">
        <f>IF(ISNUMBER(outYear),TVD37+TVD42+#REF!+#REF!,"")</f>
        <v/>
      </c>
      <c r="TVE48" s="84" t="str">
        <f>IF(ISNUMBER(outYear),TVE37+TVE42+#REF!+#REF!,"")</f>
        <v/>
      </c>
      <c r="TVF48" s="84" t="str">
        <f>IF(ISNUMBER(outYear),TVF37+TVF42+#REF!+#REF!,"")</f>
        <v/>
      </c>
      <c r="TVG48" s="84" t="str">
        <f>IF(ISNUMBER(outYear),TVG37+TVG42+#REF!+#REF!,"")</f>
        <v/>
      </c>
      <c r="TVH48" s="84" t="str">
        <f>IF(ISNUMBER(outYear),TVH37+TVH42+#REF!+#REF!,"")</f>
        <v/>
      </c>
      <c r="TVI48" s="84" t="str">
        <f>IF(ISNUMBER(outYear),TVI37+TVI42+#REF!+#REF!,"")</f>
        <v/>
      </c>
      <c r="TVJ48" s="84" t="str">
        <f>IF(ISNUMBER(outYear),TVJ37+TVJ42+#REF!+#REF!,"")</f>
        <v/>
      </c>
      <c r="TVK48" s="84" t="str">
        <f>IF(ISNUMBER(outYear),TVK37+TVK42+#REF!+#REF!,"")</f>
        <v/>
      </c>
      <c r="TVL48" s="84" t="str">
        <f>IF(ISNUMBER(outYear),TVL37+TVL42+#REF!+#REF!,"")</f>
        <v/>
      </c>
      <c r="TVM48" s="84" t="str">
        <f>IF(ISNUMBER(outYear),TVM37+TVM42+#REF!+#REF!,"")</f>
        <v/>
      </c>
      <c r="TVN48" s="84" t="str">
        <f>IF(ISNUMBER(outYear),TVN37+TVN42+#REF!+#REF!,"")</f>
        <v/>
      </c>
      <c r="TVO48" s="84" t="str">
        <f>IF(ISNUMBER(outYear),TVO37+TVO42+#REF!+#REF!,"")</f>
        <v/>
      </c>
      <c r="TVP48" s="84" t="str">
        <f>IF(ISNUMBER(outYear),TVP37+TVP42+#REF!+#REF!,"")</f>
        <v/>
      </c>
      <c r="TVQ48" s="84" t="str">
        <f>IF(ISNUMBER(outYear),TVQ37+TVQ42+#REF!+#REF!,"")</f>
        <v/>
      </c>
      <c r="TVR48" s="84" t="str">
        <f>IF(ISNUMBER(outYear),TVR37+TVR42+#REF!+#REF!,"")</f>
        <v/>
      </c>
      <c r="TVS48" s="84" t="str">
        <f>IF(ISNUMBER(outYear),TVS37+TVS42+#REF!+#REF!,"")</f>
        <v/>
      </c>
      <c r="TVT48" s="84" t="str">
        <f>IF(ISNUMBER(outYear),TVT37+TVT42+#REF!+#REF!,"")</f>
        <v/>
      </c>
      <c r="TVU48" s="84" t="str">
        <f>IF(ISNUMBER(outYear),TVU37+TVU42+#REF!+#REF!,"")</f>
        <v/>
      </c>
      <c r="TVV48" s="84" t="str">
        <f>IF(ISNUMBER(outYear),TVV37+TVV42+#REF!+#REF!,"")</f>
        <v/>
      </c>
      <c r="TVW48" s="84" t="str">
        <f>IF(ISNUMBER(outYear),TVW37+TVW42+#REF!+#REF!,"")</f>
        <v/>
      </c>
      <c r="TVX48" s="84" t="str">
        <f>IF(ISNUMBER(outYear),TVX37+TVX42+#REF!+#REF!,"")</f>
        <v/>
      </c>
      <c r="TVY48" s="84" t="str">
        <f>IF(ISNUMBER(outYear),TVY37+TVY42+#REF!+#REF!,"")</f>
        <v/>
      </c>
      <c r="TVZ48" s="84" t="str">
        <f>IF(ISNUMBER(outYear),TVZ37+TVZ42+#REF!+#REF!,"")</f>
        <v/>
      </c>
      <c r="TWA48" s="84" t="str">
        <f>IF(ISNUMBER(outYear),TWA37+TWA42+#REF!+#REF!,"")</f>
        <v/>
      </c>
      <c r="TWB48" s="84" t="str">
        <f>IF(ISNUMBER(outYear),TWB37+TWB42+#REF!+#REF!,"")</f>
        <v/>
      </c>
      <c r="TWC48" s="84" t="str">
        <f>IF(ISNUMBER(outYear),TWC37+TWC42+#REF!+#REF!,"")</f>
        <v/>
      </c>
      <c r="TWD48" s="84" t="str">
        <f>IF(ISNUMBER(outYear),TWD37+TWD42+#REF!+#REF!,"")</f>
        <v/>
      </c>
      <c r="TWE48" s="84" t="str">
        <f>IF(ISNUMBER(outYear),TWE37+TWE42+#REF!+#REF!,"")</f>
        <v/>
      </c>
      <c r="TWF48" s="84" t="str">
        <f>IF(ISNUMBER(outYear),TWF37+TWF42+#REF!+#REF!,"")</f>
        <v/>
      </c>
      <c r="TWG48" s="84" t="str">
        <f>IF(ISNUMBER(outYear),TWG37+TWG42+#REF!+#REF!,"")</f>
        <v/>
      </c>
      <c r="TWH48" s="84" t="str">
        <f>IF(ISNUMBER(outYear),TWH37+TWH42+#REF!+#REF!,"")</f>
        <v/>
      </c>
      <c r="TWI48" s="84" t="str">
        <f>IF(ISNUMBER(outYear),TWI37+TWI42+#REF!+#REF!,"")</f>
        <v/>
      </c>
      <c r="TWJ48" s="84" t="str">
        <f>IF(ISNUMBER(outYear),TWJ37+TWJ42+#REF!+#REF!,"")</f>
        <v/>
      </c>
      <c r="TWK48" s="84" t="str">
        <f>IF(ISNUMBER(outYear),TWK37+TWK42+#REF!+#REF!,"")</f>
        <v/>
      </c>
      <c r="TWL48" s="84" t="str">
        <f>IF(ISNUMBER(outYear),TWL37+TWL42+#REF!+#REF!,"")</f>
        <v/>
      </c>
      <c r="TWM48" s="84" t="str">
        <f>IF(ISNUMBER(outYear),TWM37+TWM42+#REF!+#REF!,"")</f>
        <v/>
      </c>
      <c r="TWN48" s="84" t="str">
        <f>IF(ISNUMBER(outYear),TWN37+TWN42+#REF!+#REF!,"")</f>
        <v/>
      </c>
      <c r="TWO48" s="84" t="str">
        <f>IF(ISNUMBER(outYear),TWO37+TWO42+#REF!+#REF!,"")</f>
        <v/>
      </c>
      <c r="TWP48" s="84" t="str">
        <f>IF(ISNUMBER(outYear),TWP37+TWP42+#REF!+#REF!,"")</f>
        <v/>
      </c>
      <c r="TWQ48" s="84" t="str">
        <f>IF(ISNUMBER(outYear),TWQ37+TWQ42+#REF!+#REF!,"")</f>
        <v/>
      </c>
      <c r="TWR48" s="84" t="str">
        <f>IF(ISNUMBER(outYear),TWR37+TWR42+#REF!+#REF!,"")</f>
        <v/>
      </c>
      <c r="TWS48" s="84" t="str">
        <f>IF(ISNUMBER(outYear),TWS37+TWS42+#REF!+#REF!,"")</f>
        <v/>
      </c>
      <c r="TWT48" s="84" t="str">
        <f>IF(ISNUMBER(outYear),TWT37+TWT42+#REF!+#REF!,"")</f>
        <v/>
      </c>
      <c r="TWU48" s="84" t="str">
        <f>IF(ISNUMBER(outYear),TWU37+TWU42+#REF!+#REF!,"")</f>
        <v/>
      </c>
      <c r="TWV48" s="84" t="str">
        <f>IF(ISNUMBER(outYear),TWV37+TWV42+#REF!+#REF!,"")</f>
        <v/>
      </c>
      <c r="TWW48" s="84" t="str">
        <f>IF(ISNUMBER(outYear),TWW37+TWW42+#REF!+#REF!,"")</f>
        <v/>
      </c>
      <c r="TWX48" s="84" t="str">
        <f>IF(ISNUMBER(outYear),TWX37+TWX42+#REF!+#REF!,"")</f>
        <v/>
      </c>
      <c r="TWY48" s="84" t="str">
        <f>IF(ISNUMBER(outYear),TWY37+TWY42+#REF!+#REF!,"")</f>
        <v/>
      </c>
      <c r="TWZ48" s="84" t="str">
        <f>IF(ISNUMBER(outYear),TWZ37+TWZ42+#REF!+#REF!,"")</f>
        <v/>
      </c>
      <c r="TXA48" s="84" t="str">
        <f>IF(ISNUMBER(outYear),TXA37+TXA42+#REF!+#REF!,"")</f>
        <v/>
      </c>
      <c r="TXB48" s="84" t="str">
        <f>IF(ISNUMBER(outYear),TXB37+TXB42+#REF!+#REF!,"")</f>
        <v/>
      </c>
      <c r="TXC48" s="84" t="str">
        <f>IF(ISNUMBER(outYear),TXC37+TXC42+#REF!+#REF!,"")</f>
        <v/>
      </c>
      <c r="TXD48" s="84" t="str">
        <f>IF(ISNUMBER(outYear),TXD37+TXD42+#REF!+#REF!,"")</f>
        <v/>
      </c>
      <c r="TXE48" s="84" t="str">
        <f>IF(ISNUMBER(outYear),TXE37+TXE42+#REF!+#REF!,"")</f>
        <v/>
      </c>
      <c r="TXF48" s="84" t="str">
        <f>IF(ISNUMBER(outYear),TXF37+TXF42+#REF!+#REF!,"")</f>
        <v/>
      </c>
      <c r="TXG48" s="84" t="str">
        <f>IF(ISNUMBER(outYear),TXG37+TXG42+#REF!+#REF!,"")</f>
        <v/>
      </c>
      <c r="TXH48" s="84" t="str">
        <f>IF(ISNUMBER(outYear),TXH37+TXH42+#REF!+#REF!,"")</f>
        <v/>
      </c>
      <c r="TXI48" s="84" t="str">
        <f>IF(ISNUMBER(outYear),TXI37+TXI42+#REF!+#REF!,"")</f>
        <v/>
      </c>
      <c r="TXJ48" s="84" t="str">
        <f>IF(ISNUMBER(outYear),TXJ37+TXJ42+#REF!+#REF!,"")</f>
        <v/>
      </c>
      <c r="TXK48" s="84" t="str">
        <f>IF(ISNUMBER(outYear),TXK37+TXK42+#REF!+#REF!,"")</f>
        <v/>
      </c>
      <c r="TXL48" s="84" t="str">
        <f>IF(ISNUMBER(outYear),TXL37+TXL42+#REF!+#REF!,"")</f>
        <v/>
      </c>
      <c r="TXM48" s="84" t="str">
        <f>IF(ISNUMBER(outYear),TXM37+TXM42+#REF!+#REF!,"")</f>
        <v/>
      </c>
      <c r="TXN48" s="84" t="str">
        <f>IF(ISNUMBER(outYear),TXN37+TXN42+#REF!+#REF!,"")</f>
        <v/>
      </c>
      <c r="TXO48" s="84" t="str">
        <f>IF(ISNUMBER(outYear),TXO37+TXO42+#REF!+#REF!,"")</f>
        <v/>
      </c>
      <c r="TXP48" s="84" t="str">
        <f>IF(ISNUMBER(outYear),TXP37+TXP42+#REF!+#REF!,"")</f>
        <v/>
      </c>
      <c r="TXQ48" s="84" t="str">
        <f>IF(ISNUMBER(outYear),TXQ37+TXQ42+#REF!+#REF!,"")</f>
        <v/>
      </c>
      <c r="TXR48" s="84" t="str">
        <f>IF(ISNUMBER(outYear),TXR37+TXR42+#REF!+#REF!,"")</f>
        <v/>
      </c>
      <c r="TXS48" s="84" t="str">
        <f>IF(ISNUMBER(outYear),TXS37+TXS42+#REF!+#REF!,"")</f>
        <v/>
      </c>
      <c r="TXT48" s="84" t="str">
        <f>IF(ISNUMBER(outYear),TXT37+TXT42+#REF!+#REF!,"")</f>
        <v/>
      </c>
      <c r="TXU48" s="84" t="str">
        <f>IF(ISNUMBER(outYear),TXU37+TXU42+#REF!+#REF!,"")</f>
        <v/>
      </c>
      <c r="TXV48" s="84" t="str">
        <f>IF(ISNUMBER(outYear),TXV37+TXV42+#REF!+#REF!,"")</f>
        <v/>
      </c>
      <c r="TXW48" s="84" t="str">
        <f>IF(ISNUMBER(outYear),TXW37+TXW42+#REF!+#REF!,"")</f>
        <v/>
      </c>
      <c r="TXX48" s="84" t="str">
        <f>IF(ISNUMBER(outYear),TXX37+TXX42+#REF!+#REF!,"")</f>
        <v/>
      </c>
      <c r="TXY48" s="84" t="str">
        <f>IF(ISNUMBER(outYear),TXY37+TXY42+#REF!+#REF!,"")</f>
        <v/>
      </c>
      <c r="TXZ48" s="84" t="str">
        <f>IF(ISNUMBER(outYear),TXZ37+TXZ42+#REF!+#REF!,"")</f>
        <v/>
      </c>
      <c r="TYA48" s="84" t="str">
        <f>IF(ISNUMBER(outYear),TYA37+TYA42+#REF!+#REF!,"")</f>
        <v/>
      </c>
      <c r="TYB48" s="84" t="str">
        <f>IF(ISNUMBER(outYear),TYB37+TYB42+#REF!+#REF!,"")</f>
        <v/>
      </c>
      <c r="TYC48" s="84" t="str">
        <f>IF(ISNUMBER(outYear),TYC37+TYC42+#REF!+#REF!,"")</f>
        <v/>
      </c>
      <c r="TYD48" s="84" t="str">
        <f>IF(ISNUMBER(outYear),TYD37+TYD42+#REF!+#REF!,"")</f>
        <v/>
      </c>
      <c r="TYE48" s="84" t="str">
        <f>IF(ISNUMBER(outYear),TYE37+TYE42+#REF!+#REF!,"")</f>
        <v/>
      </c>
      <c r="TYF48" s="84" t="str">
        <f>IF(ISNUMBER(outYear),TYF37+TYF42+#REF!+#REF!,"")</f>
        <v/>
      </c>
      <c r="TYG48" s="84" t="str">
        <f>IF(ISNUMBER(outYear),TYG37+TYG42+#REF!+#REF!,"")</f>
        <v/>
      </c>
      <c r="TYH48" s="84" t="str">
        <f>IF(ISNUMBER(outYear),TYH37+TYH42+#REF!+#REF!,"")</f>
        <v/>
      </c>
      <c r="TYI48" s="84" t="str">
        <f>IF(ISNUMBER(outYear),TYI37+TYI42+#REF!+#REF!,"")</f>
        <v/>
      </c>
      <c r="TYJ48" s="84" t="str">
        <f>IF(ISNUMBER(outYear),TYJ37+TYJ42+#REF!+#REF!,"")</f>
        <v/>
      </c>
      <c r="TYK48" s="84" t="str">
        <f>IF(ISNUMBER(outYear),TYK37+TYK42+#REF!+#REF!,"")</f>
        <v/>
      </c>
      <c r="TYL48" s="84" t="str">
        <f>IF(ISNUMBER(outYear),TYL37+TYL42+#REF!+#REF!,"")</f>
        <v/>
      </c>
      <c r="TYM48" s="84" t="str">
        <f>IF(ISNUMBER(outYear),TYM37+TYM42+#REF!+#REF!,"")</f>
        <v/>
      </c>
      <c r="TYN48" s="84" t="str">
        <f>IF(ISNUMBER(outYear),TYN37+TYN42+#REF!+#REF!,"")</f>
        <v/>
      </c>
      <c r="TYO48" s="84" t="str">
        <f>IF(ISNUMBER(outYear),TYO37+TYO42+#REF!+#REF!,"")</f>
        <v/>
      </c>
      <c r="TYP48" s="84" t="str">
        <f>IF(ISNUMBER(outYear),TYP37+TYP42+#REF!+#REF!,"")</f>
        <v/>
      </c>
      <c r="TYQ48" s="84" t="str">
        <f>IF(ISNUMBER(outYear),TYQ37+TYQ42+#REF!+#REF!,"")</f>
        <v/>
      </c>
      <c r="TYR48" s="84" t="str">
        <f>IF(ISNUMBER(outYear),TYR37+TYR42+#REF!+#REF!,"")</f>
        <v/>
      </c>
      <c r="TYS48" s="84" t="str">
        <f>IF(ISNUMBER(outYear),TYS37+TYS42+#REF!+#REF!,"")</f>
        <v/>
      </c>
      <c r="TYT48" s="84" t="str">
        <f>IF(ISNUMBER(outYear),TYT37+TYT42+#REF!+#REF!,"")</f>
        <v/>
      </c>
      <c r="TYU48" s="84" t="str">
        <f>IF(ISNUMBER(outYear),TYU37+TYU42+#REF!+#REF!,"")</f>
        <v/>
      </c>
      <c r="TYV48" s="84" t="str">
        <f>IF(ISNUMBER(outYear),TYV37+TYV42+#REF!+#REF!,"")</f>
        <v/>
      </c>
      <c r="TYW48" s="84" t="str">
        <f>IF(ISNUMBER(outYear),TYW37+TYW42+#REF!+#REF!,"")</f>
        <v/>
      </c>
      <c r="TYX48" s="84" t="str">
        <f>IF(ISNUMBER(outYear),TYX37+TYX42+#REF!+#REF!,"")</f>
        <v/>
      </c>
      <c r="TYY48" s="84" t="str">
        <f>IF(ISNUMBER(outYear),TYY37+TYY42+#REF!+#REF!,"")</f>
        <v/>
      </c>
      <c r="TYZ48" s="84" t="str">
        <f>IF(ISNUMBER(outYear),TYZ37+TYZ42+#REF!+#REF!,"")</f>
        <v/>
      </c>
      <c r="TZA48" s="84" t="str">
        <f>IF(ISNUMBER(outYear),TZA37+TZA42+#REF!+#REF!,"")</f>
        <v/>
      </c>
      <c r="TZB48" s="84" t="str">
        <f>IF(ISNUMBER(outYear),TZB37+TZB42+#REF!+#REF!,"")</f>
        <v/>
      </c>
      <c r="TZC48" s="84" t="str">
        <f>IF(ISNUMBER(outYear),TZC37+TZC42+#REF!+#REF!,"")</f>
        <v/>
      </c>
      <c r="TZD48" s="84" t="str">
        <f>IF(ISNUMBER(outYear),TZD37+TZD42+#REF!+#REF!,"")</f>
        <v/>
      </c>
      <c r="TZE48" s="84" t="str">
        <f>IF(ISNUMBER(outYear),TZE37+TZE42+#REF!+#REF!,"")</f>
        <v/>
      </c>
      <c r="TZF48" s="84" t="str">
        <f>IF(ISNUMBER(outYear),TZF37+TZF42+#REF!+#REF!,"")</f>
        <v/>
      </c>
      <c r="TZG48" s="84" t="str">
        <f>IF(ISNUMBER(outYear),TZG37+TZG42+#REF!+#REF!,"")</f>
        <v/>
      </c>
      <c r="TZH48" s="84" t="str">
        <f>IF(ISNUMBER(outYear),TZH37+TZH42+#REF!+#REF!,"")</f>
        <v/>
      </c>
      <c r="TZI48" s="84" t="str">
        <f>IF(ISNUMBER(outYear),TZI37+TZI42+#REF!+#REF!,"")</f>
        <v/>
      </c>
      <c r="TZJ48" s="84" t="str">
        <f>IF(ISNUMBER(outYear),TZJ37+TZJ42+#REF!+#REF!,"")</f>
        <v/>
      </c>
      <c r="TZK48" s="84" t="str">
        <f>IF(ISNUMBER(outYear),TZK37+TZK42+#REF!+#REF!,"")</f>
        <v/>
      </c>
      <c r="TZL48" s="84" t="str">
        <f>IF(ISNUMBER(outYear),TZL37+TZL42+#REF!+#REF!,"")</f>
        <v/>
      </c>
      <c r="TZM48" s="84" t="str">
        <f>IF(ISNUMBER(outYear),TZM37+TZM42+#REF!+#REF!,"")</f>
        <v/>
      </c>
      <c r="TZN48" s="84" t="str">
        <f>IF(ISNUMBER(outYear),TZN37+TZN42+#REF!+#REF!,"")</f>
        <v/>
      </c>
      <c r="TZO48" s="84" t="str">
        <f>IF(ISNUMBER(outYear),TZO37+TZO42+#REF!+#REF!,"")</f>
        <v/>
      </c>
      <c r="TZP48" s="84" t="str">
        <f>IF(ISNUMBER(outYear),TZP37+TZP42+#REF!+#REF!,"")</f>
        <v/>
      </c>
      <c r="TZQ48" s="84" t="str">
        <f>IF(ISNUMBER(outYear),TZQ37+TZQ42+#REF!+#REF!,"")</f>
        <v/>
      </c>
      <c r="TZR48" s="84" t="str">
        <f>IF(ISNUMBER(outYear),TZR37+TZR42+#REF!+#REF!,"")</f>
        <v/>
      </c>
      <c r="TZS48" s="84" t="str">
        <f>IF(ISNUMBER(outYear),TZS37+TZS42+#REF!+#REF!,"")</f>
        <v/>
      </c>
      <c r="TZT48" s="84" t="str">
        <f>IF(ISNUMBER(outYear),TZT37+TZT42+#REF!+#REF!,"")</f>
        <v/>
      </c>
      <c r="TZU48" s="84" t="str">
        <f>IF(ISNUMBER(outYear),TZU37+TZU42+#REF!+#REF!,"")</f>
        <v/>
      </c>
      <c r="TZV48" s="84" t="str">
        <f>IF(ISNUMBER(outYear),TZV37+TZV42+#REF!+#REF!,"")</f>
        <v/>
      </c>
      <c r="TZW48" s="84" t="str">
        <f>IF(ISNUMBER(outYear),TZW37+TZW42+#REF!+#REF!,"")</f>
        <v/>
      </c>
      <c r="TZX48" s="84" t="str">
        <f>IF(ISNUMBER(outYear),TZX37+TZX42+#REF!+#REF!,"")</f>
        <v/>
      </c>
      <c r="TZY48" s="84" t="str">
        <f>IF(ISNUMBER(outYear),TZY37+TZY42+#REF!+#REF!,"")</f>
        <v/>
      </c>
      <c r="TZZ48" s="84" t="str">
        <f>IF(ISNUMBER(outYear),TZZ37+TZZ42+#REF!+#REF!,"")</f>
        <v/>
      </c>
      <c r="UAA48" s="84" t="str">
        <f>IF(ISNUMBER(outYear),UAA37+UAA42+#REF!+#REF!,"")</f>
        <v/>
      </c>
      <c r="UAB48" s="84" t="str">
        <f>IF(ISNUMBER(outYear),UAB37+UAB42+#REF!+#REF!,"")</f>
        <v/>
      </c>
      <c r="UAC48" s="84" t="str">
        <f>IF(ISNUMBER(outYear),UAC37+UAC42+#REF!+#REF!,"")</f>
        <v/>
      </c>
      <c r="UAD48" s="84" t="str">
        <f>IF(ISNUMBER(outYear),UAD37+UAD42+#REF!+#REF!,"")</f>
        <v/>
      </c>
      <c r="UAE48" s="84" t="str">
        <f>IF(ISNUMBER(outYear),UAE37+UAE42+#REF!+#REF!,"")</f>
        <v/>
      </c>
      <c r="UAF48" s="84" t="str">
        <f>IF(ISNUMBER(outYear),UAF37+UAF42+#REF!+#REF!,"")</f>
        <v/>
      </c>
      <c r="UAG48" s="84" t="str">
        <f>IF(ISNUMBER(outYear),UAG37+UAG42+#REF!+#REF!,"")</f>
        <v/>
      </c>
      <c r="UAH48" s="84" t="str">
        <f>IF(ISNUMBER(outYear),UAH37+UAH42+#REF!+#REF!,"")</f>
        <v/>
      </c>
      <c r="UAI48" s="84" t="str">
        <f>IF(ISNUMBER(outYear),UAI37+UAI42+#REF!+#REF!,"")</f>
        <v/>
      </c>
      <c r="UAJ48" s="84" t="str">
        <f>IF(ISNUMBER(outYear),UAJ37+UAJ42+#REF!+#REF!,"")</f>
        <v/>
      </c>
      <c r="UAK48" s="84" t="str">
        <f>IF(ISNUMBER(outYear),UAK37+UAK42+#REF!+#REF!,"")</f>
        <v/>
      </c>
      <c r="UAL48" s="84" t="str">
        <f>IF(ISNUMBER(outYear),UAL37+UAL42+#REF!+#REF!,"")</f>
        <v/>
      </c>
      <c r="UAM48" s="84" t="str">
        <f>IF(ISNUMBER(outYear),UAM37+UAM42+#REF!+#REF!,"")</f>
        <v/>
      </c>
      <c r="UAN48" s="84" t="str">
        <f>IF(ISNUMBER(outYear),UAN37+UAN42+#REF!+#REF!,"")</f>
        <v/>
      </c>
      <c r="UAO48" s="84" t="str">
        <f>IF(ISNUMBER(outYear),UAO37+UAO42+#REF!+#REF!,"")</f>
        <v/>
      </c>
      <c r="UAP48" s="84" t="str">
        <f>IF(ISNUMBER(outYear),UAP37+UAP42+#REF!+#REF!,"")</f>
        <v/>
      </c>
      <c r="UAQ48" s="84" t="str">
        <f>IF(ISNUMBER(outYear),UAQ37+UAQ42+#REF!+#REF!,"")</f>
        <v/>
      </c>
      <c r="UAR48" s="84" t="str">
        <f>IF(ISNUMBER(outYear),UAR37+UAR42+#REF!+#REF!,"")</f>
        <v/>
      </c>
      <c r="UAS48" s="84" t="str">
        <f>IF(ISNUMBER(outYear),UAS37+UAS42+#REF!+#REF!,"")</f>
        <v/>
      </c>
      <c r="UAT48" s="84" t="str">
        <f>IF(ISNUMBER(outYear),UAT37+UAT42+#REF!+#REF!,"")</f>
        <v/>
      </c>
      <c r="UAU48" s="84" t="str">
        <f>IF(ISNUMBER(outYear),UAU37+UAU42+#REF!+#REF!,"")</f>
        <v/>
      </c>
      <c r="UAV48" s="84" t="str">
        <f>IF(ISNUMBER(outYear),UAV37+UAV42+#REF!+#REF!,"")</f>
        <v/>
      </c>
      <c r="UAW48" s="84" t="str">
        <f>IF(ISNUMBER(outYear),UAW37+UAW42+#REF!+#REF!,"")</f>
        <v/>
      </c>
      <c r="UAX48" s="84" t="str">
        <f>IF(ISNUMBER(outYear),UAX37+UAX42+#REF!+#REF!,"")</f>
        <v/>
      </c>
      <c r="UAY48" s="84" t="str">
        <f>IF(ISNUMBER(outYear),UAY37+UAY42+#REF!+#REF!,"")</f>
        <v/>
      </c>
      <c r="UAZ48" s="84" t="str">
        <f>IF(ISNUMBER(outYear),UAZ37+UAZ42+#REF!+#REF!,"")</f>
        <v/>
      </c>
      <c r="UBA48" s="84" t="str">
        <f>IF(ISNUMBER(outYear),UBA37+UBA42+#REF!+#REF!,"")</f>
        <v/>
      </c>
      <c r="UBB48" s="84" t="str">
        <f>IF(ISNUMBER(outYear),UBB37+UBB42+#REF!+#REF!,"")</f>
        <v/>
      </c>
      <c r="UBC48" s="84" t="str">
        <f>IF(ISNUMBER(outYear),UBC37+UBC42+#REF!+#REF!,"")</f>
        <v/>
      </c>
      <c r="UBD48" s="84" t="str">
        <f>IF(ISNUMBER(outYear),UBD37+UBD42+#REF!+#REF!,"")</f>
        <v/>
      </c>
      <c r="UBE48" s="84" t="str">
        <f>IF(ISNUMBER(outYear),UBE37+UBE42+#REF!+#REF!,"")</f>
        <v/>
      </c>
      <c r="UBF48" s="84" t="str">
        <f>IF(ISNUMBER(outYear),UBF37+UBF42+#REF!+#REF!,"")</f>
        <v/>
      </c>
      <c r="UBG48" s="84" t="str">
        <f>IF(ISNUMBER(outYear),UBG37+UBG42+#REF!+#REF!,"")</f>
        <v/>
      </c>
      <c r="UBH48" s="84" t="str">
        <f>IF(ISNUMBER(outYear),UBH37+UBH42+#REF!+#REF!,"")</f>
        <v/>
      </c>
      <c r="UBI48" s="84" t="str">
        <f>IF(ISNUMBER(outYear),UBI37+UBI42+#REF!+#REF!,"")</f>
        <v/>
      </c>
      <c r="UBJ48" s="84" t="str">
        <f>IF(ISNUMBER(outYear),UBJ37+UBJ42+#REF!+#REF!,"")</f>
        <v/>
      </c>
      <c r="UBK48" s="84" t="str">
        <f>IF(ISNUMBER(outYear),UBK37+UBK42+#REF!+#REF!,"")</f>
        <v/>
      </c>
      <c r="UBL48" s="84" t="str">
        <f>IF(ISNUMBER(outYear),UBL37+UBL42+#REF!+#REF!,"")</f>
        <v/>
      </c>
      <c r="UBM48" s="84" t="str">
        <f>IF(ISNUMBER(outYear),UBM37+UBM42+#REF!+#REF!,"")</f>
        <v/>
      </c>
      <c r="UBN48" s="84" t="str">
        <f>IF(ISNUMBER(outYear),UBN37+UBN42+#REF!+#REF!,"")</f>
        <v/>
      </c>
      <c r="UBO48" s="84" t="str">
        <f>IF(ISNUMBER(outYear),UBO37+UBO42+#REF!+#REF!,"")</f>
        <v/>
      </c>
      <c r="UBP48" s="84" t="str">
        <f>IF(ISNUMBER(outYear),UBP37+UBP42+#REF!+#REF!,"")</f>
        <v/>
      </c>
      <c r="UBQ48" s="84" t="str">
        <f>IF(ISNUMBER(outYear),UBQ37+UBQ42+#REF!+#REF!,"")</f>
        <v/>
      </c>
      <c r="UBR48" s="84" t="str">
        <f>IF(ISNUMBER(outYear),UBR37+UBR42+#REF!+#REF!,"")</f>
        <v/>
      </c>
      <c r="UBS48" s="84" t="str">
        <f>IF(ISNUMBER(outYear),UBS37+UBS42+#REF!+#REF!,"")</f>
        <v/>
      </c>
      <c r="UBT48" s="84" t="str">
        <f>IF(ISNUMBER(outYear),UBT37+UBT42+#REF!+#REF!,"")</f>
        <v/>
      </c>
      <c r="UBU48" s="84" t="str">
        <f>IF(ISNUMBER(outYear),UBU37+UBU42+#REF!+#REF!,"")</f>
        <v/>
      </c>
      <c r="UBV48" s="84" t="str">
        <f>IF(ISNUMBER(outYear),UBV37+UBV42+#REF!+#REF!,"")</f>
        <v/>
      </c>
      <c r="UBW48" s="84" t="str">
        <f>IF(ISNUMBER(outYear),UBW37+UBW42+#REF!+#REF!,"")</f>
        <v/>
      </c>
      <c r="UBX48" s="84" t="str">
        <f>IF(ISNUMBER(outYear),UBX37+UBX42+#REF!+#REF!,"")</f>
        <v/>
      </c>
      <c r="UBY48" s="84" t="str">
        <f>IF(ISNUMBER(outYear),UBY37+UBY42+#REF!+#REF!,"")</f>
        <v/>
      </c>
      <c r="UBZ48" s="84" t="str">
        <f>IF(ISNUMBER(outYear),UBZ37+UBZ42+#REF!+#REF!,"")</f>
        <v/>
      </c>
      <c r="UCA48" s="84" t="str">
        <f>IF(ISNUMBER(outYear),UCA37+UCA42+#REF!+#REF!,"")</f>
        <v/>
      </c>
      <c r="UCB48" s="84" t="str">
        <f>IF(ISNUMBER(outYear),UCB37+UCB42+#REF!+#REF!,"")</f>
        <v/>
      </c>
      <c r="UCC48" s="84" t="str">
        <f>IF(ISNUMBER(outYear),UCC37+UCC42+#REF!+#REF!,"")</f>
        <v/>
      </c>
      <c r="UCD48" s="84" t="str">
        <f>IF(ISNUMBER(outYear),UCD37+UCD42+#REF!+#REF!,"")</f>
        <v/>
      </c>
      <c r="UCE48" s="84" t="str">
        <f>IF(ISNUMBER(outYear),UCE37+UCE42+#REF!+#REF!,"")</f>
        <v/>
      </c>
      <c r="UCF48" s="84" t="str">
        <f>IF(ISNUMBER(outYear),UCF37+UCF42+#REF!+#REF!,"")</f>
        <v/>
      </c>
      <c r="UCG48" s="84" t="str">
        <f>IF(ISNUMBER(outYear),UCG37+UCG42+#REF!+#REF!,"")</f>
        <v/>
      </c>
      <c r="UCH48" s="84" t="str">
        <f>IF(ISNUMBER(outYear),UCH37+UCH42+#REF!+#REF!,"")</f>
        <v/>
      </c>
      <c r="UCI48" s="84" t="str">
        <f>IF(ISNUMBER(outYear),UCI37+UCI42+#REF!+#REF!,"")</f>
        <v/>
      </c>
      <c r="UCJ48" s="84" t="str">
        <f>IF(ISNUMBER(outYear),UCJ37+UCJ42+#REF!+#REF!,"")</f>
        <v/>
      </c>
      <c r="UCK48" s="84" t="str">
        <f>IF(ISNUMBER(outYear),UCK37+UCK42+#REF!+#REF!,"")</f>
        <v/>
      </c>
      <c r="UCL48" s="84" t="str">
        <f>IF(ISNUMBER(outYear),UCL37+UCL42+#REF!+#REF!,"")</f>
        <v/>
      </c>
      <c r="UCM48" s="84" t="str">
        <f>IF(ISNUMBER(outYear),UCM37+UCM42+#REF!+#REF!,"")</f>
        <v/>
      </c>
      <c r="UCN48" s="84" t="str">
        <f>IF(ISNUMBER(outYear),UCN37+UCN42+#REF!+#REF!,"")</f>
        <v/>
      </c>
      <c r="UCO48" s="84" t="str">
        <f>IF(ISNUMBER(outYear),UCO37+UCO42+#REF!+#REF!,"")</f>
        <v/>
      </c>
      <c r="UCP48" s="84" t="str">
        <f>IF(ISNUMBER(outYear),UCP37+UCP42+#REF!+#REF!,"")</f>
        <v/>
      </c>
      <c r="UCQ48" s="84" t="str">
        <f>IF(ISNUMBER(outYear),UCQ37+UCQ42+#REF!+#REF!,"")</f>
        <v/>
      </c>
      <c r="UCR48" s="84" t="str">
        <f>IF(ISNUMBER(outYear),UCR37+UCR42+#REF!+#REF!,"")</f>
        <v/>
      </c>
      <c r="UCS48" s="84" t="str">
        <f>IF(ISNUMBER(outYear),UCS37+UCS42+#REF!+#REF!,"")</f>
        <v/>
      </c>
      <c r="UCT48" s="84" t="str">
        <f>IF(ISNUMBER(outYear),UCT37+UCT42+#REF!+#REF!,"")</f>
        <v/>
      </c>
      <c r="UCU48" s="84" t="str">
        <f>IF(ISNUMBER(outYear),UCU37+UCU42+#REF!+#REF!,"")</f>
        <v/>
      </c>
      <c r="UCV48" s="84" t="str">
        <f>IF(ISNUMBER(outYear),UCV37+UCV42+#REF!+#REF!,"")</f>
        <v/>
      </c>
      <c r="UCW48" s="84" t="str">
        <f>IF(ISNUMBER(outYear),UCW37+UCW42+#REF!+#REF!,"")</f>
        <v/>
      </c>
      <c r="UCX48" s="84" t="str">
        <f>IF(ISNUMBER(outYear),UCX37+UCX42+#REF!+#REF!,"")</f>
        <v/>
      </c>
      <c r="UCY48" s="84" t="str">
        <f>IF(ISNUMBER(outYear),UCY37+UCY42+#REF!+#REF!,"")</f>
        <v/>
      </c>
      <c r="UCZ48" s="84" t="str">
        <f>IF(ISNUMBER(outYear),UCZ37+UCZ42+#REF!+#REF!,"")</f>
        <v/>
      </c>
      <c r="UDA48" s="84" t="str">
        <f>IF(ISNUMBER(outYear),UDA37+UDA42+#REF!+#REF!,"")</f>
        <v/>
      </c>
      <c r="UDB48" s="84" t="str">
        <f>IF(ISNUMBER(outYear),UDB37+UDB42+#REF!+#REF!,"")</f>
        <v/>
      </c>
      <c r="UDC48" s="84" t="str">
        <f>IF(ISNUMBER(outYear),UDC37+UDC42+#REF!+#REF!,"")</f>
        <v/>
      </c>
      <c r="UDD48" s="84" t="str">
        <f>IF(ISNUMBER(outYear),UDD37+UDD42+#REF!+#REF!,"")</f>
        <v/>
      </c>
      <c r="UDE48" s="84" t="str">
        <f>IF(ISNUMBER(outYear),UDE37+UDE42+#REF!+#REF!,"")</f>
        <v/>
      </c>
      <c r="UDF48" s="84" t="str">
        <f>IF(ISNUMBER(outYear),UDF37+UDF42+#REF!+#REF!,"")</f>
        <v/>
      </c>
      <c r="UDG48" s="84" t="str">
        <f>IF(ISNUMBER(outYear),UDG37+UDG42+#REF!+#REF!,"")</f>
        <v/>
      </c>
      <c r="UDH48" s="84" t="str">
        <f>IF(ISNUMBER(outYear),UDH37+UDH42+#REF!+#REF!,"")</f>
        <v/>
      </c>
      <c r="UDI48" s="84" t="str">
        <f>IF(ISNUMBER(outYear),UDI37+UDI42+#REF!+#REF!,"")</f>
        <v/>
      </c>
      <c r="UDJ48" s="84" t="str">
        <f>IF(ISNUMBER(outYear),UDJ37+UDJ42+#REF!+#REF!,"")</f>
        <v/>
      </c>
      <c r="UDK48" s="84" t="str">
        <f>IF(ISNUMBER(outYear),UDK37+UDK42+#REF!+#REF!,"")</f>
        <v/>
      </c>
      <c r="UDL48" s="84" t="str">
        <f>IF(ISNUMBER(outYear),UDL37+UDL42+#REF!+#REF!,"")</f>
        <v/>
      </c>
      <c r="UDM48" s="84" t="str">
        <f>IF(ISNUMBER(outYear),UDM37+UDM42+#REF!+#REF!,"")</f>
        <v/>
      </c>
      <c r="UDN48" s="84" t="str">
        <f>IF(ISNUMBER(outYear),UDN37+UDN42+#REF!+#REF!,"")</f>
        <v/>
      </c>
      <c r="UDO48" s="84" t="str">
        <f>IF(ISNUMBER(outYear),UDO37+UDO42+#REF!+#REF!,"")</f>
        <v/>
      </c>
      <c r="UDP48" s="84" t="str">
        <f>IF(ISNUMBER(outYear),UDP37+UDP42+#REF!+#REF!,"")</f>
        <v/>
      </c>
      <c r="UDQ48" s="84" t="str">
        <f>IF(ISNUMBER(outYear),UDQ37+UDQ42+#REF!+#REF!,"")</f>
        <v/>
      </c>
      <c r="UDR48" s="84" t="str">
        <f>IF(ISNUMBER(outYear),UDR37+UDR42+#REF!+#REF!,"")</f>
        <v/>
      </c>
      <c r="UDS48" s="84" t="str">
        <f>IF(ISNUMBER(outYear),UDS37+UDS42+#REF!+#REF!,"")</f>
        <v/>
      </c>
      <c r="UDT48" s="84" t="str">
        <f>IF(ISNUMBER(outYear),UDT37+UDT42+#REF!+#REF!,"")</f>
        <v/>
      </c>
      <c r="UDU48" s="84" t="str">
        <f>IF(ISNUMBER(outYear),UDU37+UDU42+#REF!+#REF!,"")</f>
        <v/>
      </c>
      <c r="UDV48" s="84" t="str">
        <f>IF(ISNUMBER(outYear),UDV37+UDV42+#REF!+#REF!,"")</f>
        <v/>
      </c>
      <c r="UDW48" s="84" t="str">
        <f>IF(ISNUMBER(outYear),UDW37+UDW42+#REF!+#REF!,"")</f>
        <v/>
      </c>
      <c r="UDX48" s="84" t="str">
        <f>IF(ISNUMBER(outYear),UDX37+UDX42+#REF!+#REF!,"")</f>
        <v/>
      </c>
      <c r="UDY48" s="84" t="str">
        <f>IF(ISNUMBER(outYear),UDY37+UDY42+#REF!+#REF!,"")</f>
        <v/>
      </c>
      <c r="UDZ48" s="84" t="str">
        <f>IF(ISNUMBER(outYear),UDZ37+UDZ42+#REF!+#REF!,"")</f>
        <v/>
      </c>
      <c r="UEA48" s="84" t="str">
        <f>IF(ISNUMBER(outYear),UEA37+UEA42+#REF!+#REF!,"")</f>
        <v/>
      </c>
      <c r="UEB48" s="84" t="str">
        <f>IF(ISNUMBER(outYear),UEB37+UEB42+#REF!+#REF!,"")</f>
        <v/>
      </c>
      <c r="UEC48" s="84" t="str">
        <f>IF(ISNUMBER(outYear),UEC37+UEC42+#REF!+#REF!,"")</f>
        <v/>
      </c>
      <c r="UED48" s="84" t="str">
        <f>IF(ISNUMBER(outYear),UED37+UED42+#REF!+#REF!,"")</f>
        <v/>
      </c>
      <c r="UEE48" s="84" t="str">
        <f>IF(ISNUMBER(outYear),UEE37+UEE42+#REF!+#REF!,"")</f>
        <v/>
      </c>
      <c r="UEF48" s="84" t="str">
        <f>IF(ISNUMBER(outYear),UEF37+UEF42+#REF!+#REF!,"")</f>
        <v/>
      </c>
      <c r="UEG48" s="84" t="str">
        <f>IF(ISNUMBER(outYear),UEG37+UEG42+#REF!+#REF!,"")</f>
        <v/>
      </c>
      <c r="UEH48" s="84" t="str">
        <f>IF(ISNUMBER(outYear),UEH37+UEH42+#REF!+#REF!,"")</f>
        <v/>
      </c>
      <c r="UEI48" s="84" t="str">
        <f>IF(ISNUMBER(outYear),UEI37+UEI42+#REF!+#REF!,"")</f>
        <v/>
      </c>
      <c r="UEJ48" s="84" t="str">
        <f>IF(ISNUMBER(outYear),UEJ37+UEJ42+#REF!+#REF!,"")</f>
        <v/>
      </c>
      <c r="UEK48" s="84" t="str">
        <f>IF(ISNUMBER(outYear),UEK37+UEK42+#REF!+#REF!,"")</f>
        <v/>
      </c>
      <c r="UEL48" s="84" t="str">
        <f>IF(ISNUMBER(outYear),UEL37+UEL42+#REF!+#REF!,"")</f>
        <v/>
      </c>
      <c r="UEM48" s="84" t="str">
        <f>IF(ISNUMBER(outYear),UEM37+UEM42+#REF!+#REF!,"")</f>
        <v/>
      </c>
      <c r="UEN48" s="84" t="str">
        <f>IF(ISNUMBER(outYear),UEN37+UEN42+#REF!+#REF!,"")</f>
        <v/>
      </c>
      <c r="UEO48" s="84" t="str">
        <f>IF(ISNUMBER(outYear),UEO37+UEO42+#REF!+#REF!,"")</f>
        <v/>
      </c>
      <c r="UEP48" s="84" t="str">
        <f>IF(ISNUMBER(outYear),UEP37+UEP42+#REF!+#REF!,"")</f>
        <v/>
      </c>
      <c r="UEQ48" s="84" t="str">
        <f>IF(ISNUMBER(outYear),UEQ37+UEQ42+#REF!+#REF!,"")</f>
        <v/>
      </c>
      <c r="UER48" s="84" t="str">
        <f>IF(ISNUMBER(outYear),UER37+UER42+#REF!+#REF!,"")</f>
        <v/>
      </c>
      <c r="UES48" s="84" t="str">
        <f>IF(ISNUMBER(outYear),UES37+UES42+#REF!+#REF!,"")</f>
        <v/>
      </c>
      <c r="UET48" s="84" t="str">
        <f>IF(ISNUMBER(outYear),UET37+UET42+#REF!+#REF!,"")</f>
        <v/>
      </c>
      <c r="UEU48" s="84" t="str">
        <f>IF(ISNUMBER(outYear),UEU37+UEU42+#REF!+#REF!,"")</f>
        <v/>
      </c>
      <c r="UEV48" s="84" t="str">
        <f>IF(ISNUMBER(outYear),UEV37+UEV42+#REF!+#REF!,"")</f>
        <v/>
      </c>
      <c r="UEW48" s="84" t="str">
        <f>IF(ISNUMBER(outYear),UEW37+UEW42+#REF!+#REF!,"")</f>
        <v/>
      </c>
      <c r="UEX48" s="84" t="str">
        <f>IF(ISNUMBER(outYear),UEX37+UEX42+#REF!+#REF!,"")</f>
        <v/>
      </c>
      <c r="UEY48" s="84" t="str">
        <f>IF(ISNUMBER(outYear),UEY37+UEY42+#REF!+#REF!,"")</f>
        <v/>
      </c>
      <c r="UEZ48" s="84" t="str">
        <f>IF(ISNUMBER(outYear),UEZ37+UEZ42+#REF!+#REF!,"")</f>
        <v/>
      </c>
      <c r="UFA48" s="84" t="str">
        <f>IF(ISNUMBER(outYear),UFA37+UFA42+#REF!+#REF!,"")</f>
        <v/>
      </c>
      <c r="UFB48" s="84" t="str">
        <f>IF(ISNUMBER(outYear),UFB37+UFB42+#REF!+#REF!,"")</f>
        <v/>
      </c>
      <c r="UFC48" s="84" t="str">
        <f>IF(ISNUMBER(outYear),UFC37+UFC42+#REF!+#REF!,"")</f>
        <v/>
      </c>
      <c r="UFD48" s="84" t="str">
        <f>IF(ISNUMBER(outYear),UFD37+UFD42+#REF!+#REF!,"")</f>
        <v/>
      </c>
      <c r="UFE48" s="84" t="str">
        <f>IF(ISNUMBER(outYear),UFE37+UFE42+#REF!+#REF!,"")</f>
        <v/>
      </c>
      <c r="UFF48" s="84" t="str">
        <f>IF(ISNUMBER(outYear),UFF37+UFF42+#REF!+#REF!,"")</f>
        <v/>
      </c>
      <c r="UFG48" s="84" t="str">
        <f>IF(ISNUMBER(outYear),UFG37+UFG42+#REF!+#REF!,"")</f>
        <v/>
      </c>
      <c r="UFH48" s="84" t="str">
        <f>IF(ISNUMBER(outYear),UFH37+UFH42+#REF!+#REF!,"")</f>
        <v/>
      </c>
      <c r="UFI48" s="84" t="str">
        <f>IF(ISNUMBER(outYear),UFI37+UFI42+#REF!+#REF!,"")</f>
        <v/>
      </c>
      <c r="UFJ48" s="84" t="str">
        <f>IF(ISNUMBER(outYear),UFJ37+UFJ42+#REF!+#REF!,"")</f>
        <v/>
      </c>
      <c r="UFK48" s="84" t="str">
        <f>IF(ISNUMBER(outYear),UFK37+UFK42+#REF!+#REF!,"")</f>
        <v/>
      </c>
      <c r="UFL48" s="84" t="str">
        <f>IF(ISNUMBER(outYear),UFL37+UFL42+#REF!+#REF!,"")</f>
        <v/>
      </c>
      <c r="UFM48" s="84" t="str">
        <f>IF(ISNUMBER(outYear),UFM37+UFM42+#REF!+#REF!,"")</f>
        <v/>
      </c>
      <c r="UFN48" s="84" t="str">
        <f>IF(ISNUMBER(outYear),UFN37+UFN42+#REF!+#REF!,"")</f>
        <v/>
      </c>
      <c r="UFO48" s="84" t="str">
        <f>IF(ISNUMBER(outYear),UFO37+UFO42+#REF!+#REF!,"")</f>
        <v/>
      </c>
      <c r="UFP48" s="84" t="str">
        <f>IF(ISNUMBER(outYear),UFP37+UFP42+#REF!+#REF!,"")</f>
        <v/>
      </c>
      <c r="UFQ48" s="84" t="str">
        <f>IF(ISNUMBER(outYear),UFQ37+UFQ42+#REF!+#REF!,"")</f>
        <v/>
      </c>
      <c r="UFR48" s="84" t="str">
        <f>IF(ISNUMBER(outYear),UFR37+UFR42+#REF!+#REF!,"")</f>
        <v/>
      </c>
      <c r="UFS48" s="84" t="str">
        <f>IF(ISNUMBER(outYear),UFS37+UFS42+#REF!+#REF!,"")</f>
        <v/>
      </c>
      <c r="UFT48" s="84" t="str">
        <f>IF(ISNUMBER(outYear),UFT37+UFT42+#REF!+#REF!,"")</f>
        <v/>
      </c>
      <c r="UFU48" s="84" t="str">
        <f>IF(ISNUMBER(outYear),UFU37+UFU42+#REF!+#REF!,"")</f>
        <v/>
      </c>
      <c r="UFV48" s="84" t="str">
        <f>IF(ISNUMBER(outYear),UFV37+UFV42+#REF!+#REF!,"")</f>
        <v/>
      </c>
      <c r="UFW48" s="84" t="str">
        <f>IF(ISNUMBER(outYear),UFW37+UFW42+#REF!+#REF!,"")</f>
        <v/>
      </c>
      <c r="UFX48" s="84" t="str">
        <f>IF(ISNUMBER(outYear),UFX37+UFX42+#REF!+#REF!,"")</f>
        <v/>
      </c>
      <c r="UFY48" s="84" t="str">
        <f>IF(ISNUMBER(outYear),UFY37+UFY42+#REF!+#REF!,"")</f>
        <v/>
      </c>
      <c r="UFZ48" s="84" t="str">
        <f>IF(ISNUMBER(outYear),UFZ37+UFZ42+#REF!+#REF!,"")</f>
        <v/>
      </c>
      <c r="UGA48" s="84" t="str">
        <f>IF(ISNUMBER(outYear),UGA37+UGA42+#REF!+#REF!,"")</f>
        <v/>
      </c>
      <c r="UGB48" s="84" t="str">
        <f>IF(ISNUMBER(outYear),UGB37+UGB42+#REF!+#REF!,"")</f>
        <v/>
      </c>
      <c r="UGC48" s="84" t="str">
        <f>IF(ISNUMBER(outYear),UGC37+UGC42+#REF!+#REF!,"")</f>
        <v/>
      </c>
      <c r="UGD48" s="84" t="str">
        <f>IF(ISNUMBER(outYear),UGD37+UGD42+#REF!+#REF!,"")</f>
        <v/>
      </c>
      <c r="UGE48" s="84" t="str">
        <f>IF(ISNUMBER(outYear),UGE37+UGE42+#REF!+#REF!,"")</f>
        <v/>
      </c>
      <c r="UGF48" s="84" t="str">
        <f>IF(ISNUMBER(outYear),UGF37+UGF42+#REF!+#REF!,"")</f>
        <v/>
      </c>
      <c r="UGG48" s="84" t="str">
        <f>IF(ISNUMBER(outYear),UGG37+UGG42+#REF!+#REF!,"")</f>
        <v/>
      </c>
      <c r="UGH48" s="84" t="str">
        <f>IF(ISNUMBER(outYear),UGH37+UGH42+#REF!+#REF!,"")</f>
        <v/>
      </c>
      <c r="UGI48" s="84" t="str">
        <f>IF(ISNUMBER(outYear),UGI37+UGI42+#REF!+#REF!,"")</f>
        <v/>
      </c>
      <c r="UGJ48" s="84" t="str">
        <f>IF(ISNUMBER(outYear),UGJ37+UGJ42+#REF!+#REF!,"")</f>
        <v/>
      </c>
      <c r="UGK48" s="84" t="str">
        <f>IF(ISNUMBER(outYear),UGK37+UGK42+#REF!+#REF!,"")</f>
        <v/>
      </c>
      <c r="UGL48" s="84" t="str">
        <f>IF(ISNUMBER(outYear),UGL37+UGL42+#REF!+#REF!,"")</f>
        <v/>
      </c>
      <c r="UGM48" s="84" t="str">
        <f>IF(ISNUMBER(outYear),UGM37+UGM42+#REF!+#REF!,"")</f>
        <v/>
      </c>
      <c r="UGN48" s="84" t="str">
        <f>IF(ISNUMBER(outYear),UGN37+UGN42+#REF!+#REF!,"")</f>
        <v/>
      </c>
      <c r="UGO48" s="84" t="str">
        <f>IF(ISNUMBER(outYear),UGO37+UGO42+#REF!+#REF!,"")</f>
        <v/>
      </c>
      <c r="UGP48" s="84" t="str">
        <f>IF(ISNUMBER(outYear),UGP37+UGP42+#REF!+#REF!,"")</f>
        <v/>
      </c>
      <c r="UGQ48" s="84" t="str">
        <f>IF(ISNUMBER(outYear),UGQ37+UGQ42+#REF!+#REF!,"")</f>
        <v/>
      </c>
      <c r="UGR48" s="84" t="str">
        <f>IF(ISNUMBER(outYear),UGR37+UGR42+#REF!+#REF!,"")</f>
        <v/>
      </c>
      <c r="UGS48" s="84" t="str">
        <f>IF(ISNUMBER(outYear),UGS37+UGS42+#REF!+#REF!,"")</f>
        <v/>
      </c>
      <c r="UGT48" s="84" t="str">
        <f>IF(ISNUMBER(outYear),UGT37+UGT42+#REF!+#REF!,"")</f>
        <v/>
      </c>
      <c r="UGU48" s="84" t="str">
        <f>IF(ISNUMBER(outYear),UGU37+UGU42+#REF!+#REF!,"")</f>
        <v/>
      </c>
      <c r="UGV48" s="84" t="str">
        <f>IF(ISNUMBER(outYear),UGV37+UGV42+#REF!+#REF!,"")</f>
        <v/>
      </c>
      <c r="UGW48" s="84" t="str">
        <f>IF(ISNUMBER(outYear),UGW37+UGW42+#REF!+#REF!,"")</f>
        <v/>
      </c>
      <c r="UGX48" s="84" t="str">
        <f>IF(ISNUMBER(outYear),UGX37+UGX42+#REF!+#REF!,"")</f>
        <v/>
      </c>
      <c r="UGY48" s="84" t="str">
        <f>IF(ISNUMBER(outYear),UGY37+UGY42+#REF!+#REF!,"")</f>
        <v/>
      </c>
      <c r="UGZ48" s="84" t="str">
        <f>IF(ISNUMBER(outYear),UGZ37+UGZ42+#REF!+#REF!,"")</f>
        <v/>
      </c>
      <c r="UHA48" s="84" t="str">
        <f>IF(ISNUMBER(outYear),UHA37+UHA42+#REF!+#REF!,"")</f>
        <v/>
      </c>
      <c r="UHB48" s="84" t="str">
        <f>IF(ISNUMBER(outYear),UHB37+UHB42+#REF!+#REF!,"")</f>
        <v/>
      </c>
      <c r="UHC48" s="84" t="str">
        <f>IF(ISNUMBER(outYear),UHC37+UHC42+#REF!+#REF!,"")</f>
        <v/>
      </c>
      <c r="UHD48" s="84" t="str">
        <f>IF(ISNUMBER(outYear),UHD37+UHD42+#REF!+#REF!,"")</f>
        <v/>
      </c>
      <c r="UHE48" s="84" t="str">
        <f>IF(ISNUMBER(outYear),UHE37+UHE42+#REF!+#REF!,"")</f>
        <v/>
      </c>
      <c r="UHF48" s="84" t="str">
        <f>IF(ISNUMBER(outYear),UHF37+UHF42+#REF!+#REF!,"")</f>
        <v/>
      </c>
      <c r="UHG48" s="84" t="str">
        <f>IF(ISNUMBER(outYear),UHG37+UHG42+#REF!+#REF!,"")</f>
        <v/>
      </c>
      <c r="UHH48" s="84" t="str">
        <f>IF(ISNUMBER(outYear),UHH37+UHH42+#REF!+#REF!,"")</f>
        <v/>
      </c>
      <c r="UHI48" s="84" t="str">
        <f>IF(ISNUMBER(outYear),UHI37+UHI42+#REF!+#REF!,"")</f>
        <v/>
      </c>
      <c r="UHJ48" s="84" t="str">
        <f>IF(ISNUMBER(outYear),UHJ37+UHJ42+#REF!+#REF!,"")</f>
        <v/>
      </c>
      <c r="UHK48" s="84" t="str">
        <f>IF(ISNUMBER(outYear),UHK37+UHK42+#REF!+#REF!,"")</f>
        <v/>
      </c>
      <c r="UHL48" s="84" t="str">
        <f>IF(ISNUMBER(outYear),UHL37+UHL42+#REF!+#REF!,"")</f>
        <v/>
      </c>
      <c r="UHM48" s="84" t="str">
        <f>IF(ISNUMBER(outYear),UHM37+UHM42+#REF!+#REF!,"")</f>
        <v/>
      </c>
      <c r="UHN48" s="84" t="str">
        <f>IF(ISNUMBER(outYear),UHN37+UHN42+#REF!+#REF!,"")</f>
        <v/>
      </c>
      <c r="UHO48" s="84" t="str">
        <f>IF(ISNUMBER(outYear),UHO37+UHO42+#REF!+#REF!,"")</f>
        <v/>
      </c>
      <c r="UHP48" s="84" t="str">
        <f>IF(ISNUMBER(outYear),UHP37+UHP42+#REF!+#REF!,"")</f>
        <v/>
      </c>
      <c r="UHQ48" s="84" t="str">
        <f>IF(ISNUMBER(outYear),UHQ37+UHQ42+#REF!+#REF!,"")</f>
        <v/>
      </c>
      <c r="UHR48" s="84" t="str">
        <f>IF(ISNUMBER(outYear),UHR37+UHR42+#REF!+#REF!,"")</f>
        <v/>
      </c>
      <c r="UHS48" s="84" t="str">
        <f>IF(ISNUMBER(outYear),UHS37+UHS42+#REF!+#REF!,"")</f>
        <v/>
      </c>
      <c r="UHT48" s="84" t="str">
        <f>IF(ISNUMBER(outYear),UHT37+UHT42+#REF!+#REF!,"")</f>
        <v/>
      </c>
      <c r="UHU48" s="84" t="str">
        <f>IF(ISNUMBER(outYear),UHU37+UHU42+#REF!+#REF!,"")</f>
        <v/>
      </c>
      <c r="UHV48" s="84" t="str">
        <f>IF(ISNUMBER(outYear),UHV37+UHV42+#REF!+#REF!,"")</f>
        <v/>
      </c>
      <c r="UHW48" s="84" t="str">
        <f>IF(ISNUMBER(outYear),UHW37+UHW42+#REF!+#REF!,"")</f>
        <v/>
      </c>
      <c r="UHX48" s="84" t="str">
        <f>IF(ISNUMBER(outYear),UHX37+UHX42+#REF!+#REF!,"")</f>
        <v/>
      </c>
      <c r="UHY48" s="84" t="str">
        <f>IF(ISNUMBER(outYear),UHY37+UHY42+#REF!+#REF!,"")</f>
        <v/>
      </c>
      <c r="UHZ48" s="84" t="str">
        <f>IF(ISNUMBER(outYear),UHZ37+UHZ42+#REF!+#REF!,"")</f>
        <v/>
      </c>
      <c r="UIA48" s="84" t="str">
        <f>IF(ISNUMBER(outYear),UIA37+UIA42+#REF!+#REF!,"")</f>
        <v/>
      </c>
      <c r="UIB48" s="84" t="str">
        <f>IF(ISNUMBER(outYear),UIB37+UIB42+#REF!+#REF!,"")</f>
        <v/>
      </c>
      <c r="UIC48" s="84" t="str">
        <f>IF(ISNUMBER(outYear),UIC37+UIC42+#REF!+#REF!,"")</f>
        <v/>
      </c>
      <c r="UID48" s="84" t="str">
        <f>IF(ISNUMBER(outYear),UID37+UID42+#REF!+#REF!,"")</f>
        <v/>
      </c>
      <c r="UIE48" s="84" t="str">
        <f>IF(ISNUMBER(outYear),UIE37+UIE42+#REF!+#REF!,"")</f>
        <v/>
      </c>
      <c r="UIF48" s="84" t="str">
        <f>IF(ISNUMBER(outYear),UIF37+UIF42+#REF!+#REF!,"")</f>
        <v/>
      </c>
      <c r="UIG48" s="84" t="str">
        <f>IF(ISNUMBER(outYear),UIG37+UIG42+#REF!+#REF!,"")</f>
        <v/>
      </c>
      <c r="UIH48" s="84" t="str">
        <f>IF(ISNUMBER(outYear),UIH37+UIH42+#REF!+#REF!,"")</f>
        <v/>
      </c>
      <c r="UII48" s="84" t="str">
        <f>IF(ISNUMBER(outYear),UII37+UII42+#REF!+#REF!,"")</f>
        <v/>
      </c>
      <c r="UIJ48" s="84" t="str">
        <f>IF(ISNUMBER(outYear),UIJ37+UIJ42+#REF!+#REF!,"")</f>
        <v/>
      </c>
      <c r="UIK48" s="84" t="str">
        <f>IF(ISNUMBER(outYear),UIK37+UIK42+#REF!+#REF!,"")</f>
        <v/>
      </c>
      <c r="UIL48" s="84" t="str">
        <f>IF(ISNUMBER(outYear),UIL37+UIL42+#REF!+#REF!,"")</f>
        <v/>
      </c>
      <c r="UIM48" s="84" t="str">
        <f>IF(ISNUMBER(outYear),UIM37+UIM42+#REF!+#REF!,"")</f>
        <v/>
      </c>
      <c r="UIN48" s="84" t="str">
        <f>IF(ISNUMBER(outYear),UIN37+UIN42+#REF!+#REF!,"")</f>
        <v/>
      </c>
      <c r="UIO48" s="84" t="str">
        <f>IF(ISNUMBER(outYear),UIO37+UIO42+#REF!+#REF!,"")</f>
        <v/>
      </c>
      <c r="UIP48" s="84" t="str">
        <f>IF(ISNUMBER(outYear),UIP37+UIP42+#REF!+#REF!,"")</f>
        <v/>
      </c>
      <c r="UIQ48" s="84" t="str">
        <f>IF(ISNUMBER(outYear),UIQ37+UIQ42+#REF!+#REF!,"")</f>
        <v/>
      </c>
      <c r="UIR48" s="84" t="str">
        <f>IF(ISNUMBER(outYear),UIR37+UIR42+#REF!+#REF!,"")</f>
        <v/>
      </c>
      <c r="UIS48" s="84" t="str">
        <f>IF(ISNUMBER(outYear),UIS37+UIS42+#REF!+#REF!,"")</f>
        <v/>
      </c>
      <c r="UIT48" s="84" t="str">
        <f>IF(ISNUMBER(outYear),UIT37+UIT42+#REF!+#REF!,"")</f>
        <v/>
      </c>
      <c r="UIU48" s="84" t="str">
        <f>IF(ISNUMBER(outYear),UIU37+UIU42+#REF!+#REF!,"")</f>
        <v/>
      </c>
      <c r="UIV48" s="84" t="str">
        <f>IF(ISNUMBER(outYear),UIV37+UIV42+#REF!+#REF!,"")</f>
        <v/>
      </c>
      <c r="UIW48" s="84" t="str">
        <f>IF(ISNUMBER(outYear),UIW37+UIW42+#REF!+#REF!,"")</f>
        <v/>
      </c>
      <c r="UIX48" s="84" t="str">
        <f>IF(ISNUMBER(outYear),UIX37+UIX42+#REF!+#REF!,"")</f>
        <v/>
      </c>
      <c r="UIY48" s="84" t="str">
        <f>IF(ISNUMBER(outYear),UIY37+UIY42+#REF!+#REF!,"")</f>
        <v/>
      </c>
      <c r="UIZ48" s="84" t="str">
        <f>IF(ISNUMBER(outYear),UIZ37+UIZ42+#REF!+#REF!,"")</f>
        <v/>
      </c>
      <c r="UJA48" s="84" t="str">
        <f>IF(ISNUMBER(outYear),UJA37+UJA42+#REF!+#REF!,"")</f>
        <v/>
      </c>
      <c r="UJB48" s="84" t="str">
        <f>IF(ISNUMBER(outYear),UJB37+UJB42+#REF!+#REF!,"")</f>
        <v/>
      </c>
      <c r="UJC48" s="84" t="str">
        <f>IF(ISNUMBER(outYear),UJC37+UJC42+#REF!+#REF!,"")</f>
        <v/>
      </c>
      <c r="UJD48" s="84" t="str">
        <f>IF(ISNUMBER(outYear),UJD37+UJD42+#REF!+#REF!,"")</f>
        <v/>
      </c>
      <c r="UJE48" s="84" t="str">
        <f>IF(ISNUMBER(outYear),UJE37+UJE42+#REF!+#REF!,"")</f>
        <v/>
      </c>
      <c r="UJF48" s="84" t="str">
        <f>IF(ISNUMBER(outYear),UJF37+UJF42+#REF!+#REF!,"")</f>
        <v/>
      </c>
      <c r="UJG48" s="84" t="str">
        <f>IF(ISNUMBER(outYear),UJG37+UJG42+#REF!+#REF!,"")</f>
        <v/>
      </c>
      <c r="UJH48" s="84" t="str">
        <f>IF(ISNUMBER(outYear),UJH37+UJH42+#REF!+#REF!,"")</f>
        <v/>
      </c>
      <c r="UJI48" s="84" t="str">
        <f>IF(ISNUMBER(outYear),UJI37+UJI42+#REF!+#REF!,"")</f>
        <v/>
      </c>
      <c r="UJJ48" s="84" t="str">
        <f>IF(ISNUMBER(outYear),UJJ37+UJJ42+#REF!+#REF!,"")</f>
        <v/>
      </c>
      <c r="UJK48" s="84" t="str">
        <f>IF(ISNUMBER(outYear),UJK37+UJK42+#REF!+#REF!,"")</f>
        <v/>
      </c>
      <c r="UJL48" s="84" t="str">
        <f>IF(ISNUMBER(outYear),UJL37+UJL42+#REF!+#REF!,"")</f>
        <v/>
      </c>
      <c r="UJM48" s="84" t="str">
        <f>IF(ISNUMBER(outYear),UJM37+UJM42+#REF!+#REF!,"")</f>
        <v/>
      </c>
      <c r="UJN48" s="84" t="str">
        <f>IF(ISNUMBER(outYear),UJN37+UJN42+#REF!+#REF!,"")</f>
        <v/>
      </c>
      <c r="UJO48" s="84" t="str">
        <f>IF(ISNUMBER(outYear),UJO37+UJO42+#REF!+#REF!,"")</f>
        <v/>
      </c>
      <c r="UJP48" s="84" t="str">
        <f>IF(ISNUMBER(outYear),UJP37+UJP42+#REF!+#REF!,"")</f>
        <v/>
      </c>
      <c r="UJQ48" s="84" t="str">
        <f>IF(ISNUMBER(outYear),UJQ37+UJQ42+#REF!+#REF!,"")</f>
        <v/>
      </c>
      <c r="UJR48" s="84" t="str">
        <f>IF(ISNUMBER(outYear),UJR37+UJR42+#REF!+#REF!,"")</f>
        <v/>
      </c>
      <c r="UJS48" s="84" t="str">
        <f>IF(ISNUMBER(outYear),UJS37+UJS42+#REF!+#REF!,"")</f>
        <v/>
      </c>
      <c r="UJT48" s="84" t="str">
        <f>IF(ISNUMBER(outYear),UJT37+UJT42+#REF!+#REF!,"")</f>
        <v/>
      </c>
      <c r="UJU48" s="84" t="str">
        <f>IF(ISNUMBER(outYear),UJU37+UJU42+#REF!+#REF!,"")</f>
        <v/>
      </c>
      <c r="UJV48" s="84" t="str">
        <f>IF(ISNUMBER(outYear),UJV37+UJV42+#REF!+#REF!,"")</f>
        <v/>
      </c>
      <c r="UJW48" s="84" t="str">
        <f>IF(ISNUMBER(outYear),UJW37+UJW42+#REF!+#REF!,"")</f>
        <v/>
      </c>
      <c r="UJX48" s="84" t="str">
        <f>IF(ISNUMBER(outYear),UJX37+UJX42+#REF!+#REF!,"")</f>
        <v/>
      </c>
      <c r="UJY48" s="84" t="str">
        <f>IF(ISNUMBER(outYear),UJY37+UJY42+#REF!+#REF!,"")</f>
        <v/>
      </c>
      <c r="UJZ48" s="84" t="str">
        <f>IF(ISNUMBER(outYear),UJZ37+UJZ42+#REF!+#REF!,"")</f>
        <v/>
      </c>
      <c r="UKA48" s="84" t="str">
        <f>IF(ISNUMBER(outYear),UKA37+UKA42+#REF!+#REF!,"")</f>
        <v/>
      </c>
      <c r="UKB48" s="84" t="str">
        <f>IF(ISNUMBER(outYear),UKB37+UKB42+#REF!+#REF!,"")</f>
        <v/>
      </c>
      <c r="UKC48" s="84" t="str">
        <f>IF(ISNUMBER(outYear),UKC37+UKC42+#REF!+#REF!,"")</f>
        <v/>
      </c>
      <c r="UKD48" s="84" t="str">
        <f>IF(ISNUMBER(outYear),UKD37+UKD42+#REF!+#REF!,"")</f>
        <v/>
      </c>
      <c r="UKE48" s="84" t="str">
        <f>IF(ISNUMBER(outYear),UKE37+UKE42+#REF!+#REF!,"")</f>
        <v/>
      </c>
      <c r="UKF48" s="84" t="str">
        <f>IF(ISNUMBER(outYear),UKF37+UKF42+#REF!+#REF!,"")</f>
        <v/>
      </c>
      <c r="UKG48" s="84" t="str">
        <f>IF(ISNUMBER(outYear),UKG37+UKG42+#REF!+#REF!,"")</f>
        <v/>
      </c>
      <c r="UKH48" s="84" t="str">
        <f>IF(ISNUMBER(outYear),UKH37+UKH42+#REF!+#REF!,"")</f>
        <v/>
      </c>
      <c r="UKI48" s="84" t="str">
        <f>IF(ISNUMBER(outYear),UKI37+UKI42+#REF!+#REF!,"")</f>
        <v/>
      </c>
      <c r="UKJ48" s="84" t="str">
        <f>IF(ISNUMBER(outYear),UKJ37+UKJ42+#REF!+#REF!,"")</f>
        <v/>
      </c>
      <c r="UKK48" s="84" t="str">
        <f>IF(ISNUMBER(outYear),UKK37+UKK42+#REF!+#REF!,"")</f>
        <v/>
      </c>
      <c r="UKL48" s="84" t="str">
        <f>IF(ISNUMBER(outYear),UKL37+UKL42+#REF!+#REF!,"")</f>
        <v/>
      </c>
      <c r="UKM48" s="84" t="str">
        <f>IF(ISNUMBER(outYear),UKM37+UKM42+#REF!+#REF!,"")</f>
        <v/>
      </c>
      <c r="UKN48" s="84" t="str">
        <f>IF(ISNUMBER(outYear),UKN37+UKN42+#REF!+#REF!,"")</f>
        <v/>
      </c>
      <c r="UKO48" s="84" t="str">
        <f>IF(ISNUMBER(outYear),UKO37+UKO42+#REF!+#REF!,"")</f>
        <v/>
      </c>
      <c r="UKP48" s="84" t="str">
        <f>IF(ISNUMBER(outYear),UKP37+UKP42+#REF!+#REF!,"")</f>
        <v/>
      </c>
      <c r="UKQ48" s="84" t="str">
        <f>IF(ISNUMBER(outYear),UKQ37+UKQ42+#REF!+#REF!,"")</f>
        <v/>
      </c>
      <c r="UKR48" s="84" t="str">
        <f>IF(ISNUMBER(outYear),UKR37+UKR42+#REF!+#REF!,"")</f>
        <v/>
      </c>
      <c r="UKS48" s="84" t="str">
        <f>IF(ISNUMBER(outYear),UKS37+UKS42+#REF!+#REF!,"")</f>
        <v/>
      </c>
      <c r="UKT48" s="84" t="str">
        <f>IF(ISNUMBER(outYear),UKT37+UKT42+#REF!+#REF!,"")</f>
        <v/>
      </c>
      <c r="UKU48" s="84" t="str">
        <f>IF(ISNUMBER(outYear),UKU37+UKU42+#REF!+#REF!,"")</f>
        <v/>
      </c>
      <c r="UKV48" s="84" t="str">
        <f>IF(ISNUMBER(outYear),UKV37+UKV42+#REF!+#REF!,"")</f>
        <v/>
      </c>
      <c r="UKW48" s="84" t="str">
        <f>IF(ISNUMBER(outYear),UKW37+UKW42+#REF!+#REF!,"")</f>
        <v/>
      </c>
      <c r="UKX48" s="84" t="str">
        <f>IF(ISNUMBER(outYear),UKX37+UKX42+#REF!+#REF!,"")</f>
        <v/>
      </c>
      <c r="UKY48" s="84" t="str">
        <f>IF(ISNUMBER(outYear),UKY37+UKY42+#REF!+#REF!,"")</f>
        <v/>
      </c>
      <c r="UKZ48" s="84" t="str">
        <f>IF(ISNUMBER(outYear),UKZ37+UKZ42+#REF!+#REF!,"")</f>
        <v/>
      </c>
      <c r="ULA48" s="84" t="str">
        <f>IF(ISNUMBER(outYear),ULA37+ULA42+#REF!+#REF!,"")</f>
        <v/>
      </c>
      <c r="ULB48" s="84" t="str">
        <f>IF(ISNUMBER(outYear),ULB37+ULB42+#REF!+#REF!,"")</f>
        <v/>
      </c>
      <c r="ULC48" s="84" t="str">
        <f>IF(ISNUMBER(outYear),ULC37+ULC42+#REF!+#REF!,"")</f>
        <v/>
      </c>
      <c r="ULD48" s="84" t="str">
        <f>IF(ISNUMBER(outYear),ULD37+ULD42+#REF!+#REF!,"")</f>
        <v/>
      </c>
      <c r="ULE48" s="84" t="str">
        <f>IF(ISNUMBER(outYear),ULE37+ULE42+#REF!+#REF!,"")</f>
        <v/>
      </c>
      <c r="ULF48" s="84" t="str">
        <f>IF(ISNUMBER(outYear),ULF37+ULF42+#REF!+#REF!,"")</f>
        <v/>
      </c>
      <c r="ULG48" s="84" t="str">
        <f>IF(ISNUMBER(outYear),ULG37+ULG42+#REF!+#REF!,"")</f>
        <v/>
      </c>
      <c r="ULH48" s="84" t="str">
        <f>IF(ISNUMBER(outYear),ULH37+ULH42+#REF!+#REF!,"")</f>
        <v/>
      </c>
      <c r="ULI48" s="84" t="str">
        <f>IF(ISNUMBER(outYear),ULI37+ULI42+#REF!+#REF!,"")</f>
        <v/>
      </c>
      <c r="ULJ48" s="84" t="str">
        <f>IF(ISNUMBER(outYear),ULJ37+ULJ42+#REF!+#REF!,"")</f>
        <v/>
      </c>
      <c r="ULK48" s="84" t="str">
        <f>IF(ISNUMBER(outYear),ULK37+ULK42+#REF!+#REF!,"")</f>
        <v/>
      </c>
      <c r="ULL48" s="84" t="str">
        <f>IF(ISNUMBER(outYear),ULL37+ULL42+#REF!+#REF!,"")</f>
        <v/>
      </c>
      <c r="ULM48" s="84" t="str">
        <f>IF(ISNUMBER(outYear),ULM37+ULM42+#REF!+#REF!,"")</f>
        <v/>
      </c>
      <c r="ULN48" s="84" t="str">
        <f>IF(ISNUMBER(outYear),ULN37+ULN42+#REF!+#REF!,"")</f>
        <v/>
      </c>
      <c r="ULO48" s="84" t="str">
        <f>IF(ISNUMBER(outYear),ULO37+ULO42+#REF!+#REF!,"")</f>
        <v/>
      </c>
      <c r="ULP48" s="84" t="str">
        <f>IF(ISNUMBER(outYear),ULP37+ULP42+#REF!+#REF!,"")</f>
        <v/>
      </c>
      <c r="ULQ48" s="84" t="str">
        <f>IF(ISNUMBER(outYear),ULQ37+ULQ42+#REF!+#REF!,"")</f>
        <v/>
      </c>
      <c r="ULR48" s="84" t="str">
        <f>IF(ISNUMBER(outYear),ULR37+ULR42+#REF!+#REF!,"")</f>
        <v/>
      </c>
      <c r="ULS48" s="84" t="str">
        <f>IF(ISNUMBER(outYear),ULS37+ULS42+#REF!+#REF!,"")</f>
        <v/>
      </c>
      <c r="ULT48" s="84" t="str">
        <f>IF(ISNUMBER(outYear),ULT37+ULT42+#REF!+#REF!,"")</f>
        <v/>
      </c>
      <c r="ULU48" s="84" t="str">
        <f>IF(ISNUMBER(outYear),ULU37+ULU42+#REF!+#REF!,"")</f>
        <v/>
      </c>
      <c r="ULV48" s="84" t="str">
        <f>IF(ISNUMBER(outYear),ULV37+ULV42+#REF!+#REF!,"")</f>
        <v/>
      </c>
      <c r="ULW48" s="84" t="str">
        <f>IF(ISNUMBER(outYear),ULW37+ULW42+#REF!+#REF!,"")</f>
        <v/>
      </c>
      <c r="ULX48" s="84" t="str">
        <f>IF(ISNUMBER(outYear),ULX37+ULX42+#REF!+#REF!,"")</f>
        <v/>
      </c>
      <c r="ULY48" s="84" t="str">
        <f>IF(ISNUMBER(outYear),ULY37+ULY42+#REF!+#REF!,"")</f>
        <v/>
      </c>
      <c r="ULZ48" s="84" t="str">
        <f>IF(ISNUMBER(outYear),ULZ37+ULZ42+#REF!+#REF!,"")</f>
        <v/>
      </c>
      <c r="UMA48" s="84" t="str">
        <f>IF(ISNUMBER(outYear),UMA37+UMA42+#REF!+#REF!,"")</f>
        <v/>
      </c>
      <c r="UMB48" s="84" t="str">
        <f>IF(ISNUMBER(outYear),UMB37+UMB42+#REF!+#REF!,"")</f>
        <v/>
      </c>
      <c r="UMC48" s="84" t="str">
        <f>IF(ISNUMBER(outYear),UMC37+UMC42+#REF!+#REF!,"")</f>
        <v/>
      </c>
      <c r="UMD48" s="84" t="str">
        <f>IF(ISNUMBER(outYear),UMD37+UMD42+#REF!+#REF!,"")</f>
        <v/>
      </c>
      <c r="UME48" s="84" t="str">
        <f>IF(ISNUMBER(outYear),UME37+UME42+#REF!+#REF!,"")</f>
        <v/>
      </c>
      <c r="UMF48" s="84" t="str">
        <f>IF(ISNUMBER(outYear),UMF37+UMF42+#REF!+#REF!,"")</f>
        <v/>
      </c>
      <c r="UMG48" s="84" t="str">
        <f>IF(ISNUMBER(outYear),UMG37+UMG42+#REF!+#REF!,"")</f>
        <v/>
      </c>
      <c r="UMH48" s="84" t="str">
        <f>IF(ISNUMBER(outYear),UMH37+UMH42+#REF!+#REF!,"")</f>
        <v/>
      </c>
      <c r="UMI48" s="84" t="str">
        <f>IF(ISNUMBER(outYear),UMI37+UMI42+#REF!+#REF!,"")</f>
        <v/>
      </c>
      <c r="UMJ48" s="84" t="str">
        <f>IF(ISNUMBER(outYear),UMJ37+UMJ42+#REF!+#REF!,"")</f>
        <v/>
      </c>
      <c r="UMK48" s="84" t="str">
        <f>IF(ISNUMBER(outYear),UMK37+UMK42+#REF!+#REF!,"")</f>
        <v/>
      </c>
      <c r="UML48" s="84" t="str">
        <f>IF(ISNUMBER(outYear),UML37+UML42+#REF!+#REF!,"")</f>
        <v/>
      </c>
      <c r="UMM48" s="84" t="str">
        <f>IF(ISNUMBER(outYear),UMM37+UMM42+#REF!+#REF!,"")</f>
        <v/>
      </c>
      <c r="UMN48" s="84" t="str">
        <f>IF(ISNUMBER(outYear),UMN37+UMN42+#REF!+#REF!,"")</f>
        <v/>
      </c>
      <c r="UMO48" s="84" t="str">
        <f>IF(ISNUMBER(outYear),UMO37+UMO42+#REF!+#REF!,"")</f>
        <v/>
      </c>
      <c r="UMP48" s="84" t="str">
        <f>IF(ISNUMBER(outYear),UMP37+UMP42+#REF!+#REF!,"")</f>
        <v/>
      </c>
      <c r="UMQ48" s="84" t="str">
        <f>IF(ISNUMBER(outYear),UMQ37+UMQ42+#REF!+#REF!,"")</f>
        <v/>
      </c>
      <c r="UMR48" s="84" t="str">
        <f>IF(ISNUMBER(outYear),UMR37+UMR42+#REF!+#REF!,"")</f>
        <v/>
      </c>
      <c r="UMS48" s="84" t="str">
        <f>IF(ISNUMBER(outYear),UMS37+UMS42+#REF!+#REF!,"")</f>
        <v/>
      </c>
      <c r="UMT48" s="84" t="str">
        <f>IF(ISNUMBER(outYear),UMT37+UMT42+#REF!+#REF!,"")</f>
        <v/>
      </c>
      <c r="UMU48" s="84" t="str">
        <f>IF(ISNUMBER(outYear),UMU37+UMU42+#REF!+#REF!,"")</f>
        <v/>
      </c>
      <c r="UMV48" s="84" t="str">
        <f>IF(ISNUMBER(outYear),UMV37+UMV42+#REF!+#REF!,"")</f>
        <v/>
      </c>
      <c r="UMW48" s="84" t="str">
        <f>IF(ISNUMBER(outYear),UMW37+UMW42+#REF!+#REF!,"")</f>
        <v/>
      </c>
      <c r="UMX48" s="84" t="str">
        <f>IF(ISNUMBER(outYear),UMX37+UMX42+#REF!+#REF!,"")</f>
        <v/>
      </c>
      <c r="UMY48" s="84" t="str">
        <f>IF(ISNUMBER(outYear),UMY37+UMY42+#REF!+#REF!,"")</f>
        <v/>
      </c>
      <c r="UMZ48" s="84" t="str">
        <f>IF(ISNUMBER(outYear),UMZ37+UMZ42+#REF!+#REF!,"")</f>
        <v/>
      </c>
      <c r="UNA48" s="84" t="str">
        <f>IF(ISNUMBER(outYear),UNA37+UNA42+#REF!+#REF!,"")</f>
        <v/>
      </c>
      <c r="UNB48" s="84" t="str">
        <f>IF(ISNUMBER(outYear),UNB37+UNB42+#REF!+#REF!,"")</f>
        <v/>
      </c>
      <c r="UNC48" s="84" t="str">
        <f>IF(ISNUMBER(outYear),UNC37+UNC42+#REF!+#REF!,"")</f>
        <v/>
      </c>
      <c r="UND48" s="84" t="str">
        <f>IF(ISNUMBER(outYear),UND37+UND42+#REF!+#REF!,"")</f>
        <v/>
      </c>
      <c r="UNE48" s="84" t="str">
        <f>IF(ISNUMBER(outYear),UNE37+UNE42+#REF!+#REF!,"")</f>
        <v/>
      </c>
      <c r="UNF48" s="84" t="str">
        <f>IF(ISNUMBER(outYear),UNF37+UNF42+#REF!+#REF!,"")</f>
        <v/>
      </c>
      <c r="UNG48" s="84" t="str">
        <f>IF(ISNUMBER(outYear),UNG37+UNG42+#REF!+#REF!,"")</f>
        <v/>
      </c>
      <c r="UNH48" s="84" t="str">
        <f>IF(ISNUMBER(outYear),UNH37+UNH42+#REF!+#REF!,"")</f>
        <v/>
      </c>
      <c r="UNI48" s="84" t="str">
        <f>IF(ISNUMBER(outYear),UNI37+UNI42+#REF!+#REF!,"")</f>
        <v/>
      </c>
      <c r="UNJ48" s="84" t="str">
        <f>IF(ISNUMBER(outYear),UNJ37+UNJ42+#REF!+#REF!,"")</f>
        <v/>
      </c>
      <c r="UNK48" s="84" t="str">
        <f>IF(ISNUMBER(outYear),UNK37+UNK42+#REF!+#REF!,"")</f>
        <v/>
      </c>
      <c r="UNL48" s="84" t="str">
        <f>IF(ISNUMBER(outYear),UNL37+UNL42+#REF!+#REF!,"")</f>
        <v/>
      </c>
      <c r="UNM48" s="84" t="str">
        <f>IF(ISNUMBER(outYear),UNM37+UNM42+#REF!+#REF!,"")</f>
        <v/>
      </c>
      <c r="UNN48" s="84" t="str">
        <f>IF(ISNUMBER(outYear),UNN37+UNN42+#REF!+#REF!,"")</f>
        <v/>
      </c>
      <c r="UNO48" s="84" t="str">
        <f>IF(ISNUMBER(outYear),UNO37+UNO42+#REF!+#REF!,"")</f>
        <v/>
      </c>
      <c r="UNP48" s="84" t="str">
        <f>IF(ISNUMBER(outYear),UNP37+UNP42+#REF!+#REF!,"")</f>
        <v/>
      </c>
      <c r="UNQ48" s="84" t="str">
        <f>IF(ISNUMBER(outYear),UNQ37+UNQ42+#REF!+#REF!,"")</f>
        <v/>
      </c>
      <c r="UNR48" s="84" t="str">
        <f>IF(ISNUMBER(outYear),UNR37+UNR42+#REF!+#REF!,"")</f>
        <v/>
      </c>
      <c r="UNS48" s="84" t="str">
        <f>IF(ISNUMBER(outYear),UNS37+UNS42+#REF!+#REF!,"")</f>
        <v/>
      </c>
      <c r="UNT48" s="84" t="str">
        <f>IF(ISNUMBER(outYear),UNT37+UNT42+#REF!+#REF!,"")</f>
        <v/>
      </c>
      <c r="UNU48" s="84" t="str">
        <f>IF(ISNUMBER(outYear),UNU37+UNU42+#REF!+#REF!,"")</f>
        <v/>
      </c>
      <c r="UNV48" s="84" t="str">
        <f>IF(ISNUMBER(outYear),UNV37+UNV42+#REF!+#REF!,"")</f>
        <v/>
      </c>
      <c r="UNW48" s="84" t="str">
        <f>IF(ISNUMBER(outYear),UNW37+UNW42+#REF!+#REF!,"")</f>
        <v/>
      </c>
      <c r="UNX48" s="84" t="str">
        <f>IF(ISNUMBER(outYear),UNX37+UNX42+#REF!+#REF!,"")</f>
        <v/>
      </c>
      <c r="UNY48" s="84" t="str">
        <f>IF(ISNUMBER(outYear),UNY37+UNY42+#REF!+#REF!,"")</f>
        <v/>
      </c>
      <c r="UNZ48" s="84" t="str">
        <f>IF(ISNUMBER(outYear),UNZ37+UNZ42+#REF!+#REF!,"")</f>
        <v/>
      </c>
      <c r="UOA48" s="84" t="str">
        <f>IF(ISNUMBER(outYear),UOA37+UOA42+#REF!+#REF!,"")</f>
        <v/>
      </c>
      <c r="UOB48" s="84" t="str">
        <f>IF(ISNUMBER(outYear),UOB37+UOB42+#REF!+#REF!,"")</f>
        <v/>
      </c>
      <c r="UOC48" s="84" t="str">
        <f>IF(ISNUMBER(outYear),UOC37+UOC42+#REF!+#REF!,"")</f>
        <v/>
      </c>
      <c r="UOD48" s="84" t="str">
        <f>IF(ISNUMBER(outYear),UOD37+UOD42+#REF!+#REF!,"")</f>
        <v/>
      </c>
      <c r="UOE48" s="84" t="str">
        <f>IF(ISNUMBER(outYear),UOE37+UOE42+#REF!+#REF!,"")</f>
        <v/>
      </c>
      <c r="UOF48" s="84" t="str">
        <f>IF(ISNUMBER(outYear),UOF37+UOF42+#REF!+#REF!,"")</f>
        <v/>
      </c>
      <c r="UOG48" s="84" t="str">
        <f>IF(ISNUMBER(outYear),UOG37+UOG42+#REF!+#REF!,"")</f>
        <v/>
      </c>
      <c r="UOH48" s="84" t="str">
        <f>IF(ISNUMBER(outYear),UOH37+UOH42+#REF!+#REF!,"")</f>
        <v/>
      </c>
      <c r="UOI48" s="84" t="str">
        <f>IF(ISNUMBER(outYear),UOI37+UOI42+#REF!+#REF!,"")</f>
        <v/>
      </c>
      <c r="UOJ48" s="84" t="str">
        <f>IF(ISNUMBER(outYear),UOJ37+UOJ42+#REF!+#REF!,"")</f>
        <v/>
      </c>
      <c r="UOK48" s="84" t="str">
        <f>IF(ISNUMBER(outYear),UOK37+UOK42+#REF!+#REF!,"")</f>
        <v/>
      </c>
      <c r="UOL48" s="84" t="str">
        <f>IF(ISNUMBER(outYear),UOL37+UOL42+#REF!+#REF!,"")</f>
        <v/>
      </c>
      <c r="UOM48" s="84" t="str">
        <f>IF(ISNUMBER(outYear),UOM37+UOM42+#REF!+#REF!,"")</f>
        <v/>
      </c>
      <c r="UON48" s="84" t="str">
        <f>IF(ISNUMBER(outYear),UON37+UON42+#REF!+#REF!,"")</f>
        <v/>
      </c>
      <c r="UOO48" s="84" t="str">
        <f>IF(ISNUMBER(outYear),UOO37+UOO42+#REF!+#REF!,"")</f>
        <v/>
      </c>
      <c r="UOP48" s="84" t="str">
        <f>IF(ISNUMBER(outYear),UOP37+UOP42+#REF!+#REF!,"")</f>
        <v/>
      </c>
      <c r="UOQ48" s="84" t="str">
        <f>IF(ISNUMBER(outYear),UOQ37+UOQ42+#REF!+#REF!,"")</f>
        <v/>
      </c>
      <c r="UOR48" s="84" t="str">
        <f>IF(ISNUMBER(outYear),UOR37+UOR42+#REF!+#REF!,"")</f>
        <v/>
      </c>
      <c r="UOS48" s="84" t="str">
        <f>IF(ISNUMBER(outYear),UOS37+UOS42+#REF!+#REF!,"")</f>
        <v/>
      </c>
      <c r="UOT48" s="84" t="str">
        <f>IF(ISNUMBER(outYear),UOT37+UOT42+#REF!+#REF!,"")</f>
        <v/>
      </c>
      <c r="UOU48" s="84" t="str">
        <f>IF(ISNUMBER(outYear),UOU37+UOU42+#REF!+#REF!,"")</f>
        <v/>
      </c>
      <c r="UOV48" s="84" t="str">
        <f>IF(ISNUMBER(outYear),UOV37+UOV42+#REF!+#REF!,"")</f>
        <v/>
      </c>
      <c r="UOW48" s="84" t="str">
        <f>IF(ISNUMBER(outYear),UOW37+UOW42+#REF!+#REF!,"")</f>
        <v/>
      </c>
      <c r="UOX48" s="84" t="str">
        <f>IF(ISNUMBER(outYear),UOX37+UOX42+#REF!+#REF!,"")</f>
        <v/>
      </c>
      <c r="UOY48" s="84" t="str">
        <f>IF(ISNUMBER(outYear),UOY37+UOY42+#REF!+#REF!,"")</f>
        <v/>
      </c>
      <c r="UOZ48" s="84" t="str">
        <f>IF(ISNUMBER(outYear),UOZ37+UOZ42+#REF!+#REF!,"")</f>
        <v/>
      </c>
      <c r="UPA48" s="84" t="str">
        <f>IF(ISNUMBER(outYear),UPA37+UPA42+#REF!+#REF!,"")</f>
        <v/>
      </c>
      <c r="UPB48" s="84" t="str">
        <f>IF(ISNUMBER(outYear),UPB37+UPB42+#REF!+#REF!,"")</f>
        <v/>
      </c>
      <c r="UPC48" s="84" t="str">
        <f>IF(ISNUMBER(outYear),UPC37+UPC42+#REF!+#REF!,"")</f>
        <v/>
      </c>
      <c r="UPD48" s="84" t="str">
        <f>IF(ISNUMBER(outYear),UPD37+UPD42+#REF!+#REF!,"")</f>
        <v/>
      </c>
      <c r="UPE48" s="84" t="str">
        <f>IF(ISNUMBER(outYear),UPE37+UPE42+#REF!+#REF!,"")</f>
        <v/>
      </c>
      <c r="UPF48" s="84" t="str">
        <f>IF(ISNUMBER(outYear),UPF37+UPF42+#REF!+#REF!,"")</f>
        <v/>
      </c>
      <c r="UPG48" s="84" t="str">
        <f>IF(ISNUMBER(outYear),UPG37+UPG42+#REF!+#REF!,"")</f>
        <v/>
      </c>
      <c r="UPH48" s="84" t="str">
        <f>IF(ISNUMBER(outYear),UPH37+UPH42+#REF!+#REF!,"")</f>
        <v/>
      </c>
      <c r="UPI48" s="84" t="str">
        <f>IF(ISNUMBER(outYear),UPI37+UPI42+#REF!+#REF!,"")</f>
        <v/>
      </c>
      <c r="UPJ48" s="84" t="str">
        <f>IF(ISNUMBER(outYear),UPJ37+UPJ42+#REF!+#REF!,"")</f>
        <v/>
      </c>
      <c r="UPK48" s="84" t="str">
        <f>IF(ISNUMBER(outYear),UPK37+UPK42+#REF!+#REF!,"")</f>
        <v/>
      </c>
      <c r="UPL48" s="84" t="str">
        <f>IF(ISNUMBER(outYear),UPL37+UPL42+#REF!+#REF!,"")</f>
        <v/>
      </c>
      <c r="UPM48" s="84" t="str">
        <f>IF(ISNUMBER(outYear),UPM37+UPM42+#REF!+#REF!,"")</f>
        <v/>
      </c>
      <c r="UPN48" s="84" t="str">
        <f>IF(ISNUMBER(outYear),UPN37+UPN42+#REF!+#REF!,"")</f>
        <v/>
      </c>
      <c r="UPO48" s="84" t="str">
        <f>IF(ISNUMBER(outYear),UPO37+UPO42+#REF!+#REF!,"")</f>
        <v/>
      </c>
      <c r="UPP48" s="84" t="str">
        <f>IF(ISNUMBER(outYear),UPP37+UPP42+#REF!+#REF!,"")</f>
        <v/>
      </c>
      <c r="UPQ48" s="84" t="str">
        <f>IF(ISNUMBER(outYear),UPQ37+UPQ42+#REF!+#REF!,"")</f>
        <v/>
      </c>
      <c r="UPR48" s="84" t="str">
        <f>IF(ISNUMBER(outYear),UPR37+UPR42+#REF!+#REF!,"")</f>
        <v/>
      </c>
      <c r="UPS48" s="84" t="str">
        <f>IF(ISNUMBER(outYear),UPS37+UPS42+#REF!+#REF!,"")</f>
        <v/>
      </c>
      <c r="UPT48" s="84" t="str">
        <f>IF(ISNUMBER(outYear),UPT37+UPT42+#REF!+#REF!,"")</f>
        <v/>
      </c>
      <c r="UPU48" s="84" t="str">
        <f>IF(ISNUMBER(outYear),UPU37+UPU42+#REF!+#REF!,"")</f>
        <v/>
      </c>
      <c r="UPV48" s="84" t="str">
        <f>IF(ISNUMBER(outYear),UPV37+UPV42+#REF!+#REF!,"")</f>
        <v/>
      </c>
      <c r="UPW48" s="84" t="str">
        <f>IF(ISNUMBER(outYear),UPW37+UPW42+#REF!+#REF!,"")</f>
        <v/>
      </c>
      <c r="UPX48" s="84" t="str">
        <f>IF(ISNUMBER(outYear),UPX37+UPX42+#REF!+#REF!,"")</f>
        <v/>
      </c>
      <c r="UPY48" s="84" t="str">
        <f>IF(ISNUMBER(outYear),UPY37+UPY42+#REF!+#REF!,"")</f>
        <v/>
      </c>
      <c r="UPZ48" s="84" t="str">
        <f>IF(ISNUMBER(outYear),UPZ37+UPZ42+#REF!+#REF!,"")</f>
        <v/>
      </c>
      <c r="UQA48" s="84" t="str">
        <f>IF(ISNUMBER(outYear),UQA37+UQA42+#REF!+#REF!,"")</f>
        <v/>
      </c>
      <c r="UQB48" s="84" t="str">
        <f>IF(ISNUMBER(outYear),UQB37+UQB42+#REF!+#REF!,"")</f>
        <v/>
      </c>
      <c r="UQC48" s="84" t="str">
        <f>IF(ISNUMBER(outYear),UQC37+UQC42+#REF!+#REF!,"")</f>
        <v/>
      </c>
      <c r="UQD48" s="84" t="str">
        <f>IF(ISNUMBER(outYear),UQD37+UQD42+#REF!+#REF!,"")</f>
        <v/>
      </c>
      <c r="UQE48" s="84" t="str">
        <f>IF(ISNUMBER(outYear),UQE37+UQE42+#REF!+#REF!,"")</f>
        <v/>
      </c>
      <c r="UQF48" s="84" t="str">
        <f>IF(ISNUMBER(outYear),UQF37+UQF42+#REF!+#REF!,"")</f>
        <v/>
      </c>
      <c r="UQG48" s="84" t="str">
        <f>IF(ISNUMBER(outYear),UQG37+UQG42+#REF!+#REF!,"")</f>
        <v/>
      </c>
      <c r="UQH48" s="84" t="str">
        <f>IF(ISNUMBER(outYear),UQH37+UQH42+#REF!+#REF!,"")</f>
        <v/>
      </c>
      <c r="UQI48" s="84" t="str">
        <f>IF(ISNUMBER(outYear),UQI37+UQI42+#REF!+#REF!,"")</f>
        <v/>
      </c>
      <c r="UQJ48" s="84" t="str">
        <f>IF(ISNUMBER(outYear),UQJ37+UQJ42+#REF!+#REF!,"")</f>
        <v/>
      </c>
      <c r="UQK48" s="84" t="str">
        <f>IF(ISNUMBER(outYear),UQK37+UQK42+#REF!+#REF!,"")</f>
        <v/>
      </c>
      <c r="UQL48" s="84" t="str">
        <f>IF(ISNUMBER(outYear),UQL37+UQL42+#REF!+#REF!,"")</f>
        <v/>
      </c>
      <c r="UQM48" s="84" t="str">
        <f>IF(ISNUMBER(outYear),UQM37+UQM42+#REF!+#REF!,"")</f>
        <v/>
      </c>
      <c r="UQN48" s="84" t="str">
        <f>IF(ISNUMBER(outYear),UQN37+UQN42+#REF!+#REF!,"")</f>
        <v/>
      </c>
      <c r="UQO48" s="84" t="str">
        <f>IF(ISNUMBER(outYear),UQO37+UQO42+#REF!+#REF!,"")</f>
        <v/>
      </c>
      <c r="UQP48" s="84" t="str">
        <f>IF(ISNUMBER(outYear),UQP37+UQP42+#REF!+#REF!,"")</f>
        <v/>
      </c>
      <c r="UQQ48" s="84" t="str">
        <f>IF(ISNUMBER(outYear),UQQ37+UQQ42+#REF!+#REF!,"")</f>
        <v/>
      </c>
      <c r="UQR48" s="84" t="str">
        <f>IF(ISNUMBER(outYear),UQR37+UQR42+#REF!+#REF!,"")</f>
        <v/>
      </c>
      <c r="UQS48" s="84" t="str">
        <f>IF(ISNUMBER(outYear),UQS37+UQS42+#REF!+#REF!,"")</f>
        <v/>
      </c>
      <c r="UQT48" s="84" t="str">
        <f>IF(ISNUMBER(outYear),UQT37+UQT42+#REF!+#REF!,"")</f>
        <v/>
      </c>
      <c r="UQU48" s="84" t="str">
        <f>IF(ISNUMBER(outYear),UQU37+UQU42+#REF!+#REF!,"")</f>
        <v/>
      </c>
      <c r="UQV48" s="84" t="str">
        <f>IF(ISNUMBER(outYear),UQV37+UQV42+#REF!+#REF!,"")</f>
        <v/>
      </c>
      <c r="UQW48" s="84" t="str">
        <f>IF(ISNUMBER(outYear),UQW37+UQW42+#REF!+#REF!,"")</f>
        <v/>
      </c>
      <c r="UQX48" s="84" t="str">
        <f>IF(ISNUMBER(outYear),UQX37+UQX42+#REF!+#REF!,"")</f>
        <v/>
      </c>
      <c r="UQY48" s="84" t="str">
        <f>IF(ISNUMBER(outYear),UQY37+UQY42+#REF!+#REF!,"")</f>
        <v/>
      </c>
      <c r="UQZ48" s="84" t="str">
        <f>IF(ISNUMBER(outYear),UQZ37+UQZ42+#REF!+#REF!,"")</f>
        <v/>
      </c>
      <c r="URA48" s="84" t="str">
        <f>IF(ISNUMBER(outYear),URA37+URA42+#REF!+#REF!,"")</f>
        <v/>
      </c>
      <c r="URB48" s="84" t="str">
        <f>IF(ISNUMBER(outYear),URB37+URB42+#REF!+#REF!,"")</f>
        <v/>
      </c>
      <c r="URC48" s="84" t="str">
        <f>IF(ISNUMBER(outYear),URC37+URC42+#REF!+#REF!,"")</f>
        <v/>
      </c>
      <c r="URD48" s="84" t="str">
        <f>IF(ISNUMBER(outYear),URD37+URD42+#REF!+#REF!,"")</f>
        <v/>
      </c>
      <c r="URE48" s="84" t="str">
        <f>IF(ISNUMBER(outYear),URE37+URE42+#REF!+#REF!,"")</f>
        <v/>
      </c>
      <c r="URF48" s="84" t="str">
        <f>IF(ISNUMBER(outYear),URF37+URF42+#REF!+#REF!,"")</f>
        <v/>
      </c>
      <c r="URG48" s="84" t="str">
        <f>IF(ISNUMBER(outYear),URG37+URG42+#REF!+#REF!,"")</f>
        <v/>
      </c>
      <c r="URH48" s="84" t="str">
        <f>IF(ISNUMBER(outYear),URH37+URH42+#REF!+#REF!,"")</f>
        <v/>
      </c>
      <c r="URI48" s="84" t="str">
        <f>IF(ISNUMBER(outYear),URI37+URI42+#REF!+#REF!,"")</f>
        <v/>
      </c>
      <c r="URJ48" s="84" t="str">
        <f>IF(ISNUMBER(outYear),URJ37+URJ42+#REF!+#REF!,"")</f>
        <v/>
      </c>
      <c r="URK48" s="84" t="str">
        <f>IF(ISNUMBER(outYear),URK37+URK42+#REF!+#REF!,"")</f>
        <v/>
      </c>
      <c r="URL48" s="84" t="str">
        <f>IF(ISNUMBER(outYear),URL37+URL42+#REF!+#REF!,"")</f>
        <v/>
      </c>
      <c r="URM48" s="84" t="str">
        <f>IF(ISNUMBER(outYear),URM37+URM42+#REF!+#REF!,"")</f>
        <v/>
      </c>
      <c r="URN48" s="84" t="str">
        <f>IF(ISNUMBER(outYear),URN37+URN42+#REF!+#REF!,"")</f>
        <v/>
      </c>
      <c r="URO48" s="84" t="str">
        <f>IF(ISNUMBER(outYear),URO37+URO42+#REF!+#REF!,"")</f>
        <v/>
      </c>
      <c r="URP48" s="84" t="str">
        <f>IF(ISNUMBER(outYear),URP37+URP42+#REF!+#REF!,"")</f>
        <v/>
      </c>
      <c r="URQ48" s="84" t="str">
        <f>IF(ISNUMBER(outYear),URQ37+URQ42+#REF!+#REF!,"")</f>
        <v/>
      </c>
      <c r="URR48" s="84" t="str">
        <f>IF(ISNUMBER(outYear),URR37+URR42+#REF!+#REF!,"")</f>
        <v/>
      </c>
      <c r="URS48" s="84" t="str">
        <f>IF(ISNUMBER(outYear),URS37+URS42+#REF!+#REF!,"")</f>
        <v/>
      </c>
      <c r="URT48" s="84" t="str">
        <f>IF(ISNUMBER(outYear),URT37+URT42+#REF!+#REF!,"")</f>
        <v/>
      </c>
      <c r="URU48" s="84" t="str">
        <f>IF(ISNUMBER(outYear),URU37+URU42+#REF!+#REF!,"")</f>
        <v/>
      </c>
      <c r="URV48" s="84" t="str">
        <f>IF(ISNUMBER(outYear),URV37+URV42+#REF!+#REF!,"")</f>
        <v/>
      </c>
      <c r="URW48" s="84" t="str">
        <f>IF(ISNUMBER(outYear),URW37+URW42+#REF!+#REF!,"")</f>
        <v/>
      </c>
      <c r="URX48" s="84" t="str">
        <f>IF(ISNUMBER(outYear),URX37+URX42+#REF!+#REF!,"")</f>
        <v/>
      </c>
      <c r="URY48" s="84" t="str">
        <f>IF(ISNUMBER(outYear),URY37+URY42+#REF!+#REF!,"")</f>
        <v/>
      </c>
      <c r="URZ48" s="84" t="str">
        <f>IF(ISNUMBER(outYear),URZ37+URZ42+#REF!+#REF!,"")</f>
        <v/>
      </c>
      <c r="USA48" s="84" t="str">
        <f>IF(ISNUMBER(outYear),USA37+USA42+#REF!+#REF!,"")</f>
        <v/>
      </c>
      <c r="USB48" s="84" t="str">
        <f>IF(ISNUMBER(outYear),USB37+USB42+#REF!+#REF!,"")</f>
        <v/>
      </c>
      <c r="USC48" s="84" t="str">
        <f>IF(ISNUMBER(outYear),USC37+USC42+#REF!+#REF!,"")</f>
        <v/>
      </c>
      <c r="USD48" s="84" t="str">
        <f>IF(ISNUMBER(outYear),USD37+USD42+#REF!+#REF!,"")</f>
        <v/>
      </c>
      <c r="USE48" s="84" t="str">
        <f>IF(ISNUMBER(outYear),USE37+USE42+#REF!+#REF!,"")</f>
        <v/>
      </c>
      <c r="USF48" s="84" t="str">
        <f>IF(ISNUMBER(outYear),USF37+USF42+#REF!+#REF!,"")</f>
        <v/>
      </c>
      <c r="USG48" s="84" t="str">
        <f>IF(ISNUMBER(outYear),USG37+USG42+#REF!+#REF!,"")</f>
        <v/>
      </c>
      <c r="USH48" s="84" t="str">
        <f>IF(ISNUMBER(outYear),USH37+USH42+#REF!+#REF!,"")</f>
        <v/>
      </c>
      <c r="USI48" s="84" t="str">
        <f>IF(ISNUMBER(outYear),USI37+USI42+#REF!+#REF!,"")</f>
        <v/>
      </c>
      <c r="USJ48" s="84" t="str">
        <f>IF(ISNUMBER(outYear),USJ37+USJ42+#REF!+#REF!,"")</f>
        <v/>
      </c>
      <c r="USK48" s="84" t="str">
        <f>IF(ISNUMBER(outYear),USK37+USK42+#REF!+#REF!,"")</f>
        <v/>
      </c>
      <c r="USL48" s="84" t="str">
        <f>IF(ISNUMBER(outYear),USL37+USL42+#REF!+#REF!,"")</f>
        <v/>
      </c>
      <c r="USM48" s="84" t="str">
        <f>IF(ISNUMBER(outYear),USM37+USM42+#REF!+#REF!,"")</f>
        <v/>
      </c>
      <c r="USN48" s="84" t="str">
        <f>IF(ISNUMBER(outYear),USN37+USN42+#REF!+#REF!,"")</f>
        <v/>
      </c>
      <c r="USO48" s="84" t="str">
        <f>IF(ISNUMBER(outYear),USO37+USO42+#REF!+#REF!,"")</f>
        <v/>
      </c>
      <c r="USP48" s="84" t="str">
        <f>IF(ISNUMBER(outYear),USP37+USP42+#REF!+#REF!,"")</f>
        <v/>
      </c>
      <c r="USQ48" s="84" t="str">
        <f>IF(ISNUMBER(outYear),USQ37+USQ42+#REF!+#REF!,"")</f>
        <v/>
      </c>
      <c r="USR48" s="84" t="str">
        <f>IF(ISNUMBER(outYear),USR37+USR42+#REF!+#REF!,"")</f>
        <v/>
      </c>
      <c r="USS48" s="84" t="str">
        <f>IF(ISNUMBER(outYear),USS37+USS42+#REF!+#REF!,"")</f>
        <v/>
      </c>
      <c r="UST48" s="84" t="str">
        <f>IF(ISNUMBER(outYear),UST37+UST42+#REF!+#REF!,"")</f>
        <v/>
      </c>
      <c r="USU48" s="84" t="str">
        <f>IF(ISNUMBER(outYear),USU37+USU42+#REF!+#REF!,"")</f>
        <v/>
      </c>
      <c r="USV48" s="84" t="str">
        <f>IF(ISNUMBER(outYear),USV37+USV42+#REF!+#REF!,"")</f>
        <v/>
      </c>
      <c r="USW48" s="84" t="str">
        <f>IF(ISNUMBER(outYear),USW37+USW42+#REF!+#REF!,"")</f>
        <v/>
      </c>
      <c r="USX48" s="84" t="str">
        <f>IF(ISNUMBER(outYear),USX37+USX42+#REF!+#REF!,"")</f>
        <v/>
      </c>
      <c r="USY48" s="84" t="str">
        <f>IF(ISNUMBER(outYear),USY37+USY42+#REF!+#REF!,"")</f>
        <v/>
      </c>
      <c r="USZ48" s="84" t="str">
        <f>IF(ISNUMBER(outYear),USZ37+USZ42+#REF!+#REF!,"")</f>
        <v/>
      </c>
      <c r="UTA48" s="84" t="str">
        <f>IF(ISNUMBER(outYear),UTA37+UTA42+#REF!+#REF!,"")</f>
        <v/>
      </c>
      <c r="UTB48" s="84" t="str">
        <f>IF(ISNUMBER(outYear),UTB37+UTB42+#REF!+#REF!,"")</f>
        <v/>
      </c>
      <c r="UTC48" s="84" t="str">
        <f>IF(ISNUMBER(outYear),UTC37+UTC42+#REF!+#REF!,"")</f>
        <v/>
      </c>
      <c r="UTD48" s="84" t="str">
        <f>IF(ISNUMBER(outYear),UTD37+UTD42+#REF!+#REF!,"")</f>
        <v/>
      </c>
      <c r="UTE48" s="84" t="str">
        <f>IF(ISNUMBER(outYear),UTE37+UTE42+#REF!+#REF!,"")</f>
        <v/>
      </c>
      <c r="UTF48" s="84" t="str">
        <f>IF(ISNUMBER(outYear),UTF37+UTF42+#REF!+#REF!,"")</f>
        <v/>
      </c>
      <c r="UTG48" s="84" t="str">
        <f>IF(ISNUMBER(outYear),UTG37+UTG42+#REF!+#REF!,"")</f>
        <v/>
      </c>
      <c r="UTH48" s="84" t="str">
        <f>IF(ISNUMBER(outYear),UTH37+UTH42+#REF!+#REF!,"")</f>
        <v/>
      </c>
      <c r="UTI48" s="84" t="str">
        <f>IF(ISNUMBER(outYear),UTI37+UTI42+#REF!+#REF!,"")</f>
        <v/>
      </c>
      <c r="UTJ48" s="84" t="str">
        <f>IF(ISNUMBER(outYear),UTJ37+UTJ42+#REF!+#REF!,"")</f>
        <v/>
      </c>
      <c r="UTK48" s="84" t="str">
        <f>IF(ISNUMBER(outYear),UTK37+UTK42+#REF!+#REF!,"")</f>
        <v/>
      </c>
      <c r="UTL48" s="84" t="str">
        <f>IF(ISNUMBER(outYear),UTL37+UTL42+#REF!+#REF!,"")</f>
        <v/>
      </c>
      <c r="UTM48" s="84" t="str">
        <f>IF(ISNUMBER(outYear),UTM37+UTM42+#REF!+#REF!,"")</f>
        <v/>
      </c>
      <c r="UTN48" s="84" t="str">
        <f>IF(ISNUMBER(outYear),UTN37+UTN42+#REF!+#REF!,"")</f>
        <v/>
      </c>
      <c r="UTO48" s="84" t="str">
        <f>IF(ISNUMBER(outYear),UTO37+UTO42+#REF!+#REF!,"")</f>
        <v/>
      </c>
      <c r="UTP48" s="84" t="str">
        <f>IF(ISNUMBER(outYear),UTP37+UTP42+#REF!+#REF!,"")</f>
        <v/>
      </c>
      <c r="UTQ48" s="84" t="str">
        <f>IF(ISNUMBER(outYear),UTQ37+UTQ42+#REF!+#REF!,"")</f>
        <v/>
      </c>
      <c r="UTR48" s="84" t="str">
        <f>IF(ISNUMBER(outYear),UTR37+UTR42+#REF!+#REF!,"")</f>
        <v/>
      </c>
      <c r="UTS48" s="84" t="str">
        <f>IF(ISNUMBER(outYear),UTS37+UTS42+#REF!+#REF!,"")</f>
        <v/>
      </c>
      <c r="UTT48" s="84" t="str">
        <f>IF(ISNUMBER(outYear),UTT37+UTT42+#REF!+#REF!,"")</f>
        <v/>
      </c>
      <c r="UTU48" s="84" t="str">
        <f>IF(ISNUMBER(outYear),UTU37+UTU42+#REF!+#REF!,"")</f>
        <v/>
      </c>
      <c r="UTV48" s="84" t="str">
        <f>IF(ISNUMBER(outYear),UTV37+UTV42+#REF!+#REF!,"")</f>
        <v/>
      </c>
      <c r="UTW48" s="84" t="str">
        <f>IF(ISNUMBER(outYear),UTW37+UTW42+#REF!+#REF!,"")</f>
        <v/>
      </c>
      <c r="UTX48" s="84" t="str">
        <f>IF(ISNUMBER(outYear),UTX37+UTX42+#REF!+#REF!,"")</f>
        <v/>
      </c>
      <c r="UTY48" s="84" t="str">
        <f>IF(ISNUMBER(outYear),UTY37+UTY42+#REF!+#REF!,"")</f>
        <v/>
      </c>
      <c r="UTZ48" s="84" t="str">
        <f>IF(ISNUMBER(outYear),UTZ37+UTZ42+#REF!+#REF!,"")</f>
        <v/>
      </c>
      <c r="UUA48" s="84" t="str">
        <f>IF(ISNUMBER(outYear),UUA37+UUA42+#REF!+#REF!,"")</f>
        <v/>
      </c>
      <c r="UUB48" s="84" t="str">
        <f>IF(ISNUMBER(outYear),UUB37+UUB42+#REF!+#REF!,"")</f>
        <v/>
      </c>
      <c r="UUC48" s="84" t="str">
        <f>IF(ISNUMBER(outYear),UUC37+UUC42+#REF!+#REF!,"")</f>
        <v/>
      </c>
      <c r="UUD48" s="84" t="str">
        <f>IF(ISNUMBER(outYear),UUD37+UUD42+#REF!+#REF!,"")</f>
        <v/>
      </c>
      <c r="UUE48" s="84" t="str">
        <f>IF(ISNUMBER(outYear),UUE37+UUE42+#REF!+#REF!,"")</f>
        <v/>
      </c>
      <c r="UUF48" s="84" t="str">
        <f>IF(ISNUMBER(outYear),UUF37+UUF42+#REF!+#REF!,"")</f>
        <v/>
      </c>
      <c r="UUG48" s="84" t="str">
        <f>IF(ISNUMBER(outYear),UUG37+UUG42+#REF!+#REF!,"")</f>
        <v/>
      </c>
      <c r="UUH48" s="84" t="str">
        <f>IF(ISNUMBER(outYear),UUH37+UUH42+#REF!+#REF!,"")</f>
        <v/>
      </c>
      <c r="UUI48" s="84" t="str">
        <f>IF(ISNUMBER(outYear),UUI37+UUI42+#REF!+#REF!,"")</f>
        <v/>
      </c>
      <c r="UUJ48" s="84" t="str">
        <f>IF(ISNUMBER(outYear),UUJ37+UUJ42+#REF!+#REF!,"")</f>
        <v/>
      </c>
      <c r="UUK48" s="84" t="str">
        <f>IF(ISNUMBER(outYear),UUK37+UUK42+#REF!+#REF!,"")</f>
        <v/>
      </c>
      <c r="UUL48" s="84" t="str">
        <f>IF(ISNUMBER(outYear),UUL37+UUL42+#REF!+#REF!,"")</f>
        <v/>
      </c>
      <c r="UUM48" s="84" t="str">
        <f>IF(ISNUMBER(outYear),UUM37+UUM42+#REF!+#REF!,"")</f>
        <v/>
      </c>
      <c r="UUN48" s="84" t="str">
        <f>IF(ISNUMBER(outYear),UUN37+UUN42+#REF!+#REF!,"")</f>
        <v/>
      </c>
      <c r="UUO48" s="84" t="str">
        <f>IF(ISNUMBER(outYear),UUO37+UUO42+#REF!+#REF!,"")</f>
        <v/>
      </c>
      <c r="UUP48" s="84" t="str">
        <f>IF(ISNUMBER(outYear),UUP37+UUP42+#REF!+#REF!,"")</f>
        <v/>
      </c>
      <c r="UUQ48" s="84" t="str">
        <f>IF(ISNUMBER(outYear),UUQ37+UUQ42+#REF!+#REF!,"")</f>
        <v/>
      </c>
      <c r="UUR48" s="84" t="str">
        <f>IF(ISNUMBER(outYear),UUR37+UUR42+#REF!+#REF!,"")</f>
        <v/>
      </c>
      <c r="UUS48" s="84" t="str">
        <f>IF(ISNUMBER(outYear),UUS37+UUS42+#REF!+#REF!,"")</f>
        <v/>
      </c>
      <c r="UUT48" s="84" t="str">
        <f>IF(ISNUMBER(outYear),UUT37+UUT42+#REF!+#REF!,"")</f>
        <v/>
      </c>
      <c r="UUU48" s="84" t="str">
        <f>IF(ISNUMBER(outYear),UUU37+UUU42+#REF!+#REF!,"")</f>
        <v/>
      </c>
      <c r="UUV48" s="84" t="str">
        <f>IF(ISNUMBER(outYear),UUV37+UUV42+#REF!+#REF!,"")</f>
        <v/>
      </c>
      <c r="UUW48" s="84" t="str">
        <f>IF(ISNUMBER(outYear),UUW37+UUW42+#REF!+#REF!,"")</f>
        <v/>
      </c>
      <c r="UUX48" s="84" t="str">
        <f>IF(ISNUMBER(outYear),UUX37+UUX42+#REF!+#REF!,"")</f>
        <v/>
      </c>
      <c r="UUY48" s="84" t="str">
        <f>IF(ISNUMBER(outYear),UUY37+UUY42+#REF!+#REF!,"")</f>
        <v/>
      </c>
      <c r="UUZ48" s="84" t="str">
        <f>IF(ISNUMBER(outYear),UUZ37+UUZ42+#REF!+#REF!,"")</f>
        <v/>
      </c>
      <c r="UVA48" s="84" t="str">
        <f>IF(ISNUMBER(outYear),UVA37+UVA42+#REF!+#REF!,"")</f>
        <v/>
      </c>
      <c r="UVB48" s="84" t="str">
        <f>IF(ISNUMBER(outYear),UVB37+UVB42+#REF!+#REF!,"")</f>
        <v/>
      </c>
      <c r="UVC48" s="84" t="str">
        <f>IF(ISNUMBER(outYear),UVC37+UVC42+#REF!+#REF!,"")</f>
        <v/>
      </c>
      <c r="UVD48" s="84" t="str">
        <f>IF(ISNUMBER(outYear),UVD37+UVD42+#REF!+#REF!,"")</f>
        <v/>
      </c>
      <c r="UVE48" s="84" t="str">
        <f>IF(ISNUMBER(outYear),UVE37+UVE42+#REF!+#REF!,"")</f>
        <v/>
      </c>
      <c r="UVF48" s="84" t="str">
        <f>IF(ISNUMBER(outYear),UVF37+UVF42+#REF!+#REF!,"")</f>
        <v/>
      </c>
      <c r="UVG48" s="84" t="str">
        <f>IF(ISNUMBER(outYear),UVG37+UVG42+#REF!+#REF!,"")</f>
        <v/>
      </c>
      <c r="UVH48" s="84" t="str">
        <f>IF(ISNUMBER(outYear),UVH37+UVH42+#REF!+#REF!,"")</f>
        <v/>
      </c>
      <c r="UVI48" s="84" t="str">
        <f>IF(ISNUMBER(outYear),UVI37+UVI42+#REF!+#REF!,"")</f>
        <v/>
      </c>
      <c r="UVJ48" s="84" t="str">
        <f>IF(ISNUMBER(outYear),UVJ37+UVJ42+#REF!+#REF!,"")</f>
        <v/>
      </c>
      <c r="UVK48" s="84" t="str">
        <f>IF(ISNUMBER(outYear),UVK37+UVK42+#REF!+#REF!,"")</f>
        <v/>
      </c>
      <c r="UVL48" s="84" t="str">
        <f>IF(ISNUMBER(outYear),UVL37+UVL42+#REF!+#REF!,"")</f>
        <v/>
      </c>
      <c r="UVM48" s="84" t="str">
        <f>IF(ISNUMBER(outYear),UVM37+UVM42+#REF!+#REF!,"")</f>
        <v/>
      </c>
      <c r="UVN48" s="84" t="str">
        <f>IF(ISNUMBER(outYear),UVN37+UVN42+#REF!+#REF!,"")</f>
        <v/>
      </c>
      <c r="UVO48" s="84" t="str">
        <f>IF(ISNUMBER(outYear),UVO37+UVO42+#REF!+#REF!,"")</f>
        <v/>
      </c>
      <c r="UVP48" s="84" t="str">
        <f>IF(ISNUMBER(outYear),UVP37+UVP42+#REF!+#REF!,"")</f>
        <v/>
      </c>
      <c r="UVQ48" s="84" t="str">
        <f>IF(ISNUMBER(outYear),UVQ37+UVQ42+#REF!+#REF!,"")</f>
        <v/>
      </c>
      <c r="UVR48" s="84" t="str">
        <f>IF(ISNUMBER(outYear),UVR37+UVR42+#REF!+#REF!,"")</f>
        <v/>
      </c>
      <c r="UVS48" s="84" t="str">
        <f>IF(ISNUMBER(outYear),UVS37+UVS42+#REF!+#REF!,"")</f>
        <v/>
      </c>
      <c r="UVT48" s="84" t="str">
        <f>IF(ISNUMBER(outYear),UVT37+UVT42+#REF!+#REF!,"")</f>
        <v/>
      </c>
      <c r="UVU48" s="84" t="str">
        <f>IF(ISNUMBER(outYear),UVU37+UVU42+#REF!+#REF!,"")</f>
        <v/>
      </c>
      <c r="UVV48" s="84" t="str">
        <f>IF(ISNUMBER(outYear),UVV37+UVV42+#REF!+#REF!,"")</f>
        <v/>
      </c>
      <c r="UVW48" s="84" t="str">
        <f>IF(ISNUMBER(outYear),UVW37+UVW42+#REF!+#REF!,"")</f>
        <v/>
      </c>
      <c r="UVX48" s="84" t="str">
        <f>IF(ISNUMBER(outYear),UVX37+UVX42+#REF!+#REF!,"")</f>
        <v/>
      </c>
      <c r="UVY48" s="84" t="str">
        <f>IF(ISNUMBER(outYear),UVY37+UVY42+#REF!+#REF!,"")</f>
        <v/>
      </c>
      <c r="UVZ48" s="84" t="str">
        <f>IF(ISNUMBER(outYear),UVZ37+UVZ42+#REF!+#REF!,"")</f>
        <v/>
      </c>
      <c r="UWA48" s="84" t="str">
        <f>IF(ISNUMBER(outYear),UWA37+UWA42+#REF!+#REF!,"")</f>
        <v/>
      </c>
      <c r="UWB48" s="84" t="str">
        <f>IF(ISNUMBER(outYear),UWB37+UWB42+#REF!+#REF!,"")</f>
        <v/>
      </c>
      <c r="UWC48" s="84" t="str">
        <f>IF(ISNUMBER(outYear),UWC37+UWC42+#REF!+#REF!,"")</f>
        <v/>
      </c>
      <c r="UWD48" s="84" t="str">
        <f>IF(ISNUMBER(outYear),UWD37+UWD42+#REF!+#REF!,"")</f>
        <v/>
      </c>
      <c r="UWE48" s="84" t="str">
        <f>IF(ISNUMBER(outYear),UWE37+UWE42+#REF!+#REF!,"")</f>
        <v/>
      </c>
      <c r="UWF48" s="84" t="str">
        <f>IF(ISNUMBER(outYear),UWF37+UWF42+#REF!+#REF!,"")</f>
        <v/>
      </c>
      <c r="UWG48" s="84" t="str">
        <f>IF(ISNUMBER(outYear),UWG37+UWG42+#REF!+#REF!,"")</f>
        <v/>
      </c>
      <c r="UWH48" s="84" t="str">
        <f>IF(ISNUMBER(outYear),UWH37+UWH42+#REF!+#REF!,"")</f>
        <v/>
      </c>
      <c r="UWI48" s="84" t="str">
        <f>IF(ISNUMBER(outYear),UWI37+UWI42+#REF!+#REF!,"")</f>
        <v/>
      </c>
      <c r="UWJ48" s="84" t="str">
        <f>IF(ISNUMBER(outYear),UWJ37+UWJ42+#REF!+#REF!,"")</f>
        <v/>
      </c>
      <c r="UWK48" s="84" t="str">
        <f>IF(ISNUMBER(outYear),UWK37+UWK42+#REF!+#REF!,"")</f>
        <v/>
      </c>
      <c r="UWL48" s="84" t="str">
        <f>IF(ISNUMBER(outYear),UWL37+UWL42+#REF!+#REF!,"")</f>
        <v/>
      </c>
      <c r="UWM48" s="84" t="str">
        <f>IF(ISNUMBER(outYear),UWM37+UWM42+#REF!+#REF!,"")</f>
        <v/>
      </c>
      <c r="UWN48" s="84" t="str">
        <f>IF(ISNUMBER(outYear),UWN37+UWN42+#REF!+#REF!,"")</f>
        <v/>
      </c>
      <c r="UWO48" s="84" t="str">
        <f>IF(ISNUMBER(outYear),UWO37+UWO42+#REF!+#REF!,"")</f>
        <v/>
      </c>
      <c r="UWP48" s="84" t="str">
        <f>IF(ISNUMBER(outYear),UWP37+UWP42+#REF!+#REF!,"")</f>
        <v/>
      </c>
      <c r="UWQ48" s="84" t="str">
        <f>IF(ISNUMBER(outYear),UWQ37+UWQ42+#REF!+#REF!,"")</f>
        <v/>
      </c>
      <c r="UWR48" s="84" t="str">
        <f>IF(ISNUMBER(outYear),UWR37+UWR42+#REF!+#REF!,"")</f>
        <v/>
      </c>
      <c r="UWS48" s="84" t="str">
        <f>IF(ISNUMBER(outYear),UWS37+UWS42+#REF!+#REF!,"")</f>
        <v/>
      </c>
      <c r="UWT48" s="84" t="str">
        <f>IF(ISNUMBER(outYear),UWT37+UWT42+#REF!+#REF!,"")</f>
        <v/>
      </c>
      <c r="UWU48" s="84" t="str">
        <f>IF(ISNUMBER(outYear),UWU37+UWU42+#REF!+#REF!,"")</f>
        <v/>
      </c>
      <c r="UWV48" s="84" t="str">
        <f>IF(ISNUMBER(outYear),UWV37+UWV42+#REF!+#REF!,"")</f>
        <v/>
      </c>
      <c r="UWW48" s="84" t="str">
        <f>IF(ISNUMBER(outYear),UWW37+UWW42+#REF!+#REF!,"")</f>
        <v/>
      </c>
      <c r="UWX48" s="84" t="str">
        <f>IF(ISNUMBER(outYear),UWX37+UWX42+#REF!+#REF!,"")</f>
        <v/>
      </c>
      <c r="UWY48" s="84" t="str">
        <f>IF(ISNUMBER(outYear),UWY37+UWY42+#REF!+#REF!,"")</f>
        <v/>
      </c>
      <c r="UWZ48" s="84" t="str">
        <f>IF(ISNUMBER(outYear),UWZ37+UWZ42+#REF!+#REF!,"")</f>
        <v/>
      </c>
      <c r="UXA48" s="84" t="str">
        <f>IF(ISNUMBER(outYear),UXA37+UXA42+#REF!+#REF!,"")</f>
        <v/>
      </c>
      <c r="UXB48" s="84" t="str">
        <f>IF(ISNUMBER(outYear),UXB37+UXB42+#REF!+#REF!,"")</f>
        <v/>
      </c>
      <c r="UXC48" s="84" t="str">
        <f>IF(ISNUMBER(outYear),UXC37+UXC42+#REF!+#REF!,"")</f>
        <v/>
      </c>
      <c r="UXD48" s="84" t="str">
        <f>IF(ISNUMBER(outYear),UXD37+UXD42+#REF!+#REF!,"")</f>
        <v/>
      </c>
      <c r="UXE48" s="84" t="str">
        <f>IF(ISNUMBER(outYear),UXE37+UXE42+#REF!+#REF!,"")</f>
        <v/>
      </c>
      <c r="UXF48" s="84" t="str">
        <f>IF(ISNUMBER(outYear),UXF37+UXF42+#REF!+#REF!,"")</f>
        <v/>
      </c>
      <c r="UXG48" s="84" t="str">
        <f>IF(ISNUMBER(outYear),UXG37+UXG42+#REF!+#REF!,"")</f>
        <v/>
      </c>
      <c r="UXH48" s="84" t="str">
        <f>IF(ISNUMBER(outYear),UXH37+UXH42+#REF!+#REF!,"")</f>
        <v/>
      </c>
      <c r="UXI48" s="84" t="str">
        <f>IF(ISNUMBER(outYear),UXI37+UXI42+#REF!+#REF!,"")</f>
        <v/>
      </c>
      <c r="UXJ48" s="84" t="str">
        <f>IF(ISNUMBER(outYear),UXJ37+UXJ42+#REF!+#REF!,"")</f>
        <v/>
      </c>
      <c r="UXK48" s="84" t="str">
        <f>IF(ISNUMBER(outYear),UXK37+UXK42+#REF!+#REF!,"")</f>
        <v/>
      </c>
      <c r="UXL48" s="84" t="str">
        <f>IF(ISNUMBER(outYear),UXL37+UXL42+#REF!+#REF!,"")</f>
        <v/>
      </c>
      <c r="UXM48" s="84" t="str">
        <f>IF(ISNUMBER(outYear),UXM37+UXM42+#REF!+#REF!,"")</f>
        <v/>
      </c>
      <c r="UXN48" s="84" t="str">
        <f>IF(ISNUMBER(outYear),UXN37+UXN42+#REF!+#REF!,"")</f>
        <v/>
      </c>
      <c r="UXO48" s="84" t="str">
        <f>IF(ISNUMBER(outYear),UXO37+UXO42+#REF!+#REF!,"")</f>
        <v/>
      </c>
      <c r="UXP48" s="84" t="str">
        <f>IF(ISNUMBER(outYear),UXP37+UXP42+#REF!+#REF!,"")</f>
        <v/>
      </c>
      <c r="UXQ48" s="84" t="str">
        <f>IF(ISNUMBER(outYear),UXQ37+UXQ42+#REF!+#REF!,"")</f>
        <v/>
      </c>
      <c r="UXR48" s="84" t="str">
        <f>IF(ISNUMBER(outYear),UXR37+UXR42+#REF!+#REF!,"")</f>
        <v/>
      </c>
      <c r="UXS48" s="84" t="str">
        <f>IF(ISNUMBER(outYear),UXS37+UXS42+#REF!+#REF!,"")</f>
        <v/>
      </c>
      <c r="UXT48" s="84" t="str">
        <f>IF(ISNUMBER(outYear),UXT37+UXT42+#REF!+#REF!,"")</f>
        <v/>
      </c>
      <c r="UXU48" s="84" t="str">
        <f>IF(ISNUMBER(outYear),UXU37+UXU42+#REF!+#REF!,"")</f>
        <v/>
      </c>
      <c r="UXV48" s="84" t="str">
        <f>IF(ISNUMBER(outYear),UXV37+UXV42+#REF!+#REF!,"")</f>
        <v/>
      </c>
      <c r="UXW48" s="84" t="str">
        <f>IF(ISNUMBER(outYear),UXW37+UXW42+#REF!+#REF!,"")</f>
        <v/>
      </c>
      <c r="UXX48" s="84" t="str">
        <f>IF(ISNUMBER(outYear),UXX37+UXX42+#REF!+#REF!,"")</f>
        <v/>
      </c>
      <c r="UXY48" s="84" t="str">
        <f>IF(ISNUMBER(outYear),UXY37+UXY42+#REF!+#REF!,"")</f>
        <v/>
      </c>
      <c r="UXZ48" s="84" t="str">
        <f>IF(ISNUMBER(outYear),UXZ37+UXZ42+#REF!+#REF!,"")</f>
        <v/>
      </c>
      <c r="UYA48" s="84" t="str">
        <f>IF(ISNUMBER(outYear),UYA37+UYA42+#REF!+#REF!,"")</f>
        <v/>
      </c>
      <c r="UYB48" s="84" t="str">
        <f>IF(ISNUMBER(outYear),UYB37+UYB42+#REF!+#REF!,"")</f>
        <v/>
      </c>
      <c r="UYC48" s="84" t="str">
        <f>IF(ISNUMBER(outYear),UYC37+UYC42+#REF!+#REF!,"")</f>
        <v/>
      </c>
      <c r="UYD48" s="84" t="str">
        <f>IF(ISNUMBER(outYear),UYD37+UYD42+#REF!+#REF!,"")</f>
        <v/>
      </c>
      <c r="UYE48" s="84" t="str">
        <f>IF(ISNUMBER(outYear),UYE37+UYE42+#REF!+#REF!,"")</f>
        <v/>
      </c>
      <c r="UYF48" s="84" t="str">
        <f>IF(ISNUMBER(outYear),UYF37+UYF42+#REF!+#REF!,"")</f>
        <v/>
      </c>
      <c r="UYG48" s="84" t="str">
        <f>IF(ISNUMBER(outYear),UYG37+UYG42+#REF!+#REF!,"")</f>
        <v/>
      </c>
      <c r="UYH48" s="84" t="str">
        <f>IF(ISNUMBER(outYear),UYH37+UYH42+#REF!+#REF!,"")</f>
        <v/>
      </c>
      <c r="UYI48" s="84" t="str">
        <f>IF(ISNUMBER(outYear),UYI37+UYI42+#REF!+#REF!,"")</f>
        <v/>
      </c>
      <c r="UYJ48" s="84" t="str">
        <f>IF(ISNUMBER(outYear),UYJ37+UYJ42+#REF!+#REF!,"")</f>
        <v/>
      </c>
      <c r="UYK48" s="84" t="str">
        <f>IF(ISNUMBER(outYear),UYK37+UYK42+#REF!+#REF!,"")</f>
        <v/>
      </c>
      <c r="UYL48" s="84" t="str">
        <f>IF(ISNUMBER(outYear),UYL37+UYL42+#REF!+#REF!,"")</f>
        <v/>
      </c>
      <c r="UYM48" s="84" t="str">
        <f>IF(ISNUMBER(outYear),UYM37+UYM42+#REF!+#REF!,"")</f>
        <v/>
      </c>
      <c r="UYN48" s="84" t="str">
        <f>IF(ISNUMBER(outYear),UYN37+UYN42+#REF!+#REF!,"")</f>
        <v/>
      </c>
      <c r="UYO48" s="84" t="str">
        <f>IF(ISNUMBER(outYear),UYO37+UYO42+#REF!+#REF!,"")</f>
        <v/>
      </c>
      <c r="UYP48" s="84" t="str">
        <f>IF(ISNUMBER(outYear),UYP37+UYP42+#REF!+#REF!,"")</f>
        <v/>
      </c>
      <c r="UYQ48" s="84" t="str">
        <f>IF(ISNUMBER(outYear),UYQ37+UYQ42+#REF!+#REF!,"")</f>
        <v/>
      </c>
      <c r="UYR48" s="84" t="str">
        <f>IF(ISNUMBER(outYear),UYR37+UYR42+#REF!+#REF!,"")</f>
        <v/>
      </c>
      <c r="UYS48" s="84" t="str">
        <f>IF(ISNUMBER(outYear),UYS37+UYS42+#REF!+#REF!,"")</f>
        <v/>
      </c>
      <c r="UYT48" s="84" t="str">
        <f>IF(ISNUMBER(outYear),UYT37+UYT42+#REF!+#REF!,"")</f>
        <v/>
      </c>
      <c r="UYU48" s="84" t="str">
        <f>IF(ISNUMBER(outYear),UYU37+UYU42+#REF!+#REF!,"")</f>
        <v/>
      </c>
      <c r="UYV48" s="84" t="str">
        <f>IF(ISNUMBER(outYear),UYV37+UYV42+#REF!+#REF!,"")</f>
        <v/>
      </c>
      <c r="UYW48" s="84" t="str">
        <f>IF(ISNUMBER(outYear),UYW37+UYW42+#REF!+#REF!,"")</f>
        <v/>
      </c>
      <c r="UYX48" s="84" t="str">
        <f>IF(ISNUMBER(outYear),UYX37+UYX42+#REF!+#REF!,"")</f>
        <v/>
      </c>
      <c r="UYY48" s="84" t="str">
        <f>IF(ISNUMBER(outYear),UYY37+UYY42+#REF!+#REF!,"")</f>
        <v/>
      </c>
      <c r="UYZ48" s="84" t="str">
        <f>IF(ISNUMBER(outYear),UYZ37+UYZ42+#REF!+#REF!,"")</f>
        <v/>
      </c>
      <c r="UZA48" s="84" t="str">
        <f>IF(ISNUMBER(outYear),UZA37+UZA42+#REF!+#REF!,"")</f>
        <v/>
      </c>
      <c r="UZB48" s="84" t="str">
        <f>IF(ISNUMBER(outYear),UZB37+UZB42+#REF!+#REF!,"")</f>
        <v/>
      </c>
      <c r="UZC48" s="84" t="str">
        <f>IF(ISNUMBER(outYear),UZC37+UZC42+#REF!+#REF!,"")</f>
        <v/>
      </c>
      <c r="UZD48" s="84" t="str">
        <f>IF(ISNUMBER(outYear),UZD37+UZD42+#REF!+#REF!,"")</f>
        <v/>
      </c>
      <c r="UZE48" s="84" t="str">
        <f>IF(ISNUMBER(outYear),UZE37+UZE42+#REF!+#REF!,"")</f>
        <v/>
      </c>
      <c r="UZF48" s="84" t="str">
        <f>IF(ISNUMBER(outYear),UZF37+UZF42+#REF!+#REF!,"")</f>
        <v/>
      </c>
      <c r="UZG48" s="84" t="str">
        <f>IF(ISNUMBER(outYear),UZG37+UZG42+#REF!+#REF!,"")</f>
        <v/>
      </c>
      <c r="UZH48" s="84" t="str">
        <f>IF(ISNUMBER(outYear),UZH37+UZH42+#REF!+#REF!,"")</f>
        <v/>
      </c>
      <c r="UZI48" s="84" t="str">
        <f>IF(ISNUMBER(outYear),UZI37+UZI42+#REF!+#REF!,"")</f>
        <v/>
      </c>
      <c r="UZJ48" s="84" t="str">
        <f>IF(ISNUMBER(outYear),UZJ37+UZJ42+#REF!+#REF!,"")</f>
        <v/>
      </c>
      <c r="UZK48" s="84" t="str">
        <f>IF(ISNUMBER(outYear),UZK37+UZK42+#REF!+#REF!,"")</f>
        <v/>
      </c>
      <c r="UZL48" s="84" t="str">
        <f>IF(ISNUMBER(outYear),UZL37+UZL42+#REF!+#REF!,"")</f>
        <v/>
      </c>
      <c r="UZM48" s="84" t="str">
        <f>IF(ISNUMBER(outYear),UZM37+UZM42+#REF!+#REF!,"")</f>
        <v/>
      </c>
      <c r="UZN48" s="84" t="str">
        <f>IF(ISNUMBER(outYear),UZN37+UZN42+#REF!+#REF!,"")</f>
        <v/>
      </c>
      <c r="UZO48" s="84" t="str">
        <f>IF(ISNUMBER(outYear),UZO37+UZO42+#REF!+#REF!,"")</f>
        <v/>
      </c>
      <c r="UZP48" s="84" t="str">
        <f>IF(ISNUMBER(outYear),UZP37+UZP42+#REF!+#REF!,"")</f>
        <v/>
      </c>
      <c r="UZQ48" s="84" t="str">
        <f>IF(ISNUMBER(outYear),UZQ37+UZQ42+#REF!+#REF!,"")</f>
        <v/>
      </c>
      <c r="UZR48" s="84" t="str">
        <f>IF(ISNUMBER(outYear),UZR37+UZR42+#REF!+#REF!,"")</f>
        <v/>
      </c>
      <c r="UZS48" s="84" t="str">
        <f>IF(ISNUMBER(outYear),UZS37+UZS42+#REF!+#REF!,"")</f>
        <v/>
      </c>
      <c r="UZT48" s="84" t="str">
        <f>IF(ISNUMBER(outYear),UZT37+UZT42+#REF!+#REF!,"")</f>
        <v/>
      </c>
      <c r="UZU48" s="84" t="str">
        <f>IF(ISNUMBER(outYear),UZU37+UZU42+#REF!+#REF!,"")</f>
        <v/>
      </c>
      <c r="UZV48" s="84" t="str">
        <f>IF(ISNUMBER(outYear),UZV37+UZV42+#REF!+#REF!,"")</f>
        <v/>
      </c>
      <c r="UZW48" s="84" t="str">
        <f>IF(ISNUMBER(outYear),UZW37+UZW42+#REF!+#REF!,"")</f>
        <v/>
      </c>
      <c r="UZX48" s="84" t="str">
        <f>IF(ISNUMBER(outYear),UZX37+UZX42+#REF!+#REF!,"")</f>
        <v/>
      </c>
      <c r="UZY48" s="84" t="str">
        <f>IF(ISNUMBER(outYear),UZY37+UZY42+#REF!+#REF!,"")</f>
        <v/>
      </c>
      <c r="UZZ48" s="84" t="str">
        <f>IF(ISNUMBER(outYear),UZZ37+UZZ42+#REF!+#REF!,"")</f>
        <v/>
      </c>
      <c r="VAA48" s="84" t="str">
        <f>IF(ISNUMBER(outYear),VAA37+VAA42+#REF!+#REF!,"")</f>
        <v/>
      </c>
      <c r="VAB48" s="84" t="str">
        <f>IF(ISNUMBER(outYear),VAB37+VAB42+#REF!+#REF!,"")</f>
        <v/>
      </c>
      <c r="VAC48" s="84" t="str">
        <f>IF(ISNUMBER(outYear),VAC37+VAC42+#REF!+#REF!,"")</f>
        <v/>
      </c>
      <c r="VAD48" s="84" t="str">
        <f>IF(ISNUMBER(outYear),VAD37+VAD42+#REF!+#REF!,"")</f>
        <v/>
      </c>
      <c r="VAE48" s="84" t="str">
        <f>IF(ISNUMBER(outYear),VAE37+VAE42+#REF!+#REF!,"")</f>
        <v/>
      </c>
      <c r="VAF48" s="84" t="str">
        <f>IF(ISNUMBER(outYear),VAF37+VAF42+#REF!+#REF!,"")</f>
        <v/>
      </c>
      <c r="VAG48" s="84" t="str">
        <f>IF(ISNUMBER(outYear),VAG37+VAG42+#REF!+#REF!,"")</f>
        <v/>
      </c>
      <c r="VAH48" s="84" t="str">
        <f>IF(ISNUMBER(outYear),VAH37+VAH42+#REF!+#REF!,"")</f>
        <v/>
      </c>
      <c r="VAI48" s="84" t="str">
        <f>IF(ISNUMBER(outYear),VAI37+VAI42+#REF!+#REF!,"")</f>
        <v/>
      </c>
      <c r="VAJ48" s="84" t="str">
        <f>IF(ISNUMBER(outYear),VAJ37+VAJ42+#REF!+#REF!,"")</f>
        <v/>
      </c>
      <c r="VAK48" s="84" t="str">
        <f>IF(ISNUMBER(outYear),VAK37+VAK42+#REF!+#REF!,"")</f>
        <v/>
      </c>
      <c r="VAL48" s="84" t="str">
        <f>IF(ISNUMBER(outYear),VAL37+VAL42+#REF!+#REF!,"")</f>
        <v/>
      </c>
      <c r="VAM48" s="84" t="str">
        <f>IF(ISNUMBER(outYear),VAM37+VAM42+#REF!+#REF!,"")</f>
        <v/>
      </c>
      <c r="VAN48" s="84" t="str">
        <f>IF(ISNUMBER(outYear),VAN37+VAN42+#REF!+#REF!,"")</f>
        <v/>
      </c>
      <c r="VAO48" s="84" t="str">
        <f>IF(ISNUMBER(outYear),VAO37+VAO42+#REF!+#REF!,"")</f>
        <v/>
      </c>
      <c r="VAP48" s="84" t="str">
        <f>IF(ISNUMBER(outYear),VAP37+VAP42+#REF!+#REF!,"")</f>
        <v/>
      </c>
      <c r="VAQ48" s="84" t="str">
        <f>IF(ISNUMBER(outYear),VAQ37+VAQ42+#REF!+#REF!,"")</f>
        <v/>
      </c>
      <c r="VAR48" s="84" t="str">
        <f>IF(ISNUMBER(outYear),VAR37+VAR42+#REF!+#REF!,"")</f>
        <v/>
      </c>
      <c r="VAS48" s="84" t="str">
        <f>IF(ISNUMBER(outYear),VAS37+VAS42+#REF!+#REF!,"")</f>
        <v/>
      </c>
      <c r="VAT48" s="84" t="str">
        <f>IF(ISNUMBER(outYear),VAT37+VAT42+#REF!+#REF!,"")</f>
        <v/>
      </c>
      <c r="VAU48" s="84" t="str">
        <f>IF(ISNUMBER(outYear),VAU37+VAU42+#REF!+#REF!,"")</f>
        <v/>
      </c>
      <c r="VAV48" s="84" t="str">
        <f>IF(ISNUMBER(outYear),VAV37+VAV42+#REF!+#REF!,"")</f>
        <v/>
      </c>
      <c r="VAW48" s="84" t="str">
        <f>IF(ISNUMBER(outYear),VAW37+VAW42+#REF!+#REF!,"")</f>
        <v/>
      </c>
      <c r="VAX48" s="84" t="str">
        <f>IF(ISNUMBER(outYear),VAX37+VAX42+#REF!+#REF!,"")</f>
        <v/>
      </c>
      <c r="VAY48" s="84" t="str">
        <f>IF(ISNUMBER(outYear),VAY37+VAY42+#REF!+#REF!,"")</f>
        <v/>
      </c>
      <c r="VAZ48" s="84" t="str">
        <f>IF(ISNUMBER(outYear),VAZ37+VAZ42+#REF!+#REF!,"")</f>
        <v/>
      </c>
      <c r="VBA48" s="84" t="str">
        <f>IF(ISNUMBER(outYear),VBA37+VBA42+#REF!+#REF!,"")</f>
        <v/>
      </c>
      <c r="VBB48" s="84" t="str">
        <f>IF(ISNUMBER(outYear),VBB37+VBB42+#REF!+#REF!,"")</f>
        <v/>
      </c>
      <c r="VBC48" s="84" t="str">
        <f>IF(ISNUMBER(outYear),VBC37+VBC42+#REF!+#REF!,"")</f>
        <v/>
      </c>
      <c r="VBD48" s="84" t="str">
        <f>IF(ISNUMBER(outYear),VBD37+VBD42+#REF!+#REF!,"")</f>
        <v/>
      </c>
      <c r="VBE48" s="84" t="str">
        <f>IF(ISNUMBER(outYear),VBE37+VBE42+#REF!+#REF!,"")</f>
        <v/>
      </c>
      <c r="VBF48" s="84" t="str">
        <f>IF(ISNUMBER(outYear),VBF37+VBF42+#REF!+#REF!,"")</f>
        <v/>
      </c>
      <c r="VBG48" s="84" t="str">
        <f>IF(ISNUMBER(outYear),VBG37+VBG42+#REF!+#REF!,"")</f>
        <v/>
      </c>
      <c r="VBH48" s="84" t="str">
        <f>IF(ISNUMBER(outYear),VBH37+VBH42+#REF!+#REF!,"")</f>
        <v/>
      </c>
      <c r="VBI48" s="84" t="str">
        <f>IF(ISNUMBER(outYear),VBI37+VBI42+#REF!+#REF!,"")</f>
        <v/>
      </c>
      <c r="VBJ48" s="84" t="str">
        <f>IF(ISNUMBER(outYear),VBJ37+VBJ42+#REF!+#REF!,"")</f>
        <v/>
      </c>
      <c r="VBK48" s="84" t="str">
        <f>IF(ISNUMBER(outYear),VBK37+VBK42+#REF!+#REF!,"")</f>
        <v/>
      </c>
      <c r="VBL48" s="84" t="str">
        <f>IF(ISNUMBER(outYear),VBL37+VBL42+#REF!+#REF!,"")</f>
        <v/>
      </c>
      <c r="VBM48" s="84" t="str">
        <f>IF(ISNUMBER(outYear),VBM37+VBM42+#REF!+#REF!,"")</f>
        <v/>
      </c>
      <c r="VBN48" s="84" t="str">
        <f>IF(ISNUMBER(outYear),VBN37+VBN42+#REF!+#REF!,"")</f>
        <v/>
      </c>
      <c r="VBO48" s="84" t="str">
        <f>IF(ISNUMBER(outYear),VBO37+VBO42+#REF!+#REF!,"")</f>
        <v/>
      </c>
      <c r="VBP48" s="84" t="str">
        <f>IF(ISNUMBER(outYear),VBP37+VBP42+#REF!+#REF!,"")</f>
        <v/>
      </c>
      <c r="VBQ48" s="84" t="str">
        <f>IF(ISNUMBER(outYear),VBQ37+VBQ42+#REF!+#REF!,"")</f>
        <v/>
      </c>
      <c r="VBR48" s="84" t="str">
        <f>IF(ISNUMBER(outYear),VBR37+VBR42+#REF!+#REF!,"")</f>
        <v/>
      </c>
      <c r="VBS48" s="84" t="str">
        <f>IF(ISNUMBER(outYear),VBS37+VBS42+#REF!+#REF!,"")</f>
        <v/>
      </c>
      <c r="VBT48" s="84" t="str">
        <f>IF(ISNUMBER(outYear),VBT37+VBT42+#REF!+#REF!,"")</f>
        <v/>
      </c>
      <c r="VBU48" s="84" t="str">
        <f>IF(ISNUMBER(outYear),VBU37+VBU42+#REF!+#REF!,"")</f>
        <v/>
      </c>
      <c r="VBV48" s="84" t="str">
        <f>IF(ISNUMBER(outYear),VBV37+VBV42+#REF!+#REF!,"")</f>
        <v/>
      </c>
      <c r="VBW48" s="84" t="str">
        <f>IF(ISNUMBER(outYear),VBW37+VBW42+#REF!+#REF!,"")</f>
        <v/>
      </c>
      <c r="VBX48" s="84" t="str">
        <f>IF(ISNUMBER(outYear),VBX37+VBX42+#REF!+#REF!,"")</f>
        <v/>
      </c>
      <c r="VBY48" s="84" t="str">
        <f>IF(ISNUMBER(outYear),VBY37+VBY42+#REF!+#REF!,"")</f>
        <v/>
      </c>
      <c r="VBZ48" s="84" t="str">
        <f>IF(ISNUMBER(outYear),VBZ37+VBZ42+#REF!+#REF!,"")</f>
        <v/>
      </c>
      <c r="VCA48" s="84" t="str">
        <f>IF(ISNUMBER(outYear),VCA37+VCA42+#REF!+#REF!,"")</f>
        <v/>
      </c>
      <c r="VCB48" s="84" t="str">
        <f>IF(ISNUMBER(outYear),VCB37+VCB42+#REF!+#REF!,"")</f>
        <v/>
      </c>
      <c r="VCC48" s="84" t="str">
        <f>IF(ISNUMBER(outYear),VCC37+VCC42+#REF!+#REF!,"")</f>
        <v/>
      </c>
      <c r="VCD48" s="84" t="str">
        <f>IF(ISNUMBER(outYear),VCD37+VCD42+#REF!+#REF!,"")</f>
        <v/>
      </c>
      <c r="VCE48" s="84" t="str">
        <f>IF(ISNUMBER(outYear),VCE37+VCE42+#REF!+#REF!,"")</f>
        <v/>
      </c>
      <c r="VCF48" s="84" t="str">
        <f>IF(ISNUMBER(outYear),VCF37+VCF42+#REF!+#REF!,"")</f>
        <v/>
      </c>
      <c r="VCG48" s="84" t="str">
        <f>IF(ISNUMBER(outYear),VCG37+VCG42+#REF!+#REF!,"")</f>
        <v/>
      </c>
      <c r="VCH48" s="84" t="str">
        <f>IF(ISNUMBER(outYear),VCH37+VCH42+#REF!+#REF!,"")</f>
        <v/>
      </c>
      <c r="VCI48" s="84" t="str">
        <f>IF(ISNUMBER(outYear),VCI37+VCI42+#REF!+#REF!,"")</f>
        <v/>
      </c>
      <c r="VCJ48" s="84" t="str">
        <f>IF(ISNUMBER(outYear),VCJ37+VCJ42+#REF!+#REF!,"")</f>
        <v/>
      </c>
      <c r="VCK48" s="84" t="str">
        <f>IF(ISNUMBER(outYear),VCK37+VCK42+#REF!+#REF!,"")</f>
        <v/>
      </c>
      <c r="VCL48" s="84" t="str">
        <f>IF(ISNUMBER(outYear),VCL37+VCL42+#REF!+#REF!,"")</f>
        <v/>
      </c>
      <c r="VCM48" s="84" t="str">
        <f>IF(ISNUMBER(outYear),VCM37+VCM42+#REF!+#REF!,"")</f>
        <v/>
      </c>
      <c r="VCN48" s="84" t="str">
        <f>IF(ISNUMBER(outYear),VCN37+VCN42+#REF!+#REF!,"")</f>
        <v/>
      </c>
      <c r="VCO48" s="84" t="str">
        <f>IF(ISNUMBER(outYear),VCO37+VCO42+#REF!+#REF!,"")</f>
        <v/>
      </c>
      <c r="VCP48" s="84" t="str">
        <f>IF(ISNUMBER(outYear),VCP37+VCP42+#REF!+#REF!,"")</f>
        <v/>
      </c>
      <c r="VCQ48" s="84" t="str">
        <f>IF(ISNUMBER(outYear),VCQ37+VCQ42+#REF!+#REF!,"")</f>
        <v/>
      </c>
      <c r="VCR48" s="84" t="str">
        <f>IF(ISNUMBER(outYear),VCR37+VCR42+#REF!+#REF!,"")</f>
        <v/>
      </c>
      <c r="VCS48" s="84" t="str">
        <f>IF(ISNUMBER(outYear),VCS37+VCS42+#REF!+#REF!,"")</f>
        <v/>
      </c>
      <c r="VCT48" s="84" t="str">
        <f>IF(ISNUMBER(outYear),VCT37+VCT42+#REF!+#REF!,"")</f>
        <v/>
      </c>
      <c r="VCU48" s="84" t="str">
        <f>IF(ISNUMBER(outYear),VCU37+VCU42+#REF!+#REF!,"")</f>
        <v/>
      </c>
      <c r="VCV48" s="84" t="str">
        <f>IF(ISNUMBER(outYear),VCV37+VCV42+#REF!+#REF!,"")</f>
        <v/>
      </c>
      <c r="VCW48" s="84" t="str">
        <f>IF(ISNUMBER(outYear),VCW37+VCW42+#REF!+#REF!,"")</f>
        <v/>
      </c>
      <c r="VCX48" s="84" t="str">
        <f>IF(ISNUMBER(outYear),VCX37+VCX42+#REF!+#REF!,"")</f>
        <v/>
      </c>
      <c r="VCY48" s="84" t="str">
        <f>IF(ISNUMBER(outYear),VCY37+VCY42+#REF!+#REF!,"")</f>
        <v/>
      </c>
      <c r="VCZ48" s="84" t="str">
        <f>IF(ISNUMBER(outYear),VCZ37+VCZ42+#REF!+#REF!,"")</f>
        <v/>
      </c>
      <c r="VDA48" s="84" t="str">
        <f>IF(ISNUMBER(outYear),VDA37+VDA42+#REF!+#REF!,"")</f>
        <v/>
      </c>
      <c r="VDB48" s="84" t="str">
        <f>IF(ISNUMBER(outYear),VDB37+VDB42+#REF!+#REF!,"")</f>
        <v/>
      </c>
      <c r="VDC48" s="84" t="str">
        <f>IF(ISNUMBER(outYear),VDC37+VDC42+#REF!+#REF!,"")</f>
        <v/>
      </c>
      <c r="VDD48" s="84" t="str">
        <f>IF(ISNUMBER(outYear),VDD37+VDD42+#REF!+#REF!,"")</f>
        <v/>
      </c>
      <c r="VDE48" s="84" t="str">
        <f>IF(ISNUMBER(outYear),VDE37+VDE42+#REF!+#REF!,"")</f>
        <v/>
      </c>
      <c r="VDF48" s="84" t="str">
        <f>IF(ISNUMBER(outYear),VDF37+VDF42+#REF!+#REF!,"")</f>
        <v/>
      </c>
      <c r="VDG48" s="84" t="str">
        <f>IF(ISNUMBER(outYear),VDG37+VDG42+#REF!+#REF!,"")</f>
        <v/>
      </c>
      <c r="VDH48" s="84" t="str">
        <f>IF(ISNUMBER(outYear),VDH37+VDH42+#REF!+#REF!,"")</f>
        <v/>
      </c>
      <c r="VDI48" s="84" t="str">
        <f>IF(ISNUMBER(outYear),VDI37+VDI42+#REF!+#REF!,"")</f>
        <v/>
      </c>
      <c r="VDJ48" s="84" t="str">
        <f>IF(ISNUMBER(outYear),VDJ37+VDJ42+#REF!+#REF!,"")</f>
        <v/>
      </c>
      <c r="VDK48" s="84" t="str">
        <f>IF(ISNUMBER(outYear),VDK37+VDK42+#REF!+#REF!,"")</f>
        <v/>
      </c>
      <c r="VDL48" s="84" t="str">
        <f>IF(ISNUMBER(outYear),VDL37+VDL42+#REF!+#REF!,"")</f>
        <v/>
      </c>
      <c r="VDM48" s="84" t="str">
        <f>IF(ISNUMBER(outYear),VDM37+VDM42+#REF!+#REF!,"")</f>
        <v/>
      </c>
      <c r="VDN48" s="84" t="str">
        <f>IF(ISNUMBER(outYear),VDN37+VDN42+#REF!+#REF!,"")</f>
        <v/>
      </c>
      <c r="VDO48" s="84" t="str">
        <f>IF(ISNUMBER(outYear),VDO37+VDO42+#REF!+#REF!,"")</f>
        <v/>
      </c>
      <c r="VDP48" s="84" t="str">
        <f>IF(ISNUMBER(outYear),VDP37+VDP42+#REF!+#REF!,"")</f>
        <v/>
      </c>
      <c r="VDQ48" s="84" t="str">
        <f>IF(ISNUMBER(outYear),VDQ37+VDQ42+#REF!+#REF!,"")</f>
        <v/>
      </c>
      <c r="VDR48" s="84" t="str">
        <f>IF(ISNUMBER(outYear),VDR37+VDR42+#REF!+#REF!,"")</f>
        <v/>
      </c>
      <c r="VDS48" s="84" t="str">
        <f>IF(ISNUMBER(outYear),VDS37+VDS42+#REF!+#REF!,"")</f>
        <v/>
      </c>
      <c r="VDT48" s="84" t="str">
        <f>IF(ISNUMBER(outYear),VDT37+VDT42+#REF!+#REF!,"")</f>
        <v/>
      </c>
      <c r="VDU48" s="84" t="str">
        <f>IF(ISNUMBER(outYear),VDU37+VDU42+#REF!+#REF!,"")</f>
        <v/>
      </c>
      <c r="VDV48" s="84" t="str">
        <f>IF(ISNUMBER(outYear),VDV37+VDV42+#REF!+#REF!,"")</f>
        <v/>
      </c>
      <c r="VDW48" s="84" t="str">
        <f>IF(ISNUMBER(outYear),VDW37+VDW42+#REF!+#REF!,"")</f>
        <v/>
      </c>
      <c r="VDX48" s="84" t="str">
        <f>IF(ISNUMBER(outYear),VDX37+VDX42+#REF!+#REF!,"")</f>
        <v/>
      </c>
      <c r="VDY48" s="84" t="str">
        <f>IF(ISNUMBER(outYear),VDY37+VDY42+#REF!+#REF!,"")</f>
        <v/>
      </c>
      <c r="VDZ48" s="84" t="str">
        <f>IF(ISNUMBER(outYear),VDZ37+VDZ42+#REF!+#REF!,"")</f>
        <v/>
      </c>
      <c r="VEA48" s="84" t="str">
        <f>IF(ISNUMBER(outYear),VEA37+VEA42+#REF!+#REF!,"")</f>
        <v/>
      </c>
      <c r="VEB48" s="84" t="str">
        <f>IF(ISNUMBER(outYear),VEB37+VEB42+#REF!+#REF!,"")</f>
        <v/>
      </c>
      <c r="VEC48" s="84" t="str">
        <f>IF(ISNUMBER(outYear),VEC37+VEC42+#REF!+#REF!,"")</f>
        <v/>
      </c>
      <c r="VED48" s="84" t="str">
        <f>IF(ISNUMBER(outYear),VED37+VED42+#REF!+#REF!,"")</f>
        <v/>
      </c>
      <c r="VEE48" s="84" t="str">
        <f>IF(ISNUMBER(outYear),VEE37+VEE42+#REF!+#REF!,"")</f>
        <v/>
      </c>
      <c r="VEF48" s="84" t="str">
        <f>IF(ISNUMBER(outYear),VEF37+VEF42+#REF!+#REF!,"")</f>
        <v/>
      </c>
      <c r="VEG48" s="84" t="str">
        <f>IF(ISNUMBER(outYear),VEG37+VEG42+#REF!+#REF!,"")</f>
        <v/>
      </c>
      <c r="VEH48" s="84" t="str">
        <f>IF(ISNUMBER(outYear),VEH37+VEH42+#REF!+#REF!,"")</f>
        <v/>
      </c>
      <c r="VEI48" s="84" t="str">
        <f>IF(ISNUMBER(outYear),VEI37+VEI42+#REF!+#REF!,"")</f>
        <v/>
      </c>
      <c r="VEJ48" s="84" t="str">
        <f>IF(ISNUMBER(outYear),VEJ37+VEJ42+#REF!+#REF!,"")</f>
        <v/>
      </c>
      <c r="VEK48" s="84" t="str">
        <f>IF(ISNUMBER(outYear),VEK37+VEK42+#REF!+#REF!,"")</f>
        <v/>
      </c>
      <c r="VEL48" s="84" t="str">
        <f>IF(ISNUMBER(outYear),VEL37+VEL42+#REF!+#REF!,"")</f>
        <v/>
      </c>
      <c r="VEM48" s="84" t="str">
        <f>IF(ISNUMBER(outYear),VEM37+VEM42+#REF!+#REF!,"")</f>
        <v/>
      </c>
      <c r="VEN48" s="84" t="str">
        <f>IF(ISNUMBER(outYear),VEN37+VEN42+#REF!+#REF!,"")</f>
        <v/>
      </c>
      <c r="VEO48" s="84" t="str">
        <f>IF(ISNUMBER(outYear),VEO37+VEO42+#REF!+#REF!,"")</f>
        <v/>
      </c>
      <c r="VEP48" s="84" t="str">
        <f>IF(ISNUMBER(outYear),VEP37+VEP42+#REF!+#REF!,"")</f>
        <v/>
      </c>
      <c r="VEQ48" s="84" t="str">
        <f>IF(ISNUMBER(outYear),VEQ37+VEQ42+#REF!+#REF!,"")</f>
        <v/>
      </c>
      <c r="VER48" s="84" t="str">
        <f>IF(ISNUMBER(outYear),VER37+VER42+#REF!+#REF!,"")</f>
        <v/>
      </c>
      <c r="VES48" s="84" t="str">
        <f>IF(ISNUMBER(outYear),VES37+VES42+#REF!+#REF!,"")</f>
        <v/>
      </c>
      <c r="VET48" s="84" t="str">
        <f>IF(ISNUMBER(outYear),VET37+VET42+#REF!+#REF!,"")</f>
        <v/>
      </c>
      <c r="VEU48" s="84" t="str">
        <f>IF(ISNUMBER(outYear),VEU37+VEU42+#REF!+#REF!,"")</f>
        <v/>
      </c>
      <c r="VEV48" s="84" t="str">
        <f>IF(ISNUMBER(outYear),VEV37+VEV42+#REF!+#REF!,"")</f>
        <v/>
      </c>
      <c r="VEW48" s="84" t="str">
        <f>IF(ISNUMBER(outYear),VEW37+VEW42+#REF!+#REF!,"")</f>
        <v/>
      </c>
      <c r="VEX48" s="84" t="str">
        <f>IF(ISNUMBER(outYear),VEX37+VEX42+#REF!+#REF!,"")</f>
        <v/>
      </c>
      <c r="VEY48" s="84" t="str">
        <f>IF(ISNUMBER(outYear),VEY37+VEY42+#REF!+#REF!,"")</f>
        <v/>
      </c>
      <c r="VEZ48" s="84" t="str">
        <f>IF(ISNUMBER(outYear),VEZ37+VEZ42+#REF!+#REF!,"")</f>
        <v/>
      </c>
      <c r="VFA48" s="84" t="str">
        <f>IF(ISNUMBER(outYear),VFA37+VFA42+#REF!+#REF!,"")</f>
        <v/>
      </c>
      <c r="VFB48" s="84" t="str">
        <f>IF(ISNUMBER(outYear),VFB37+VFB42+#REF!+#REF!,"")</f>
        <v/>
      </c>
      <c r="VFC48" s="84" t="str">
        <f>IF(ISNUMBER(outYear),VFC37+VFC42+#REF!+#REF!,"")</f>
        <v/>
      </c>
      <c r="VFD48" s="84" t="str">
        <f>IF(ISNUMBER(outYear),VFD37+VFD42+#REF!+#REF!,"")</f>
        <v/>
      </c>
      <c r="VFE48" s="84" t="str">
        <f>IF(ISNUMBER(outYear),VFE37+VFE42+#REF!+#REF!,"")</f>
        <v/>
      </c>
      <c r="VFF48" s="84" t="str">
        <f>IF(ISNUMBER(outYear),VFF37+VFF42+#REF!+#REF!,"")</f>
        <v/>
      </c>
      <c r="VFG48" s="84" t="str">
        <f>IF(ISNUMBER(outYear),VFG37+VFG42+#REF!+#REF!,"")</f>
        <v/>
      </c>
      <c r="VFH48" s="84" t="str">
        <f>IF(ISNUMBER(outYear),VFH37+VFH42+#REF!+#REF!,"")</f>
        <v/>
      </c>
      <c r="VFI48" s="84" t="str">
        <f>IF(ISNUMBER(outYear),VFI37+VFI42+#REF!+#REF!,"")</f>
        <v/>
      </c>
      <c r="VFJ48" s="84" t="str">
        <f>IF(ISNUMBER(outYear),VFJ37+VFJ42+#REF!+#REF!,"")</f>
        <v/>
      </c>
      <c r="VFK48" s="84" t="str">
        <f>IF(ISNUMBER(outYear),VFK37+VFK42+#REF!+#REF!,"")</f>
        <v/>
      </c>
      <c r="VFL48" s="84" t="str">
        <f>IF(ISNUMBER(outYear),VFL37+VFL42+#REF!+#REF!,"")</f>
        <v/>
      </c>
      <c r="VFM48" s="84" t="str">
        <f>IF(ISNUMBER(outYear),VFM37+VFM42+#REF!+#REF!,"")</f>
        <v/>
      </c>
      <c r="VFN48" s="84" t="str">
        <f>IF(ISNUMBER(outYear),VFN37+VFN42+#REF!+#REF!,"")</f>
        <v/>
      </c>
      <c r="VFO48" s="84" t="str">
        <f>IF(ISNUMBER(outYear),VFO37+VFO42+#REF!+#REF!,"")</f>
        <v/>
      </c>
      <c r="VFP48" s="84" t="str">
        <f>IF(ISNUMBER(outYear),VFP37+VFP42+#REF!+#REF!,"")</f>
        <v/>
      </c>
      <c r="VFQ48" s="84" t="str">
        <f>IF(ISNUMBER(outYear),VFQ37+VFQ42+#REF!+#REF!,"")</f>
        <v/>
      </c>
      <c r="VFR48" s="84" t="str">
        <f>IF(ISNUMBER(outYear),VFR37+VFR42+#REF!+#REF!,"")</f>
        <v/>
      </c>
      <c r="VFS48" s="84" t="str">
        <f>IF(ISNUMBER(outYear),VFS37+VFS42+#REF!+#REF!,"")</f>
        <v/>
      </c>
      <c r="VFT48" s="84" t="str">
        <f>IF(ISNUMBER(outYear),VFT37+VFT42+#REF!+#REF!,"")</f>
        <v/>
      </c>
      <c r="VFU48" s="84" t="str">
        <f>IF(ISNUMBER(outYear),VFU37+VFU42+#REF!+#REF!,"")</f>
        <v/>
      </c>
      <c r="VFV48" s="84" t="str">
        <f>IF(ISNUMBER(outYear),VFV37+VFV42+#REF!+#REF!,"")</f>
        <v/>
      </c>
      <c r="VFW48" s="84" t="str">
        <f>IF(ISNUMBER(outYear),VFW37+VFW42+#REF!+#REF!,"")</f>
        <v/>
      </c>
      <c r="VFX48" s="84" t="str">
        <f>IF(ISNUMBER(outYear),VFX37+VFX42+#REF!+#REF!,"")</f>
        <v/>
      </c>
      <c r="VFY48" s="84" t="str">
        <f>IF(ISNUMBER(outYear),VFY37+VFY42+#REF!+#REF!,"")</f>
        <v/>
      </c>
      <c r="VFZ48" s="84" t="str">
        <f>IF(ISNUMBER(outYear),VFZ37+VFZ42+#REF!+#REF!,"")</f>
        <v/>
      </c>
      <c r="VGA48" s="84" t="str">
        <f>IF(ISNUMBER(outYear),VGA37+VGA42+#REF!+#REF!,"")</f>
        <v/>
      </c>
      <c r="VGB48" s="84" t="str">
        <f>IF(ISNUMBER(outYear),VGB37+VGB42+#REF!+#REF!,"")</f>
        <v/>
      </c>
      <c r="VGC48" s="84" t="str">
        <f>IF(ISNUMBER(outYear),VGC37+VGC42+#REF!+#REF!,"")</f>
        <v/>
      </c>
      <c r="VGD48" s="84" t="str">
        <f>IF(ISNUMBER(outYear),VGD37+VGD42+#REF!+#REF!,"")</f>
        <v/>
      </c>
      <c r="VGE48" s="84" t="str">
        <f>IF(ISNUMBER(outYear),VGE37+VGE42+#REF!+#REF!,"")</f>
        <v/>
      </c>
      <c r="VGF48" s="84" t="str">
        <f>IF(ISNUMBER(outYear),VGF37+VGF42+#REF!+#REF!,"")</f>
        <v/>
      </c>
      <c r="VGG48" s="84" t="str">
        <f>IF(ISNUMBER(outYear),VGG37+VGG42+#REF!+#REF!,"")</f>
        <v/>
      </c>
      <c r="VGH48" s="84" t="str">
        <f>IF(ISNUMBER(outYear),VGH37+VGH42+#REF!+#REF!,"")</f>
        <v/>
      </c>
      <c r="VGI48" s="84" t="str">
        <f>IF(ISNUMBER(outYear),VGI37+VGI42+#REF!+#REF!,"")</f>
        <v/>
      </c>
      <c r="VGJ48" s="84" t="str">
        <f>IF(ISNUMBER(outYear),VGJ37+VGJ42+#REF!+#REF!,"")</f>
        <v/>
      </c>
      <c r="VGK48" s="84" t="str">
        <f>IF(ISNUMBER(outYear),VGK37+VGK42+#REF!+#REF!,"")</f>
        <v/>
      </c>
      <c r="VGL48" s="84" t="str">
        <f>IF(ISNUMBER(outYear),VGL37+VGL42+#REF!+#REF!,"")</f>
        <v/>
      </c>
      <c r="VGM48" s="84" t="str">
        <f>IF(ISNUMBER(outYear),VGM37+VGM42+#REF!+#REF!,"")</f>
        <v/>
      </c>
      <c r="VGN48" s="84" t="str">
        <f>IF(ISNUMBER(outYear),VGN37+VGN42+#REF!+#REF!,"")</f>
        <v/>
      </c>
      <c r="VGO48" s="84" t="str">
        <f>IF(ISNUMBER(outYear),VGO37+VGO42+#REF!+#REF!,"")</f>
        <v/>
      </c>
      <c r="VGP48" s="84" t="str">
        <f>IF(ISNUMBER(outYear),VGP37+VGP42+#REF!+#REF!,"")</f>
        <v/>
      </c>
      <c r="VGQ48" s="84" t="str">
        <f>IF(ISNUMBER(outYear),VGQ37+VGQ42+#REF!+#REF!,"")</f>
        <v/>
      </c>
      <c r="VGR48" s="84" t="str">
        <f>IF(ISNUMBER(outYear),VGR37+VGR42+#REF!+#REF!,"")</f>
        <v/>
      </c>
      <c r="VGS48" s="84" t="str">
        <f>IF(ISNUMBER(outYear),VGS37+VGS42+#REF!+#REF!,"")</f>
        <v/>
      </c>
      <c r="VGT48" s="84" t="str">
        <f>IF(ISNUMBER(outYear),VGT37+VGT42+#REF!+#REF!,"")</f>
        <v/>
      </c>
      <c r="VGU48" s="84" t="str">
        <f>IF(ISNUMBER(outYear),VGU37+VGU42+#REF!+#REF!,"")</f>
        <v/>
      </c>
      <c r="VGV48" s="84" t="str">
        <f>IF(ISNUMBER(outYear),VGV37+VGV42+#REF!+#REF!,"")</f>
        <v/>
      </c>
      <c r="VGW48" s="84" t="str">
        <f>IF(ISNUMBER(outYear),VGW37+VGW42+#REF!+#REF!,"")</f>
        <v/>
      </c>
      <c r="VGX48" s="84" t="str">
        <f>IF(ISNUMBER(outYear),VGX37+VGX42+#REF!+#REF!,"")</f>
        <v/>
      </c>
      <c r="VGY48" s="84" t="str">
        <f>IF(ISNUMBER(outYear),VGY37+VGY42+#REF!+#REF!,"")</f>
        <v/>
      </c>
      <c r="VGZ48" s="84" t="str">
        <f>IF(ISNUMBER(outYear),VGZ37+VGZ42+#REF!+#REF!,"")</f>
        <v/>
      </c>
      <c r="VHA48" s="84" t="str">
        <f>IF(ISNUMBER(outYear),VHA37+VHA42+#REF!+#REF!,"")</f>
        <v/>
      </c>
      <c r="VHB48" s="84" t="str">
        <f>IF(ISNUMBER(outYear),VHB37+VHB42+#REF!+#REF!,"")</f>
        <v/>
      </c>
      <c r="VHC48" s="84" t="str">
        <f>IF(ISNUMBER(outYear),VHC37+VHC42+#REF!+#REF!,"")</f>
        <v/>
      </c>
      <c r="VHD48" s="84" t="str">
        <f>IF(ISNUMBER(outYear),VHD37+VHD42+#REF!+#REF!,"")</f>
        <v/>
      </c>
      <c r="VHE48" s="84" t="str">
        <f>IF(ISNUMBER(outYear),VHE37+VHE42+#REF!+#REF!,"")</f>
        <v/>
      </c>
      <c r="VHF48" s="84" t="str">
        <f>IF(ISNUMBER(outYear),VHF37+VHF42+#REF!+#REF!,"")</f>
        <v/>
      </c>
      <c r="VHG48" s="84" t="str">
        <f>IF(ISNUMBER(outYear),VHG37+VHG42+#REF!+#REF!,"")</f>
        <v/>
      </c>
      <c r="VHH48" s="84" t="str">
        <f>IF(ISNUMBER(outYear),VHH37+VHH42+#REF!+#REF!,"")</f>
        <v/>
      </c>
      <c r="VHI48" s="84" t="str">
        <f>IF(ISNUMBER(outYear),VHI37+VHI42+#REF!+#REF!,"")</f>
        <v/>
      </c>
      <c r="VHJ48" s="84" t="str">
        <f>IF(ISNUMBER(outYear),VHJ37+VHJ42+#REF!+#REF!,"")</f>
        <v/>
      </c>
      <c r="VHK48" s="84" t="str">
        <f>IF(ISNUMBER(outYear),VHK37+VHK42+#REF!+#REF!,"")</f>
        <v/>
      </c>
      <c r="VHL48" s="84" t="str">
        <f>IF(ISNUMBER(outYear),VHL37+VHL42+#REF!+#REF!,"")</f>
        <v/>
      </c>
      <c r="VHM48" s="84" t="str">
        <f>IF(ISNUMBER(outYear),VHM37+VHM42+#REF!+#REF!,"")</f>
        <v/>
      </c>
      <c r="VHN48" s="84" t="str">
        <f>IF(ISNUMBER(outYear),VHN37+VHN42+#REF!+#REF!,"")</f>
        <v/>
      </c>
      <c r="VHO48" s="84" t="str">
        <f>IF(ISNUMBER(outYear),VHO37+VHO42+#REF!+#REF!,"")</f>
        <v/>
      </c>
      <c r="VHP48" s="84" t="str">
        <f>IF(ISNUMBER(outYear),VHP37+VHP42+#REF!+#REF!,"")</f>
        <v/>
      </c>
      <c r="VHQ48" s="84" t="str">
        <f>IF(ISNUMBER(outYear),VHQ37+VHQ42+#REF!+#REF!,"")</f>
        <v/>
      </c>
      <c r="VHR48" s="84" t="str">
        <f>IF(ISNUMBER(outYear),VHR37+VHR42+#REF!+#REF!,"")</f>
        <v/>
      </c>
      <c r="VHS48" s="84" t="str">
        <f>IF(ISNUMBER(outYear),VHS37+VHS42+#REF!+#REF!,"")</f>
        <v/>
      </c>
      <c r="VHT48" s="84" t="str">
        <f>IF(ISNUMBER(outYear),VHT37+VHT42+#REF!+#REF!,"")</f>
        <v/>
      </c>
      <c r="VHU48" s="84" t="str">
        <f>IF(ISNUMBER(outYear),VHU37+VHU42+#REF!+#REF!,"")</f>
        <v/>
      </c>
      <c r="VHV48" s="84" t="str">
        <f>IF(ISNUMBER(outYear),VHV37+VHV42+#REF!+#REF!,"")</f>
        <v/>
      </c>
      <c r="VHW48" s="84" t="str">
        <f>IF(ISNUMBER(outYear),VHW37+VHW42+#REF!+#REF!,"")</f>
        <v/>
      </c>
      <c r="VHX48" s="84" t="str">
        <f>IF(ISNUMBER(outYear),VHX37+VHX42+#REF!+#REF!,"")</f>
        <v/>
      </c>
      <c r="VHY48" s="84" t="str">
        <f>IF(ISNUMBER(outYear),VHY37+VHY42+#REF!+#REF!,"")</f>
        <v/>
      </c>
      <c r="VHZ48" s="84" t="str">
        <f>IF(ISNUMBER(outYear),VHZ37+VHZ42+#REF!+#REF!,"")</f>
        <v/>
      </c>
      <c r="VIA48" s="84" t="str">
        <f>IF(ISNUMBER(outYear),VIA37+VIA42+#REF!+#REF!,"")</f>
        <v/>
      </c>
      <c r="VIB48" s="84" t="str">
        <f>IF(ISNUMBER(outYear),VIB37+VIB42+#REF!+#REF!,"")</f>
        <v/>
      </c>
      <c r="VIC48" s="84" t="str">
        <f>IF(ISNUMBER(outYear),VIC37+VIC42+#REF!+#REF!,"")</f>
        <v/>
      </c>
      <c r="VID48" s="84" t="str">
        <f>IF(ISNUMBER(outYear),VID37+VID42+#REF!+#REF!,"")</f>
        <v/>
      </c>
      <c r="VIE48" s="84" t="str">
        <f>IF(ISNUMBER(outYear),VIE37+VIE42+#REF!+#REF!,"")</f>
        <v/>
      </c>
      <c r="VIF48" s="84" t="str">
        <f>IF(ISNUMBER(outYear),VIF37+VIF42+#REF!+#REF!,"")</f>
        <v/>
      </c>
      <c r="VIG48" s="84" t="str">
        <f>IF(ISNUMBER(outYear),VIG37+VIG42+#REF!+#REF!,"")</f>
        <v/>
      </c>
      <c r="VIH48" s="84" t="str">
        <f>IF(ISNUMBER(outYear),VIH37+VIH42+#REF!+#REF!,"")</f>
        <v/>
      </c>
      <c r="VII48" s="84" t="str">
        <f>IF(ISNUMBER(outYear),VII37+VII42+#REF!+#REF!,"")</f>
        <v/>
      </c>
      <c r="VIJ48" s="84" t="str">
        <f>IF(ISNUMBER(outYear),VIJ37+VIJ42+#REF!+#REF!,"")</f>
        <v/>
      </c>
      <c r="VIK48" s="84" t="str">
        <f>IF(ISNUMBER(outYear),VIK37+VIK42+#REF!+#REF!,"")</f>
        <v/>
      </c>
      <c r="VIL48" s="84" t="str">
        <f>IF(ISNUMBER(outYear),VIL37+VIL42+#REF!+#REF!,"")</f>
        <v/>
      </c>
      <c r="VIM48" s="84" t="str">
        <f>IF(ISNUMBER(outYear),VIM37+VIM42+#REF!+#REF!,"")</f>
        <v/>
      </c>
      <c r="VIN48" s="84" t="str">
        <f>IF(ISNUMBER(outYear),VIN37+VIN42+#REF!+#REF!,"")</f>
        <v/>
      </c>
      <c r="VIO48" s="84" t="str">
        <f>IF(ISNUMBER(outYear),VIO37+VIO42+#REF!+#REF!,"")</f>
        <v/>
      </c>
      <c r="VIP48" s="84" t="str">
        <f>IF(ISNUMBER(outYear),VIP37+VIP42+#REF!+#REF!,"")</f>
        <v/>
      </c>
      <c r="VIQ48" s="84" t="str">
        <f>IF(ISNUMBER(outYear),VIQ37+VIQ42+#REF!+#REF!,"")</f>
        <v/>
      </c>
      <c r="VIR48" s="84" t="str">
        <f>IF(ISNUMBER(outYear),VIR37+VIR42+#REF!+#REF!,"")</f>
        <v/>
      </c>
      <c r="VIS48" s="84" t="str">
        <f>IF(ISNUMBER(outYear),VIS37+VIS42+#REF!+#REF!,"")</f>
        <v/>
      </c>
      <c r="VIT48" s="84" t="str">
        <f>IF(ISNUMBER(outYear),VIT37+VIT42+#REF!+#REF!,"")</f>
        <v/>
      </c>
      <c r="VIU48" s="84" t="str">
        <f>IF(ISNUMBER(outYear),VIU37+VIU42+#REF!+#REF!,"")</f>
        <v/>
      </c>
      <c r="VIV48" s="84" t="str">
        <f>IF(ISNUMBER(outYear),VIV37+VIV42+#REF!+#REF!,"")</f>
        <v/>
      </c>
      <c r="VIW48" s="84" t="str">
        <f>IF(ISNUMBER(outYear),VIW37+VIW42+#REF!+#REF!,"")</f>
        <v/>
      </c>
      <c r="VIX48" s="84" t="str">
        <f>IF(ISNUMBER(outYear),VIX37+VIX42+#REF!+#REF!,"")</f>
        <v/>
      </c>
      <c r="VIY48" s="84" t="str">
        <f>IF(ISNUMBER(outYear),VIY37+VIY42+#REF!+#REF!,"")</f>
        <v/>
      </c>
      <c r="VIZ48" s="84" t="str">
        <f>IF(ISNUMBER(outYear),VIZ37+VIZ42+#REF!+#REF!,"")</f>
        <v/>
      </c>
      <c r="VJA48" s="84" t="str">
        <f>IF(ISNUMBER(outYear),VJA37+VJA42+#REF!+#REF!,"")</f>
        <v/>
      </c>
      <c r="VJB48" s="84" t="str">
        <f>IF(ISNUMBER(outYear),VJB37+VJB42+#REF!+#REF!,"")</f>
        <v/>
      </c>
      <c r="VJC48" s="84" t="str">
        <f>IF(ISNUMBER(outYear),VJC37+VJC42+#REF!+#REF!,"")</f>
        <v/>
      </c>
      <c r="VJD48" s="84" t="str">
        <f>IF(ISNUMBER(outYear),VJD37+VJD42+#REF!+#REF!,"")</f>
        <v/>
      </c>
      <c r="VJE48" s="84" t="str">
        <f>IF(ISNUMBER(outYear),VJE37+VJE42+#REF!+#REF!,"")</f>
        <v/>
      </c>
      <c r="VJF48" s="84" t="str">
        <f>IF(ISNUMBER(outYear),VJF37+VJF42+#REF!+#REF!,"")</f>
        <v/>
      </c>
      <c r="VJG48" s="84" t="str">
        <f>IF(ISNUMBER(outYear),VJG37+VJG42+#REF!+#REF!,"")</f>
        <v/>
      </c>
      <c r="VJH48" s="84" t="str">
        <f>IF(ISNUMBER(outYear),VJH37+VJH42+#REF!+#REF!,"")</f>
        <v/>
      </c>
      <c r="VJI48" s="84" t="str">
        <f>IF(ISNUMBER(outYear),VJI37+VJI42+#REF!+#REF!,"")</f>
        <v/>
      </c>
      <c r="VJJ48" s="84" t="str">
        <f>IF(ISNUMBER(outYear),VJJ37+VJJ42+#REF!+#REF!,"")</f>
        <v/>
      </c>
      <c r="VJK48" s="84" t="str">
        <f>IF(ISNUMBER(outYear),VJK37+VJK42+#REF!+#REF!,"")</f>
        <v/>
      </c>
      <c r="VJL48" s="84" t="str">
        <f>IF(ISNUMBER(outYear),VJL37+VJL42+#REF!+#REF!,"")</f>
        <v/>
      </c>
      <c r="VJM48" s="84" t="str">
        <f>IF(ISNUMBER(outYear),VJM37+VJM42+#REF!+#REF!,"")</f>
        <v/>
      </c>
      <c r="VJN48" s="84" t="str">
        <f>IF(ISNUMBER(outYear),VJN37+VJN42+#REF!+#REF!,"")</f>
        <v/>
      </c>
      <c r="VJO48" s="84" t="str">
        <f>IF(ISNUMBER(outYear),VJO37+VJO42+#REF!+#REF!,"")</f>
        <v/>
      </c>
      <c r="VJP48" s="84" t="str">
        <f>IF(ISNUMBER(outYear),VJP37+VJP42+#REF!+#REF!,"")</f>
        <v/>
      </c>
      <c r="VJQ48" s="84" t="str">
        <f>IF(ISNUMBER(outYear),VJQ37+VJQ42+#REF!+#REF!,"")</f>
        <v/>
      </c>
      <c r="VJR48" s="84" t="str">
        <f>IF(ISNUMBER(outYear),VJR37+VJR42+#REF!+#REF!,"")</f>
        <v/>
      </c>
      <c r="VJS48" s="84" t="str">
        <f>IF(ISNUMBER(outYear),VJS37+VJS42+#REF!+#REF!,"")</f>
        <v/>
      </c>
      <c r="VJT48" s="84" t="str">
        <f>IF(ISNUMBER(outYear),VJT37+VJT42+#REF!+#REF!,"")</f>
        <v/>
      </c>
      <c r="VJU48" s="84" t="str">
        <f>IF(ISNUMBER(outYear),VJU37+VJU42+#REF!+#REF!,"")</f>
        <v/>
      </c>
      <c r="VJV48" s="84" t="str">
        <f>IF(ISNUMBER(outYear),VJV37+VJV42+#REF!+#REF!,"")</f>
        <v/>
      </c>
      <c r="VJW48" s="84" t="str">
        <f>IF(ISNUMBER(outYear),VJW37+VJW42+#REF!+#REF!,"")</f>
        <v/>
      </c>
      <c r="VJX48" s="84" t="str">
        <f>IF(ISNUMBER(outYear),VJX37+VJX42+#REF!+#REF!,"")</f>
        <v/>
      </c>
      <c r="VJY48" s="84" t="str">
        <f>IF(ISNUMBER(outYear),VJY37+VJY42+#REF!+#REF!,"")</f>
        <v/>
      </c>
      <c r="VJZ48" s="84" t="str">
        <f>IF(ISNUMBER(outYear),VJZ37+VJZ42+#REF!+#REF!,"")</f>
        <v/>
      </c>
      <c r="VKA48" s="84" t="str">
        <f>IF(ISNUMBER(outYear),VKA37+VKA42+#REF!+#REF!,"")</f>
        <v/>
      </c>
      <c r="VKB48" s="84" t="str">
        <f>IF(ISNUMBER(outYear),VKB37+VKB42+#REF!+#REF!,"")</f>
        <v/>
      </c>
      <c r="VKC48" s="84" t="str">
        <f>IF(ISNUMBER(outYear),VKC37+VKC42+#REF!+#REF!,"")</f>
        <v/>
      </c>
      <c r="VKD48" s="84" t="str">
        <f>IF(ISNUMBER(outYear),VKD37+VKD42+#REF!+#REF!,"")</f>
        <v/>
      </c>
      <c r="VKE48" s="84" t="str">
        <f>IF(ISNUMBER(outYear),VKE37+VKE42+#REF!+#REF!,"")</f>
        <v/>
      </c>
      <c r="VKF48" s="84" t="str">
        <f>IF(ISNUMBER(outYear),VKF37+VKF42+#REF!+#REF!,"")</f>
        <v/>
      </c>
      <c r="VKG48" s="84" t="str">
        <f>IF(ISNUMBER(outYear),VKG37+VKG42+#REF!+#REF!,"")</f>
        <v/>
      </c>
      <c r="VKH48" s="84" t="str">
        <f>IF(ISNUMBER(outYear),VKH37+VKH42+#REF!+#REF!,"")</f>
        <v/>
      </c>
      <c r="VKI48" s="84" t="str">
        <f>IF(ISNUMBER(outYear),VKI37+VKI42+#REF!+#REF!,"")</f>
        <v/>
      </c>
      <c r="VKJ48" s="84" t="str">
        <f>IF(ISNUMBER(outYear),VKJ37+VKJ42+#REF!+#REF!,"")</f>
        <v/>
      </c>
      <c r="VKK48" s="84" t="str">
        <f>IF(ISNUMBER(outYear),VKK37+VKK42+#REF!+#REF!,"")</f>
        <v/>
      </c>
      <c r="VKL48" s="84" t="str">
        <f>IF(ISNUMBER(outYear),VKL37+VKL42+#REF!+#REF!,"")</f>
        <v/>
      </c>
      <c r="VKM48" s="84" t="str">
        <f>IF(ISNUMBER(outYear),VKM37+VKM42+#REF!+#REF!,"")</f>
        <v/>
      </c>
      <c r="VKN48" s="84" t="str">
        <f>IF(ISNUMBER(outYear),VKN37+VKN42+#REF!+#REF!,"")</f>
        <v/>
      </c>
      <c r="VKO48" s="84" t="str">
        <f>IF(ISNUMBER(outYear),VKO37+VKO42+#REF!+#REF!,"")</f>
        <v/>
      </c>
      <c r="VKP48" s="84" t="str">
        <f>IF(ISNUMBER(outYear),VKP37+VKP42+#REF!+#REF!,"")</f>
        <v/>
      </c>
      <c r="VKQ48" s="84" t="str">
        <f>IF(ISNUMBER(outYear),VKQ37+VKQ42+#REF!+#REF!,"")</f>
        <v/>
      </c>
      <c r="VKR48" s="84" t="str">
        <f>IF(ISNUMBER(outYear),VKR37+VKR42+#REF!+#REF!,"")</f>
        <v/>
      </c>
      <c r="VKS48" s="84" t="str">
        <f>IF(ISNUMBER(outYear),VKS37+VKS42+#REF!+#REF!,"")</f>
        <v/>
      </c>
      <c r="VKT48" s="84" t="str">
        <f>IF(ISNUMBER(outYear),VKT37+VKT42+#REF!+#REF!,"")</f>
        <v/>
      </c>
      <c r="VKU48" s="84" t="str">
        <f>IF(ISNUMBER(outYear),VKU37+VKU42+#REF!+#REF!,"")</f>
        <v/>
      </c>
      <c r="VKV48" s="84" t="str">
        <f>IF(ISNUMBER(outYear),VKV37+VKV42+#REF!+#REF!,"")</f>
        <v/>
      </c>
      <c r="VKW48" s="84" t="str">
        <f>IF(ISNUMBER(outYear),VKW37+VKW42+#REF!+#REF!,"")</f>
        <v/>
      </c>
      <c r="VKX48" s="84" t="str">
        <f>IF(ISNUMBER(outYear),VKX37+VKX42+#REF!+#REF!,"")</f>
        <v/>
      </c>
      <c r="VKY48" s="84" t="str">
        <f>IF(ISNUMBER(outYear),VKY37+VKY42+#REF!+#REF!,"")</f>
        <v/>
      </c>
      <c r="VKZ48" s="84" t="str">
        <f>IF(ISNUMBER(outYear),VKZ37+VKZ42+#REF!+#REF!,"")</f>
        <v/>
      </c>
      <c r="VLA48" s="84" t="str">
        <f>IF(ISNUMBER(outYear),VLA37+VLA42+#REF!+#REF!,"")</f>
        <v/>
      </c>
      <c r="VLB48" s="84" t="str">
        <f>IF(ISNUMBER(outYear),VLB37+VLB42+#REF!+#REF!,"")</f>
        <v/>
      </c>
      <c r="VLC48" s="84" t="str">
        <f>IF(ISNUMBER(outYear),VLC37+VLC42+#REF!+#REF!,"")</f>
        <v/>
      </c>
      <c r="VLD48" s="84" t="str">
        <f>IF(ISNUMBER(outYear),VLD37+VLD42+#REF!+#REF!,"")</f>
        <v/>
      </c>
      <c r="VLE48" s="84" t="str">
        <f>IF(ISNUMBER(outYear),VLE37+VLE42+#REF!+#REF!,"")</f>
        <v/>
      </c>
      <c r="VLF48" s="84" t="str">
        <f>IF(ISNUMBER(outYear),VLF37+VLF42+#REF!+#REF!,"")</f>
        <v/>
      </c>
      <c r="VLG48" s="84" t="str">
        <f>IF(ISNUMBER(outYear),VLG37+VLG42+#REF!+#REF!,"")</f>
        <v/>
      </c>
      <c r="VLH48" s="84" t="str">
        <f>IF(ISNUMBER(outYear),VLH37+VLH42+#REF!+#REF!,"")</f>
        <v/>
      </c>
      <c r="VLI48" s="84" t="str">
        <f>IF(ISNUMBER(outYear),VLI37+VLI42+#REF!+#REF!,"")</f>
        <v/>
      </c>
      <c r="VLJ48" s="84" t="str">
        <f>IF(ISNUMBER(outYear),VLJ37+VLJ42+#REF!+#REF!,"")</f>
        <v/>
      </c>
      <c r="VLK48" s="84" t="str">
        <f>IF(ISNUMBER(outYear),VLK37+VLK42+#REF!+#REF!,"")</f>
        <v/>
      </c>
      <c r="VLL48" s="84" t="str">
        <f>IF(ISNUMBER(outYear),VLL37+VLL42+#REF!+#REF!,"")</f>
        <v/>
      </c>
      <c r="VLM48" s="84" t="str">
        <f>IF(ISNUMBER(outYear),VLM37+VLM42+#REF!+#REF!,"")</f>
        <v/>
      </c>
      <c r="VLN48" s="84" t="str">
        <f>IF(ISNUMBER(outYear),VLN37+VLN42+#REF!+#REF!,"")</f>
        <v/>
      </c>
      <c r="VLO48" s="84" t="str">
        <f>IF(ISNUMBER(outYear),VLO37+VLO42+#REF!+#REF!,"")</f>
        <v/>
      </c>
      <c r="VLP48" s="84" t="str">
        <f>IF(ISNUMBER(outYear),VLP37+VLP42+#REF!+#REF!,"")</f>
        <v/>
      </c>
      <c r="VLQ48" s="84" t="str">
        <f>IF(ISNUMBER(outYear),VLQ37+VLQ42+#REF!+#REF!,"")</f>
        <v/>
      </c>
      <c r="VLR48" s="84" t="str">
        <f>IF(ISNUMBER(outYear),VLR37+VLR42+#REF!+#REF!,"")</f>
        <v/>
      </c>
      <c r="VLS48" s="84" t="str">
        <f>IF(ISNUMBER(outYear),VLS37+VLS42+#REF!+#REF!,"")</f>
        <v/>
      </c>
      <c r="VLT48" s="84" t="str">
        <f>IF(ISNUMBER(outYear),VLT37+VLT42+#REF!+#REF!,"")</f>
        <v/>
      </c>
      <c r="VLU48" s="84" t="str">
        <f>IF(ISNUMBER(outYear),VLU37+VLU42+#REF!+#REF!,"")</f>
        <v/>
      </c>
      <c r="VLV48" s="84" t="str">
        <f>IF(ISNUMBER(outYear),VLV37+VLV42+#REF!+#REF!,"")</f>
        <v/>
      </c>
      <c r="VLW48" s="84" t="str">
        <f>IF(ISNUMBER(outYear),VLW37+VLW42+#REF!+#REF!,"")</f>
        <v/>
      </c>
      <c r="VLX48" s="84" t="str">
        <f>IF(ISNUMBER(outYear),VLX37+VLX42+#REF!+#REF!,"")</f>
        <v/>
      </c>
      <c r="VLY48" s="84" t="str">
        <f>IF(ISNUMBER(outYear),VLY37+VLY42+#REF!+#REF!,"")</f>
        <v/>
      </c>
      <c r="VLZ48" s="84" t="str">
        <f>IF(ISNUMBER(outYear),VLZ37+VLZ42+#REF!+#REF!,"")</f>
        <v/>
      </c>
      <c r="VMA48" s="84" t="str">
        <f>IF(ISNUMBER(outYear),VMA37+VMA42+#REF!+#REF!,"")</f>
        <v/>
      </c>
      <c r="VMB48" s="84" t="str">
        <f>IF(ISNUMBER(outYear),VMB37+VMB42+#REF!+#REF!,"")</f>
        <v/>
      </c>
      <c r="VMC48" s="84" t="str">
        <f>IF(ISNUMBER(outYear),VMC37+VMC42+#REF!+#REF!,"")</f>
        <v/>
      </c>
      <c r="VMD48" s="84" t="str">
        <f>IF(ISNUMBER(outYear),VMD37+VMD42+#REF!+#REF!,"")</f>
        <v/>
      </c>
      <c r="VME48" s="84" t="str">
        <f>IF(ISNUMBER(outYear),VME37+VME42+#REF!+#REF!,"")</f>
        <v/>
      </c>
      <c r="VMF48" s="84" t="str">
        <f>IF(ISNUMBER(outYear),VMF37+VMF42+#REF!+#REF!,"")</f>
        <v/>
      </c>
      <c r="VMG48" s="84" t="str">
        <f>IF(ISNUMBER(outYear),VMG37+VMG42+#REF!+#REF!,"")</f>
        <v/>
      </c>
      <c r="VMH48" s="84" t="str">
        <f>IF(ISNUMBER(outYear),VMH37+VMH42+#REF!+#REF!,"")</f>
        <v/>
      </c>
      <c r="VMI48" s="84" t="str">
        <f>IF(ISNUMBER(outYear),VMI37+VMI42+#REF!+#REF!,"")</f>
        <v/>
      </c>
      <c r="VMJ48" s="84" t="str">
        <f>IF(ISNUMBER(outYear),VMJ37+VMJ42+#REF!+#REF!,"")</f>
        <v/>
      </c>
      <c r="VMK48" s="84" t="str">
        <f>IF(ISNUMBER(outYear),VMK37+VMK42+#REF!+#REF!,"")</f>
        <v/>
      </c>
      <c r="VML48" s="84" t="str">
        <f>IF(ISNUMBER(outYear),VML37+VML42+#REF!+#REF!,"")</f>
        <v/>
      </c>
      <c r="VMM48" s="84" t="str">
        <f>IF(ISNUMBER(outYear),VMM37+VMM42+#REF!+#REF!,"")</f>
        <v/>
      </c>
      <c r="VMN48" s="84" t="str">
        <f>IF(ISNUMBER(outYear),VMN37+VMN42+#REF!+#REF!,"")</f>
        <v/>
      </c>
      <c r="VMO48" s="84" t="str">
        <f>IF(ISNUMBER(outYear),VMO37+VMO42+#REF!+#REF!,"")</f>
        <v/>
      </c>
      <c r="VMP48" s="84" t="str">
        <f>IF(ISNUMBER(outYear),VMP37+VMP42+#REF!+#REF!,"")</f>
        <v/>
      </c>
      <c r="VMQ48" s="84" t="str">
        <f>IF(ISNUMBER(outYear),VMQ37+VMQ42+#REF!+#REF!,"")</f>
        <v/>
      </c>
      <c r="VMR48" s="84" t="str">
        <f>IF(ISNUMBER(outYear),VMR37+VMR42+#REF!+#REF!,"")</f>
        <v/>
      </c>
      <c r="VMS48" s="84" t="str">
        <f>IF(ISNUMBER(outYear),VMS37+VMS42+#REF!+#REF!,"")</f>
        <v/>
      </c>
      <c r="VMT48" s="84" t="str">
        <f>IF(ISNUMBER(outYear),VMT37+VMT42+#REF!+#REF!,"")</f>
        <v/>
      </c>
      <c r="VMU48" s="84" t="str">
        <f>IF(ISNUMBER(outYear),VMU37+VMU42+#REF!+#REF!,"")</f>
        <v/>
      </c>
      <c r="VMV48" s="84" t="str">
        <f>IF(ISNUMBER(outYear),VMV37+VMV42+#REF!+#REF!,"")</f>
        <v/>
      </c>
      <c r="VMW48" s="84" t="str">
        <f>IF(ISNUMBER(outYear),VMW37+VMW42+#REF!+#REF!,"")</f>
        <v/>
      </c>
      <c r="VMX48" s="84" t="str">
        <f>IF(ISNUMBER(outYear),VMX37+VMX42+#REF!+#REF!,"")</f>
        <v/>
      </c>
      <c r="VMY48" s="84" t="str">
        <f>IF(ISNUMBER(outYear),VMY37+VMY42+#REF!+#REF!,"")</f>
        <v/>
      </c>
      <c r="VMZ48" s="84" t="str">
        <f>IF(ISNUMBER(outYear),VMZ37+VMZ42+#REF!+#REF!,"")</f>
        <v/>
      </c>
      <c r="VNA48" s="84" t="str">
        <f>IF(ISNUMBER(outYear),VNA37+VNA42+#REF!+#REF!,"")</f>
        <v/>
      </c>
      <c r="VNB48" s="84" t="str">
        <f>IF(ISNUMBER(outYear),VNB37+VNB42+#REF!+#REF!,"")</f>
        <v/>
      </c>
      <c r="VNC48" s="84" t="str">
        <f>IF(ISNUMBER(outYear),VNC37+VNC42+#REF!+#REF!,"")</f>
        <v/>
      </c>
      <c r="VND48" s="84" t="str">
        <f>IF(ISNUMBER(outYear),VND37+VND42+#REF!+#REF!,"")</f>
        <v/>
      </c>
      <c r="VNE48" s="84" t="str">
        <f>IF(ISNUMBER(outYear),VNE37+VNE42+#REF!+#REF!,"")</f>
        <v/>
      </c>
      <c r="VNF48" s="84" t="str">
        <f>IF(ISNUMBER(outYear),VNF37+VNF42+#REF!+#REF!,"")</f>
        <v/>
      </c>
      <c r="VNG48" s="84" t="str">
        <f>IF(ISNUMBER(outYear),VNG37+VNG42+#REF!+#REF!,"")</f>
        <v/>
      </c>
      <c r="VNH48" s="84" t="str">
        <f>IF(ISNUMBER(outYear),VNH37+VNH42+#REF!+#REF!,"")</f>
        <v/>
      </c>
      <c r="VNI48" s="84" t="str">
        <f>IF(ISNUMBER(outYear),VNI37+VNI42+#REF!+#REF!,"")</f>
        <v/>
      </c>
      <c r="VNJ48" s="84" t="str">
        <f>IF(ISNUMBER(outYear),VNJ37+VNJ42+#REF!+#REF!,"")</f>
        <v/>
      </c>
      <c r="VNK48" s="84" t="str">
        <f>IF(ISNUMBER(outYear),VNK37+VNK42+#REF!+#REF!,"")</f>
        <v/>
      </c>
      <c r="VNL48" s="84" t="str">
        <f>IF(ISNUMBER(outYear),VNL37+VNL42+#REF!+#REF!,"")</f>
        <v/>
      </c>
      <c r="VNM48" s="84" t="str">
        <f>IF(ISNUMBER(outYear),VNM37+VNM42+#REF!+#REF!,"")</f>
        <v/>
      </c>
      <c r="VNN48" s="84" t="str">
        <f>IF(ISNUMBER(outYear),VNN37+VNN42+#REF!+#REF!,"")</f>
        <v/>
      </c>
      <c r="VNO48" s="84" t="str">
        <f>IF(ISNUMBER(outYear),VNO37+VNO42+#REF!+#REF!,"")</f>
        <v/>
      </c>
      <c r="VNP48" s="84" t="str">
        <f>IF(ISNUMBER(outYear),VNP37+VNP42+#REF!+#REF!,"")</f>
        <v/>
      </c>
      <c r="VNQ48" s="84" t="str">
        <f>IF(ISNUMBER(outYear),VNQ37+VNQ42+#REF!+#REF!,"")</f>
        <v/>
      </c>
      <c r="VNR48" s="84" t="str">
        <f>IF(ISNUMBER(outYear),VNR37+VNR42+#REF!+#REF!,"")</f>
        <v/>
      </c>
      <c r="VNS48" s="84" t="str">
        <f>IF(ISNUMBER(outYear),VNS37+VNS42+#REF!+#REF!,"")</f>
        <v/>
      </c>
      <c r="VNT48" s="84" t="str">
        <f>IF(ISNUMBER(outYear),VNT37+VNT42+#REF!+#REF!,"")</f>
        <v/>
      </c>
      <c r="VNU48" s="84" t="str">
        <f>IF(ISNUMBER(outYear),VNU37+VNU42+#REF!+#REF!,"")</f>
        <v/>
      </c>
      <c r="VNV48" s="84" t="str">
        <f>IF(ISNUMBER(outYear),VNV37+VNV42+#REF!+#REF!,"")</f>
        <v/>
      </c>
      <c r="VNW48" s="84" t="str">
        <f>IF(ISNUMBER(outYear),VNW37+VNW42+#REF!+#REF!,"")</f>
        <v/>
      </c>
      <c r="VNX48" s="84" t="str">
        <f>IF(ISNUMBER(outYear),VNX37+VNX42+#REF!+#REF!,"")</f>
        <v/>
      </c>
      <c r="VNY48" s="84" t="str">
        <f>IF(ISNUMBER(outYear),VNY37+VNY42+#REF!+#REF!,"")</f>
        <v/>
      </c>
      <c r="VNZ48" s="84" t="str">
        <f>IF(ISNUMBER(outYear),VNZ37+VNZ42+#REF!+#REF!,"")</f>
        <v/>
      </c>
      <c r="VOA48" s="84" t="str">
        <f>IF(ISNUMBER(outYear),VOA37+VOA42+#REF!+#REF!,"")</f>
        <v/>
      </c>
      <c r="VOB48" s="84" t="str">
        <f>IF(ISNUMBER(outYear),VOB37+VOB42+#REF!+#REF!,"")</f>
        <v/>
      </c>
      <c r="VOC48" s="84" t="str">
        <f>IF(ISNUMBER(outYear),VOC37+VOC42+#REF!+#REF!,"")</f>
        <v/>
      </c>
      <c r="VOD48" s="84" t="str">
        <f>IF(ISNUMBER(outYear),VOD37+VOD42+#REF!+#REF!,"")</f>
        <v/>
      </c>
      <c r="VOE48" s="84" t="str">
        <f>IF(ISNUMBER(outYear),VOE37+VOE42+#REF!+#REF!,"")</f>
        <v/>
      </c>
      <c r="VOF48" s="84" t="str">
        <f>IF(ISNUMBER(outYear),VOF37+VOF42+#REF!+#REF!,"")</f>
        <v/>
      </c>
      <c r="VOG48" s="84" t="str">
        <f>IF(ISNUMBER(outYear),VOG37+VOG42+#REF!+#REF!,"")</f>
        <v/>
      </c>
      <c r="VOH48" s="84" t="str">
        <f>IF(ISNUMBER(outYear),VOH37+VOH42+#REF!+#REF!,"")</f>
        <v/>
      </c>
      <c r="VOI48" s="84" t="str">
        <f>IF(ISNUMBER(outYear),VOI37+VOI42+#REF!+#REF!,"")</f>
        <v/>
      </c>
      <c r="VOJ48" s="84" t="str">
        <f>IF(ISNUMBER(outYear),VOJ37+VOJ42+#REF!+#REF!,"")</f>
        <v/>
      </c>
      <c r="VOK48" s="84" t="str">
        <f>IF(ISNUMBER(outYear),VOK37+VOK42+#REF!+#REF!,"")</f>
        <v/>
      </c>
      <c r="VOL48" s="84" t="str">
        <f>IF(ISNUMBER(outYear),VOL37+VOL42+#REF!+#REF!,"")</f>
        <v/>
      </c>
      <c r="VOM48" s="84" t="str">
        <f>IF(ISNUMBER(outYear),VOM37+VOM42+#REF!+#REF!,"")</f>
        <v/>
      </c>
      <c r="VON48" s="84" t="str">
        <f>IF(ISNUMBER(outYear),VON37+VON42+#REF!+#REF!,"")</f>
        <v/>
      </c>
      <c r="VOO48" s="84" t="str">
        <f>IF(ISNUMBER(outYear),VOO37+VOO42+#REF!+#REF!,"")</f>
        <v/>
      </c>
      <c r="VOP48" s="84" t="str">
        <f>IF(ISNUMBER(outYear),VOP37+VOP42+#REF!+#REF!,"")</f>
        <v/>
      </c>
      <c r="VOQ48" s="84" t="str">
        <f>IF(ISNUMBER(outYear),VOQ37+VOQ42+#REF!+#REF!,"")</f>
        <v/>
      </c>
      <c r="VOR48" s="84" t="str">
        <f>IF(ISNUMBER(outYear),VOR37+VOR42+#REF!+#REF!,"")</f>
        <v/>
      </c>
      <c r="VOS48" s="84" t="str">
        <f>IF(ISNUMBER(outYear),VOS37+VOS42+#REF!+#REF!,"")</f>
        <v/>
      </c>
      <c r="VOT48" s="84" t="str">
        <f>IF(ISNUMBER(outYear),VOT37+VOT42+#REF!+#REF!,"")</f>
        <v/>
      </c>
      <c r="VOU48" s="84" t="str">
        <f>IF(ISNUMBER(outYear),VOU37+VOU42+#REF!+#REF!,"")</f>
        <v/>
      </c>
      <c r="VOV48" s="84" t="str">
        <f>IF(ISNUMBER(outYear),VOV37+VOV42+#REF!+#REF!,"")</f>
        <v/>
      </c>
      <c r="VOW48" s="84" t="str">
        <f>IF(ISNUMBER(outYear),VOW37+VOW42+#REF!+#REF!,"")</f>
        <v/>
      </c>
      <c r="VOX48" s="84" t="str">
        <f>IF(ISNUMBER(outYear),VOX37+VOX42+#REF!+#REF!,"")</f>
        <v/>
      </c>
      <c r="VOY48" s="84" t="str">
        <f>IF(ISNUMBER(outYear),VOY37+VOY42+#REF!+#REF!,"")</f>
        <v/>
      </c>
      <c r="VOZ48" s="84" t="str">
        <f>IF(ISNUMBER(outYear),VOZ37+VOZ42+#REF!+#REF!,"")</f>
        <v/>
      </c>
      <c r="VPA48" s="84" t="str">
        <f>IF(ISNUMBER(outYear),VPA37+VPA42+#REF!+#REF!,"")</f>
        <v/>
      </c>
      <c r="VPB48" s="84" t="str">
        <f>IF(ISNUMBER(outYear),VPB37+VPB42+#REF!+#REF!,"")</f>
        <v/>
      </c>
      <c r="VPC48" s="84" t="str">
        <f>IF(ISNUMBER(outYear),VPC37+VPC42+#REF!+#REF!,"")</f>
        <v/>
      </c>
      <c r="VPD48" s="84" t="str">
        <f>IF(ISNUMBER(outYear),VPD37+VPD42+#REF!+#REF!,"")</f>
        <v/>
      </c>
      <c r="VPE48" s="84" t="str">
        <f>IF(ISNUMBER(outYear),VPE37+VPE42+#REF!+#REF!,"")</f>
        <v/>
      </c>
      <c r="VPF48" s="84" t="str">
        <f>IF(ISNUMBER(outYear),VPF37+VPF42+#REF!+#REF!,"")</f>
        <v/>
      </c>
      <c r="VPG48" s="84" t="str">
        <f>IF(ISNUMBER(outYear),VPG37+VPG42+#REF!+#REF!,"")</f>
        <v/>
      </c>
      <c r="VPH48" s="84" t="str">
        <f>IF(ISNUMBER(outYear),VPH37+VPH42+#REF!+#REF!,"")</f>
        <v/>
      </c>
      <c r="VPI48" s="84" t="str">
        <f>IF(ISNUMBER(outYear),VPI37+VPI42+#REF!+#REF!,"")</f>
        <v/>
      </c>
      <c r="VPJ48" s="84" t="str">
        <f>IF(ISNUMBER(outYear),VPJ37+VPJ42+#REF!+#REF!,"")</f>
        <v/>
      </c>
      <c r="VPK48" s="84" t="str">
        <f>IF(ISNUMBER(outYear),VPK37+VPK42+#REF!+#REF!,"")</f>
        <v/>
      </c>
      <c r="VPL48" s="84" t="str">
        <f>IF(ISNUMBER(outYear),VPL37+VPL42+#REF!+#REF!,"")</f>
        <v/>
      </c>
      <c r="VPM48" s="84" t="str">
        <f>IF(ISNUMBER(outYear),VPM37+VPM42+#REF!+#REF!,"")</f>
        <v/>
      </c>
      <c r="VPN48" s="84" t="str">
        <f>IF(ISNUMBER(outYear),VPN37+VPN42+#REF!+#REF!,"")</f>
        <v/>
      </c>
      <c r="VPO48" s="84" t="str">
        <f>IF(ISNUMBER(outYear),VPO37+VPO42+#REF!+#REF!,"")</f>
        <v/>
      </c>
      <c r="VPP48" s="84" t="str">
        <f>IF(ISNUMBER(outYear),VPP37+VPP42+#REF!+#REF!,"")</f>
        <v/>
      </c>
      <c r="VPQ48" s="84" t="str">
        <f>IF(ISNUMBER(outYear),VPQ37+VPQ42+#REF!+#REF!,"")</f>
        <v/>
      </c>
      <c r="VPR48" s="84" t="str">
        <f>IF(ISNUMBER(outYear),VPR37+VPR42+#REF!+#REF!,"")</f>
        <v/>
      </c>
      <c r="VPS48" s="84" t="str">
        <f>IF(ISNUMBER(outYear),VPS37+VPS42+#REF!+#REF!,"")</f>
        <v/>
      </c>
      <c r="VPT48" s="84" t="str">
        <f>IF(ISNUMBER(outYear),VPT37+VPT42+#REF!+#REF!,"")</f>
        <v/>
      </c>
      <c r="VPU48" s="84" t="str">
        <f>IF(ISNUMBER(outYear),VPU37+VPU42+#REF!+#REF!,"")</f>
        <v/>
      </c>
      <c r="VPV48" s="84" t="str">
        <f>IF(ISNUMBER(outYear),VPV37+VPV42+#REF!+#REF!,"")</f>
        <v/>
      </c>
      <c r="VPW48" s="84" t="str">
        <f>IF(ISNUMBER(outYear),VPW37+VPW42+#REF!+#REF!,"")</f>
        <v/>
      </c>
      <c r="VPX48" s="84" t="str">
        <f>IF(ISNUMBER(outYear),VPX37+VPX42+#REF!+#REF!,"")</f>
        <v/>
      </c>
      <c r="VPY48" s="84" t="str">
        <f>IF(ISNUMBER(outYear),VPY37+VPY42+#REF!+#REF!,"")</f>
        <v/>
      </c>
      <c r="VPZ48" s="84" t="str">
        <f>IF(ISNUMBER(outYear),VPZ37+VPZ42+#REF!+#REF!,"")</f>
        <v/>
      </c>
      <c r="VQA48" s="84" t="str">
        <f>IF(ISNUMBER(outYear),VQA37+VQA42+#REF!+#REF!,"")</f>
        <v/>
      </c>
      <c r="VQB48" s="84" t="str">
        <f>IF(ISNUMBER(outYear),VQB37+VQB42+#REF!+#REF!,"")</f>
        <v/>
      </c>
      <c r="VQC48" s="84" t="str">
        <f>IF(ISNUMBER(outYear),VQC37+VQC42+#REF!+#REF!,"")</f>
        <v/>
      </c>
      <c r="VQD48" s="84" t="str">
        <f>IF(ISNUMBER(outYear),VQD37+VQD42+#REF!+#REF!,"")</f>
        <v/>
      </c>
      <c r="VQE48" s="84" t="str">
        <f>IF(ISNUMBER(outYear),VQE37+VQE42+#REF!+#REF!,"")</f>
        <v/>
      </c>
      <c r="VQF48" s="84" t="str">
        <f>IF(ISNUMBER(outYear),VQF37+VQF42+#REF!+#REF!,"")</f>
        <v/>
      </c>
      <c r="VQG48" s="84" t="str">
        <f>IF(ISNUMBER(outYear),VQG37+VQG42+#REF!+#REF!,"")</f>
        <v/>
      </c>
      <c r="VQH48" s="84" t="str">
        <f>IF(ISNUMBER(outYear),VQH37+VQH42+#REF!+#REF!,"")</f>
        <v/>
      </c>
      <c r="VQI48" s="84" t="str">
        <f>IF(ISNUMBER(outYear),VQI37+VQI42+#REF!+#REF!,"")</f>
        <v/>
      </c>
      <c r="VQJ48" s="84" t="str">
        <f>IF(ISNUMBER(outYear),VQJ37+VQJ42+#REF!+#REF!,"")</f>
        <v/>
      </c>
      <c r="VQK48" s="84" t="str">
        <f>IF(ISNUMBER(outYear),VQK37+VQK42+#REF!+#REF!,"")</f>
        <v/>
      </c>
      <c r="VQL48" s="84" t="str">
        <f>IF(ISNUMBER(outYear),VQL37+VQL42+#REF!+#REF!,"")</f>
        <v/>
      </c>
      <c r="VQM48" s="84" t="str">
        <f>IF(ISNUMBER(outYear),VQM37+VQM42+#REF!+#REF!,"")</f>
        <v/>
      </c>
      <c r="VQN48" s="84" t="str">
        <f>IF(ISNUMBER(outYear),VQN37+VQN42+#REF!+#REF!,"")</f>
        <v/>
      </c>
      <c r="VQO48" s="84" t="str">
        <f>IF(ISNUMBER(outYear),VQO37+VQO42+#REF!+#REF!,"")</f>
        <v/>
      </c>
      <c r="VQP48" s="84" t="str">
        <f>IF(ISNUMBER(outYear),VQP37+VQP42+#REF!+#REF!,"")</f>
        <v/>
      </c>
      <c r="VQQ48" s="84" t="str">
        <f>IF(ISNUMBER(outYear),VQQ37+VQQ42+#REF!+#REF!,"")</f>
        <v/>
      </c>
      <c r="VQR48" s="84" t="str">
        <f>IF(ISNUMBER(outYear),VQR37+VQR42+#REF!+#REF!,"")</f>
        <v/>
      </c>
      <c r="VQS48" s="84" t="str">
        <f>IF(ISNUMBER(outYear),VQS37+VQS42+#REF!+#REF!,"")</f>
        <v/>
      </c>
      <c r="VQT48" s="84" t="str">
        <f>IF(ISNUMBER(outYear),VQT37+VQT42+#REF!+#REF!,"")</f>
        <v/>
      </c>
      <c r="VQU48" s="84" t="str">
        <f>IF(ISNUMBER(outYear),VQU37+VQU42+#REF!+#REF!,"")</f>
        <v/>
      </c>
      <c r="VQV48" s="84" t="str">
        <f>IF(ISNUMBER(outYear),VQV37+VQV42+#REF!+#REF!,"")</f>
        <v/>
      </c>
      <c r="VQW48" s="84" t="str">
        <f>IF(ISNUMBER(outYear),VQW37+VQW42+#REF!+#REF!,"")</f>
        <v/>
      </c>
      <c r="VQX48" s="84" t="str">
        <f>IF(ISNUMBER(outYear),VQX37+VQX42+#REF!+#REF!,"")</f>
        <v/>
      </c>
      <c r="VQY48" s="84" t="str">
        <f>IF(ISNUMBER(outYear),VQY37+VQY42+#REF!+#REF!,"")</f>
        <v/>
      </c>
      <c r="VQZ48" s="84" t="str">
        <f>IF(ISNUMBER(outYear),VQZ37+VQZ42+#REF!+#REF!,"")</f>
        <v/>
      </c>
      <c r="VRA48" s="84" t="str">
        <f>IF(ISNUMBER(outYear),VRA37+VRA42+#REF!+#REF!,"")</f>
        <v/>
      </c>
      <c r="VRB48" s="84" t="str">
        <f>IF(ISNUMBER(outYear),VRB37+VRB42+#REF!+#REF!,"")</f>
        <v/>
      </c>
      <c r="VRC48" s="84" t="str">
        <f>IF(ISNUMBER(outYear),VRC37+VRC42+#REF!+#REF!,"")</f>
        <v/>
      </c>
      <c r="VRD48" s="84" t="str">
        <f>IF(ISNUMBER(outYear),VRD37+VRD42+#REF!+#REF!,"")</f>
        <v/>
      </c>
      <c r="VRE48" s="84" t="str">
        <f>IF(ISNUMBER(outYear),VRE37+VRE42+#REF!+#REF!,"")</f>
        <v/>
      </c>
      <c r="VRF48" s="84" t="str">
        <f>IF(ISNUMBER(outYear),VRF37+VRF42+#REF!+#REF!,"")</f>
        <v/>
      </c>
      <c r="VRG48" s="84" t="str">
        <f>IF(ISNUMBER(outYear),VRG37+VRG42+#REF!+#REF!,"")</f>
        <v/>
      </c>
      <c r="VRH48" s="84" t="str">
        <f>IF(ISNUMBER(outYear),VRH37+VRH42+#REF!+#REF!,"")</f>
        <v/>
      </c>
      <c r="VRI48" s="84" t="str">
        <f>IF(ISNUMBER(outYear),VRI37+VRI42+#REF!+#REF!,"")</f>
        <v/>
      </c>
      <c r="VRJ48" s="84" t="str">
        <f>IF(ISNUMBER(outYear),VRJ37+VRJ42+#REF!+#REF!,"")</f>
        <v/>
      </c>
      <c r="VRK48" s="84" t="str">
        <f>IF(ISNUMBER(outYear),VRK37+VRK42+#REF!+#REF!,"")</f>
        <v/>
      </c>
      <c r="VRL48" s="84" t="str">
        <f>IF(ISNUMBER(outYear),VRL37+VRL42+#REF!+#REF!,"")</f>
        <v/>
      </c>
      <c r="VRM48" s="84" t="str">
        <f>IF(ISNUMBER(outYear),VRM37+VRM42+#REF!+#REF!,"")</f>
        <v/>
      </c>
      <c r="VRN48" s="84" t="str">
        <f>IF(ISNUMBER(outYear),VRN37+VRN42+#REF!+#REF!,"")</f>
        <v/>
      </c>
      <c r="VRO48" s="84" t="str">
        <f>IF(ISNUMBER(outYear),VRO37+VRO42+#REF!+#REF!,"")</f>
        <v/>
      </c>
      <c r="VRP48" s="84" t="str">
        <f>IF(ISNUMBER(outYear),VRP37+VRP42+#REF!+#REF!,"")</f>
        <v/>
      </c>
      <c r="VRQ48" s="84" t="str">
        <f>IF(ISNUMBER(outYear),VRQ37+VRQ42+#REF!+#REF!,"")</f>
        <v/>
      </c>
      <c r="VRR48" s="84" t="str">
        <f>IF(ISNUMBER(outYear),VRR37+VRR42+#REF!+#REF!,"")</f>
        <v/>
      </c>
      <c r="VRS48" s="84" t="str">
        <f>IF(ISNUMBER(outYear),VRS37+VRS42+#REF!+#REF!,"")</f>
        <v/>
      </c>
      <c r="VRT48" s="84" t="str">
        <f>IF(ISNUMBER(outYear),VRT37+VRT42+#REF!+#REF!,"")</f>
        <v/>
      </c>
      <c r="VRU48" s="84" t="str">
        <f>IF(ISNUMBER(outYear),VRU37+VRU42+#REF!+#REF!,"")</f>
        <v/>
      </c>
      <c r="VRV48" s="84" t="str">
        <f>IF(ISNUMBER(outYear),VRV37+VRV42+#REF!+#REF!,"")</f>
        <v/>
      </c>
      <c r="VRW48" s="84" t="str">
        <f>IF(ISNUMBER(outYear),VRW37+VRW42+#REF!+#REF!,"")</f>
        <v/>
      </c>
      <c r="VRX48" s="84" t="str">
        <f>IF(ISNUMBER(outYear),VRX37+VRX42+#REF!+#REF!,"")</f>
        <v/>
      </c>
      <c r="VRY48" s="84" t="str">
        <f>IF(ISNUMBER(outYear),VRY37+VRY42+#REF!+#REF!,"")</f>
        <v/>
      </c>
      <c r="VRZ48" s="84" t="str">
        <f>IF(ISNUMBER(outYear),VRZ37+VRZ42+#REF!+#REF!,"")</f>
        <v/>
      </c>
      <c r="VSA48" s="84" t="str">
        <f>IF(ISNUMBER(outYear),VSA37+VSA42+#REF!+#REF!,"")</f>
        <v/>
      </c>
      <c r="VSB48" s="84" t="str">
        <f>IF(ISNUMBER(outYear),VSB37+VSB42+#REF!+#REF!,"")</f>
        <v/>
      </c>
      <c r="VSC48" s="84" t="str">
        <f>IF(ISNUMBER(outYear),VSC37+VSC42+#REF!+#REF!,"")</f>
        <v/>
      </c>
      <c r="VSD48" s="84" t="str">
        <f>IF(ISNUMBER(outYear),VSD37+VSD42+#REF!+#REF!,"")</f>
        <v/>
      </c>
      <c r="VSE48" s="84" t="str">
        <f>IF(ISNUMBER(outYear),VSE37+VSE42+#REF!+#REF!,"")</f>
        <v/>
      </c>
      <c r="VSF48" s="84" t="str">
        <f>IF(ISNUMBER(outYear),VSF37+VSF42+#REF!+#REF!,"")</f>
        <v/>
      </c>
      <c r="VSG48" s="84" t="str">
        <f>IF(ISNUMBER(outYear),VSG37+VSG42+#REF!+#REF!,"")</f>
        <v/>
      </c>
      <c r="VSH48" s="84" t="str">
        <f>IF(ISNUMBER(outYear),VSH37+VSH42+#REF!+#REF!,"")</f>
        <v/>
      </c>
      <c r="VSI48" s="84" t="str">
        <f>IF(ISNUMBER(outYear),VSI37+VSI42+#REF!+#REF!,"")</f>
        <v/>
      </c>
      <c r="VSJ48" s="84" t="str">
        <f>IF(ISNUMBER(outYear),VSJ37+VSJ42+#REF!+#REF!,"")</f>
        <v/>
      </c>
      <c r="VSK48" s="84" t="str">
        <f>IF(ISNUMBER(outYear),VSK37+VSK42+#REF!+#REF!,"")</f>
        <v/>
      </c>
      <c r="VSL48" s="84" t="str">
        <f>IF(ISNUMBER(outYear),VSL37+VSL42+#REF!+#REF!,"")</f>
        <v/>
      </c>
      <c r="VSM48" s="84" t="str">
        <f>IF(ISNUMBER(outYear),VSM37+VSM42+#REF!+#REF!,"")</f>
        <v/>
      </c>
      <c r="VSN48" s="84" t="str">
        <f>IF(ISNUMBER(outYear),VSN37+VSN42+#REF!+#REF!,"")</f>
        <v/>
      </c>
      <c r="VSO48" s="84" t="str">
        <f>IF(ISNUMBER(outYear),VSO37+VSO42+#REF!+#REF!,"")</f>
        <v/>
      </c>
      <c r="VSP48" s="84" t="str">
        <f>IF(ISNUMBER(outYear),VSP37+VSP42+#REF!+#REF!,"")</f>
        <v/>
      </c>
      <c r="VSQ48" s="84" t="str">
        <f>IF(ISNUMBER(outYear),VSQ37+VSQ42+#REF!+#REF!,"")</f>
        <v/>
      </c>
      <c r="VSR48" s="84" t="str">
        <f>IF(ISNUMBER(outYear),VSR37+VSR42+#REF!+#REF!,"")</f>
        <v/>
      </c>
      <c r="VSS48" s="84" t="str">
        <f>IF(ISNUMBER(outYear),VSS37+VSS42+#REF!+#REF!,"")</f>
        <v/>
      </c>
      <c r="VST48" s="84" t="str">
        <f>IF(ISNUMBER(outYear),VST37+VST42+#REF!+#REF!,"")</f>
        <v/>
      </c>
      <c r="VSU48" s="84" t="str">
        <f>IF(ISNUMBER(outYear),VSU37+VSU42+#REF!+#REF!,"")</f>
        <v/>
      </c>
      <c r="VSV48" s="84" t="str">
        <f>IF(ISNUMBER(outYear),VSV37+VSV42+#REF!+#REF!,"")</f>
        <v/>
      </c>
      <c r="VSW48" s="84" t="str">
        <f>IF(ISNUMBER(outYear),VSW37+VSW42+#REF!+#REF!,"")</f>
        <v/>
      </c>
      <c r="VSX48" s="84" t="str">
        <f>IF(ISNUMBER(outYear),VSX37+VSX42+#REF!+#REF!,"")</f>
        <v/>
      </c>
      <c r="VSY48" s="84" t="str">
        <f>IF(ISNUMBER(outYear),VSY37+VSY42+#REF!+#REF!,"")</f>
        <v/>
      </c>
      <c r="VSZ48" s="84" t="str">
        <f>IF(ISNUMBER(outYear),VSZ37+VSZ42+#REF!+#REF!,"")</f>
        <v/>
      </c>
      <c r="VTA48" s="84" t="str">
        <f>IF(ISNUMBER(outYear),VTA37+VTA42+#REF!+#REF!,"")</f>
        <v/>
      </c>
      <c r="VTB48" s="84" t="str">
        <f>IF(ISNUMBER(outYear),VTB37+VTB42+#REF!+#REF!,"")</f>
        <v/>
      </c>
      <c r="VTC48" s="84" t="str">
        <f>IF(ISNUMBER(outYear),VTC37+VTC42+#REF!+#REF!,"")</f>
        <v/>
      </c>
      <c r="VTD48" s="84" t="str">
        <f>IF(ISNUMBER(outYear),VTD37+VTD42+#REF!+#REF!,"")</f>
        <v/>
      </c>
      <c r="VTE48" s="84" t="str">
        <f>IF(ISNUMBER(outYear),VTE37+VTE42+#REF!+#REF!,"")</f>
        <v/>
      </c>
      <c r="VTF48" s="84" t="str">
        <f>IF(ISNUMBER(outYear),VTF37+VTF42+#REF!+#REF!,"")</f>
        <v/>
      </c>
      <c r="VTG48" s="84" t="str">
        <f>IF(ISNUMBER(outYear),VTG37+VTG42+#REF!+#REF!,"")</f>
        <v/>
      </c>
      <c r="VTH48" s="84" t="str">
        <f>IF(ISNUMBER(outYear),VTH37+VTH42+#REF!+#REF!,"")</f>
        <v/>
      </c>
      <c r="VTI48" s="84" t="str">
        <f>IF(ISNUMBER(outYear),VTI37+VTI42+#REF!+#REF!,"")</f>
        <v/>
      </c>
      <c r="VTJ48" s="84" t="str">
        <f>IF(ISNUMBER(outYear),VTJ37+VTJ42+#REF!+#REF!,"")</f>
        <v/>
      </c>
      <c r="VTK48" s="84" t="str">
        <f>IF(ISNUMBER(outYear),VTK37+VTK42+#REF!+#REF!,"")</f>
        <v/>
      </c>
      <c r="VTL48" s="84" t="str">
        <f>IF(ISNUMBER(outYear),VTL37+VTL42+#REF!+#REF!,"")</f>
        <v/>
      </c>
      <c r="VTM48" s="84" t="str">
        <f>IF(ISNUMBER(outYear),VTM37+VTM42+#REF!+#REF!,"")</f>
        <v/>
      </c>
      <c r="VTN48" s="84" t="str">
        <f>IF(ISNUMBER(outYear),VTN37+VTN42+#REF!+#REF!,"")</f>
        <v/>
      </c>
      <c r="VTO48" s="84" t="str">
        <f>IF(ISNUMBER(outYear),VTO37+VTO42+#REF!+#REF!,"")</f>
        <v/>
      </c>
      <c r="VTP48" s="84" t="str">
        <f>IF(ISNUMBER(outYear),VTP37+VTP42+#REF!+#REF!,"")</f>
        <v/>
      </c>
      <c r="VTQ48" s="84" t="str">
        <f>IF(ISNUMBER(outYear),VTQ37+VTQ42+#REF!+#REF!,"")</f>
        <v/>
      </c>
      <c r="VTR48" s="84" t="str">
        <f>IF(ISNUMBER(outYear),VTR37+VTR42+#REF!+#REF!,"")</f>
        <v/>
      </c>
      <c r="VTS48" s="84" t="str">
        <f>IF(ISNUMBER(outYear),VTS37+VTS42+#REF!+#REF!,"")</f>
        <v/>
      </c>
      <c r="VTT48" s="84" t="str">
        <f>IF(ISNUMBER(outYear),VTT37+VTT42+#REF!+#REF!,"")</f>
        <v/>
      </c>
      <c r="VTU48" s="84" t="str">
        <f>IF(ISNUMBER(outYear),VTU37+VTU42+#REF!+#REF!,"")</f>
        <v/>
      </c>
      <c r="VTV48" s="84" t="str">
        <f>IF(ISNUMBER(outYear),VTV37+VTV42+#REF!+#REF!,"")</f>
        <v/>
      </c>
      <c r="VTW48" s="84" t="str">
        <f>IF(ISNUMBER(outYear),VTW37+VTW42+#REF!+#REF!,"")</f>
        <v/>
      </c>
      <c r="VTX48" s="84" t="str">
        <f>IF(ISNUMBER(outYear),VTX37+VTX42+#REF!+#REF!,"")</f>
        <v/>
      </c>
      <c r="VTY48" s="84" t="str">
        <f>IF(ISNUMBER(outYear),VTY37+VTY42+#REF!+#REF!,"")</f>
        <v/>
      </c>
      <c r="VTZ48" s="84" t="str">
        <f>IF(ISNUMBER(outYear),VTZ37+VTZ42+#REF!+#REF!,"")</f>
        <v/>
      </c>
      <c r="VUA48" s="84" t="str">
        <f>IF(ISNUMBER(outYear),VUA37+VUA42+#REF!+#REF!,"")</f>
        <v/>
      </c>
      <c r="VUB48" s="84" t="str">
        <f>IF(ISNUMBER(outYear),VUB37+VUB42+#REF!+#REF!,"")</f>
        <v/>
      </c>
      <c r="VUC48" s="84" t="str">
        <f>IF(ISNUMBER(outYear),VUC37+VUC42+#REF!+#REF!,"")</f>
        <v/>
      </c>
      <c r="VUD48" s="84" t="str">
        <f>IF(ISNUMBER(outYear),VUD37+VUD42+#REF!+#REF!,"")</f>
        <v/>
      </c>
      <c r="VUE48" s="84" t="str">
        <f>IF(ISNUMBER(outYear),VUE37+VUE42+#REF!+#REF!,"")</f>
        <v/>
      </c>
      <c r="VUF48" s="84" t="str">
        <f>IF(ISNUMBER(outYear),VUF37+VUF42+#REF!+#REF!,"")</f>
        <v/>
      </c>
      <c r="VUG48" s="84" t="str">
        <f>IF(ISNUMBER(outYear),VUG37+VUG42+#REF!+#REF!,"")</f>
        <v/>
      </c>
      <c r="VUH48" s="84" t="str">
        <f>IF(ISNUMBER(outYear),VUH37+VUH42+#REF!+#REF!,"")</f>
        <v/>
      </c>
      <c r="VUI48" s="84" t="str">
        <f>IF(ISNUMBER(outYear),VUI37+VUI42+#REF!+#REF!,"")</f>
        <v/>
      </c>
      <c r="VUJ48" s="84" t="str">
        <f>IF(ISNUMBER(outYear),VUJ37+VUJ42+#REF!+#REF!,"")</f>
        <v/>
      </c>
      <c r="VUK48" s="84" t="str">
        <f>IF(ISNUMBER(outYear),VUK37+VUK42+#REF!+#REF!,"")</f>
        <v/>
      </c>
      <c r="VUL48" s="84" t="str">
        <f>IF(ISNUMBER(outYear),VUL37+VUL42+#REF!+#REF!,"")</f>
        <v/>
      </c>
      <c r="VUM48" s="84" t="str">
        <f>IF(ISNUMBER(outYear),VUM37+VUM42+#REF!+#REF!,"")</f>
        <v/>
      </c>
      <c r="VUN48" s="84" t="str">
        <f>IF(ISNUMBER(outYear),VUN37+VUN42+#REF!+#REF!,"")</f>
        <v/>
      </c>
      <c r="VUO48" s="84" t="str">
        <f>IF(ISNUMBER(outYear),VUO37+VUO42+#REF!+#REF!,"")</f>
        <v/>
      </c>
      <c r="VUP48" s="84" t="str">
        <f>IF(ISNUMBER(outYear),VUP37+VUP42+#REF!+#REF!,"")</f>
        <v/>
      </c>
      <c r="VUQ48" s="84" t="str">
        <f>IF(ISNUMBER(outYear),VUQ37+VUQ42+#REF!+#REF!,"")</f>
        <v/>
      </c>
      <c r="VUR48" s="84" t="str">
        <f>IF(ISNUMBER(outYear),VUR37+VUR42+#REF!+#REF!,"")</f>
        <v/>
      </c>
      <c r="VUS48" s="84" t="str">
        <f>IF(ISNUMBER(outYear),VUS37+VUS42+#REF!+#REF!,"")</f>
        <v/>
      </c>
      <c r="VUT48" s="84" t="str">
        <f>IF(ISNUMBER(outYear),VUT37+VUT42+#REF!+#REF!,"")</f>
        <v/>
      </c>
      <c r="VUU48" s="84" t="str">
        <f>IF(ISNUMBER(outYear),VUU37+VUU42+#REF!+#REF!,"")</f>
        <v/>
      </c>
      <c r="VUV48" s="84" t="str">
        <f>IF(ISNUMBER(outYear),VUV37+VUV42+#REF!+#REF!,"")</f>
        <v/>
      </c>
      <c r="VUW48" s="84" t="str">
        <f>IF(ISNUMBER(outYear),VUW37+VUW42+#REF!+#REF!,"")</f>
        <v/>
      </c>
      <c r="VUX48" s="84" t="str">
        <f>IF(ISNUMBER(outYear),VUX37+VUX42+#REF!+#REF!,"")</f>
        <v/>
      </c>
      <c r="VUY48" s="84" t="str">
        <f>IF(ISNUMBER(outYear),VUY37+VUY42+#REF!+#REF!,"")</f>
        <v/>
      </c>
      <c r="VUZ48" s="84" t="str">
        <f>IF(ISNUMBER(outYear),VUZ37+VUZ42+#REF!+#REF!,"")</f>
        <v/>
      </c>
      <c r="VVA48" s="84" t="str">
        <f>IF(ISNUMBER(outYear),VVA37+VVA42+#REF!+#REF!,"")</f>
        <v/>
      </c>
      <c r="VVB48" s="84" t="str">
        <f>IF(ISNUMBER(outYear),VVB37+VVB42+#REF!+#REF!,"")</f>
        <v/>
      </c>
      <c r="VVC48" s="84" t="str">
        <f>IF(ISNUMBER(outYear),VVC37+VVC42+#REF!+#REF!,"")</f>
        <v/>
      </c>
      <c r="VVD48" s="84" t="str">
        <f>IF(ISNUMBER(outYear),VVD37+VVD42+#REF!+#REF!,"")</f>
        <v/>
      </c>
      <c r="VVE48" s="84" t="str">
        <f>IF(ISNUMBER(outYear),VVE37+VVE42+#REF!+#REF!,"")</f>
        <v/>
      </c>
      <c r="VVF48" s="84" t="str">
        <f>IF(ISNUMBER(outYear),VVF37+VVF42+#REF!+#REF!,"")</f>
        <v/>
      </c>
      <c r="VVG48" s="84" t="str">
        <f>IF(ISNUMBER(outYear),VVG37+VVG42+#REF!+#REF!,"")</f>
        <v/>
      </c>
      <c r="VVH48" s="84" t="str">
        <f>IF(ISNUMBER(outYear),VVH37+VVH42+#REF!+#REF!,"")</f>
        <v/>
      </c>
      <c r="VVI48" s="84" t="str">
        <f>IF(ISNUMBER(outYear),VVI37+VVI42+#REF!+#REF!,"")</f>
        <v/>
      </c>
      <c r="VVJ48" s="84" t="str">
        <f>IF(ISNUMBER(outYear),VVJ37+VVJ42+#REF!+#REF!,"")</f>
        <v/>
      </c>
      <c r="VVK48" s="84" t="str">
        <f>IF(ISNUMBER(outYear),VVK37+VVK42+#REF!+#REF!,"")</f>
        <v/>
      </c>
      <c r="VVL48" s="84" t="str">
        <f>IF(ISNUMBER(outYear),VVL37+VVL42+#REF!+#REF!,"")</f>
        <v/>
      </c>
      <c r="VVM48" s="84" t="str">
        <f>IF(ISNUMBER(outYear),VVM37+VVM42+#REF!+#REF!,"")</f>
        <v/>
      </c>
      <c r="VVN48" s="84" t="str">
        <f>IF(ISNUMBER(outYear),VVN37+VVN42+#REF!+#REF!,"")</f>
        <v/>
      </c>
      <c r="VVO48" s="84" t="str">
        <f>IF(ISNUMBER(outYear),VVO37+VVO42+#REF!+#REF!,"")</f>
        <v/>
      </c>
      <c r="VVP48" s="84" t="str">
        <f>IF(ISNUMBER(outYear),VVP37+VVP42+#REF!+#REF!,"")</f>
        <v/>
      </c>
      <c r="VVQ48" s="84" t="str">
        <f>IF(ISNUMBER(outYear),VVQ37+VVQ42+#REF!+#REF!,"")</f>
        <v/>
      </c>
      <c r="VVR48" s="84" t="str">
        <f>IF(ISNUMBER(outYear),VVR37+VVR42+#REF!+#REF!,"")</f>
        <v/>
      </c>
      <c r="VVS48" s="84" t="str">
        <f>IF(ISNUMBER(outYear),VVS37+VVS42+#REF!+#REF!,"")</f>
        <v/>
      </c>
      <c r="VVT48" s="84" t="str">
        <f>IF(ISNUMBER(outYear),VVT37+VVT42+#REF!+#REF!,"")</f>
        <v/>
      </c>
      <c r="VVU48" s="84" t="str">
        <f>IF(ISNUMBER(outYear),VVU37+VVU42+#REF!+#REF!,"")</f>
        <v/>
      </c>
      <c r="VVV48" s="84" t="str">
        <f>IF(ISNUMBER(outYear),VVV37+VVV42+#REF!+#REF!,"")</f>
        <v/>
      </c>
      <c r="VVW48" s="84" t="str">
        <f>IF(ISNUMBER(outYear),VVW37+VVW42+#REF!+#REF!,"")</f>
        <v/>
      </c>
      <c r="VVX48" s="84" t="str">
        <f>IF(ISNUMBER(outYear),VVX37+VVX42+#REF!+#REF!,"")</f>
        <v/>
      </c>
      <c r="VVY48" s="84" t="str">
        <f>IF(ISNUMBER(outYear),VVY37+VVY42+#REF!+#REF!,"")</f>
        <v/>
      </c>
      <c r="VVZ48" s="84" t="str">
        <f>IF(ISNUMBER(outYear),VVZ37+VVZ42+#REF!+#REF!,"")</f>
        <v/>
      </c>
      <c r="VWA48" s="84" t="str">
        <f>IF(ISNUMBER(outYear),VWA37+VWA42+#REF!+#REF!,"")</f>
        <v/>
      </c>
      <c r="VWB48" s="84" t="str">
        <f>IF(ISNUMBER(outYear),VWB37+VWB42+#REF!+#REF!,"")</f>
        <v/>
      </c>
      <c r="VWC48" s="84" t="str">
        <f>IF(ISNUMBER(outYear),VWC37+VWC42+#REF!+#REF!,"")</f>
        <v/>
      </c>
      <c r="VWD48" s="84" t="str">
        <f>IF(ISNUMBER(outYear),VWD37+VWD42+#REF!+#REF!,"")</f>
        <v/>
      </c>
      <c r="VWE48" s="84" t="str">
        <f>IF(ISNUMBER(outYear),VWE37+VWE42+#REF!+#REF!,"")</f>
        <v/>
      </c>
      <c r="VWF48" s="84" t="str">
        <f>IF(ISNUMBER(outYear),VWF37+VWF42+#REF!+#REF!,"")</f>
        <v/>
      </c>
      <c r="VWG48" s="84" t="str">
        <f>IF(ISNUMBER(outYear),VWG37+VWG42+#REF!+#REF!,"")</f>
        <v/>
      </c>
      <c r="VWH48" s="84" t="str">
        <f>IF(ISNUMBER(outYear),VWH37+VWH42+#REF!+#REF!,"")</f>
        <v/>
      </c>
      <c r="VWI48" s="84" t="str">
        <f>IF(ISNUMBER(outYear),VWI37+VWI42+#REF!+#REF!,"")</f>
        <v/>
      </c>
      <c r="VWJ48" s="84" t="str">
        <f>IF(ISNUMBER(outYear),VWJ37+VWJ42+#REF!+#REF!,"")</f>
        <v/>
      </c>
      <c r="VWK48" s="84" t="str">
        <f>IF(ISNUMBER(outYear),VWK37+VWK42+#REF!+#REF!,"")</f>
        <v/>
      </c>
      <c r="VWL48" s="84" t="str">
        <f>IF(ISNUMBER(outYear),VWL37+VWL42+#REF!+#REF!,"")</f>
        <v/>
      </c>
      <c r="VWM48" s="84" t="str">
        <f>IF(ISNUMBER(outYear),VWM37+VWM42+#REF!+#REF!,"")</f>
        <v/>
      </c>
      <c r="VWN48" s="84" t="str">
        <f>IF(ISNUMBER(outYear),VWN37+VWN42+#REF!+#REF!,"")</f>
        <v/>
      </c>
      <c r="VWO48" s="84" t="str">
        <f>IF(ISNUMBER(outYear),VWO37+VWO42+#REF!+#REF!,"")</f>
        <v/>
      </c>
      <c r="VWP48" s="84" t="str">
        <f>IF(ISNUMBER(outYear),VWP37+VWP42+#REF!+#REF!,"")</f>
        <v/>
      </c>
      <c r="VWQ48" s="84" t="str">
        <f>IF(ISNUMBER(outYear),VWQ37+VWQ42+#REF!+#REF!,"")</f>
        <v/>
      </c>
      <c r="VWR48" s="84" t="str">
        <f>IF(ISNUMBER(outYear),VWR37+VWR42+#REF!+#REF!,"")</f>
        <v/>
      </c>
      <c r="VWS48" s="84" t="str">
        <f>IF(ISNUMBER(outYear),VWS37+VWS42+#REF!+#REF!,"")</f>
        <v/>
      </c>
      <c r="VWT48" s="84" t="str">
        <f>IF(ISNUMBER(outYear),VWT37+VWT42+#REF!+#REF!,"")</f>
        <v/>
      </c>
      <c r="VWU48" s="84" t="str">
        <f>IF(ISNUMBER(outYear),VWU37+VWU42+#REF!+#REF!,"")</f>
        <v/>
      </c>
      <c r="VWV48" s="84" t="str">
        <f>IF(ISNUMBER(outYear),VWV37+VWV42+#REF!+#REF!,"")</f>
        <v/>
      </c>
      <c r="VWW48" s="84" t="str">
        <f>IF(ISNUMBER(outYear),VWW37+VWW42+#REF!+#REF!,"")</f>
        <v/>
      </c>
      <c r="VWX48" s="84" t="str">
        <f>IF(ISNUMBER(outYear),VWX37+VWX42+#REF!+#REF!,"")</f>
        <v/>
      </c>
      <c r="VWY48" s="84" t="str">
        <f>IF(ISNUMBER(outYear),VWY37+VWY42+#REF!+#REF!,"")</f>
        <v/>
      </c>
      <c r="VWZ48" s="84" t="str">
        <f>IF(ISNUMBER(outYear),VWZ37+VWZ42+#REF!+#REF!,"")</f>
        <v/>
      </c>
      <c r="VXA48" s="84" t="str">
        <f>IF(ISNUMBER(outYear),VXA37+VXA42+#REF!+#REF!,"")</f>
        <v/>
      </c>
      <c r="VXB48" s="84" t="str">
        <f>IF(ISNUMBER(outYear),VXB37+VXB42+#REF!+#REF!,"")</f>
        <v/>
      </c>
      <c r="VXC48" s="84" t="str">
        <f>IF(ISNUMBER(outYear),VXC37+VXC42+#REF!+#REF!,"")</f>
        <v/>
      </c>
      <c r="VXD48" s="84" t="str">
        <f>IF(ISNUMBER(outYear),VXD37+VXD42+#REF!+#REF!,"")</f>
        <v/>
      </c>
      <c r="VXE48" s="84" t="str">
        <f>IF(ISNUMBER(outYear),VXE37+VXE42+#REF!+#REF!,"")</f>
        <v/>
      </c>
      <c r="VXF48" s="84" t="str">
        <f>IF(ISNUMBER(outYear),VXF37+VXF42+#REF!+#REF!,"")</f>
        <v/>
      </c>
      <c r="VXG48" s="84" t="str">
        <f>IF(ISNUMBER(outYear),VXG37+VXG42+#REF!+#REF!,"")</f>
        <v/>
      </c>
      <c r="VXH48" s="84" t="str">
        <f>IF(ISNUMBER(outYear),VXH37+VXH42+#REF!+#REF!,"")</f>
        <v/>
      </c>
      <c r="VXI48" s="84" t="str">
        <f>IF(ISNUMBER(outYear),VXI37+VXI42+#REF!+#REF!,"")</f>
        <v/>
      </c>
      <c r="VXJ48" s="84" t="str">
        <f>IF(ISNUMBER(outYear),VXJ37+VXJ42+#REF!+#REF!,"")</f>
        <v/>
      </c>
      <c r="VXK48" s="84" t="str">
        <f>IF(ISNUMBER(outYear),VXK37+VXK42+#REF!+#REF!,"")</f>
        <v/>
      </c>
      <c r="VXL48" s="84" t="str">
        <f>IF(ISNUMBER(outYear),VXL37+VXL42+#REF!+#REF!,"")</f>
        <v/>
      </c>
      <c r="VXM48" s="84" t="str">
        <f>IF(ISNUMBER(outYear),VXM37+VXM42+#REF!+#REF!,"")</f>
        <v/>
      </c>
      <c r="VXN48" s="84" t="str">
        <f>IF(ISNUMBER(outYear),VXN37+VXN42+#REF!+#REF!,"")</f>
        <v/>
      </c>
      <c r="VXO48" s="84" t="str">
        <f>IF(ISNUMBER(outYear),VXO37+VXO42+#REF!+#REF!,"")</f>
        <v/>
      </c>
      <c r="VXP48" s="84" t="str">
        <f>IF(ISNUMBER(outYear),VXP37+VXP42+#REF!+#REF!,"")</f>
        <v/>
      </c>
      <c r="VXQ48" s="84" t="str">
        <f>IF(ISNUMBER(outYear),VXQ37+VXQ42+#REF!+#REF!,"")</f>
        <v/>
      </c>
      <c r="VXR48" s="84" t="str">
        <f>IF(ISNUMBER(outYear),VXR37+VXR42+#REF!+#REF!,"")</f>
        <v/>
      </c>
      <c r="VXS48" s="84" t="str">
        <f>IF(ISNUMBER(outYear),VXS37+VXS42+#REF!+#REF!,"")</f>
        <v/>
      </c>
      <c r="VXT48" s="84" t="str">
        <f>IF(ISNUMBER(outYear),VXT37+VXT42+#REF!+#REF!,"")</f>
        <v/>
      </c>
      <c r="VXU48" s="84" t="str">
        <f>IF(ISNUMBER(outYear),VXU37+VXU42+#REF!+#REF!,"")</f>
        <v/>
      </c>
      <c r="VXV48" s="84" t="str">
        <f>IF(ISNUMBER(outYear),VXV37+VXV42+#REF!+#REF!,"")</f>
        <v/>
      </c>
      <c r="VXW48" s="84" t="str">
        <f>IF(ISNUMBER(outYear),VXW37+VXW42+#REF!+#REF!,"")</f>
        <v/>
      </c>
      <c r="VXX48" s="84" t="str">
        <f>IF(ISNUMBER(outYear),VXX37+VXX42+#REF!+#REF!,"")</f>
        <v/>
      </c>
      <c r="VXY48" s="84" t="str">
        <f>IF(ISNUMBER(outYear),VXY37+VXY42+#REF!+#REF!,"")</f>
        <v/>
      </c>
      <c r="VXZ48" s="84" t="str">
        <f>IF(ISNUMBER(outYear),VXZ37+VXZ42+#REF!+#REF!,"")</f>
        <v/>
      </c>
      <c r="VYA48" s="84" t="str">
        <f>IF(ISNUMBER(outYear),VYA37+VYA42+#REF!+#REF!,"")</f>
        <v/>
      </c>
      <c r="VYB48" s="84" t="str">
        <f>IF(ISNUMBER(outYear),VYB37+VYB42+#REF!+#REF!,"")</f>
        <v/>
      </c>
      <c r="VYC48" s="84" t="str">
        <f>IF(ISNUMBER(outYear),VYC37+VYC42+#REF!+#REF!,"")</f>
        <v/>
      </c>
      <c r="VYD48" s="84" t="str">
        <f>IF(ISNUMBER(outYear),VYD37+VYD42+#REF!+#REF!,"")</f>
        <v/>
      </c>
      <c r="VYE48" s="84" t="str">
        <f>IF(ISNUMBER(outYear),VYE37+VYE42+#REF!+#REF!,"")</f>
        <v/>
      </c>
      <c r="VYF48" s="84" t="str">
        <f>IF(ISNUMBER(outYear),VYF37+VYF42+#REF!+#REF!,"")</f>
        <v/>
      </c>
      <c r="VYG48" s="84" t="str">
        <f>IF(ISNUMBER(outYear),VYG37+VYG42+#REF!+#REF!,"")</f>
        <v/>
      </c>
      <c r="VYH48" s="84" t="str">
        <f>IF(ISNUMBER(outYear),VYH37+VYH42+#REF!+#REF!,"")</f>
        <v/>
      </c>
      <c r="VYI48" s="84" t="str">
        <f>IF(ISNUMBER(outYear),VYI37+VYI42+#REF!+#REF!,"")</f>
        <v/>
      </c>
      <c r="VYJ48" s="84" t="str">
        <f>IF(ISNUMBER(outYear),VYJ37+VYJ42+#REF!+#REF!,"")</f>
        <v/>
      </c>
      <c r="VYK48" s="84" t="str">
        <f>IF(ISNUMBER(outYear),VYK37+VYK42+#REF!+#REF!,"")</f>
        <v/>
      </c>
      <c r="VYL48" s="84" t="str">
        <f>IF(ISNUMBER(outYear),VYL37+VYL42+#REF!+#REF!,"")</f>
        <v/>
      </c>
      <c r="VYM48" s="84" t="str">
        <f>IF(ISNUMBER(outYear),VYM37+VYM42+#REF!+#REF!,"")</f>
        <v/>
      </c>
      <c r="VYN48" s="84" t="str">
        <f>IF(ISNUMBER(outYear),VYN37+VYN42+#REF!+#REF!,"")</f>
        <v/>
      </c>
      <c r="VYO48" s="84" t="str">
        <f>IF(ISNUMBER(outYear),VYO37+VYO42+#REF!+#REF!,"")</f>
        <v/>
      </c>
      <c r="VYP48" s="84" t="str">
        <f>IF(ISNUMBER(outYear),VYP37+VYP42+#REF!+#REF!,"")</f>
        <v/>
      </c>
      <c r="VYQ48" s="84" t="str">
        <f>IF(ISNUMBER(outYear),VYQ37+VYQ42+#REF!+#REF!,"")</f>
        <v/>
      </c>
      <c r="VYR48" s="84" t="str">
        <f>IF(ISNUMBER(outYear),VYR37+VYR42+#REF!+#REF!,"")</f>
        <v/>
      </c>
      <c r="VYS48" s="84" t="str">
        <f>IF(ISNUMBER(outYear),VYS37+VYS42+#REF!+#REF!,"")</f>
        <v/>
      </c>
      <c r="VYT48" s="84" t="str">
        <f>IF(ISNUMBER(outYear),VYT37+VYT42+#REF!+#REF!,"")</f>
        <v/>
      </c>
      <c r="VYU48" s="84" t="str">
        <f>IF(ISNUMBER(outYear),VYU37+VYU42+#REF!+#REF!,"")</f>
        <v/>
      </c>
      <c r="VYV48" s="84" t="str">
        <f>IF(ISNUMBER(outYear),VYV37+VYV42+#REF!+#REF!,"")</f>
        <v/>
      </c>
      <c r="VYW48" s="84" t="str">
        <f>IF(ISNUMBER(outYear),VYW37+VYW42+#REF!+#REF!,"")</f>
        <v/>
      </c>
      <c r="VYX48" s="84" t="str">
        <f>IF(ISNUMBER(outYear),VYX37+VYX42+#REF!+#REF!,"")</f>
        <v/>
      </c>
      <c r="VYY48" s="84" t="str">
        <f>IF(ISNUMBER(outYear),VYY37+VYY42+#REF!+#REF!,"")</f>
        <v/>
      </c>
      <c r="VYZ48" s="84" t="str">
        <f>IF(ISNUMBER(outYear),VYZ37+VYZ42+#REF!+#REF!,"")</f>
        <v/>
      </c>
      <c r="VZA48" s="84" t="str">
        <f>IF(ISNUMBER(outYear),VZA37+VZA42+#REF!+#REF!,"")</f>
        <v/>
      </c>
      <c r="VZB48" s="84" t="str">
        <f>IF(ISNUMBER(outYear),VZB37+VZB42+#REF!+#REF!,"")</f>
        <v/>
      </c>
      <c r="VZC48" s="84" t="str">
        <f>IF(ISNUMBER(outYear),VZC37+VZC42+#REF!+#REF!,"")</f>
        <v/>
      </c>
      <c r="VZD48" s="84" t="str">
        <f>IF(ISNUMBER(outYear),VZD37+VZD42+#REF!+#REF!,"")</f>
        <v/>
      </c>
      <c r="VZE48" s="84" t="str">
        <f>IF(ISNUMBER(outYear),VZE37+VZE42+#REF!+#REF!,"")</f>
        <v/>
      </c>
      <c r="VZF48" s="84" t="str">
        <f>IF(ISNUMBER(outYear),VZF37+VZF42+#REF!+#REF!,"")</f>
        <v/>
      </c>
      <c r="VZG48" s="84" t="str">
        <f>IF(ISNUMBER(outYear),VZG37+VZG42+#REF!+#REF!,"")</f>
        <v/>
      </c>
      <c r="VZH48" s="84" t="str">
        <f>IF(ISNUMBER(outYear),VZH37+VZH42+#REF!+#REF!,"")</f>
        <v/>
      </c>
      <c r="VZI48" s="84" t="str">
        <f>IF(ISNUMBER(outYear),VZI37+VZI42+#REF!+#REF!,"")</f>
        <v/>
      </c>
      <c r="VZJ48" s="84" t="str">
        <f>IF(ISNUMBER(outYear),VZJ37+VZJ42+#REF!+#REF!,"")</f>
        <v/>
      </c>
      <c r="VZK48" s="84" t="str">
        <f>IF(ISNUMBER(outYear),VZK37+VZK42+#REF!+#REF!,"")</f>
        <v/>
      </c>
      <c r="VZL48" s="84" t="str">
        <f>IF(ISNUMBER(outYear),VZL37+VZL42+#REF!+#REF!,"")</f>
        <v/>
      </c>
      <c r="VZM48" s="84" t="str">
        <f>IF(ISNUMBER(outYear),VZM37+VZM42+#REF!+#REF!,"")</f>
        <v/>
      </c>
      <c r="VZN48" s="84" t="str">
        <f>IF(ISNUMBER(outYear),VZN37+VZN42+#REF!+#REF!,"")</f>
        <v/>
      </c>
      <c r="VZO48" s="84" t="str">
        <f>IF(ISNUMBER(outYear),VZO37+VZO42+#REF!+#REF!,"")</f>
        <v/>
      </c>
      <c r="VZP48" s="84" t="str">
        <f>IF(ISNUMBER(outYear),VZP37+VZP42+#REF!+#REF!,"")</f>
        <v/>
      </c>
      <c r="VZQ48" s="84" t="str">
        <f>IF(ISNUMBER(outYear),VZQ37+VZQ42+#REF!+#REF!,"")</f>
        <v/>
      </c>
      <c r="VZR48" s="84" t="str">
        <f>IF(ISNUMBER(outYear),VZR37+VZR42+#REF!+#REF!,"")</f>
        <v/>
      </c>
      <c r="VZS48" s="84" t="str">
        <f>IF(ISNUMBER(outYear),VZS37+VZS42+#REF!+#REF!,"")</f>
        <v/>
      </c>
      <c r="VZT48" s="84" t="str">
        <f>IF(ISNUMBER(outYear),VZT37+VZT42+#REF!+#REF!,"")</f>
        <v/>
      </c>
      <c r="VZU48" s="84" t="str">
        <f>IF(ISNUMBER(outYear),VZU37+VZU42+#REF!+#REF!,"")</f>
        <v/>
      </c>
      <c r="VZV48" s="84" t="str">
        <f>IF(ISNUMBER(outYear),VZV37+VZV42+#REF!+#REF!,"")</f>
        <v/>
      </c>
      <c r="VZW48" s="84" t="str">
        <f>IF(ISNUMBER(outYear),VZW37+VZW42+#REF!+#REF!,"")</f>
        <v/>
      </c>
      <c r="VZX48" s="84" t="str">
        <f>IF(ISNUMBER(outYear),VZX37+VZX42+#REF!+#REF!,"")</f>
        <v/>
      </c>
      <c r="VZY48" s="84" t="str">
        <f>IF(ISNUMBER(outYear),VZY37+VZY42+#REF!+#REF!,"")</f>
        <v/>
      </c>
      <c r="VZZ48" s="84" t="str">
        <f>IF(ISNUMBER(outYear),VZZ37+VZZ42+#REF!+#REF!,"")</f>
        <v/>
      </c>
      <c r="WAA48" s="84" t="str">
        <f>IF(ISNUMBER(outYear),WAA37+WAA42+#REF!+#REF!,"")</f>
        <v/>
      </c>
      <c r="WAB48" s="84" t="str">
        <f>IF(ISNUMBER(outYear),WAB37+WAB42+#REF!+#REF!,"")</f>
        <v/>
      </c>
      <c r="WAC48" s="84" t="str">
        <f>IF(ISNUMBER(outYear),WAC37+WAC42+#REF!+#REF!,"")</f>
        <v/>
      </c>
      <c r="WAD48" s="84" t="str">
        <f>IF(ISNUMBER(outYear),WAD37+WAD42+#REF!+#REF!,"")</f>
        <v/>
      </c>
      <c r="WAE48" s="84" t="str">
        <f>IF(ISNUMBER(outYear),WAE37+WAE42+#REF!+#REF!,"")</f>
        <v/>
      </c>
      <c r="WAF48" s="84" t="str">
        <f>IF(ISNUMBER(outYear),WAF37+WAF42+#REF!+#REF!,"")</f>
        <v/>
      </c>
      <c r="WAG48" s="84" t="str">
        <f>IF(ISNUMBER(outYear),WAG37+WAG42+#REF!+#REF!,"")</f>
        <v/>
      </c>
      <c r="WAH48" s="84" t="str">
        <f>IF(ISNUMBER(outYear),WAH37+WAH42+#REF!+#REF!,"")</f>
        <v/>
      </c>
      <c r="WAI48" s="84" t="str">
        <f>IF(ISNUMBER(outYear),WAI37+WAI42+#REF!+#REF!,"")</f>
        <v/>
      </c>
      <c r="WAJ48" s="84" t="str">
        <f>IF(ISNUMBER(outYear),WAJ37+WAJ42+#REF!+#REF!,"")</f>
        <v/>
      </c>
      <c r="WAK48" s="84" t="str">
        <f>IF(ISNUMBER(outYear),WAK37+WAK42+#REF!+#REF!,"")</f>
        <v/>
      </c>
      <c r="WAL48" s="84" t="str">
        <f>IF(ISNUMBER(outYear),WAL37+WAL42+#REF!+#REF!,"")</f>
        <v/>
      </c>
      <c r="WAM48" s="84" t="str">
        <f>IF(ISNUMBER(outYear),WAM37+WAM42+#REF!+#REF!,"")</f>
        <v/>
      </c>
      <c r="WAN48" s="84" t="str">
        <f>IF(ISNUMBER(outYear),WAN37+WAN42+#REF!+#REF!,"")</f>
        <v/>
      </c>
      <c r="WAO48" s="84" t="str">
        <f>IF(ISNUMBER(outYear),WAO37+WAO42+#REF!+#REF!,"")</f>
        <v/>
      </c>
      <c r="WAP48" s="84" t="str">
        <f>IF(ISNUMBER(outYear),WAP37+WAP42+#REF!+#REF!,"")</f>
        <v/>
      </c>
      <c r="WAQ48" s="84" t="str">
        <f>IF(ISNUMBER(outYear),WAQ37+WAQ42+#REF!+#REF!,"")</f>
        <v/>
      </c>
      <c r="WAR48" s="84" t="str">
        <f>IF(ISNUMBER(outYear),WAR37+WAR42+#REF!+#REF!,"")</f>
        <v/>
      </c>
      <c r="WAS48" s="84" t="str">
        <f>IF(ISNUMBER(outYear),WAS37+WAS42+#REF!+#REF!,"")</f>
        <v/>
      </c>
      <c r="WAT48" s="84" t="str">
        <f>IF(ISNUMBER(outYear),WAT37+WAT42+#REF!+#REF!,"")</f>
        <v/>
      </c>
      <c r="WAU48" s="84" t="str">
        <f>IF(ISNUMBER(outYear),WAU37+WAU42+#REF!+#REF!,"")</f>
        <v/>
      </c>
      <c r="WAV48" s="84" t="str">
        <f>IF(ISNUMBER(outYear),WAV37+WAV42+#REF!+#REF!,"")</f>
        <v/>
      </c>
      <c r="WAW48" s="84" t="str">
        <f>IF(ISNUMBER(outYear),WAW37+WAW42+#REF!+#REF!,"")</f>
        <v/>
      </c>
      <c r="WAX48" s="84" t="str">
        <f>IF(ISNUMBER(outYear),WAX37+WAX42+#REF!+#REF!,"")</f>
        <v/>
      </c>
      <c r="WAY48" s="84" t="str">
        <f>IF(ISNUMBER(outYear),WAY37+WAY42+#REF!+#REF!,"")</f>
        <v/>
      </c>
      <c r="WAZ48" s="84" t="str">
        <f>IF(ISNUMBER(outYear),WAZ37+WAZ42+#REF!+#REF!,"")</f>
        <v/>
      </c>
      <c r="WBA48" s="84" t="str">
        <f>IF(ISNUMBER(outYear),WBA37+WBA42+#REF!+#REF!,"")</f>
        <v/>
      </c>
      <c r="WBB48" s="84" t="str">
        <f>IF(ISNUMBER(outYear),WBB37+WBB42+#REF!+#REF!,"")</f>
        <v/>
      </c>
      <c r="WBC48" s="84" t="str">
        <f>IF(ISNUMBER(outYear),WBC37+WBC42+#REF!+#REF!,"")</f>
        <v/>
      </c>
      <c r="WBD48" s="84" t="str">
        <f>IF(ISNUMBER(outYear),WBD37+WBD42+#REF!+#REF!,"")</f>
        <v/>
      </c>
      <c r="WBE48" s="84" t="str">
        <f>IF(ISNUMBER(outYear),WBE37+WBE42+#REF!+#REF!,"")</f>
        <v/>
      </c>
      <c r="WBF48" s="84" t="str">
        <f>IF(ISNUMBER(outYear),WBF37+WBF42+#REF!+#REF!,"")</f>
        <v/>
      </c>
      <c r="WBG48" s="84" t="str">
        <f>IF(ISNUMBER(outYear),WBG37+WBG42+#REF!+#REF!,"")</f>
        <v/>
      </c>
      <c r="WBH48" s="84" t="str">
        <f>IF(ISNUMBER(outYear),WBH37+WBH42+#REF!+#REF!,"")</f>
        <v/>
      </c>
      <c r="WBI48" s="84" t="str">
        <f>IF(ISNUMBER(outYear),WBI37+WBI42+#REF!+#REF!,"")</f>
        <v/>
      </c>
      <c r="WBJ48" s="84" t="str">
        <f>IF(ISNUMBER(outYear),WBJ37+WBJ42+#REF!+#REF!,"")</f>
        <v/>
      </c>
      <c r="WBK48" s="84" t="str">
        <f>IF(ISNUMBER(outYear),WBK37+WBK42+#REF!+#REF!,"")</f>
        <v/>
      </c>
      <c r="WBL48" s="84" t="str">
        <f>IF(ISNUMBER(outYear),WBL37+WBL42+#REF!+#REF!,"")</f>
        <v/>
      </c>
      <c r="WBM48" s="84" t="str">
        <f>IF(ISNUMBER(outYear),WBM37+WBM42+#REF!+#REF!,"")</f>
        <v/>
      </c>
      <c r="WBN48" s="84" t="str">
        <f>IF(ISNUMBER(outYear),WBN37+WBN42+#REF!+#REF!,"")</f>
        <v/>
      </c>
      <c r="WBO48" s="84" t="str">
        <f>IF(ISNUMBER(outYear),WBO37+WBO42+#REF!+#REF!,"")</f>
        <v/>
      </c>
      <c r="WBP48" s="84" t="str">
        <f>IF(ISNUMBER(outYear),WBP37+WBP42+#REF!+#REF!,"")</f>
        <v/>
      </c>
      <c r="WBQ48" s="84" t="str">
        <f>IF(ISNUMBER(outYear),WBQ37+WBQ42+#REF!+#REF!,"")</f>
        <v/>
      </c>
      <c r="WBR48" s="84" t="str">
        <f>IF(ISNUMBER(outYear),WBR37+WBR42+#REF!+#REF!,"")</f>
        <v/>
      </c>
      <c r="WBS48" s="84" t="str">
        <f>IF(ISNUMBER(outYear),WBS37+WBS42+#REF!+#REF!,"")</f>
        <v/>
      </c>
      <c r="WBT48" s="84" t="str">
        <f>IF(ISNUMBER(outYear),WBT37+WBT42+#REF!+#REF!,"")</f>
        <v/>
      </c>
      <c r="WBU48" s="84" t="str">
        <f>IF(ISNUMBER(outYear),WBU37+WBU42+#REF!+#REF!,"")</f>
        <v/>
      </c>
      <c r="WBV48" s="84" t="str">
        <f>IF(ISNUMBER(outYear),WBV37+WBV42+#REF!+#REF!,"")</f>
        <v/>
      </c>
      <c r="WBW48" s="84" t="str">
        <f>IF(ISNUMBER(outYear),WBW37+WBW42+#REF!+#REF!,"")</f>
        <v/>
      </c>
      <c r="WBX48" s="84" t="str">
        <f>IF(ISNUMBER(outYear),WBX37+WBX42+#REF!+#REF!,"")</f>
        <v/>
      </c>
      <c r="WBY48" s="84" t="str">
        <f>IF(ISNUMBER(outYear),WBY37+WBY42+#REF!+#REF!,"")</f>
        <v/>
      </c>
      <c r="WBZ48" s="84" t="str">
        <f>IF(ISNUMBER(outYear),WBZ37+WBZ42+#REF!+#REF!,"")</f>
        <v/>
      </c>
      <c r="WCA48" s="84" t="str">
        <f>IF(ISNUMBER(outYear),WCA37+WCA42+#REF!+#REF!,"")</f>
        <v/>
      </c>
      <c r="WCB48" s="84" t="str">
        <f>IF(ISNUMBER(outYear),WCB37+WCB42+#REF!+#REF!,"")</f>
        <v/>
      </c>
      <c r="WCC48" s="84" t="str">
        <f>IF(ISNUMBER(outYear),WCC37+WCC42+#REF!+#REF!,"")</f>
        <v/>
      </c>
      <c r="WCD48" s="84" t="str">
        <f>IF(ISNUMBER(outYear),WCD37+WCD42+#REF!+#REF!,"")</f>
        <v/>
      </c>
      <c r="WCE48" s="84" t="str">
        <f>IF(ISNUMBER(outYear),WCE37+WCE42+#REF!+#REF!,"")</f>
        <v/>
      </c>
      <c r="WCF48" s="84" t="str">
        <f>IF(ISNUMBER(outYear),WCF37+WCF42+#REF!+#REF!,"")</f>
        <v/>
      </c>
      <c r="WCG48" s="84" t="str">
        <f>IF(ISNUMBER(outYear),WCG37+WCG42+#REF!+#REF!,"")</f>
        <v/>
      </c>
      <c r="WCH48" s="84" t="str">
        <f>IF(ISNUMBER(outYear),WCH37+WCH42+#REF!+#REF!,"")</f>
        <v/>
      </c>
      <c r="WCI48" s="84" t="str">
        <f>IF(ISNUMBER(outYear),WCI37+WCI42+#REF!+#REF!,"")</f>
        <v/>
      </c>
      <c r="WCJ48" s="84" t="str">
        <f>IF(ISNUMBER(outYear),WCJ37+WCJ42+#REF!+#REF!,"")</f>
        <v/>
      </c>
      <c r="WCK48" s="84" t="str">
        <f>IF(ISNUMBER(outYear),WCK37+WCK42+#REF!+#REF!,"")</f>
        <v/>
      </c>
      <c r="WCL48" s="84" t="str">
        <f>IF(ISNUMBER(outYear),WCL37+WCL42+#REF!+#REF!,"")</f>
        <v/>
      </c>
      <c r="WCM48" s="84" t="str">
        <f>IF(ISNUMBER(outYear),WCM37+WCM42+#REF!+#REF!,"")</f>
        <v/>
      </c>
      <c r="WCN48" s="84" t="str">
        <f>IF(ISNUMBER(outYear),WCN37+WCN42+#REF!+#REF!,"")</f>
        <v/>
      </c>
      <c r="WCO48" s="84" t="str">
        <f>IF(ISNUMBER(outYear),WCO37+WCO42+#REF!+#REF!,"")</f>
        <v/>
      </c>
      <c r="WCP48" s="84" t="str">
        <f>IF(ISNUMBER(outYear),WCP37+WCP42+#REF!+#REF!,"")</f>
        <v/>
      </c>
      <c r="WCQ48" s="84" t="str">
        <f>IF(ISNUMBER(outYear),WCQ37+WCQ42+#REF!+#REF!,"")</f>
        <v/>
      </c>
      <c r="WCR48" s="84" t="str">
        <f>IF(ISNUMBER(outYear),WCR37+WCR42+#REF!+#REF!,"")</f>
        <v/>
      </c>
      <c r="WCS48" s="84" t="str">
        <f>IF(ISNUMBER(outYear),WCS37+WCS42+#REF!+#REF!,"")</f>
        <v/>
      </c>
      <c r="WCT48" s="84" t="str">
        <f>IF(ISNUMBER(outYear),WCT37+WCT42+#REF!+#REF!,"")</f>
        <v/>
      </c>
      <c r="WCU48" s="84" t="str">
        <f>IF(ISNUMBER(outYear),WCU37+WCU42+#REF!+#REF!,"")</f>
        <v/>
      </c>
      <c r="WCV48" s="84" t="str">
        <f>IF(ISNUMBER(outYear),WCV37+WCV42+#REF!+#REF!,"")</f>
        <v/>
      </c>
      <c r="WCW48" s="84" t="str">
        <f>IF(ISNUMBER(outYear),WCW37+WCW42+#REF!+#REF!,"")</f>
        <v/>
      </c>
      <c r="WCX48" s="84" t="str">
        <f>IF(ISNUMBER(outYear),WCX37+WCX42+#REF!+#REF!,"")</f>
        <v/>
      </c>
      <c r="WCY48" s="84" t="str">
        <f>IF(ISNUMBER(outYear),WCY37+WCY42+#REF!+#REF!,"")</f>
        <v/>
      </c>
      <c r="WCZ48" s="84" t="str">
        <f>IF(ISNUMBER(outYear),WCZ37+WCZ42+#REF!+#REF!,"")</f>
        <v/>
      </c>
      <c r="WDA48" s="84" t="str">
        <f>IF(ISNUMBER(outYear),WDA37+WDA42+#REF!+#REF!,"")</f>
        <v/>
      </c>
      <c r="WDB48" s="84" t="str">
        <f>IF(ISNUMBER(outYear),WDB37+WDB42+#REF!+#REF!,"")</f>
        <v/>
      </c>
      <c r="WDC48" s="84" t="str">
        <f>IF(ISNUMBER(outYear),WDC37+WDC42+#REF!+#REF!,"")</f>
        <v/>
      </c>
      <c r="WDD48" s="84" t="str">
        <f>IF(ISNUMBER(outYear),WDD37+WDD42+#REF!+#REF!,"")</f>
        <v/>
      </c>
      <c r="WDE48" s="84" t="str">
        <f>IF(ISNUMBER(outYear),WDE37+WDE42+#REF!+#REF!,"")</f>
        <v/>
      </c>
      <c r="WDF48" s="84" t="str">
        <f>IF(ISNUMBER(outYear),WDF37+WDF42+#REF!+#REF!,"")</f>
        <v/>
      </c>
      <c r="WDG48" s="84" t="str">
        <f>IF(ISNUMBER(outYear),WDG37+WDG42+#REF!+#REF!,"")</f>
        <v/>
      </c>
      <c r="WDH48" s="84" t="str">
        <f>IF(ISNUMBER(outYear),WDH37+WDH42+#REF!+#REF!,"")</f>
        <v/>
      </c>
      <c r="WDI48" s="84" t="str">
        <f>IF(ISNUMBER(outYear),WDI37+WDI42+#REF!+#REF!,"")</f>
        <v/>
      </c>
      <c r="WDJ48" s="84" t="str">
        <f>IF(ISNUMBER(outYear),WDJ37+WDJ42+#REF!+#REF!,"")</f>
        <v/>
      </c>
      <c r="WDK48" s="84" t="str">
        <f>IF(ISNUMBER(outYear),WDK37+WDK42+#REF!+#REF!,"")</f>
        <v/>
      </c>
      <c r="WDL48" s="84" t="str">
        <f>IF(ISNUMBER(outYear),WDL37+WDL42+#REF!+#REF!,"")</f>
        <v/>
      </c>
      <c r="WDM48" s="84" t="str">
        <f>IF(ISNUMBER(outYear),WDM37+WDM42+#REF!+#REF!,"")</f>
        <v/>
      </c>
      <c r="WDN48" s="84" t="str">
        <f>IF(ISNUMBER(outYear),WDN37+WDN42+#REF!+#REF!,"")</f>
        <v/>
      </c>
      <c r="WDO48" s="84" t="str">
        <f>IF(ISNUMBER(outYear),WDO37+WDO42+#REF!+#REF!,"")</f>
        <v/>
      </c>
      <c r="WDP48" s="84" t="str">
        <f>IF(ISNUMBER(outYear),WDP37+WDP42+#REF!+#REF!,"")</f>
        <v/>
      </c>
      <c r="WDQ48" s="84" t="str">
        <f>IF(ISNUMBER(outYear),WDQ37+WDQ42+#REF!+#REF!,"")</f>
        <v/>
      </c>
      <c r="WDR48" s="84" t="str">
        <f>IF(ISNUMBER(outYear),WDR37+WDR42+#REF!+#REF!,"")</f>
        <v/>
      </c>
      <c r="WDS48" s="84" t="str">
        <f>IF(ISNUMBER(outYear),WDS37+WDS42+#REF!+#REF!,"")</f>
        <v/>
      </c>
      <c r="WDT48" s="84" t="str">
        <f>IF(ISNUMBER(outYear),WDT37+WDT42+#REF!+#REF!,"")</f>
        <v/>
      </c>
      <c r="WDU48" s="84" t="str">
        <f>IF(ISNUMBER(outYear),WDU37+WDU42+#REF!+#REF!,"")</f>
        <v/>
      </c>
      <c r="WDV48" s="84" t="str">
        <f>IF(ISNUMBER(outYear),WDV37+WDV42+#REF!+#REF!,"")</f>
        <v/>
      </c>
      <c r="WDW48" s="84" t="str">
        <f>IF(ISNUMBER(outYear),WDW37+WDW42+#REF!+#REF!,"")</f>
        <v/>
      </c>
      <c r="WDX48" s="84" t="str">
        <f>IF(ISNUMBER(outYear),WDX37+WDX42+#REF!+#REF!,"")</f>
        <v/>
      </c>
      <c r="WDY48" s="84" t="str">
        <f>IF(ISNUMBER(outYear),WDY37+WDY42+#REF!+#REF!,"")</f>
        <v/>
      </c>
      <c r="WDZ48" s="84" t="str">
        <f>IF(ISNUMBER(outYear),WDZ37+WDZ42+#REF!+#REF!,"")</f>
        <v/>
      </c>
      <c r="WEA48" s="84" t="str">
        <f>IF(ISNUMBER(outYear),WEA37+WEA42+#REF!+#REF!,"")</f>
        <v/>
      </c>
      <c r="WEB48" s="84" t="str">
        <f>IF(ISNUMBER(outYear),WEB37+WEB42+#REF!+#REF!,"")</f>
        <v/>
      </c>
      <c r="WEC48" s="84" t="str">
        <f>IF(ISNUMBER(outYear),WEC37+WEC42+#REF!+#REF!,"")</f>
        <v/>
      </c>
      <c r="WED48" s="84" t="str">
        <f>IF(ISNUMBER(outYear),WED37+WED42+#REF!+#REF!,"")</f>
        <v/>
      </c>
      <c r="WEE48" s="84" t="str">
        <f>IF(ISNUMBER(outYear),WEE37+WEE42+#REF!+#REF!,"")</f>
        <v/>
      </c>
      <c r="WEF48" s="84" t="str">
        <f>IF(ISNUMBER(outYear),WEF37+WEF42+#REF!+#REF!,"")</f>
        <v/>
      </c>
      <c r="WEG48" s="84" t="str">
        <f>IF(ISNUMBER(outYear),WEG37+WEG42+#REF!+#REF!,"")</f>
        <v/>
      </c>
      <c r="WEH48" s="84" t="str">
        <f>IF(ISNUMBER(outYear),WEH37+WEH42+#REF!+#REF!,"")</f>
        <v/>
      </c>
      <c r="WEI48" s="84" t="str">
        <f>IF(ISNUMBER(outYear),WEI37+WEI42+#REF!+#REF!,"")</f>
        <v/>
      </c>
      <c r="WEJ48" s="84" t="str">
        <f>IF(ISNUMBER(outYear),WEJ37+WEJ42+#REF!+#REF!,"")</f>
        <v/>
      </c>
      <c r="WEK48" s="84" t="str">
        <f>IF(ISNUMBER(outYear),WEK37+WEK42+#REF!+#REF!,"")</f>
        <v/>
      </c>
      <c r="WEL48" s="84" t="str">
        <f>IF(ISNUMBER(outYear),WEL37+WEL42+#REF!+#REF!,"")</f>
        <v/>
      </c>
      <c r="WEM48" s="84" t="str">
        <f>IF(ISNUMBER(outYear),WEM37+WEM42+#REF!+#REF!,"")</f>
        <v/>
      </c>
      <c r="WEN48" s="84" t="str">
        <f>IF(ISNUMBER(outYear),WEN37+WEN42+#REF!+#REF!,"")</f>
        <v/>
      </c>
      <c r="WEO48" s="84" t="str">
        <f>IF(ISNUMBER(outYear),WEO37+WEO42+#REF!+#REF!,"")</f>
        <v/>
      </c>
      <c r="WEP48" s="84" t="str">
        <f>IF(ISNUMBER(outYear),WEP37+WEP42+#REF!+#REF!,"")</f>
        <v/>
      </c>
      <c r="WEQ48" s="84" t="str">
        <f>IF(ISNUMBER(outYear),WEQ37+WEQ42+#REF!+#REF!,"")</f>
        <v/>
      </c>
      <c r="WER48" s="84" t="str">
        <f>IF(ISNUMBER(outYear),WER37+WER42+#REF!+#REF!,"")</f>
        <v/>
      </c>
      <c r="WES48" s="84" t="str">
        <f>IF(ISNUMBER(outYear),WES37+WES42+#REF!+#REF!,"")</f>
        <v/>
      </c>
      <c r="WET48" s="84" t="str">
        <f>IF(ISNUMBER(outYear),WET37+WET42+#REF!+#REF!,"")</f>
        <v/>
      </c>
      <c r="WEU48" s="84" t="str">
        <f>IF(ISNUMBER(outYear),WEU37+WEU42+#REF!+#REF!,"")</f>
        <v/>
      </c>
      <c r="WEV48" s="84" t="str">
        <f>IF(ISNUMBER(outYear),WEV37+WEV42+#REF!+#REF!,"")</f>
        <v/>
      </c>
      <c r="WEW48" s="84" t="str">
        <f>IF(ISNUMBER(outYear),WEW37+WEW42+#REF!+#REF!,"")</f>
        <v/>
      </c>
      <c r="WEX48" s="84" t="str">
        <f>IF(ISNUMBER(outYear),WEX37+WEX42+#REF!+#REF!,"")</f>
        <v/>
      </c>
      <c r="WEY48" s="84" t="str">
        <f>IF(ISNUMBER(outYear),WEY37+WEY42+#REF!+#REF!,"")</f>
        <v/>
      </c>
      <c r="WEZ48" s="84" t="str">
        <f>IF(ISNUMBER(outYear),WEZ37+WEZ42+#REF!+#REF!,"")</f>
        <v/>
      </c>
      <c r="WFA48" s="84" t="str">
        <f>IF(ISNUMBER(outYear),WFA37+WFA42+#REF!+#REF!,"")</f>
        <v/>
      </c>
      <c r="WFB48" s="84" t="str">
        <f>IF(ISNUMBER(outYear),WFB37+WFB42+#REF!+#REF!,"")</f>
        <v/>
      </c>
      <c r="WFC48" s="84" t="str">
        <f>IF(ISNUMBER(outYear),WFC37+WFC42+#REF!+#REF!,"")</f>
        <v/>
      </c>
      <c r="WFD48" s="84" t="str">
        <f>IF(ISNUMBER(outYear),WFD37+WFD42+#REF!+#REF!,"")</f>
        <v/>
      </c>
      <c r="WFE48" s="84" t="str">
        <f>IF(ISNUMBER(outYear),WFE37+WFE42+#REF!+#REF!,"")</f>
        <v/>
      </c>
      <c r="WFF48" s="84" t="str">
        <f>IF(ISNUMBER(outYear),WFF37+WFF42+#REF!+#REF!,"")</f>
        <v/>
      </c>
      <c r="WFG48" s="84" t="str">
        <f>IF(ISNUMBER(outYear),WFG37+WFG42+#REF!+#REF!,"")</f>
        <v/>
      </c>
      <c r="WFH48" s="84" t="str">
        <f>IF(ISNUMBER(outYear),WFH37+WFH42+#REF!+#REF!,"")</f>
        <v/>
      </c>
      <c r="WFI48" s="84" t="str">
        <f>IF(ISNUMBER(outYear),WFI37+WFI42+#REF!+#REF!,"")</f>
        <v/>
      </c>
      <c r="WFJ48" s="84" t="str">
        <f>IF(ISNUMBER(outYear),WFJ37+WFJ42+#REF!+#REF!,"")</f>
        <v/>
      </c>
      <c r="WFK48" s="84" t="str">
        <f>IF(ISNUMBER(outYear),WFK37+WFK42+#REF!+#REF!,"")</f>
        <v/>
      </c>
      <c r="WFL48" s="84" t="str">
        <f>IF(ISNUMBER(outYear),WFL37+WFL42+#REF!+#REF!,"")</f>
        <v/>
      </c>
      <c r="WFM48" s="84" t="str">
        <f>IF(ISNUMBER(outYear),WFM37+WFM42+#REF!+#REF!,"")</f>
        <v/>
      </c>
      <c r="WFN48" s="84" t="str">
        <f>IF(ISNUMBER(outYear),WFN37+WFN42+#REF!+#REF!,"")</f>
        <v/>
      </c>
      <c r="WFO48" s="84" t="str">
        <f>IF(ISNUMBER(outYear),WFO37+WFO42+#REF!+#REF!,"")</f>
        <v/>
      </c>
      <c r="WFP48" s="84" t="str">
        <f>IF(ISNUMBER(outYear),WFP37+WFP42+#REF!+#REF!,"")</f>
        <v/>
      </c>
      <c r="WFQ48" s="84" t="str">
        <f>IF(ISNUMBER(outYear),WFQ37+WFQ42+#REF!+#REF!,"")</f>
        <v/>
      </c>
      <c r="WFR48" s="84" t="str">
        <f>IF(ISNUMBER(outYear),WFR37+WFR42+#REF!+#REF!,"")</f>
        <v/>
      </c>
      <c r="WFS48" s="84" t="str">
        <f>IF(ISNUMBER(outYear),WFS37+WFS42+#REF!+#REF!,"")</f>
        <v/>
      </c>
      <c r="WFT48" s="84" t="str">
        <f>IF(ISNUMBER(outYear),WFT37+WFT42+#REF!+#REF!,"")</f>
        <v/>
      </c>
      <c r="WFU48" s="84" t="str">
        <f>IF(ISNUMBER(outYear),WFU37+WFU42+#REF!+#REF!,"")</f>
        <v/>
      </c>
      <c r="WFV48" s="84" t="str">
        <f>IF(ISNUMBER(outYear),WFV37+WFV42+#REF!+#REF!,"")</f>
        <v/>
      </c>
      <c r="WFW48" s="84" t="str">
        <f>IF(ISNUMBER(outYear),WFW37+WFW42+#REF!+#REF!,"")</f>
        <v/>
      </c>
      <c r="WFX48" s="84" t="str">
        <f>IF(ISNUMBER(outYear),WFX37+WFX42+#REF!+#REF!,"")</f>
        <v/>
      </c>
      <c r="WFY48" s="84" t="str">
        <f>IF(ISNUMBER(outYear),WFY37+WFY42+#REF!+#REF!,"")</f>
        <v/>
      </c>
      <c r="WFZ48" s="84" t="str">
        <f>IF(ISNUMBER(outYear),WFZ37+WFZ42+#REF!+#REF!,"")</f>
        <v/>
      </c>
      <c r="WGA48" s="84" t="str">
        <f>IF(ISNUMBER(outYear),WGA37+WGA42+#REF!+#REF!,"")</f>
        <v/>
      </c>
      <c r="WGB48" s="84" t="str">
        <f>IF(ISNUMBER(outYear),WGB37+WGB42+#REF!+#REF!,"")</f>
        <v/>
      </c>
      <c r="WGC48" s="84" t="str">
        <f>IF(ISNUMBER(outYear),WGC37+WGC42+#REF!+#REF!,"")</f>
        <v/>
      </c>
      <c r="WGD48" s="84" t="str">
        <f>IF(ISNUMBER(outYear),WGD37+WGD42+#REF!+#REF!,"")</f>
        <v/>
      </c>
      <c r="WGE48" s="84" t="str">
        <f>IF(ISNUMBER(outYear),WGE37+WGE42+#REF!+#REF!,"")</f>
        <v/>
      </c>
      <c r="WGF48" s="84" t="str">
        <f>IF(ISNUMBER(outYear),WGF37+WGF42+#REF!+#REF!,"")</f>
        <v/>
      </c>
      <c r="WGG48" s="84" t="str">
        <f>IF(ISNUMBER(outYear),WGG37+WGG42+#REF!+#REF!,"")</f>
        <v/>
      </c>
      <c r="WGH48" s="84" t="str">
        <f>IF(ISNUMBER(outYear),WGH37+WGH42+#REF!+#REF!,"")</f>
        <v/>
      </c>
      <c r="WGI48" s="84" t="str">
        <f>IF(ISNUMBER(outYear),WGI37+WGI42+#REF!+#REF!,"")</f>
        <v/>
      </c>
      <c r="WGJ48" s="84" t="str">
        <f>IF(ISNUMBER(outYear),WGJ37+WGJ42+#REF!+#REF!,"")</f>
        <v/>
      </c>
      <c r="WGK48" s="84" t="str">
        <f>IF(ISNUMBER(outYear),WGK37+WGK42+#REF!+#REF!,"")</f>
        <v/>
      </c>
      <c r="WGL48" s="84" t="str">
        <f>IF(ISNUMBER(outYear),WGL37+WGL42+#REF!+#REF!,"")</f>
        <v/>
      </c>
      <c r="WGM48" s="84" t="str">
        <f>IF(ISNUMBER(outYear),WGM37+WGM42+#REF!+#REF!,"")</f>
        <v/>
      </c>
      <c r="WGN48" s="84" t="str">
        <f>IF(ISNUMBER(outYear),WGN37+WGN42+#REF!+#REF!,"")</f>
        <v/>
      </c>
      <c r="WGO48" s="84" t="str">
        <f>IF(ISNUMBER(outYear),WGO37+WGO42+#REF!+#REF!,"")</f>
        <v/>
      </c>
      <c r="WGP48" s="84" t="str">
        <f>IF(ISNUMBER(outYear),WGP37+WGP42+#REF!+#REF!,"")</f>
        <v/>
      </c>
      <c r="WGQ48" s="84" t="str">
        <f>IF(ISNUMBER(outYear),WGQ37+WGQ42+#REF!+#REF!,"")</f>
        <v/>
      </c>
      <c r="WGR48" s="84" t="str">
        <f>IF(ISNUMBER(outYear),WGR37+WGR42+#REF!+#REF!,"")</f>
        <v/>
      </c>
      <c r="WGS48" s="84" t="str">
        <f>IF(ISNUMBER(outYear),WGS37+WGS42+#REF!+#REF!,"")</f>
        <v/>
      </c>
      <c r="WGT48" s="84" t="str">
        <f>IF(ISNUMBER(outYear),WGT37+WGT42+#REF!+#REF!,"")</f>
        <v/>
      </c>
      <c r="WGU48" s="84" t="str">
        <f>IF(ISNUMBER(outYear),WGU37+WGU42+#REF!+#REF!,"")</f>
        <v/>
      </c>
      <c r="WGV48" s="84" t="str">
        <f>IF(ISNUMBER(outYear),WGV37+WGV42+#REF!+#REF!,"")</f>
        <v/>
      </c>
      <c r="WGW48" s="84" t="str">
        <f>IF(ISNUMBER(outYear),WGW37+WGW42+#REF!+#REF!,"")</f>
        <v/>
      </c>
      <c r="WGX48" s="84" t="str">
        <f>IF(ISNUMBER(outYear),WGX37+WGX42+#REF!+#REF!,"")</f>
        <v/>
      </c>
      <c r="WGY48" s="84" t="str">
        <f>IF(ISNUMBER(outYear),WGY37+WGY42+#REF!+#REF!,"")</f>
        <v/>
      </c>
      <c r="WGZ48" s="84" t="str">
        <f>IF(ISNUMBER(outYear),WGZ37+WGZ42+#REF!+#REF!,"")</f>
        <v/>
      </c>
      <c r="WHA48" s="84" t="str">
        <f>IF(ISNUMBER(outYear),WHA37+WHA42+#REF!+#REF!,"")</f>
        <v/>
      </c>
      <c r="WHB48" s="84" t="str">
        <f>IF(ISNUMBER(outYear),WHB37+WHB42+#REF!+#REF!,"")</f>
        <v/>
      </c>
      <c r="WHC48" s="84" t="str">
        <f>IF(ISNUMBER(outYear),WHC37+WHC42+#REF!+#REF!,"")</f>
        <v/>
      </c>
      <c r="WHD48" s="84" t="str">
        <f>IF(ISNUMBER(outYear),WHD37+WHD42+#REF!+#REF!,"")</f>
        <v/>
      </c>
      <c r="WHE48" s="84" t="str">
        <f>IF(ISNUMBER(outYear),WHE37+WHE42+#REF!+#REF!,"")</f>
        <v/>
      </c>
      <c r="WHF48" s="84" t="str">
        <f>IF(ISNUMBER(outYear),WHF37+WHF42+#REF!+#REF!,"")</f>
        <v/>
      </c>
      <c r="WHG48" s="84" t="str">
        <f>IF(ISNUMBER(outYear),WHG37+WHG42+#REF!+#REF!,"")</f>
        <v/>
      </c>
      <c r="WHH48" s="84" t="str">
        <f>IF(ISNUMBER(outYear),WHH37+WHH42+#REF!+#REF!,"")</f>
        <v/>
      </c>
      <c r="WHI48" s="84" t="str">
        <f>IF(ISNUMBER(outYear),WHI37+WHI42+#REF!+#REF!,"")</f>
        <v/>
      </c>
      <c r="WHJ48" s="84" t="str">
        <f>IF(ISNUMBER(outYear),WHJ37+WHJ42+#REF!+#REF!,"")</f>
        <v/>
      </c>
      <c r="WHK48" s="84" t="str">
        <f>IF(ISNUMBER(outYear),WHK37+WHK42+#REF!+#REF!,"")</f>
        <v/>
      </c>
      <c r="WHL48" s="84" t="str">
        <f>IF(ISNUMBER(outYear),WHL37+WHL42+#REF!+#REF!,"")</f>
        <v/>
      </c>
      <c r="WHM48" s="84" t="str">
        <f>IF(ISNUMBER(outYear),WHM37+WHM42+#REF!+#REF!,"")</f>
        <v/>
      </c>
      <c r="WHN48" s="84" t="str">
        <f>IF(ISNUMBER(outYear),WHN37+WHN42+#REF!+#REF!,"")</f>
        <v/>
      </c>
      <c r="WHO48" s="84" t="str">
        <f>IF(ISNUMBER(outYear),WHO37+WHO42+#REF!+#REF!,"")</f>
        <v/>
      </c>
      <c r="WHP48" s="84" t="str">
        <f>IF(ISNUMBER(outYear),WHP37+WHP42+#REF!+#REF!,"")</f>
        <v/>
      </c>
      <c r="WHQ48" s="84" t="str">
        <f>IF(ISNUMBER(outYear),WHQ37+WHQ42+#REF!+#REF!,"")</f>
        <v/>
      </c>
      <c r="WHR48" s="84" t="str">
        <f>IF(ISNUMBER(outYear),WHR37+WHR42+#REF!+#REF!,"")</f>
        <v/>
      </c>
      <c r="WHS48" s="84" t="str">
        <f>IF(ISNUMBER(outYear),WHS37+WHS42+#REF!+#REF!,"")</f>
        <v/>
      </c>
      <c r="WHT48" s="84" t="str">
        <f>IF(ISNUMBER(outYear),WHT37+WHT42+#REF!+#REF!,"")</f>
        <v/>
      </c>
      <c r="WHU48" s="84" t="str">
        <f>IF(ISNUMBER(outYear),WHU37+WHU42+#REF!+#REF!,"")</f>
        <v/>
      </c>
      <c r="WHV48" s="84" t="str">
        <f>IF(ISNUMBER(outYear),WHV37+WHV42+#REF!+#REF!,"")</f>
        <v/>
      </c>
      <c r="WHW48" s="84" t="str">
        <f>IF(ISNUMBER(outYear),WHW37+WHW42+#REF!+#REF!,"")</f>
        <v/>
      </c>
      <c r="WHX48" s="84" t="str">
        <f>IF(ISNUMBER(outYear),WHX37+WHX42+#REF!+#REF!,"")</f>
        <v/>
      </c>
      <c r="WHY48" s="84" t="str">
        <f>IF(ISNUMBER(outYear),WHY37+WHY42+#REF!+#REF!,"")</f>
        <v/>
      </c>
      <c r="WHZ48" s="84" t="str">
        <f>IF(ISNUMBER(outYear),WHZ37+WHZ42+#REF!+#REF!,"")</f>
        <v/>
      </c>
      <c r="WIA48" s="84" t="str">
        <f>IF(ISNUMBER(outYear),WIA37+WIA42+#REF!+#REF!,"")</f>
        <v/>
      </c>
      <c r="WIB48" s="84" t="str">
        <f>IF(ISNUMBER(outYear),WIB37+WIB42+#REF!+#REF!,"")</f>
        <v/>
      </c>
      <c r="WIC48" s="84" t="str">
        <f>IF(ISNUMBER(outYear),WIC37+WIC42+#REF!+#REF!,"")</f>
        <v/>
      </c>
      <c r="WID48" s="84" t="str">
        <f>IF(ISNUMBER(outYear),WID37+WID42+#REF!+#REF!,"")</f>
        <v/>
      </c>
      <c r="WIE48" s="84" t="str">
        <f>IF(ISNUMBER(outYear),WIE37+WIE42+#REF!+#REF!,"")</f>
        <v/>
      </c>
      <c r="WIF48" s="84" t="str">
        <f>IF(ISNUMBER(outYear),WIF37+WIF42+#REF!+#REF!,"")</f>
        <v/>
      </c>
      <c r="WIG48" s="84" t="str">
        <f>IF(ISNUMBER(outYear),WIG37+WIG42+#REF!+#REF!,"")</f>
        <v/>
      </c>
      <c r="WIH48" s="84" t="str">
        <f>IF(ISNUMBER(outYear),WIH37+WIH42+#REF!+#REF!,"")</f>
        <v/>
      </c>
      <c r="WII48" s="84" t="str">
        <f>IF(ISNUMBER(outYear),WII37+WII42+#REF!+#REF!,"")</f>
        <v/>
      </c>
      <c r="WIJ48" s="84" t="str">
        <f>IF(ISNUMBER(outYear),WIJ37+WIJ42+#REF!+#REF!,"")</f>
        <v/>
      </c>
      <c r="WIK48" s="84" t="str">
        <f>IF(ISNUMBER(outYear),WIK37+WIK42+#REF!+#REF!,"")</f>
        <v/>
      </c>
      <c r="WIL48" s="84" t="str">
        <f>IF(ISNUMBER(outYear),WIL37+WIL42+#REF!+#REF!,"")</f>
        <v/>
      </c>
      <c r="WIM48" s="84" t="str">
        <f>IF(ISNUMBER(outYear),WIM37+WIM42+#REF!+#REF!,"")</f>
        <v/>
      </c>
      <c r="WIN48" s="84" t="str">
        <f>IF(ISNUMBER(outYear),WIN37+WIN42+#REF!+#REF!,"")</f>
        <v/>
      </c>
      <c r="WIO48" s="84" t="str">
        <f>IF(ISNUMBER(outYear),WIO37+WIO42+#REF!+#REF!,"")</f>
        <v/>
      </c>
      <c r="WIP48" s="84" t="str">
        <f>IF(ISNUMBER(outYear),WIP37+WIP42+#REF!+#REF!,"")</f>
        <v/>
      </c>
      <c r="WIQ48" s="84" t="str">
        <f>IF(ISNUMBER(outYear),WIQ37+WIQ42+#REF!+#REF!,"")</f>
        <v/>
      </c>
      <c r="WIR48" s="84" t="str">
        <f>IF(ISNUMBER(outYear),WIR37+WIR42+#REF!+#REF!,"")</f>
        <v/>
      </c>
      <c r="WIS48" s="84" t="str">
        <f>IF(ISNUMBER(outYear),WIS37+WIS42+#REF!+#REF!,"")</f>
        <v/>
      </c>
      <c r="WIT48" s="84" t="str">
        <f>IF(ISNUMBER(outYear),WIT37+WIT42+#REF!+#REF!,"")</f>
        <v/>
      </c>
      <c r="WIU48" s="84" t="str">
        <f>IF(ISNUMBER(outYear),WIU37+WIU42+#REF!+#REF!,"")</f>
        <v/>
      </c>
      <c r="WIV48" s="84" t="str">
        <f>IF(ISNUMBER(outYear),WIV37+WIV42+#REF!+#REF!,"")</f>
        <v/>
      </c>
      <c r="WIW48" s="84" t="str">
        <f>IF(ISNUMBER(outYear),WIW37+WIW42+#REF!+#REF!,"")</f>
        <v/>
      </c>
      <c r="WIX48" s="84" t="str">
        <f>IF(ISNUMBER(outYear),WIX37+WIX42+#REF!+#REF!,"")</f>
        <v/>
      </c>
      <c r="WIY48" s="84" t="str">
        <f>IF(ISNUMBER(outYear),WIY37+WIY42+#REF!+#REF!,"")</f>
        <v/>
      </c>
      <c r="WIZ48" s="84" t="str">
        <f>IF(ISNUMBER(outYear),WIZ37+WIZ42+#REF!+#REF!,"")</f>
        <v/>
      </c>
      <c r="WJA48" s="84" t="str">
        <f>IF(ISNUMBER(outYear),WJA37+WJA42+#REF!+#REF!,"")</f>
        <v/>
      </c>
      <c r="WJB48" s="84" t="str">
        <f>IF(ISNUMBER(outYear),WJB37+WJB42+#REF!+#REF!,"")</f>
        <v/>
      </c>
      <c r="WJC48" s="84" t="str">
        <f>IF(ISNUMBER(outYear),WJC37+WJC42+#REF!+#REF!,"")</f>
        <v/>
      </c>
      <c r="WJD48" s="84" t="str">
        <f>IF(ISNUMBER(outYear),WJD37+WJD42+#REF!+#REF!,"")</f>
        <v/>
      </c>
      <c r="WJE48" s="84" t="str">
        <f>IF(ISNUMBER(outYear),WJE37+WJE42+#REF!+#REF!,"")</f>
        <v/>
      </c>
      <c r="WJF48" s="84" t="str">
        <f>IF(ISNUMBER(outYear),WJF37+WJF42+#REF!+#REF!,"")</f>
        <v/>
      </c>
      <c r="WJG48" s="84" t="str">
        <f>IF(ISNUMBER(outYear),WJG37+WJG42+#REF!+#REF!,"")</f>
        <v/>
      </c>
      <c r="WJH48" s="84" t="str">
        <f>IF(ISNUMBER(outYear),WJH37+WJH42+#REF!+#REF!,"")</f>
        <v/>
      </c>
      <c r="WJI48" s="84" t="str">
        <f>IF(ISNUMBER(outYear),WJI37+WJI42+#REF!+#REF!,"")</f>
        <v/>
      </c>
      <c r="WJJ48" s="84" t="str">
        <f>IF(ISNUMBER(outYear),WJJ37+WJJ42+#REF!+#REF!,"")</f>
        <v/>
      </c>
      <c r="WJK48" s="84" t="str">
        <f>IF(ISNUMBER(outYear),WJK37+WJK42+#REF!+#REF!,"")</f>
        <v/>
      </c>
      <c r="WJL48" s="84" t="str">
        <f>IF(ISNUMBER(outYear),WJL37+WJL42+#REF!+#REF!,"")</f>
        <v/>
      </c>
      <c r="WJM48" s="84" t="str">
        <f>IF(ISNUMBER(outYear),WJM37+WJM42+#REF!+#REF!,"")</f>
        <v/>
      </c>
      <c r="WJN48" s="84" t="str">
        <f>IF(ISNUMBER(outYear),WJN37+WJN42+#REF!+#REF!,"")</f>
        <v/>
      </c>
      <c r="WJO48" s="84" t="str">
        <f>IF(ISNUMBER(outYear),WJO37+WJO42+#REF!+#REF!,"")</f>
        <v/>
      </c>
      <c r="WJP48" s="84" t="str">
        <f>IF(ISNUMBER(outYear),WJP37+WJP42+#REF!+#REF!,"")</f>
        <v/>
      </c>
      <c r="WJQ48" s="84" t="str">
        <f>IF(ISNUMBER(outYear),WJQ37+WJQ42+#REF!+#REF!,"")</f>
        <v/>
      </c>
      <c r="WJR48" s="84" t="str">
        <f>IF(ISNUMBER(outYear),WJR37+WJR42+#REF!+#REF!,"")</f>
        <v/>
      </c>
      <c r="WJS48" s="84" t="str">
        <f>IF(ISNUMBER(outYear),WJS37+WJS42+#REF!+#REF!,"")</f>
        <v/>
      </c>
      <c r="WJT48" s="84" t="str">
        <f>IF(ISNUMBER(outYear),WJT37+WJT42+#REF!+#REF!,"")</f>
        <v/>
      </c>
      <c r="WJU48" s="84" t="str">
        <f>IF(ISNUMBER(outYear),WJU37+WJU42+#REF!+#REF!,"")</f>
        <v/>
      </c>
      <c r="WJV48" s="84" t="str">
        <f>IF(ISNUMBER(outYear),WJV37+WJV42+#REF!+#REF!,"")</f>
        <v/>
      </c>
      <c r="WJW48" s="84" t="str">
        <f>IF(ISNUMBER(outYear),WJW37+WJW42+#REF!+#REF!,"")</f>
        <v/>
      </c>
      <c r="WJX48" s="84" t="str">
        <f>IF(ISNUMBER(outYear),WJX37+WJX42+#REF!+#REF!,"")</f>
        <v/>
      </c>
      <c r="WJY48" s="84" t="str">
        <f>IF(ISNUMBER(outYear),WJY37+WJY42+#REF!+#REF!,"")</f>
        <v/>
      </c>
      <c r="WJZ48" s="84" t="str">
        <f>IF(ISNUMBER(outYear),WJZ37+WJZ42+#REF!+#REF!,"")</f>
        <v/>
      </c>
      <c r="WKA48" s="84" t="str">
        <f>IF(ISNUMBER(outYear),WKA37+WKA42+#REF!+#REF!,"")</f>
        <v/>
      </c>
      <c r="WKB48" s="84" t="str">
        <f>IF(ISNUMBER(outYear),WKB37+WKB42+#REF!+#REF!,"")</f>
        <v/>
      </c>
      <c r="WKC48" s="84" t="str">
        <f>IF(ISNUMBER(outYear),WKC37+WKC42+#REF!+#REF!,"")</f>
        <v/>
      </c>
      <c r="WKD48" s="84" t="str">
        <f>IF(ISNUMBER(outYear),WKD37+WKD42+#REF!+#REF!,"")</f>
        <v/>
      </c>
      <c r="WKE48" s="84" t="str">
        <f>IF(ISNUMBER(outYear),WKE37+WKE42+#REF!+#REF!,"")</f>
        <v/>
      </c>
      <c r="WKF48" s="84" t="str">
        <f>IF(ISNUMBER(outYear),WKF37+WKF42+#REF!+#REF!,"")</f>
        <v/>
      </c>
      <c r="WKG48" s="84" t="str">
        <f>IF(ISNUMBER(outYear),WKG37+WKG42+#REF!+#REF!,"")</f>
        <v/>
      </c>
      <c r="WKH48" s="84" t="str">
        <f>IF(ISNUMBER(outYear),WKH37+WKH42+#REF!+#REF!,"")</f>
        <v/>
      </c>
      <c r="WKI48" s="84" t="str">
        <f>IF(ISNUMBER(outYear),WKI37+WKI42+#REF!+#REF!,"")</f>
        <v/>
      </c>
      <c r="WKJ48" s="84" t="str">
        <f>IF(ISNUMBER(outYear),WKJ37+WKJ42+#REF!+#REF!,"")</f>
        <v/>
      </c>
      <c r="WKK48" s="84" t="str">
        <f>IF(ISNUMBER(outYear),WKK37+WKK42+#REF!+#REF!,"")</f>
        <v/>
      </c>
      <c r="WKL48" s="84" t="str">
        <f>IF(ISNUMBER(outYear),WKL37+WKL42+#REF!+#REF!,"")</f>
        <v/>
      </c>
      <c r="WKM48" s="84" t="str">
        <f>IF(ISNUMBER(outYear),WKM37+WKM42+#REF!+#REF!,"")</f>
        <v/>
      </c>
      <c r="WKN48" s="84" t="str">
        <f>IF(ISNUMBER(outYear),WKN37+WKN42+#REF!+#REF!,"")</f>
        <v/>
      </c>
      <c r="WKO48" s="84" t="str">
        <f>IF(ISNUMBER(outYear),WKO37+WKO42+#REF!+#REF!,"")</f>
        <v/>
      </c>
      <c r="WKP48" s="84" t="str">
        <f>IF(ISNUMBER(outYear),WKP37+WKP42+#REF!+#REF!,"")</f>
        <v/>
      </c>
      <c r="WKQ48" s="84" t="str">
        <f>IF(ISNUMBER(outYear),WKQ37+WKQ42+#REF!+#REF!,"")</f>
        <v/>
      </c>
      <c r="WKR48" s="84" t="str">
        <f>IF(ISNUMBER(outYear),WKR37+WKR42+#REF!+#REF!,"")</f>
        <v/>
      </c>
      <c r="WKS48" s="84" t="str">
        <f>IF(ISNUMBER(outYear),WKS37+WKS42+#REF!+#REF!,"")</f>
        <v/>
      </c>
      <c r="WKT48" s="84" t="str">
        <f>IF(ISNUMBER(outYear),WKT37+WKT42+#REF!+#REF!,"")</f>
        <v/>
      </c>
      <c r="WKU48" s="84" t="str">
        <f>IF(ISNUMBER(outYear),WKU37+WKU42+#REF!+#REF!,"")</f>
        <v/>
      </c>
      <c r="WKV48" s="84" t="str">
        <f>IF(ISNUMBER(outYear),WKV37+WKV42+#REF!+#REF!,"")</f>
        <v/>
      </c>
      <c r="WKW48" s="84" t="str">
        <f>IF(ISNUMBER(outYear),WKW37+WKW42+#REF!+#REF!,"")</f>
        <v/>
      </c>
      <c r="WKX48" s="84" t="str">
        <f>IF(ISNUMBER(outYear),WKX37+WKX42+#REF!+#REF!,"")</f>
        <v/>
      </c>
      <c r="WKY48" s="84" t="str">
        <f>IF(ISNUMBER(outYear),WKY37+WKY42+#REF!+#REF!,"")</f>
        <v/>
      </c>
      <c r="WKZ48" s="84" t="str">
        <f>IF(ISNUMBER(outYear),WKZ37+WKZ42+#REF!+#REF!,"")</f>
        <v/>
      </c>
      <c r="WLA48" s="84" t="str">
        <f>IF(ISNUMBER(outYear),WLA37+WLA42+#REF!+#REF!,"")</f>
        <v/>
      </c>
      <c r="WLB48" s="84" t="str">
        <f>IF(ISNUMBER(outYear),WLB37+WLB42+#REF!+#REF!,"")</f>
        <v/>
      </c>
      <c r="WLC48" s="84" t="str">
        <f>IF(ISNUMBER(outYear),WLC37+WLC42+#REF!+#REF!,"")</f>
        <v/>
      </c>
      <c r="WLD48" s="84" t="str">
        <f>IF(ISNUMBER(outYear),WLD37+WLD42+#REF!+#REF!,"")</f>
        <v/>
      </c>
      <c r="WLE48" s="84" t="str">
        <f>IF(ISNUMBER(outYear),WLE37+WLE42+#REF!+#REF!,"")</f>
        <v/>
      </c>
      <c r="WLF48" s="84" t="str">
        <f>IF(ISNUMBER(outYear),WLF37+WLF42+#REF!+#REF!,"")</f>
        <v/>
      </c>
      <c r="WLG48" s="84" t="str">
        <f>IF(ISNUMBER(outYear),WLG37+WLG42+#REF!+#REF!,"")</f>
        <v/>
      </c>
      <c r="WLH48" s="84" t="str">
        <f>IF(ISNUMBER(outYear),WLH37+WLH42+#REF!+#REF!,"")</f>
        <v/>
      </c>
      <c r="WLI48" s="84" t="str">
        <f>IF(ISNUMBER(outYear),WLI37+WLI42+#REF!+#REF!,"")</f>
        <v/>
      </c>
      <c r="WLJ48" s="84" t="str">
        <f>IF(ISNUMBER(outYear),WLJ37+WLJ42+#REF!+#REF!,"")</f>
        <v/>
      </c>
      <c r="WLK48" s="84" t="str">
        <f>IF(ISNUMBER(outYear),WLK37+WLK42+#REF!+#REF!,"")</f>
        <v/>
      </c>
      <c r="WLL48" s="84" t="str">
        <f>IF(ISNUMBER(outYear),WLL37+WLL42+#REF!+#REF!,"")</f>
        <v/>
      </c>
      <c r="WLM48" s="84" t="str">
        <f>IF(ISNUMBER(outYear),WLM37+WLM42+#REF!+#REF!,"")</f>
        <v/>
      </c>
      <c r="WLN48" s="84" t="str">
        <f>IF(ISNUMBER(outYear),WLN37+WLN42+#REF!+#REF!,"")</f>
        <v/>
      </c>
      <c r="WLO48" s="84" t="str">
        <f>IF(ISNUMBER(outYear),WLO37+WLO42+#REF!+#REF!,"")</f>
        <v/>
      </c>
      <c r="WLP48" s="84" t="str">
        <f>IF(ISNUMBER(outYear),WLP37+WLP42+#REF!+#REF!,"")</f>
        <v/>
      </c>
      <c r="WLQ48" s="84" t="str">
        <f>IF(ISNUMBER(outYear),WLQ37+WLQ42+#REF!+#REF!,"")</f>
        <v/>
      </c>
      <c r="WLR48" s="84" t="str">
        <f>IF(ISNUMBER(outYear),WLR37+WLR42+#REF!+#REF!,"")</f>
        <v/>
      </c>
      <c r="WLS48" s="84" t="str">
        <f>IF(ISNUMBER(outYear),WLS37+WLS42+#REF!+#REF!,"")</f>
        <v/>
      </c>
      <c r="WLT48" s="84" t="str">
        <f>IF(ISNUMBER(outYear),WLT37+WLT42+#REF!+#REF!,"")</f>
        <v/>
      </c>
      <c r="WLU48" s="84" t="str">
        <f>IF(ISNUMBER(outYear),WLU37+WLU42+#REF!+#REF!,"")</f>
        <v/>
      </c>
      <c r="WLV48" s="84" t="str">
        <f>IF(ISNUMBER(outYear),WLV37+WLV42+#REF!+#REF!,"")</f>
        <v/>
      </c>
      <c r="WLW48" s="84" t="str">
        <f>IF(ISNUMBER(outYear),WLW37+WLW42+#REF!+#REF!,"")</f>
        <v/>
      </c>
      <c r="WLX48" s="84" t="str">
        <f>IF(ISNUMBER(outYear),WLX37+WLX42+#REF!+#REF!,"")</f>
        <v/>
      </c>
      <c r="WLY48" s="84" t="str">
        <f>IF(ISNUMBER(outYear),WLY37+WLY42+#REF!+#REF!,"")</f>
        <v/>
      </c>
      <c r="WLZ48" s="84" t="str">
        <f>IF(ISNUMBER(outYear),WLZ37+WLZ42+#REF!+#REF!,"")</f>
        <v/>
      </c>
      <c r="WMA48" s="84" t="str">
        <f>IF(ISNUMBER(outYear),WMA37+WMA42+#REF!+#REF!,"")</f>
        <v/>
      </c>
      <c r="WMB48" s="84" t="str">
        <f>IF(ISNUMBER(outYear),WMB37+WMB42+#REF!+#REF!,"")</f>
        <v/>
      </c>
      <c r="WMC48" s="84" t="str">
        <f>IF(ISNUMBER(outYear),WMC37+WMC42+#REF!+#REF!,"")</f>
        <v/>
      </c>
      <c r="WMD48" s="84" t="str">
        <f>IF(ISNUMBER(outYear),WMD37+WMD42+#REF!+#REF!,"")</f>
        <v/>
      </c>
      <c r="WME48" s="84" t="str">
        <f>IF(ISNUMBER(outYear),WME37+WME42+#REF!+#REF!,"")</f>
        <v/>
      </c>
      <c r="WMF48" s="84" t="str">
        <f>IF(ISNUMBER(outYear),WMF37+WMF42+#REF!+#REF!,"")</f>
        <v/>
      </c>
      <c r="WMG48" s="84" t="str">
        <f>IF(ISNUMBER(outYear),WMG37+WMG42+#REF!+#REF!,"")</f>
        <v/>
      </c>
      <c r="WMH48" s="84" t="str">
        <f>IF(ISNUMBER(outYear),WMH37+WMH42+#REF!+#REF!,"")</f>
        <v/>
      </c>
      <c r="WMI48" s="84" t="str">
        <f>IF(ISNUMBER(outYear),WMI37+WMI42+#REF!+#REF!,"")</f>
        <v/>
      </c>
      <c r="WMJ48" s="84" t="str">
        <f>IF(ISNUMBER(outYear),WMJ37+WMJ42+#REF!+#REF!,"")</f>
        <v/>
      </c>
      <c r="WMK48" s="84" t="str">
        <f>IF(ISNUMBER(outYear),WMK37+WMK42+#REF!+#REF!,"")</f>
        <v/>
      </c>
      <c r="WML48" s="84" t="str">
        <f>IF(ISNUMBER(outYear),WML37+WML42+#REF!+#REF!,"")</f>
        <v/>
      </c>
      <c r="WMM48" s="84" t="str">
        <f>IF(ISNUMBER(outYear),WMM37+WMM42+#REF!+#REF!,"")</f>
        <v/>
      </c>
      <c r="WMN48" s="84" t="str">
        <f>IF(ISNUMBER(outYear),WMN37+WMN42+#REF!+#REF!,"")</f>
        <v/>
      </c>
      <c r="WMO48" s="84" t="str">
        <f>IF(ISNUMBER(outYear),WMO37+WMO42+#REF!+#REF!,"")</f>
        <v/>
      </c>
      <c r="WMP48" s="84" t="str">
        <f>IF(ISNUMBER(outYear),WMP37+WMP42+#REF!+#REF!,"")</f>
        <v/>
      </c>
      <c r="WMQ48" s="84" t="str">
        <f>IF(ISNUMBER(outYear),WMQ37+WMQ42+#REF!+#REF!,"")</f>
        <v/>
      </c>
      <c r="WMR48" s="84" t="str">
        <f>IF(ISNUMBER(outYear),WMR37+WMR42+#REF!+#REF!,"")</f>
        <v/>
      </c>
      <c r="WMS48" s="84" t="str">
        <f>IF(ISNUMBER(outYear),WMS37+WMS42+#REF!+#REF!,"")</f>
        <v/>
      </c>
      <c r="WMT48" s="84" t="str">
        <f>IF(ISNUMBER(outYear),WMT37+WMT42+#REF!+#REF!,"")</f>
        <v/>
      </c>
      <c r="WMU48" s="84" t="str">
        <f>IF(ISNUMBER(outYear),WMU37+WMU42+#REF!+#REF!,"")</f>
        <v/>
      </c>
      <c r="WMV48" s="84" t="str">
        <f>IF(ISNUMBER(outYear),WMV37+WMV42+#REF!+#REF!,"")</f>
        <v/>
      </c>
      <c r="WMW48" s="84" t="str">
        <f>IF(ISNUMBER(outYear),WMW37+WMW42+#REF!+#REF!,"")</f>
        <v/>
      </c>
      <c r="WMX48" s="84" t="str">
        <f>IF(ISNUMBER(outYear),WMX37+WMX42+#REF!+#REF!,"")</f>
        <v/>
      </c>
      <c r="WMY48" s="84" t="str">
        <f>IF(ISNUMBER(outYear),WMY37+WMY42+#REF!+#REF!,"")</f>
        <v/>
      </c>
      <c r="WMZ48" s="84" t="str">
        <f>IF(ISNUMBER(outYear),WMZ37+WMZ42+#REF!+#REF!,"")</f>
        <v/>
      </c>
      <c r="WNA48" s="84" t="str">
        <f>IF(ISNUMBER(outYear),WNA37+WNA42+#REF!+#REF!,"")</f>
        <v/>
      </c>
      <c r="WNB48" s="84" t="str">
        <f>IF(ISNUMBER(outYear),WNB37+WNB42+#REF!+#REF!,"")</f>
        <v/>
      </c>
      <c r="WNC48" s="84" t="str">
        <f>IF(ISNUMBER(outYear),WNC37+WNC42+#REF!+#REF!,"")</f>
        <v/>
      </c>
      <c r="WND48" s="84" t="str">
        <f>IF(ISNUMBER(outYear),WND37+WND42+#REF!+#REF!,"")</f>
        <v/>
      </c>
      <c r="WNE48" s="84" t="str">
        <f>IF(ISNUMBER(outYear),WNE37+WNE42+#REF!+#REF!,"")</f>
        <v/>
      </c>
      <c r="WNF48" s="84" t="str">
        <f>IF(ISNUMBER(outYear),WNF37+WNF42+#REF!+#REF!,"")</f>
        <v/>
      </c>
      <c r="WNG48" s="84" t="str">
        <f>IF(ISNUMBER(outYear),WNG37+WNG42+#REF!+#REF!,"")</f>
        <v/>
      </c>
      <c r="WNH48" s="84" t="str">
        <f>IF(ISNUMBER(outYear),WNH37+WNH42+#REF!+#REF!,"")</f>
        <v/>
      </c>
      <c r="WNI48" s="84" t="str">
        <f>IF(ISNUMBER(outYear),WNI37+WNI42+#REF!+#REF!,"")</f>
        <v/>
      </c>
      <c r="WNJ48" s="84" t="str">
        <f>IF(ISNUMBER(outYear),WNJ37+WNJ42+#REF!+#REF!,"")</f>
        <v/>
      </c>
      <c r="WNK48" s="84" t="str">
        <f>IF(ISNUMBER(outYear),WNK37+WNK42+#REF!+#REF!,"")</f>
        <v/>
      </c>
      <c r="WNL48" s="84" t="str">
        <f>IF(ISNUMBER(outYear),WNL37+WNL42+#REF!+#REF!,"")</f>
        <v/>
      </c>
      <c r="WNM48" s="84" t="str">
        <f>IF(ISNUMBER(outYear),WNM37+WNM42+#REF!+#REF!,"")</f>
        <v/>
      </c>
      <c r="WNN48" s="84" t="str">
        <f>IF(ISNUMBER(outYear),WNN37+WNN42+#REF!+#REF!,"")</f>
        <v/>
      </c>
      <c r="WNO48" s="84" t="str">
        <f>IF(ISNUMBER(outYear),WNO37+WNO42+#REF!+#REF!,"")</f>
        <v/>
      </c>
      <c r="WNP48" s="84" t="str">
        <f>IF(ISNUMBER(outYear),WNP37+WNP42+#REF!+#REF!,"")</f>
        <v/>
      </c>
      <c r="WNQ48" s="84" t="str">
        <f>IF(ISNUMBER(outYear),WNQ37+WNQ42+#REF!+#REF!,"")</f>
        <v/>
      </c>
      <c r="WNR48" s="84" t="str">
        <f>IF(ISNUMBER(outYear),WNR37+WNR42+#REF!+#REF!,"")</f>
        <v/>
      </c>
      <c r="WNS48" s="84" t="str">
        <f>IF(ISNUMBER(outYear),WNS37+WNS42+#REF!+#REF!,"")</f>
        <v/>
      </c>
      <c r="WNT48" s="84" t="str">
        <f>IF(ISNUMBER(outYear),WNT37+WNT42+#REF!+#REF!,"")</f>
        <v/>
      </c>
      <c r="WNU48" s="84" t="str">
        <f>IF(ISNUMBER(outYear),WNU37+WNU42+#REF!+#REF!,"")</f>
        <v/>
      </c>
      <c r="WNV48" s="84" t="str">
        <f>IF(ISNUMBER(outYear),WNV37+WNV42+#REF!+#REF!,"")</f>
        <v/>
      </c>
      <c r="WNW48" s="84" t="str">
        <f>IF(ISNUMBER(outYear),WNW37+WNW42+#REF!+#REF!,"")</f>
        <v/>
      </c>
      <c r="WNX48" s="84" t="str">
        <f>IF(ISNUMBER(outYear),WNX37+WNX42+#REF!+#REF!,"")</f>
        <v/>
      </c>
      <c r="WNY48" s="84" t="str">
        <f>IF(ISNUMBER(outYear),WNY37+WNY42+#REF!+#REF!,"")</f>
        <v/>
      </c>
      <c r="WNZ48" s="84" t="str">
        <f>IF(ISNUMBER(outYear),WNZ37+WNZ42+#REF!+#REF!,"")</f>
        <v/>
      </c>
      <c r="WOA48" s="84" t="str">
        <f>IF(ISNUMBER(outYear),WOA37+WOA42+#REF!+#REF!,"")</f>
        <v/>
      </c>
      <c r="WOB48" s="84" t="str">
        <f>IF(ISNUMBER(outYear),WOB37+WOB42+#REF!+#REF!,"")</f>
        <v/>
      </c>
      <c r="WOC48" s="84" t="str">
        <f>IF(ISNUMBER(outYear),WOC37+WOC42+#REF!+#REF!,"")</f>
        <v/>
      </c>
      <c r="WOD48" s="84" t="str">
        <f>IF(ISNUMBER(outYear),WOD37+WOD42+#REF!+#REF!,"")</f>
        <v/>
      </c>
      <c r="WOE48" s="84" t="str">
        <f>IF(ISNUMBER(outYear),WOE37+WOE42+#REF!+#REF!,"")</f>
        <v/>
      </c>
      <c r="WOF48" s="84" t="str">
        <f>IF(ISNUMBER(outYear),WOF37+WOF42+#REF!+#REF!,"")</f>
        <v/>
      </c>
      <c r="WOG48" s="84" t="str">
        <f>IF(ISNUMBER(outYear),WOG37+WOG42+#REF!+#REF!,"")</f>
        <v/>
      </c>
      <c r="WOH48" s="84" t="str">
        <f>IF(ISNUMBER(outYear),WOH37+WOH42+#REF!+#REF!,"")</f>
        <v/>
      </c>
      <c r="WOI48" s="84" t="str">
        <f>IF(ISNUMBER(outYear),WOI37+WOI42+#REF!+#REF!,"")</f>
        <v/>
      </c>
      <c r="WOJ48" s="84" t="str">
        <f>IF(ISNUMBER(outYear),WOJ37+WOJ42+#REF!+#REF!,"")</f>
        <v/>
      </c>
      <c r="WOK48" s="84" t="str">
        <f>IF(ISNUMBER(outYear),WOK37+WOK42+#REF!+#REF!,"")</f>
        <v/>
      </c>
      <c r="WOL48" s="84" t="str">
        <f>IF(ISNUMBER(outYear),WOL37+WOL42+#REF!+#REF!,"")</f>
        <v/>
      </c>
      <c r="WOM48" s="84" t="str">
        <f>IF(ISNUMBER(outYear),WOM37+WOM42+#REF!+#REF!,"")</f>
        <v/>
      </c>
      <c r="WON48" s="84" t="str">
        <f>IF(ISNUMBER(outYear),WON37+WON42+#REF!+#REF!,"")</f>
        <v/>
      </c>
      <c r="WOO48" s="84" t="str">
        <f>IF(ISNUMBER(outYear),WOO37+WOO42+#REF!+#REF!,"")</f>
        <v/>
      </c>
      <c r="WOP48" s="84" t="str">
        <f>IF(ISNUMBER(outYear),WOP37+WOP42+#REF!+#REF!,"")</f>
        <v/>
      </c>
      <c r="WOQ48" s="84" t="str">
        <f>IF(ISNUMBER(outYear),WOQ37+WOQ42+#REF!+#REF!,"")</f>
        <v/>
      </c>
      <c r="WOR48" s="84" t="str">
        <f>IF(ISNUMBER(outYear),WOR37+WOR42+#REF!+#REF!,"")</f>
        <v/>
      </c>
      <c r="WOS48" s="84" t="str">
        <f>IF(ISNUMBER(outYear),WOS37+WOS42+#REF!+#REF!,"")</f>
        <v/>
      </c>
      <c r="WOT48" s="84" t="str">
        <f>IF(ISNUMBER(outYear),WOT37+WOT42+#REF!+#REF!,"")</f>
        <v/>
      </c>
      <c r="WOU48" s="84" t="str">
        <f>IF(ISNUMBER(outYear),WOU37+WOU42+#REF!+#REF!,"")</f>
        <v/>
      </c>
      <c r="WOV48" s="84" t="str">
        <f>IF(ISNUMBER(outYear),WOV37+WOV42+#REF!+#REF!,"")</f>
        <v/>
      </c>
      <c r="WOW48" s="84" t="str">
        <f>IF(ISNUMBER(outYear),WOW37+WOW42+#REF!+#REF!,"")</f>
        <v/>
      </c>
      <c r="WOX48" s="84" t="str">
        <f>IF(ISNUMBER(outYear),WOX37+WOX42+#REF!+#REF!,"")</f>
        <v/>
      </c>
      <c r="WOY48" s="84" t="str">
        <f>IF(ISNUMBER(outYear),WOY37+WOY42+#REF!+#REF!,"")</f>
        <v/>
      </c>
      <c r="WOZ48" s="84" t="str">
        <f>IF(ISNUMBER(outYear),WOZ37+WOZ42+#REF!+#REF!,"")</f>
        <v/>
      </c>
      <c r="WPA48" s="84" t="str">
        <f>IF(ISNUMBER(outYear),WPA37+WPA42+#REF!+#REF!,"")</f>
        <v/>
      </c>
      <c r="WPB48" s="84" t="str">
        <f>IF(ISNUMBER(outYear),WPB37+WPB42+#REF!+#REF!,"")</f>
        <v/>
      </c>
      <c r="WPC48" s="84" t="str">
        <f>IF(ISNUMBER(outYear),WPC37+WPC42+#REF!+#REF!,"")</f>
        <v/>
      </c>
      <c r="WPD48" s="84" t="str">
        <f>IF(ISNUMBER(outYear),WPD37+WPD42+#REF!+#REF!,"")</f>
        <v/>
      </c>
      <c r="WPE48" s="84" t="str">
        <f>IF(ISNUMBER(outYear),WPE37+WPE42+#REF!+#REF!,"")</f>
        <v/>
      </c>
      <c r="WPF48" s="84" t="str">
        <f>IF(ISNUMBER(outYear),WPF37+WPF42+#REF!+#REF!,"")</f>
        <v/>
      </c>
      <c r="WPG48" s="84" t="str">
        <f>IF(ISNUMBER(outYear),WPG37+WPG42+#REF!+#REF!,"")</f>
        <v/>
      </c>
      <c r="WPH48" s="84" t="str">
        <f>IF(ISNUMBER(outYear),WPH37+WPH42+#REF!+#REF!,"")</f>
        <v/>
      </c>
      <c r="WPI48" s="84" t="str">
        <f>IF(ISNUMBER(outYear),WPI37+WPI42+#REF!+#REF!,"")</f>
        <v/>
      </c>
      <c r="WPJ48" s="84" t="str">
        <f>IF(ISNUMBER(outYear),WPJ37+WPJ42+#REF!+#REF!,"")</f>
        <v/>
      </c>
      <c r="WPK48" s="84" t="str">
        <f>IF(ISNUMBER(outYear),WPK37+WPK42+#REF!+#REF!,"")</f>
        <v/>
      </c>
      <c r="WPL48" s="84" t="str">
        <f>IF(ISNUMBER(outYear),WPL37+WPL42+#REF!+#REF!,"")</f>
        <v/>
      </c>
      <c r="WPM48" s="84" t="str">
        <f>IF(ISNUMBER(outYear),WPM37+WPM42+#REF!+#REF!,"")</f>
        <v/>
      </c>
      <c r="WPN48" s="84" t="str">
        <f>IF(ISNUMBER(outYear),WPN37+WPN42+#REF!+#REF!,"")</f>
        <v/>
      </c>
      <c r="WPO48" s="84" t="str">
        <f>IF(ISNUMBER(outYear),WPO37+WPO42+#REF!+#REF!,"")</f>
        <v/>
      </c>
      <c r="WPP48" s="84" t="str">
        <f>IF(ISNUMBER(outYear),WPP37+WPP42+#REF!+#REF!,"")</f>
        <v/>
      </c>
      <c r="WPQ48" s="84" t="str">
        <f>IF(ISNUMBER(outYear),WPQ37+WPQ42+#REF!+#REF!,"")</f>
        <v/>
      </c>
      <c r="WPR48" s="84" t="str">
        <f>IF(ISNUMBER(outYear),WPR37+WPR42+#REF!+#REF!,"")</f>
        <v/>
      </c>
      <c r="WPS48" s="84" t="str">
        <f>IF(ISNUMBER(outYear),WPS37+WPS42+#REF!+#REF!,"")</f>
        <v/>
      </c>
      <c r="WPT48" s="84" t="str">
        <f>IF(ISNUMBER(outYear),WPT37+WPT42+#REF!+#REF!,"")</f>
        <v/>
      </c>
      <c r="WPU48" s="84" t="str">
        <f>IF(ISNUMBER(outYear),WPU37+WPU42+#REF!+#REF!,"")</f>
        <v/>
      </c>
      <c r="WPV48" s="84" t="str">
        <f>IF(ISNUMBER(outYear),WPV37+WPV42+#REF!+#REF!,"")</f>
        <v/>
      </c>
      <c r="WPW48" s="84" t="str">
        <f>IF(ISNUMBER(outYear),WPW37+WPW42+#REF!+#REF!,"")</f>
        <v/>
      </c>
      <c r="WPX48" s="84" t="str">
        <f>IF(ISNUMBER(outYear),WPX37+WPX42+#REF!+#REF!,"")</f>
        <v/>
      </c>
      <c r="WPY48" s="84" t="str">
        <f>IF(ISNUMBER(outYear),WPY37+WPY42+#REF!+#REF!,"")</f>
        <v/>
      </c>
      <c r="WPZ48" s="84" t="str">
        <f>IF(ISNUMBER(outYear),WPZ37+WPZ42+#REF!+#REF!,"")</f>
        <v/>
      </c>
      <c r="WQA48" s="84" t="str">
        <f>IF(ISNUMBER(outYear),WQA37+WQA42+#REF!+#REF!,"")</f>
        <v/>
      </c>
      <c r="WQB48" s="84" t="str">
        <f>IF(ISNUMBER(outYear),WQB37+WQB42+#REF!+#REF!,"")</f>
        <v/>
      </c>
      <c r="WQC48" s="84" t="str">
        <f>IF(ISNUMBER(outYear),WQC37+WQC42+#REF!+#REF!,"")</f>
        <v/>
      </c>
      <c r="WQD48" s="84" t="str">
        <f>IF(ISNUMBER(outYear),WQD37+WQD42+#REF!+#REF!,"")</f>
        <v/>
      </c>
      <c r="WQE48" s="84" t="str">
        <f>IF(ISNUMBER(outYear),WQE37+WQE42+#REF!+#REF!,"")</f>
        <v/>
      </c>
      <c r="WQF48" s="84" t="str">
        <f>IF(ISNUMBER(outYear),WQF37+WQF42+#REF!+#REF!,"")</f>
        <v/>
      </c>
      <c r="WQG48" s="84" t="str">
        <f>IF(ISNUMBER(outYear),WQG37+WQG42+#REF!+#REF!,"")</f>
        <v/>
      </c>
      <c r="WQH48" s="84" t="str">
        <f>IF(ISNUMBER(outYear),WQH37+WQH42+#REF!+#REF!,"")</f>
        <v/>
      </c>
      <c r="WQI48" s="84" t="str">
        <f>IF(ISNUMBER(outYear),WQI37+WQI42+#REF!+#REF!,"")</f>
        <v/>
      </c>
      <c r="WQJ48" s="84" t="str">
        <f>IF(ISNUMBER(outYear),WQJ37+WQJ42+#REF!+#REF!,"")</f>
        <v/>
      </c>
      <c r="WQK48" s="84" t="str">
        <f>IF(ISNUMBER(outYear),WQK37+WQK42+#REF!+#REF!,"")</f>
        <v/>
      </c>
      <c r="WQL48" s="84" t="str">
        <f>IF(ISNUMBER(outYear),WQL37+WQL42+#REF!+#REF!,"")</f>
        <v/>
      </c>
      <c r="WQM48" s="84" t="str">
        <f>IF(ISNUMBER(outYear),WQM37+WQM42+#REF!+#REF!,"")</f>
        <v/>
      </c>
      <c r="WQN48" s="84" t="str">
        <f>IF(ISNUMBER(outYear),WQN37+WQN42+#REF!+#REF!,"")</f>
        <v/>
      </c>
      <c r="WQO48" s="84" t="str">
        <f>IF(ISNUMBER(outYear),WQO37+WQO42+#REF!+#REF!,"")</f>
        <v/>
      </c>
      <c r="WQP48" s="84" t="str">
        <f>IF(ISNUMBER(outYear),WQP37+WQP42+#REF!+#REF!,"")</f>
        <v/>
      </c>
      <c r="WQQ48" s="84" t="str">
        <f>IF(ISNUMBER(outYear),WQQ37+WQQ42+#REF!+#REF!,"")</f>
        <v/>
      </c>
      <c r="WQR48" s="84" t="str">
        <f>IF(ISNUMBER(outYear),WQR37+WQR42+#REF!+#REF!,"")</f>
        <v/>
      </c>
      <c r="WQS48" s="84" t="str">
        <f>IF(ISNUMBER(outYear),WQS37+WQS42+#REF!+#REF!,"")</f>
        <v/>
      </c>
      <c r="WQT48" s="84" t="str">
        <f>IF(ISNUMBER(outYear),WQT37+WQT42+#REF!+#REF!,"")</f>
        <v/>
      </c>
      <c r="WQU48" s="84" t="str">
        <f>IF(ISNUMBER(outYear),WQU37+WQU42+#REF!+#REF!,"")</f>
        <v/>
      </c>
      <c r="WQV48" s="84" t="str">
        <f>IF(ISNUMBER(outYear),WQV37+WQV42+#REF!+#REF!,"")</f>
        <v/>
      </c>
      <c r="WQW48" s="84" t="str">
        <f>IF(ISNUMBER(outYear),WQW37+WQW42+#REF!+#REF!,"")</f>
        <v/>
      </c>
      <c r="WQX48" s="84" t="str">
        <f>IF(ISNUMBER(outYear),WQX37+WQX42+#REF!+#REF!,"")</f>
        <v/>
      </c>
      <c r="WQY48" s="84" t="str">
        <f>IF(ISNUMBER(outYear),WQY37+WQY42+#REF!+#REF!,"")</f>
        <v/>
      </c>
      <c r="WQZ48" s="84" t="str">
        <f>IF(ISNUMBER(outYear),WQZ37+WQZ42+#REF!+#REF!,"")</f>
        <v/>
      </c>
      <c r="WRA48" s="84" t="str">
        <f>IF(ISNUMBER(outYear),WRA37+WRA42+#REF!+#REF!,"")</f>
        <v/>
      </c>
      <c r="WRB48" s="84" t="str">
        <f>IF(ISNUMBER(outYear),WRB37+WRB42+#REF!+#REF!,"")</f>
        <v/>
      </c>
      <c r="WRC48" s="84" t="str">
        <f>IF(ISNUMBER(outYear),WRC37+WRC42+#REF!+#REF!,"")</f>
        <v/>
      </c>
      <c r="WRD48" s="84" t="str">
        <f>IF(ISNUMBER(outYear),WRD37+WRD42+#REF!+#REF!,"")</f>
        <v/>
      </c>
      <c r="WRE48" s="84" t="str">
        <f>IF(ISNUMBER(outYear),WRE37+WRE42+#REF!+#REF!,"")</f>
        <v/>
      </c>
      <c r="WRF48" s="84" t="str">
        <f>IF(ISNUMBER(outYear),WRF37+WRF42+#REF!+#REF!,"")</f>
        <v/>
      </c>
      <c r="WRG48" s="84" t="str">
        <f>IF(ISNUMBER(outYear),WRG37+WRG42+#REF!+#REF!,"")</f>
        <v/>
      </c>
      <c r="WRH48" s="84" t="str">
        <f>IF(ISNUMBER(outYear),WRH37+WRH42+#REF!+#REF!,"")</f>
        <v/>
      </c>
      <c r="WRI48" s="84" t="str">
        <f>IF(ISNUMBER(outYear),WRI37+WRI42+#REF!+#REF!,"")</f>
        <v/>
      </c>
      <c r="WRJ48" s="84" t="str">
        <f>IF(ISNUMBER(outYear),WRJ37+WRJ42+#REF!+#REF!,"")</f>
        <v/>
      </c>
      <c r="WRK48" s="84" t="str">
        <f>IF(ISNUMBER(outYear),WRK37+WRK42+#REF!+#REF!,"")</f>
        <v/>
      </c>
      <c r="WRL48" s="84" t="str">
        <f>IF(ISNUMBER(outYear),WRL37+WRL42+#REF!+#REF!,"")</f>
        <v/>
      </c>
      <c r="WRM48" s="84" t="str">
        <f>IF(ISNUMBER(outYear),WRM37+WRM42+#REF!+#REF!,"")</f>
        <v/>
      </c>
      <c r="WRN48" s="84" t="str">
        <f>IF(ISNUMBER(outYear),WRN37+WRN42+#REF!+#REF!,"")</f>
        <v/>
      </c>
      <c r="WRO48" s="84" t="str">
        <f>IF(ISNUMBER(outYear),WRO37+WRO42+#REF!+#REF!,"")</f>
        <v/>
      </c>
      <c r="WRP48" s="84" t="str">
        <f>IF(ISNUMBER(outYear),WRP37+WRP42+#REF!+#REF!,"")</f>
        <v/>
      </c>
      <c r="WRQ48" s="84" t="str">
        <f>IF(ISNUMBER(outYear),WRQ37+WRQ42+#REF!+#REF!,"")</f>
        <v/>
      </c>
      <c r="WRR48" s="84" t="str">
        <f>IF(ISNUMBER(outYear),WRR37+WRR42+#REF!+#REF!,"")</f>
        <v/>
      </c>
      <c r="WRS48" s="84" t="str">
        <f>IF(ISNUMBER(outYear),WRS37+WRS42+#REF!+#REF!,"")</f>
        <v/>
      </c>
      <c r="WRT48" s="84" t="str">
        <f>IF(ISNUMBER(outYear),WRT37+WRT42+#REF!+#REF!,"")</f>
        <v/>
      </c>
      <c r="WRU48" s="84" t="str">
        <f>IF(ISNUMBER(outYear),WRU37+WRU42+#REF!+#REF!,"")</f>
        <v/>
      </c>
      <c r="WRV48" s="84" t="str">
        <f>IF(ISNUMBER(outYear),WRV37+WRV42+#REF!+#REF!,"")</f>
        <v/>
      </c>
      <c r="WRW48" s="84" t="str">
        <f>IF(ISNUMBER(outYear),WRW37+WRW42+#REF!+#REF!,"")</f>
        <v/>
      </c>
      <c r="WRX48" s="84" t="str">
        <f>IF(ISNUMBER(outYear),WRX37+WRX42+#REF!+#REF!,"")</f>
        <v/>
      </c>
      <c r="WRY48" s="84" t="str">
        <f>IF(ISNUMBER(outYear),WRY37+WRY42+#REF!+#REF!,"")</f>
        <v/>
      </c>
      <c r="WRZ48" s="84" t="str">
        <f>IF(ISNUMBER(outYear),WRZ37+WRZ42+#REF!+#REF!,"")</f>
        <v/>
      </c>
      <c r="WSA48" s="84" t="str">
        <f>IF(ISNUMBER(outYear),WSA37+WSA42+#REF!+#REF!,"")</f>
        <v/>
      </c>
      <c r="WSB48" s="84" t="str">
        <f>IF(ISNUMBER(outYear),WSB37+WSB42+#REF!+#REF!,"")</f>
        <v/>
      </c>
      <c r="WSC48" s="84" t="str">
        <f>IF(ISNUMBER(outYear),WSC37+WSC42+#REF!+#REF!,"")</f>
        <v/>
      </c>
      <c r="WSD48" s="84" t="str">
        <f>IF(ISNUMBER(outYear),WSD37+WSD42+#REF!+#REF!,"")</f>
        <v/>
      </c>
      <c r="WSE48" s="84" t="str">
        <f>IF(ISNUMBER(outYear),WSE37+WSE42+#REF!+#REF!,"")</f>
        <v/>
      </c>
      <c r="WSF48" s="84" t="str">
        <f>IF(ISNUMBER(outYear),WSF37+WSF42+#REF!+#REF!,"")</f>
        <v/>
      </c>
      <c r="WSG48" s="84" t="str">
        <f>IF(ISNUMBER(outYear),WSG37+WSG42+#REF!+#REF!,"")</f>
        <v/>
      </c>
      <c r="WSH48" s="84" t="str">
        <f>IF(ISNUMBER(outYear),WSH37+WSH42+#REF!+#REF!,"")</f>
        <v/>
      </c>
      <c r="WSI48" s="84" t="str">
        <f>IF(ISNUMBER(outYear),WSI37+WSI42+#REF!+#REF!,"")</f>
        <v/>
      </c>
      <c r="WSJ48" s="84" t="str">
        <f>IF(ISNUMBER(outYear),WSJ37+WSJ42+#REF!+#REF!,"")</f>
        <v/>
      </c>
      <c r="WSK48" s="84" t="str">
        <f>IF(ISNUMBER(outYear),WSK37+WSK42+#REF!+#REF!,"")</f>
        <v/>
      </c>
      <c r="WSL48" s="84" t="str">
        <f>IF(ISNUMBER(outYear),WSL37+WSL42+#REF!+#REF!,"")</f>
        <v/>
      </c>
      <c r="WSM48" s="84" t="str">
        <f>IF(ISNUMBER(outYear),WSM37+WSM42+#REF!+#REF!,"")</f>
        <v/>
      </c>
      <c r="WSN48" s="84" t="str">
        <f>IF(ISNUMBER(outYear),WSN37+WSN42+#REF!+#REF!,"")</f>
        <v/>
      </c>
      <c r="WSO48" s="84" t="str">
        <f>IF(ISNUMBER(outYear),WSO37+WSO42+#REF!+#REF!,"")</f>
        <v/>
      </c>
      <c r="WSP48" s="84" t="str">
        <f>IF(ISNUMBER(outYear),WSP37+WSP42+#REF!+#REF!,"")</f>
        <v/>
      </c>
      <c r="WSQ48" s="84" t="str">
        <f>IF(ISNUMBER(outYear),WSQ37+WSQ42+#REF!+#REF!,"")</f>
        <v/>
      </c>
      <c r="WSR48" s="84" t="str">
        <f>IF(ISNUMBER(outYear),WSR37+WSR42+#REF!+#REF!,"")</f>
        <v/>
      </c>
      <c r="WSS48" s="84" t="str">
        <f>IF(ISNUMBER(outYear),WSS37+WSS42+#REF!+#REF!,"")</f>
        <v/>
      </c>
      <c r="WST48" s="84" t="str">
        <f>IF(ISNUMBER(outYear),WST37+WST42+#REF!+#REF!,"")</f>
        <v/>
      </c>
      <c r="WSU48" s="84" t="str">
        <f>IF(ISNUMBER(outYear),WSU37+WSU42+#REF!+#REF!,"")</f>
        <v/>
      </c>
      <c r="WSV48" s="84" t="str">
        <f>IF(ISNUMBER(outYear),WSV37+WSV42+#REF!+#REF!,"")</f>
        <v/>
      </c>
      <c r="WSW48" s="84" t="str">
        <f>IF(ISNUMBER(outYear),WSW37+WSW42+#REF!+#REF!,"")</f>
        <v/>
      </c>
      <c r="WSX48" s="84" t="str">
        <f>IF(ISNUMBER(outYear),WSX37+WSX42+#REF!+#REF!,"")</f>
        <v/>
      </c>
      <c r="WSY48" s="84" t="str">
        <f>IF(ISNUMBER(outYear),WSY37+WSY42+#REF!+#REF!,"")</f>
        <v/>
      </c>
      <c r="WSZ48" s="84" t="str">
        <f>IF(ISNUMBER(outYear),WSZ37+WSZ42+#REF!+#REF!,"")</f>
        <v/>
      </c>
      <c r="WTA48" s="84" t="str">
        <f>IF(ISNUMBER(outYear),WTA37+WTA42+#REF!+#REF!,"")</f>
        <v/>
      </c>
      <c r="WTB48" s="84" t="str">
        <f>IF(ISNUMBER(outYear),WTB37+WTB42+#REF!+#REF!,"")</f>
        <v/>
      </c>
      <c r="WTC48" s="84" t="str">
        <f>IF(ISNUMBER(outYear),WTC37+WTC42+#REF!+#REF!,"")</f>
        <v/>
      </c>
      <c r="WTD48" s="84" t="str">
        <f>IF(ISNUMBER(outYear),WTD37+WTD42+#REF!+#REF!,"")</f>
        <v/>
      </c>
      <c r="WTE48" s="84" t="str">
        <f>IF(ISNUMBER(outYear),WTE37+WTE42+#REF!+#REF!,"")</f>
        <v/>
      </c>
      <c r="WTF48" s="84" t="str">
        <f>IF(ISNUMBER(outYear),WTF37+WTF42+#REF!+#REF!,"")</f>
        <v/>
      </c>
      <c r="WTG48" s="84" t="str">
        <f>IF(ISNUMBER(outYear),WTG37+WTG42+#REF!+#REF!,"")</f>
        <v/>
      </c>
      <c r="WTH48" s="84" t="str">
        <f>IF(ISNUMBER(outYear),WTH37+WTH42+#REF!+#REF!,"")</f>
        <v/>
      </c>
      <c r="WTI48" s="84" t="str">
        <f>IF(ISNUMBER(outYear),WTI37+WTI42+#REF!+#REF!,"")</f>
        <v/>
      </c>
      <c r="WTJ48" s="84" t="str">
        <f>IF(ISNUMBER(outYear),WTJ37+WTJ42+#REF!+#REF!,"")</f>
        <v/>
      </c>
      <c r="WTK48" s="84" t="str">
        <f>IF(ISNUMBER(outYear),WTK37+WTK42+#REF!+#REF!,"")</f>
        <v/>
      </c>
      <c r="WTL48" s="84" t="str">
        <f>IF(ISNUMBER(outYear),WTL37+WTL42+#REF!+#REF!,"")</f>
        <v/>
      </c>
      <c r="WTM48" s="84" t="str">
        <f>IF(ISNUMBER(outYear),WTM37+WTM42+#REF!+#REF!,"")</f>
        <v/>
      </c>
      <c r="WTN48" s="84" t="str">
        <f>IF(ISNUMBER(outYear),WTN37+WTN42+#REF!+#REF!,"")</f>
        <v/>
      </c>
      <c r="WTO48" s="84" t="str">
        <f>IF(ISNUMBER(outYear),WTO37+WTO42+#REF!+#REF!,"")</f>
        <v/>
      </c>
      <c r="WTP48" s="84" t="str">
        <f>IF(ISNUMBER(outYear),WTP37+WTP42+#REF!+#REF!,"")</f>
        <v/>
      </c>
      <c r="WTQ48" s="84" t="str">
        <f>IF(ISNUMBER(outYear),WTQ37+WTQ42+#REF!+#REF!,"")</f>
        <v/>
      </c>
      <c r="WTR48" s="84" t="str">
        <f>IF(ISNUMBER(outYear),WTR37+WTR42+#REF!+#REF!,"")</f>
        <v/>
      </c>
      <c r="WTS48" s="84" t="str">
        <f>IF(ISNUMBER(outYear),WTS37+WTS42+#REF!+#REF!,"")</f>
        <v/>
      </c>
      <c r="WTT48" s="84" t="str">
        <f>IF(ISNUMBER(outYear),WTT37+WTT42+#REF!+#REF!,"")</f>
        <v/>
      </c>
      <c r="WTU48" s="84" t="str">
        <f>IF(ISNUMBER(outYear),WTU37+WTU42+#REF!+#REF!,"")</f>
        <v/>
      </c>
      <c r="WTV48" s="84" t="str">
        <f>IF(ISNUMBER(outYear),WTV37+WTV42+#REF!+#REF!,"")</f>
        <v/>
      </c>
      <c r="WTW48" s="84" t="str">
        <f>IF(ISNUMBER(outYear),WTW37+WTW42+#REF!+#REF!,"")</f>
        <v/>
      </c>
      <c r="WTX48" s="84" t="str">
        <f>IF(ISNUMBER(outYear),WTX37+WTX42+#REF!+#REF!,"")</f>
        <v/>
      </c>
      <c r="WTY48" s="84" t="str">
        <f>IF(ISNUMBER(outYear),WTY37+WTY42+#REF!+#REF!,"")</f>
        <v/>
      </c>
      <c r="WTZ48" s="84" t="str">
        <f>IF(ISNUMBER(outYear),WTZ37+WTZ42+#REF!+#REF!,"")</f>
        <v/>
      </c>
      <c r="WUA48" s="84" t="str">
        <f>IF(ISNUMBER(outYear),WUA37+WUA42+#REF!+#REF!,"")</f>
        <v/>
      </c>
      <c r="WUB48" s="84" t="str">
        <f>IF(ISNUMBER(outYear),WUB37+WUB42+#REF!+#REF!,"")</f>
        <v/>
      </c>
      <c r="WUC48" s="84" t="str">
        <f>IF(ISNUMBER(outYear),WUC37+WUC42+#REF!+#REF!,"")</f>
        <v/>
      </c>
      <c r="WUD48" s="84" t="str">
        <f>IF(ISNUMBER(outYear),WUD37+WUD42+#REF!+#REF!,"")</f>
        <v/>
      </c>
      <c r="WUE48" s="84" t="str">
        <f>IF(ISNUMBER(outYear),WUE37+WUE42+#REF!+#REF!,"")</f>
        <v/>
      </c>
      <c r="WUF48" s="84" t="str">
        <f>IF(ISNUMBER(outYear),WUF37+WUF42+#REF!+#REF!,"")</f>
        <v/>
      </c>
      <c r="WUG48" s="84" t="str">
        <f>IF(ISNUMBER(outYear),WUG37+WUG42+#REF!+#REF!,"")</f>
        <v/>
      </c>
      <c r="WUH48" s="84" t="str">
        <f>IF(ISNUMBER(outYear),WUH37+WUH42+#REF!+#REF!,"")</f>
        <v/>
      </c>
      <c r="WUI48" s="84" t="str">
        <f>IF(ISNUMBER(outYear),WUI37+WUI42+#REF!+#REF!,"")</f>
        <v/>
      </c>
      <c r="WUJ48" s="84" t="str">
        <f>IF(ISNUMBER(outYear),WUJ37+WUJ42+#REF!+#REF!,"")</f>
        <v/>
      </c>
      <c r="WUK48" s="84" t="str">
        <f>IF(ISNUMBER(outYear),WUK37+WUK42+#REF!+#REF!,"")</f>
        <v/>
      </c>
      <c r="WUL48" s="84" t="str">
        <f>IF(ISNUMBER(outYear),WUL37+WUL42+#REF!+#REF!,"")</f>
        <v/>
      </c>
      <c r="WUM48" s="84" t="str">
        <f>IF(ISNUMBER(outYear),WUM37+WUM42+#REF!+#REF!,"")</f>
        <v/>
      </c>
      <c r="WUN48" s="84" t="str">
        <f>IF(ISNUMBER(outYear),WUN37+WUN42+#REF!+#REF!,"")</f>
        <v/>
      </c>
      <c r="WUO48" s="84" t="str">
        <f>IF(ISNUMBER(outYear),WUO37+WUO42+#REF!+#REF!,"")</f>
        <v/>
      </c>
      <c r="WUP48" s="84" t="str">
        <f>IF(ISNUMBER(outYear),WUP37+WUP42+#REF!+#REF!,"")</f>
        <v/>
      </c>
      <c r="WUQ48" s="84" t="str">
        <f>IF(ISNUMBER(outYear),WUQ37+WUQ42+#REF!+#REF!,"")</f>
        <v/>
      </c>
      <c r="WUR48" s="84" t="str">
        <f>IF(ISNUMBER(outYear),WUR37+WUR42+#REF!+#REF!,"")</f>
        <v/>
      </c>
      <c r="WUS48" s="84" t="str">
        <f>IF(ISNUMBER(outYear),WUS37+WUS42+#REF!+#REF!,"")</f>
        <v/>
      </c>
      <c r="WUT48" s="84" t="str">
        <f>IF(ISNUMBER(outYear),WUT37+WUT42+#REF!+#REF!,"")</f>
        <v/>
      </c>
      <c r="WUU48" s="84" t="str">
        <f>IF(ISNUMBER(outYear),WUU37+WUU42+#REF!+#REF!,"")</f>
        <v/>
      </c>
      <c r="WUV48" s="84" t="str">
        <f>IF(ISNUMBER(outYear),WUV37+WUV42+#REF!+#REF!,"")</f>
        <v/>
      </c>
      <c r="WUW48" s="84" t="str">
        <f>IF(ISNUMBER(outYear),WUW37+WUW42+#REF!+#REF!,"")</f>
        <v/>
      </c>
      <c r="WUX48" s="84" t="str">
        <f>IF(ISNUMBER(outYear),WUX37+WUX42+#REF!+#REF!,"")</f>
        <v/>
      </c>
      <c r="WUY48" s="84" t="str">
        <f>IF(ISNUMBER(outYear),WUY37+WUY42+#REF!+#REF!,"")</f>
        <v/>
      </c>
      <c r="WUZ48" s="84" t="str">
        <f>IF(ISNUMBER(outYear),WUZ37+WUZ42+#REF!+#REF!,"")</f>
        <v/>
      </c>
      <c r="WVA48" s="84" t="str">
        <f>IF(ISNUMBER(outYear),WVA37+WVA42+#REF!+#REF!,"")</f>
        <v/>
      </c>
      <c r="WVB48" s="84" t="str">
        <f>IF(ISNUMBER(outYear),WVB37+WVB42+#REF!+#REF!,"")</f>
        <v/>
      </c>
      <c r="WVC48" s="84" t="str">
        <f>IF(ISNUMBER(outYear),WVC37+WVC42+#REF!+#REF!,"")</f>
        <v/>
      </c>
      <c r="WVD48" s="84" t="str">
        <f>IF(ISNUMBER(outYear),WVD37+WVD42+#REF!+#REF!,"")</f>
        <v/>
      </c>
      <c r="WVE48" s="84" t="str">
        <f>IF(ISNUMBER(outYear),WVE37+WVE42+#REF!+#REF!,"")</f>
        <v/>
      </c>
      <c r="WVF48" s="84" t="str">
        <f>IF(ISNUMBER(outYear),WVF37+WVF42+#REF!+#REF!,"")</f>
        <v/>
      </c>
      <c r="WVG48" s="84" t="str">
        <f>IF(ISNUMBER(outYear),WVG37+WVG42+#REF!+#REF!,"")</f>
        <v/>
      </c>
      <c r="WVH48" s="84" t="str">
        <f>IF(ISNUMBER(outYear),WVH37+WVH42+#REF!+#REF!,"")</f>
        <v/>
      </c>
      <c r="WVI48" s="84" t="str">
        <f>IF(ISNUMBER(outYear),WVI37+WVI42+#REF!+#REF!,"")</f>
        <v/>
      </c>
      <c r="WVJ48" s="84" t="str">
        <f>IF(ISNUMBER(outYear),WVJ37+WVJ42+#REF!+#REF!,"")</f>
        <v/>
      </c>
      <c r="WVK48" s="84" t="str">
        <f>IF(ISNUMBER(outYear),WVK37+WVK42+#REF!+#REF!,"")</f>
        <v/>
      </c>
      <c r="WVL48" s="84" t="str">
        <f>IF(ISNUMBER(outYear),WVL37+WVL42+#REF!+#REF!,"")</f>
        <v/>
      </c>
      <c r="WVM48" s="84" t="str">
        <f>IF(ISNUMBER(outYear),WVM37+WVM42+#REF!+#REF!,"")</f>
        <v/>
      </c>
      <c r="WVN48" s="84" t="str">
        <f>IF(ISNUMBER(outYear),WVN37+WVN42+#REF!+#REF!,"")</f>
        <v/>
      </c>
      <c r="WVO48" s="84" t="str">
        <f>IF(ISNUMBER(outYear),WVO37+WVO42+#REF!+#REF!,"")</f>
        <v/>
      </c>
      <c r="WVP48" s="84" t="str">
        <f>IF(ISNUMBER(outYear),WVP37+WVP42+#REF!+#REF!,"")</f>
        <v/>
      </c>
      <c r="WVQ48" s="84" t="str">
        <f>IF(ISNUMBER(outYear),WVQ37+WVQ42+#REF!+#REF!,"")</f>
        <v/>
      </c>
      <c r="WVR48" s="84" t="str">
        <f>IF(ISNUMBER(outYear),WVR37+WVR42+#REF!+#REF!,"")</f>
        <v/>
      </c>
      <c r="WVS48" s="84" t="str">
        <f>IF(ISNUMBER(outYear),WVS37+WVS42+#REF!+#REF!,"")</f>
        <v/>
      </c>
      <c r="WVT48" s="84" t="str">
        <f>IF(ISNUMBER(outYear),WVT37+WVT42+#REF!+#REF!,"")</f>
        <v/>
      </c>
      <c r="WVU48" s="84" t="str">
        <f>IF(ISNUMBER(outYear),WVU37+WVU42+#REF!+#REF!,"")</f>
        <v/>
      </c>
      <c r="WVV48" s="84" t="str">
        <f>IF(ISNUMBER(outYear),WVV37+WVV42+#REF!+#REF!,"")</f>
        <v/>
      </c>
      <c r="WVW48" s="84" t="str">
        <f>IF(ISNUMBER(outYear),WVW37+WVW42+#REF!+#REF!,"")</f>
        <v/>
      </c>
      <c r="WVX48" s="84" t="str">
        <f>IF(ISNUMBER(outYear),WVX37+WVX42+#REF!+#REF!,"")</f>
        <v/>
      </c>
      <c r="WVY48" s="84" t="str">
        <f>IF(ISNUMBER(outYear),WVY37+WVY42+#REF!+#REF!,"")</f>
        <v/>
      </c>
      <c r="WVZ48" s="84" t="str">
        <f>IF(ISNUMBER(outYear),WVZ37+WVZ42+#REF!+#REF!,"")</f>
        <v/>
      </c>
      <c r="WWA48" s="84" t="str">
        <f>IF(ISNUMBER(outYear),WWA37+WWA42+#REF!+#REF!,"")</f>
        <v/>
      </c>
      <c r="WWB48" s="84" t="str">
        <f>IF(ISNUMBER(outYear),WWB37+WWB42+#REF!+#REF!,"")</f>
        <v/>
      </c>
      <c r="WWC48" s="84" t="str">
        <f>IF(ISNUMBER(outYear),WWC37+WWC42+#REF!+#REF!,"")</f>
        <v/>
      </c>
      <c r="WWD48" s="84" t="str">
        <f>IF(ISNUMBER(outYear),WWD37+WWD42+#REF!+#REF!,"")</f>
        <v/>
      </c>
      <c r="WWE48" s="84" t="str">
        <f>IF(ISNUMBER(outYear),WWE37+WWE42+#REF!+#REF!,"")</f>
        <v/>
      </c>
      <c r="WWF48" s="84" t="str">
        <f>IF(ISNUMBER(outYear),WWF37+WWF42+#REF!+#REF!,"")</f>
        <v/>
      </c>
      <c r="WWG48" s="84" t="str">
        <f>IF(ISNUMBER(outYear),WWG37+WWG42+#REF!+#REF!,"")</f>
        <v/>
      </c>
      <c r="WWH48" s="84" t="str">
        <f>IF(ISNUMBER(outYear),WWH37+WWH42+#REF!+#REF!,"")</f>
        <v/>
      </c>
      <c r="WWI48" s="84" t="str">
        <f>IF(ISNUMBER(outYear),WWI37+WWI42+#REF!+#REF!,"")</f>
        <v/>
      </c>
      <c r="WWJ48" s="84" t="str">
        <f>IF(ISNUMBER(outYear),WWJ37+WWJ42+#REF!+#REF!,"")</f>
        <v/>
      </c>
      <c r="WWK48" s="84" t="str">
        <f>IF(ISNUMBER(outYear),WWK37+WWK42+#REF!+#REF!,"")</f>
        <v/>
      </c>
      <c r="WWL48" s="84" t="str">
        <f>IF(ISNUMBER(outYear),WWL37+WWL42+#REF!+#REF!,"")</f>
        <v/>
      </c>
      <c r="WWM48" s="84" t="str">
        <f>IF(ISNUMBER(outYear),WWM37+WWM42+#REF!+#REF!,"")</f>
        <v/>
      </c>
      <c r="WWN48" s="84" t="str">
        <f>IF(ISNUMBER(outYear),WWN37+WWN42+#REF!+#REF!,"")</f>
        <v/>
      </c>
      <c r="WWO48" s="84" t="str">
        <f>IF(ISNUMBER(outYear),WWO37+WWO42+#REF!+#REF!,"")</f>
        <v/>
      </c>
      <c r="WWP48" s="84" t="str">
        <f>IF(ISNUMBER(outYear),WWP37+WWP42+#REF!+#REF!,"")</f>
        <v/>
      </c>
      <c r="WWQ48" s="84" t="str">
        <f>IF(ISNUMBER(outYear),WWQ37+WWQ42+#REF!+#REF!,"")</f>
        <v/>
      </c>
      <c r="WWR48" s="84" t="str">
        <f>IF(ISNUMBER(outYear),WWR37+WWR42+#REF!+#REF!,"")</f>
        <v/>
      </c>
      <c r="WWS48" s="84" t="str">
        <f>IF(ISNUMBER(outYear),WWS37+WWS42+#REF!+#REF!,"")</f>
        <v/>
      </c>
      <c r="WWT48" s="84" t="str">
        <f>IF(ISNUMBER(outYear),WWT37+WWT42+#REF!+#REF!,"")</f>
        <v/>
      </c>
      <c r="WWU48" s="84" t="str">
        <f>IF(ISNUMBER(outYear),WWU37+WWU42+#REF!+#REF!,"")</f>
        <v/>
      </c>
      <c r="WWV48" s="84" t="str">
        <f>IF(ISNUMBER(outYear),WWV37+WWV42+#REF!+#REF!,"")</f>
        <v/>
      </c>
      <c r="WWW48" s="84" t="str">
        <f>IF(ISNUMBER(outYear),WWW37+WWW42+#REF!+#REF!,"")</f>
        <v/>
      </c>
      <c r="WWX48" s="84" t="str">
        <f>IF(ISNUMBER(outYear),WWX37+WWX42+#REF!+#REF!,"")</f>
        <v/>
      </c>
      <c r="WWY48" s="84" t="str">
        <f>IF(ISNUMBER(outYear),WWY37+WWY42+#REF!+#REF!,"")</f>
        <v/>
      </c>
      <c r="WWZ48" s="84" t="str">
        <f>IF(ISNUMBER(outYear),WWZ37+WWZ42+#REF!+#REF!,"")</f>
        <v/>
      </c>
      <c r="WXA48" s="84" t="str">
        <f>IF(ISNUMBER(outYear),WXA37+WXA42+#REF!+#REF!,"")</f>
        <v/>
      </c>
      <c r="WXB48" s="84" t="str">
        <f>IF(ISNUMBER(outYear),WXB37+WXB42+#REF!+#REF!,"")</f>
        <v/>
      </c>
      <c r="WXC48" s="84" t="str">
        <f>IF(ISNUMBER(outYear),WXC37+WXC42+#REF!+#REF!,"")</f>
        <v/>
      </c>
      <c r="WXD48" s="84" t="str">
        <f>IF(ISNUMBER(outYear),WXD37+WXD42+#REF!+#REF!,"")</f>
        <v/>
      </c>
      <c r="WXE48" s="84" t="str">
        <f>IF(ISNUMBER(outYear),WXE37+WXE42+#REF!+#REF!,"")</f>
        <v/>
      </c>
      <c r="WXF48" s="84" t="str">
        <f>IF(ISNUMBER(outYear),WXF37+WXF42+#REF!+#REF!,"")</f>
        <v/>
      </c>
      <c r="WXG48" s="84" t="str">
        <f>IF(ISNUMBER(outYear),WXG37+WXG42+#REF!+#REF!,"")</f>
        <v/>
      </c>
      <c r="WXH48" s="84" t="str">
        <f>IF(ISNUMBER(outYear),WXH37+WXH42+#REF!+#REF!,"")</f>
        <v/>
      </c>
      <c r="WXI48" s="84" t="str">
        <f>IF(ISNUMBER(outYear),WXI37+WXI42+#REF!+#REF!,"")</f>
        <v/>
      </c>
      <c r="WXJ48" s="84" t="str">
        <f>IF(ISNUMBER(outYear),WXJ37+WXJ42+#REF!+#REF!,"")</f>
        <v/>
      </c>
      <c r="WXK48" s="84" t="str">
        <f>IF(ISNUMBER(outYear),WXK37+WXK42+#REF!+#REF!,"")</f>
        <v/>
      </c>
      <c r="WXL48" s="84" t="str">
        <f>IF(ISNUMBER(outYear),WXL37+WXL42+#REF!+#REF!,"")</f>
        <v/>
      </c>
      <c r="WXM48" s="84" t="str">
        <f>IF(ISNUMBER(outYear),WXM37+WXM42+#REF!+#REF!,"")</f>
        <v/>
      </c>
      <c r="WXN48" s="84" t="str">
        <f>IF(ISNUMBER(outYear),WXN37+WXN42+#REF!+#REF!,"")</f>
        <v/>
      </c>
      <c r="WXO48" s="84" t="str">
        <f>IF(ISNUMBER(outYear),WXO37+WXO42+#REF!+#REF!,"")</f>
        <v/>
      </c>
      <c r="WXP48" s="84" t="str">
        <f>IF(ISNUMBER(outYear),WXP37+WXP42+#REF!+#REF!,"")</f>
        <v/>
      </c>
      <c r="WXQ48" s="84" t="str">
        <f>IF(ISNUMBER(outYear),WXQ37+WXQ42+#REF!+#REF!,"")</f>
        <v/>
      </c>
      <c r="WXR48" s="84" t="str">
        <f>IF(ISNUMBER(outYear),WXR37+WXR42+#REF!+#REF!,"")</f>
        <v/>
      </c>
      <c r="WXS48" s="84" t="str">
        <f>IF(ISNUMBER(outYear),WXS37+WXS42+#REF!+#REF!,"")</f>
        <v/>
      </c>
      <c r="WXT48" s="84" t="str">
        <f>IF(ISNUMBER(outYear),WXT37+WXT42+#REF!+#REF!,"")</f>
        <v/>
      </c>
      <c r="WXU48" s="84" t="str">
        <f>IF(ISNUMBER(outYear),WXU37+WXU42+#REF!+#REF!,"")</f>
        <v/>
      </c>
      <c r="WXV48" s="84" t="str">
        <f>IF(ISNUMBER(outYear),WXV37+WXV42+#REF!+#REF!,"")</f>
        <v/>
      </c>
      <c r="WXW48" s="84" t="str">
        <f>IF(ISNUMBER(outYear),WXW37+WXW42+#REF!+#REF!,"")</f>
        <v/>
      </c>
      <c r="WXX48" s="84" t="str">
        <f>IF(ISNUMBER(outYear),WXX37+WXX42+#REF!+#REF!,"")</f>
        <v/>
      </c>
      <c r="WXY48" s="84" t="str">
        <f>IF(ISNUMBER(outYear),WXY37+WXY42+#REF!+#REF!,"")</f>
        <v/>
      </c>
      <c r="WXZ48" s="84" t="str">
        <f>IF(ISNUMBER(outYear),WXZ37+WXZ42+#REF!+#REF!,"")</f>
        <v/>
      </c>
      <c r="WYA48" s="84" t="str">
        <f>IF(ISNUMBER(outYear),WYA37+WYA42+#REF!+#REF!,"")</f>
        <v/>
      </c>
      <c r="WYB48" s="84" t="str">
        <f>IF(ISNUMBER(outYear),WYB37+WYB42+#REF!+#REF!,"")</f>
        <v/>
      </c>
      <c r="WYC48" s="84" t="str">
        <f>IF(ISNUMBER(outYear),WYC37+WYC42+#REF!+#REF!,"")</f>
        <v/>
      </c>
      <c r="WYD48" s="84" t="str">
        <f>IF(ISNUMBER(outYear),WYD37+WYD42+#REF!+#REF!,"")</f>
        <v/>
      </c>
      <c r="WYE48" s="84" t="str">
        <f>IF(ISNUMBER(outYear),WYE37+WYE42+#REF!+#REF!,"")</f>
        <v/>
      </c>
      <c r="WYF48" s="84" t="str">
        <f>IF(ISNUMBER(outYear),WYF37+WYF42+#REF!+#REF!,"")</f>
        <v/>
      </c>
      <c r="WYG48" s="84" t="str">
        <f>IF(ISNUMBER(outYear),WYG37+WYG42+#REF!+#REF!,"")</f>
        <v/>
      </c>
      <c r="WYH48" s="84" t="str">
        <f>IF(ISNUMBER(outYear),WYH37+WYH42+#REF!+#REF!,"")</f>
        <v/>
      </c>
      <c r="WYI48" s="84" t="str">
        <f>IF(ISNUMBER(outYear),WYI37+WYI42+#REF!+#REF!,"")</f>
        <v/>
      </c>
      <c r="WYJ48" s="84" t="str">
        <f>IF(ISNUMBER(outYear),WYJ37+WYJ42+#REF!+#REF!,"")</f>
        <v/>
      </c>
      <c r="WYK48" s="84" t="str">
        <f>IF(ISNUMBER(outYear),WYK37+WYK42+#REF!+#REF!,"")</f>
        <v/>
      </c>
      <c r="WYL48" s="84" t="str">
        <f>IF(ISNUMBER(outYear),WYL37+WYL42+#REF!+#REF!,"")</f>
        <v/>
      </c>
      <c r="WYM48" s="84" t="str">
        <f>IF(ISNUMBER(outYear),WYM37+WYM42+#REF!+#REF!,"")</f>
        <v/>
      </c>
      <c r="WYN48" s="84" t="str">
        <f>IF(ISNUMBER(outYear),WYN37+WYN42+#REF!+#REF!,"")</f>
        <v/>
      </c>
      <c r="WYO48" s="84" t="str">
        <f>IF(ISNUMBER(outYear),WYO37+WYO42+#REF!+#REF!,"")</f>
        <v/>
      </c>
      <c r="WYP48" s="84" t="str">
        <f>IF(ISNUMBER(outYear),WYP37+WYP42+#REF!+#REF!,"")</f>
        <v/>
      </c>
      <c r="WYQ48" s="84" t="str">
        <f>IF(ISNUMBER(outYear),WYQ37+WYQ42+#REF!+#REF!,"")</f>
        <v/>
      </c>
      <c r="WYR48" s="84" t="str">
        <f>IF(ISNUMBER(outYear),WYR37+WYR42+#REF!+#REF!,"")</f>
        <v/>
      </c>
      <c r="WYS48" s="84" t="str">
        <f>IF(ISNUMBER(outYear),WYS37+WYS42+#REF!+#REF!,"")</f>
        <v/>
      </c>
      <c r="WYT48" s="84" t="str">
        <f>IF(ISNUMBER(outYear),WYT37+WYT42+#REF!+#REF!,"")</f>
        <v/>
      </c>
      <c r="WYU48" s="84" t="str">
        <f>IF(ISNUMBER(outYear),WYU37+WYU42+#REF!+#REF!,"")</f>
        <v/>
      </c>
      <c r="WYV48" s="84" t="str">
        <f>IF(ISNUMBER(outYear),WYV37+WYV42+#REF!+#REF!,"")</f>
        <v/>
      </c>
      <c r="WYW48" s="84" t="str">
        <f>IF(ISNUMBER(outYear),WYW37+WYW42+#REF!+#REF!,"")</f>
        <v/>
      </c>
      <c r="WYX48" s="84" t="str">
        <f>IF(ISNUMBER(outYear),WYX37+WYX42+#REF!+#REF!,"")</f>
        <v/>
      </c>
      <c r="WYY48" s="84" t="str">
        <f>IF(ISNUMBER(outYear),WYY37+WYY42+#REF!+#REF!,"")</f>
        <v/>
      </c>
      <c r="WYZ48" s="84" t="str">
        <f>IF(ISNUMBER(outYear),WYZ37+WYZ42+#REF!+#REF!,"")</f>
        <v/>
      </c>
      <c r="WZA48" s="84" t="str">
        <f>IF(ISNUMBER(outYear),WZA37+WZA42+#REF!+#REF!,"")</f>
        <v/>
      </c>
      <c r="WZB48" s="84" t="str">
        <f>IF(ISNUMBER(outYear),WZB37+WZB42+#REF!+#REF!,"")</f>
        <v/>
      </c>
      <c r="WZC48" s="84" t="str">
        <f>IF(ISNUMBER(outYear),WZC37+WZC42+#REF!+#REF!,"")</f>
        <v/>
      </c>
      <c r="WZD48" s="84" t="str">
        <f>IF(ISNUMBER(outYear),WZD37+WZD42+#REF!+#REF!,"")</f>
        <v/>
      </c>
      <c r="WZE48" s="84" t="str">
        <f>IF(ISNUMBER(outYear),WZE37+WZE42+#REF!+#REF!,"")</f>
        <v/>
      </c>
      <c r="WZF48" s="84" t="str">
        <f>IF(ISNUMBER(outYear),WZF37+WZF42+#REF!+#REF!,"")</f>
        <v/>
      </c>
      <c r="WZG48" s="84" t="str">
        <f>IF(ISNUMBER(outYear),WZG37+WZG42+#REF!+#REF!,"")</f>
        <v/>
      </c>
      <c r="WZH48" s="84" t="str">
        <f>IF(ISNUMBER(outYear),WZH37+WZH42+#REF!+#REF!,"")</f>
        <v/>
      </c>
      <c r="WZI48" s="84" t="str">
        <f>IF(ISNUMBER(outYear),WZI37+WZI42+#REF!+#REF!,"")</f>
        <v/>
      </c>
      <c r="WZJ48" s="84" t="str">
        <f>IF(ISNUMBER(outYear),WZJ37+WZJ42+#REF!+#REF!,"")</f>
        <v/>
      </c>
      <c r="WZK48" s="84" t="str">
        <f>IF(ISNUMBER(outYear),WZK37+WZK42+#REF!+#REF!,"")</f>
        <v/>
      </c>
      <c r="WZL48" s="84" t="str">
        <f>IF(ISNUMBER(outYear),WZL37+WZL42+#REF!+#REF!,"")</f>
        <v/>
      </c>
      <c r="WZM48" s="84" t="str">
        <f>IF(ISNUMBER(outYear),WZM37+WZM42+#REF!+#REF!,"")</f>
        <v/>
      </c>
      <c r="WZN48" s="84" t="str">
        <f>IF(ISNUMBER(outYear),WZN37+WZN42+#REF!+#REF!,"")</f>
        <v/>
      </c>
      <c r="WZO48" s="84" t="str">
        <f>IF(ISNUMBER(outYear),WZO37+WZO42+#REF!+#REF!,"")</f>
        <v/>
      </c>
      <c r="WZP48" s="84" t="str">
        <f>IF(ISNUMBER(outYear),WZP37+WZP42+#REF!+#REF!,"")</f>
        <v/>
      </c>
      <c r="WZQ48" s="84" t="str">
        <f>IF(ISNUMBER(outYear),WZQ37+WZQ42+#REF!+#REF!,"")</f>
        <v/>
      </c>
      <c r="WZR48" s="84" t="str">
        <f>IF(ISNUMBER(outYear),WZR37+WZR42+#REF!+#REF!,"")</f>
        <v/>
      </c>
      <c r="WZS48" s="84" t="str">
        <f>IF(ISNUMBER(outYear),WZS37+WZS42+#REF!+#REF!,"")</f>
        <v/>
      </c>
      <c r="WZT48" s="84" t="str">
        <f>IF(ISNUMBER(outYear),WZT37+WZT42+#REF!+#REF!,"")</f>
        <v/>
      </c>
      <c r="WZU48" s="84" t="str">
        <f>IF(ISNUMBER(outYear),WZU37+WZU42+#REF!+#REF!,"")</f>
        <v/>
      </c>
      <c r="WZV48" s="84" t="str">
        <f>IF(ISNUMBER(outYear),WZV37+WZV42+#REF!+#REF!,"")</f>
        <v/>
      </c>
      <c r="WZW48" s="84" t="str">
        <f>IF(ISNUMBER(outYear),WZW37+WZW42+#REF!+#REF!,"")</f>
        <v/>
      </c>
      <c r="WZX48" s="84" t="str">
        <f>IF(ISNUMBER(outYear),WZX37+WZX42+#REF!+#REF!,"")</f>
        <v/>
      </c>
      <c r="WZY48" s="84" t="str">
        <f>IF(ISNUMBER(outYear),WZY37+WZY42+#REF!+#REF!,"")</f>
        <v/>
      </c>
      <c r="WZZ48" s="84" t="str">
        <f>IF(ISNUMBER(outYear),WZZ37+WZZ42+#REF!+#REF!,"")</f>
        <v/>
      </c>
      <c r="XAA48" s="84" t="str">
        <f>IF(ISNUMBER(outYear),XAA37+XAA42+#REF!+#REF!,"")</f>
        <v/>
      </c>
      <c r="XAB48" s="84" t="str">
        <f>IF(ISNUMBER(outYear),XAB37+XAB42+#REF!+#REF!,"")</f>
        <v/>
      </c>
      <c r="XAC48" s="84" t="str">
        <f>IF(ISNUMBER(outYear),XAC37+XAC42+#REF!+#REF!,"")</f>
        <v/>
      </c>
      <c r="XAD48" s="84" t="str">
        <f>IF(ISNUMBER(outYear),XAD37+XAD42+#REF!+#REF!,"")</f>
        <v/>
      </c>
      <c r="XAE48" s="84" t="str">
        <f>IF(ISNUMBER(outYear),XAE37+XAE42+#REF!+#REF!,"")</f>
        <v/>
      </c>
      <c r="XAF48" s="84" t="str">
        <f>IF(ISNUMBER(outYear),XAF37+XAF42+#REF!+#REF!,"")</f>
        <v/>
      </c>
      <c r="XAG48" s="84" t="str">
        <f>IF(ISNUMBER(outYear),XAG37+XAG42+#REF!+#REF!,"")</f>
        <v/>
      </c>
      <c r="XAH48" s="84" t="str">
        <f>IF(ISNUMBER(outYear),XAH37+XAH42+#REF!+#REF!,"")</f>
        <v/>
      </c>
      <c r="XAI48" s="84" t="str">
        <f>IF(ISNUMBER(outYear),XAI37+XAI42+#REF!+#REF!,"")</f>
        <v/>
      </c>
      <c r="XAJ48" s="84" t="str">
        <f>IF(ISNUMBER(outYear),XAJ37+XAJ42+#REF!+#REF!,"")</f>
        <v/>
      </c>
      <c r="XAK48" s="84" t="str">
        <f>IF(ISNUMBER(outYear),XAK37+XAK42+#REF!+#REF!,"")</f>
        <v/>
      </c>
      <c r="XAL48" s="84" t="str">
        <f>IF(ISNUMBER(outYear),XAL37+XAL42+#REF!+#REF!,"")</f>
        <v/>
      </c>
      <c r="XAM48" s="84" t="str">
        <f>IF(ISNUMBER(outYear),XAM37+XAM42+#REF!+#REF!,"")</f>
        <v/>
      </c>
      <c r="XAN48" s="84" t="str">
        <f>IF(ISNUMBER(outYear),XAN37+XAN42+#REF!+#REF!,"")</f>
        <v/>
      </c>
      <c r="XAO48" s="84" t="str">
        <f>IF(ISNUMBER(outYear),XAO37+XAO42+#REF!+#REF!,"")</f>
        <v/>
      </c>
      <c r="XAP48" s="84" t="str">
        <f>IF(ISNUMBER(outYear),XAP37+XAP42+#REF!+#REF!,"")</f>
        <v/>
      </c>
      <c r="XAQ48" s="84" t="str">
        <f>IF(ISNUMBER(outYear),XAQ37+XAQ42+#REF!+#REF!,"")</f>
        <v/>
      </c>
      <c r="XAR48" s="84" t="str">
        <f>IF(ISNUMBER(outYear),XAR37+XAR42+#REF!+#REF!,"")</f>
        <v/>
      </c>
      <c r="XAS48" s="84" t="str">
        <f>IF(ISNUMBER(outYear),XAS37+XAS42+#REF!+#REF!,"")</f>
        <v/>
      </c>
      <c r="XAT48" s="84" t="str">
        <f>IF(ISNUMBER(outYear),XAT37+XAT42+#REF!+#REF!,"")</f>
        <v/>
      </c>
      <c r="XAU48" s="84" t="str">
        <f>IF(ISNUMBER(outYear),XAU37+XAU42+#REF!+#REF!,"")</f>
        <v/>
      </c>
      <c r="XAV48" s="84" t="str">
        <f>IF(ISNUMBER(outYear),XAV37+XAV42+#REF!+#REF!,"")</f>
        <v/>
      </c>
      <c r="XAW48" s="84" t="str">
        <f>IF(ISNUMBER(outYear),XAW37+XAW42+#REF!+#REF!,"")</f>
        <v/>
      </c>
      <c r="XAX48" s="84" t="str">
        <f>IF(ISNUMBER(outYear),XAX37+XAX42+#REF!+#REF!,"")</f>
        <v/>
      </c>
      <c r="XAY48" s="84" t="str">
        <f>IF(ISNUMBER(outYear),XAY37+XAY42+#REF!+#REF!,"")</f>
        <v/>
      </c>
      <c r="XAZ48" s="84" t="str">
        <f>IF(ISNUMBER(outYear),XAZ37+XAZ42+#REF!+#REF!,"")</f>
        <v/>
      </c>
      <c r="XBA48" s="84" t="str">
        <f>IF(ISNUMBER(outYear),XBA37+XBA42+#REF!+#REF!,"")</f>
        <v/>
      </c>
      <c r="XBB48" s="84" t="str">
        <f>IF(ISNUMBER(outYear),XBB37+XBB42+#REF!+#REF!,"")</f>
        <v/>
      </c>
      <c r="XBC48" s="84" t="str">
        <f>IF(ISNUMBER(outYear),XBC37+XBC42+#REF!+#REF!,"")</f>
        <v/>
      </c>
      <c r="XBD48" s="84" t="str">
        <f>IF(ISNUMBER(outYear),XBD37+XBD42+#REF!+#REF!,"")</f>
        <v/>
      </c>
      <c r="XBE48" s="84" t="str">
        <f>IF(ISNUMBER(outYear),XBE37+XBE42+#REF!+#REF!,"")</f>
        <v/>
      </c>
      <c r="XBF48" s="84" t="str">
        <f>IF(ISNUMBER(outYear),XBF37+XBF42+#REF!+#REF!,"")</f>
        <v/>
      </c>
      <c r="XBG48" s="84" t="str">
        <f>IF(ISNUMBER(outYear),XBG37+XBG42+#REF!+#REF!,"")</f>
        <v/>
      </c>
      <c r="XBH48" s="84" t="str">
        <f>IF(ISNUMBER(outYear),XBH37+XBH42+#REF!+#REF!,"")</f>
        <v/>
      </c>
      <c r="XBI48" s="84" t="str">
        <f>IF(ISNUMBER(outYear),XBI37+XBI42+#REF!+#REF!,"")</f>
        <v/>
      </c>
      <c r="XBJ48" s="84" t="str">
        <f>IF(ISNUMBER(outYear),XBJ37+XBJ42+#REF!+#REF!,"")</f>
        <v/>
      </c>
      <c r="XBK48" s="84" t="str">
        <f>IF(ISNUMBER(outYear),XBK37+XBK42+#REF!+#REF!,"")</f>
        <v/>
      </c>
      <c r="XBL48" s="84" t="str">
        <f>IF(ISNUMBER(outYear),XBL37+XBL42+#REF!+#REF!,"")</f>
        <v/>
      </c>
      <c r="XBM48" s="84" t="str">
        <f>IF(ISNUMBER(outYear),XBM37+XBM42+#REF!+#REF!,"")</f>
        <v/>
      </c>
      <c r="XBN48" s="84" t="str">
        <f>IF(ISNUMBER(outYear),XBN37+XBN42+#REF!+#REF!,"")</f>
        <v/>
      </c>
      <c r="XBO48" s="84" t="str">
        <f>IF(ISNUMBER(outYear),XBO37+XBO42+#REF!+#REF!,"")</f>
        <v/>
      </c>
      <c r="XBP48" s="84" t="str">
        <f>IF(ISNUMBER(outYear),XBP37+XBP42+#REF!+#REF!,"")</f>
        <v/>
      </c>
      <c r="XBQ48" s="84" t="str">
        <f>IF(ISNUMBER(outYear),XBQ37+XBQ42+#REF!+#REF!,"")</f>
        <v/>
      </c>
      <c r="XBR48" s="84" t="str">
        <f>IF(ISNUMBER(outYear),XBR37+XBR42+#REF!+#REF!,"")</f>
        <v/>
      </c>
      <c r="XBS48" s="84" t="str">
        <f>IF(ISNUMBER(outYear),XBS37+XBS42+#REF!+#REF!,"")</f>
        <v/>
      </c>
      <c r="XBT48" s="84" t="str">
        <f>IF(ISNUMBER(outYear),XBT37+XBT42+#REF!+#REF!,"")</f>
        <v/>
      </c>
      <c r="XBU48" s="84" t="str">
        <f>IF(ISNUMBER(outYear),XBU37+XBU42+#REF!+#REF!,"")</f>
        <v/>
      </c>
      <c r="XBV48" s="84" t="str">
        <f>IF(ISNUMBER(outYear),XBV37+XBV42+#REF!+#REF!,"")</f>
        <v/>
      </c>
      <c r="XBW48" s="84" t="str">
        <f>IF(ISNUMBER(outYear),XBW37+XBW42+#REF!+#REF!,"")</f>
        <v/>
      </c>
      <c r="XBX48" s="84" t="str">
        <f>IF(ISNUMBER(outYear),XBX37+XBX42+#REF!+#REF!,"")</f>
        <v/>
      </c>
      <c r="XBY48" s="84" t="str">
        <f>IF(ISNUMBER(outYear),XBY37+XBY42+#REF!+#REF!,"")</f>
        <v/>
      </c>
      <c r="XBZ48" s="84" t="str">
        <f>IF(ISNUMBER(outYear),XBZ37+XBZ42+#REF!+#REF!,"")</f>
        <v/>
      </c>
      <c r="XCA48" s="84" t="str">
        <f>IF(ISNUMBER(outYear),XCA37+XCA42+#REF!+#REF!,"")</f>
        <v/>
      </c>
      <c r="XCB48" s="84" t="str">
        <f>IF(ISNUMBER(outYear),XCB37+XCB42+#REF!+#REF!,"")</f>
        <v/>
      </c>
      <c r="XCC48" s="84" t="str">
        <f>IF(ISNUMBER(outYear),XCC37+XCC42+#REF!+#REF!,"")</f>
        <v/>
      </c>
      <c r="XCD48" s="84" t="str">
        <f>IF(ISNUMBER(outYear),XCD37+XCD42+#REF!+#REF!,"")</f>
        <v/>
      </c>
      <c r="XCE48" s="84" t="str">
        <f>IF(ISNUMBER(outYear),XCE37+XCE42+#REF!+#REF!,"")</f>
        <v/>
      </c>
      <c r="XCF48" s="84" t="str">
        <f>IF(ISNUMBER(outYear),XCF37+XCF42+#REF!+#REF!,"")</f>
        <v/>
      </c>
      <c r="XCG48" s="84" t="str">
        <f>IF(ISNUMBER(outYear),XCG37+XCG42+#REF!+#REF!,"")</f>
        <v/>
      </c>
      <c r="XCH48" s="84" t="str">
        <f>IF(ISNUMBER(outYear),XCH37+XCH42+#REF!+#REF!,"")</f>
        <v/>
      </c>
      <c r="XCI48" s="84" t="str">
        <f>IF(ISNUMBER(outYear),XCI37+XCI42+#REF!+#REF!,"")</f>
        <v/>
      </c>
      <c r="XCJ48" s="84" t="str">
        <f>IF(ISNUMBER(outYear),XCJ37+XCJ42+#REF!+#REF!,"")</f>
        <v/>
      </c>
      <c r="XCK48" s="84" t="str">
        <f>IF(ISNUMBER(outYear),XCK37+XCK42+#REF!+#REF!,"")</f>
        <v/>
      </c>
      <c r="XCL48" s="84" t="str">
        <f>IF(ISNUMBER(outYear),XCL37+XCL42+#REF!+#REF!,"")</f>
        <v/>
      </c>
      <c r="XCM48" s="84" t="str">
        <f>IF(ISNUMBER(outYear),XCM37+XCM42+#REF!+#REF!,"")</f>
        <v/>
      </c>
      <c r="XCN48" s="84" t="str">
        <f>IF(ISNUMBER(outYear),XCN37+XCN42+#REF!+#REF!,"")</f>
        <v/>
      </c>
      <c r="XCO48" s="84" t="str">
        <f>IF(ISNUMBER(outYear),XCO37+XCO42+#REF!+#REF!,"")</f>
        <v/>
      </c>
      <c r="XCP48" s="84" t="str">
        <f>IF(ISNUMBER(outYear),XCP37+XCP42+#REF!+#REF!,"")</f>
        <v/>
      </c>
      <c r="XCQ48" s="84" t="str">
        <f>IF(ISNUMBER(outYear),XCQ37+XCQ42+#REF!+#REF!,"")</f>
        <v/>
      </c>
      <c r="XCR48" s="84" t="str">
        <f>IF(ISNUMBER(outYear),XCR37+XCR42+#REF!+#REF!,"")</f>
        <v/>
      </c>
      <c r="XCS48" s="84" t="str">
        <f>IF(ISNUMBER(outYear),XCS37+XCS42+#REF!+#REF!,"")</f>
        <v/>
      </c>
      <c r="XCT48" s="84" t="str">
        <f>IF(ISNUMBER(outYear),XCT37+XCT42+#REF!+#REF!,"")</f>
        <v/>
      </c>
      <c r="XCU48" s="84" t="str">
        <f>IF(ISNUMBER(outYear),XCU37+XCU42+#REF!+#REF!,"")</f>
        <v/>
      </c>
      <c r="XCV48" s="84" t="str">
        <f>IF(ISNUMBER(outYear),XCV37+XCV42+#REF!+#REF!,"")</f>
        <v/>
      </c>
      <c r="XCW48" s="84" t="str">
        <f>IF(ISNUMBER(outYear),XCW37+XCW42+#REF!+#REF!,"")</f>
        <v/>
      </c>
      <c r="XCX48" s="84" t="str">
        <f>IF(ISNUMBER(outYear),XCX37+XCX42+#REF!+#REF!,"")</f>
        <v/>
      </c>
      <c r="XCY48" s="84" t="str">
        <f>IF(ISNUMBER(outYear),XCY37+XCY42+#REF!+#REF!,"")</f>
        <v/>
      </c>
      <c r="XCZ48" s="84" t="str">
        <f>IF(ISNUMBER(outYear),XCZ37+XCZ42+#REF!+#REF!,"")</f>
        <v/>
      </c>
      <c r="XDA48" s="84" t="str">
        <f>IF(ISNUMBER(outYear),XDA37+XDA42+#REF!+#REF!,"")</f>
        <v/>
      </c>
      <c r="XDB48" s="84" t="str">
        <f>IF(ISNUMBER(outYear),XDB37+XDB42+#REF!+#REF!,"")</f>
        <v/>
      </c>
      <c r="XDC48" s="84" t="str">
        <f>IF(ISNUMBER(outYear),XDC37+XDC42+#REF!+#REF!,"")</f>
        <v/>
      </c>
      <c r="XDD48" s="84" t="str">
        <f>IF(ISNUMBER(outYear),XDD37+XDD42+#REF!+#REF!,"")</f>
        <v/>
      </c>
      <c r="XDE48" s="84" t="str">
        <f>IF(ISNUMBER(outYear),XDE37+XDE42+#REF!+#REF!,"")</f>
        <v/>
      </c>
      <c r="XDF48" s="84" t="str">
        <f>IF(ISNUMBER(outYear),XDF37+XDF42+#REF!+#REF!,"")</f>
        <v/>
      </c>
      <c r="XDG48" s="84" t="str">
        <f>IF(ISNUMBER(outYear),XDG37+XDG42+#REF!+#REF!,"")</f>
        <v/>
      </c>
      <c r="XDH48" s="84" t="str">
        <f>IF(ISNUMBER(outYear),XDH37+XDH42+#REF!+#REF!,"")</f>
        <v/>
      </c>
      <c r="XDI48" s="84" t="str">
        <f>IF(ISNUMBER(outYear),XDI37+XDI42+#REF!+#REF!,"")</f>
        <v/>
      </c>
      <c r="XDJ48" s="84" t="str">
        <f>IF(ISNUMBER(outYear),XDJ37+XDJ42+#REF!+#REF!,"")</f>
        <v/>
      </c>
      <c r="XDK48" s="84" t="str">
        <f>IF(ISNUMBER(outYear),XDK37+XDK42+#REF!+#REF!,"")</f>
        <v/>
      </c>
      <c r="XDL48" s="84" t="str">
        <f>IF(ISNUMBER(outYear),XDL37+XDL42+#REF!+#REF!,"")</f>
        <v/>
      </c>
      <c r="XDM48" s="84" t="str">
        <f>IF(ISNUMBER(outYear),XDM37+XDM42+#REF!+#REF!,"")</f>
        <v/>
      </c>
      <c r="XDN48" s="84" t="str">
        <f>IF(ISNUMBER(outYear),XDN37+XDN42+#REF!+#REF!,"")</f>
        <v/>
      </c>
      <c r="XDO48" s="84" t="str">
        <f>IF(ISNUMBER(outYear),XDO37+XDO42+#REF!+#REF!,"")</f>
        <v/>
      </c>
      <c r="XDP48" s="84" t="str">
        <f>IF(ISNUMBER(outYear),XDP37+XDP42+#REF!+#REF!,"")</f>
        <v/>
      </c>
      <c r="XDQ48" s="84" t="str">
        <f>IF(ISNUMBER(outYear),XDQ37+XDQ42+#REF!+#REF!,"")</f>
        <v/>
      </c>
      <c r="XDR48" s="84" t="str">
        <f>IF(ISNUMBER(outYear),XDR37+XDR42+#REF!+#REF!,"")</f>
        <v/>
      </c>
      <c r="XDS48" s="84" t="str">
        <f>IF(ISNUMBER(outYear),XDS37+XDS42+#REF!+#REF!,"")</f>
        <v/>
      </c>
      <c r="XDT48" s="84" t="str">
        <f>IF(ISNUMBER(outYear),XDT37+XDT42+#REF!+#REF!,"")</f>
        <v/>
      </c>
      <c r="XDU48" s="84" t="str">
        <f>IF(ISNUMBER(outYear),XDU37+XDU42+#REF!+#REF!,"")</f>
        <v/>
      </c>
      <c r="XDV48" s="84" t="str">
        <f>IF(ISNUMBER(outYear),XDV37+XDV42+#REF!+#REF!,"")</f>
        <v/>
      </c>
      <c r="XDW48" s="84" t="str">
        <f>IF(ISNUMBER(outYear),XDW37+XDW42+#REF!+#REF!,"")</f>
        <v/>
      </c>
      <c r="XDX48" s="84" t="str">
        <f>IF(ISNUMBER(outYear),XDX37+XDX42+#REF!+#REF!,"")</f>
        <v/>
      </c>
      <c r="XDY48" s="84" t="str">
        <f>IF(ISNUMBER(outYear),XDY37+XDY42+#REF!+#REF!,"")</f>
        <v/>
      </c>
      <c r="XDZ48" s="84" t="str">
        <f>IF(ISNUMBER(outYear),XDZ37+XDZ42+#REF!+#REF!,"")</f>
        <v/>
      </c>
      <c r="XEA48" s="84" t="str">
        <f>IF(ISNUMBER(outYear),XEA37+XEA42+#REF!+#REF!,"")</f>
        <v/>
      </c>
      <c r="XEB48" s="84" t="str">
        <f>IF(ISNUMBER(outYear),XEB37+XEB42+#REF!+#REF!,"")</f>
        <v/>
      </c>
      <c r="XEC48" s="84" t="str">
        <f>IF(ISNUMBER(outYear),XEC37+XEC42+#REF!+#REF!,"")</f>
        <v/>
      </c>
      <c r="XED48" s="84" t="str">
        <f>IF(ISNUMBER(outYear),XED37+XED42+#REF!+#REF!,"")</f>
        <v/>
      </c>
      <c r="XEE48" s="84" t="str">
        <f>IF(ISNUMBER(outYear),XEE37+XEE42+#REF!+#REF!,"")</f>
        <v/>
      </c>
      <c r="XEF48" s="84" t="str">
        <f>IF(ISNUMBER(outYear),XEF37+XEF42+#REF!+#REF!,"")</f>
        <v/>
      </c>
      <c r="XEG48" s="84" t="str">
        <f>IF(ISNUMBER(outYear),XEG37+XEG42+#REF!+#REF!,"")</f>
        <v/>
      </c>
      <c r="XEH48" s="84" t="str">
        <f>IF(ISNUMBER(outYear),XEH37+XEH42+#REF!+#REF!,"")</f>
        <v/>
      </c>
      <c r="XEI48" s="84" t="str">
        <f>IF(ISNUMBER(outYear),XEI37+XEI42+#REF!+#REF!,"")</f>
        <v/>
      </c>
      <c r="XEJ48" s="84" t="str">
        <f>IF(ISNUMBER(outYear),XEJ37+XEJ42+#REF!+#REF!,"")</f>
        <v/>
      </c>
      <c r="XEK48" s="84" t="str">
        <f>IF(ISNUMBER(outYear),XEK37+XEK42+#REF!+#REF!,"")</f>
        <v/>
      </c>
      <c r="XEL48" s="84" t="str">
        <f>IF(ISNUMBER(outYear),XEL37+XEL42+#REF!+#REF!,"")</f>
        <v/>
      </c>
      <c r="XEM48" s="84" t="str">
        <f>IF(ISNUMBER(outYear),XEM37+XEM42+#REF!+#REF!,"")</f>
        <v/>
      </c>
      <c r="XEN48" s="84" t="str">
        <f>IF(ISNUMBER(outYear),XEN37+XEN42+#REF!+#REF!,"")</f>
        <v/>
      </c>
      <c r="XEO48" s="84" t="str">
        <f>IF(ISNUMBER(outYear),XEO37+XEO42+#REF!+#REF!,"")</f>
        <v/>
      </c>
      <c r="XEP48" s="84" t="str">
        <f>IF(ISNUMBER(outYear),XEP37+XEP42+#REF!+#REF!,"")</f>
        <v/>
      </c>
      <c r="XEQ48" s="84" t="str">
        <f>IF(ISNUMBER(outYear),XEQ37+XEQ42+#REF!+#REF!,"")</f>
        <v/>
      </c>
      <c r="XER48" s="84" t="str">
        <f>IF(ISNUMBER(outYear),XER37+XER42+#REF!+#REF!,"")</f>
        <v/>
      </c>
      <c r="XES48" s="84" t="str">
        <f>IF(ISNUMBER(outYear),XES37+XES42+#REF!+#REF!,"")</f>
        <v/>
      </c>
      <c r="XET48" s="84" t="str">
        <f>IF(ISNUMBER(outYear),XET37+XET42+#REF!+#REF!,"")</f>
        <v/>
      </c>
      <c r="XEU48" s="84" t="str">
        <f>IF(ISNUMBER(outYear),XEU37+XEU42+#REF!+#REF!,"")</f>
        <v/>
      </c>
      <c r="XEV48" s="84" t="str">
        <f>IF(ISNUMBER(outYear),XEV37+XEV42+#REF!+#REF!,"")</f>
        <v/>
      </c>
      <c r="XEW48" s="84" t="str">
        <f>IF(ISNUMBER(outYear),XEW37+XEW42+#REF!+#REF!,"")</f>
        <v/>
      </c>
      <c r="XEX48" s="84" t="str">
        <f>IF(ISNUMBER(outYear),XEX37+XEX42+#REF!+#REF!,"")</f>
        <v/>
      </c>
      <c r="XEY48" s="84" t="str">
        <f>IF(ISNUMBER(outYear),XEY37+XEY42+#REF!+#REF!,"")</f>
        <v/>
      </c>
      <c r="XEZ48" s="84" t="str">
        <f>IF(ISNUMBER(outYear),XEZ37+XEZ42+#REF!+#REF!,"")</f>
        <v/>
      </c>
      <c r="XFA48" s="84" t="str">
        <f>IF(ISNUMBER(outYear),XFA37+XFA42+#REF!+#REF!,"")</f>
        <v/>
      </c>
      <c r="XFB48" s="84" t="str">
        <f>IF(ISNUMBER(outYear),XFB37+XFB42+#REF!+#REF!,"")</f>
        <v/>
      </c>
      <c r="XFC48" s="84" t="str">
        <f>IF(ISNUMBER(outYear),XFC37+XFC42+#REF!+#REF!,"")</f>
        <v/>
      </c>
      <c r="XFD48" s="84" t="str">
        <f>IF(ISNUMBER(outYear),XFD37+XFD42+#REF!+#REF!,"")</f>
        <v/>
      </c>
    </row>
    <row r="49" spans="1:102" s="85" customFormat="1" x14ac:dyDescent="0.2">
      <c r="A49" s="59" t="s">
        <v>32</v>
      </c>
      <c r="B49" s="83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  <c r="BS49" s="84"/>
      <c r="BT49" s="84"/>
      <c r="BU49" s="84"/>
      <c r="BV49" s="84"/>
      <c r="BW49" s="84"/>
      <c r="BX49" s="84"/>
      <c r="BY49" s="84"/>
      <c r="BZ49" s="84"/>
      <c r="CA49" s="84"/>
      <c r="CB49" s="84"/>
      <c r="CC49" s="84"/>
      <c r="CD49" s="84"/>
      <c r="CE49" s="84"/>
      <c r="CF49" s="84"/>
      <c r="CG49" s="84"/>
      <c r="CH49" s="84"/>
      <c r="CI49" s="84"/>
      <c r="CJ49" s="84"/>
      <c r="CK49" s="84"/>
      <c r="CL49" s="84"/>
      <c r="CM49" s="84"/>
      <c r="CN49" s="84"/>
      <c r="CO49" s="84"/>
      <c r="CP49" s="84"/>
      <c r="CQ49" s="84"/>
      <c r="CR49" s="84"/>
      <c r="CS49" s="84"/>
      <c r="CT49" s="84"/>
      <c r="CU49" s="84"/>
      <c r="CV49" s="84"/>
      <c r="CW49" s="84"/>
      <c r="CX49" s="84"/>
    </row>
    <row r="50" spans="1:102" s="85" customFormat="1" x14ac:dyDescent="0.2">
      <c r="A50" s="65" t="s">
        <v>34</v>
      </c>
      <c r="B50" s="83"/>
      <c r="C50" s="84">
        <f t="shared" ref="C50:AH50" si="26">C18</f>
        <v>4391.72</v>
      </c>
      <c r="D50" s="84">
        <f t="shared" si="26"/>
        <v>4479.5544</v>
      </c>
      <c r="E50" s="84">
        <f t="shared" si="26"/>
        <v>4569.1454880000001</v>
      </c>
      <c r="F50" s="84">
        <f t="shared" si="26"/>
        <v>4660.5283977600002</v>
      </c>
      <c r="G50" s="84">
        <f t="shared" si="26"/>
        <v>4753.7389657151998</v>
      </c>
      <c r="H50" s="84">
        <f t="shared" si="26"/>
        <v>4848.8137450295044</v>
      </c>
      <c r="I50" s="84">
        <f t="shared" si="26"/>
        <v>4945.7900199300948</v>
      </c>
      <c r="J50" s="84">
        <f t="shared" si="26"/>
        <v>5044.7058203286961</v>
      </c>
      <c r="K50" s="84">
        <f t="shared" si="26"/>
        <v>5145.5999367352697</v>
      </c>
      <c r="L50" s="84">
        <f t="shared" si="26"/>
        <v>94880.454582143284</v>
      </c>
      <c r="M50" s="84">
        <f t="shared" si="26"/>
        <v>5353.4821741793758</v>
      </c>
      <c r="N50" s="84">
        <f t="shared" si="26"/>
        <v>5460.5518176629621</v>
      </c>
      <c r="O50" s="84">
        <f t="shared" si="26"/>
        <v>5569.7628540162214</v>
      </c>
      <c r="P50" s="84">
        <f t="shared" si="26"/>
        <v>5681.1581110965462</v>
      </c>
      <c r="Q50" s="84">
        <f t="shared" si="26"/>
        <v>5794.7812733184765</v>
      </c>
      <c r="R50" s="84">
        <f t="shared" si="26"/>
        <v>5910.6768987848445</v>
      </c>
      <c r="S50" s="84">
        <f t="shared" si="26"/>
        <v>6028.8904367605428</v>
      </c>
      <c r="T50" s="84">
        <f t="shared" si="26"/>
        <v>6149.4682454957547</v>
      </c>
      <c r="U50" s="84">
        <f t="shared" si="26"/>
        <v>6272.4576104056687</v>
      </c>
      <c r="V50" s="84">
        <f t="shared" si="26"/>
        <v>6397.9067626137821</v>
      </c>
      <c r="W50" s="84">
        <f t="shared" si="26"/>
        <v>6525.8648978660585</v>
      </c>
      <c r="X50" s="84">
        <f t="shared" si="26"/>
        <v>6656.3821958233793</v>
      </c>
      <c r="Y50" s="84">
        <f t="shared" si="26"/>
        <v>6789.5098397398469</v>
      </c>
      <c r="Z50" s="84">
        <f t="shared" si="26"/>
        <v>6925.3000365346425</v>
      </c>
      <c r="AA50" s="84">
        <f t="shared" si="26"/>
        <v>7063.8060372653363</v>
      </c>
      <c r="AB50" s="84" t="str">
        <f t="shared" si="26"/>
        <v/>
      </c>
      <c r="AC50" s="84" t="str">
        <f t="shared" si="26"/>
        <v/>
      </c>
      <c r="AD50" s="84" t="str">
        <f t="shared" si="26"/>
        <v/>
      </c>
      <c r="AE50" s="84" t="str">
        <f t="shared" si="26"/>
        <v/>
      </c>
      <c r="AF50" s="84" t="str">
        <f t="shared" si="26"/>
        <v/>
      </c>
      <c r="AG50" s="84" t="str">
        <f t="shared" si="26"/>
        <v/>
      </c>
      <c r="AH50" s="84" t="str">
        <f t="shared" si="26"/>
        <v/>
      </c>
      <c r="AI50" s="84" t="str">
        <f t="shared" ref="AI50:BN50" si="27">AI18</f>
        <v/>
      </c>
      <c r="AJ50" s="84" t="str">
        <f t="shared" si="27"/>
        <v/>
      </c>
      <c r="AK50" s="84" t="str">
        <f t="shared" si="27"/>
        <v/>
      </c>
      <c r="AL50" s="84" t="str">
        <f t="shared" si="27"/>
        <v/>
      </c>
      <c r="AM50" s="84" t="str">
        <f t="shared" si="27"/>
        <v/>
      </c>
      <c r="AN50" s="84" t="str">
        <f t="shared" si="27"/>
        <v/>
      </c>
      <c r="AO50" s="84" t="str">
        <f t="shared" si="27"/>
        <v/>
      </c>
      <c r="AP50" s="84" t="str">
        <f t="shared" si="27"/>
        <v/>
      </c>
      <c r="AQ50" s="84" t="str">
        <f t="shared" si="27"/>
        <v/>
      </c>
      <c r="AR50" s="84" t="str">
        <f t="shared" si="27"/>
        <v/>
      </c>
      <c r="AS50" s="84" t="str">
        <f t="shared" si="27"/>
        <v/>
      </c>
      <c r="AT50" s="84" t="str">
        <f t="shared" si="27"/>
        <v/>
      </c>
      <c r="AU50" s="84" t="str">
        <f t="shared" si="27"/>
        <v/>
      </c>
      <c r="AV50" s="84" t="str">
        <f t="shared" si="27"/>
        <v/>
      </c>
      <c r="AW50" s="84" t="str">
        <f t="shared" si="27"/>
        <v/>
      </c>
      <c r="AX50" s="84" t="str">
        <f t="shared" si="27"/>
        <v/>
      </c>
      <c r="AY50" s="84" t="str">
        <f t="shared" si="27"/>
        <v/>
      </c>
      <c r="AZ50" s="84" t="str">
        <f t="shared" si="27"/>
        <v/>
      </c>
      <c r="BA50" s="84" t="str">
        <f t="shared" si="27"/>
        <v/>
      </c>
      <c r="BB50" s="84" t="str">
        <f t="shared" si="27"/>
        <v/>
      </c>
      <c r="BC50" s="84" t="str">
        <f t="shared" si="27"/>
        <v/>
      </c>
      <c r="BD50" s="84" t="str">
        <f t="shared" si="27"/>
        <v/>
      </c>
      <c r="BE50" s="84" t="str">
        <f t="shared" si="27"/>
        <v/>
      </c>
      <c r="BF50" s="84" t="str">
        <f t="shared" si="27"/>
        <v/>
      </c>
      <c r="BG50" s="84" t="str">
        <f t="shared" si="27"/>
        <v/>
      </c>
      <c r="BH50" s="84" t="str">
        <f t="shared" si="27"/>
        <v/>
      </c>
      <c r="BI50" s="84" t="str">
        <f t="shared" si="27"/>
        <v/>
      </c>
      <c r="BJ50" s="84" t="str">
        <f t="shared" si="27"/>
        <v/>
      </c>
      <c r="BK50" s="84" t="str">
        <f t="shared" si="27"/>
        <v/>
      </c>
      <c r="BL50" s="84" t="str">
        <f t="shared" si="27"/>
        <v/>
      </c>
      <c r="BM50" s="84" t="str">
        <f t="shared" si="27"/>
        <v/>
      </c>
      <c r="BN50" s="84" t="str">
        <f t="shared" si="27"/>
        <v/>
      </c>
      <c r="BO50" s="84" t="str">
        <f t="shared" ref="BO50:CX50" si="28">BO18</f>
        <v/>
      </c>
      <c r="BP50" s="84" t="str">
        <f t="shared" si="28"/>
        <v/>
      </c>
      <c r="BQ50" s="84" t="str">
        <f t="shared" si="28"/>
        <v/>
      </c>
      <c r="BR50" s="84" t="str">
        <f t="shared" si="28"/>
        <v/>
      </c>
      <c r="BS50" s="84" t="str">
        <f t="shared" si="28"/>
        <v/>
      </c>
      <c r="BT50" s="84" t="str">
        <f t="shared" si="28"/>
        <v/>
      </c>
      <c r="BU50" s="84" t="str">
        <f t="shared" si="28"/>
        <v/>
      </c>
      <c r="BV50" s="84" t="str">
        <f t="shared" si="28"/>
        <v/>
      </c>
      <c r="BW50" s="84" t="str">
        <f t="shared" si="28"/>
        <v/>
      </c>
      <c r="BX50" s="84" t="str">
        <f t="shared" si="28"/>
        <v/>
      </c>
      <c r="BY50" s="84" t="str">
        <f t="shared" si="28"/>
        <v/>
      </c>
      <c r="BZ50" s="84" t="str">
        <f t="shared" si="28"/>
        <v/>
      </c>
      <c r="CA50" s="84" t="str">
        <f t="shared" si="28"/>
        <v/>
      </c>
      <c r="CB50" s="84" t="str">
        <f t="shared" si="28"/>
        <v/>
      </c>
      <c r="CC50" s="84" t="str">
        <f t="shared" si="28"/>
        <v/>
      </c>
      <c r="CD50" s="84" t="str">
        <f t="shared" si="28"/>
        <v/>
      </c>
      <c r="CE50" s="84" t="str">
        <f t="shared" si="28"/>
        <v/>
      </c>
      <c r="CF50" s="84" t="str">
        <f t="shared" si="28"/>
        <v/>
      </c>
      <c r="CG50" s="84" t="str">
        <f t="shared" si="28"/>
        <v/>
      </c>
      <c r="CH50" s="84" t="str">
        <f t="shared" si="28"/>
        <v/>
      </c>
      <c r="CI50" s="84" t="str">
        <f t="shared" si="28"/>
        <v/>
      </c>
      <c r="CJ50" s="84" t="str">
        <f t="shared" si="28"/>
        <v/>
      </c>
      <c r="CK50" s="84" t="str">
        <f t="shared" si="28"/>
        <v/>
      </c>
      <c r="CL50" s="84" t="str">
        <f t="shared" si="28"/>
        <v/>
      </c>
      <c r="CM50" s="84" t="str">
        <f t="shared" si="28"/>
        <v/>
      </c>
      <c r="CN50" s="84" t="str">
        <f t="shared" si="28"/>
        <v/>
      </c>
      <c r="CO50" s="84" t="str">
        <f t="shared" si="28"/>
        <v/>
      </c>
      <c r="CP50" s="84" t="str">
        <f t="shared" si="28"/>
        <v/>
      </c>
      <c r="CQ50" s="84" t="str">
        <f t="shared" si="28"/>
        <v/>
      </c>
      <c r="CR50" s="84" t="str">
        <f t="shared" si="28"/>
        <v/>
      </c>
      <c r="CS50" s="84" t="str">
        <f t="shared" si="28"/>
        <v/>
      </c>
      <c r="CT50" s="84" t="str">
        <f t="shared" si="28"/>
        <v/>
      </c>
      <c r="CU50" s="84" t="str">
        <f t="shared" si="28"/>
        <v/>
      </c>
      <c r="CV50" s="84" t="str">
        <f t="shared" si="28"/>
        <v/>
      </c>
      <c r="CW50" s="84" t="str">
        <f t="shared" si="28"/>
        <v/>
      </c>
      <c r="CX50" s="84" t="str">
        <f t="shared" si="28"/>
        <v/>
      </c>
    </row>
    <row r="51" spans="1:102" s="85" customFormat="1" x14ac:dyDescent="0.2">
      <c r="A51" s="65" t="s">
        <v>25</v>
      </c>
      <c r="B51" s="83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  <c r="BS51" s="84"/>
      <c r="BT51" s="84"/>
      <c r="BU51" s="84"/>
      <c r="BV51" s="84"/>
      <c r="BW51" s="84"/>
      <c r="BX51" s="84"/>
      <c r="BY51" s="84"/>
      <c r="BZ51" s="84"/>
      <c r="CA51" s="84"/>
      <c r="CB51" s="84"/>
      <c r="CC51" s="84"/>
      <c r="CD51" s="84"/>
      <c r="CE51" s="84"/>
      <c r="CF51" s="84"/>
      <c r="CG51" s="84"/>
      <c r="CH51" s="84"/>
      <c r="CI51" s="84"/>
      <c r="CJ51" s="84"/>
      <c r="CK51" s="84"/>
      <c r="CL51" s="84"/>
      <c r="CM51" s="84"/>
      <c r="CN51" s="84"/>
      <c r="CO51" s="84"/>
      <c r="CP51" s="84"/>
      <c r="CQ51" s="84"/>
      <c r="CR51" s="84"/>
      <c r="CS51" s="84"/>
      <c r="CT51" s="84"/>
      <c r="CU51" s="84"/>
      <c r="CV51" s="84"/>
      <c r="CW51" s="84"/>
      <c r="CX51" s="84"/>
    </row>
    <row r="52" spans="1:102" s="86" customFormat="1" x14ac:dyDescent="0.2">
      <c r="A52" s="66" t="s">
        <v>42</v>
      </c>
      <c r="B52" s="78"/>
      <c r="C52" s="78">
        <f>'Inputs and Outputs'!C60</f>
        <v>0.2</v>
      </c>
      <c r="D52" s="78">
        <f>'Inputs and Outputs'!D60</f>
        <v>0.32</v>
      </c>
      <c r="E52" s="78">
        <f>'Inputs and Outputs'!E60</f>
        <v>0.192</v>
      </c>
      <c r="F52" s="78">
        <f>'Inputs and Outputs'!F60</f>
        <v>0.1152</v>
      </c>
      <c r="G52" s="78">
        <f>'Inputs and Outputs'!G60</f>
        <v>0.1152</v>
      </c>
      <c r="H52" s="78">
        <f>'Inputs and Outputs'!H60</f>
        <v>5.7599999999999998E-2</v>
      </c>
      <c r="I52" s="78">
        <f>'Inputs and Outputs'!I60</f>
        <v>0</v>
      </c>
      <c r="J52" s="78">
        <f>'Inputs and Outputs'!J60</f>
        <v>0</v>
      </c>
      <c r="K52" s="78">
        <f>'Inputs and Outputs'!K60</f>
        <v>0</v>
      </c>
      <c r="L52" s="78">
        <f>'Inputs and Outputs'!L60</f>
        <v>0</v>
      </c>
      <c r="M52" s="78">
        <f>'Inputs and Outputs'!M60</f>
        <v>0</v>
      </c>
      <c r="N52" s="78">
        <f>'Inputs and Outputs'!N60</f>
        <v>0</v>
      </c>
      <c r="O52" s="78">
        <f>'Inputs and Outputs'!O60</f>
        <v>0</v>
      </c>
      <c r="P52" s="78">
        <f>'Inputs and Outputs'!P60</f>
        <v>0</v>
      </c>
      <c r="Q52" s="78">
        <f>'Inputs and Outputs'!Q60</f>
        <v>0</v>
      </c>
      <c r="R52" s="78">
        <f>'Inputs and Outputs'!R60</f>
        <v>0</v>
      </c>
      <c r="S52" s="78">
        <f>'Inputs and Outputs'!S60</f>
        <v>0</v>
      </c>
      <c r="T52" s="78">
        <f>'Inputs and Outputs'!T60</f>
        <v>0</v>
      </c>
      <c r="U52" s="78">
        <f>'Inputs and Outputs'!U60</f>
        <v>0</v>
      </c>
      <c r="V52" s="78">
        <f>'Inputs and Outputs'!V60</f>
        <v>0</v>
      </c>
      <c r="W52" s="78">
        <f>'Inputs and Outputs'!W60</f>
        <v>0</v>
      </c>
      <c r="X52" s="78">
        <f>'Inputs and Outputs'!X60</f>
        <v>0</v>
      </c>
      <c r="Y52" s="78">
        <f>'Inputs and Outputs'!Y60</f>
        <v>0</v>
      </c>
      <c r="Z52" s="78">
        <f>'Inputs and Outputs'!Z60</f>
        <v>0</v>
      </c>
      <c r="AA52" s="78">
        <f>'Inputs and Outputs'!AA60</f>
        <v>0</v>
      </c>
      <c r="AB52" s="78">
        <f>'Inputs and Outputs'!AB60</f>
        <v>0</v>
      </c>
      <c r="AC52" s="78">
        <f>'Inputs and Outputs'!AC60</f>
        <v>0</v>
      </c>
      <c r="AD52" s="78">
        <f>'Inputs and Outputs'!AD60</f>
        <v>0</v>
      </c>
      <c r="AE52" s="78">
        <f>'Inputs and Outputs'!AE60</f>
        <v>0</v>
      </c>
      <c r="AF52" s="78">
        <f>'Inputs and Outputs'!AF60</f>
        <v>0</v>
      </c>
      <c r="AG52" s="78">
        <f>'Inputs and Outputs'!AG60</f>
        <v>0</v>
      </c>
      <c r="AH52" s="78">
        <f>'Inputs and Outputs'!AH60</f>
        <v>0</v>
      </c>
      <c r="AI52" s="78">
        <f>'Inputs and Outputs'!AI60</f>
        <v>0</v>
      </c>
      <c r="AJ52" s="78">
        <f>'Inputs and Outputs'!AJ60</f>
        <v>0</v>
      </c>
      <c r="AK52" s="78">
        <f>'Inputs and Outputs'!AK60</f>
        <v>0</v>
      </c>
      <c r="AL52" s="78">
        <f>'Inputs and Outputs'!AL60</f>
        <v>0</v>
      </c>
      <c r="AM52" s="78">
        <f>'Inputs and Outputs'!AM60</f>
        <v>0</v>
      </c>
      <c r="AN52" s="78">
        <f>'Inputs and Outputs'!AN60</f>
        <v>0</v>
      </c>
      <c r="AO52" s="78">
        <f>'Inputs and Outputs'!AO60</f>
        <v>0</v>
      </c>
      <c r="AP52" s="78">
        <f>'Inputs and Outputs'!AP60</f>
        <v>0</v>
      </c>
      <c r="AQ52" s="78">
        <f>'Inputs and Outputs'!AQ60</f>
        <v>0</v>
      </c>
      <c r="AR52" s="78">
        <f>'Inputs and Outputs'!AR60</f>
        <v>0</v>
      </c>
      <c r="AS52" s="78">
        <f>'Inputs and Outputs'!AS60</f>
        <v>0</v>
      </c>
      <c r="AT52" s="78">
        <f>'Inputs and Outputs'!AT60</f>
        <v>0</v>
      </c>
      <c r="AU52" s="78">
        <f>'Inputs and Outputs'!AU60</f>
        <v>0</v>
      </c>
      <c r="AV52" s="78">
        <f>'Inputs and Outputs'!AV60</f>
        <v>0</v>
      </c>
      <c r="AW52" s="78">
        <f>'Inputs and Outputs'!AW60</f>
        <v>0</v>
      </c>
      <c r="AX52" s="78">
        <f>'Inputs and Outputs'!AX60</f>
        <v>0</v>
      </c>
      <c r="AY52" s="78">
        <f>'Inputs and Outputs'!AY60</f>
        <v>0</v>
      </c>
      <c r="AZ52" s="78">
        <f>'Inputs and Outputs'!AZ60</f>
        <v>0</v>
      </c>
      <c r="BA52" s="78">
        <f>'Inputs and Outputs'!BA60</f>
        <v>0</v>
      </c>
      <c r="BB52" s="78">
        <f>'Inputs and Outputs'!BB60</f>
        <v>0</v>
      </c>
      <c r="BC52" s="78">
        <f>'Inputs and Outputs'!BC60</f>
        <v>0</v>
      </c>
      <c r="BD52" s="78">
        <f>'Inputs and Outputs'!BD60</f>
        <v>0</v>
      </c>
      <c r="BE52" s="78">
        <f>'Inputs and Outputs'!BE60</f>
        <v>0</v>
      </c>
      <c r="BF52" s="78">
        <f>'Inputs and Outputs'!BF60</f>
        <v>0</v>
      </c>
      <c r="BG52" s="78">
        <f>'Inputs and Outputs'!BG60</f>
        <v>0</v>
      </c>
      <c r="BH52" s="78">
        <f>'Inputs and Outputs'!BH60</f>
        <v>0</v>
      </c>
      <c r="BI52" s="78">
        <f>'Inputs and Outputs'!BI60</f>
        <v>0</v>
      </c>
      <c r="BJ52" s="78">
        <f>'Inputs and Outputs'!BJ60</f>
        <v>0</v>
      </c>
      <c r="BK52" s="78">
        <f>'Inputs and Outputs'!BK60</f>
        <v>0</v>
      </c>
      <c r="BL52" s="78">
        <f>'Inputs and Outputs'!BL60</f>
        <v>0</v>
      </c>
      <c r="BM52" s="78">
        <f>'Inputs and Outputs'!BM60</f>
        <v>0</v>
      </c>
      <c r="BN52" s="78">
        <f>'Inputs and Outputs'!BN60</f>
        <v>0</v>
      </c>
      <c r="BO52" s="78">
        <f>'Inputs and Outputs'!BO60</f>
        <v>0</v>
      </c>
      <c r="BP52" s="78">
        <f>'Inputs and Outputs'!BP60</f>
        <v>0</v>
      </c>
      <c r="BQ52" s="78">
        <f>'Inputs and Outputs'!BQ60</f>
        <v>0</v>
      </c>
      <c r="BR52" s="78">
        <f>'Inputs and Outputs'!BR60</f>
        <v>0</v>
      </c>
      <c r="BS52" s="78">
        <f>'Inputs and Outputs'!BS60</f>
        <v>0</v>
      </c>
      <c r="BT52" s="78">
        <f>'Inputs and Outputs'!BT60</f>
        <v>0</v>
      </c>
      <c r="BU52" s="78">
        <f>'Inputs and Outputs'!BU60</f>
        <v>0</v>
      </c>
      <c r="BV52" s="78">
        <f>'Inputs and Outputs'!BV60</f>
        <v>0</v>
      </c>
      <c r="BW52" s="78">
        <f>'Inputs and Outputs'!BW60</f>
        <v>0</v>
      </c>
      <c r="BX52" s="78">
        <f>'Inputs and Outputs'!BX60</f>
        <v>0</v>
      </c>
      <c r="BY52" s="78">
        <f>'Inputs and Outputs'!BY60</f>
        <v>0</v>
      </c>
      <c r="BZ52" s="78">
        <f>'Inputs and Outputs'!BZ60</f>
        <v>0</v>
      </c>
      <c r="CA52" s="78">
        <f>'Inputs and Outputs'!CA60</f>
        <v>0</v>
      </c>
      <c r="CB52" s="78">
        <f>'Inputs and Outputs'!CB60</f>
        <v>0</v>
      </c>
      <c r="CC52" s="78">
        <f>'Inputs and Outputs'!CC60</f>
        <v>0</v>
      </c>
      <c r="CD52" s="78">
        <f>'Inputs and Outputs'!CD60</f>
        <v>0</v>
      </c>
      <c r="CE52" s="78">
        <f>'Inputs and Outputs'!CE60</f>
        <v>0</v>
      </c>
      <c r="CF52" s="78">
        <f>'Inputs and Outputs'!CF60</f>
        <v>0</v>
      </c>
      <c r="CG52" s="78">
        <f>'Inputs and Outputs'!CG60</f>
        <v>0</v>
      </c>
      <c r="CH52" s="78">
        <f>'Inputs and Outputs'!CH60</f>
        <v>0</v>
      </c>
      <c r="CI52" s="78">
        <f>'Inputs and Outputs'!CI60</f>
        <v>0</v>
      </c>
      <c r="CJ52" s="78">
        <f>'Inputs and Outputs'!CJ60</f>
        <v>0</v>
      </c>
      <c r="CK52" s="78">
        <f>'Inputs and Outputs'!CK60</f>
        <v>0</v>
      </c>
      <c r="CL52" s="78">
        <f>'Inputs and Outputs'!CL60</f>
        <v>0</v>
      </c>
      <c r="CM52" s="78">
        <f>'Inputs and Outputs'!CM60</f>
        <v>0</v>
      </c>
      <c r="CN52" s="78">
        <f>'Inputs and Outputs'!CN60</f>
        <v>0</v>
      </c>
      <c r="CO52" s="78">
        <f>'Inputs and Outputs'!CO60</f>
        <v>0</v>
      </c>
      <c r="CP52" s="78">
        <f>'Inputs and Outputs'!CP60</f>
        <v>0</v>
      </c>
      <c r="CQ52" s="78">
        <f>'Inputs and Outputs'!CQ60</f>
        <v>0</v>
      </c>
      <c r="CR52" s="78">
        <f>'Inputs and Outputs'!CR60</f>
        <v>0</v>
      </c>
      <c r="CS52" s="78">
        <f>'Inputs and Outputs'!CS60</f>
        <v>0</v>
      </c>
      <c r="CT52" s="78">
        <f>'Inputs and Outputs'!CT60</f>
        <v>0</v>
      </c>
      <c r="CU52" s="78">
        <f>'Inputs and Outputs'!CU60</f>
        <v>0</v>
      </c>
      <c r="CV52" s="78">
        <f>'Inputs and Outputs'!CV60</f>
        <v>0</v>
      </c>
      <c r="CW52" s="78">
        <f>'Inputs and Outputs'!CW60</f>
        <v>0</v>
      </c>
      <c r="CX52" s="78">
        <f>'Inputs and Outputs'!CX60</f>
        <v>0</v>
      </c>
    </row>
    <row r="53" spans="1:102" s="86" customFormat="1" x14ac:dyDescent="0.2">
      <c r="A53" s="66" t="s">
        <v>43</v>
      </c>
      <c r="B53" s="84">
        <f>IF(ISNUMBER(outYear),IF(FederalDepreciation="N/A",0,($B$58-IF(itc_fed_percent_deprbas_fed="Yes",0.5*MIN(itc_fed_percent/100*$B$58,itc_fed_percent_maxvalue),0))),"")</f>
        <v>461310.3</v>
      </c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78"/>
      <c r="BY53" s="78"/>
      <c r="BZ53" s="78"/>
      <c r="CA53" s="78"/>
      <c r="CB53" s="78"/>
      <c r="CC53" s="78"/>
      <c r="CD53" s="78"/>
      <c r="CE53" s="78"/>
      <c r="CF53" s="78"/>
      <c r="CG53" s="78"/>
      <c r="CH53" s="78"/>
      <c r="CI53" s="78"/>
      <c r="CJ53" s="78"/>
      <c r="CK53" s="78"/>
      <c r="CL53" s="78"/>
      <c r="CM53" s="78"/>
      <c r="CN53" s="78"/>
      <c r="CO53" s="78"/>
      <c r="CP53" s="78"/>
      <c r="CQ53" s="78"/>
      <c r="CR53" s="78"/>
      <c r="CS53" s="78"/>
      <c r="CT53" s="78"/>
      <c r="CU53" s="78"/>
      <c r="CV53" s="78"/>
      <c r="CW53" s="78"/>
      <c r="CX53" s="78"/>
    </row>
    <row r="54" spans="1:102" s="77" customFormat="1" x14ac:dyDescent="0.2">
      <c r="A54" s="66" t="s">
        <v>0</v>
      </c>
      <c r="B54" s="83"/>
      <c r="C54" s="84">
        <f>IF(ISNUMBER(outYear),$B$53*(C52+'Inputs and Outputs'!B52),"")</f>
        <v>322917.20999999996</v>
      </c>
      <c r="D54" s="84">
        <f t="shared" ref="D54:AH54" si="29">IF(ISNUMBER(outYear),$B$53*D52,"")</f>
        <v>147619.296</v>
      </c>
      <c r="E54" s="84">
        <f t="shared" si="29"/>
        <v>88571.577600000004</v>
      </c>
      <c r="F54" s="84">
        <f t="shared" si="29"/>
        <v>53142.946559999997</v>
      </c>
      <c r="G54" s="84">
        <f t="shared" si="29"/>
        <v>53142.946559999997</v>
      </c>
      <c r="H54" s="84">
        <f t="shared" si="29"/>
        <v>26571.473279999998</v>
      </c>
      <c r="I54" s="84">
        <f t="shared" si="29"/>
        <v>0</v>
      </c>
      <c r="J54" s="84">
        <f t="shared" si="29"/>
        <v>0</v>
      </c>
      <c r="K54" s="84">
        <f t="shared" si="29"/>
        <v>0</v>
      </c>
      <c r="L54" s="84">
        <f t="shared" si="29"/>
        <v>0</v>
      </c>
      <c r="M54" s="84">
        <f t="shared" si="29"/>
        <v>0</v>
      </c>
      <c r="N54" s="84">
        <f t="shared" si="29"/>
        <v>0</v>
      </c>
      <c r="O54" s="84">
        <f t="shared" si="29"/>
        <v>0</v>
      </c>
      <c r="P54" s="84">
        <f t="shared" si="29"/>
        <v>0</v>
      </c>
      <c r="Q54" s="84">
        <f t="shared" si="29"/>
        <v>0</v>
      </c>
      <c r="R54" s="84">
        <f t="shared" si="29"/>
        <v>0</v>
      </c>
      <c r="S54" s="84">
        <f t="shared" si="29"/>
        <v>0</v>
      </c>
      <c r="T54" s="84">
        <f t="shared" si="29"/>
        <v>0</v>
      </c>
      <c r="U54" s="84">
        <f t="shared" si="29"/>
        <v>0</v>
      </c>
      <c r="V54" s="84">
        <f t="shared" si="29"/>
        <v>0</v>
      </c>
      <c r="W54" s="84">
        <f t="shared" si="29"/>
        <v>0</v>
      </c>
      <c r="X54" s="84">
        <f t="shared" si="29"/>
        <v>0</v>
      </c>
      <c r="Y54" s="84">
        <f t="shared" si="29"/>
        <v>0</v>
      </c>
      <c r="Z54" s="84">
        <f t="shared" si="29"/>
        <v>0</v>
      </c>
      <c r="AA54" s="84">
        <f t="shared" si="29"/>
        <v>0</v>
      </c>
      <c r="AB54" s="84" t="str">
        <f t="shared" si="29"/>
        <v/>
      </c>
      <c r="AC54" s="84" t="str">
        <f t="shared" si="29"/>
        <v/>
      </c>
      <c r="AD54" s="84" t="str">
        <f t="shared" si="29"/>
        <v/>
      </c>
      <c r="AE54" s="84" t="str">
        <f t="shared" si="29"/>
        <v/>
      </c>
      <c r="AF54" s="84" t="str">
        <f t="shared" si="29"/>
        <v/>
      </c>
      <c r="AG54" s="84" t="str">
        <f t="shared" si="29"/>
        <v/>
      </c>
      <c r="AH54" s="84" t="str">
        <f t="shared" si="29"/>
        <v/>
      </c>
      <c r="AI54" s="84" t="str">
        <f t="shared" ref="AI54:BN54" si="30">IF(ISNUMBER(outYear),$B$53*AI52,"")</f>
        <v/>
      </c>
      <c r="AJ54" s="84" t="str">
        <f t="shared" si="30"/>
        <v/>
      </c>
      <c r="AK54" s="84" t="str">
        <f t="shared" si="30"/>
        <v/>
      </c>
      <c r="AL54" s="84" t="str">
        <f t="shared" si="30"/>
        <v/>
      </c>
      <c r="AM54" s="84" t="str">
        <f t="shared" si="30"/>
        <v/>
      </c>
      <c r="AN54" s="84" t="str">
        <f t="shared" si="30"/>
        <v/>
      </c>
      <c r="AO54" s="84" t="str">
        <f t="shared" si="30"/>
        <v/>
      </c>
      <c r="AP54" s="84" t="str">
        <f t="shared" si="30"/>
        <v/>
      </c>
      <c r="AQ54" s="84" t="str">
        <f t="shared" si="30"/>
        <v/>
      </c>
      <c r="AR54" s="84" t="str">
        <f t="shared" si="30"/>
        <v/>
      </c>
      <c r="AS54" s="84" t="str">
        <f t="shared" si="30"/>
        <v/>
      </c>
      <c r="AT54" s="84" t="str">
        <f t="shared" si="30"/>
        <v/>
      </c>
      <c r="AU54" s="84" t="str">
        <f t="shared" si="30"/>
        <v/>
      </c>
      <c r="AV54" s="84" t="str">
        <f t="shared" si="30"/>
        <v/>
      </c>
      <c r="AW54" s="84" t="str">
        <f t="shared" si="30"/>
        <v/>
      </c>
      <c r="AX54" s="84" t="str">
        <f t="shared" si="30"/>
        <v/>
      </c>
      <c r="AY54" s="84" t="str">
        <f t="shared" si="30"/>
        <v/>
      </c>
      <c r="AZ54" s="84" t="str">
        <f t="shared" si="30"/>
        <v/>
      </c>
      <c r="BA54" s="84" t="str">
        <f t="shared" si="30"/>
        <v/>
      </c>
      <c r="BB54" s="84" t="str">
        <f t="shared" si="30"/>
        <v/>
      </c>
      <c r="BC54" s="84" t="str">
        <f t="shared" si="30"/>
        <v/>
      </c>
      <c r="BD54" s="84" t="str">
        <f t="shared" si="30"/>
        <v/>
      </c>
      <c r="BE54" s="84" t="str">
        <f t="shared" si="30"/>
        <v/>
      </c>
      <c r="BF54" s="84" t="str">
        <f t="shared" si="30"/>
        <v/>
      </c>
      <c r="BG54" s="84" t="str">
        <f t="shared" si="30"/>
        <v/>
      </c>
      <c r="BH54" s="84" t="str">
        <f t="shared" si="30"/>
        <v/>
      </c>
      <c r="BI54" s="84" t="str">
        <f t="shared" si="30"/>
        <v/>
      </c>
      <c r="BJ54" s="84" t="str">
        <f t="shared" si="30"/>
        <v/>
      </c>
      <c r="BK54" s="84" t="str">
        <f t="shared" si="30"/>
        <v/>
      </c>
      <c r="BL54" s="84" t="str">
        <f t="shared" si="30"/>
        <v/>
      </c>
      <c r="BM54" s="84" t="str">
        <f t="shared" si="30"/>
        <v/>
      </c>
      <c r="BN54" s="84" t="str">
        <f t="shared" si="30"/>
        <v/>
      </c>
      <c r="BO54" s="84" t="str">
        <f t="shared" ref="BO54:CX54" si="31">IF(ISNUMBER(outYear),$B$53*BO52,"")</f>
        <v/>
      </c>
      <c r="BP54" s="84" t="str">
        <f t="shared" si="31"/>
        <v/>
      </c>
      <c r="BQ54" s="84" t="str">
        <f t="shared" si="31"/>
        <v/>
      </c>
      <c r="BR54" s="84" t="str">
        <f t="shared" si="31"/>
        <v/>
      </c>
      <c r="BS54" s="84" t="str">
        <f t="shared" si="31"/>
        <v/>
      </c>
      <c r="BT54" s="84" t="str">
        <f t="shared" si="31"/>
        <v/>
      </c>
      <c r="BU54" s="84" t="str">
        <f t="shared" si="31"/>
        <v/>
      </c>
      <c r="BV54" s="84" t="str">
        <f t="shared" si="31"/>
        <v/>
      </c>
      <c r="BW54" s="84" t="str">
        <f t="shared" si="31"/>
        <v/>
      </c>
      <c r="BX54" s="84" t="str">
        <f t="shared" si="31"/>
        <v/>
      </c>
      <c r="BY54" s="84" t="str">
        <f t="shared" si="31"/>
        <v/>
      </c>
      <c r="BZ54" s="84" t="str">
        <f t="shared" si="31"/>
        <v/>
      </c>
      <c r="CA54" s="84" t="str">
        <f t="shared" si="31"/>
        <v/>
      </c>
      <c r="CB54" s="84" t="str">
        <f t="shared" si="31"/>
        <v/>
      </c>
      <c r="CC54" s="84" t="str">
        <f t="shared" si="31"/>
        <v/>
      </c>
      <c r="CD54" s="84" t="str">
        <f t="shared" si="31"/>
        <v/>
      </c>
      <c r="CE54" s="84" t="str">
        <f t="shared" si="31"/>
        <v/>
      </c>
      <c r="CF54" s="84" t="str">
        <f t="shared" si="31"/>
        <v/>
      </c>
      <c r="CG54" s="84" t="str">
        <f t="shared" si="31"/>
        <v/>
      </c>
      <c r="CH54" s="84" t="str">
        <f t="shared" si="31"/>
        <v/>
      </c>
      <c r="CI54" s="84" t="str">
        <f t="shared" si="31"/>
        <v/>
      </c>
      <c r="CJ54" s="84" t="str">
        <f t="shared" si="31"/>
        <v/>
      </c>
      <c r="CK54" s="84" t="str">
        <f t="shared" si="31"/>
        <v/>
      </c>
      <c r="CL54" s="84" t="str">
        <f t="shared" si="31"/>
        <v/>
      </c>
      <c r="CM54" s="84" t="str">
        <f t="shared" si="31"/>
        <v/>
      </c>
      <c r="CN54" s="84" t="str">
        <f t="shared" si="31"/>
        <v/>
      </c>
      <c r="CO54" s="84" t="str">
        <f t="shared" si="31"/>
        <v/>
      </c>
      <c r="CP54" s="84" t="str">
        <f t="shared" si="31"/>
        <v/>
      </c>
      <c r="CQ54" s="84" t="str">
        <f t="shared" si="31"/>
        <v/>
      </c>
      <c r="CR54" s="84" t="str">
        <f t="shared" si="31"/>
        <v/>
      </c>
      <c r="CS54" s="84" t="str">
        <f t="shared" si="31"/>
        <v/>
      </c>
      <c r="CT54" s="84" t="str">
        <f t="shared" si="31"/>
        <v/>
      </c>
      <c r="CU54" s="84" t="str">
        <f t="shared" si="31"/>
        <v/>
      </c>
      <c r="CV54" s="84" t="str">
        <f t="shared" si="31"/>
        <v/>
      </c>
      <c r="CW54" s="84" t="str">
        <f t="shared" si="31"/>
        <v/>
      </c>
      <c r="CX54" s="84" t="str">
        <f t="shared" si="31"/>
        <v/>
      </c>
    </row>
    <row r="55" spans="1:102" x14ac:dyDescent="0.2">
      <c r="A55" s="65" t="s">
        <v>35</v>
      </c>
      <c r="B55" s="16"/>
      <c r="C55" s="84">
        <f t="shared" ref="C55:AH55" si="32">IF(ISNUMBER(outYear),SUM(C50,C54:C54),"")</f>
        <v>327308.92999999993</v>
      </c>
      <c r="D55" s="84">
        <f t="shared" si="32"/>
        <v>152098.8504</v>
      </c>
      <c r="E55" s="84">
        <f t="shared" si="32"/>
        <v>93140.723087999999</v>
      </c>
      <c r="F55" s="84">
        <f t="shared" si="32"/>
        <v>57803.474957759994</v>
      </c>
      <c r="G55" s="84">
        <f t="shared" si="32"/>
        <v>57896.685525715198</v>
      </c>
      <c r="H55" s="84">
        <f t="shared" si="32"/>
        <v>31420.287025029502</v>
      </c>
      <c r="I55" s="84">
        <f t="shared" si="32"/>
        <v>4945.7900199300948</v>
      </c>
      <c r="J55" s="84">
        <f t="shared" si="32"/>
        <v>5044.7058203286961</v>
      </c>
      <c r="K55" s="84">
        <f t="shared" si="32"/>
        <v>5145.5999367352697</v>
      </c>
      <c r="L55" s="84">
        <f t="shared" si="32"/>
        <v>94880.454582143284</v>
      </c>
      <c r="M55" s="84">
        <f t="shared" si="32"/>
        <v>5353.4821741793758</v>
      </c>
      <c r="N55" s="84">
        <f t="shared" si="32"/>
        <v>5460.5518176629621</v>
      </c>
      <c r="O55" s="84">
        <f t="shared" si="32"/>
        <v>5569.7628540162214</v>
      </c>
      <c r="P55" s="84">
        <f t="shared" si="32"/>
        <v>5681.1581110965462</v>
      </c>
      <c r="Q55" s="84">
        <f t="shared" si="32"/>
        <v>5794.7812733184765</v>
      </c>
      <c r="R55" s="84">
        <f t="shared" si="32"/>
        <v>5910.6768987848445</v>
      </c>
      <c r="S55" s="84">
        <f t="shared" si="32"/>
        <v>6028.8904367605428</v>
      </c>
      <c r="T55" s="84">
        <f t="shared" si="32"/>
        <v>6149.4682454957547</v>
      </c>
      <c r="U55" s="84">
        <f t="shared" si="32"/>
        <v>6272.4576104056687</v>
      </c>
      <c r="V55" s="84">
        <f t="shared" si="32"/>
        <v>6397.9067626137821</v>
      </c>
      <c r="W55" s="84">
        <f t="shared" si="32"/>
        <v>6525.8648978660585</v>
      </c>
      <c r="X55" s="84">
        <f t="shared" si="32"/>
        <v>6656.3821958233793</v>
      </c>
      <c r="Y55" s="84">
        <f t="shared" si="32"/>
        <v>6789.5098397398469</v>
      </c>
      <c r="Z55" s="84">
        <f t="shared" si="32"/>
        <v>6925.3000365346425</v>
      </c>
      <c r="AA55" s="84">
        <f t="shared" si="32"/>
        <v>7063.8060372653363</v>
      </c>
      <c r="AB55" s="84" t="str">
        <f t="shared" si="32"/>
        <v/>
      </c>
      <c r="AC55" s="84" t="str">
        <f t="shared" si="32"/>
        <v/>
      </c>
      <c r="AD55" s="84" t="str">
        <f t="shared" si="32"/>
        <v/>
      </c>
      <c r="AE55" s="84" t="str">
        <f t="shared" si="32"/>
        <v/>
      </c>
      <c r="AF55" s="84" t="str">
        <f t="shared" si="32"/>
        <v/>
      </c>
      <c r="AG55" s="84" t="str">
        <f t="shared" si="32"/>
        <v/>
      </c>
      <c r="AH55" s="84" t="str">
        <f t="shared" si="32"/>
        <v/>
      </c>
      <c r="AI55" s="84" t="str">
        <f t="shared" ref="AI55:BN55" si="33">IF(ISNUMBER(outYear),SUM(AI50,AI54:AI54),"")</f>
        <v/>
      </c>
      <c r="AJ55" s="84" t="str">
        <f t="shared" si="33"/>
        <v/>
      </c>
      <c r="AK55" s="84" t="str">
        <f t="shared" si="33"/>
        <v/>
      </c>
      <c r="AL55" s="84" t="str">
        <f t="shared" si="33"/>
        <v/>
      </c>
      <c r="AM55" s="84" t="str">
        <f t="shared" si="33"/>
        <v/>
      </c>
      <c r="AN55" s="84" t="str">
        <f t="shared" si="33"/>
        <v/>
      </c>
      <c r="AO55" s="84" t="str">
        <f t="shared" si="33"/>
        <v/>
      </c>
      <c r="AP55" s="84" t="str">
        <f t="shared" si="33"/>
        <v/>
      </c>
      <c r="AQ55" s="84" t="str">
        <f t="shared" si="33"/>
        <v/>
      </c>
      <c r="AR55" s="84" t="str">
        <f t="shared" si="33"/>
        <v/>
      </c>
      <c r="AS55" s="84" t="str">
        <f t="shared" si="33"/>
        <v/>
      </c>
      <c r="AT55" s="84" t="str">
        <f t="shared" si="33"/>
        <v/>
      </c>
      <c r="AU55" s="84" t="str">
        <f t="shared" si="33"/>
        <v/>
      </c>
      <c r="AV55" s="84" t="str">
        <f t="shared" si="33"/>
        <v/>
      </c>
      <c r="AW55" s="84" t="str">
        <f t="shared" si="33"/>
        <v/>
      </c>
      <c r="AX55" s="84" t="str">
        <f t="shared" si="33"/>
        <v/>
      </c>
      <c r="AY55" s="84" t="str">
        <f t="shared" si="33"/>
        <v/>
      </c>
      <c r="AZ55" s="84" t="str">
        <f t="shared" si="33"/>
        <v/>
      </c>
      <c r="BA55" s="84" t="str">
        <f t="shared" si="33"/>
        <v/>
      </c>
      <c r="BB55" s="84" t="str">
        <f t="shared" si="33"/>
        <v/>
      </c>
      <c r="BC55" s="84" t="str">
        <f t="shared" si="33"/>
        <v/>
      </c>
      <c r="BD55" s="84" t="str">
        <f t="shared" si="33"/>
        <v/>
      </c>
      <c r="BE55" s="84" t="str">
        <f t="shared" si="33"/>
        <v/>
      </c>
      <c r="BF55" s="84" t="str">
        <f t="shared" si="33"/>
        <v/>
      </c>
      <c r="BG55" s="84" t="str">
        <f t="shared" si="33"/>
        <v/>
      </c>
      <c r="BH55" s="84" t="str">
        <f t="shared" si="33"/>
        <v/>
      </c>
      <c r="BI55" s="84" t="str">
        <f t="shared" si="33"/>
        <v/>
      </c>
      <c r="BJ55" s="84" t="str">
        <f t="shared" si="33"/>
        <v/>
      </c>
      <c r="BK55" s="84" t="str">
        <f t="shared" si="33"/>
        <v/>
      </c>
      <c r="BL55" s="84" t="str">
        <f t="shared" si="33"/>
        <v/>
      </c>
      <c r="BM55" s="84" t="str">
        <f t="shared" si="33"/>
        <v/>
      </c>
      <c r="BN55" s="84" t="str">
        <f t="shared" si="33"/>
        <v/>
      </c>
      <c r="BO55" s="84" t="str">
        <f t="shared" ref="BO55:CT55" si="34">IF(ISNUMBER(outYear),SUM(BO50,BO54:BO54),"")</f>
        <v/>
      </c>
      <c r="BP55" s="84" t="str">
        <f t="shared" si="34"/>
        <v/>
      </c>
      <c r="BQ55" s="84" t="str">
        <f t="shared" si="34"/>
        <v/>
      </c>
      <c r="BR55" s="84" t="str">
        <f t="shared" si="34"/>
        <v/>
      </c>
      <c r="BS55" s="84" t="str">
        <f t="shared" si="34"/>
        <v/>
      </c>
      <c r="BT55" s="84" t="str">
        <f t="shared" si="34"/>
        <v/>
      </c>
      <c r="BU55" s="84" t="str">
        <f t="shared" si="34"/>
        <v/>
      </c>
      <c r="BV55" s="84" t="str">
        <f t="shared" si="34"/>
        <v/>
      </c>
      <c r="BW55" s="84" t="str">
        <f t="shared" si="34"/>
        <v/>
      </c>
      <c r="BX55" s="84" t="str">
        <f t="shared" si="34"/>
        <v/>
      </c>
      <c r="BY55" s="84" t="str">
        <f t="shared" si="34"/>
        <v/>
      </c>
      <c r="BZ55" s="84" t="str">
        <f t="shared" si="34"/>
        <v/>
      </c>
      <c r="CA55" s="84" t="str">
        <f t="shared" si="34"/>
        <v/>
      </c>
      <c r="CB55" s="84" t="str">
        <f t="shared" si="34"/>
        <v/>
      </c>
      <c r="CC55" s="84" t="str">
        <f t="shared" si="34"/>
        <v/>
      </c>
      <c r="CD55" s="84" t="str">
        <f t="shared" si="34"/>
        <v/>
      </c>
      <c r="CE55" s="84" t="str">
        <f t="shared" si="34"/>
        <v/>
      </c>
      <c r="CF55" s="84" t="str">
        <f t="shared" si="34"/>
        <v/>
      </c>
      <c r="CG55" s="84" t="str">
        <f t="shared" si="34"/>
        <v/>
      </c>
      <c r="CH55" s="84" t="str">
        <f t="shared" si="34"/>
        <v/>
      </c>
      <c r="CI55" s="84" t="str">
        <f t="shared" si="34"/>
        <v/>
      </c>
      <c r="CJ55" s="84" t="str">
        <f t="shared" si="34"/>
        <v/>
      </c>
      <c r="CK55" s="84" t="str">
        <f t="shared" si="34"/>
        <v/>
      </c>
      <c r="CL55" s="84" t="str">
        <f t="shared" si="34"/>
        <v/>
      </c>
      <c r="CM55" s="84" t="str">
        <f t="shared" si="34"/>
        <v/>
      </c>
      <c r="CN55" s="84" t="str">
        <f t="shared" si="34"/>
        <v/>
      </c>
      <c r="CO55" s="84" t="str">
        <f t="shared" si="34"/>
        <v/>
      </c>
      <c r="CP55" s="84" t="str">
        <f t="shared" si="34"/>
        <v/>
      </c>
      <c r="CQ55" s="84" t="str">
        <f t="shared" si="34"/>
        <v/>
      </c>
      <c r="CR55" s="84" t="str">
        <f t="shared" si="34"/>
        <v/>
      </c>
      <c r="CS55" s="84" t="str">
        <f t="shared" si="34"/>
        <v/>
      </c>
      <c r="CT55" s="84" t="str">
        <f t="shared" si="34"/>
        <v/>
      </c>
      <c r="CU55" s="84" t="str">
        <f t="shared" ref="CU55:CX55" si="35">IF(ISNUMBER(outYear),SUM(CU50,CU54:CU54),"")</f>
        <v/>
      </c>
      <c r="CV55" s="84" t="str">
        <f t="shared" si="35"/>
        <v/>
      </c>
      <c r="CW55" s="84" t="str">
        <f t="shared" si="35"/>
        <v/>
      </c>
      <c r="CX55" s="84" t="str">
        <f t="shared" si="35"/>
        <v/>
      </c>
    </row>
    <row r="56" spans="1:102" x14ac:dyDescent="0.2">
      <c r="A56" s="60" t="s">
        <v>85</v>
      </c>
      <c r="B56" s="16"/>
      <c r="C56" s="79">
        <f t="shared" ref="C56:AH56" si="36">IF(ISNUMBER(outYear),C48-C55,"")</f>
        <v>-164493.52999999994</v>
      </c>
      <c r="D56" s="79">
        <f t="shared" si="36"/>
        <v>-152098.8504</v>
      </c>
      <c r="E56" s="79">
        <f t="shared" si="36"/>
        <v>-93140.723087999999</v>
      </c>
      <c r="F56" s="79">
        <f t="shared" si="36"/>
        <v>-57803.474957759994</v>
      </c>
      <c r="G56" s="79">
        <f t="shared" si="36"/>
        <v>-57896.685525715198</v>
      </c>
      <c r="H56" s="79">
        <f t="shared" si="36"/>
        <v>-31420.287025029502</v>
      </c>
      <c r="I56" s="79">
        <f t="shared" si="36"/>
        <v>-4945.7900199300948</v>
      </c>
      <c r="J56" s="79">
        <f t="shared" si="36"/>
        <v>-5044.7058203286961</v>
      </c>
      <c r="K56" s="79">
        <f t="shared" si="36"/>
        <v>-5145.5999367352697</v>
      </c>
      <c r="L56" s="79">
        <f t="shared" si="36"/>
        <v>-94880.454582143284</v>
      </c>
      <c r="M56" s="79">
        <f t="shared" si="36"/>
        <v>-5353.4821741793758</v>
      </c>
      <c r="N56" s="79">
        <f t="shared" si="36"/>
        <v>-5460.5518176629621</v>
      </c>
      <c r="O56" s="79">
        <f t="shared" si="36"/>
        <v>-5569.7628540162214</v>
      </c>
      <c r="P56" s="79">
        <f t="shared" si="36"/>
        <v>-5681.1581110965462</v>
      </c>
      <c r="Q56" s="79">
        <f t="shared" si="36"/>
        <v>-5794.7812733184765</v>
      </c>
      <c r="R56" s="79">
        <f t="shared" si="36"/>
        <v>-5910.6768987848445</v>
      </c>
      <c r="S56" s="79">
        <f t="shared" si="36"/>
        <v>-6028.8904367605428</v>
      </c>
      <c r="T56" s="79">
        <f t="shared" si="36"/>
        <v>-6149.4682454957547</v>
      </c>
      <c r="U56" s="79">
        <f t="shared" si="36"/>
        <v>-6272.4576104056687</v>
      </c>
      <c r="V56" s="79">
        <f t="shared" si="36"/>
        <v>-6397.9067626137821</v>
      </c>
      <c r="W56" s="79">
        <f t="shared" si="36"/>
        <v>-6525.8648978660585</v>
      </c>
      <c r="X56" s="79">
        <f t="shared" si="36"/>
        <v>-6656.3821958233793</v>
      </c>
      <c r="Y56" s="79">
        <f t="shared" si="36"/>
        <v>-6789.5098397398469</v>
      </c>
      <c r="Z56" s="79">
        <f t="shared" si="36"/>
        <v>-6925.3000365346425</v>
      </c>
      <c r="AA56" s="79">
        <f t="shared" si="36"/>
        <v>-7063.8060372653363</v>
      </c>
      <c r="AB56" s="79" t="str">
        <f t="shared" si="36"/>
        <v/>
      </c>
      <c r="AC56" s="79" t="str">
        <f t="shared" si="36"/>
        <v/>
      </c>
      <c r="AD56" s="79" t="str">
        <f t="shared" si="36"/>
        <v/>
      </c>
      <c r="AE56" s="79" t="str">
        <f t="shared" si="36"/>
        <v/>
      </c>
      <c r="AF56" s="79" t="str">
        <f t="shared" si="36"/>
        <v/>
      </c>
      <c r="AG56" s="79" t="str">
        <f t="shared" si="36"/>
        <v/>
      </c>
      <c r="AH56" s="79" t="str">
        <f t="shared" si="36"/>
        <v/>
      </c>
      <c r="AI56" s="79" t="str">
        <f t="shared" ref="AI56:BN56" si="37">IF(ISNUMBER(outYear),AI48-AI55,"")</f>
        <v/>
      </c>
      <c r="AJ56" s="79" t="str">
        <f t="shared" si="37"/>
        <v/>
      </c>
      <c r="AK56" s="79" t="str">
        <f t="shared" si="37"/>
        <v/>
      </c>
      <c r="AL56" s="79" t="str">
        <f t="shared" si="37"/>
        <v/>
      </c>
      <c r="AM56" s="79" t="str">
        <f t="shared" si="37"/>
        <v/>
      </c>
      <c r="AN56" s="79" t="str">
        <f t="shared" si="37"/>
        <v/>
      </c>
      <c r="AO56" s="79" t="str">
        <f t="shared" si="37"/>
        <v/>
      </c>
      <c r="AP56" s="79" t="str">
        <f t="shared" si="37"/>
        <v/>
      </c>
      <c r="AQ56" s="79" t="str">
        <f t="shared" si="37"/>
        <v/>
      </c>
      <c r="AR56" s="79" t="str">
        <f t="shared" si="37"/>
        <v/>
      </c>
      <c r="AS56" s="79" t="str">
        <f t="shared" si="37"/>
        <v/>
      </c>
      <c r="AT56" s="79" t="str">
        <f t="shared" si="37"/>
        <v/>
      </c>
      <c r="AU56" s="79" t="str">
        <f t="shared" si="37"/>
        <v/>
      </c>
      <c r="AV56" s="79" t="str">
        <f t="shared" si="37"/>
        <v/>
      </c>
      <c r="AW56" s="79" t="str">
        <f t="shared" si="37"/>
        <v/>
      </c>
      <c r="AX56" s="79" t="str">
        <f t="shared" si="37"/>
        <v/>
      </c>
      <c r="AY56" s="79" t="str">
        <f t="shared" si="37"/>
        <v/>
      </c>
      <c r="AZ56" s="79" t="str">
        <f t="shared" si="37"/>
        <v/>
      </c>
      <c r="BA56" s="79" t="str">
        <f t="shared" si="37"/>
        <v/>
      </c>
      <c r="BB56" s="79" t="str">
        <f t="shared" si="37"/>
        <v/>
      </c>
      <c r="BC56" s="79" t="str">
        <f t="shared" si="37"/>
        <v/>
      </c>
      <c r="BD56" s="79" t="str">
        <f t="shared" si="37"/>
        <v/>
      </c>
      <c r="BE56" s="79" t="str">
        <f t="shared" si="37"/>
        <v/>
      </c>
      <c r="BF56" s="79" t="str">
        <f t="shared" si="37"/>
        <v/>
      </c>
      <c r="BG56" s="79" t="str">
        <f t="shared" si="37"/>
        <v/>
      </c>
      <c r="BH56" s="79" t="str">
        <f t="shared" si="37"/>
        <v/>
      </c>
      <c r="BI56" s="79" t="str">
        <f t="shared" si="37"/>
        <v/>
      </c>
      <c r="BJ56" s="79" t="str">
        <f t="shared" si="37"/>
        <v/>
      </c>
      <c r="BK56" s="79" t="str">
        <f t="shared" si="37"/>
        <v/>
      </c>
      <c r="BL56" s="79" t="str">
        <f t="shared" si="37"/>
        <v/>
      </c>
      <c r="BM56" s="79" t="str">
        <f t="shared" si="37"/>
        <v/>
      </c>
      <c r="BN56" s="79" t="str">
        <f t="shared" si="37"/>
        <v/>
      </c>
      <c r="BO56" s="79" t="str">
        <f t="shared" ref="BO56:CT56" si="38">IF(ISNUMBER(outYear),BO48-BO55,"")</f>
        <v/>
      </c>
      <c r="BP56" s="79" t="str">
        <f t="shared" si="38"/>
        <v/>
      </c>
      <c r="BQ56" s="79" t="str">
        <f t="shared" si="38"/>
        <v/>
      </c>
      <c r="BR56" s="79" t="str">
        <f t="shared" si="38"/>
        <v/>
      </c>
      <c r="BS56" s="79" t="str">
        <f t="shared" si="38"/>
        <v/>
      </c>
      <c r="BT56" s="79" t="str">
        <f t="shared" si="38"/>
        <v/>
      </c>
      <c r="BU56" s="79" t="str">
        <f t="shared" si="38"/>
        <v/>
      </c>
      <c r="BV56" s="79" t="str">
        <f t="shared" si="38"/>
        <v/>
      </c>
      <c r="BW56" s="79" t="str">
        <f t="shared" si="38"/>
        <v/>
      </c>
      <c r="BX56" s="79" t="str">
        <f t="shared" si="38"/>
        <v/>
      </c>
      <c r="BY56" s="79" t="str">
        <f t="shared" si="38"/>
        <v/>
      </c>
      <c r="BZ56" s="79" t="str">
        <f t="shared" si="38"/>
        <v/>
      </c>
      <c r="CA56" s="79" t="str">
        <f t="shared" si="38"/>
        <v/>
      </c>
      <c r="CB56" s="79" t="str">
        <f t="shared" si="38"/>
        <v/>
      </c>
      <c r="CC56" s="79" t="str">
        <f t="shared" si="38"/>
        <v/>
      </c>
      <c r="CD56" s="79" t="str">
        <f t="shared" si="38"/>
        <v/>
      </c>
      <c r="CE56" s="79" t="str">
        <f t="shared" si="38"/>
        <v/>
      </c>
      <c r="CF56" s="79" t="str">
        <f t="shared" si="38"/>
        <v/>
      </c>
      <c r="CG56" s="79" t="str">
        <f t="shared" si="38"/>
        <v/>
      </c>
      <c r="CH56" s="79" t="str">
        <f t="shared" si="38"/>
        <v/>
      </c>
      <c r="CI56" s="79" t="str">
        <f t="shared" si="38"/>
        <v/>
      </c>
      <c r="CJ56" s="79" t="str">
        <f t="shared" si="38"/>
        <v/>
      </c>
      <c r="CK56" s="79" t="str">
        <f t="shared" si="38"/>
        <v/>
      </c>
      <c r="CL56" s="79" t="str">
        <f t="shared" si="38"/>
        <v/>
      </c>
      <c r="CM56" s="79" t="str">
        <f t="shared" si="38"/>
        <v/>
      </c>
      <c r="CN56" s="79" t="str">
        <f t="shared" si="38"/>
        <v/>
      </c>
      <c r="CO56" s="79" t="str">
        <f t="shared" si="38"/>
        <v/>
      </c>
      <c r="CP56" s="79" t="str">
        <f t="shared" si="38"/>
        <v/>
      </c>
      <c r="CQ56" s="79" t="str">
        <f t="shared" si="38"/>
        <v/>
      </c>
      <c r="CR56" s="79" t="str">
        <f t="shared" si="38"/>
        <v/>
      </c>
      <c r="CS56" s="79" t="str">
        <f t="shared" si="38"/>
        <v/>
      </c>
      <c r="CT56" s="79" t="str">
        <f t="shared" si="38"/>
        <v/>
      </c>
      <c r="CU56" s="79" t="str">
        <f t="shared" ref="CU56:CX56" si="39">IF(ISNUMBER(outYear),CU48-CU55,"")</f>
        <v/>
      </c>
      <c r="CV56" s="79" t="str">
        <f t="shared" si="39"/>
        <v/>
      </c>
      <c r="CW56" s="79" t="str">
        <f t="shared" si="39"/>
        <v/>
      </c>
      <c r="CX56" s="79" t="str">
        <f t="shared" si="39"/>
        <v/>
      </c>
    </row>
    <row r="57" spans="1:102" x14ac:dyDescent="0.2">
      <c r="A57" s="68" t="s">
        <v>8</v>
      </c>
      <c r="B57" s="16"/>
      <c r="C57" s="79">
        <f t="shared" ref="C57:AH57" si="40">IF(ISNUMBER(outYear),+C56*federal_tax_rate/100,"")</f>
        <v>-60862.606099999975</v>
      </c>
      <c r="D57" s="79">
        <f t="shared" si="40"/>
        <v>-56276.574648000002</v>
      </c>
      <c r="E57" s="79">
        <f t="shared" si="40"/>
        <v>-34462.067542559998</v>
      </c>
      <c r="F57" s="79">
        <f t="shared" si="40"/>
        <v>-21387.285734371198</v>
      </c>
      <c r="G57" s="79">
        <f t="shared" si="40"/>
        <v>-21421.773644514626</v>
      </c>
      <c r="H57" s="79">
        <f t="shared" si="40"/>
        <v>-11625.506199260915</v>
      </c>
      <c r="I57" s="79">
        <f t="shared" si="40"/>
        <v>-1829.9423073741352</v>
      </c>
      <c r="J57" s="79">
        <f t="shared" si="40"/>
        <v>-1866.5411535216176</v>
      </c>
      <c r="K57" s="79">
        <f t="shared" si="40"/>
        <v>-1903.8719765920498</v>
      </c>
      <c r="L57" s="79">
        <f t="shared" si="40"/>
        <v>-35105.768195393015</v>
      </c>
      <c r="M57" s="79">
        <f t="shared" si="40"/>
        <v>-1980.788404446369</v>
      </c>
      <c r="N57" s="79">
        <f t="shared" si="40"/>
        <v>-2020.4041725352959</v>
      </c>
      <c r="O57" s="79">
        <f t="shared" si="40"/>
        <v>-2060.8122559860021</v>
      </c>
      <c r="P57" s="79">
        <f t="shared" si="40"/>
        <v>-2102.0285011057222</v>
      </c>
      <c r="Q57" s="79">
        <f t="shared" si="40"/>
        <v>-2144.0690711278362</v>
      </c>
      <c r="R57" s="79">
        <f t="shared" si="40"/>
        <v>-2186.9504525503926</v>
      </c>
      <c r="S57" s="79">
        <f t="shared" si="40"/>
        <v>-2230.689461601401</v>
      </c>
      <c r="T57" s="79">
        <f t="shared" si="40"/>
        <v>-2275.3032508334295</v>
      </c>
      <c r="U57" s="79">
        <f t="shared" si="40"/>
        <v>-2320.8093158500974</v>
      </c>
      <c r="V57" s="79">
        <f t="shared" si="40"/>
        <v>-2367.2255021670994</v>
      </c>
      <c r="W57" s="79">
        <f t="shared" si="40"/>
        <v>-2414.5700122104417</v>
      </c>
      <c r="X57" s="79">
        <f t="shared" si="40"/>
        <v>-2462.8614124546502</v>
      </c>
      <c r="Y57" s="79">
        <f t="shared" si="40"/>
        <v>-2512.1186407037435</v>
      </c>
      <c r="Z57" s="79">
        <f t="shared" si="40"/>
        <v>-2562.3610135178178</v>
      </c>
      <c r="AA57" s="79">
        <f t="shared" si="40"/>
        <v>-2613.6082337881744</v>
      </c>
      <c r="AB57" s="79" t="str">
        <f t="shared" si="40"/>
        <v/>
      </c>
      <c r="AC57" s="79" t="str">
        <f t="shared" si="40"/>
        <v/>
      </c>
      <c r="AD57" s="79" t="str">
        <f t="shared" si="40"/>
        <v/>
      </c>
      <c r="AE57" s="79" t="str">
        <f t="shared" si="40"/>
        <v/>
      </c>
      <c r="AF57" s="79" t="str">
        <f t="shared" si="40"/>
        <v/>
      </c>
      <c r="AG57" s="79" t="str">
        <f t="shared" si="40"/>
        <v/>
      </c>
      <c r="AH57" s="79" t="str">
        <f t="shared" si="40"/>
        <v/>
      </c>
      <c r="AI57" s="79" t="str">
        <f t="shared" ref="AI57:BN57" si="41">IF(ISNUMBER(outYear),+AI56*federal_tax_rate/100,"")</f>
        <v/>
      </c>
      <c r="AJ57" s="79" t="str">
        <f t="shared" si="41"/>
        <v/>
      </c>
      <c r="AK57" s="79" t="str">
        <f t="shared" si="41"/>
        <v/>
      </c>
      <c r="AL57" s="79" t="str">
        <f t="shared" si="41"/>
        <v/>
      </c>
      <c r="AM57" s="79" t="str">
        <f t="shared" si="41"/>
        <v/>
      </c>
      <c r="AN57" s="79" t="str">
        <f t="shared" si="41"/>
        <v/>
      </c>
      <c r="AO57" s="79" t="str">
        <f t="shared" si="41"/>
        <v/>
      </c>
      <c r="AP57" s="79" t="str">
        <f t="shared" si="41"/>
        <v/>
      </c>
      <c r="AQ57" s="79" t="str">
        <f t="shared" si="41"/>
        <v/>
      </c>
      <c r="AR57" s="79" t="str">
        <f t="shared" si="41"/>
        <v/>
      </c>
      <c r="AS57" s="79" t="str">
        <f t="shared" si="41"/>
        <v/>
      </c>
      <c r="AT57" s="79" t="str">
        <f t="shared" si="41"/>
        <v/>
      </c>
      <c r="AU57" s="79" t="str">
        <f t="shared" si="41"/>
        <v/>
      </c>
      <c r="AV57" s="79" t="str">
        <f t="shared" si="41"/>
        <v/>
      </c>
      <c r="AW57" s="79" t="str">
        <f t="shared" si="41"/>
        <v/>
      </c>
      <c r="AX57" s="79" t="str">
        <f t="shared" si="41"/>
        <v/>
      </c>
      <c r="AY57" s="79" t="str">
        <f t="shared" si="41"/>
        <v/>
      </c>
      <c r="AZ57" s="79" t="str">
        <f t="shared" si="41"/>
        <v/>
      </c>
      <c r="BA57" s="79" t="str">
        <f t="shared" si="41"/>
        <v/>
      </c>
      <c r="BB57" s="79" t="str">
        <f t="shared" si="41"/>
        <v/>
      </c>
      <c r="BC57" s="79" t="str">
        <f t="shared" si="41"/>
        <v/>
      </c>
      <c r="BD57" s="79" t="str">
        <f t="shared" si="41"/>
        <v/>
      </c>
      <c r="BE57" s="79" t="str">
        <f t="shared" si="41"/>
        <v/>
      </c>
      <c r="BF57" s="79" t="str">
        <f t="shared" si="41"/>
        <v/>
      </c>
      <c r="BG57" s="79" t="str">
        <f t="shared" si="41"/>
        <v/>
      </c>
      <c r="BH57" s="79" t="str">
        <f t="shared" si="41"/>
        <v/>
      </c>
      <c r="BI57" s="79" t="str">
        <f t="shared" si="41"/>
        <v/>
      </c>
      <c r="BJ57" s="79" t="str">
        <f t="shared" si="41"/>
        <v/>
      </c>
      <c r="BK57" s="79" t="str">
        <f t="shared" si="41"/>
        <v/>
      </c>
      <c r="BL57" s="79" t="str">
        <f t="shared" si="41"/>
        <v/>
      </c>
      <c r="BM57" s="79" t="str">
        <f t="shared" si="41"/>
        <v/>
      </c>
      <c r="BN57" s="79" t="str">
        <f t="shared" si="41"/>
        <v/>
      </c>
      <c r="BO57" s="79" t="str">
        <f t="shared" ref="BO57:CT57" si="42">IF(ISNUMBER(outYear),+BO56*federal_tax_rate/100,"")</f>
        <v/>
      </c>
      <c r="BP57" s="79" t="str">
        <f t="shared" si="42"/>
        <v/>
      </c>
      <c r="BQ57" s="79" t="str">
        <f t="shared" si="42"/>
        <v/>
      </c>
      <c r="BR57" s="79" t="str">
        <f t="shared" si="42"/>
        <v/>
      </c>
      <c r="BS57" s="79" t="str">
        <f t="shared" si="42"/>
        <v/>
      </c>
      <c r="BT57" s="79" t="str">
        <f t="shared" si="42"/>
        <v/>
      </c>
      <c r="BU57" s="79" t="str">
        <f t="shared" si="42"/>
        <v/>
      </c>
      <c r="BV57" s="79" t="str">
        <f t="shared" si="42"/>
        <v/>
      </c>
      <c r="BW57" s="79" t="str">
        <f t="shared" si="42"/>
        <v/>
      </c>
      <c r="BX57" s="79" t="str">
        <f t="shared" si="42"/>
        <v/>
      </c>
      <c r="BY57" s="79" t="str">
        <f t="shared" si="42"/>
        <v/>
      </c>
      <c r="BZ57" s="79" t="str">
        <f t="shared" si="42"/>
        <v/>
      </c>
      <c r="CA57" s="79" t="str">
        <f t="shared" si="42"/>
        <v/>
      </c>
      <c r="CB57" s="79" t="str">
        <f t="shared" si="42"/>
        <v/>
      </c>
      <c r="CC57" s="79" t="str">
        <f t="shared" si="42"/>
        <v/>
      </c>
      <c r="CD57" s="79" t="str">
        <f t="shared" si="42"/>
        <v/>
      </c>
      <c r="CE57" s="79" t="str">
        <f t="shared" si="42"/>
        <v/>
      </c>
      <c r="CF57" s="79" t="str">
        <f t="shared" si="42"/>
        <v/>
      </c>
      <c r="CG57" s="79" t="str">
        <f t="shared" si="42"/>
        <v/>
      </c>
      <c r="CH57" s="79" t="str">
        <f t="shared" si="42"/>
        <v/>
      </c>
      <c r="CI57" s="79" t="str">
        <f t="shared" si="42"/>
        <v/>
      </c>
      <c r="CJ57" s="79" t="str">
        <f t="shared" si="42"/>
        <v/>
      </c>
      <c r="CK57" s="79" t="str">
        <f t="shared" si="42"/>
        <v/>
      </c>
      <c r="CL57" s="79" t="str">
        <f t="shared" si="42"/>
        <v/>
      </c>
      <c r="CM57" s="79" t="str">
        <f t="shared" si="42"/>
        <v/>
      </c>
      <c r="CN57" s="79" t="str">
        <f t="shared" si="42"/>
        <v/>
      </c>
      <c r="CO57" s="79" t="str">
        <f t="shared" si="42"/>
        <v/>
      </c>
      <c r="CP57" s="79" t="str">
        <f t="shared" si="42"/>
        <v/>
      </c>
      <c r="CQ57" s="79" t="str">
        <f t="shared" si="42"/>
        <v/>
      </c>
      <c r="CR57" s="79" t="str">
        <f t="shared" si="42"/>
        <v/>
      </c>
      <c r="CS57" s="79" t="str">
        <f t="shared" si="42"/>
        <v/>
      </c>
      <c r="CT57" s="79" t="str">
        <f t="shared" si="42"/>
        <v/>
      </c>
      <c r="CU57" s="79" t="str">
        <f t="shared" ref="CU57:CX57" si="43">IF(ISNUMBER(outYear),+CU56*federal_tax_rate/100,"")</f>
        <v/>
      </c>
      <c r="CV57" s="79" t="str">
        <f t="shared" si="43"/>
        <v/>
      </c>
      <c r="CW57" s="79" t="str">
        <f t="shared" si="43"/>
        <v/>
      </c>
      <c r="CX57" s="79" t="str">
        <f t="shared" si="43"/>
        <v/>
      </c>
    </row>
    <row r="58" spans="1:102" x14ac:dyDescent="0.2">
      <c r="A58" s="60" t="s">
        <v>87</v>
      </c>
      <c r="B58" s="79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>542718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</row>
    <row r="59" spans="1:102" x14ac:dyDescent="0.2">
      <c r="A59" s="60" t="s">
        <v>88</v>
      </c>
      <c r="B59" s="16"/>
      <c r="C59" s="79">
        <f>IF(ISNUMBER(outYear),MIN(itc_fed_percent/100*$B$58,itc_fed_percent_maxvalue),"")</f>
        <v>162815.4</v>
      </c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</row>
    <row r="60" spans="1:102" x14ac:dyDescent="0.2">
      <c r="A60" s="70" t="s">
        <v>41</v>
      </c>
      <c r="B60" s="69"/>
      <c r="C60" s="80">
        <f>-C57+C59</f>
        <v>223678.00609999997</v>
      </c>
      <c r="D60" s="80">
        <f t="shared" ref="D60:AA60" si="44">-D57+D59</f>
        <v>56276.574648000002</v>
      </c>
      <c r="E60" s="80">
        <f t="shared" si="44"/>
        <v>34462.067542559998</v>
      </c>
      <c r="F60" s="80">
        <f t="shared" si="44"/>
        <v>21387.285734371198</v>
      </c>
      <c r="G60" s="80">
        <f t="shared" si="44"/>
        <v>21421.773644514626</v>
      </c>
      <c r="H60" s="80">
        <f t="shared" si="44"/>
        <v>11625.506199260915</v>
      </c>
      <c r="I60" s="80">
        <f t="shared" si="44"/>
        <v>1829.9423073741352</v>
      </c>
      <c r="J60" s="80">
        <f t="shared" si="44"/>
        <v>1866.5411535216176</v>
      </c>
      <c r="K60" s="80">
        <f t="shared" si="44"/>
        <v>1903.8719765920498</v>
      </c>
      <c r="L60" s="80">
        <f t="shared" si="44"/>
        <v>35105.768195393015</v>
      </c>
      <c r="M60" s="80">
        <f t="shared" si="44"/>
        <v>1980.788404446369</v>
      </c>
      <c r="N60" s="80">
        <f t="shared" si="44"/>
        <v>2020.4041725352959</v>
      </c>
      <c r="O60" s="80">
        <f t="shared" si="44"/>
        <v>2060.8122559860021</v>
      </c>
      <c r="P60" s="80">
        <f t="shared" si="44"/>
        <v>2102.0285011057222</v>
      </c>
      <c r="Q60" s="80">
        <f t="shared" si="44"/>
        <v>2144.0690711278362</v>
      </c>
      <c r="R60" s="80">
        <f t="shared" si="44"/>
        <v>2186.9504525503926</v>
      </c>
      <c r="S60" s="80">
        <f t="shared" si="44"/>
        <v>2230.689461601401</v>
      </c>
      <c r="T60" s="80">
        <f t="shared" si="44"/>
        <v>2275.3032508334295</v>
      </c>
      <c r="U60" s="80">
        <f t="shared" si="44"/>
        <v>2320.8093158500974</v>
      </c>
      <c r="V60" s="80">
        <f t="shared" si="44"/>
        <v>2367.2255021670994</v>
      </c>
      <c r="W60" s="80">
        <f t="shared" si="44"/>
        <v>2414.5700122104417</v>
      </c>
      <c r="X60" s="80">
        <f t="shared" si="44"/>
        <v>2462.8614124546502</v>
      </c>
      <c r="Y60" s="80">
        <f t="shared" si="44"/>
        <v>2512.1186407037435</v>
      </c>
      <c r="Z60" s="80">
        <f t="shared" si="44"/>
        <v>2562.3610135178178</v>
      </c>
      <c r="AA60" s="80">
        <f t="shared" si="44"/>
        <v>2613.6082337881744</v>
      </c>
      <c r="AB60" s="80" t="str">
        <f>IF(ISNUMBER(outYear),-AB57+#REF!,"")</f>
        <v/>
      </c>
      <c r="AC60" s="80" t="str">
        <f>IF(ISNUMBER(outYear),-AC57+#REF!,"")</f>
        <v/>
      </c>
      <c r="AD60" s="80" t="str">
        <f>IF(ISNUMBER(outYear),-AD57+#REF!,"")</f>
        <v/>
      </c>
      <c r="AE60" s="80" t="str">
        <f>IF(ISNUMBER(outYear),-AE57+#REF!,"")</f>
        <v/>
      </c>
      <c r="AF60" s="80" t="str">
        <f>IF(ISNUMBER(outYear),-AF57+#REF!,"")</f>
        <v/>
      </c>
      <c r="AG60" s="80" t="str">
        <f>IF(ISNUMBER(outYear),-AG57+#REF!,"")</f>
        <v/>
      </c>
      <c r="AH60" s="80" t="str">
        <f>IF(ISNUMBER(outYear),-AH57+#REF!,"")</f>
        <v/>
      </c>
      <c r="AI60" s="80" t="str">
        <f>IF(ISNUMBER(outYear),-AI57+#REF!,"")</f>
        <v/>
      </c>
      <c r="AJ60" s="80" t="str">
        <f>IF(ISNUMBER(outYear),-AJ57+#REF!,"")</f>
        <v/>
      </c>
      <c r="AK60" s="80" t="str">
        <f>IF(ISNUMBER(outYear),-AK57+#REF!,"")</f>
        <v/>
      </c>
      <c r="AL60" s="80" t="str">
        <f>IF(ISNUMBER(outYear),-AL57+#REF!,"")</f>
        <v/>
      </c>
      <c r="AM60" s="80" t="str">
        <f>IF(ISNUMBER(outYear),-AM57+#REF!,"")</f>
        <v/>
      </c>
      <c r="AN60" s="80" t="str">
        <f>IF(ISNUMBER(outYear),-AN57+#REF!,"")</f>
        <v/>
      </c>
      <c r="AO60" s="80" t="str">
        <f>IF(ISNUMBER(outYear),-AO57+#REF!,"")</f>
        <v/>
      </c>
      <c r="AP60" s="80" t="str">
        <f>IF(ISNUMBER(outYear),-AP57+#REF!,"")</f>
        <v/>
      </c>
      <c r="AQ60" s="80" t="str">
        <f>IF(ISNUMBER(outYear),-AQ57+#REF!,"")</f>
        <v/>
      </c>
      <c r="AR60" s="80" t="str">
        <f>IF(ISNUMBER(outYear),-AR57+#REF!,"")</f>
        <v/>
      </c>
      <c r="AS60" s="80" t="str">
        <f>IF(ISNUMBER(outYear),-AS57+#REF!,"")</f>
        <v/>
      </c>
      <c r="AT60" s="80" t="str">
        <f>IF(ISNUMBER(outYear),-AT57+#REF!,"")</f>
        <v/>
      </c>
      <c r="AU60" s="80" t="str">
        <f>IF(ISNUMBER(outYear),-AU57+#REF!,"")</f>
        <v/>
      </c>
      <c r="AV60" s="80" t="str">
        <f>IF(ISNUMBER(outYear),-AV57+#REF!,"")</f>
        <v/>
      </c>
      <c r="AW60" s="80" t="str">
        <f>IF(ISNUMBER(outYear),-AW57+#REF!,"")</f>
        <v/>
      </c>
      <c r="AX60" s="80" t="str">
        <f>IF(ISNUMBER(outYear),-AX57+#REF!,"")</f>
        <v/>
      </c>
      <c r="AY60" s="80" t="str">
        <f>IF(ISNUMBER(outYear),-AY57+#REF!,"")</f>
        <v/>
      </c>
      <c r="AZ60" s="80" t="str">
        <f>IF(ISNUMBER(outYear),-AZ57+#REF!,"")</f>
        <v/>
      </c>
      <c r="BA60" s="80" t="str">
        <f>IF(ISNUMBER(outYear),-BA57+#REF!,"")</f>
        <v/>
      </c>
      <c r="BB60" s="80" t="str">
        <f>IF(ISNUMBER(outYear),-BB57+#REF!,"")</f>
        <v/>
      </c>
      <c r="BC60" s="80" t="str">
        <f>IF(ISNUMBER(outYear),-BC57+#REF!,"")</f>
        <v/>
      </c>
      <c r="BD60" s="80" t="str">
        <f>IF(ISNUMBER(outYear),-BD57+#REF!,"")</f>
        <v/>
      </c>
      <c r="BE60" s="80" t="str">
        <f>IF(ISNUMBER(outYear),-BE57+#REF!,"")</f>
        <v/>
      </c>
      <c r="BF60" s="80" t="str">
        <f>IF(ISNUMBER(outYear),-BF57+#REF!,"")</f>
        <v/>
      </c>
      <c r="BG60" s="80" t="str">
        <f>IF(ISNUMBER(outYear),-BG57+#REF!,"")</f>
        <v/>
      </c>
      <c r="BH60" s="80" t="str">
        <f>IF(ISNUMBER(outYear),-BH57+#REF!,"")</f>
        <v/>
      </c>
      <c r="BI60" s="80" t="str">
        <f>IF(ISNUMBER(outYear),-BI57+#REF!,"")</f>
        <v/>
      </c>
      <c r="BJ60" s="80" t="str">
        <f>IF(ISNUMBER(outYear),-BJ57+#REF!,"")</f>
        <v/>
      </c>
      <c r="BK60" s="80" t="str">
        <f>IF(ISNUMBER(outYear),-BK57+#REF!,"")</f>
        <v/>
      </c>
      <c r="BL60" s="80" t="str">
        <f>IF(ISNUMBER(outYear),-BL57+#REF!,"")</f>
        <v/>
      </c>
      <c r="BM60" s="80" t="str">
        <f>IF(ISNUMBER(outYear),-BM57+#REF!,"")</f>
        <v/>
      </c>
      <c r="BN60" s="80" t="str">
        <f>IF(ISNUMBER(outYear),-BN57+#REF!,"")</f>
        <v/>
      </c>
      <c r="BO60" s="80" t="str">
        <f>IF(ISNUMBER(outYear),-BO57+#REF!,"")</f>
        <v/>
      </c>
      <c r="BP60" s="80" t="str">
        <f>IF(ISNUMBER(outYear),-BP57+#REF!,"")</f>
        <v/>
      </c>
      <c r="BQ60" s="80" t="str">
        <f>IF(ISNUMBER(outYear),-BQ57+#REF!,"")</f>
        <v/>
      </c>
      <c r="BR60" s="80" t="str">
        <f>IF(ISNUMBER(outYear),-BR57+#REF!,"")</f>
        <v/>
      </c>
      <c r="BS60" s="80" t="str">
        <f>IF(ISNUMBER(outYear),-BS57+#REF!,"")</f>
        <v/>
      </c>
      <c r="BT60" s="80" t="str">
        <f>IF(ISNUMBER(outYear),-BT57+#REF!,"")</f>
        <v/>
      </c>
      <c r="BU60" s="80" t="str">
        <f>IF(ISNUMBER(outYear),-BU57+#REF!,"")</f>
        <v/>
      </c>
      <c r="BV60" s="80" t="str">
        <f>IF(ISNUMBER(outYear),-BV57+#REF!,"")</f>
        <v/>
      </c>
      <c r="BW60" s="80" t="str">
        <f>IF(ISNUMBER(outYear),-BW57+#REF!,"")</f>
        <v/>
      </c>
      <c r="BX60" s="80" t="str">
        <f>IF(ISNUMBER(outYear),-BX57+#REF!,"")</f>
        <v/>
      </c>
      <c r="BY60" s="80" t="str">
        <f>IF(ISNUMBER(outYear),-BY57+#REF!,"")</f>
        <v/>
      </c>
      <c r="BZ60" s="80" t="str">
        <f>IF(ISNUMBER(outYear),-BZ57+#REF!,"")</f>
        <v/>
      </c>
      <c r="CA60" s="80" t="str">
        <f>IF(ISNUMBER(outYear),-CA57+#REF!,"")</f>
        <v/>
      </c>
      <c r="CB60" s="80" t="str">
        <f>IF(ISNUMBER(outYear),-CB57+#REF!,"")</f>
        <v/>
      </c>
      <c r="CC60" s="80" t="str">
        <f>IF(ISNUMBER(outYear),-CC57+#REF!,"")</f>
        <v/>
      </c>
      <c r="CD60" s="80" t="str">
        <f>IF(ISNUMBER(outYear),-CD57+#REF!,"")</f>
        <v/>
      </c>
      <c r="CE60" s="80" t="str">
        <f>IF(ISNUMBER(outYear),-CE57+#REF!,"")</f>
        <v/>
      </c>
      <c r="CF60" s="80" t="str">
        <f>IF(ISNUMBER(outYear),-CF57+#REF!,"")</f>
        <v/>
      </c>
      <c r="CG60" s="80" t="str">
        <f>IF(ISNUMBER(outYear),-CG57+#REF!,"")</f>
        <v/>
      </c>
      <c r="CH60" s="80" t="str">
        <f>IF(ISNUMBER(outYear),-CH57+#REF!,"")</f>
        <v/>
      </c>
      <c r="CI60" s="80" t="str">
        <f>IF(ISNUMBER(outYear),-CI57+#REF!,"")</f>
        <v/>
      </c>
      <c r="CJ60" s="80" t="str">
        <f>IF(ISNUMBER(outYear),-CJ57+#REF!,"")</f>
        <v/>
      </c>
      <c r="CK60" s="80" t="str">
        <f>IF(ISNUMBER(outYear),-CK57+#REF!,"")</f>
        <v/>
      </c>
      <c r="CL60" s="80" t="str">
        <f>IF(ISNUMBER(outYear),-CL57+#REF!,"")</f>
        <v/>
      </c>
      <c r="CM60" s="80" t="str">
        <f>IF(ISNUMBER(outYear),-CM57+#REF!,"")</f>
        <v/>
      </c>
      <c r="CN60" s="80" t="str">
        <f>IF(ISNUMBER(outYear),-CN57+#REF!,"")</f>
        <v/>
      </c>
      <c r="CO60" s="80" t="str">
        <f>IF(ISNUMBER(outYear),-CO57+#REF!,"")</f>
        <v/>
      </c>
      <c r="CP60" s="80" t="str">
        <f>IF(ISNUMBER(outYear),-CP57+#REF!,"")</f>
        <v/>
      </c>
      <c r="CQ60" s="80" t="str">
        <f>IF(ISNUMBER(outYear),-CQ57+#REF!,"")</f>
        <v/>
      </c>
      <c r="CR60" s="80" t="str">
        <f>IF(ISNUMBER(outYear),-CR57+#REF!,"")</f>
        <v/>
      </c>
      <c r="CS60" s="80" t="str">
        <f>IF(ISNUMBER(outYear),-CS57+#REF!,"")</f>
        <v/>
      </c>
      <c r="CT60" s="80" t="str">
        <f>IF(ISNUMBER(outYear),-CT57+#REF!,"")</f>
        <v/>
      </c>
      <c r="CU60" s="80" t="str">
        <f>IF(ISNUMBER(outYear),-CU57+#REF!,"")</f>
        <v/>
      </c>
      <c r="CV60" s="80" t="str">
        <f>IF(ISNUMBER(outYear),-CV57+#REF!,"")</f>
        <v/>
      </c>
      <c r="CW60" s="80" t="str">
        <f>IF(ISNUMBER(outYear),-CW57+#REF!,"")</f>
        <v/>
      </c>
      <c r="CX60" s="80" t="str">
        <f>IF(ISNUMBER(outYear),-CX57+#REF!,"")</f>
        <v/>
      </c>
    </row>
    <row r="61" spans="1:102" x14ac:dyDescent="0.2">
      <c r="A61" s="60"/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</row>
    <row r="62" spans="1:102" x14ac:dyDescent="0.2">
      <c r="A62" s="68"/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</row>
    <row r="63" spans="1:102" x14ac:dyDescent="0.2">
      <c r="A63" s="59" t="s">
        <v>44</v>
      </c>
      <c r="B63" s="79">
        <f>B23+B37+B42-total_installed_cost</f>
        <v>-379902.6</v>
      </c>
      <c r="C63" s="79">
        <f t="shared" ref="C63:AH63" si="45">IF(ISNUMBER(outYear),(C31+C45+C60),"")</f>
        <v>219286.28609999997</v>
      </c>
      <c r="D63" s="79">
        <f t="shared" si="45"/>
        <v>51797.020248000001</v>
      </c>
      <c r="E63" s="79">
        <f t="shared" si="45"/>
        <v>29892.922054559996</v>
      </c>
      <c r="F63" s="79">
        <f t="shared" si="45"/>
        <v>16726.757336611197</v>
      </c>
      <c r="G63" s="79">
        <f t="shared" si="45"/>
        <v>16668.034678799428</v>
      </c>
      <c r="H63" s="79">
        <f t="shared" si="45"/>
        <v>6776.6924542314109</v>
      </c>
      <c r="I63" s="79">
        <f t="shared" si="45"/>
        <v>-3115.8477125559593</v>
      </c>
      <c r="J63" s="79">
        <f t="shared" si="45"/>
        <v>-3178.1646668070784</v>
      </c>
      <c r="K63" s="79">
        <f t="shared" si="45"/>
        <v>-3241.7279601432201</v>
      </c>
      <c r="L63" s="79">
        <f t="shared" si="45"/>
        <v>-59774.686386750269</v>
      </c>
      <c r="M63" s="79">
        <f t="shared" si="45"/>
        <v>-3372.6937697330068</v>
      </c>
      <c r="N63" s="79">
        <f t="shared" si="45"/>
        <v>-3440.1476451276662</v>
      </c>
      <c r="O63" s="79">
        <f t="shared" si="45"/>
        <v>-3508.9505980302192</v>
      </c>
      <c r="P63" s="79">
        <f t="shared" si="45"/>
        <v>-3579.1296099908241</v>
      </c>
      <c r="Q63" s="79">
        <f t="shared" si="45"/>
        <v>-3650.7122021906403</v>
      </c>
      <c r="R63" s="79">
        <f t="shared" si="45"/>
        <v>-3723.7264462344519</v>
      </c>
      <c r="S63" s="79">
        <f t="shared" si="45"/>
        <v>-3798.2009751591418</v>
      </c>
      <c r="T63" s="79">
        <f t="shared" si="45"/>
        <v>-3874.1649946623252</v>
      </c>
      <c r="U63" s="79">
        <f t="shared" si="45"/>
        <v>-3951.6482945555713</v>
      </c>
      <c r="V63" s="79">
        <f t="shared" si="45"/>
        <v>-4030.6812604466827</v>
      </c>
      <c r="W63" s="79">
        <f t="shared" si="45"/>
        <v>-4111.2948856556168</v>
      </c>
      <c r="X63" s="79">
        <f t="shared" si="45"/>
        <v>-4193.5207833687291</v>
      </c>
      <c r="Y63" s="79">
        <f t="shared" si="45"/>
        <v>-4277.391199036103</v>
      </c>
      <c r="Z63" s="79">
        <f t="shared" si="45"/>
        <v>-4362.9390230168246</v>
      </c>
      <c r="AA63" s="79">
        <f t="shared" si="45"/>
        <v>-4450.1978034771619</v>
      </c>
      <c r="AB63" s="79" t="str">
        <f t="shared" si="45"/>
        <v/>
      </c>
      <c r="AC63" s="79" t="str">
        <f t="shared" si="45"/>
        <v/>
      </c>
      <c r="AD63" s="79" t="str">
        <f t="shared" si="45"/>
        <v/>
      </c>
      <c r="AE63" s="79" t="str">
        <f t="shared" si="45"/>
        <v/>
      </c>
      <c r="AF63" s="79" t="str">
        <f t="shared" si="45"/>
        <v/>
      </c>
      <c r="AG63" s="79" t="str">
        <f t="shared" si="45"/>
        <v/>
      </c>
      <c r="AH63" s="79" t="str">
        <f t="shared" si="45"/>
        <v/>
      </c>
      <c r="AI63" s="79" t="str">
        <f t="shared" ref="AI63:BN63" si="46">IF(ISNUMBER(outYear),(AI31+AI45+AI60),"")</f>
        <v/>
      </c>
      <c r="AJ63" s="79" t="str">
        <f t="shared" si="46"/>
        <v/>
      </c>
      <c r="AK63" s="79" t="str">
        <f t="shared" si="46"/>
        <v/>
      </c>
      <c r="AL63" s="79" t="str">
        <f t="shared" si="46"/>
        <v/>
      </c>
      <c r="AM63" s="79" t="str">
        <f t="shared" si="46"/>
        <v/>
      </c>
      <c r="AN63" s="79" t="str">
        <f t="shared" si="46"/>
        <v/>
      </c>
      <c r="AO63" s="79" t="str">
        <f t="shared" si="46"/>
        <v/>
      </c>
      <c r="AP63" s="79" t="str">
        <f t="shared" si="46"/>
        <v/>
      </c>
      <c r="AQ63" s="79" t="str">
        <f t="shared" si="46"/>
        <v/>
      </c>
      <c r="AR63" s="79" t="str">
        <f t="shared" si="46"/>
        <v/>
      </c>
      <c r="AS63" s="79" t="str">
        <f t="shared" si="46"/>
        <v/>
      </c>
      <c r="AT63" s="79" t="str">
        <f t="shared" si="46"/>
        <v/>
      </c>
      <c r="AU63" s="79" t="str">
        <f t="shared" si="46"/>
        <v/>
      </c>
      <c r="AV63" s="79" t="str">
        <f t="shared" si="46"/>
        <v/>
      </c>
      <c r="AW63" s="79" t="str">
        <f t="shared" si="46"/>
        <v/>
      </c>
      <c r="AX63" s="79" t="str">
        <f t="shared" si="46"/>
        <v/>
      </c>
      <c r="AY63" s="79" t="str">
        <f t="shared" si="46"/>
        <v/>
      </c>
      <c r="AZ63" s="79" t="str">
        <f t="shared" si="46"/>
        <v/>
      </c>
      <c r="BA63" s="79" t="str">
        <f t="shared" si="46"/>
        <v/>
      </c>
      <c r="BB63" s="79" t="str">
        <f t="shared" si="46"/>
        <v/>
      </c>
      <c r="BC63" s="79" t="str">
        <f t="shared" si="46"/>
        <v/>
      </c>
      <c r="BD63" s="79" t="str">
        <f t="shared" si="46"/>
        <v/>
      </c>
      <c r="BE63" s="79" t="str">
        <f t="shared" si="46"/>
        <v/>
      </c>
      <c r="BF63" s="79" t="str">
        <f t="shared" si="46"/>
        <v/>
      </c>
      <c r="BG63" s="79" t="str">
        <f t="shared" si="46"/>
        <v/>
      </c>
      <c r="BH63" s="79" t="str">
        <f t="shared" si="46"/>
        <v/>
      </c>
      <c r="BI63" s="79" t="str">
        <f t="shared" si="46"/>
        <v/>
      </c>
      <c r="BJ63" s="79" t="str">
        <f t="shared" si="46"/>
        <v/>
      </c>
      <c r="BK63" s="79" t="str">
        <f t="shared" si="46"/>
        <v/>
      </c>
      <c r="BL63" s="79" t="str">
        <f t="shared" si="46"/>
        <v/>
      </c>
      <c r="BM63" s="79" t="str">
        <f t="shared" si="46"/>
        <v/>
      </c>
      <c r="BN63" s="79" t="str">
        <f t="shared" si="46"/>
        <v/>
      </c>
      <c r="BO63" s="79" t="str">
        <f t="shared" ref="BO63:CX63" si="47">IF(ISNUMBER(outYear),(BO31+BO45+BO60),"")</f>
        <v/>
      </c>
      <c r="BP63" s="79" t="str">
        <f t="shared" si="47"/>
        <v/>
      </c>
      <c r="BQ63" s="79" t="str">
        <f t="shared" si="47"/>
        <v/>
      </c>
      <c r="BR63" s="79" t="str">
        <f t="shared" si="47"/>
        <v/>
      </c>
      <c r="BS63" s="79" t="str">
        <f t="shared" si="47"/>
        <v/>
      </c>
      <c r="BT63" s="79" t="str">
        <f t="shared" si="47"/>
        <v/>
      </c>
      <c r="BU63" s="79" t="str">
        <f t="shared" si="47"/>
        <v/>
      </c>
      <c r="BV63" s="79" t="str">
        <f t="shared" si="47"/>
        <v/>
      </c>
      <c r="BW63" s="79" t="str">
        <f t="shared" si="47"/>
        <v/>
      </c>
      <c r="BX63" s="79" t="str">
        <f t="shared" si="47"/>
        <v/>
      </c>
      <c r="BY63" s="79" t="str">
        <f t="shared" si="47"/>
        <v/>
      </c>
      <c r="BZ63" s="79" t="str">
        <f t="shared" si="47"/>
        <v/>
      </c>
      <c r="CA63" s="79" t="str">
        <f t="shared" si="47"/>
        <v/>
      </c>
      <c r="CB63" s="79" t="str">
        <f t="shared" si="47"/>
        <v/>
      </c>
      <c r="CC63" s="79" t="str">
        <f t="shared" si="47"/>
        <v/>
      </c>
      <c r="CD63" s="79" t="str">
        <f t="shared" si="47"/>
        <v/>
      </c>
      <c r="CE63" s="79" t="str">
        <f t="shared" si="47"/>
        <v/>
      </c>
      <c r="CF63" s="79" t="str">
        <f t="shared" si="47"/>
        <v/>
      </c>
      <c r="CG63" s="79" t="str">
        <f t="shared" si="47"/>
        <v/>
      </c>
      <c r="CH63" s="79" t="str">
        <f t="shared" si="47"/>
        <v/>
      </c>
      <c r="CI63" s="79" t="str">
        <f t="shared" si="47"/>
        <v/>
      </c>
      <c r="CJ63" s="79" t="str">
        <f t="shared" si="47"/>
        <v/>
      </c>
      <c r="CK63" s="79" t="str">
        <f t="shared" si="47"/>
        <v/>
      </c>
      <c r="CL63" s="79" t="str">
        <f t="shared" si="47"/>
        <v/>
      </c>
      <c r="CM63" s="79" t="str">
        <f t="shared" si="47"/>
        <v/>
      </c>
      <c r="CN63" s="79" t="str">
        <f t="shared" si="47"/>
        <v/>
      </c>
      <c r="CO63" s="79" t="str">
        <f t="shared" si="47"/>
        <v/>
      </c>
      <c r="CP63" s="79" t="str">
        <f t="shared" si="47"/>
        <v/>
      </c>
      <c r="CQ63" s="79" t="str">
        <f t="shared" si="47"/>
        <v/>
      </c>
      <c r="CR63" s="79" t="str">
        <f t="shared" si="47"/>
        <v/>
      </c>
      <c r="CS63" s="79" t="str">
        <f t="shared" si="47"/>
        <v/>
      </c>
      <c r="CT63" s="79" t="str">
        <f t="shared" si="47"/>
        <v/>
      </c>
      <c r="CU63" s="79" t="str">
        <f t="shared" si="47"/>
        <v/>
      </c>
      <c r="CV63" s="79" t="str">
        <f t="shared" si="47"/>
        <v/>
      </c>
      <c r="CW63" s="79" t="str">
        <f t="shared" si="47"/>
        <v/>
      </c>
      <c r="CX63" s="79" t="str">
        <f t="shared" si="47"/>
        <v/>
      </c>
    </row>
    <row r="64" spans="1:102" x14ac:dyDescent="0.2">
      <c r="A64" s="59" t="s">
        <v>89</v>
      </c>
      <c r="B64" s="81">
        <v>0</v>
      </c>
      <c r="C64" s="81">
        <f>IF(ISNUMBER(outYear),IF(FederalDepreciation="N/A",'Cash Flow'!C8,'Cash Flow'!C8*(1-federal_tax_rate/100)),"")</f>
        <v>33588.449999999997</v>
      </c>
      <c r="D64" s="81">
        <f>IF(ISNUMBER(outYear),IF(FederalDepreciation="N/A",'Cash Flow'!D8,'Cash Flow'!D8*(1-federal_tax_rate/100)),"")</f>
        <v>34226.482499999925</v>
      </c>
      <c r="E64" s="81">
        <f>IF(ISNUMBER(outYear),IF(FederalDepreciation="N/A",'Cash Flow'!E8,'Cash Flow'!E8*(1-federal_tax_rate/100)),"")</f>
        <v>34876.77297614995</v>
      </c>
      <c r="F64" s="81">
        <f>IF(ISNUMBER(outYear),IF(FederalDepreciation="N/A",'Cash Flow'!F8,'Cash Flow'!F8*(1-federal_tax_rate/100)),"")</f>
        <v>35539.559098132588</v>
      </c>
      <c r="G64" s="81">
        <f>IF(ISNUMBER(outYear),IF(FederalDepreciation="N/A",'Cash Flow'!G8,'Cash Flow'!G8*(1-federal_tax_rate/100)),"")</f>
        <v>36215.083177425528</v>
      </c>
      <c r="H64" s="81">
        <f>IF(ISNUMBER(outYear),IF(FederalDepreciation="N/A",'Cash Flow'!H8,'Cash Flow'!H8*(1-federal_tax_rate/100)),"")</f>
        <v>36903.592258474564</v>
      </c>
      <c r="I64" s="81">
        <f>IF(ISNUMBER(outYear),IF(FederalDepreciation="N/A",'Cash Flow'!I8,'Cash Flow'!I8*(1-federal_tax_rate/100)),"")</f>
        <v>37605.338211665367</v>
      </c>
      <c r="J64" s="81">
        <f>IF(ISNUMBER(outYear),IF(FederalDepreciation="N/A",'Cash Flow'!J8,'Cash Flow'!J8*(1-federal_tax_rate/100)),"")</f>
        <v>38320.577828129492</v>
      </c>
      <c r="K64" s="81">
        <f>IF(ISNUMBER(outYear),IF(FederalDepreciation="N/A",'Cash Flow'!K8,'Cash Flow'!K8*(1-federal_tax_rate/100)),"")</f>
        <v>39049.572916421101</v>
      </c>
      <c r="L64" s="81">
        <f>IF(ISNUMBER(outYear),IF(FederalDepreciation="N/A",'Cash Flow'!L8,'Cash Flow'!L8*(1-federal_tax_rate/100)),"")</f>
        <v>39792.590401101341</v>
      </c>
      <c r="M64" s="81">
        <f>IF(ISNUMBER(outYear),IF(FederalDepreciation="N/A",'Cash Flow'!M8,'Cash Flow'!M8*(1-federal_tax_rate/100)),"")</f>
        <v>40549.902423267806</v>
      </c>
      <c r="N64" s="81">
        <f>IF(ISNUMBER(outYear),IF(FederalDepreciation="N/A",'Cash Flow'!N8,'Cash Flow'!N8*(1-federal_tax_rate/100)),"")</f>
        <v>41321.786443068304</v>
      </c>
      <c r="O64" s="81">
        <f>IF(ISNUMBER(outYear),IF(FederalDepreciation="N/A",'Cash Flow'!O8,'Cash Flow'!O8*(1-federal_tax_rate/100)),"")</f>
        <v>42108.525344237816</v>
      </c>
      <c r="P64" s="81">
        <f>IF(ISNUMBER(outYear),IF(FederalDepreciation="N/A",'Cash Flow'!P8,'Cash Flow'!P8*(1-federal_tax_rate/100)),"")</f>
        <v>42910.407540698012</v>
      </c>
      <c r="Q64" s="81">
        <f>IF(ISNUMBER(outYear),IF(FederalDepreciation="N/A",'Cash Flow'!Q8,'Cash Flow'!Q8*(1-federal_tax_rate/100)),"")</f>
        <v>43727.727085262144</v>
      </c>
      <c r="R64" s="81">
        <f>IF(ISNUMBER(outYear),IF(FederalDepreciation="N/A",'Cash Flow'!R8,'Cash Flow'!R8*(1-federal_tax_rate/100)),"")</f>
        <v>44560.783780484519</v>
      </c>
      <c r="S64" s="81">
        <f>IF(ISNUMBER(outYear),IF(FederalDepreciation="N/A",'Cash Flow'!S8,'Cash Flow'!S8*(1-federal_tax_rate/100)),"")</f>
        <v>45409.883291698541</v>
      </c>
      <c r="T64" s="81">
        <f>IF(ISNUMBER(outYear),IF(FederalDepreciation="N/A",'Cash Flow'!T8,'Cash Flow'!T8*(1-federal_tax_rate/100)),"")</f>
        <v>46275.33726228743</v>
      </c>
      <c r="U64" s="81">
        <f>IF(ISNUMBER(outYear),IF(FederalDepreciation="N/A",'Cash Flow'!U8,'Cash Flow'!U8*(1-federal_tax_rate/100)),"")</f>
        <v>47157.463431228723</v>
      </c>
      <c r="V64" s="81">
        <f>IF(ISNUMBER(outYear),IF(FederalDepreciation="N/A",'Cash Flow'!V8,'Cash Flow'!V8*(1-federal_tax_rate/100)),"")</f>
        <v>48056.585752962055</v>
      </c>
      <c r="W64" s="81">
        <f>IF(ISNUMBER(outYear),IF(FederalDepreciation="N/A",'Cash Flow'!W8,'Cash Flow'!W8*(1-federal_tax_rate/100)),"")</f>
        <v>48973.034519621579</v>
      </c>
      <c r="X64" s="81">
        <f>IF(ISNUMBER(outYear),IF(FederalDepreciation="N/A",'Cash Flow'!X8,'Cash Flow'!X8*(1-federal_tax_rate/100)),"")</f>
        <v>49907.146485683072</v>
      </c>
      <c r="Y64" s="81">
        <f>IF(ISNUMBER(outYear),IF(FederalDepreciation="N/A",'Cash Flow'!Y8,'Cash Flow'!Y8*(1-federal_tax_rate/100)),"")</f>
        <v>50859.264995073208</v>
      </c>
      <c r="Z64" s="81">
        <f>IF(ISNUMBER(outYear),IF(FederalDepreciation="N/A",'Cash Flow'!Z8,'Cash Flow'!Z8*(1-federal_tax_rate/100)),"")</f>
        <v>51829.740110788181</v>
      </c>
      <c r="AA64" s="81">
        <f>IF(ISNUMBER(outYear),IF(FederalDepreciation="N/A",'Cash Flow'!AA8,'Cash Flow'!AA8*(1-federal_tax_rate/100)),"")</f>
        <v>52818.92874707326</v>
      </c>
      <c r="AB64" s="81" t="str">
        <f>IF(ISNUMBER(outYear),IF(FederalDepreciation="N/A",'Cash Flow'!AB8,'Cash Flow'!AB8*(1-federal_tax_rate/100)),"")</f>
        <v/>
      </c>
      <c r="AC64" s="81" t="str">
        <f>IF(ISNUMBER(outYear),IF(FederalDepreciation="N/A",'Cash Flow'!AC8,'Cash Flow'!AC8*(1-federal_tax_rate/100)),"")</f>
        <v/>
      </c>
      <c r="AD64" s="81" t="str">
        <f>IF(ISNUMBER(outYear),IF(FederalDepreciation="N/A",'Cash Flow'!AD8,'Cash Flow'!AD8*(1-federal_tax_rate/100)),"")</f>
        <v/>
      </c>
      <c r="AE64" s="81" t="str">
        <f>IF(ISNUMBER(outYear),IF(FederalDepreciation="N/A",'Cash Flow'!AE8,'Cash Flow'!AE8*(1-federal_tax_rate/100)),"")</f>
        <v/>
      </c>
      <c r="AF64" s="81" t="str">
        <f>IF(ISNUMBER(outYear),IF(FederalDepreciation="N/A",'Cash Flow'!AF8,'Cash Flow'!AF8*(1-federal_tax_rate/100)),"")</f>
        <v/>
      </c>
      <c r="AG64" s="81" t="str">
        <f>IF(ISNUMBER(outYear),IF(FederalDepreciation="N/A",'Cash Flow'!AG8,'Cash Flow'!AG8*(1-federal_tax_rate/100)),"")</f>
        <v/>
      </c>
      <c r="AH64" s="81" t="str">
        <f>IF(ISNUMBER(outYear),IF(FederalDepreciation="N/A",'Cash Flow'!AH8,'Cash Flow'!AH8*(1-federal_tax_rate/100)),"")</f>
        <v/>
      </c>
      <c r="AI64" s="81" t="str">
        <f>IF(ISNUMBER(outYear),IF(FederalDepreciation="N/A",'Cash Flow'!AI8,'Cash Flow'!AI8*(1-federal_tax_rate/100)),"")</f>
        <v/>
      </c>
      <c r="AJ64" s="81" t="str">
        <f>IF(ISNUMBER(outYear),IF(FederalDepreciation="N/A",'Cash Flow'!AJ8,'Cash Flow'!AJ8*(1-federal_tax_rate/100)),"")</f>
        <v/>
      </c>
      <c r="AK64" s="81" t="str">
        <f>IF(ISNUMBER(outYear),IF(FederalDepreciation="N/A",'Cash Flow'!AK8,'Cash Flow'!AK8*(1-federal_tax_rate/100)),"")</f>
        <v/>
      </c>
      <c r="AL64" s="81" t="str">
        <f>IF(ISNUMBER(outYear),IF(FederalDepreciation="N/A",'Cash Flow'!AL8,'Cash Flow'!AL8*(1-federal_tax_rate/100)),"")</f>
        <v/>
      </c>
      <c r="AM64" s="81" t="str">
        <f>IF(ISNUMBER(outYear),IF(FederalDepreciation="N/A",'Cash Flow'!AM8,'Cash Flow'!AM8*(1-federal_tax_rate/100)),"")</f>
        <v/>
      </c>
      <c r="AN64" s="81" t="str">
        <f>IF(ISNUMBER(outYear),IF(FederalDepreciation="N/A",'Cash Flow'!AN8,'Cash Flow'!AN8*(1-federal_tax_rate/100)),"")</f>
        <v/>
      </c>
      <c r="AO64" s="81" t="str">
        <f>IF(ISNUMBER(outYear),IF(FederalDepreciation="N/A",'Cash Flow'!AO8,'Cash Flow'!AO8*(1-federal_tax_rate/100)),"")</f>
        <v/>
      </c>
      <c r="AP64" s="81" t="str">
        <f>IF(ISNUMBER(outYear),IF(FederalDepreciation="N/A",'Cash Flow'!AP8,'Cash Flow'!AP8*(1-federal_tax_rate/100)),"")</f>
        <v/>
      </c>
      <c r="AQ64" s="81" t="str">
        <f>IF(ISNUMBER(outYear),IF(FederalDepreciation="N/A",'Cash Flow'!AQ8,'Cash Flow'!AQ8*(1-federal_tax_rate/100)),"")</f>
        <v/>
      </c>
      <c r="AR64" s="81" t="str">
        <f>IF(ISNUMBER(outYear),IF(FederalDepreciation="N/A",'Cash Flow'!AR8,'Cash Flow'!AR8*(1-federal_tax_rate/100)),"")</f>
        <v/>
      </c>
      <c r="AS64" s="81" t="str">
        <f>IF(ISNUMBER(outYear),IF(FederalDepreciation="N/A",'Cash Flow'!AS8,'Cash Flow'!AS8*(1-federal_tax_rate/100)),"")</f>
        <v/>
      </c>
      <c r="AT64" s="81" t="str">
        <f>IF(ISNUMBER(outYear),IF(FederalDepreciation="N/A",'Cash Flow'!AT8,'Cash Flow'!AT8*(1-federal_tax_rate/100)),"")</f>
        <v/>
      </c>
      <c r="AU64" s="81" t="str">
        <f>IF(ISNUMBER(outYear),IF(FederalDepreciation="N/A",'Cash Flow'!AU8,'Cash Flow'!AU8*(1-federal_tax_rate/100)),"")</f>
        <v/>
      </c>
      <c r="AV64" s="81" t="str">
        <f>IF(ISNUMBER(outYear),IF(FederalDepreciation="N/A",'Cash Flow'!AV8,'Cash Flow'!AV8*(1-federal_tax_rate/100)),"")</f>
        <v/>
      </c>
      <c r="AW64" s="81" t="str">
        <f>IF(ISNUMBER(outYear),IF(FederalDepreciation="N/A",'Cash Flow'!AW8,'Cash Flow'!AW8*(1-federal_tax_rate/100)),"")</f>
        <v/>
      </c>
      <c r="AX64" s="81" t="str">
        <f>IF(ISNUMBER(outYear),IF(FederalDepreciation="N/A",'Cash Flow'!AX8,'Cash Flow'!AX8*(1-federal_tax_rate/100)),"")</f>
        <v/>
      </c>
      <c r="AY64" s="81" t="str">
        <f>IF(ISNUMBER(outYear),IF(FederalDepreciation="N/A",'Cash Flow'!AY8,'Cash Flow'!AY8*(1-federal_tax_rate/100)),"")</f>
        <v/>
      </c>
      <c r="AZ64" s="81" t="str">
        <f>IF(ISNUMBER(outYear),IF(FederalDepreciation="N/A",'Cash Flow'!AZ8,'Cash Flow'!AZ8*(1-federal_tax_rate/100)),"")</f>
        <v/>
      </c>
      <c r="BA64" s="81" t="str">
        <f>IF(ISNUMBER(outYear),IF(FederalDepreciation="N/A",'Cash Flow'!BA8,'Cash Flow'!BA8*(1-federal_tax_rate/100)),"")</f>
        <v/>
      </c>
      <c r="BB64" s="81" t="str">
        <f>IF(ISNUMBER(outYear),IF(FederalDepreciation="N/A",'Cash Flow'!BB8,'Cash Flow'!BB8*(1-federal_tax_rate/100)),"")</f>
        <v/>
      </c>
      <c r="BC64" s="81" t="str">
        <f>IF(ISNUMBER(outYear),IF(FederalDepreciation="N/A",'Cash Flow'!BC8,'Cash Flow'!BC8*(1-federal_tax_rate/100)),"")</f>
        <v/>
      </c>
      <c r="BD64" s="81" t="str">
        <f>IF(ISNUMBER(outYear),IF(FederalDepreciation="N/A",'Cash Flow'!BD8,'Cash Flow'!BD8*(1-federal_tax_rate/100)),"")</f>
        <v/>
      </c>
      <c r="BE64" s="81" t="str">
        <f>IF(ISNUMBER(outYear),IF(FederalDepreciation="N/A",'Cash Flow'!BE8,'Cash Flow'!BE8*(1-federal_tax_rate/100)),"")</f>
        <v/>
      </c>
      <c r="BF64" s="81" t="str">
        <f>IF(ISNUMBER(outYear),IF(FederalDepreciation="N/A",'Cash Flow'!BF8,'Cash Flow'!BF8*(1-federal_tax_rate/100)),"")</f>
        <v/>
      </c>
      <c r="BG64" s="81" t="str">
        <f>IF(ISNUMBER(outYear),IF(FederalDepreciation="N/A",'Cash Flow'!BG8,'Cash Flow'!BG8*(1-federal_tax_rate/100)),"")</f>
        <v/>
      </c>
      <c r="BH64" s="81" t="str">
        <f>IF(ISNUMBER(outYear),IF(FederalDepreciation="N/A",'Cash Flow'!BH8,'Cash Flow'!BH8*(1-federal_tax_rate/100)),"")</f>
        <v/>
      </c>
      <c r="BI64" s="81" t="str">
        <f>IF(ISNUMBER(outYear),IF(FederalDepreciation="N/A",'Cash Flow'!BI8,'Cash Flow'!BI8*(1-federal_tax_rate/100)),"")</f>
        <v/>
      </c>
      <c r="BJ64" s="81" t="str">
        <f>IF(ISNUMBER(outYear),IF(FederalDepreciation="N/A",'Cash Flow'!BJ8,'Cash Flow'!BJ8*(1-federal_tax_rate/100)),"")</f>
        <v/>
      </c>
      <c r="BK64" s="81" t="str">
        <f>IF(ISNUMBER(outYear),IF(FederalDepreciation="N/A",'Cash Flow'!BK8,'Cash Flow'!BK8*(1-federal_tax_rate/100)),"")</f>
        <v/>
      </c>
      <c r="BL64" s="81" t="str">
        <f>IF(ISNUMBER(outYear),IF(FederalDepreciation="N/A",'Cash Flow'!BL8,'Cash Flow'!BL8*(1-federal_tax_rate/100)),"")</f>
        <v/>
      </c>
      <c r="BM64" s="81" t="str">
        <f>IF(ISNUMBER(outYear),IF(FederalDepreciation="N/A",'Cash Flow'!BM8,'Cash Flow'!BM8*(1-federal_tax_rate/100)),"")</f>
        <v/>
      </c>
      <c r="BN64" s="81" t="str">
        <f>IF(ISNUMBER(outYear),IF(FederalDepreciation="N/A",'Cash Flow'!BN8,'Cash Flow'!BN8*(1-federal_tax_rate/100)),"")</f>
        <v/>
      </c>
      <c r="BO64" s="81" t="str">
        <f>IF(ISNUMBER(outYear),IF(FederalDepreciation="N/A",'Cash Flow'!BO8,'Cash Flow'!BO8*(1-federal_tax_rate/100)),"")</f>
        <v/>
      </c>
      <c r="BP64" s="81" t="str">
        <f>IF(ISNUMBER(outYear),IF(FederalDepreciation="N/A",'Cash Flow'!BP8,'Cash Flow'!BP8*(1-federal_tax_rate/100)),"")</f>
        <v/>
      </c>
      <c r="BQ64" s="81" t="str">
        <f>IF(ISNUMBER(outYear),IF(FederalDepreciation="N/A",'Cash Flow'!BQ8,'Cash Flow'!BQ8*(1-federal_tax_rate/100)),"")</f>
        <v/>
      </c>
      <c r="BR64" s="81" t="str">
        <f>IF(ISNUMBER(outYear),IF(FederalDepreciation="N/A",'Cash Flow'!BR8,'Cash Flow'!BR8*(1-federal_tax_rate/100)),"")</f>
        <v/>
      </c>
      <c r="BS64" s="81" t="str">
        <f>IF(ISNUMBER(outYear),IF(FederalDepreciation="N/A",'Cash Flow'!BS8,'Cash Flow'!BS8*(1-federal_tax_rate/100)),"")</f>
        <v/>
      </c>
      <c r="BT64" s="81" t="str">
        <f>IF(ISNUMBER(outYear),IF(FederalDepreciation="N/A",'Cash Flow'!BT8,'Cash Flow'!BT8*(1-federal_tax_rate/100)),"")</f>
        <v/>
      </c>
      <c r="BU64" s="81" t="str">
        <f>IF(ISNUMBER(outYear),IF(FederalDepreciation="N/A",'Cash Flow'!BU8,'Cash Flow'!BU8*(1-federal_tax_rate/100)),"")</f>
        <v/>
      </c>
      <c r="BV64" s="81" t="str">
        <f>IF(ISNUMBER(outYear),IF(FederalDepreciation="N/A",'Cash Flow'!BV8,'Cash Flow'!BV8*(1-federal_tax_rate/100)),"")</f>
        <v/>
      </c>
      <c r="BW64" s="81" t="str">
        <f>IF(ISNUMBER(outYear),IF(FederalDepreciation="N/A",'Cash Flow'!BW8,'Cash Flow'!BW8*(1-federal_tax_rate/100)),"")</f>
        <v/>
      </c>
      <c r="BX64" s="81" t="str">
        <f>IF(ISNUMBER(outYear),IF(FederalDepreciation="N/A",'Cash Flow'!BX8,'Cash Flow'!BX8*(1-federal_tax_rate/100)),"")</f>
        <v/>
      </c>
      <c r="BY64" s="81" t="str">
        <f>IF(ISNUMBER(outYear),IF(FederalDepreciation="N/A",'Cash Flow'!BY8,'Cash Flow'!BY8*(1-federal_tax_rate/100)),"")</f>
        <v/>
      </c>
      <c r="BZ64" s="81" t="str">
        <f>IF(ISNUMBER(outYear),IF(FederalDepreciation="N/A",'Cash Flow'!BZ8,'Cash Flow'!BZ8*(1-federal_tax_rate/100)),"")</f>
        <v/>
      </c>
      <c r="CA64" s="81" t="str">
        <f>IF(ISNUMBER(outYear),IF(FederalDepreciation="N/A",'Cash Flow'!CA8,'Cash Flow'!CA8*(1-federal_tax_rate/100)),"")</f>
        <v/>
      </c>
      <c r="CB64" s="81" t="str">
        <f>IF(ISNUMBER(outYear),IF(FederalDepreciation="N/A",'Cash Flow'!CB8,'Cash Flow'!CB8*(1-federal_tax_rate/100)),"")</f>
        <v/>
      </c>
      <c r="CC64" s="81" t="str">
        <f>IF(ISNUMBER(outYear),IF(FederalDepreciation="N/A",'Cash Flow'!CC8,'Cash Flow'!CC8*(1-federal_tax_rate/100)),"")</f>
        <v/>
      </c>
      <c r="CD64" s="81" t="str">
        <f>IF(ISNUMBER(outYear),IF(FederalDepreciation="N/A",'Cash Flow'!CD8,'Cash Flow'!CD8*(1-federal_tax_rate/100)),"")</f>
        <v/>
      </c>
      <c r="CE64" s="81" t="str">
        <f>IF(ISNUMBER(outYear),IF(FederalDepreciation="N/A",'Cash Flow'!CE8,'Cash Flow'!CE8*(1-federal_tax_rate/100)),"")</f>
        <v/>
      </c>
      <c r="CF64" s="81" t="str">
        <f>IF(ISNUMBER(outYear),IF(FederalDepreciation="N/A",'Cash Flow'!CF8,'Cash Flow'!CF8*(1-federal_tax_rate/100)),"")</f>
        <v/>
      </c>
      <c r="CG64" s="81" t="str">
        <f>IF(ISNUMBER(outYear),IF(FederalDepreciation="N/A",'Cash Flow'!CG8,'Cash Flow'!CG8*(1-federal_tax_rate/100)),"")</f>
        <v/>
      </c>
      <c r="CH64" s="81" t="str">
        <f>IF(ISNUMBER(outYear),IF(FederalDepreciation="N/A",'Cash Flow'!CH8,'Cash Flow'!CH8*(1-federal_tax_rate/100)),"")</f>
        <v/>
      </c>
      <c r="CI64" s="81" t="str">
        <f>IF(ISNUMBER(outYear),IF(FederalDepreciation="N/A",'Cash Flow'!CI8,'Cash Flow'!CI8*(1-federal_tax_rate/100)),"")</f>
        <v/>
      </c>
      <c r="CJ64" s="81" t="str">
        <f>IF(ISNUMBER(outYear),IF(FederalDepreciation="N/A",'Cash Flow'!CJ8,'Cash Flow'!CJ8*(1-federal_tax_rate/100)),"")</f>
        <v/>
      </c>
      <c r="CK64" s="81" t="str">
        <f>IF(ISNUMBER(outYear),IF(FederalDepreciation="N/A",'Cash Flow'!CK8,'Cash Flow'!CK8*(1-federal_tax_rate/100)),"")</f>
        <v/>
      </c>
      <c r="CL64" s="81" t="str">
        <f>IF(ISNUMBER(outYear),IF(FederalDepreciation="N/A",'Cash Flow'!CL8,'Cash Flow'!CL8*(1-federal_tax_rate/100)),"")</f>
        <v/>
      </c>
      <c r="CM64" s="81" t="str">
        <f>IF(ISNUMBER(outYear),IF(FederalDepreciation="N/A",'Cash Flow'!CM8,'Cash Flow'!CM8*(1-federal_tax_rate/100)),"")</f>
        <v/>
      </c>
      <c r="CN64" s="81" t="str">
        <f>IF(ISNUMBER(outYear),IF(FederalDepreciation="N/A",'Cash Flow'!CN8,'Cash Flow'!CN8*(1-federal_tax_rate/100)),"")</f>
        <v/>
      </c>
      <c r="CO64" s="81" t="str">
        <f>IF(ISNUMBER(outYear),IF(FederalDepreciation="N/A",'Cash Flow'!CO8,'Cash Flow'!CO8*(1-federal_tax_rate/100)),"")</f>
        <v/>
      </c>
      <c r="CP64" s="81" t="str">
        <f>IF(ISNUMBER(outYear),IF(FederalDepreciation="N/A",'Cash Flow'!CP8,'Cash Flow'!CP8*(1-federal_tax_rate/100)),"")</f>
        <v/>
      </c>
      <c r="CQ64" s="81" t="str">
        <f>IF(ISNUMBER(outYear),IF(FederalDepreciation="N/A",'Cash Flow'!CQ8,'Cash Flow'!CQ8*(1-federal_tax_rate/100)),"")</f>
        <v/>
      </c>
      <c r="CR64" s="81" t="str">
        <f>IF(ISNUMBER(outYear),IF(FederalDepreciation="N/A",'Cash Flow'!CR8,'Cash Flow'!CR8*(1-federal_tax_rate/100)),"")</f>
        <v/>
      </c>
      <c r="CS64" s="81" t="str">
        <f>IF(ISNUMBER(outYear),IF(FederalDepreciation="N/A",'Cash Flow'!CS8,'Cash Flow'!CS8*(1-federal_tax_rate/100)),"")</f>
        <v/>
      </c>
      <c r="CT64" s="81" t="str">
        <f>IF(ISNUMBER(outYear),IF(FederalDepreciation="N/A",'Cash Flow'!CT8,'Cash Flow'!CT8*(1-federal_tax_rate/100)),"")</f>
        <v/>
      </c>
      <c r="CU64" s="81" t="str">
        <f>IF(ISNUMBER(outYear),IF(FederalDepreciation="N/A",'Cash Flow'!CU8,'Cash Flow'!CU8*(1-federal_tax_rate/100)),"")</f>
        <v/>
      </c>
      <c r="CV64" s="81" t="str">
        <f>IF(ISNUMBER(outYear),IF(FederalDepreciation="N/A",'Cash Flow'!CV8,'Cash Flow'!CV8*(1-federal_tax_rate/100)),"")</f>
        <v/>
      </c>
      <c r="CW64" s="81" t="str">
        <f>IF(ISNUMBER(outYear),IF(FederalDepreciation="N/A",'Cash Flow'!CW8,'Cash Flow'!CW8*(1-federal_tax_rate/100)),"")</f>
        <v/>
      </c>
      <c r="CX64" s="81" t="str">
        <f>IF(ISNUMBER(outYear),IF(FederalDepreciation="N/A",'Cash Flow'!CX8,'Cash Flow'!CX8*(1-federal_tax_rate/100)),"")</f>
        <v/>
      </c>
    </row>
    <row r="65" spans="1:255" s="2" customFormat="1" x14ac:dyDescent="0.2">
      <c r="A65" s="15" t="s">
        <v>45</v>
      </c>
      <c r="B65" s="93">
        <f>IF(ISNUMBER(outYear),+B63+B8,"")</f>
        <v>-379902.6</v>
      </c>
      <c r="C65" s="93">
        <f t="shared" ref="C65:AH65" si="48">IF(ISNUMBER(outYear),+C63+C64,"")</f>
        <v>252874.73609999998</v>
      </c>
      <c r="D65" s="93">
        <f t="shared" si="48"/>
        <v>86023.502747999926</v>
      </c>
      <c r="E65" s="93">
        <f t="shared" si="48"/>
        <v>64769.695030709947</v>
      </c>
      <c r="F65" s="93">
        <f t="shared" si="48"/>
        <v>52266.316434743785</v>
      </c>
      <c r="G65" s="93">
        <f t="shared" si="48"/>
        <v>52883.117856224955</v>
      </c>
      <c r="H65" s="93">
        <f t="shared" si="48"/>
        <v>43680.284712705972</v>
      </c>
      <c r="I65" s="93">
        <f t="shared" si="48"/>
        <v>34489.490499109408</v>
      </c>
      <c r="J65" s="93">
        <f t="shared" si="48"/>
        <v>35142.413161322416</v>
      </c>
      <c r="K65" s="93">
        <f t="shared" si="48"/>
        <v>35807.844956277884</v>
      </c>
      <c r="L65" s="93">
        <f t="shared" si="48"/>
        <v>-19982.095985648928</v>
      </c>
      <c r="M65" s="93">
        <f t="shared" si="48"/>
        <v>37177.208653534799</v>
      </c>
      <c r="N65" s="93">
        <f t="shared" si="48"/>
        <v>37881.638797940635</v>
      </c>
      <c r="O65" s="93">
        <f t="shared" si="48"/>
        <v>38599.574746207596</v>
      </c>
      <c r="P65" s="93">
        <f t="shared" si="48"/>
        <v>39331.277930707191</v>
      </c>
      <c r="Q65" s="93">
        <f t="shared" si="48"/>
        <v>40077.014883071504</v>
      </c>
      <c r="R65" s="93">
        <f t="shared" si="48"/>
        <v>40837.057334250065</v>
      </c>
      <c r="S65" s="93">
        <f t="shared" si="48"/>
        <v>41611.682316539402</v>
      </c>
      <c r="T65" s="93">
        <f t="shared" si="48"/>
        <v>42401.172267625108</v>
      </c>
      <c r="U65" s="93">
        <f t="shared" si="48"/>
        <v>43205.815136673154</v>
      </c>
      <c r="V65" s="93">
        <f t="shared" si="48"/>
        <v>44025.904492515372</v>
      </c>
      <c r="W65" s="93">
        <f t="shared" si="48"/>
        <v>44861.739633965961</v>
      </c>
      <c r="X65" s="93">
        <f t="shared" si="48"/>
        <v>45713.625702314341</v>
      </c>
      <c r="Y65" s="93">
        <f t="shared" si="48"/>
        <v>46581.873796037107</v>
      </c>
      <c r="Z65" s="93">
        <f t="shared" si="48"/>
        <v>47466.801087771353</v>
      </c>
      <c r="AA65" s="93">
        <f t="shared" si="48"/>
        <v>48368.7309435961</v>
      </c>
      <c r="AB65" s="93" t="str">
        <f t="shared" si="48"/>
        <v/>
      </c>
      <c r="AC65" s="93" t="str">
        <f t="shared" si="48"/>
        <v/>
      </c>
      <c r="AD65" s="93" t="str">
        <f t="shared" si="48"/>
        <v/>
      </c>
      <c r="AE65" s="93" t="str">
        <f t="shared" si="48"/>
        <v/>
      </c>
      <c r="AF65" s="93" t="str">
        <f t="shared" si="48"/>
        <v/>
      </c>
      <c r="AG65" s="93" t="str">
        <f t="shared" si="48"/>
        <v/>
      </c>
      <c r="AH65" s="93" t="str">
        <f t="shared" si="48"/>
        <v/>
      </c>
      <c r="AI65" s="93" t="str">
        <f t="shared" ref="AI65:BN65" si="49">IF(ISNUMBER(outYear),+AI63+AI64,"")</f>
        <v/>
      </c>
      <c r="AJ65" s="93" t="str">
        <f t="shared" si="49"/>
        <v/>
      </c>
      <c r="AK65" s="93" t="str">
        <f t="shared" si="49"/>
        <v/>
      </c>
      <c r="AL65" s="93" t="str">
        <f t="shared" si="49"/>
        <v/>
      </c>
      <c r="AM65" s="93" t="str">
        <f t="shared" si="49"/>
        <v/>
      </c>
      <c r="AN65" s="93" t="str">
        <f t="shared" si="49"/>
        <v/>
      </c>
      <c r="AO65" s="93" t="str">
        <f t="shared" si="49"/>
        <v/>
      </c>
      <c r="AP65" s="93" t="str">
        <f t="shared" si="49"/>
        <v/>
      </c>
      <c r="AQ65" s="93" t="str">
        <f t="shared" si="49"/>
        <v/>
      </c>
      <c r="AR65" s="93" t="str">
        <f t="shared" si="49"/>
        <v/>
      </c>
      <c r="AS65" s="93" t="str">
        <f t="shared" si="49"/>
        <v/>
      </c>
      <c r="AT65" s="93" t="str">
        <f t="shared" si="49"/>
        <v/>
      </c>
      <c r="AU65" s="93" t="str">
        <f t="shared" si="49"/>
        <v/>
      </c>
      <c r="AV65" s="93" t="str">
        <f t="shared" si="49"/>
        <v/>
      </c>
      <c r="AW65" s="93" t="str">
        <f t="shared" si="49"/>
        <v/>
      </c>
      <c r="AX65" s="93" t="str">
        <f t="shared" si="49"/>
        <v/>
      </c>
      <c r="AY65" s="93" t="str">
        <f t="shared" si="49"/>
        <v/>
      </c>
      <c r="AZ65" s="93" t="str">
        <f t="shared" si="49"/>
        <v/>
      </c>
      <c r="BA65" s="93" t="str">
        <f t="shared" si="49"/>
        <v/>
      </c>
      <c r="BB65" s="93" t="str">
        <f t="shared" si="49"/>
        <v/>
      </c>
      <c r="BC65" s="93" t="str">
        <f t="shared" si="49"/>
        <v/>
      </c>
      <c r="BD65" s="93" t="str">
        <f t="shared" si="49"/>
        <v/>
      </c>
      <c r="BE65" s="93" t="str">
        <f t="shared" si="49"/>
        <v/>
      </c>
      <c r="BF65" s="93" t="str">
        <f t="shared" si="49"/>
        <v/>
      </c>
      <c r="BG65" s="93" t="str">
        <f t="shared" si="49"/>
        <v/>
      </c>
      <c r="BH65" s="93" t="str">
        <f t="shared" si="49"/>
        <v/>
      </c>
      <c r="BI65" s="93" t="str">
        <f t="shared" si="49"/>
        <v/>
      </c>
      <c r="BJ65" s="93" t="str">
        <f t="shared" si="49"/>
        <v/>
      </c>
      <c r="BK65" s="93" t="str">
        <f t="shared" si="49"/>
        <v/>
      </c>
      <c r="BL65" s="93" t="str">
        <f t="shared" si="49"/>
        <v/>
      </c>
      <c r="BM65" s="93" t="str">
        <f t="shared" si="49"/>
        <v/>
      </c>
      <c r="BN65" s="93" t="str">
        <f t="shared" si="49"/>
        <v/>
      </c>
      <c r="BO65" s="93" t="str">
        <f t="shared" ref="BO65:CT65" si="50">IF(ISNUMBER(outYear),+BO63+BO64,"")</f>
        <v/>
      </c>
      <c r="BP65" s="93" t="str">
        <f t="shared" si="50"/>
        <v/>
      </c>
      <c r="BQ65" s="93" t="str">
        <f t="shared" si="50"/>
        <v/>
      </c>
      <c r="BR65" s="93" t="str">
        <f t="shared" si="50"/>
        <v/>
      </c>
      <c r="BS65" s="93" t="str">
        <f t="shared" si="50"/>
        <v/>
      </c>
      <c r="BT65" s="93" t="str">
        <f t="shared" si="50"/>
        <v/>
      </c>
      <c r="BU65" s="93" t="str">
        <f t="shared" si="50"/>
        <v/>
      </c>
      <c r="BV65" s="93" t="str">
        <f t="shared" si="50"/>
        <v/>
      </c>
      <c r="BW65" s="93" t="str">
        <f t="shared" si="50"/>
        <v/>
      </c>
      <c r="BX65" s="93" t="str">
        <f t="shared" si="50"/>
        <v/>
      </c>
      <c r="BY65" s="93" t="str">
        <f t="shared" si="50"/>
        <v/>
      </c>
      <c r="BZ65" s="93" t="str">
        <f t="shared" si="50"/>
        <v/>
      </c>
      <c r="CA65" s="93" t="str">
        <f t="shared" si="50"/>
        <v/>
      </c>
      <c r="CB65" s="93" t="str">
        <f t="shared" si="50"/>
        <v/>
      </c>
      <c r="CC65" s="93" t="str">
        <f t="shared" si="50"/>
        <v/>
      </c>
      <c r="CD65" s="93" t="str">
        <f t="shared" si="50"/>
        <v/>
      </c>
      <c r="CE65" s="93" t="str">
        <f t="shared" si="50"/>
        <v/>
      </c>
      <c r="CF65" s="93" t="str">
        <f t="shared" si="50"/>
        <v/>
      </c>
      <c r="CG65" s="93" t="str">
        <f t="shared" si="50"/>
        <v/>
      </c>
      <c r="CH65" s="93" t="str">
        <f t="shared" si="50"/>
        <v/>
      </c>
      <c r="CI65" s="93" t="str">
        <f t="shared" si="50"/>
        <v/>
      </c>
      <c r="CJ65" s="93" t="str">
        <f t="shared" si="50"/>
        <v/>
      </c>
      <c r="CK65" s="93" t="str">
        <f t="shared" si="50"/>
        <v/>
      </c>
      <c r="CL65" s="93" t="str">
        <f t="shared" si="50"/>
        <v/>
      </c>
      <c r="CM65" s="93" t="str">
        <f t="shared" si="50"/>
        <v/>
      </c>
      <c r="CN65" s="93" t="str">
        <f t="shared" si="50"/>
        <v/>
      </c>
      <c r="CO65" s="93" t="str">
        <f t="shared" si="50"/>
        <v/>
      </c>
      <c r="CP65" s="93" t="str">
        <f t="shared" si="50"/>
        <v/>
      </c>
      <c r="CQ65" s="93" t="str">
        <f t="shared" si="50"/>
        <v/>
      </c>
      <c r="CR65" s="93" t="str">
        <f t="shared" si="50"/>
        <v/>
      </c>
      <c r="CS65" s="93" t="str">
        <f t="shared" si="50"/>
        <v/>
      </c>
      <c r="CT65" s="93" t="str">
        <f t="shared" si="50"/>
        <v/>
      </c>
      <c r="CU65" s="93" t="str">
        <f t="shared" ref="CU65:CX65" si="51">IF(ISNUMBER(outYear),+CU63+CU64,"")</f>
        <v/>
      </c>
      <c r="CV65" s="93" t="str">
        <f t="shared" si="51"/>
        <v/>
      </c>
      <c r="CW65" s="93" t="str">
        <f t="shared" si="51"/>
        <v/>
      </c>
      <c r="CX65" s="93" t="str">
        <f t="shared" si="51"/>
        <v/>
      </c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</row>
    <row r="66" spans="1:255" x14ac:dyDescent="0.2"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</row>
    <row r="67" spans="1:255" x14ac:dyDescent="0.2">
      <c r="A67" s="64" t="s">
        <v>109</v>
      </c>
      <c r="B67" s="75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6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6"/>
      <c r="CS67" s="76"/>
      <c r="CT67" s="76"/>
      <c r="CU67" s="76"/>
      <c r="CV67" s="76"/>
      <c r="CW67" s="76"/>
      <c r="CX67" s="73"/>
    </row>
    <row r="68" spans="1:255" x14ac:dyDescent="0.2">
      <c r="A68" t="s">
        <v>111</v>
      </c>
      <c r="B68" s="159">
        <f>IF(ISNUMBER(outYear),-'Inputs and Outputs'!B56,"")</f>
        <v>0</v>
      </c>
      <c r="C68" s="159">
        <f>IF(ISNUMBER(outYear),-'Inputs and Outputs'!C56*(1-federal_tax_rate/100),"")</f>
        <v>-520398.9</v>
      </c>
      <c r="D68" s="159">
        <f>IF(ISNUMBER(outYear),-'Inputs and Outputs'!D56*(1-federal_tax_rate/100),"")</f>
        <v>-530806.87800000003</v>
      </c>
      <c r="E68" s="159">
        <f>IF(ISNUMBER(outYear),-'Inputs and Outputs'!E56*(1-federal_tax_rate/100),"")</f>
        <v>-541423.01555999997</v>
      </c>
      <c r="F68" s="159">
        <f>IF(ISNUMBER(outYear),-'Inputs and Outputs'!F56*(1-federal_tax_rate/100),"")</f>
        <v>-552251.47587119997</v>
      </c>
      <c r="G68" s="159">
        <f>IF(ISNUMBER(outYear),-'Inputs and Outputs'!G56*(1-federal_tax_rate/100),"")</f>
        <v>-563296.50538862392</v>
      </c>
      <c r="H68" s="159">
        <f>IF(ISNUMBER(outYear),-'Inputs and Outputs'!H56*(1-federal_tax_rate/100),"")</f>
        <v>-574562.4354963965</v>
      </c>
      <c r="I68" s="159">
        <f>IF(ISNUMBER(outYear),-'Inputs and Outputs'!I56*(1-federal_tax_rate/100),"")</f>
        <v>-586053.6842063244</v>
      </c>
      <c r="J68" s="159">
        <f>IF(ISNUMBER(outYear),-'Inputs and Outputs'!J56*(1-federal_tax_rate/100),"")</f>
        <v>-597774.75789045088</v>
      </c>
      <c r="K68" s="159">
        <f>IF(ISNUMBER(outYear),-'Inputs and Outputs'!K56*(1-federal_tax_rate/100),"")</f>
        <v>-609730.25304825988</v>
      </c>
      <c r="L68" s="159">
        <f>IF(ISNUMBER(outYear),-'Inputs and Outputs'!L56*(1-federal_tax_rate/100),"")</f>
        <v>-621924.85810922517</v>
      </c>
      <c r="M68" s="159">
        <f>IF(ISNUMBER(outYear),-'Inputs and Outputs'!M56*(1-federal_tax_rate/100),"")</f>
        <v>-634363.35527140973</v>
      </c>
      <c r="N68" s="159">
        <f>IF(ISNUMBER(outYear),-'Inputs and Outputs'!N56*(1-federal_tax_rate/100),"")</f>
        <v>-647050.62237683788</v>
      </c>
      <c r="O68" s="159">
        <f>IF(ISNUMBER(outYear),-'Inputs and Outputs'!O56*(1-federal_tax_rate/100),"")</f>
        <v>-659991.63482437469</v>
      </c>
      <c r="P68" s="159">
        <f>IF(ISNUMBER(outYear),-'Inputs and Outputs'!P56*(1-federal_tax_rate/100),"")</f>
        <v>-673191.46752086224</v>
      </c>
      <c r="Q68" s="159">
        <f>IF(ISNUMBER(outYear),-'Inputs and Outputs'!Q56*(1-federal_tax_rate/100),"")</f>
        <v>-686655.2968712796</v>
      </c>
      <c r="R68" s="159">
        <f>IF(ISNUMBER(outYear),-'Inputs and Outputs'!R56*(1-federal_tax_rate/100),"")</f>
        <v>-700388.40280870523</v>
      </c>
      <c r="S68" s="159">
        <f>IF(ISNUMBER(outYear),-'Inputs and Outputs'!S56*(1-federal_tax_rate/100),"")</f>
        <v>-714396.17086487927</v>
      </c>
      <c r="T68" s="159">
        <f>IF(ISNUMBER(outYear),-'Inputs and Outputs'!T56*(1-federal_tax_rate/100),"")</f>
        <v>-728684.09428217681</v>
      </c>
      <c r="U68" s="159">
        <f>IF(ISNUMBER(outYear),-'Inputs and Outputs'!U56*(1-federal_tax_rate/100),"")</f>
        <v>-743257.77616782032</v>
      </c>
      <c r="V68" s="159">
        <f>IF(ISNUMBER(outYear),-'Inputs and Outputs'!V56*(1-federal_tax_rate/100),"")</f>
        <v>-758122.93169117672</v>
      </c>
      <c r="W68" s="159">
        <f>IF(ISNUMBER(outYear),-'Inputs and Outputs'!W56*(1-federal_tax_rate/100),"")</f>
        <v>-773285.39032500028</v>
      </c>
      <c r="X68" s="159">
        <f>IF(ISNUMBER(outYear),-'Inputs and Outputs'!X56*(1-federal_tax_rate/100),"")</f>
        <v>-788751.0981315003</v>
      </c>
      <c r="Y68" s="159">
        <f>IF(ISNUMBER(outYear),-'Inputs and Outputs'!Y56*(1-federal_tax_rate/100),"")</f>
        <v>-804526.12009413028</v>
      </c>
      <c r="Z68" s="159">
        <f>IF(ISNUMBER(outYear),-'Inputs and Outputs'!Z56*(1-federal_tax_rate/100),"")</f>
        <v>-820616.64249601297</v>
      </c>
      <c r="AA68" s="159">
        <f>IF(ISNUMBER(outYear),-'Inputs and Outputs'!AA56*(1-federal_tax_rate/100),"")</f>
        <v>-837028.97534593323</v>
      </c>
      <c r="AB68" s="159" t="str">
        <f>IF(ISNUMBER(outYear),-'Inputs and Outputs'!AB56*(1-federal_tax_rate/100),"")</f>
        <v/>
      </c>
      <c r="AC68" s="159" t="str">
        <f>IF(ISNUMBER(outYear),-'Inputs and Outputs'!AC56*(1-federal_tax_rate/100),"")</f>
        <v/>
      </c>
      <c r="AD68" s="159" t="str">
        <f>IF(ISNUMBER(outYear),-'Inputs and Outputs'!AD56*(1-federal_tax_rate/100),"")</f>
        <v/>
      </c>
      <c r="AE68" s="159" t="str">
        <f>IF(ISNUMBER(outYear),-'Inputs and Outputs'!AE56*(1-federal_tax_rate/100),"")</f>
        <v/>
      </c>
      <c r="AF68" s="159" t="str">
        <f>IF(ISNUMBER(outYear),-'Inputs and Outputs'!AF56*(1-federal_tax_rate/100),"")</f>
        <v/>
      </c>
      <c r="AG68" s="159" t="str">
        <f>IF(ISNUMBER(outYear),-'Inputs and Outputs'!AG56*(1-federal_tax_rate/100),"")</f>
        <v/>
      </c>
      <c r="AH68" s="159" t="str">
        <f>IF(ISNUMBER(outYear),-'Inputs and Outputs'!AH56*(1-federal_tax_rate/100),"")</f>
        <v/>
      </c>
      <c r="AI68" s="159" t="str">
        <f>IF(ISNUMBER(outYear),-'Inputs and Outputs'!AI56*(1-federal_tax_rate/100),"")</f>
        <v/>
      </c>
      <c r="AJ68" s="159" t="str">
        <f>IF(ISNUMBER(outYear),-'Inputs and Outputs'!AJ56*(1-federal_tax_rate/100),"")</f>
        <v/>
      </c>
      <c r="AK68" s="159" t="str">
        <f>IF(ISNUMBER(outYear),-'Inputs and Outputs'!AK56*(1-federal_tax_rate/100),"")</f>
        <v/>
      </c>
      <c r="AL68" s="159" t="str">
        <f>IF(ISNUMBER(outYear),-'Inputs and Outputs'!AL56*(1-federal_tax_rate/100),"")</f>
        <v/>
      </c>
      <c r="AM68" s="159" t="str">
        <f>IF(ISNUMBER(outYear),-'Inputs and Outputs'!AM56*(1-federal_tax_rate/100),"")</f>
        <v/>
      </c>
      <c r="AN68" s="159" t="str">
        <f>IF(ISNUMBER(outYear),-'Inputs and Outputs'!AN56*(1-federal_tax_rate/100),"")</f>
        <v/>
      </c>
      <c r="AO68" s="159" t="str">
        <f>IF(ISNUMBER(outYear),-'Inputs and Outputs'!AO56*(1-federal_tax_rate/100),"")</f>
        <v/>
      </c>
      <c r="AP68" s="159" t="str">
        <f>IF(ISNUMBER(outYear),-'Inputs and Outputs'!AP56*(1-federal_tax_rate/100),"")</f>
        <v/>
      </c>
      <c r="AQ68" s="159" t="str">
        <f>IF(ISNUMBER(outYear),-'Inputs and Outputs'!AQ56*(1-federal_tax_rate/100),"")</f>
        <v/>
      </c>
      <c r="AR68" s="159" t="str">
        <f>IF(ISNUMBER(outYear),-'Inputs and Outputs'!AR56*(1-federal_tax_rate/100),"")</f>
        <v/>
      </c>
      <c r="AS68" s="159" t="str">
        <f>IF(ISNUMBER(outYear),-'Inputs and Outputs'!AS56*(1-federal_tax_rate/100),"")</f>
        <v/>
      </c>
      <c r="AT68" s="159" t="str">
        <f>IF(ISNUMBER(outYear),-'Inputs and Outputs'!AT56*(1-federal_tax_rate/100),"")</f>
        <v/>
      </c>
      <c r="AU68" s="159" t="str">
        <f>IF(ISNUMBER(outYear),-'Inputs and Outputs'!AU56*(1-federal_tax_rate/100),"")</f>
        <v/>
      </c>
      <c r="AV68" s="159" t="str">
        <f>IF(ISNUMBER(outYear),-'Inputs and Outputs'!AV56*(1-federal_tax_rate/100),"")</f>
        <v/>
      </c>
      <c r="AW68" s="159" t="str">
        <f>IF(ISNUMBER(outYear),-'Inputs and Outputs'!AW56*(1-federal_tax_rate/100),"")</f>
        <v/>
      </c>
      <c r="AX68" s="159" t="str">
        <f>IF(ISNUMBER(outYear),-'Inputs and Outputs'!AX56*(1-federal_tax_rate/100),"")</f>
        <v/>
      </c>
      <c r="AY68" s="159" t="str">
        <f>IF(ISNUMBER(outYear),-'Inputs and Outputs'!AY56*(1-federal_tax_rate/100),"")</f>
        <v/>
      </c>
      <c r="AZ68" s="159" t="str">
        <f>IF(ISNUMBER(outYear),-'Inputs and Outputs'!AZ56*(1-federal_tax_rate/100),"")</f>
        <v/>
      </c>
      <c r="BA68" s="159" t="str">
        <f>IF(ISNUMBER(outYear),-'Inputs and Outputs'!BA56*(1-federal_tax_rate/100),"")</f>
        <v/>
      </c>
      <c r="BB68" s="159" t="str">
        <f>IF(ISNUMBER(outYear),-'Inputs and Outputs'!BB56*(1-federal_tax_rate/100),"")</f>
        <v/>
      </c>
      <c r="BC68" s="159" t="str">
        <f>IF(ISNUMBER(outYear),-'Inputs and Outputs'!BC56*(1-federal_tax_rate/100),"")</f>
        <v/>
      </c>
      <c r="BD68" s="159" t="str">
        <f>IF(ISNUMBER(outYear),-'Inputs and Outputs'!BD56*(1-federal_tax_rate/100),"")</f>
        <v/>
      </c>
      <c r="BE68" s="159" t="str">
        <f>IF(ISNUMBER(outYear),-'Inputs and Outputs'!BE56*(1-federal_tax_rate/100),"")</f>
        <v/>
      </c>
      <c r="BF68" s="159" t="str">
        <f>IF(ISNUMBER(outYear),-'Inputs and Outputs'!BF56*(1-federal_tax_rate/100),"")</f>
        <v/>
      </c>
      <c r="BG68" s="159" t="str">
        <f>IF(ISNUMBER(outYear),-'Inputs and Outputs'!BG56*(1-federal_tax_rate/100),"")</f>
        <v/>
      </c>
      <c r="BH68" s="159" t="str">
        <f>IF(ISNUMBER(outYear),-'Inputs and Outputs'!BH56*(1-federal_tax_rate/100),"")</f>
        <v/>
      </c>
      <c r="BI68" s="159" t="str">
        <f>IF(ISNUMBER(outYear),-'Inputs and Outputs'!BI56*(1-federal_tax_rate/100),"")</f>
        <v/>
      </c>
      <c r="BJ68" s="159" t="str">
        <f>IF(ISNUMBER(outYear),-'Inputs and Outputs'!BJ56*(1-federal_tax_rate/100),"")</f>
        <v/>
      </c>
      <c r="BK68" s="159" t="str">
        <f>IF(ISNUMBER(outYear),-'Inputs and Outputs'!BK56*(1-federal_tax_rate/100),"")</f>
        <v/>
      </c>
      <c r="BL68" s="159" t="str">
        <f>IF(ISNUMBER(outYear),-'Inputs and Outputs'!BL56*(1-federal_tax_rate/100),"")</f>
        <v/>
      </c>
      <c r="BM68" s="159" t="str">
        <f>IF(ISNUMBER(outYear),-'Inputs and Outputs'!BM56*(1-federal_tax_rate/100),"")</f>
        <v/>
      </c>
      <c r="BN68" s="159" t="str">
        <f>IF(ISNUMBER(outYear),-'Inputs and Outputs'!BN56*(1-federal_tax_rate/100),"")</f>
        <v/>
      </c>
      <c r="BO68" s="159" t="str">
        <f>IF(ISNUMBER(outYear),-'Inputs and Outputs'!BO56*(1-federal_tax_rate/100),"")</f>
        <v/>
      </c>
      <c r="BP68" s="159" t="str">
        <f>IF(ISNUMBER(outYear),-'Inputs and Outputs'!BP56*(1-federal_tax_rate/100),"")</f>
        <v/>
      </c>
      <c r="BQ68" s="159" t="str">
        <f>IF(ISNUMBER(outYear),-'Inputs and Outputs'!BQ56*(1-federal_tax_rate/100),"")</f>
        <v/>
      </c>
      <c r="BR68" s="159" t="str">
        <f>IF(ISNUMBER(outYear),-'Inputs and Outputs'!BR56*(1-federal_tax_rate/100),"")</f>
        <v/>
      </c>
      <c r="BS68" s="159" t="str">
        <f>IF(ISNUMBER(outYear),-'Inputs and Outputs'!BS56*(1-federal_tax_rate/100),"")</f>
        <v/>
      </c>
      <c r="BT68" s="159" t="str">
        <f>IF(ISNUMBER(outYear),-'Inputs and Outputs'!BT56*(1-federal_tax_rate/100),"")</f>
        <v/>
      </c>
      <c r="BU68" s="159" t="str">
        <f>IF(ISNUMBER(outYear),-'Inputs and Outputs'!BU56*(1-federal_tax_rate/100),"")</f>
        <v/>
      </c>
      <c r="BV68" s="159" t="str">
        <f>IF(ISNUMBER(outYear),-'Inputs and Outputs'!BV56*(1-federal_tax_rate/100),"")</f>
        <v/>
      </c>
      <c r="BW68" s="159" t="str">
        <f>IF(ISNUMBER(outYear),-'Inputs and Outputs'!BW56*(1-federal_tax_rate/100),"")</f>
        <v/>
      </c>
      <c r="BX68" s="159" t="str">
        <f>IF(ISNUMBER(outYear),-'Inputs and Outputs'!BX56*(1-federal_tax_rate/100),"")</f>
        <v/>
      </c>
      <c r="BY68" s="159" t="str">
        <f>IF(ISNUMBER(outYear),-'Inputs and Outputs'!BY56*(1-federal_tax_rate/100),"")</f>
        <v/>
      </c>
      <c r="BZ68" s="159" t="str">
        <f>IF(ISNUMBER(outYear),-'Inputs and Outputs'!BZ56*(1-federal_tax_rate/100),"")</f>
        <v/>
      </c>
      <c r="CA68" s="159" t="str">
        <f>IF(ISNUMBER(outYear),-'Inputs and Outputs'!CA56*(1-federal_tax_rate/100),"")</f>
        <v/>
      </c>
      <c r="CB68" s="159" t="str">
        <f>IF(ISNUMBER(outYear),-'Inputs and Outputs'!CB56*(1-federal_tax_rate/100),"")</f>
        <v/>
      </c>
      <c r="CC68" s="159" t="str">
        <f>IF(ISNUMBER(outYear),-'Inputs and Outputs'!CC56*(1-federal_tax_rate/100),"")</f>
        <v/>
      </c>
      <c r="CD68" s="159" t="str">
        <f>IF(ISNUMBER(outYear),-'Inputs and Outputs'!CD56*(1-federal_tax_rate/100),"")</f>
        <v/>
      </c>
      <c r="CE68" s="159" t="str">
        <f>IF(ISNUMBER(outYear),-'Inputs and Outputs'!CE56*(1-federal_tax_rate/100),"")</f>
        <v/>
      </c>
      <c r="CF68" s="159" t="str">
        <f>IF(ISNUMBER(outYear),-'Inputs and Outputs'!CF56*(1-federal_tax_rate/100),"")</f>
        <v/>
      </c>
      <c r="CG68" s="159" t="str">
        <f>IF(ISNUMBER(outYear),-'Inputs and Outputs'!CG56*(1-federal_tax_rate/100),"")</f>
        <v/>
      </c>
      <c r="CH68" s="159" t="str">
        <f>IF(ISNUMBER(outYear),-'Inputs and Outputs'!CH56*(1-federal_tax_rate/100),"")</f>
        <v/>
      </c>
      <c r="CI68" s="159" t="str">
        <f>IF(ISNUMBER(outYear),-'Inputs and Outputs'!CI56*(1-federal_tax_rate/100),"")</f>
        <v/>
      </c>
      <c r="CJ68" s="159" t="str">
        <f>IF(ISNUMBER(outYear),-'Inputs and Outputs'!CJ56*(1-federal_tax_rate/100),"")</f>
        <v/>
      </c>
      <c r="CK68" s="159" t="str">
        <f>IF(ISNUMBER(outYear),-'Inputs and Outputs'!CK56*(1-federal_tax_rate/100),"")</f>
        <v/>
      </c>
      <c r="CL68" s="159" t="str">
        <f>IF(ISNUMBER(outYear),-'Inputs and Outputs'!CL56*(1-federal_tax_rate/100),"")</f>
        <v/>
      </c>
      <c r="CM68" s="159" t="str">
        <f>IF(ISNUMBER(outYear),-'Inputs and Outputs'!CM56*(1-federal_tax_rate/100),"")</f>
        <v/>
      </c>
      <c r="CN68" s="159" t="str">
        <f>IF(ISNUMBER(outYear),-'Inputs and Outputs'!CN56*(1-federal_tax_rate/100),"")</f>
        <v/>
      </c>
      <c r="CO68" s="159" t="str">
        <f>IF(ISNUMBER(outYear),-'Inputs and Outputs'!CO56*(1-federal_tax_rate/100),"")</f>
        <v/>
      </c>
      <c r="CP68" s="159" t="str">
        <f>IF(ISNUMBER(outYear),-'Inputs and Outputs'!CP56*(1-federal_tax_rate/100),"")</f>
        <v/>
      </c>
      <c r="CQ68" s="159" t="str">
        <f>IF(ISNUMBER(outYear),-'Inputs and Outputs'!CQ56*(1-federal_tax_rate/100),"")</f>
        <v/>
      </c>
      <c r="CR68" s="159" t="str">
        <f>IF(ISNUMBER(outYear),-'Inputs and Outputs'!CR56*(1-federal_tax_rate/100),"")</f>
        <v/>
      </c>
      <c r="CS68" s="159" t="str">
        <f>IF(ISNUMBER(outYear),-'Inputs and Outputs'!CS56*(1-federal_tax_rate/100),"")</f>
        <v/>
      </c>
      <c r="CT68" s="159" t="str">
        <f>IF(ISNUMBER(outYear),-'Inputs and Outputs'!CT56*(1-federal_tax_rate/100),"")</f>
        <v/>
      </c>
      <c r="CU68" s="159" t="str">
        <f>IF(ISNUMBER(outYear),-'Inputs and Outputs'!CU56*(1-federal_tax_rate/100),"")</f>
        <v/>
      </c>
      <c r="CV68" s="159" t="str">
        <f>IF(ISNUMBER(outYear),-'Inputs and Outputs'!CV56*(1-federal_tax_rate/100),"")</f>
        <v/>
      </c>
      <c r="CW68" s="159" t="str">
        <f>IF(ISNUMBER(outYear),-'Inputs and Outputs'!CW56*(1-federal_tax_rate/100),"")</f>
        <v/>
      </c>
      <c r="CX68" s="159" t="str">
        <f>IF(ISNUMBER(outYear),-'Inputs and Outputs'!CX56*(1-federal_tax_rate/100),"")</f>
        <v/>
      </c>
    </row>
    <row r="69" spans="1:255" x14ac:dyDescent="0.2">
      <c r="A69" t="s">
        <v>110</v>
      </c>
      <c r="B69" s="159">
        <f>IF(ISNUMBER(outYear),B63,"")</f>
        <v>-379902.6</v>
      </c>
      <c r="C69" s="159">
        <f>IF(ISNUMBER(outYear),C63-('Inputs and Outputs'!C57+'Inputs and Outputs'!C58)*(1-federal_tax_rate/100),"")</f>
        <v>-267524.16390000004</v>
      </c>
      <c r="D69" s="159">
        <f>IF(ISNUMBER(outYear),D63-('Inputs and Outputs'!D57+'Inputs and Outputs'!D58)*(1-federal_tax_rate/100),"")</f>
        <v>-444783.37525200006</v>
      </c>
      <c r="E69" s="159">
        <f>IF(ISNUMBER(outYear),E63-('Inputs and Outputs'!E57+'Inputs and Outputs'!E58)*(1-federal_tax_rate/100),"")</f>
        <v>-476653.32052929007</v>
      </c>
      <c r="F69" s="159">
        <f>IF(ISNUMBER(outYear),F63-('Inputs and Outputs'!F57+'Inputs and Outputs'!F58)*(1-federal_tax_rate/100),"")</f>
        <v>-499985.15943645616</v>
      </c>
      <c r="G69" s="159">
        <f>IF(ISNUMBER(outYear),G63-('Inputs and Outputs'!G57+'Inputs and Outputs'!G58)*(1-federal_tax_rate/100),"")</f>
        <v>-510413.38753239904</v>
      </c>
      <c r="H69" s="159">
        <f>IF(ISNUMBER(outYear),H63-('Inputs and Outputs'!H57+'Inputs and Outputs'!H58)*(1-federal_tax_rate/100),"")</f>
        <v>-530882.15078369051</v>
      </c>
      <c r="I69" s="159">
        <f>IF(ISNUMBER(outYear),I63-('Inputs and Outputs'!I57+'Inputs and Outputs'!I58)*(1-federal_tax_rate/100),"")</f>
        <v>-551564.19370721502</v>
      </c>
      <c r="J69" s="159">
        <f>IF(ISNUMBER(outYear),J63-('Inputs and Outputs'!J57+'Inputs and Outputs'!J58)*(1-federal_tax_rate/100),"")</f>
        <v>-562632.34472912841</v>
      </c>
      <c r="K69" s="159">
        <f>IF(ISNUMBER(outYear),K63-('Inputs and Outputs'!K57+'Inputs and Outputs'!K58)*(1-federal_tax_rate/100),"")</f>
        <v>-573922.40809198201</v>
      </c>
      <c r="L69" s="159">
        <f>IF(ISNUMBER(outYear),L63-('Inputs and Outputs'!L57+'Inputs and Outputs'!L58)*(1-federal_tax_rate/100),"")</f>
        <v>-641906.95409487409</v>
      </c>
      <c r="M69" s="159">
        <f>IF(ISNUMBER(outYear),M63-('Inputs and Outputs'!M57+'Inputs and Outputs'!M58)*(1-federal_tax_rate/100),"")</f>
        <v>-597186.14661787485</v>
      </c>
      <c r="N69" s="159">
        <f>IF(ISNUMBER(outYear),N63-('Inputs and Outputs'!N57+'Inputs and Outputs'!N58)*(1-federal_tax_rate/100),"")</f>
        <v>-609168.9835788972</v>
      </c>
      <c r="O69" s="159">
        <f>IF(ISNUMBER(outYear),O63-('Inputs and Outputs'!O57+'Inputs and Outputs'!O58)*(1-federal_tax_rate/100),"")</f>
        <v>-621392.06007816712</v>
      </c>
      <c r="P69" s="159">
        <f>IF(ISNUMBER(outYear),P63-('Inputs and Outputs'!P57+'Inputs and Outputs'!P58)*(1-federal_tax_rate/100),"")</f>
        <v>-633860.18959015515</v>
      </c>
      <c r="Q69" s="159">
        <f>IF(ISNUMBER(outYear),Q63-('Inputs and Outputs'!Q57+'Inputs and Outputs'!Q58)*(1-federal_tax_rate/100),"")</f>
        <v>-646578.28198820807</v>
      </c>
      <c r="R69" s="159">
        <f>IF(ISNUMBER(outYear),R63-('Inputs and Outputs'!R57+'Inputs and Outputs'!R58)*(1-federal_tax_rate/100),"")</f>
        <v>-659551.34547445516</v>
      </c>
      <c r="S69" s="159">
        <f>IF(ISNUMBER(outYear),S63-('Inputs and Outputs'!S57+'Inputs and Outputs'!S58)*(1-federal_tax_rate/100),"")</f>
        <v>-672784.48854833993</v>
      </c>
      <c r="T69" s="159">
        <f>IF(ISNUMBER(outYear),T63-('Inputs and Outputs'!T57+'Inputs and Outputs'!T58)*(1-federal_tax_rate/100),"")</f>
        <v>-686282.9220145517</v>
      </c>
      <c r="U69" s="159">
        <f>IF(ISNUMBER(outYear),U63-('Inputs and Outputs'!U57+'Inputs and Outputs'!U58)*(1-federal_tax_rate/100),"")</f>
        <v>-700051.96103114716</v>
      </c>
      <c r="V69" s="159">
        <f>IF(ISNUMBER(outYear),V63-('Inputs and Outputs'!V57+'Inputs and Outputs'!V58)*(1-federal_tax_rate/100),"")</f>
        <v>-714097.02719866135</v>
      </c>
      <c r="W69" s="159">
        <f>IF(ISNUMBER(outYear),W63-('Inputs and Outputs'!W57+'Inputs and Outputs'!W58)*(1-federal_tax_rate/100),"")</f>
        <v>-728423.65069103427</v>
      </c>
      <c r="X69" s="159">
        <f>IF(ISNUMBER(outYear),X63-('Inputs and Outputs'!X57+'Inputs and Outputs'!X58)*(1-federal_tax_rate/100),"")</f>
        <v>-743037.47242918599</v>
      </c>
      <c r="Y69" s="159">
        <f>IF(ISNUMBER(outYear),Y63-('Inputs and Outputs'!Y57+'Inputs and Outputs'!Y58)*(1-federal_tax_rate/100),"")</f>
        <v>-757944.24629809323</v>
      </c>
      <c r="Z69" s="159">
        <f>IF(ISNUMBER(outYear),Z63-('Inputs and Outputs'!Z57+'Inputs and Outputs'!Z58)*(1-federal_tax_rate/100),"")</f>
        <v>-773149.84140824166</v>
      </c>
      <c r="AA69" s="159">
        <f>IF(ISNUMBER(outYear),AA63-('Inputs and Outputs'!AA57+'Inputs and Outputs'!AA58)*(1-federal_tax_rate/100),"")</f>
        <v>-788660.24440233724</v>
      </c>
      <c r="AB69" s="159" t="str">
        <f>IF(ISNUMBER(outYear),AB63-('Inputs and Outputs'!AB57+'Inputs and Outputs'!AB58)*(1-federal_tax_rate/100),"")</f>
        <v/>
      </c>
      <c r="AC69" s="159" t="str">
        <f>IF(ISNUMBER(outYear),AC63-('Inputs and Outputs'!AC57+'Inputs and Outputs'!AC58)*(1-federal_tax_rate/100),"")</f>
        <v/>
      </c>
      <c r="AD69" s="159" t="str">
        <f>IF(ISNUMBER(outYear),AD63-('Inputs and Outputs'!AD57+'Inputs and Outputs'!AD58)*(1-federal_tax_rate/100),"")</f>
        <v/>
      </c>
      <c r="AE69" s="159" t="str">
        <f>IF(ISNUMBER(outYear),AE63-('Inputs and Outputs'!AE57+'Inputs and Outputs'!AE58)*(1-federal_tax_rate/100),"")</f>
        <v/>
      </c>
      <c r="AF69" s="159" t="str">
        <f>IF(ISNUMBER(outYear),AF63-('Inputs and Outputs'!AF57+'Inputs and Outputs'!AF58)*(1-federal_tax_rate/100),"")</f>
        <v/>
      </c>
      <c r="AG69" s="159" t="str">
        <f>IF(ISNUMBER(outYear),AG63-('Inputs and Outputs'!AG57+'Inputs and Outputs'!AG58)*(1-federal_tax_rate/100),"")</f>
        <v/>
      </c>
      <c r="AH69" s="159" t="str">
        <f>IF(ISNUMBER(outYear),AH63-('Inputs and Outputs'!AH57+'Inputs and Outputs'!AH58)*(1-federal_tax_rate/100),"")</f>
        <v/>
      </c>
      <c r="AI69" s="159" t="str">
        <f>IF(ISNUMBER(outYear),AI63-('Inputs and Outputs'!AI57+'Inputs and Outputs'!AI58)*(1-federal_tax_rate/100),"")</f>
        <v/>
      </c>
      <c r="AJ69" s="159" t="str">
        <f>IF(ISNUMBER(outYear),AJ63-('Inputs and Outputs'!AJ57+'Inputs and Outputs'!AJ58)*(1-federal_tax_rate/100),"")</f>
        <v/>
      </c>
      <c r="AK69" s="159" t="str">
        <f>IF(ISNUMBER(outYear),AK63-('Inputs and Outputs'!AK57+'Inputs and Outputs'!AK58)*(1-federal_tax_rate/100),"")</f>
        <v/>
      </c>
      <c r="AL69" s="159" t="str">
        <f>IF(ISNUMBER(outYear),AL63-('Inputs and Outputs'!AL57+'Inputs and Outputs'!AL58)*(1-federal_tax_rate/100),"")</f>
        <v/>
      </c>
      <c r="AM69" s="159" t="str">
        <f>IF(ISNUMBER(outYear),AM63-('Inputs and Outputs'!AM57+'Inputs and Outputs'!AM58)*(1-federal_tax_rate/100),"")</f>
        <v/>
      </c>
      <c r="AN69" s="159" t="str">
        <f>IF(ISNUMBER(outYear),AN63-('Inputs and Outputs'!AN57+'Inputs and Outputs'!AN58)*(1-federal_tax_rate/100),"")</f>
        <v/>
      </c>
      <c r="AO69" s="159" t="str">
        <f>IF(ISNUMBER(outYear),AO63-('Inputs and Outputs'!AO57+'Inputs and Outputs'!AO58)*(1-federal_tax_rate/100),"")</f>
        <v/>
      </c>
      <c r="AP69" s="159" t="str">
        <f>IF(ISNUMBER(outYear),AP63-('Inputs and Outputs'!AP57+'Inputs and Outputs'!AP58)*(1-federal_tax_rate/100),"")</f>
        <v/>
      </c>
      <c r="AQ69" s="159" t="str">
        <f>IF(ISNUMBER(outYear),AQ63-('Inputs and Outputs'!AQ57+'Inputs and Outputs'!AQ58)*(1-federal_tax_rate/100),"")</f>
        <v/>
      </c>
      <c r="AR69" s="159" t="str">
        <f>IF(ISNUMBER(outYear),AR63-('Inputs and Outputs'!AR57+'Inputs and Outputs'!AR58)*(1-federal_tax_rate/100),"")</f>
        <v/>
      </c>
      <c r="AS69" s="159" t="str">
        <f>IF(ISNUMBER(outYear),AS63-('Inputs and Outputs'!AS57+'Inputs and Outputs'!AS58)*(1-federal_tax_rate/100),"")</f>
        <v/>
      </c>
      <c r="AT69" s="159" t="str">
        <f>IF(ISNUMBER(outYear),AT63-('Inputs and Outputs'!AT57+'Inputs and Outputs'!AT58)*(1-federal_tax_rate/100),"")</f>
        <v/>
      </c>
      <c r="AU69" s="159" t="str">
        <f>IF(ISNUMBER(outYear),AU63-('Inputs and Outputs'!AU57+'Inputs and Outputs'!AU58)*(1-federal_tax_rate/100),"")</f>
        <v/>
      </c>
      <c r="AV69" s="159" t="str">
        <f>IF(ISNUMBER(outYear),AV63-('Inputs and Outputs'!AV57+'Inputs and Outputs'!AV58)*(1-federal_tax_rate/100),"")</f>
        <v/>
      </c>
      <c r="AW69" s="159" t="str">
        <f>IF(ISNUMBER(outYear),AW63-('Inputs and Outputs'!AW57+'Inputs and Outputs'!AW58)*(1-federal_tax_rate/100),"")</f>
        <v/>
      </c>
      <c r="AX69" s="159" t="str">
        <f>IF(ISNUMBER(outYear),AX63-('Inputs and Outputs'!AX57+'Inputs and Outputs'!AX58)*(1-federal_tax_rate/100),"")</f>
        <v/>
      </c>
      <c r="AY69" s="159" t="str">
        <f>IF(ISNUMBER(outYear),AY63-('Inputs and Outputs'!AY57+'Inputs and Outputs'!AY58)*(1-federal_tax_rate/100),"")</f>
        <v/>
      </c>
      <c r="AZ69" s="159" t="str">
        <f>IF(ISNUMBER(outYear),AZ63-('Inputs and Outputs'!AZ57+'Inputs and Outputs'!AZ58)*(1-federal_tax_rate/100),"")</f>
        <v/>
      </c>
      <c r="BA69" s="159" t="str">
        <f>IF(ISNUMBER(outYear),BA63-('Inputs and Outputs'!BA57+'Inputs and Outputs'!BA58)*(1-federal_tax_rate/100),"")</f>
        <v/>
      </c>
      <c r="BB69" s="159" t="str">
        <f>IF(ISNUMBER(outYear),BB63-('Inputs and Outputs'!BB57+'Inputs and Outputs'!BB58)*(1-federal_tax_rate/100),"")</f>
        <v/>
      </c>
      <c r="BC69" s="159" t="str">
        <f>IF(ISNUMBER(outYear),BC63-('Inputs and Outputs'!BC57+'Inputs and Outputs'!BC58)*(1-federal_tax_rate/100),"")</f>
        <v/>
      </c>
      <c r="BD69" s="159" t="str">
        <f>IF(ISNUMBER(outYear),BD63-('Inputs and Outputs'!BD57+'Inputs and Outputs'!BD58)*(1-federal_tax_rate/100),"")</f>
        <v/>
      </c>
      <c r="BE69" s="159" t="str">
        <f>IF(ISNUMBER(outYear),BE63-('Inputs and Outputs'!BE57+'Inputs and Outputs'!BE58)*(1-federal_tax_rate/100),"")</f>
        <v/>
      </c>
      <c r="BF69" s="159" t="str">
        <f>IF(ISNUMBER(outYear),BF63-('Inputs and Outputs'!BF57+'Inputs and Outputs'!BF58)*(1-federal_tax_rate/100),"")</f>
        <v/>
      </c>
      <c r="BG69" s="159" t="str">
        <f>IF(ISNUMBER(outYear),BG63-('Inputs and Outputs'!BG57+'Inputs and Outputs'!BG58)*(1-federal_tax_rate/100),"")</f>
        <v/>
      </c>
      <c r="BH69" s="159" t="str">
        <f>IF(ISNUMBER(outYear),BH63-('Inputs and Outputs'!BH57+'Inputs and Outputs'!BH58)*(1-federal_tax_rate/100),"")</f>
        <v/>
      </c>
      <c r="BI69" s="159" t="str">
        <f>IF(ISNUMBER(outYear),BI63-('Inputs and Outputs'!BI57+'Inputs and Outputs'!BI58)*(1-federal_tax_rate/100),"")</f>
        <v/>
      </c>
      <c r="BJ69" s="159" t="str">
        <f>IF(ISNUMBER(outYear),BJ63-('Inputs and Outputs'!BJ57+'Inputs and Outputs'!BJ58)*(1-federal_tax_rate/100),"")</f>
        <v/>
      </c>
      <c r="BK69" s="159" t="str">
        <f>IF(ISNUMBER(outYear),BK63-('Inputs and Outputs'!BK57+'Inputs and Outputs'!BK58)*(1-federal_tax_rate/100),"")</f>
        <v/>
      </c>
      <c r="BL69" s="159" t="str">
        <f>IF(ISNUMBER(outYear),BL63-('Inputs and Outputs'!BL57+'Inputs and Outputs'!BL58)*(1-federal_tax_rate/100),"")</f>
        <v/>
      </c>
      <c r="BM69" s="159" t="str">
        <f>IF(ISNUMBER(outYear),BM63-('Inputs and Outputs'!BM57+'Inputs and Outputs'!BM58)*(1-federal_tax_rate/100),"")</f>
        <v/>
      </c>
      <c r="BN69" s="159" t="str">
        <f>IF(ISNUMBER(outYear),BN63-('Inputs and Outputs'!BN57+'Inputs and Outputs'!BN58)*(1-federal_tax_rate/100),"")</f>
        <v/>
      </c>
      <c r="BO69" s="159" t="str">
        <f>IF(ISNUMBER(outYear),BO63-('Inputs and Outputs'!BO57+'Inputs and Outputs'!BO58)*(1-federal_tax_rate/100),"")</f>
        <v/>
      </c>
      <c r="BP69" s="159" t="str">
        <f>IF(ISNUMBER(outYear),BP63-('Inputs and Outputs'!BP57+'Inputs and Outputs'!BP58)*(1-federal_tax_rate/100),"")</f>
        <v/>
      </c>
      <c r="BQ69" s="159" t="str">
        <f>IF(ISNUMBER(outYear),BQ63-('Inputs and Outputs'!BQ57+'Inputs and Outputs'!BQ58)*(1-federal_tax_rate/100),"")</f>
        <v/>
      </c>
      <c r="BR69" s="159" t="str">
        <f>IF(ISNUMBER(outYear),BR63-('Inputs and Outputs'!BR57+'Inputs and Outputs'!BR58)*(1-federal_tax_rate/100),"")</f>
        <v/>
      </c>
      <c r="BS69" s="159" t="str">
        <f>IF(ISNUMBER(outYear),BS63-('Inputs and Outputs'!BS57+'Inputs and Outputs'!BS58)*(1-federal_tax_rate/100),"")</f>
        <v/>
      </c>
      <c r="BT69" s="159" t="str">
        <f>IF(ISNUMBER(outYear),BT63-('Inputs and Outputs'!BT57+'Inputs and Outputs'!BT58)*(1-federal_tax_rate/100),"")</f>
        <v/>
      </c>
      <c r="BU69" s="159" t="str">
        <f>IF(ISNUMBER(outYear),BU63-('Inputs and Outputs'!BU57+'Inputs and Outputs'!BU58)*(1-federal_tax_rate/100),"")</f>
        <v/>
      </c>
      <c r="BV69" s="159" t="str">
        <f>IF(ISNUMBER(outYear),BV63-('Inputs and Outputs'!BV57+'Inputs and Outputs'!BV58)*(1-federal_tax_rate/100),"")</f>
        <v/>
      </c>
      <c r="BW69" s="159" t="str">
        <f>IF(ISNUMBER(outYear),BW63-('Inputs and Outputs'!BW57+'Inputs and Outputs'!BW58)*(1-federal_tax_rate/100),"")</f>
        <v/>
      </c>
      <c r="BX69" s="159" t="str">
        <f>IF(ISNUMBER(outYear),BX63-('Inputs and Outputs'!BX57+'Inputs and Outputs'!BX58)*(1-federal_tax_rate/100),"")</f>
        <v/>
      </c>
      <c r="BY69" s="159" t="str">
        <f>IF(ISNUMBER(outYear),BY63-('Inputs and Outputs'!BY57+'Inputs and Outputs'!BY58)*(1-federal_tax_rate/100),"")</f>
        <v/>
      </c>
      <c r="BZ69" s="159" t="str">
        <f>IF(ISNUMBER(outYear),BZ63-('Inputs and Outputs'!BZ57+'Inputs and Outputs'!BZ58)*(1-federal_tax_rate/100),"")</f>
        <v/>
      </c>
      <c r="CA69" s="159" t="str">
        <f>IF(ISNUMBER(outYear),CA63-('Inputs and Outputs'!CA57+'Inputs and Outputs'!CA58)*(1-federal_tax_rate/100),"")</f>
        <v/>
      </c>
      <c r="CB69" s="159" t="str">
        <f>IF(ISNUMBER(outYear),CB63-('Inputs and Outputs'!CB57+'Inputs and Outputs'!CB58)*(1-federal_tax_rate/100),"")</f>
        <v/>
      </c>
      <c r="CC69" s="159" t="str">
        <f>IF(ISNUMBER(outYear),CC63-('Inputs and Outputs'!CC57+'Inputs and Outputs'!CC58)*(1-federal_tax_rate/100),"")</f>
        <v/>
      </c>
      <c r="CD69" s="159" t="str">
        <f>IF(ISNUMBER(outYear),CD63-('Inputs and Outputs'!CD57+'Inputs and Outputs'!CD58)*(1-federal_tax_rate/100),"")</f>
        <v/>
      </c>
      <c r="CE69" s="159" t="str">
        <f>IF(ISNUMBER(outYear),CE63-('Inputs and Outputs'!CE57+'Inputs and Outputs'!CE58)*(1-federal_tax_rate/100),"")</f>
        <v/>
      </c>
      <c r="CF69" s="159" t="str">
        <f>IF(ISNUMBER(outYear),CF63-('Inputs and Outputs'!CF57+'Inputs and Outputs'!CF58)*(1-federal_tax_rate/100),"")</f>
        <v/>
      </c>
      <c r="CG69" s="159" t="str">
        <f>IF(ISNUMBER(outYear),CG63-('Inputs and Outputs'!CG57+'Inputs and Outputs'!CG58)*(1-federal_tax_rate/100),"")</f>
        <v/>
      </c>
      <c r="CH69" s="159" t="str">
        <f>IF(ISNUMBER(outYear),CH63-('Inputs and Outputs'!CH57+'Inputs and Outputs'!CH58)*(1-federal_tax_rate/100),"")</f>
        <v/>
      </c>
      <c r="CI69" s="159" t="str">
        <f>IF(ISNUMBER(outYear),CI63-('Inputs and Outputs'!CI57+'Inputs and Outputs'!CI58)*(1-federal_tax_rate/100),"")</f>
        <v/>
      </c>
      <c r="CJ69" s="159" t="str">
        <f>IF(ISNUMBER(outYear),CJ63-('Inputs and Outputs'!CJ57+'Inputs and Outputs'!CJ58)*(1-federal_tax_rate/100),"")</f>
        <v/>
      </c>
      <c r="CK69" s="159" t="str">
        <f>IF(ISNUMBER(outYear),CK63-('Inputs and Outputs'!CK57+'Inputs and Outputs'!CK58)*(1-federal_tax_rate/100),"")</f>
        <v/>
      </c>
      <c r="CL69" s="159" t="str">
        <f>IF(ISNUMBER(outYear),CL63-('Inputs and Outputs'!CL57+'Inputs and Outputs'!CL58)*(1-federal_tax_rate/100),"")</f>
        <v/>
      </c>
      <c r="CM69" s="159" t="str">
        <f>IF(ISNUMBER(outYear),CM63-('Inputs and Outputs'!CM57+'Inputs and Outputs'!CM58)*(1-federal_tax_rate/100),"")</f>
        <v/>
      </c>
      <c r="CN69" s="159" t="str">
        <f>IF(ISNUMBER(outYear),CN63-('Inputs and Outputs'!CN57+'Inputs and Outputs'!CN58)*(1-federal_tax_rate/100),"")</f>
        <v/>
      </c>
      <c r="CO69" s="159" t="str">
        <f>IF(ISNUMBER(outYear),CO63-('Inputs and Outputs'!CO57+'Inputs and Outputs'!CO58)*(1-federal_tax_rate/100),"")</f>
        <v/>
      </c>
      <c r="CP69" s="159" t="str">
        <f>IF(ISNUMBER(outYear),CP63-('Inputs and Outputs'!CP57+'Inputs and Outputs'!CP58)*(1-federal_tax_rate/100),"")</f>
        <v/>
      </c>
      <c r="CQ69" s="159" t="str">
        <f>IF(ISNUMBER(outYear),CQ63-('Inputs and Outputs'!CQ57+'Inputs and Outputs'!CQ58)*(1-federal_tax_rate/100),"")</f>
        <v/>
      </c>
      <c r="CR69" s="159" t="str">
        <f>IF(ISNUMBER(outYear),CR63-('Inputs and Outputs'!CR57+'Inputs and Outputs'!CR58)*(1-federal_tax_rate/100),"")</f>
        <v/>
      </c>
      <c r="CS69" s="159" t="str">
        <f>IF(ISNUMBER(outYear),CS63-('Inputs and Outputs'!CS57+'Inputs and Outputs'!CS58)*(1-federal_tax_rate/100),"")</f>
        <v/>
      </c>
      <c r="CT69" s="159" t="str">
        <f>IF(ISNUMBER(outYear),CT63-('Inputs and Outputs'!CT57+'Inputs and Outputs'!CT58)*(1-federal_tax_rate/100),"")</f>
        <v/>
      </c>
      <c r="CU69" s="159" t="str">
        <f>IF(ISNUMBER(outYear),CU63-('Inputs and Outputs'!CU57+'Inputs and Outputs'!CU58)*(1-federal_tax_rate/100),"")</f>
        <v/>
      </c>
      <c r="CV69" s="159" t="str">
        <f>IF(ISNUMBER(outYear),CV63-('Inputs and Outputs'!CV57+'Inputs and Outputs'!CV58)*(1-federal_tax_rate/100),"")</f>
        <v/>
      </c>
      <c r="CW69" s="159" t="str">
        <f>IF(ISNUMBER(outYear),CW63-('Inputs and Outputs'!CW57+'Inputs and Outputs'!CW58)*(1-federal_tax_rate/100),"")</f>
        <v/>
      </c>
      <c r="CX69" s="159" t="str">
        <f>IF(ISNUMBER(outYear),CX63-('Inputs and Outputs'!CX57+'Inputs and Outputs'!CX58)*(1-federal_tax_rate/100),"")</f>
        <v/>
      </c>
    </row>
    <row r="71" spans="1:255" x14ac:dyDescent="0.2">
      <c r="C71" s="159"/>
    </row>
    <row r="72" spans="1:255" x14ac:dyDescent="0.2">
      <c r="C72" s="159"/>
      <c r="D72" s="159"/>
    </row>
    <row r="74" spans="1:255" x14ac:dyDescent="0.2">
      <c r="B74" s="159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55</vt:i4>
      </vt:variant>
    </vt:vector>
  </HeadingPairs>
  <TitlesOfParts>
    <vt:vector size="57" baseType="lpstr">
      <vt:lpstr>Inputs and Outputs</vt:lpstr>
      <vt:lpstr>Cash Flow</vt:lpstr>
      <vt:lpstr>analysis_period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2017-06-12T19:59:21Z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