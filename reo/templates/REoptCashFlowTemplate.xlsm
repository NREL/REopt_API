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65" windowWidth="10800" windowHeight="8760" tabRatio="591" activeTab="1"/>
  </bookViews>
  <sheets>
    <sheet name="Inputs and Outputs" sheetId="7" r:id="rId1"/>
    <sheet name="Cash Flow" sheetId="8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Flow'!$C$80:$CX$80</definedName>
    <definedName name="cbi_fed_amount">'Inputs and Outputs'!$B$50</definedName>
    <definedName name="cbi_fed_deprbas_fed">'Inputs and Outputs'!$F$50</definedName>
    <definedName name="cbi_fed_deprbas_sta">'Inputs and Outputs'!$G$50</definedName>
    <definedName name="cbi_fed_maxvalue">'Inputs and Outputs'!$C$50</definedName>
    <definedName name="cbi_fed_tax_fed">'Inputs and Outputs'!$D$50</definedName>
    <definedName name="cbi_fed_tax_sta">'Inputs and Outputs'!$E$50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Outputs'!$B$51</definedName>
    <definedName name="cbi_sta_deprbas_fed">'Inputs and Outputs'!$F$51</definedName>
    <definedName name="cbi_sta_deprbas_sta">'Inputs and Outputs'!$G$51</definedName>
    <definedName name="cbi_sta_maxvalue">'Inputs and Outputs'!$C$51</definedName>
    <definedName name="cbi_sta_tax_fed">'Inputs and Outputs'!$D$51</definedName>
    <definedName name="cbi_sta_tax_sta">'Inputs and Outputs'!$E$51</definedName>
    <definedName name="cbi_uti_amount">'Inputs and Outputs'!$B$52</definedName>
    <definedName name="cbi_uti_deprbas_fed">'Inputs and Outputs'!$F$52</definedName>
    <definedName name="cbi_uti_deprbas_sta">'Inputs and Outputs'!$G$52</definedName>
    <definedName name="cbi_uti_maxvalue">'Inputs and Outputs'!$C$52</definedName>
    <definedName name="cbi_uti_tax_fed">'Inputs and Outputs'!$D$52</definedName>
    <definedName name="cbi_uti_tax_sta">'Inputs and Outputs'!$E$52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Outputs'!$B$57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Outputs'!$B$47</definedName>
    <definedName name="ibi_sta_percent_deprbas_fed">'Inputs and Outputs'!$F$47</definedName>
    <definedName name="ibi_sta_percent_deprbas_sta">'Inputs and Outputs'!$G$47</definedName>
    <definedName name="ibi_sta_percent_maxvalue">'Inputs and Outputs'!$C$47</definedName>
    <definedName name="ibi_sta_percent_tax_fed">'Inputs and Outputs'!$D$47</definedName>
    <definedName name="ibi_sta_percent_tax_sta">'Inputs and Outputs'!$E$47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Outputs'!$B$48</definedName>
    <definedName name="ibi_uti_percent_deprbas_fed">'Inputs and Outputs'!$F$48</definedName>
    <definedName name="ibi_uti_percent_deprbas_sta">'Inputs and Outputs'!$G$48</definedName>
    <definedName name="ibi_uti_percent_maxvalue">'Inputs and Outputs'!$C$48</definedName>
    <definedName name="ibi_uti_percent_tax_fed">'Inputs and Outputs'!$D$48</definedName>
    <definedName name="ibi_uti_percent_tax_sta">'Inputs and Outputs'!$E$48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Outputs'!$B$42</definedName>
    <definedName name="itc_fed_percent_deprbas_fed">'Inputs and Outputs'!$D$42</definedName>
    <definedName name="itc_fed_percent_deprbas_sta">'Inputs and Outputs'!$E$42</definedName>
    <definedName name="itc_fed_percent_deprbas_state">'Inputs and Outputs'!$E$42</definedName>
    <definedName name="itc_fed_percent_maxvalue">'Inputs and Outputs'!$C$42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Outputs'!$B$54</definedName>
    <definedName name="pbi_combined_maxvalue">'Inputs and Outputs'!$C$54</definedName>
    <definedName name="pbi_combined_tax_fed">'Inputs and Outputs'!$D$54</definedName>
    <definedName name="pbi_combined_tax_sta">'Inputs and Outputs'!$E$54</definedName>
    <definedName name="pbi_combined_term">'Inputs and Outputs'!$F$54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Outputs'!$B$36</definedName>
    <definedName name="prop_tax_cost_assessed_percent">'Inputs and Outputs'!$B$34</definedName>
    <definedName name="property_tax_rate">'Inputs and Outputs'!$B$37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Outputs'!$B$32</definedName>
    <definedName name="StateDepreciation">'Inputs and Outputs'!$B$58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Outputs'!$B$59</definedName>
  </definedNames>
  <calcPr calcId="145621"/>
</workbook>
</file>

<file path=xl/calcChain.xml><?xml version="1.0" encoding="utf-8"?>
<calcChain xmlns="http://schemas.openxmlformats.org/spreadsheetml/2006/main">
  <c r="C78" i="8" l="1"/>
  <c r="D78" i="8"/>
  <c r="E78" i="8"/>
  <c r="F78" i="8"/>
  <c r="G78" i="8"/>
  <c r="H78" i="8"/>
  <c r="I78" i="8"/>
  <c r="J78" i="8"/>
  <c r="K78" i="8"/>
  <c r="L78" i="8"/>
  <c r="M78" i="8"/>
  <c r="N78" i="8"/>
  <c r="O78" i="8"/>
  <c r="P78" i="8"/>
  <c r="Q78" i="8"/>
  <c r="R78" i="8"/>
  <c r="S78" i="8"/>
  <c r="T78" i="8"/>
  <c r="U78" i="8"/>
  <c r="V78" i="8"/>
  <c r="W78" i="8"/>
  <c r="X78" i="8"/>
  <c r="Y78" i="8"/>
  <c r="Z78" i="8"/>
  <c r="AA78" i="8"/>
  <c r="AB78" i="8"/>
  <c r="AC78" i="8"/>
  <c r="AD78" i="8"/>
  <c r="AE78" i="8"/>
  <c r="AF78" i="8"/>
  <c r="AG78" i="8"/>
  <c r="AH78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BQ78" i="8"/>
  <c r="BR78" i="8"/>
  <c r="BS78" i="8"/>
  <c r="BT78" i="8"/>
  <c r="BU78" i="8"/>
  <c r="BV78" i="8"/>
  <c r="BW78" i="8"/>
  <c r="BX78" i="8"/>
  <c r="BY78" i="8"/>
  <c r="BZ78" i="8"/>
  <c r="CA78" i="8"/>
  <c r="CB78" i="8"/>
  <c r="CC78" i="8"/>
  <c r="CD78" i="8"/>
  <c r="CE78" i="8"/>
  <c r="CF78" i="8"/>
  <c r="CG78" i="8"/>
  <c r="CH78" i="8"/>
  <c r="CI78" i="8"/>
  <c r="CJ78" i="8"/>
  <c r="CK78" i="8"/>
  <c r="CL78" i="8"/>
  <c r="CM78" i="8"/>
  <c r="CN78" i="8"/>
  <c r="CO78" i="8"/>
  <c r="CP78" i="8"/>
  <c r="CQ78" i="8"/>
  <c r="CR78" i="8"/>
  <c r="CS78" i="8"/>
  <c r="CT78" i="8"/>
  <c r="CU78" i="8"/>
  <c r="CV78" i="8"/>
  <c r="CW78" i="8"/>
  <c r="CX78" i="8"/>
  <c r="B78" i="8"/>
  <c r="D44" i="8" l="1"/>
  <c r="E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AA44" i="8"/>
  <c r="AB44" i="8"/>
  <c r="AC44" i="8"/>
  <c r="AD44" i="8"/>
  <c r="AE44" i="8"/>
  <c r="AF44" i="8"/>
  <c r="AG44" i="8"/>
  <c r="AH44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T44" i="8"/>
  <c r="BU44" i="8"/>
  <c r="BV44" i="8"/>
  <c r="BW44" i="8"/>
  <c r="BX44" i="8"/>
  <c r="BY44" i="8"/>
  <c r="BZ44" i="8"/>
  <c r="CA44" i="8"/>
  <c r="CB44" i="8"/>
  <c r="CC44" i="8"/>
  <c r="CD44" i="8"/>
  <c r="CE44" i="8"/>
  <c r="CF44" i="8"/>
  <c r="CG44" i="8"/>
  <c r="CH44" i="8"/>
  <c r="CI44" i="8"/>
  <c r="CJ44" i="8"/>
  <c r="CK44" i="8"/>
  <c r="CL44" i="8"/>
  <c r="CM44" i="8"/>
  <c r="CN44" i="8"/>
  <c r="CO44" i="8"/>
  <c r="CP44" i="8"/>
  <c r="CQ44" i="8"/>
  <c r="CR44" i="8"/>
  <c r="CS44" i="8"/>
  <c r="CT44" i="8"/>
  <c r="CU44" i="8"/>
  <c r="CV44" i="8"/>
  <c r="CW44" i="8"/>
  <c r="CX44" i="8"/>
  <c r="C44" i="8"/>
  <c r="C48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BU50" i="8"/>
  <c r="BV50" i="8"/>
  <c r="BW50" i="8"/>
  <c r="BX50" i="8"/>
  <c r="BY50" i="8"/>
  <c r="BZ50" i="8"/>
  <c r="CA50" i="8"/>
  <c r="CB50" i="8"/>
  <c r="CC50" i="8"/>
  <c r="CD50" i="8"/>
  <c r="CE50" i="8"/>
  <c r="CF50" i="8"/>
  <c r="CG50" i="8"/>
  <c r="CH50" i="8"/>
  <c r="CI50" i="8"/>
  <c r="CJ50" i="8"/>
  <c r="CK50" i="8"/>
  <c r="CL50" i="8"/>
  <c r="CM50" i="8"/>
  <c r="CN50" i="8"/>
  <c r="CO50" i="8"/>
  <c r="CP50" i="8"/>
  <c r="CQ50" i="8"/>
  <c r="CR50" i="8"/>
  <c r="CS50" i="8"/>
  <c r="CT50" i="8"/>
  <c r="CU50" i="8"/>
  <c r="CV50" i="8"/>
  <c r="CW50" i="8"/>
  <c r="CX50" i="8"/>
  <c r="AB50" i="8"/>
  <c r="E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AA62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U62" i="8"/>
  <c r="BV62" i="8"/>
  <c r="BW62" i="8"/>
  <c r="BX62" i="8"/>
  <c r="BY62" i="8"/>
  <c r="BZ62" i="8"/>
  <c r="CA62" i="8"/>
  <c r="CB62" i="8"/>
  <c r="CC62" i="8"/>
  <c r="CD62" i="8"/>
  <c r="CE62" i="8"/>
  <c r="CF62" i="8"/>
  <c r="CG62" i="8"/>
  <c r="CH62" i="8"/>
  <c r="CI62" i="8"/>
  <c r="CJ62" i="8"/>
  <c r="CK62" i="8"/>
  <c r="CL62" i="8"/>
  <c r="CM62" i="8"/>
  <c r="CN62" i="8"/>
  <c r="CO62" i="8"/>
  <c r="CP62" i="8"/>
  <c r="CQ62" i="8"/>
  <c r="CR62" i="8"/>
  <c r="CS62" i="8"/>
  <c r="CT62" i="8"/>
  <c r="CU62" i="8"/>
  <c r="CV62" i="8"/>
  <c r="CW62" i="8"/>
  <c r="CX62" i="8"/>
  <c r="D62" i="8"/>
  <c r="F48" i="8"/>
  <c r="G48" i="8"/>
  <c r="H48" i="8"/>
  <c r="I48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AA48" i="8"/>
  <c r="AB48" i="8"/>
  <c r="AC48" i="8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T48" i="8"/>
  <c r="BU48" i="8"/>
  <c r="BV48" i="8"/>
  <c r="BW48" i="8"/>
  <c r="BX48" i="8"/>
  <c r="BY48" i="8"/>
  <c r="BZ48" i="8"/>
  <c r="CA48" i="8"/>
  <c r="CB48" i="8"/>
  <c r="CC48" i="8"/>
  <c r="CD48" i="8"/>
  <c r="CE48" i="8"/>
  <c r="CF48" i="8"/>
  <c r="CG48" i="8"/>
  <c r="CH48" i="8"/>
  <c r="CI48" i="8"/>
  <c r="CJ48" i="8"/>
  <c r="CK48" i="8"/>
  <c r="CL48" i="8"/>
  <c r="CM48" i="8"/>
  <c r="CN48" i="8"/>
  <c r="CO48" i="8"/>
  <c r="CP48" i="8"/>
  <c r="CQ48" i="8"/>
  <c r="CR48" i="8"/>
  <c r="CS48" i="8"/>
  <c r="CT48" i="8"/>
  <c r="CU48" i="8"/>
  <c r="CV48" i="8"/>
  <c r="CW48" i="8"/>
  <c r="CX48" i="8"/>
  <c r="E48" i="8"/>
  <c r="D48" i="8"/>
  <c r="D45" i="8"/>
  <c r="E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V45" i="8"/>
  <c r="W45" i="8"/>
  <c r="X45" i="8"/>
  <c r="Y45" i="8"/>
  <c r="Z45" i="8"/>
  <c r="AA45" i="8"/>
  <c r="AB45" i="8"/>
  <c r="AC45" i="8"/>
  <c r="AD45" i="8"/>
  <c r="AE45" i="8"/>
  <c r="AF45" i="8"/>
  <c r="AG45" i="8"/>
  <c r="AH45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T45" i="8"/>
  <c r="BU45" i="8"/>
  <c r="BV45" i="8"/>
  <c r="BW45" i="8"/>
  <c r="BX45" i="8"/>
  <c r="BY45" i="8"/>
  <c r="BZ45" i="8"/>
  <c r="CA45" i="8"/>
  <c r="CB45" i="8"/>
  <c r="CC45" i="8"/>
  <c r="CD45" i="8"/>
  <c r="CE45" i="8"/>
  <c r="CF45" i="8"/>
  <c r="CG45" i="8"/>
  <c r="CH45" i="8"/>
  <c r="CI45" i="8"/>
  <c r="CJ45" i="8"/>
  <c r="CK45" i="8"/>
  <c r="CL45" i="8"/>
  <c r="CM45" i="8"/>
  <c r="CN45" i="8"/>
  <c r="CO45" i="8"/>
  <c r="CP45" i="8"/>
  <c r="CQ45" i="8"/>
  <c r="CR45" i="8"/>
  <c r="CS45" i="8"/>
  <c r="CT45" i="8"/>
  <c r="CU45" i="8"/>
  <c r="CV45" i="8"/>
  <c r="CW45" i="8"/>
  <c r="CX45" i="8"/>
  <c r="C45" i="8" l="1"/>
  <c r="C62" i="8"/>
  <c r="C2" i="8"/>
  <c r="C64" i="7"/>
  <c r="D2" i="8" l="1"/>
  <c r="B83" i="8"/>
  <c r="C67" i="7"/>
  <c r="E2" i="8" l="1"/>
  <c r="F2" i="8" s="1"/>
  <c r="G2" i="8" s="1"/>
  <c r="H2" i="8" s="1"/>
  <c r="I2" i="8" s="1"/>
  <c r="J2" i="8" s="1"/>
  <c r="K2" i="8" s="1"/>
  <c r="L2" i="8" s="1"/>
  <c r="B58" i="8"/>
  <c r="L14" i="8" l="1"/>
  <c r="L13" i="8"/>
  <c r="M2" i="8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BI2" i="8" s="1"/>
  <c r="BJ2" i="8" s="1"/>
  <c r="BK2" i="8" s="1"/>
  <c r="BL2" i="8" s="1"/>
  <c r="BM2" i="8" s="1"/>
  <c r="BN2" i="8" s="1"/>
  <c r="BO2" i="8" s="1"/>
  <c r="BP2" i="8" s="1"/>
  <c r="BQ2" i="8" s="1"/>
  <c r="BR2" i="8" s="1"/>
  <c r="BS2" i="8" s="1"/>
  <c r="BT2" i="8" s="1"/>
  <c r="BU2" i="8" s="1"/>
  <c r="BV2" i="8" s="1"/>
  <c r="BW2" i="8" s="1"/>
  <c r="BX2" i="8" s="1"/>
  <c r="BY2" i="8" s="1"/>
  <c r="BZ2" i="8" s="1"/>
  <c r="CA2" i="8" s="1"/>
  <c r="CB2" i="8" s="1"/>
  <c r="CC2" i="8" s="1"/>
  <c r="CD2" i="8" s="1"/>
  <c r="CE2" i="8" s="1"/>
  <c r="CF2" i="8" s="1"/>
  <c r="CG2" i="8" s="1"/>
  <c r="CH2" i="8" s="1"/>
  <c r="CI2" i="8" s="1"/>
  <c r="CJ2" i="8" s="1"/>
  <c r="CK2" i="8" s="1"/>
  <c r="CL2" i="8" s="1"/>
  <c r="CM2" i="8" s="1"/>
  <c r="CN2" i="8" s="1"/>
  <c r="CO2" i="8" s="1"/>
  <c r="CP2" i="8" s="1"/>
  <c r="CQ2" i="8" s="1"/>
  <c r="CR2" i="8" s="1"/>
  <c r="CS2" i="8" s="1"/>
  <c r="CT2" i="8" s="1"/>
  <c r="CU2" i="8" s="1"/>
  <c r="CV2" i="8" s="1"/>
  <c r="CW2" i="8" s="1"/>
  <c r="CX2" i="8" s="1"/>
  <c r="C66" i="8" a="1"/>
  <c r="D66" i="8" s="1"/>
  <c r="B73" i="8"/>
  <c r="B67" i="8" s="1"/>
  <c r="C52" i="8" a="1"/>
  <c r="E52" i="8" s="1"/>
  <c r="C36" i="8"/>
  <c r="C35" i="8"/>
  <c r="B35" i="7"/>
  <c r="B53" i="8" l="1"/>
  <c r="BV66" i="8"/>
  <c r="AL66" i="8"/>
  <c r="BA66" i="8"/>
  <c r="CC66" i="8"/>
  <c r="O66" i="8"/>
  <c r="BG66" i="8"/>
  <c r="AE66" i="8"/>
  <c r="CL66" i="8"/>
  <c r="BF66" i="8"/>
  <c r="W66" i="8"/>
  <c r="CX66" i="8"/>
  <c r="BS66" i="8"/>
  <c r="AQ66" i="8"/>
  <c r="Q66" i="8"/>
  <c r="CI66" i="8"/>
  <c r="BN66" i="8"/>
  <c r="AS66" i="8"/>
  <c r="AC66" i="8"/>
  <c r="J66" i="8"/>
  <c r="CT66" i="8"/>
  <c r="CA66" i="8"/>
  <c r="BM66" i="8"/>
  <c r="AX66" i="8"/>
  <c r="AK66" i="8"/>
  <c r="V66" i="8"/>
  <c r="G66" i="8"/>
  <c r="CJ52" i="8"/>
  <c r="AI52" i="8"/>
  <c r="BD52" i="8"/>
  <c r="N52" i="8"/>
  <c r="CP66" i="8"/>
  <c r="CD66" i="8"/>
  <c r="BW66" i="8"/>
  <c r="BQ66" i="8"/>
  <c r="BI66" i="8"/>
  <c r="BB66" i="8"/>
  <c r="AU66" i="8"/>
  <c r="AM66" i="8"/>
  <c r="AG66" i="8"/>
  <c r="Z66" i="8"/>
  <c r="R66" i="8"/>
  <c r="K66" i="8"/>
  <c r="E66" i="8"/>
  <c r="AT52" i="8"/>
  <c r="C52" i="8"/>
  <c r="BO52" i="8"/>
  <c r="X52" i="8"/>
  <c r="CQ66" i="8"/>
  <c r="CH66" i="8"/>
  <c r="BY66" i="8"/>
  <c r="BR66" i="8"/>
  <c r="BK66" i="8"/>
  <c r="BC66" i="8"/>
  <c r="AW66" i="8"/>
  <c r="AP66" i="8"/>
  <c r="AH66" i="8"/>
  <c r="AA66" i="8"/>
  <c r="U66" i="8"/>
  <c r="M66" i="8"/>
  <c r="F66" i="8"/>
  <c r="CU52" i="8"/>
  <c r="BZ52" i="8"/>
  <c r="BJ52" i="8"/>
  <c r="AY52" i="8"/>
  <c r="AN52" i="8"/>
  <c r="AD52" i="8"/>
  <c r="S52" i="8"/>
  <c r="H52" i="8"/>
  <c r="CU66" i="8"/>
  <c r="CM66" i="8"/>
  <c r="CE66" i="8"/>
  <c r="BZ66" i="8"/>
  <c r="BU66" i="8"/>
  <c r="BO66" i="8"/>
  <c r="BJ66" i="8"/>
  <c r="BE66" i="8"/>
  <c r="AY66" i="8"/>
  <c r="AT66" i="8"/>
  <c r="AO66" i="8"/>
  <c r="AI66" i="8"/>
  <c r="AD66" i="8"/>
  <c r="Y66" i="8"/>
  <c r="S66" i="8"/>
  <c r="N66" i="8"/>
  <c r="I66" i="8"/>
  <c r="C66" i="8"/>
  <c r="C68" i="8" s="1"/>
  <c r="CE52" i="8"/>
  <c r="BN52" i="8"/>
  <c r="BC52" i="8"/>
  <c r="AR52" i="8"/>
  <c r="AH52" i="8"/>
  <c r="W52" i="8"/>
  <c r="L52" i="8"/>
  <c r="CP52" i="8"/>
  <c r="BT52" i="8"/>
  <c r="BH52" i="8"/>
  <c r="AX52" i="8"/>
  <c r="AM52" i="8"/>
  <c r="AB52" i="8"/>
  <c r="R52" i="8"/>
  <c r="G52" i="8"/>
  <c r="CW66" i="8"/>
  <c r="CS66" i="8"/>
  <c r="CO66" i="8"/>
  <c r="CK66" i="8"/>
  <c r="CG66" i="8"/>
  <c r="CV66" i="8"/>
  <c r="CR66" i="8"/>
  <c r="CN66" i="8"/>
  <c r="CJ66" i="8"/>
  <c r="CF66" i="8"/>
  <c r="CB66" i="8"/>
  <c r="BX66" i="8"/>
  <c r="BT66" i="8"/>
  <c r="BP66" i="8"/>
  <c r="BL66" i="8"/>
  <c r="BH66" i="8"/>
  <c r="BD66" i="8"/>
  <c r="AZ66" i="8"/>
  <c r="AV66" i="8"/>
  <c r="AR66" i="8"/>
  <c r="AN66" i="8"/>
  <c r="AJ66" i="8"/>
  <c r="AF66" i="8"/>
  <c r="AB66" i="8"/>
  <c r="X66" i="8"/>
  <c r="T66" i="8"/>
  <c r="P66" i="8"/>
  <c r="L66" i="8"/>
  <c r="H66" i="8"/>
  <c r="CX52" i="8"/>
  <c r="CR52" i="8"/>
  <c r="CM52" i="8"/>
  <c r="CH52" i="8"/>
  <c r="CB52" i="8"/>
  <c r="BW52" i="8"/>
  <c r="BR52" i="8"/>
  <c r="BL52" i="8"/>
  <c r="BG52" i="8"/>
  <c r="BB52" i="8"/>
  <c r="AV52" i="8"/>
  <c r="AQ52" i="8"/>
  <c r="AL52" i="8"/>
  <c r="AF52" i="8"/>
  <c r="AA52" i="8"/>
  <c r="V52" i="8"/>
  <c r="P52" i="8"/>
  <c r="K52" i="8"/>
  <c r="F52" i="8"/>
  <c r="CT52" i="8"/>
  <c r="CN52" i="8"/>
  <c r="CI52" i="8"/>
  <c r="CD52" i="8"/>
  <c r="BX52" i="8"/>
  <c r="BS52" i="8"/>
  <c r="CV52" i="8"/>
  <c r="CQ52" i="8"/>
  <c r="CL52" i="8"/>
  <c r="CF52" i="8"/>
  <c r="CA52" i="8"/>
  <c r="BV52" i="8"/>
  <c r="BP52" i="8"/>
  <c r="BK52" i="8"/>
  <c r="BF52" i="8"/>
  <c r="AZ52" i="8"/>
  <c r="AU52" i="8"/>
  <c r="AP52" i="8"/>
  <c r="AJ52" i="8"/>
  <c r="AE52" i="8"/>
  <c r="Z52" i="8"/>
  <c r="T52" i="8"/>
  <c r="O52" i="8"/>
  <c r="J52" i="8"/>
  <c r="D52" i="8"/>
  <c r="CW52" i="8"/>
  <c r="CS52" i="8"/>
  <c r="CO52" i="8"/>
  <c r="CK52" i="8"/>
  <c r="CG52" i="8"/>
  <c r="CC52" i="8"/>
  <c r="BY52" i="8"/>
  <c r="BU52" i="8"/>
  <c r="BQ52" i="8"/>
  <c r="BM52" i="8"/>
  <c r="BI52" i="8"/>
  <c r="BE52" i="8"/>
  <c r="BA52" i="8"/>
  <c r="AW52" i="8"/>
  <c r="AS52" i="8"/>
  <c r="AO52" i="8"/>
  <c r="AK52" i="8"/>
  <c r="AG52" i="8"/>
  <c r="AC52" i="8"/>
  <c r="Y52" i="8"/>
  <c r="U52" i="8"/>
  <c r="Q52" i="8"/>
  <c r="M52" i="8"/>
  <c r="I52" i="8"/>
  <c r="B28" i="7"/>
  <c r="C54" i="8" l="1"/>
  <c r="XFD62" i="8"/>
  <c r="XFC62" i="8"/>
  <c r="XFB62" i="8"/>
  <c r="XFA62" i="8"/>
  <c r="XEZ62" i="8"/>
  <c r="XEY62" i="8"/>
  <c r="XEX62" i="8"/>
  <c r="XEW62" i="8"/>
  <c r="XEV62" i="8"/>
  <c r="XEU62" i="8"/>
  <c r="XET62" i="8"/>
  <c r="XES62" i="8"/>
  <c r="XER62" i="8"/>
  <c r="XEQ62" i="8"/>
  <c r="XEP62" i="8"/>
  <c r="XEO62" i="8"/>
  <c r="XEN62" i="8"/>
  <c r="XEM62" i="8"/>
  <c r="XEL62" i="8"/>
  <c r="XEK62" i="8"/>
  <c r="XEJ62" i="8"/>
  <c r="XEI62" i="8"/>
  <c r="XEH62" i="8"/>
  <c r="XEG62" i="8"/>
  <c r="XEF62" i="8"/>
  <c r="XEE62" i="8"/>
  <c r="XED62" i="8"/>
  <c r="XEC62" i="8"/>
  <c r="XEB62" i="8"/>
  <c r="XEA62" i="8"/>
  <c r="XDZ62" i="8"/>
  <c r="XDY62" i="8"/>
  <c r="XDX62" i="8"/>
  <c r="XDW62" i="8"/>
  <c r="XDV62" i="8"/>
  <c r="XDU62" i="8"/>
  <c r="XDT62" i="8"/>
  <c r="XDS62" i="8"/>
  <c r="XDR62" i="8"/>
  <c r="XDQ62" i="8"/>
  <c r="XDP62" i="8"/>
  <c r="XDO62" i="8"/>
  <c r="XDN62" i="8"/>
  <c r="XDM62" i="8"/>
  <c r="XDL62" i="8"/>
  <c r="XDK62" i="8"/>
  <c r="XDJ62" i="8"/>
  <c r="XDI62" i="8"/>
  <c r="XDH62" i="8"/>
  <c r="XDG62" i="8"/>
  <c r="XDF62" i="8"/>
  <c r="XDE62" i="8"/>
  <c r="XDD62" i="8"/>
  <c r="XDC62" i="8"/>
  <c r="XDB62" i="8"/>
  <c r="XDA62" i="8"/>
  <c r="XCZ62" i="8"/>
  <c r="XCY62" i="8"/>
  <c r="XCX62" i="8"/>
  <c r="XCW62" i="8"/>
  <c r="XCV62" i="8"/>
  <c r="XCU62" i="8"/>
  <c r="XCT62" i="8"/>
  <c r="XCS62" i="8"/>
  <c r="XCR62" i="8"/>
  <c r="XCQ62" i="8"/>
  <c r="XCP62" i="8"/>
  <c r="XCO62" i="8"/>
  <c r="XCN62" i="8"/>
  <c r="XCM62" i="8"/>
  <c r="XCL62" i="8"/>
  <c r="XCK62" i="8"/>
  <c r="XCJ62" i="8"/>
  <c r="XCI62" i="8"/>
  <c r="XCH62" i="8"/>
  <c r="XCG62" i="8"/>
  <c r="XCF62" i="8"/>
  <c r="XCE62" i="8"/>
  <c r="XCD62" i="8"/>
  <c r="XCC62" i="8"/>
  <c r="XCB62" i="8"/>
  <c r="XCA62" i="8"/>
  <c r="XBZ62" i="8"/>
  <c r="XBY62" i="8"/>
  <c r="XBX62" i="8"/>
  <c r="XBW62" i="8"/>
  <c r="XBV62" i="8"/>
  <c r="XBU62" i="8"/>
  <c r="XBT62" i="8"/>
  <c r="XBS62" i="8"/>
  <c r="XBR62" i="8"/>
  <c r="XBQ62" i="8"/>
  <c r="XBP62" i="8"/>
  <c r="XBO62" i="8"/>
  <c r="XBN62" i="8"/>
  <c r="XBM62" i="8"/>
  <c r="XBL62" i="8"/>
  <c r="XBK62" i="8"/>
  <c r="XBJ62" i="8"/>
  <c r="XBI62" i="8"/>
  <c r="XBH62" i="8"/>
  <c r="XBG62" i="8"/>
  <c r="XBF62" i="8"/>
  <c r="XBE62" i="8"/>
  <c r="XBD62" i="8"/>
  <c r="XBC62" i="8"/>
  <c r="XBB62" i="8"/>
  <c r="XBA62" i="8"/>
  <c r="XAZ62" i="8"/>
  <c r="XAY62" i="8"/>
  <c r="XAX62" i="8"/>
  <c r="XAW62" i="8"/>
  <c r="XAV62" i="8"/>
  <c r="XAU62" i="8"/>
  <c r="XAT62" i="8"/>
  <c r="XAS62" i="8"/>
  <c r="XAR62" i="8"/>
  <c r="XAQ62" i="8"/>
  <c r="XAP62" i="8"/>
  <c r="XAO62" i="8"/>
  <c r="XAN62" i="8"/>
  <c r="XAM62" i="8"/>
  <c r="XAL62" i="8"/>
  <c r="XAK62" i="8"/>
  <c r="XAJ62" i="8"/>
  <c r="XAI62" i="8"/>
  <c r="XAH62" i="8"/>
  <c r="XAG62" i="8"/>
  <c r="XAF62" i="8"/>
  <c r="XAE62" i="8"/>
  <c r="XAD62" i="8"/>
  <c r="XAC62" i="8"/>
  <c r="XAB62" i="8"/>
  <c r="XAA62" i="8"/>
  <c r="WZZ62" i="8"/>
  <c r="WZY62" i="8"/>
  <c r="WZX62" i="8"/>
  <c r="WZW62" i="8"/>
  <c r="WZV62" i="8"/>
  <c r="WZU62" i="8"/>
  <c r="WZT62" i="8"/>
  <c r="WZS62" i="8"/>
  <c r="WZR62" i="8"/>
  <c r="WZQ62" i="8"/>
  <c r="WZP62" i="8"/>
  <c r="WZO62" i="8"/>
  <c r="WZN62" i="8"/>
  <c r="WZM62" i="8"/>
  <c r="WZL62" i="8"/>
  <c r="WZK62" i="8"/>
  <c r="WZJ62" i="8"/>
  <c r="WZI62" i="8"/>
  <c r="WZH62" i="8"/>
  <c r="WZG62" i="8"/>
  <c r="WZF62" i="8"/>
  <c r="WZE62" i="8"/>
  <c r="WZD62" i="8"/>
  <c r="WZC62" i="8"/>
  <c r="WZB62" i="8"/>
  <c r="WZA62" i="8"/>
  <c r="WYZ62" i="8"/>
  <c r="WYY62" i="8"/>
  <c r="WYX62" i="8"/>
  <c r="WYW62" i="8"/>
  <c r="WYV62" i="8"/>
  <c r="WYU62" i="8"/>
  <c r="WYT62" i="8"/>
  <c r="WYS62" i="8"/>
  <c r="WYR62" i="8"/>
  <c r="WYQ62" i="8"/>
  <c r="WYP62" i="8"/>
  <c r="WYO62" i="8"/>
  <c r="WYN62" i="8"/>
  <c r="WYM62" i="8"/>
  <c r="WYL62" i="8"/>
  <c r="WYK62" i="8"/>
  <c r="WYJ62" i="8"/>
  <c r="WYI62" i="8"/>
  <c r="WYH62" i="8"/>
  <c r="WYG62" i="8"/>
  <c r="WYF62" i="8"/>
  <c r="WYE62" i="8"/>
  <c r="WYD62" i="8"/>
  <c r="WYC62" i="8"/>
  <c r="WYB62" i="8"/>
  <c r="WYA62" i="8"/>
  <c r="WXZ62" i="8"/>
  <c r="WXY62" i="8"/>
  <c r="WXX62" i="8"/>
  <c r="WXW62" i="8"/>
  <c r="WXV62" i="8"/>
  <c r="WXU62" i="8"/>
  <c r="WXT62" i="8"/>
  <c r="WXS62" i="8"/>
  <c r="WXR62" i="8"/>
  <c r="WXQ62" i="8"/>
  <c r="WXP62" i="8"/>
  <c r="WXO62" i="8"/>
  <c r="WXN62" i="8"/>
  <c r="WXM62" i="8"/>
  <c r="WXL62" i="8"/>
  <c r="WXK62" i="8"/>
  <c r="WXJ62" i="8"/>
  <c r="WXI62" i="8"/>
  <c r="WXH62" i="8"/>
  <c r="WXG62" i="8"/>
  <c r="WXF62" i="8"/>
  <c r="WXE62" i="8"/>
  <c r="WXD62" i="8"/>
  <c r="WXC62" i="8"/>
  <c r="WXB62" i="8"/>
  <c r="WXA62" i="8"/>
  <c r="WWZ62" i="8"/>
  <c r="WWY62" i="8"/>
  <c r="WWX62" i="8"/>
  <c r="WWW62" i="8"/>
  <c r="WWV62" i="8"/>
  <c r="WWU62" i="8"/>
  <c r="WWT62" i="8"/>
  <c r="WWS62" i="8"/>
  <c r="WWR62" i="8"/>
  <c r="WWQ62" i="8"/>
  <c r="WWP62" i="8"/>
  <c r="WWO62" i="8"/>
  <c r="WWN62" i="8"/>
  <c r="WWM62" i="8"/>
  <c r="WWL62" i="8"/>
  <c r="WWK62" i="8"/>
  <c r="WWJ62" i="8"/>
  <c r="WWI62" i="8"/>
  <c r="WWH62" i="8"/>
  <c r="WWG62" i="8"/>
  <c r="WWF62" i="8"/>
  <c r="WWE62" i="8"/>
  <c r="WWD62" i="8"/>
  <c r="WWC62" i="8"/>
  <c r="WWB62" i="8"/>
  <c r="WWA62" i="8"/>
  <c r="WVZ62" i="8"/>
  <c r="WVY62" i="8"/>
  <c r="WVX62" i="8"/>
  <c r="WVW62" i="8"/>
  <c r="WVV62" i="8"/>
  <c r="WVU62" i="8"/>
  <c r="WVT62" i="8"/>
  <c r="WVS62" i="8"/>
  <c r="WVR62" i="8"/>
  <c r="WVQ62" i="8"/>
  <c r="WVP62" i="8"/>
  <c r="WVO62" i="8"/>
  <c r="WVN62" i="8"/>
  <c r="WVM62" i="8"/>
  <c r="WVL62" i="8"/>
  <c r="WVK62" i="8"/>
  <c r="WVJ62" i="8"/>
  <c r="WVI62" i="8"/>
  <c r="WVH62" i="8"/>
  <c r="WVG62" i="8"/>
  <c r="WVF62" i="8"/>
  <c r="WVE62" i="8"/>
  <c r="WVD62" i="8"/>
  <c r="WVC62" i="8"/>
  <c r="WVB62" i="8"/>
  <c r="WVA62" i="8"/>
  <c r="WUZ62" i="8"/>
  <c r="WUY62" i="8"/>
  <c r="WUX62" i="8"/>
  <c r="WUW62" i="8"/>
  <c r="WUV62" i="8"/>
  <c r="WUU62" i="8"/>
  <c r="WUT62" i="8"/>
  <c r="WUS62" i="8"/>
  <c r="WUR62" i="8"/>
  <c r="WUQ62" i="8"/>
  <c r="WUP62" i="8"/>
  <c r="WUO62" i="8"/>
  <c r="WUN62" i="8"/>
  <c r="WUM62" i="8"/>
  <c r="WUL62" i="8"/>
  <c r="WUK62" i="8"/>
  <c r="WUJ62" i="8"/>
  <c r="WUI62" i="8"/>
  <c r="WUH62" i="8"/>
  <c r="WUG62" i="8"/>
  <c r="WUF62" i="8"/>
  <c r="WUE62" i="8"/>
  <c r="WUD62" i="8"/>
  <c r="WUC62" i="8"/>
  <c r="WUB62" i="8"/>
  <c r="WUA62" i="8"/>
  <c r="WTZ62" i="8"/>
  <c r="WTY62" i="8"/>
  <c r="WTX62" i="8"/>
  <c r="WTW62" i="8"/>
  <c r="WTV62" i="8"/>
  <c r="WTU62" i="8"/>
  <c r="WTT62" i="8"/>
  <c r="WTS62" i="8"/>
  <c r="WTR62" i="8"/>
  <c r="WTQ62" i="8"/>
  <c r="WTP62" i="8"/>
  <c r="WTO62" i="8"/>
  <c r="WTN62" i="8"/>
  <c r="WTM62" i="8"/>
  <c r="WTL62" i="8"/>
  <c r="WTK62" i="8"/>
  <c r="WTJ62" i="8"/>
  <c r="WTI62" i="8"/>
  <c r="WTH62" i="8"/>
  <c r="WTG62" i="8"/>
  <c r="WTF62" i="8"/>
  <c r="WTE62" i="8"/>
  <c r="WTD62" i="8"/>
  <c r="WTC62" i="8"/>
  <c r="WTB62" i="8"/>
  <c r="WTA62" i="8"/>
  <c r="WSZ62" i="8"/>
  <c r="WSY62" i="8"/>
  <c r="WSX62" i="8"/>
  <c r="WSW62" i="8"/>
  <c r="WSV62" i="8"/>
  <c r="WSU62" i="8"/>
  <c r="WST62" i="8"/>
  <c r="WSS62" i="8"/>
  <c r="WSR62" i="8"/>
  <c r="WSQ62" i="8"/>
  <c r="WSP62" i="8"/>
  <c r="WSO62" i="8"/>
  <c r="WSN62" i="8"/>
  <c r="WSM62" i="8"/>
  <c r="WSL62" i="8"/>
  <c r="WSK62" i="8"/>
  <c r="WSJ62" i="8"/>
  <c r="WSI62" i="8"/>
  <c r="WSH62" i="8"/>
  <c r="WSG62" i="8"/>
  <c r="WSF62" i="8"/>
  <c r="WSE62" i="8"/>
  <c r="WSD62" i="8"/>
  <c r="WSC62" i="8"/>
  <c r="WSB62" i="8"/>
  <c r="WSA62" i="8"/>
  <c r="WRZ62" i="8"/>
  <c r="WRY62" i="8"/>
  <c r="WRX62" i="8"/>
  <c r="WRW62" i="8"/>
  <c r="WRV62" i="8"/>
  <c r="WRU62" i="8"/>
  <c r="WRT62" i="8"/>
  <c r="WRS62" i="8"/>
  <c r="WRR62" i="8"/>
  <c r="WRQ62" i="8"/>
  <c r="WRP62" i="8"/>
  <c r="WRO62" i="8"/>
  <c r="WRN62" i="8"/>
  <c r="WRM62" i="8"/>
  <c r="WRL62" i="8"/>
  <c r="WRK62" i="8"/>
  <c r="WRJ62" i="8"/>
  <c r="WRI62" i="8"/>
  <c r="WRH62" i="8"/>
  <c r="WRG62" i="8"/>
  <c r="WRF62" i="8"/>
  <c r="WRE62" i="8"/>
  <c r="WRD62" i="8"/>
  <c r="WRC62" i="8"/>
  <c r="WRB62" i="8"/>
  <c r="WRA62" i="8"/>
  <c r="WQZ62" i="8"/>
  <c r="WQY62" i="8"/>
  <c r="WQX62" i="8"/>
  <c r="WQW62" i="8"/>
  <c r="WQV62" i="8"/>
  <c r="WQU62" i="8"/>
  <c r="WQT62" i="8"/>
  <c r="WQS62" i="8"/>
  <c r="WQR62" i="8"/>
  <c r="WQQ62" i="8"/>
  <c r="WQP62" i="8"/>
  <c r="WQO62" i="8"/>
  <c r="WQN62" i="8"/>
  <c r="WQM62" i="8"/>
  <c r="WQL62" i="8"/>
  <c r="WQK62" i="8"/>
  <c r="WQJ62" i="8"/>
  <c r="WQI62" i="8"/>
  <c r="WQH62" i="8"/>
  <c r="WQG62" i="8"/>
  <c r="WQF62" i="8"/>
  <c r="WQE62" i="8"/>
  <c r="WQD62" i="8"/>
  <c r="WQC62" i="8"/>
  <c r="WQB62" i="8"/>
  <c r="WQA62" i="8"/>
  <c r="WPZ62" i="8"/>
  <c r="WPY62" i="8"/>
  <c r="WPX62" i="8"/>
  <c r="WPW62" i="8"/>
  <c r="WPV62" i="8"/>
  <c r="WPU62" i="8"/>
  <c r="WPT62" i="8"/>
  <c r="WPS62" i="8"/>
  <c r="WPR62" i="8"/>
  <c r="WPQ62" i="8"/>
  <c r="WPP62" i="8"/>
  <c r="WPO62" i="8"/>
  <c r="WPN62" i="8"/>
  <c r="WPM62" i="8"/>
  <c r="WPL62" i="8"/>
  <c r="WPK62" i="8"/>
  <c r="WPJ62" i="8"/>
  <c r="WPI62" i="8"/>
  <c r="WPH62" i="8"/>
  <c r="WPG62" i="8"/>
  <c r="WPF62" i="8"/>
  <c r="WPE62" i="8"/>
  <c r="WPD62" i="8"/>
  <c r="WPC62" i="8"/>
  <c r="WPB62" i="8"/>
  <c r="WPA62" i="8"/>
  <c r="WOZ62" i="8"/>
  <c r="WOY62" i="8"/>
  <c r="WOX62" i="8"/>
  <c r="WOW62" i="8"/>
  <c r="WOV62" i="8"/>
  <c r="WOU62" i="8"/>
  <c r="WOT62" i="8"/>
  <c r="WOS62" i="8"/>
  <c r="WOR62" i="8"/>
  <c r="WOQ62" i="8"/>
  <c r="WOP62" i="8"/>
  <c r="WOO62" i="8"/>
  <c r="WON62" i="8"/>
  <c r="WOM62" i="8"/>
  <c r="WOL62" i="8"/>
  <c r="WOK62" i="8"/>
  <c r="WOJ62" i="8"/>
  <c r="WOI62" i="8"/>
  <c r="WOH62" i="8"/>
  <c r="WOG62" i="8"/>
  <c r="WOF62" i="8"/>
  <c r="WOE62" i="8"/>
  <c r="WOD62" i="8"/>
  <c r="WOC62" i="8"/>
  <c r="WOB62" i="8"/>
  <c r="WOA62" i="8"/>
  <c r="WNZ62" i="8"/>
  <c r="WNY62" i="8"/>
  <c r="WNX62" i="8"/>
  <c r="WNW62" i="8"/>
  <c r="WNV62" i="8"/>
  <c r="WNU62" i="8"/>
  <c r="WNT62" i="8"/>
  <c r="WNS62" i="8"/>
  <c r="WNR62" i="8"/>
  <c r="WNQ62" i="8"/>
  <c r="WNP62" i="8"/>
  <c r="WNO62" i="8"/>
  <c r="WNN62" i="8"/>
  <c r="WNM62" i="8"/>
  <c r="WNL62" i="8"/>
  <c r="WNK62" i="8"/>
  <c r="WNJ62" i="8"/>
  <c r="WNI62" i="8"/>
  <c r="WNH62" i="8"/>
  <c r="WNG62" i="8"/>
  <c r="WNF62" i="8"/>
  <c r="WNE62" i="8"/>
  <c r="WND62" i="8"/>
  <c r="WNC62" i="8"/>
  <c r="WNB62" i="8"/>
  <c r="WNA62" i="8"/>
  <c r="WMZ62" i="8"/>
  <c r="WMY62" i="8"/>
  <c r="WMX62" i="8"/>
  <c r="WMW62" i="8"/>
  <c r="WMV62" i="8"/>
  <c r="WMU62" i="8"/>
  <c r="WMT62" i="8"/>
  <c r="WMS62" i="8"/>
  <c r="WMR62" i="8"/>
  <c r="WMQ62" i="8"/>
  <c r="WMP62" i="8"/>
  <c r="WMO62" i="8"/>
  <c r="WMN62" i="8"/>
  <c r="WMM62" i="8"/>
  <c r="WML62" i="8"/>
  <c r="WMK62" i="8"/>
  <c r="WMJ62" i="8"/>
  <c r="WMI62" i="8"/>
  <c r="WMH62" i="8"/>
  <c r="WMG62" i="8"/>
  <c r="WMF62" i="8"/>
  <c r="WME62" i="8"/>
  <c r="WMD62" i="8"/>
  <c r="WMC62" i="8"/>
  <c r="WMB62" i="8"/>
  <c r="WMA62" i="8"/>
  <c r="WLZ62" i="8"/>
  <c r="WLY62" i="8"/>
  <c r="WLX62" i="8"/>
  <c r="WLW62" i="8"/>
  <c r="WLV62" i="8"/>
  <c r="WLU62" i="8"/>
  <c r="WLT62" i="8"/>
  <c r="WLS62" i="8"/>
  <c r="WLR62" i="8"/>
  <c r="WLQ62" i="8"/>
  <c r="WLP62" i="8"/>
  <c r="WLO62" i="8"/>
  <c r="WLN62" i="8"/>
  <c r="WLM62" i="8"/>
  <c r="WLL62" i="8"/>
  <c r="WLK62" i="8"/>
  <c r="WLJ62" i="8"/>
  <c r="WLI62" i="8"/>
  <c r="WLH62" i="8"/>
  <c r="WLG62" i="8"/>
  <c r="WLF62" i="8"/>
  <c r="WLE62" i="8"/>
  <c r="WLD62" i="8"/>
  <c r="WLC62" i="8"/>
  <c r="WLB62" i="8"/>
  <c r="WLA62" i="8"/>
  <c r="WKZ62" i="8"/>
  <c r="WKY62" i="8"/>
  <c r="WKX62" i="8"/>
  <c r="WKW62" i="8"/>
  <c r="WKV62" i="8"/>
  <c r="WKU62" i="8"/>
  <c r="WKT62" i="8"/>
  <c r="WKS62" i="8"/>
  <c r="WKR62" i="8"/>
  <c r="WKQ62" i="8"/>
  <c r="WKP62" i="8"/>
  <c r="WKO62" i="8"/>
  <c r="WKN62" i="8"/>
  <c r="WKM62" i="8"/>
  <c r="WKL62" i="8"/>
  <c r="WKK62" i="8"/>
  <c r="WKJ62" i="8"/>
  <c r="WKI62" i="8"/>
  <c r="WKH62" i="8"/>
  <c r="WKG62" i="8"/>
  <c r="WKF62" i="8"/>
  <c r="WKE62" i="8"/>
  <c r="WKD62" i="8"/>
  <c r="WKC62" i="8"/>
  <c r="WKB62" i="8"/>
  <c r="WKA62" i="8"/>
  <c r="WJZ62" i="8"/>
  <c r="WJY62" i="8"/>
  <c r="WJX62" i="8"/>
  <c r="WJW62" i="8"/>
  <c r="WJV62" i="8"/>
  <c r="WJU62" i="8"/>
  <c r="WJT62" i="8"/>
  <c r="WJS62" i="8"/>
  <c r="WJR62" i="8"/>
  <c r="WJQ62" i="8"/>
  <c r="WJP62" i="8"/>
  <c r="WJO62" i="8"/>
  <c r="WJN62" i="8"/>
  <c r="WJM62" i="8"/>
  <c r="WJL62" i="8"/>
  <c r="WJK62" i="8"/>
  <c r="WJJ62" i="8"/>
  <c r="WJI62" i="8"/>
  <c r="WJH62" i="8"/>
  <c r="WJG62" i="8"/>
  <c r="WJF62" i="8"/>
  <c r="WJE62" i="8"/>
  <c r="WJD62" i="8"/>
  <c r="WJC62" i="8"/>
  <c r="WJB62" i="8"/>
  <c r="WJA62" i="8"/>
  <c r="WIZ62" i="8"/>
  <c r="WIY62" i="8"/>
  <c r="WIX62" i="8"/>
  <c r="WIW62" i="8"/>
  <c r="WIV62" i="8"/>
  <c r="WIU62" i="8"/>
  <c r="WIT62" i="8"/>
  <c r="WIS62" i="8"/>
  <c r="WIR62" i="8"/>
  <c r="WIQ62" i="8"/>
  <c r="WIP62" i="8"/>
  <c r="WIO62" i="8"/>
  <c r="WIN62" i="8"/>
  <c r="WIM62" i="8"/>
  <c r="WIL62" i="8"/>
  <c r="WIK62" i="8"/>
  <c r="WIJ62" i="8"/>
  <c r="WII62" i="8"/>
  <c r="WIH62" i="8"/>
  <c r="WIG62" i="8"/>
  <c r="WIF62" i="8"/>
  <c r="WIE62" i="8"/>
  <c r="WID62" i="8"/>
  <c r="WIC62" i="8"/>
  <c r="WIB62" i="8"/>
  <c r="WIA62" i="8"/>
  <c r="WHZ62" i="8"/>
  <c r="WHY62" i="8"/>
  <c r="WHX62" i="8"/>
  <c r="WHW62" i="8"/>
  <c r="WHV62" i="8"/>
  <c r="WHU62" i="8"/>
  <c r="WHT62" i="8"/>
  <c r="WHS62" i="8"/>
  <c r="WHR62" i="8"/>
  <c r="WHQ62" i="8"/>
  <c r="WHP62" i="8"/>
  <c r="WHO62" i="8"/>
  <c r="WHN62" i="8"/>
  <c r="WHM62" i="8"/>
  <c r="WHL62" i="8"/>
  <c r="WHK62" i="8"/>
  <c r="WHJ62" i="8"/>
  <c r="WHI62" i="8"/>
  <c r="WHH62" i="8"/>
  <c r="WHG62" i="8"/>
  <c r="WHF62" i="8"/>
  <c r="WHE62" i="8"/>
  <c r="WHD62" i="8"/>
  <c r="WHC62" i="8"/>
  <c r="WHB62" i="8"/>
  <c r="WHA62" i="8"/>
  <c r="WGZ62" i="8"/>
  <c r="WGY62" i="8"/>
  <c r="WGX62" i="8"/>
  <c r="WGW62" i="8"/>
  <c r="WGV62" i="8"/>
  <c r="WGU62" i="8"/>
  <c r="WGT62" i="8"/>
  <c r="WGS62" i="8"/>
  <c r="WGR62" i="8"/>
  <c r="WGQ62" i="8"/>
  <c r="WGP62" i="8"/>
  <c r="WGO62" i="8"/>
  <c r="WGN62" i="8"/>
  <c r="WGM62" i="8"/>
  <c r="WGL62" i="8"/>
  <c r="WGK62" i="8"/>
  <c r="WGJ62" i="8"/>
  <c r="WGI62" i="8"/>
  <c r="WGH62" i="8"/>
  <c r="WGG62" i="8"/>
  <c r="WGF62" i="8"/>
  <c r="WGE62" i="8"/>
  <c r="WGD62" i="8"/>
  <c r="WGC62" i="8"/>
  <c r="WGB62" i="8"/>
  <c r="WGA62" i="8"/>
  <c r="WFZ62" i="8"/>
  <c r="WFY62" i="8"/>
  <c r="WFX62" i="8"/>
  <c r="WFW62" i="8"/>
  <c r="WFV62" i="8"/>
  <c r="WFU62" i="8"/>
  <c r="WFT62" i="8"/>
  <c r="WFS62" i="8"/>
  <c r="WFR62" i="8"/>
  <c r="WFQ62" i="8"/>
  <c r="WFP62" i="8"/>
  <c r="WFO62" i="8"/>
  <c r="WFN62" i="8"/>
  <c r="WFM62" i="8"/>
  <c r="WFL62" i="8"/>
  <c r="WFK62" i="8"/>
  <c r="WFJ62" i="8"/>
  <c r="WFI62" i="8"/>
  <c r="WFH62" i="8"/>
  <c r="WFG62" i="8"/>
  <c r="WFF62" i="8"/>
  <c r="WFE62" i="8"/>
  <c r="WFD62" i="8"/>
  <c r="WFC62" i="8"/>
  <c r="WFB62" i="8"/>
  <c r="WFA62" i="8"/>
  <c r="WEZ62" i="8"/>
  <c r="WEY62" i="8"/>
  <c r="WEX62" i="8"/>
  <c r="WEW62" i="8"/>
  <c r="WEV62" i="8"/>
  <c r="WEU62" i="8"/>
  <c r="WET62" i="8"/>
  <c r="WES62" i="8"/>
  <c r="WER62" i="8"/>
  <c r="WEQ62" i="8"/>
  <c r="WEP62" i="8"/>
  <c r="WEO62" i="8"/>
  <c r="WEN62" i="8"/>
  <c r="WEM62" i="8"/>
  <c r="WEL62" i="8"/>
  <c r="WEK62" i="8"/>
  <c r="WEJ62" i="8"/>
  <c r="WEI62" i="8"/>
  <c r="WEH62" i="8"/>
  <c r="WEG62" i="8"/>
  <c r="WEF62" i="8"/>
  <c r="WEE62" i="8"/>
  <c r="WED62" i="8"/>
  <c r="WEC62" i="8"/>
  <c r="WEB62" i="8"/>
  <c r="WEA62" i="8"/>
  <c r="WDZ62" i="8"/>
  <c r="WDY62" i="8"/>
  <c r="WDX62" i="8"/>
  <c r="WDW62" i="8"/>
  <c r="WDV62" i="8"/>
  <c r="WDU62" i="8"/>
  <c r="WDT62" i="8"/>
  <c r="WDS62" i="8"/>
  <c r="WDR62" i="8"/>
  <c r="WDQ62" i="8"/>
  <c r="WDP62" i="8"/>
  <c r="WDO62" i="8"/>
  <c r="WDN62" i="8"/>
  <c r="WDM62" i="8"/>
  <c r="WDL62" i="8"/>
  <c r="WDK62" i="8"/>
  <c r="WDJ62" i="8"/>
  <c r="WDI62" i="8"/>
  <c r="WDH62" i="8"/>
  <c r="WDG62" i="8"/>
  <c r="WDF62" i="8"/>
  <c r="WDE62" i="8"/>
  <c r="WDD62" i="8"/>
  <c r="WDC62" i="8"/>
  <c r="WDB62" i="8"/>
  <c r="WDA62" i="8"/>
  <c r="WCZ62" i="8"/>
  <c r="WCY62" i="8"/>
  <c r="WCX62" i="8"/>
  <c r="WCW62" i="8"/>
  <c r="WCV62" i="8"/>
  <c r="WCU62" i="8"/>
  <c r="WCT62" i="8"/>
  <c r="WCS62" i="8"/>
  <c r="WCR62" i="8"/>
  <c r="WCQ62" i="8"/>
  <c r="WCP62" i="8"/>
  <c r="WCO62" i="8"/>
  <c r="WCN62" i="8"/>
  <c r="WCM62" i="8"/>
  <c r="WCL62" i="8"/>
  <c r="WCK62" i="8"/>
  <c r="WCJ62" i="8"/>
  <c r="WCI62" i="8"/>
  <c r="WCH62" i="8"/>
  <c r="WCG62" i="8"/>
  <c r="WCF62" i="8"/>
  <c r="WCE62" i="8"/>
  <c r="WCD62" i="8"/>
  <c r="WCC62" i="8"/>
  <c r="WCB62" i="8"/>
  <c r="WCA62" i="8"/>
  <c r="WBZ62" i="8"/>
  <c r="WBY62" i="8"/>
  <c r="WBX62" i="8"/>
  <c r="WBW62" i="8"/>
  <c r="WBV62" i="8"/>
  <c r="WBU62" i="8"/>
  <c r="WBT62" i="8"/>
  <c r="WBS62" i="8"/>
  <c r="WBR62" i="8"/>
  <c r="WBQ62" i="8"/>
  <c r="WBP62" i="8"/>
  <c r="WBO62" i="8"/>
  <c r="WBN62" i="8"/>
  <c r="WBM62" i="8"/>
  <c r="WBL62" i="8"/>
  <c r="WBK62" i="8"/>
  <c r="WBJ62" i="8"/>
  <c r="WBI62" i="8"/>
  <c r="WBH62" i="8"/>
  <c r="WBG62" i="8"/>
  <c r="WBF62" i="8"/>
  <c r="WBE62" i="8"/>
  <c r="WBD62" i="8"/>
  <c r="WBC62" i="8"/>
  <c r="WBB62" i="8"/>
  <c r="WBA62" i="8"/>
  <c r="WAZ62" i="8"/>
  <c r="WAY62" i="8"/>
  <c r="WAX62" i="8"/>
  <c r="WAW62" i="8"/>
  <c r="WAV62" i="8"/>
  <c r="WAU62" i="8"/>
  <c r="WAT62" i="8"/>
  <c r="WAS62" i="8"/>
  <c r="WAR62" i="8"/>
  <c r="WAQ62" i="8"/>
  <c r="WAP62" i="8"/>
  <c r="WAO62" i="8"/>
  <c r="WAN62" i="8"/>
  <c r="WAM62" i="8"/>
  <c r="WAL62" i="8"/>
  <c r="WAK62" i="8"/>
  <c r="WAJ62" i="8"/>
  <c r="WAI62" i="8"/>
  <c r="WAH62" i="8"/>
  <c r="WAG62" i="8"/>
  <c r="WAF62" i="8"/>
  <c r="WAE62" i="8"/>
  <c r="WAD62" i="8"/>
  <c r="WAC62" i="8"/>
  <c r="WAB62" i="8"/>
  <c r="WAA62" i="8"/>
  <c r="VZZ62" i="8"/>
  <c r="VZY62" i="8"/>
  <c r="VZX62" i="8"/>
  <c r="VZW62" i="8"/>
  <c r="VZV62" i="8"/>
  <c r="VZU62" i="8"/>
  <c r="VZT62" i="8"/>
  <c r="VZS62" i="8"/>
  <c r="VZR62" i="8"/>
  <c r="VZQ62" i="8"/>
  <c r="VZP62" i="8"/>
  <c r="VZO62" i="8"/>
  <c r="VZN62" i="8"/>
  <c r="VZM62" i="8"/>
  <c r="VZL62" i="8"/>
  <c r="VZK62" i="8"/>
  <c r="VZJ62" i="8"/>
  <c r="VZI62" i="8"/>
  <c r="VZH62" i="8"/>
  <c r="VZG62" i="8"/>
  <c r="VZF62" i="8"/>
  <c r="VZE62" i="8"/>
  <c r="VZD62" i="8"/>
  <c r="VZC62" i="8"/>
  <c r="VZB62" i="8"/>
  <c r="VZA62" i="8"/>
  <c r="VYZ62" i="8"/>
  <c r="VYY62" i="8"/>
  <c r="VYX62" i="8"/>
  <c r="VYW62" i="8"/>
  <c r="VYV62" i="8"/>
  <c r="VYU62" i="8"/>
  <c r="VYT62" i="8"/>
  <c r="VYS62" i="8"/>
  <c r="VYR62" i="8"/>
  <c r="VYQ62" i="8"/>
  <c r="VYP62" i="8"/>
  <c r="VYO62" i="8"/>
  <c r="VYN62" i="8"/>
  <c r="VYM62" i="8"/>
  <c r="VYL62" i="8"/>
  <c r="VYK62" i="8"/>
  <c r="VYJ62" i="8"/>
  <c r="VYI62" i="8"/>
  <c r="VYH62" i="8"/>
  <c r="VYG62" i="8"/>
  <c r="VYF62" i="8"/>
  <c r="VYE62" i="8"/>
  <c r="VYD62" i="8"/>
  <c r="VYC62" i="8"/>
  <c r="VYB62" i="8"/>
  <c r="VYA62" i="8"/>
  <c r="VXZ62" i="8"/>
  <c r="VXY62" i="8"/>
  <c r="VXX62" i="8"/>
  <c r="VXW62" i="8"/>
  <c r="VXV62" i="8"/>
  <c r="VXU62" i="8"/>
  <c r="VXT62" i="8"/>
  <c r="VXS62" i="8"/>
  <c r="VXR62" i="8"/>
  <c r="VXQ62" i="8"/>
  <c r="VXP62" i="8"/>
  <c r="VXO62" i="8"/>
  <c r="VXN62" i="8"/>
  <c r="VXM62" i="8"/>
  <c r="VXL62" i="8"/>
  <c r="VXK62" i="8"/>
  <c r="VXJ62" i="8"/>
  <c r="VXI62" i="8"/>
  <c r="VXH62" i="8"/>
  <c r="VXG62" i="8"/>
  <c r="VXF62" i="8"/>
  <c r="VXE62" i="8"/>
  <c r="VXD62" i="8"/>
  <c r="VXC62" i="8"/>
  <c r="VXB62" i="8"/>
  <c r="VXA62" i="8"/>
  <c r="VWZ62" i="8"/>
  <c r="VWY62" i="8"/>
  <c r="VWX62" i="8"/>
  <c r="VWW62" i="8"/>
  <c r="VWV62" i="8"/>
  <c r="VWU62" i="8"/>
  <c r="VWT62" i="8"/>
  <c r="VWS62" i="8"/>
  <c r="VWR62" i="8"/>
  <c r="VWQ62" i="8"/>
  <c r="VWP62" i="8"/>
  <c r="VWO62" i="8"/>
  <c r="VWN62" i="8"/>
  <c r="VWM62" i="8"/>
  <c r="VWL62" i="8"/>
  <c r="VWK62" i="8"/>
  <c r="VWJ62" i="8"/>
  <c r="VWI62" i="8"/>
  <c r="VWH62" i="8"/>
  <c r="VWG62" i="8"/>
  <c r="VWF62" i="8"/>
  <c r="VWE62" i="8"/>
  <c r="VWD62" i="8"/>
  <c r="VWC62" i="8"/>
  <c r="VWB62" i="8"/>
  <c r="VWA62" i="8"/>
  <c r="VVZ62" i="8"/>
  <c r="VVY62" i="8"/>
  <c r="VVX62" i="8"/>
  <c r="VVW62" i="8"/>
  <c r="VVV62" i="8"/>
  <c r="VVU62" i="8"/>
  <c r="VVT62" i="8"/>
  <c r="VVS62" i="8"/>
  <c r="VVR62" i="8"/>
  <c r="VVQ62" i="8"/>
  <c r="VVP62" i="8"/>
  <c r="VVO62" i="8"/>
  <c r="VVN62" i="8"/>
  <c r="VVM62" i="8"/>
  <c r="VVL62" i="8"/>
  <c r="VVK62" i="8"/>
  <c r="VVJ62" i="8"/>
  <c r="VVI62" i="8"/>
  <c r="VVH62" i="8"/>
  <c r="VVG62" i="8"/>
  <c r="VVF62" i="8"/>
  <c r="VVE62" i="8"/>
  <c r="VVD62" i="8"/>
  <c r="VVC62" i="8"/>
  <c r="VVB62" i="8"/>
  <c r="VVA62" i="8"/>
  <c r="VUZ62" i="8"/>
  <c r="VUY62" i="8"/>
  <c r="VUX62" i="8"/>
  <c r="VUW62" i="8"/>
  <c r="VUV62" i="8"/>
  <c r="VUU62" i="8"/>
  <c r="VUT62" i="8"/>
  <c r="VUS62" i="8"/>
  <c r="VUR62" i="8"/>
  <c r="VUQ62" i="8"/>
  <c r="VUP62" i="8"/>
  <c r="VUO62" i="8"/>
  <c r="VUN62" i="8"/>
  <c r="VUM62" i="8"/>
  <c r="VUL62" i="8"/>
  <c r="VUK62" i="8"/>
  <c r="VUJ62" i="8"/>
  <c r="VUI62" i="8"/>
  <c r="VUH62" i="8"/>
  <c r="VUG62" i="8"/>
  <c r="VUF62" i="8"/>
  <c r="VUE62" i="8"/>
  <c r="VUD62" i="8"/>
  <c r="VUC62" i="8"/>
  <c r="VUB62" i="8"/>
  <c r="VUA62" i="8"/>
  <c r="VTZ62" i="8"/>
  <c r="VTY62" i="8"/>
  <c r="VTX62" i="8"/>
  <c r="VTW62" i="8"/>
  <c r="VTV62" i="8"/>
  <c r="VTU62" i="8"/>
  <c r="VTT62" i="8"/>
  <c r="VTS62" i="8"/>
  <c r="VTR62" i="8"/>
  <c r="VTQ62" i="8"/>
  <c r="VTP62" i="8"/>
  <c r="VTO62" i="8"/>
  <c r="VTN62" i="8"/>
  <c r="VTM62" i="8"/>
  <c r="VTL62" i="8"/>
  <c r="VTK62" i="8"/>
  <c r="VTJ62" i="8"/>
  <c r="VTI62" i="8"/>
  <c r="VTH62" i="8"/>
  <c r="VTG62" i="8"/>
  <c r="VTF62" i="8"/>
  <c r="VTE62" i="8"/>
  <c r="VTD62" i="8"/>
  <c r="VTC62" i="8"/>
  <c r="VTB62" i="8"/>
  <c r="VTA62" i="8"/>
  <c r="VSZ62" i="8"/>
  <c r="VSY62" i="8"/>
  <c r="VSX62" i="8"/>
  <c r="VSW62" i="8"/>
  <c r="VSV62" i="8"/>
  <c r="VSU62" i="8"/>
  <c r="VST62" i="8"/>
  <c r="VSS62" i="8"/>
  <c r="VSR62" i="8"/>
  <c r="VSQ62" i="8"/>
  <c r="VSP62" i="8"/>
  <c r="VSO62" i="8"/>
  <c r="VSN62" i="8"/>
  <c r="VSM62" i="8"/>
  <c r="VSL62" i="8"/>
  <c r="VSK62" i="8"/>
  <c r="VSJ62" i="8"/>
  <c r="VSI62" i="8"/>
  <c r="VSH62" i="8"/>
  <c r="VSG62" i="8"/>
  <c r="VSF62" i="8"/>
  <c r="VSE62" i="8"/>
  <c r="VSD62" i="8"/>
  <c r="VSC62" i="8"/>
  <c r="VSB62" i="8"/>
  <c r="VSA62" i="8"/>
  <c r="VRZ62" i="8"/>
  <c r="VRY62" i="8"/>
  <c r="VRX62" i="8"/>
  <c r="VRW62" i="8"/>
  <c r="VRV62" i="8"/>
  <c r="VRU62" i="8"/>
  <c r="VRT62" i="8"/>
  <c r="VRS62" i="8"/>
  <c r="VRR62" i="8"/>
  <c r="VRQ62" i="8"/>
  <c r="VRP62" i="8"/>
  <c r="VRO62" i="8"/>
  <c r="VRN62" i="8"/>
  <c r="VRM62" i="8"/>
  <c r="VRL62" i="8"/>
  <c r="VRK62" i="8"/>
  <c r="VRJ62" i="8"/>
  <c r="VRI62" i="8"/>
  <c r="VRH62" i="8"/>
  <c r="VRG62" i="8"/>
  <c r="VRF62" i="8"/>
  <c r="VRE62" i="8"/>
  <c r="VRD62" i="8"/>
  <c r="VRC62" i="8"/>
  <c r="VRB62" i="8"/>
  <c r="VRA62" i="8"/>
  <c r="VQZ62" i="8"/>
  <c r="VQY62" i="8"/>
  <c r="VQX62" i="8"/>
  <c r="VQW62" i="8"/>
  <c r="VQV62" i="8"/>
  <c r="VQU62" i="8"/>
  <c r="VQT62" i="8"/>
  <c r="VQS62" i="8"/>
  <c r="VQR62" i="8"/>
  <c r="VQQ62" i="8"/>
  <c r="VQP62" i="8"/>
  <c r="VQO62" i="8"/>
  <c r="VQN62" i="8"/>
  <c r="VQM62" i="8"/>
  <c r="VQL62" i="8"/>
  <c r="VQK62" i="8"/>
  <c r="VQJ62" i="8"/>
  <c r="VQI62" i="8"/>
  <c r="VQH62" i="8"/>
  <c r="VQG62" i="8"/>
  <c r="VQF62" i="8"/>
  <c r="VQE62" i="8"/>
  <c r="VQD62" i="8"/>
  <c r="VQC62" i="8"/>
  <c r="VQB62" i="8"/>
  <c r="VQA62" i="8"/>
  <c r="VPZ62" i="8"/>
  <c r="VPY62" i="8"/>
  <c r="VPX62" i="8"/>
  <c r="VPW62" i="8"/>
  <c r="VPV62" i="8"/>
  <c r="VPU62" i="8"/>
  <c r="VPT62" i="8"/>
  <c r="VPS62" i="8"/>
  <c r="VPR62" i="8"/>
  <c r="VPQ62" i="8"/>
  <c r="VPP62" i="8"/>
  <c r="VPO62" i="8"/>
  <c r="VPN62" i="8"/>
  <c r="VPM62" i="8"/>
  <c r="VPL62" i="8"/>
  <c r="VPK62" i="8"/>
  <c r="VPJ62" i="8"/>
  <c r="VPI62" i="8"/>
  <c r="VPH62" i="8"/>
  <c r="VPG62" i="8"/>
  <c r="VPF62" i="8"/>
  <c r="VPE62" i="8"/>
  <c r="VPD62" i="8"/>
  <c r="VPC62" i="8"/>
  <c r="VPB62" i="8"/>
  <c r="VPA62" i="8"/>
  <c r="VOZ62" i="8"/>
  <c r="VOY62" i="8"/>
  <c r="VOX62" i="8"/>
  <c r="VOW62" i="8"/>
  <c r="VOV62" i="8"/>
  <c r="VOU62" i="8"/>
  <c r="VOT62" i="8"/>
  <c r="VOS62" i="8"/>
  <c r="VOR62" i="8"/>
  <c r="VOQ62" i="8"/>
  <c r="VOP62" i="8"/>
  <c r="VOO62" i="8"/>
  <c r="VON62" i="8"/>
  <c r="VOM62" i="8"/>
  <c r="VOL62" i="8"/>
  <c r="VOK62" i="8"/>
  <c r="VOJ62" i="8"/>
  <c r="VOI62" i="8"/>
  <c r="VOH62" i="8"/>
  <c r="VOG62" i="8"/>
  <c r="VOF62" i="8"/>
  <c r="VOE62" i="8"/>
  <c r="VOD62" i="8"/>
  <c r="VOC62" i="8"/>
  <c r="VOB62" i="8"/>
  <c r="VOA62" i="8"/>
  <c r="VNZ62" i="8"/>
  <c r="VNY62" i="8"/>
  <c r="VNX62" i="8"/>
  <c r="VNW62" i="8"/>
  <c r="VNV62" i="8"/>
  <c r="VNU62" i="8"/>
  <c r="VNT62" i="8"/>
  <c r="VNS62" i="8"/>
  <c r="VNR62" i="8"/>
  <c r="VNQ62" i="8"/>
  <c r="VNP62" i="8"/>
  <c r="VNO62" i="8"/>
  <c r="VNN62" i="8"/>
  <c r="VNM62" i="8"/>
  <c r="VNL62" i="8"/>
  <c r="VNK62" i="8"/>
  <c r="VNJ62" i="8"/>
  <c r="VNI62" i="8"/>
  <c r="VNH62" i="8"/>
  <c r="VNG62" i="8"/>
  <c r="VNF62" i="8"/>
  <c r="VNE62" i="8"/>
  <c r="VND62" i="8"/>
  <c r="VNC62" i="8"/>
  <c r="VNB62" i="8"/>
  <c r="VNA62" i="8"/>
  <c r="VMZ62" i="8"/>
  <c r="VMY62" i="8"/>
  <c r="VMX62" i="8"/>
  <c r="VMW62" i="8"/>
  <c r="VMV62" i="8"/>
  <c r="VMU62" i="8"/>
  <c r="VMT62" i="8"/>
  <c r="VMS62" i="8"/>
  <c r="VMR62" i="8"/>
  <c r="VMQ62" i="8"/>
  <c r="VMP62" i="8"/>
  <c r="VMO62" i="8"/>
  <c r="VMN62" i="8"/>
  <c r="VMM62" i="8"/>
  <c r="VML62" i="8"/>
  <c r="VMK62" i="8"/>
  <c r="VMJ62" i="8"/>
  <c r="VMI62" i="8"/>
  <c r="VMH62" i="8"/>
  <c r="VMG62" i="8"/>
  <c r="VMF62" i="8"/>
  <c r="VME62" i="8"/>
  <c r="VMD62" i="8"/>
  <c r="VMC62" i="8"/>
  <c r="VMB62" i="8"/>
  <c r="VMA62" i="8"/>
  <c r="VLZ62" i="8"/>
  <c r="VLY62" i="8"/>
  <c r="VLX62" i="8"/>
  <c r="VLW62" i="8"/>
  <c r="VLV62" i="8"/>
  <c r="VLU62" i="8"/>
  <c r="VLT62" i="8"/>
  <c r="VLS62" i="8"/>
  <c r="VLR62" i="8"/>
  <c r="VLQ62" i="8"/>
  <c r="VLP62" i="8"/>
  <c r="VLO62" i="8"/>
  <c r="VLN62" i="8"/>
  <c r="VLM62" i="8"/>
  <c r="VLL62" i="8"/>
  <c r="VLK62" i="8"/>
  <c r="VLJ62" i="8"/>
  <c r="VLI62" i="8"/>
  <c r="VLH62" i="8"/>
  <c r="VLG62" i="8"/>
  <c r="VLF62" i="8"/>
  <c r="VLE62" i="8"/>
  <c r="VLD62" i="8"/>
  <c r="VLC62" i="8"/>
  <c r="VLB62" i="8"/>
  <c r="VLA62" i="8"/>
  <c r="VKZ62" i="8"/>
  <c r="VKY62" i="8"/>
  <c r="VKX62" i="8"/>
  <c r="VKW62" i="8"/>
  <c r="VKV62" i="8"/>
  <c r="VKU62" i="8"/>
  <c r="VKT62" i="8"/>
  <c r="VKS62" i="8"/>
  <c r="VKR62" i="8"/>
  <c r="VKQ62" i="8"/>
  <c r="VKP62" i="8"/>
  <c r="VKO62" i="8"/>
  <c r="VKN62" i="8"/>
  <c r="VKM62" i="8"/>
  <c r="VKL62" i="8"/>
  <c r="VKK62" i="8"/>
  <c r="VKJ62" i="8"/>
  <c r="VKI62" i="8"/>
  <c r="VKH62" i="8"/>
  <c r="VKG62" i="8"/>
  <c r="VKF62" i="8"/>
  <c r="VKE62" i="8"/>
  <c r="VKD62" i="8"/>
  <c r="VKC62" i="8"/>
  <c r="VKB62" i="8"/>
  <c r="VKA62" i="8"/>
  <c r="VJZ62" i="8"/>
  <c r="VJY62" i="8"/>
  <c r="VJX62" i="8"/>
  <c r="VJW62" i="8"/>
  <c r="VJV62" i="8"/>
  <c r="VJU62" i="8"/>
  <c r="VJT62" i="8"/>
  <c r="VJS62" i="8"/>
  <c r="VJR62" i="8"/>
  <c r="VJQ62" i="8"/>
  <c r="VJP62" i="8"/>
  <c r="VJO62" i="8"/>
  <c r="VJN62" i="8"/>
  <c r="VJM62" i="8"/>
  <c r="VJL62" i="8"/>
  <c r="VJK62" i="8"/>
  <c r="VJJ62" i="8"/>
  <c r="VJI62" i="8"/>
  <c r="VJH62" i="8"/>
  <c r="VJG62" i="8"/>
  <c r="VJF62" i="8"/>
  <c r="VJE62" i="8"/>
  <c r="VJD62" i="8"/>
  <c r="VJC62" i="8"/>
  <c r="VJB62" i="8"/>
  <c r="VJA62" i="8"/>
  <c r="VIZ62" i="8"/>
  <c r="VIY62" i="8"/>
  <c r="VIX62" i="8"/>
  <c r="VIW62" i="8"/>
  <c r="VIV62" i="8"/>
  <c r="VIU62" i="8"/>
  <c r="VIT62" i="8"/>
  <c r="VIS62" i="8"/>
  <c r="VIR62" i="8"/>
  <c r="VIQ62" i="8"/>
  <c r="VIP62" i="8"/>
  <c r="VIO62" i="8"/>
  <c r="VIN62" i="8"/>
  <c r="VIM62" i="8"/>
  <c r="VIL62" i="8"/>
  <c r="VIK62" i="8"/>
  <c r="VIJ62" i="8"/>
  <c r="VII62" i="8"/>
  <c r="VIH62" i="8"/>
  <c r="VIG62" i="8"/>
  <c r="VIF62" i="8"/>
  <c r="VIE62" i="8"/>
  <c r="VID62" i="8"/>
  <c r="VIC62" i="8"/>
  <c r="VIB62" i="8"/>
  <c r="VIA62" i="8"/>
  <c r="VHZ62" i="8"/>
  <c r="VHY62" i="8"/>
  <c r="VHX62" i="8"/>
  <c r="VHW62" i="8"/>
  <c r="VHV62" i="8"/>
  <c r="VHU62" i="8"/>
  <c r="VHT62" i="8"/>
  <c r="VHS62" i="8"/>
  <c r="VHR62" i="8"/>
  <c r="VHQ62" i="8"/>
  <c r="VHP62" i="8"/>
  <c r="VHO62" i="8"/>
  <c r="VHN62" i="8"/>
  <c r="VHM62" i="8"/>
  <c r="VHL62" i="8"/>
  <c r="VHK62" i="8"/>
  <c r="VHJ62" i="8"/>
  <c r="VHI62" i="8"/>
  <c r="VHH62" i="8"/>
  <c r="VHG62" i="8"/>
  <c r="VHF62" i="8"/>
  <c r="VHE62" i="8"/>
  <c r="VHD62" i="8"/>
  <c r="VHC62" i="8"/>
  <c r="VHB62" i="8"/>
  <c r="VHA62" i="8"/>
  <c r="VGZ62" i="8"/>
  <c r="VGY62" i="8"/>
  <c r="VGX62" i="8"/>
  <c r="VGW62" i="8"/>
  <c r="VGV62" i="8"/>
  <c r="VGU62" i="8"/>
  <c r="VGT62" i="8"/>
  <c r="VGS62" i="8"/>
  <c r="VGR62" i="8"/>
  <c r="VGQ62" i="8"/>
  <c r="VGP62" i="8"/>
  <c r="VGO62" i="8"/>
  <c r="VGN62" i="8"/>
  <c r="VGM62" i="8"/>
  <c r="VGL62" i="8"/>
  <c r="VGK62" i="8"/>
  <c r="VGJ62" i="8"/>
  <c r="VGI62" i="8"/>
  <c r="VGH62" i="8"/>
  <c r="VGG62" i="8"/>
  <c r="VGF62" i="8"/>
  <c r="VGE62" i="8"/>
  <c r="VGD62" i="8"/>
  <c r="VGC62" i="8"/>
  <c r="VGB62" i="8"/>
  <c r="VGA62" i="8"/>
  <c r="VFZ62" i="8"/>
  <c r="VFY62" i="8"/>
  <c r="VFX62" i="8"/>
  <c r="VFW62" i="8"/>
  <c r="VFV62" i="8"/>
  <c r="VFU62" i="8"/>
  <c r="VFT62" i="8"/>
  <c r="VFS62" i="8"/>
  <c r="VFR62" i="8"/>
  <c r="VFQ62" i="8"/>
  <c r="VFP62" i="8"/>
  <c r="VFO62" i="8"/>
  <c r="VFN62" i="8"/>
  <c r="VFM62" i="8"/>
  <c r="VFL62" i="8"/>
  <c r="VFK62" i="8"/>
  <c r="VFJ62" i="8"/>
  <c r="VFI62" i="8"/>
  <c r="VFH62" i="8"/>
  <c r="VFG62" i="8"/>
  <c r="VFF62" i="8"/>
  <c r="VFE62" i="8"/>
  <c r="VFD62" i="8"/>
  <c r="VFC62" i="8"/>
  <c r="VFB62" i="8"/>
  <c r="VFA62" i="8"/>
  <c r="VEZ62" i="8"/>
  <c r="VEY62" i="8"/>
  <c r="VEX62" i="8"/>
  <c r="VEW62" i="8"/>
  <c r="VEV62" i="8"/>
  <c r="VEU62" i="8"/>
  <c r="VET62" i="8"/>
  <c r="VES62" i="8"/>
  <c r="VER62" i="8"/>
  <c r="VEQ62" i="8"/>
  <c r="VEP62" i="8"/>
  <c r="VEO62" i="8"/>
  <c r="VEN62" i="8"/>
  <c r="VEM62" i="8"/>
  <c r="VEL62" i="8"/>
  <c r="VEK62" i="8"/>
  <c r="VEJ62" i="8"/>
  <c r="VEI62" i="8"/>
  <c r="VEH62" i="8"/>
  <c r="VEG62" i="8"/>
  <c r="VEF62" i="8"/>
  <c r="VEE62" i="8"/>
  <c r="VED62" i="8"/>
  <c r="VEC62" i="8"/>
  <c r="VEB62" i="8"/>
  <c r="VEA62" i="8"/>
  <c r="VDZ62" i="8"/>
  <c r="VDY62" i="8"/>
  <c r="VDX62" i="8"/>
  <c r="VDW62" i="8"/>
  <c r="VDV62" i="8"/>
  <c r="VDU62" i="8"/>
  <c r="VDT62" i="8"/>
  <c r="VDS62" i="8"/>
  <c r="VDR62" i="8"/>
  <c r="VDQ62" i="8"/>
  <c r="VDP62" i="8"/>
  <c r="VDO62" i="8"/>
  <c r="VDN62" i="8"/>
  <c r="VDM62" i="8"/>
  <c r="VDL62" i="8"/>
  <c r="VDK62" i="8"/>
  <c r="VDJ62" i="8"/>
  <c r="VDI62" i="8"/>
  <c r="VDH62" i="8"/>
  <c r="VDG62" i="8"/>
  <c r="VDF62" i="8"/>
  <c r="VDE62" i="8"/>
  <c r="VDD62" i="8"/>
  <c r="VDC62" i="8"/>
  <c r="VDB62" i="8"/>
  <c r="VDA62" i="8"/>
  <c r="VCZ62" i="8"/>
  <c r="VCY62" i="8"/>
  <c r="VCX62" i="8"/>
  <c r="VCW62" i="8"/>
  <c r="VCV62" i="8"/>
  <c r="VCU62" i="8"/>
  <c r="VCT62" i="8"/>
  <c r="VCS62" i="8"/>
  <c r="VCR62" i="8"/>
  <c r="VCQ62" i="8"/>
  <c r="VCP62" i="8"/>
  <c r="VCO62" i="8"/>
  <c r="VCN62" i="8"/>
  <c r="VCM62" i="8"/>
  <c r="VCL62" i="8"/>
  <c r="VCK62" i="8"/>
  <c r="VCJ62" i="8"/>
  <c r="VCI62" i="8"/>
  <c r="VCH62" i="8"/>
  <c r="VCG62" i="8"/>
  <c r="VCF62" i="8"/>
  <c r="VCE62" i="8"/>
  <c r="VCD62" i="8"/>
  <c r="VCC62" i="8"/>
  <c r="VCB62" i="8"/>
  <c r="VCA62" i="8"/>
  <c r="VBZ62" i="8"/>
  <c r="VBY62" i="8"/>
  <c r="VBX62" i="8"/>
  <c r="VBW62" i="8"/>
  <c r="VBV62" i="8"/>
  <c r="VBU62" i="8"/>
  <c r="VBT62" i="8"/>
  <c r="VBS62" i="8"/>
  <c r="VBR62" i="8"/>
  <c r="VBQ62" i="8"/>
  <c r="VBP62" i="8"/>
  <c r="VBO62" i="8"/>
  <c r="VBN62" i="8"/>
  <c r="VBM62" i="8"/>
  <c r="VBL62" i="8"/>
  <c r="VBK62" i="8"/>
  <c r="VBJ62" i="8"/>
  <c r="VBI62" i="8"/>
  <c r="VBH62" i="8"/>
  <c r="VBG62" i="8"/>
  <c r="VBF62" i="8"/>
  <c r="VBE62" i="8"/>
  <c r="VBD62" i="8"/>
  <c r="VBC62" i="8"/>
  <c r="VBB62" i="8"/>
  <c r="VBA62" i="8"/>
  <c r="VAZ62" i="8"/>
  <c r="VAY62" i="8"/>
  <c r="VAX62" i="8"/>
  <c r="VAW62" i="8"/>
  <c r="VAV62" i="8"/>
  <c r="VAU62" i="8"/>
  <c r="VAT62" i="8"/>
  <c r="VAS62" i="8"/>
  <c r="VAR62" i="8"/>
  <c r="VAQ62" i="8"/>
  <c r="VAP62" i="8"/>
  <c r="VAO62" i="8"/>
  <c r="VAN62" i="8"/>
  <c r="VAM62" i="8"/>
  <c r="VAL62" i="8"/>
  <c r="VAK62" i="8"/>
  <c r="VAJ62" i="8"/>
  <c r="VAI62" i="8"/>
  <c r="VAH62" i="8"/>
  <c r="VAG62" i="8"/>
  <c r="VAF62" i="8"/>
  <c r="VAE62" i="8"/>
  <c r="VAD62" i="8"/>
  <c r="VAC62" i="8"/>
  <c r="VAB62" i="8"/>
  <c r="VAA62" i="8"/>
  <c r="UZZ62" i="8"/>
  <c r="UZY62" i="8"/>
  <c r="UZX62" i="8"/>
  <c r="UZW62" i="8"/>
  <c r="UZV62" i="8"/>
  <c r="UZU62" i="8"/>
  <c r="UZT62" i="8"/>
  <c r="UZS62" i="8"/>
  <c r="UZR62" i="8"/>
  <c r="UZQ62" i="8"/>
  <c r="UZP62" i="8"/>
  <c r="UZO62" i="8"/>
  <c r="UZN62" i="8"/>
  <c r="UZM62" i="8"/>
  <c r="UZL62" i="8"/>
  <c r="UZK62" i="8"/>
  <c r="UZJ62" i="8"/>
  <c r="UZI62" i="8"/>
  <c r="UZH62" i="8"/>
  <c r="UZG62" i="8"/>
  <c r="UZF62" i="8"/>
  <c r="UZE62" i="8"/>
  <c r="UZD62" i="8"/>
  <c r="UZC62" i="8"/>
  <c r="UZB62" i="8"/>
  <c r="UZA62" i="8"/>
  <c r="UYZ62" i="8"/>
  <c r="UYY62" i="8"/>
  <c r="UYX62" i="8"/>
  <c r="UYW62" i="8"/>
  <c r="UYV62" i="8"/>
  <c r="UYU62" i="8"/>
  <c r="UYT62" i="8"/>
  <c r="UYS62" i="8"/>
  <c r="UYR62" i="8"/>
  <c r="UYQ62" i="8"/>
  <c r="UYP62" i="8"/>
  <c r="UYO62" i="8"/>
  <c r="UYN62" i="8"/>
  <c r="UYM62" i="8"/>
  <c r="UYL62" i="8"/>
  <c r="UYK62" i="8"/>
  <c r="UYJ62" i="8"/>
  <c r="UYI62" i="8"/>
  <c r="UYH62" i="8"/>
  <c r="UYG62" i="8"/>
  <c r="UYF62" i="8"/>
  <c r="UYE62" i="8"/>
  <c r="UYD62" i="8"/>
  <c r="UYC62" i="8"/>
  <c r="UYB62" i="8"/>
  <c r="UYA62" i="8"/>
  <c r="UXZ62" i="8"/>
  <c r="UXY62" i="8"/>
  <c r="UXX62" i="8"/>
  <c r="UXW62" i="8"/>
  <c r="UXV62" i="8"/>
  <c r="UXU62" i="8"/>
  <c r="UXT62" i="8"/>
  <c r="UXS62" i="8"/>
  <c r="UXR62" i="8"/>
  <c r="UXQ62" i="8"/>
  <c r="UXP62" i="8"/>
  <c r="UXO62" i="8"/>
  <c r="UXN62" i="8"/>
  <c r="UXM62" i="8"/>
  <c r="UXL62" i="8"/>
  <c r="UXK62" i="8"/>
  <c r="UXJ62" i="8"/>
  <c r="UXI62" i="8"/>
  <c r="UXH62" i="8"/>
  <c r="UXG62" i="8"/>
  <c r="UXF62" i="8"/>
  <c r="UXE62" i="8"/>
  <c r="UXD62" i="8"/>
  <c r="UXC62" i="8"/>
  <c r="UXB62" i="8"/>
  <c r="UXA62" i="8"/>
  <c r="UWZ62" i="8"/>
  <c r="UWY62" i="8"/>
  <c r="UWX62" i="8"/>
  <c r="UWW62" i="8"/>
  <c r="UWV62" i="8"/>
  <c r="UWU62" i="8"/>
  <c r="UWT62" i="8"/>
  <c r="UWS62" i="8"/>
  <c r="UWR62" i="8"/>
  <c r="UWQ62" i="8"/>
  <c r="UWP62" i="8"/>
  <c r="UWO62" i="8"/>
  <c r="UWN62" i="8"/>
  <c r="UWM62" i="8"/>
  <c r="UWL62" i="8"/>
  <c r="UWK62" i="8"/>
  <c r="UWJ62" i="8"/>
  <c r="UWI62" i="8"/>
  <c r="UWH62" i="8"/>
  <c r="UWG62" i="8"/>
  <c r="UWF62" i="8"/>
  <c r="UWE62" i="8"/>
  <c r="UWD62" i="8"/>
  <c r="UWC62" i="8"/>
  <c r="UWB62" i="8"/>
  <c r="UWA62" i="8"/>
  <c r="UVZ62" i="8"/>
  <c r="UVY62" i="8"/>
  <c r="UVX62" i="8"/>
  <c r="UVW62" i="8"/>
  <c r="UVV62" i="8"/>
  <c r="UVU62" i="8"/>
  <c r="UVT62" i="8"/>
  <c r="UVS62" i="8"/>
  <c r="UVR62" i="8"/>
  <c r="UVQ62" i="8"/>
  <c r="UVP62" i="8"/>
  <c r="UVO62" i="8"/>
  <c r="UVN62" i="8"/>
  <c r="UVM62" i="8"/>
  <c r="UVL62" i="8"/>
  <c r="UVK62" i="8"/>
  <c r="UVJ62" i="8"/>
  <c r="UVI62" i="8"/>
  <c r="UVH62" i="8"/>
  <c r="UVG62" i="8"/>
  <c r="UVF62" i="8"/>
  <c r="UVE62" i="8"/>
  <c r="UVD62" i="8"/>
  <c r="UVC62" i="8"/>
  <c r="UVB62" i="8"/>
  <c r="UVA62" i="8"/>
  <c r="UUZ62" i="8"/>
  <c r="UUY62" i="8"/>
  <c r="UUX62" i="8"/>
  <c r="UUW62" i="8"/>
  <c r="UUV62" i="8"/>
  <c r="UUU62" i="8"/>
  <c r="UUT62" i="8"/>
  <c r="UUS62" i="8"/>
  <c r="UUR62" i="8"/>
  <c r="UUQ62" i="8"/>
  <c r="UUP62" i="8"/>
  <c r="UUO62" i="8"/>
  <c r="UUN62" i="8"/>
  <c r="UUM62" i="8"/>
  <c r="UUL62" i="8"/>
  <c r="UUK62" i="8"/>
  <c r="UUJ62" i="8"/>
  <c r="UUI62" i="8"/>
  <c r="UUH62" i="8"/>
  <c r="UUG62" i="8"/>
  <c r="UUF62" i="8"/>
  <c r="UUE62" i="8"/>
  <c r="UUD62" i="8"/>
  <c r="UUC62" i="8"/>
  <c r="UUB62" i="8"/>
  <c r="UUA62" i="8"/>
  <c r="UTZ62" i="8"/>
  <c r="UTY62" i="8"/>
  <c r="UTX62" i="8"/>
  <c r="UTW62" i="8"/>
  <c r="UTV62" i="8"/>
  <c r="UTU62" i="8"/>
  <c r="UTT62" i="8"/>
  <c r="UTS62" i="8"/>
  <c r="UTR62" i="8"/>
  <c r="UTQ62" i="8"/>
  <c r="UTP62" i="8"/>
  <c r="UTO62" i="8"/>
  <c r="UTN62" i="8"/>
  <c r="UTM62" i="8"/>
  <c r="UTL62" i="8"/>
  <c r="UTK62" i="8"/>
  <c r="UTJ62" i="8"/>
  <c r="UTI62" i="8"/>
  <c r="UTH62" i="8"/>
  <c r="UTG62" i="8"/>
  <c r="UTF62" i="8"/>
  <c r="UTE62" i="8"/>
  <c r="UTD62" i="8"/>
  <c r="UTC62" i="8"/>
  <c r="UTB62" i="8"/>
  <c r="UTA62" i="8"/>
  <c r="USZ62" i="8"/>
  <c r="USY62" i="8"/>
  <c r="USX62" i="8"/>
  <c r="USW62" i="8"/>
  <c r="USV62" i="8"/>
  <c r="USU62" i="8"/>
  <c r="UST62" i="8"/>
  <c r="USS62" i="8"/>
  <c r="USR62" i="8"/>
  <c r="USQ62" i="8"/>
  <c r="USP62" i="8"/>
  <c r="USO62" i="8"/>
  <c r="USN62" i="8"/>
  <c r="USM62" i="8"/>
  <c r="USL62" i="8"/>
  <c r="USK62" i="8"/>
  <c r="USJ62" i="8"/>
  <c r="USI62" i="8"/>
  <c r="USH62" i="8"/>
  <c r="USG62" i="8"/>
  <c r="USF62" i="8"/>
  <c r="USE62" i="8"/>
  <c r="USD62" i="8"/>
  <c r="USC62" i="8"/>
  <c r="USB62" i="8"/>
  <c r="USA62" i="8"/>
  <c r="URZ62" i="8"/>
  <c r="URY62" i="8"/>
  <c r="URX62" i="8"/>
  <c r="URW62" i="8"/>
  <c r="URV62" i="8"/>
  <c r="URU62" i="8"/>
  <c r="URT62" i="8"/>
  <c r="URS62" i="8"/>
  <c r="URR62" i="8"/>
  <c r="URQ62" i="8"/>
  <c r="URP62" i="8"/>
  <c r="URO62" i="8"/>
  <c r="URN62" i="8"/>
  <c r="URM62" i="8"/>
  <c r="URL62" i="8"/>
  <c r="URK62" i="8"/>
  <c r="URJ62" i="8"/>
  <c r="URI62" i="8"/>
  <c r="URH62" i="8"/>
  <c r="URG62" i="8"/>
  <c r="URF62" i="8"/>
  <c r="URE62" i="8"/>
  <c r="URD62" i="8"/>
  <c r="URC62" i="8"/>
  <c r="URB62" i="8"/>
  <c r="URA62" i="8"/>
  <c r="UQZ62" i="8"/>
  <c r="UQY62" i="8"/>
  <c r="UQX62" i="8"/>
  <c r="UQW62" i="8"/>
  <c r="UQV62" i="8"/>
  <c r="UQU62" i="8"/>
  <c r="UQT62" i="8"/>
  <c r="UQS62" i="8"/>
  <c r="UQR62" i="8"/>
  <c r="UQQ62" i="8"/>
  <c r="UQP62" i="8"/>
  <c r="UQO62" i="8"/>
  <c r="UQN62" i="8"/>
  <c r="UQM62" i="8"/>
  <c r="UQL62" i="8"/>
  <c r="UQK62" i="8"/>
  <c r="UQJ62" i="8"/>
  <c r="UQI62" i="8"/>
  <c r="UQH62" i="8"/>
  <c r="UQG62" i="8"/>
  <c r="UQF62" i="8"/>
  <c r="UQE62" i="8"/>
  <c r="UQD62" i="8"/>
  <c r="UQC62" i="8"/>
  <c r="UQB62" i="8"/>
  <c r="UQA62" i="8"/>
  <c r="UPZ62" i="8"/>
  <c r="UPY62" i="8"/>
  <c r="UPX62" i="8"/>
  <c r="UPW62" i="8"/>
  <c r="UPV62" i="8"/>
  <c r="UPU62" i="8"/>
  <c r="UPT62" i="8"/>
  <c r="UPS62" i="8"/>
  <c r="UPR62" i="8"/>
  <c r="UPQ62" i="8"/>
  <c r="UPP62" i="8"/>
  <c r="UPO62" i="8"/>
  <c r="UPN62" i="8"/>
  <c r="UPM62" i="8"/>
  <c r="UPL62" i="8"/>
  <c r="UPK62" i="8"/>
  <c r="UPJ62" i="8"/>
  <c r="UPI62" i="8"/>
  <c r="UPH62" i="8"/>
  <c r="UPG62" i="8"/>
  <c r="UPF62" i="8"/>
  <c r="UPE62" i="8"/>
  <c r="UPD62" i="8"/>
  <c r="UPC62" i="8"/>
  <c r="UPB62" i="8"/>
  <c r="UPA62" i="8"/>
  <c r="UOZ62" i="8"/>
  <c r="UOY62" i="8"/>
  <c r="UOX62" i="8"/>
  <c r="UOW62" i="8"/>
  <c r="UOV62" i="8"/>
  <c r="UOU62" i="8"/>
  <c r="UOT62" i="8"/>
  <c r="UOS62" i="8"/>
  <c r="UOR62" i="8"/>
  <c r="UOQ62" i="8"/>
  <c r="UOP62" i="8"/>
  <c r="UOO62" i="8"/>
  <c r="UON62" i="8"/>
  <c r="UOM62" i="8"/>
  <c r="UOL62" i="8"/>
  <c r="UOK62" i="8"/>
  <c r="UOJ62" i="8"/>
  <c r="UOI62" i="8"/>
  <c r="UOH62" i="8"/>
  <c r="UOG62" i="8"/>
  <c r="UOF62" i="8"/>
  <c r="UOE62" i="8"/>
  <c r="UOD62" i="8"/>
  <c r="UOC62" i="8"/>
  <c r="UOB62" i="8"/>
  <c r="UOA62" i="8"/>
  <c r="UNZ62" i="8"/>
  <c r="UNY62" i="8"/>
  <c r="UNX62" i="8"/>
  <c r="UNW62" i="8"/>
  <c r="UNV62" i="8"/>
  <c r="UNU62" i="8"/>
  <c r="UNT62" i="8"/>
  <c r="UNS62" i="8"/>
  <c r="UNR62" i="8"/>
  <c r="UNQ62" i="8"/>
  <c r="UNP62" i="8"/>
  <c r="UNO62" i="8"/>
  <c r="UNN62" i="8"/>
  <c r="UNM62" i="8"/>
  <c r="UNL62" i="8"/>
  <c r="UNK62" i="8"/>
  <c r="UNJ62" i="8"/>
  <c r="UNI62" i="8"/>
  <c r="UNH62" i="8"/>
  <c r="UNG62" i="8"/>
  <c r="UNF62" i="8"/>
  <c r="UNE62" i="8"/>
  <c r="UND62" i="8"/>
  <c r="UNC62" i="8"/>
  <c r="UNB62" i="8"/>
  <c r="UNA62" i="8"/>
  <c r="UMZ62" i="8"/>
  <c r="UMY62" i="8"/>
  <c r="UMX62" i="8"/>
  <c r="UMW62" i="8"/>
  <c r="UMV62" i="8"/>
  <c r="UMU62" i="8"/>
  <c r="UMT62" i="8"/>
  <c r="UMS62" i="8"/>
  <c r="UMR62" i="8"/>
  <c r="UMQ62" i="8"/>
  <c r="UMP62" i="8"/>
  <c r="UMO62" i="8"/>
  <c r="UMN62" i="8"/>
  <c r="UMM62" i="8"/>
  <c r="UML62" i="8"/>
  <c r="UMK62" i="8"/>
  <c r="UMJ62" i="8"/>
  <c r="UMI62" i="8"/>
  <c r="UMH62" i="8"/>
  <c r="UMG62" i="8"/>
  <c r="UMF62" i="8"/>
  <c r="UME62" i="8"/>
  <c r="UMD62" i="8"/>
  <c r="UMC62" i="8"/>
  <c r="UMB62" i="8"/>
  <c r="UMA62" i="8"/>
  <c r="ULZ62" i="8"/>
  <c r="ULY62" i="8"/>
  <c r="ULX62" i="8"/>
  <c r="ULW62" i="8"/>
  <c r="ULV62" i="8"/>
  <c r="ULU62" i="8"/>
  <c r="ULT62" i="8"/>
  <c r="ULS62" i="8"/>
  <c r="ULR62" i="8"/>
  <c r="ULQ62" i="8"/>
  <c r="ULP62" i="8"/>
  <c r="ULO62" i="8"/>
  <c r="ULN62" i="8"/>
  <c r="ULM62" i="8"/>
  <c r="ULL62" i="8"/>
  <c r="ULK62" i="8"/>
  <c r="ULJ62" i="8"/>
  <c r="ULI62" i="8"/>
  <c r="ULH62" i="8"/>
  <c r="ULG62" i="8"/>
  <c r="ULF62" i="8"/>
  <c r="ULE62" i="8"/>
  <c r="ULD62" i="8"/>
  <c r="ULC62" i="8"/>
  <c r="ULB62" i="8"/>
  <c r="ULA62" i="8"/>
  <c r="UKZ62" i="8"/>
  <c r="UKY62" i="8"/>
  <c r="UKX62" i="8"/>
  <c r="UKW62" i="8"/>
  <c r="UKV62" i="8"/>
  <c r="UKU62" i="8"/>
  <c r="UKT62" i="8"/>
  <c r="UKS62" i="8"/>
  <c r="UKR62" i="8"/>
  <c r="UKQ62" i="8"/>
  <c r="UKP62" i="8"/>
  <c r="UKO62" i="8"/>
  <c r="UKN62" i="8"/>
  <c r="UKM62" i="8"/>
  <c r="UKL62" i="8"/>
  <c r="UKK62" i="8"/>
  <c r="UKJ62" i="8"/>
  <c r="UKI62" i="8"/>
  <c r="UKH62" i="8"/>
  <c r="UKG62" i="8"/>
  <c r="UKF62" i="8"/>
  <c r="UKE62" i="8"/>
  <c r="UKD62" i="8"/>
  <c r="UKC62" i="8"/>
  <c r="UKB62" i="8"/>
  <c r="UKA62" i="8"/>
  <c r="UJZ62" i="8"/>
  <c r="UJY62" i="8"/>
  <c r="UJX62" i="8"/>
  <c r="UJW62" i="8"/>
  <c r="UJV62" i="8"/>
  <c r="UJU62" i="8"/>
  <c r="UJT62" i="8"/>
  <c r="UJS62" i="8"/>
  <c r="UJR62" i="8"/>
  <c r="UJQ62" i="8"/>
  <c r="UJP62" i="8"/>
  <c r="UJO62" i="8"/>
  <c r="UJN62" i="8"/>
  <c r="UJM62" i="8"/>
  <c r="UJL62" i="8"/>
  <c r="UJK62" i="8"/>
  <c r="UJJ62" i="8"/>
  <c r="UJI62" i="8"/>
  <c r="UJH62" i="8"/>
  <c r="UJG62" i="8"/>
  <c r="UJF62" i="8"/>
  <c r="UJE62" i="8"/>
  <c r="UJD62" i="8"/>
  <c r="UJC62" i="8"/>
  <c r="UJB62" i="8"/>
  <c r="UJA62" i="8"/>
  <c r="UIZ62" i="8"/>
  <c r="UIY62" i="8"/>
  <c r="UIX62" i="8"/>
  <c r="UIW62" i="8"/>
  <c r="UIV62" i="8"/>
  <c r="UIU62" i="8"/>
  <c r="UIT62" i="8"/>
  <c r="UIS62" i="8"/>
  <c r="UIR62" i="8"/>
  <c r="UIQ62" i="8"/>
  <c r="UIP62" i="8"/>
  <c r="UIO62" i="8"/>
  <c r="UIN62" i="8"/>
  <c r="UIM62" i="8"/>
  <c r="UIL62" i="8"/>
  <c r="UIK62" i="8"/>
  <c r="UIJ62" i="8"/>
  <c r="UII62" i="8"/>
  <c r="UIH62" i="8"/>
  <c r="UIG62" i="8"/>
  <c r="UIF62" i="8"/>
  <c r="UIE62" i="8"/>
  <c r="UID62" i="8"/>
  <c r="UIC62" i="8"/>
  <c r="UIB62" i="8"/>
  <c r="UIA62" i="8"/>
  <c r="UHZ62" i="8"/>
  <c r="UHY62" i="8"/>
  <c r="UHX62" i="8"/>
  <c r="UHW62" i="8"/>
  <c r="UHV62" i="8"/>
  <c r="UHU62" i="8"/>
  <c r="UHT62" i="8"/>
  <c r="UHS62" i="8"/>
  <c r="UHR62" i="8"/>
  <c r="UHQ62" i="8"/>
  <c r="UHP62" i="8"/>
  <c r="UHO62" i="8"/>
  <c r="UHN62" i="8"/>
  <c r="UHM62" i="8"/>
  <c r="UHL62" i="8"/>
  <c r="UHK62" i="8"/>
  <c r="UHJ62" i="8"/>
  <c r="UHI62" i="8"/>
  <c r="UHH62" i="8"/>
  <c r="UHG62" i="8"/>
  <c r="UHF62" i="8"/>
  <c r="UHE62" i="8"/>
  <c r="UHD62" i="8"/>
  <c r="UHC62" i="8"/>
  <c r="UHB62" i="8"/>
  <c r="UHA62" i="8"/>
  <c r="UGZ62" i="8"/>
  <c r="UGY62" i="8"/>
  <c r="UGX62" i="8"/>
  <c r="UGW62" i="8"/>
  <c r="UGV62" i="8"/>
  <c r="UGU62" i="8"/>
  <c r="UGT62" i="8"/>
  <c r="UGS62" i="8"/>
  <c r="UGR62" i="8"/>
  <c r="UGQ62" i="8"/>
  <c r="UGP62" i="8"/>
  <c r="UGO62" i="8"/>
  <c r="UGN62" i="8"/>
  <c r="UGM62" i="8"/>
  <c r="UGL62" i="8"/>
  <c r="UGK62" i="8"/>
  <c r="UGJ62" i="8"/>
  <c r="UGI62" i="8"/>
  <c r="UGH62" i="8"/>
  <c r="UGG62" i="8"/>
  <c r="UGF62" i="8"/>
  <c r="UGE62" i="8"/>
  <c r="UGD62" i="8"/>
  <c r="UGC62" i="8"/>
  <c r="UGB62" i="8"/>
  <c r="UGA62" i="8"/>
  <c r="UFZ62" i="8"/>
  <c r="UFY62" i="8"/>
  <c r="UFX62" i="8"/>
  <c r="UFW62" i="8"/>
  <c r="UFV62" i="8"/>
  <c r="UFU62" i="8"/>
  <c r="UFT62" i="8"/>
  <c r="UFS62" i="8"/>
  <c r="UFR62" i="8"/>
  <c r="UFQ62" i="8"/>
  <c r="UFP62" i="8"/>
  <c r="UFO62" i="8"/>
  <c r="UFN62" i="8"/>
  <c r="UFM62" i="8"/>
  <c r="UFL62" i="8"/>
  <c r="UFK62" i="8"/>
  <c r="UFJ62" i="8"/>
  <c r="UFI62" i="8"/>
  <c r="UFH62" i="8"/>
  <c r="UFG62" i="8"/>
  <c r="UFF62" i="8"/>
  <c r="UFE62" i="8"/>
  <c r="UFD62" i="8"/>
  <c r="UFC62" i="8"/>
  <c r="UFB62" i="8"/>
  <c r="UFA62" i="8"/>
  <c r="UEZ62" i="8"/>
  <c r="UEY62" i="8"/>
  <c r="UEX62" i="8"/>
  <c r="UEW62" i="8"/>
  <c r="UEV62" i="8"/>
  <c r="UEU62" i="8"/>
  <c r="UET62" i="8"/>
  <c r="UES62" i="8"/>
  <c r="UER62" i="8"/>
  <c r="UEQ62" i="8"/>
  <c r="UEP62" i="8"/>
  <c r="UEO62" i="8"/>
  <c r="UEN62" i="8"/>
  <c r="UEM62" i="8"/>
  <c r="UEL62" i="8"/>
  <c r="UEK62" i="8"/>
  <c r="UEJ62" i="8"/>
  <c r="UEI62" i="8"/>
  <c r="UEH62" i="8"/>
  <c r="UEG62" i="8"/>
  <c r="UEF62" i="8"/>
  <c r="UEE62" i="8"/>
  <c r="UED62" i="8"/>
  <c r="UEC62" i="8"/>
  <c r="UEB62" i="8"/>
  <c r="UEA62" i="8"/>
  <c r="UDZ62" i="8"/>
  <c r="UDY62" i="8"/>
  <c r="UDX62" i="8"/>
  <c r="UDW62" i="8"/>
  <c r="UDV62" i="8"/>
  <c r="UDU62" i="8"/>
  <c r="UDT62" i="8"/>
  <c r="UDS62" i="8"/>
  <c r="UDR62" i="8"/>
  <c r="UDQ62" i="8"/>
  <c r="UDP62" i="8"/>
  <c r="UDO62" i="8"/>
  <c r="UDN62" i="8"/>
  <c r="UDM62" i="8"/>
  <c r="UDL62" i="8"/>
  <c r="UDK62" i="8"/>
  <c r="UDJ62" i="8"/>
  <c r="UDI62" i="8"/>
  <c r="UDH62" i="8"/>
  <c r="UDG62" i="8"/>
  <c r="UDF62" i="8"/>
  <c r="UDE62" i="8"/>
  <c r="UDD62" i="8"/>
  <c r="UDC62" i="8"/>
  <c r="UDB62" i="8"/>
  <c r="UDA62" i="8"/>
  <c r="UCZ62" i="8"/>
  <c r="UCY62" i="8"/>
  <c r="UCX62" i="8"/>
  <c r="UCW62" i="8"/>
  <c r="UCV62" i="8"/>
  <c r="UCU62" i="8"/>
  <c r="UCT62" i="8"/>
  <c r="UCS62" i="8"/>
  <c r="UCR62" i="8"/>
  <c r="UCQ62" i="8"/>
  <c r="UCP62" i="8"/>
  <c r="UCO62" i="8"/>
  <c r="UCN62" i="8"/>
  <c r="UCM62" i="8"/>
  <c r="UCL62" i="8"/>
  <c r="UCK62" i="8"/>
  <c r="UCJ62" i="8"/>
  <c r="UCI62" i="8"/>
  <c r="UCH62" i="8"/>
  <c r="UCG62" i="8"/>
  <c r="UCF62" i="8"/>
  <c r="UCE62" i="8"/>
  <c r="UCD62" i="8"/>
  <c r="UCC62" i="8"/>
  <c r="UCB62" i="8"/>
  <c r="UCA62" i="8"/>
  <c r="UBZ62" i="8"/>
  <c r="UBY62" i="8"/>
  <c r="UBX62" i="8"/>
  <c r="UBW62" i="8"/>
  <c r="UBV62" i="8"/>
  <c r="UBU62" i="8"/>
  <c r="UBT62" i="8"/>
  <c r="UBS62" i="8"/>
  <c r="UBR62" i="8"/>
  <c r="UBQ62" i="8"/>
  <c r="UBP62" i="8"/>
  <c r="UBO62" i="8"/>
  <c r="UBN62" i="8"/>
  <c r="UBM62" i="8"/>
  <c r="UBL62" i="8"/>
  <c r="UBK62" i="8"/>
  <c r="UBJ62" i="8"/>
  <c r="UBI62" i="8"/>
  <c r="UBH62" i="8"/>
  <c r="UBG62" i="8"/>
  <c r="UBF62" i="8"/>
  <c r="UBE62" i="8"/>
  <c r="UBD62" i="8"/>
  <c r="UBC62" i="8"/>
  <c r="UBB62" i="8"/>
  <c r="UBA62" i="8"/>
  <c r="UAZ62" i="8"/>
  <c r="UAY62" i="8"/>
  <c r="UAX62" i="8"/>
  <c r="UAW62" i="8"/>
  <c r="UAV62" i="8"/>
  <c r="UAU62" i="8"/>
  <c r="UAT62" i="8"/>
  <c r="UAS62" i="8"/>
  <c r="UAR62" i="8"/>
  <c r="UAQ62" i="8"/>
  <c r="UAP62" i="8"/>
  <c r="UAO62" i="8"/>
  <c r="UAN62" i="8"/>
  <c r="UAM62" i="8"/>
  <c r="UAL62" i="8"/>
  <c r="UAK62" i="8"/>
  <c r="UAJ62" i="8"/>
  <c r="UAI62" i="8"/>
  <c r="UAH62" i="8"/>
  <c r="UAG62" i="8"/>
  <c r="UAF62" i="8"/>
  <c r="UAE62" i="8"/>
  <c r="UAD62" i="8"/>
  <c r="UAC62" i="8"/>
  <c r="UAB62" i="8"/>
  <c r="UAA62" i="8"/>
  <c r="TZZ62" i="8"/>
  <c r="TZY62" i="8"/>
  <c r="TZX62" i="8"/>
  <c r="TZW62" i="8"/>
  <c r="TZV62" i="8"/>
  <c r="TZU62" i="8"/>
  <c r="TZT62" i="8"/>
  <c r="TZS62" i="8"/>
  <c r="TZR62" i="8"/>
  <c r="TZQ62" i="8"/>
  <c r="TZP62" i="8"/>
  <c r="TZO62" i="8"/>
  <c r="TZN62" i="8"/>
  <c r="TZM62" i="8"/>
  <c r="TZL62" i="8"/>
  <c r="TZK62" i="8"/>
  <c r="TZJ62" i="8"/>
  <c r="TZI62" i="8"/>
  <c r="TZH62" i="8"/>
  <c r="TZG62" i="8"/>
  <c r="TZF62" i="8"/>
  <c r="TZE62" i="8"/>
  <c r="TZD62" i="8"/>
  <c r="TZC62" i="8"/>
  <c r="TZB62" i="8"/>
  <c r="TZA62" i="8"/>
  <c r="TYZ62" i="8"/>
  <c r="TYY62" i="8"/>
  <c r="TYX62" i="8"/>
  <c r="TYW62" i="8"/>
  <c r="TYV62" i="8"/>
  <c r="TYU62" i="8"/>
  <c r="TYT62" i="8"/>
  <c r="TYS62" i="8"/>
  <c r="TYR62" i="8"/>
  <c r="TYQ62" i="8"/>
  <c r="TYP62" i="8"/>
  <c r="TYO62" i="8"/>
  <c r="TYN62" i="8"/>
  <c r="TYM62" i="8"/>
  <c r="TYL62" i="8"/>
  <c r="TYK62" i="8"/>
  <c r="TYJ62" i="8"/>
  <c r="TYI62" i="8"/>
  <c r="TYH62" i="8"/>
  <c r="TYG62" i="8"/>
  <c r="TYF62" i="8"/>
  <c r="TYE62" i="8"/>
  <c r="TYD62" i="8"/>
  <c r="TYC62" i="8"/>
  <c r="TYB62" i="8"/>
  <c r="TYA62" i="8"/>
  <c r="TXZ62" i="8"/>
  <c r="TXY62" i="8"/>
  <c r="TXX62" i="8"/>
  <c r="TXW62" i="8"/>
  <c r="TXV62" i="8"/>
  <c r="TXU62" i="8"/>
  <c r="TXT62" i="8"/>
  <c r="TXS62" i="8"/>
  <c r="TXR62" i="8"/>
  <c r="TXQ62" i="8"/>
  <c r="TXP62" i="8"/>
  <c r="TXO62" i="8"/>
  <c r="TXN62" i="8"/>
  <c r="TXM62" i="8"/>
  <c r="TXL62" i="8"/>
  <c r="TXK62" i="8"/>
  <c r="TXJ62" i="8"/>
  <c r="TXI62" i="8"/>
  <c r="TXH62" i="8"/>
  <c r="TXG62" i="8"/>
  <c r="TXF62" i="8"/>
  <c r="TXE62" i="8"/>
  <c r="TXD62" i="8"/>
  <c r="TXC62" i="8"/>
  <c r="TXB62" i="8"/>
  <c r="TXA62" i="8"/>
  <c r="TWZ62" i="8"/>
  <c r="TWY62" i="8"/>
  <c r="TWX62" i="8"/>
  <c r="TWW62" i="8"/>
  <c r="TWV62" i="8"/>
  <c r="TWU62" i="8"/>
  <c r="TWT62" i="8"/>
  <c r="TWS62" i="8"/>
  <c r="TWR62" i="8"/>
  <c r="TWQ62" i="8"/>
  <c r="TWP62" i="8"/>
  <c r="TWO62" i="8"/>
  <c r="TWN62" i="8"/>
  <c r="TWM62" i="8"/>
  <c r="TWL62" i="8"/>
  <c r="TWK62" i="8"/>
  <c r="TWJ62" i="8"/>
  <c r="TWI62" i="8"/>
  <c r="TWH62" i="8"/>
  <c r="TWG62" i="8"/>
  <c r="TWF62" i="8"/>
  <c r="TWE62" i="8"/>
  <c r="TWD62" i="8"/>
  <c r="TWC62" i="8"/>
  <c r="TWB62" i="8"/>
  <c r="TWA62" i="8"/>
  <c r="TVZ62" i="8"/>
  <c r="TVY62" i="8"/>
  <c r="TVX62" i="8"/>
  <c r="TVW62" i="8"/>
  <c r="TVV62" i="8"/>
  <c r="TVU62" i="8"/>
  <c r="TVT62" i="8"/>
  <c r="TVS62" i="8"/>
  <c r="TVR62" i="8"/>
  <c r="TVQ62" i="8"/>
  <c r="TVP62" i="8"/>
  <c r="TVO62" i="8"/>
  <c r="TVN62" i="8"/>
  <c r="TVM62" i="8"/>
  <c r="TVL62" i="8"/>
  <c r="TVK62" i="8"/>
  <c r="TVJ62" i="8"/>
  <c r="TVI62" i="8"/>
  <c r="TVH62" i="8"/>
  <c r="TVG62" i="8"/>
  <c r="TVF62" i="8"/>
  <c r="TVE62" i="8"/>
  <c r="TVD62" i="8"/>
  <c r="TVC62" i="8"/>
  <c r="TVB62" i="8"/>
  <c r="TVA62" i="8"/>
  <c r="TUZ62" i="8"/>
  <c r="TUY62" i="8"/>
  <c r="TUX62" i="8"/>
  <c r="TUW62" i="8"/>
  <c r="TUV62" i="8"/>
  <c r="TUU62" i="8"/>
  <c r="TUT62" i="8"/>
  <c r="TUS62" i="8"/>
  <c r="TUR62" i="8"/>
  <c r="TUQ62" i="8"/>
  <c r="TUP62" i="8"/>
  <c r="TUO62" i="8"/>
  <c r="TUN62" i="8"/>
  <c r="TUM62" i="8"/>
  <c r="TUL62" i="8"/>
  <c r="TUK62" i="8"/>
  <c r="TUJ62" i="8"/>
  <c r="TUI62" i="8"/>
  <c r="TUH62" i="8"/>
  <c r="TUG62" i="8"/>
  <c r="TUF62" i="8"/>
  <c r="TUE62" i="8"/>
  <c r="TUD62" i="8"/>
  <c r="TUC62" i="8"/>
  <c r="TUB62" i="8"/>
  <c r="TUA62" i="8"/>
  <c r="TTZ62" i="8"/>
  <c r="TTY62" i="8"/>
  <c r="TTX62" i="8"/>
  <c r="TTW62" i="8"/>
  <c r="TTV62" i="8"/>
  <c r="TTU62" i="8"/>
  <c r="TTT62" i="8"/>
  <c r="TTS62" i="8"/>
  <c r="TTR62" i="8"/>
  <c r="TTQ62" i="8"/>
  <c r="TTP62" i="8"/>
  <c r="TTO62" i="8"/>
  <c r="TTN62" i="8"/>
  <c r="TTM62" i="8"/>
  <c r="TTL62" i="8"/>
  <c r="TTK62" i="8"/>
  <c r="TTJ62" i="8"/>
  <c r="TTI62" i="8"/>
  <c r="TTH62" i="8"/>
  <c r="TTG62" i="8"/>
  <c r="TTF62" i="8"/>
  <c r="TTE62" i="8"/>
  <c r="TTD62" i="8"/>
  <c r="TTC62" i="8"/>
  <c r="TTB62" i="8"/>
  <c r="TTA62" i="8"/>
  <c r="TSZ62" i="8"/>
  <c r="TSY62" i="8"/>
  <c r="TSX62" i="8"/>
  <c r="TSW62" i="8"/>
  <c r="TSV62" i="8"/>
  <c r="TSU62" i="8"/>
  <c r="TST62" i="8"/>
  <c r="TSS62" i="8"/>
  <c r="TSR62" i="8"/>
  <c r="TSQ62" i="8"/>
  <c r="TSP62" i="8"/>
  <c r="TSO62" i="8"/>
  <c r="TSN62" i="8"/>
  <c r="TSM62" i="8"/>
  <c r="TSL62" i="8"/>
  <c r="TSK62" i="8"/>
  <c r="TSJ62" i="8"/>
  <c r="TSI62" i="8"/>
  <c r="TSH62" i="8"/>
  <c r="TSG62" i="8"/>
  <c r="TSF62" i="8"/>
  <c r="TSE62" i="8"/>
  <c r="TSD62" i="8"/>
  <c r="TSC62" i="8"/>
  <c r="TSB62" i="8"/>
  <c r="TSA62" i="8"/>
  <c r="TRZ62" i="8"/>
  <c r="TRY62" i="8"/>
  <c r="TRX62" i="8"/>
  <c r="TRW62" i="8"/>
  <c r="TRV62" i="8"/>
  <c r="TRU62" i="8"/>
  <c r="TRT62" i="8"/>
  <c r="TRS62" i="8"/>
  <c r="TRR62" i="8"/>
  <c r="TRQ62" i="8"/>
  <c r="TRP62" i="8"/>
  <c r="TRO62" i="8"/>
  <c r="TRN62" i="8"/>
  <c r="TRM62" i="8"/>
  <c r="TRL62" i="8"/>
  <c r="TRK62" i="8"/>
  <c r="TRJ62" i="8"/>
  <c r="TRI62" i="8"/>
  <c r="TRH62" i="8"/>
  <c r="TRG62" i="8"/>
  <c r="TRF62" i="8"/>
  <c r="TRE62" i="8"/>
  <c r="TRD62" i="8"/>
  <c r="TRC62" i="8"/>
  <c r="TRB62" i="8"/>
  <c r="TRA62" i="8"/>
  <c r="TQZ62" i="8"/>
  <c r="TQY62" i="8"/>
  <c r="TQX62" i="8"/>
  <c r="TQW62" i="8"/>
  <c r="TQV62" i="8"/>
  <c r="TQU62" i="8"/>
  <c r="TQT62" i="8"/>
  <c r="TQS62" i="8"/>
  <c r="TQR62" i="8"/>
  <c r="TQQ62" i="8"/>
  <c r="TQP62" i="8"/>
  <c r="TQO62" i="8"/>
  <c r="TQN62" i="8"/>
  <c r="TQM62" i="8"/>
  <c r="TQL62" i="8"/>
  <c r="TQK62" i="8"/>
  <c r="TQJ62" i="8"/>
  <c r="TQI62" i="8"/>
  <c r="TQH62" i="8"/>
  <c r="TQG62" i="8"/>
  <c r="TQF62" i="8"/>
  <c r="TQE62" i="8"/>
  <c r="TQD62" i="8"/>
  <c r="TQC62" i="8"/>
  <c r="TQB62" i="8"/>
  <c r="TQA62" i="8"/>
  <c r="TPZ62" i="8"/>
  <c r="TPY62" i="8"/>
  <c r="TPX62" i="8"/>
  <c r="TPW62" i="8"/>
  <c r="TPV62" i="8"/>
  <c r="TPU62" i="8"/>
  <c r="TPT62" i="8"/>
  <c r="TPS62" i="8"/>
  <c r="TPR62" i="8"/>
  <c r="TPQ62" i="8"/>
  <c r="TPP62" i="8"/>
  <c r="TPO62" i="8"/>
  <c r="TPN62" i="8"/>
  <c r="TPM62" i="8"/>
  <c r="TPL62" i="8"/>
  <c r="TPK62" i="8"/>
  <c r="TPJ62" i="8"/>
  <c r="TPI62" i="8"/>
  <c r="TPH62" i="8"/>
  <c r="TPG62" i="8"/>
  <c r="TPF62" i="8"/>
  <c r="TPE62" i="8"/>
  <c r="TPD62" i="8"/>
  <c r="TPC62" i="8"/>
  <c r="TPB62" i="8"/>
  <c r="TPA62" i="8"/>
  <c r="TOZ62" i="8"/>
  <c r="TOY62" i="8"/>
  <c r="TOX62" i="8"/>
  <c r="TOW62" i="8"/>
  <c r="TOV62" i="8"/>
  <c r="TOU62" i="8"/>
  <c r="TOT62" i="8"/>
  <c r="TOS62" i="8"/>
  <c r="TOR62" i="8"/>
  <c r="TOQ62" i="8"/>
  <c r="TOP62" i="8"/>
  <c r="TOO62" i="8"/>
  <c r="TON62" i="8"/>
  <c r="TOM62" i="8"/>
  <c r="TOL62" i="8"/>
  <c r="TOK62" i="8"/>
  <c r="TOJ62" i="8"/>
  <c r="TOI62" i="8"/>
  <c r="TOH62" i="8"/>
  <c r="TOG62" i="8"/>
  <c r="TOF62" i="8"/>
  <c r="TOE62" i="8"/>
  <c r="TOD62" i="8"/>
  <c r="TOC62" i="8"/>
  <c r="TOB62" i="8"/>
  <c r="TOA62" i="8"/>
  <c r="TNZ62" i="8"/>
  <c r="TNY62" i="8"/>
  <c r="TNX62" i="8"/>
  <c r="TNW62" i="8"/>
  <c r="TNV62" i="8"/>
  <c r="TNU62" i="8"/>
  <c r="TNT62" i="8"/>
  <c r="TNS62" i="8"/>
  <c r="TNR62" i="8"/>
  <c r="TNQ62" i="8"/>
  <c r="TNP62" i="8"/>
  <c r="TNO62" i="8"/>
  <c r="TNN62" i="8"/>
  <c r="TNM62" i="8"/>
  <c r="TNL62" i="8"/>
  <c r="TNK62" i="8"/>
  <c r="TNJ62" i="8"/>
  <c r="TNI62" i="8"/>
  <c r="TNH62" i="8"/>
  <c r="TNG62" i="8"/>
  <c r="TNF62" i="8"/>
  <c r="TNE62" i="8"/>
  <c r="TND62" i="8"/>
  <c r="TNC62" i="8"/>
  <c r="TNB62" i="8"/>
  <c r="TNA62" i="8"/>
  <c r="TMZ62" i="8"/>
  <c r="TMY62" i="8"/>
  <c r="TMX62" i="8"/>
  <c r="TMW62" i="8"/>
  <c r="TMV62" i="8"/>
  <c r="TMU62" i="8"/>
  <c r="TMT62" i="8"/>
  <c r="TMS62" i="8"/>
  <c r="TMR62" i="8"/>
  <c r="TMQ62" i="8"/>
  <c r="TMP62" i="8"/>
  <c r="TMO62" i="8"/>
  <c r="TMN62" i="8"/>
  <c r="TMM62" i="8"/>
  <c r="TML62" i="8"/>
  <c r="TMK62" i="8"/>
  <c r="TMJ62" i="8"/>
  <c r="TMI62" i="8"/>
  <c r="TMH62" i="8"/>
  <c r="TMG62" i="8"/>
  <c r="TMF62" i="8"/>
  <c r="TME62" i="8"/>
  <c r="TMD62" i="8"/>
  <c r="TMC62" i="8"/>
  <c r="TMB62" i="8"/>
  <c r="TMA62" i="8"/>
  <c r="TLZ62" i="8"/>
  <c r="TLY62" i="8"/>
  <c r="TLX62" i="8"/>
  <c r="TLW62" i="8"/>
  <c r="TLV62" i="8"/>
  <c r="TLU62" i="8"/>
  <c r="TLT62" i="8"/>
  <c r="TLS62" i="8"/>
  <c r="TLR62" i="8"/>
  <c r="TLQ62" i="8"/>
  <c r="TLP62" i="8"/>
  <c r="TLO62" i="8"/>
  <c r="TLN62" i="8"/>
  <c r="TLM62" i="8"/>
  <c r="TLL62" i="8"/>
  <c r="TLK62" i="8"/>
  <c r="TLJ62" i="8"/>
  <c r="TLI62" i="8"/>
  <c r="TLH62" i="8"/>
  <c r="TLG62" i="8"/>
  <c r="TLF62" i="8"/>
  <c r="TLE62" i="8"/>
  <c r="TLD62" i="8"/>
  <c r="TLC62" i="8"/>
  <c r="TLB62" i="8"/>
  <c r="TLA62" i="8"/>
  <c r="TKZ62" i="8"/>
  <c r="TKY62" i="8"/>
  <c r="TKX62" i="8"/>
  <c r="TKW62" i="8"/>
  <c r="TKV62" i="8"/>
  <c r="TKU62" i="8"/>
  <c r="TKT62" i="8"/>
  <c r="TKS62" i="8"/>
  <c r="TKR62" i="8"/>
  <c r="TKQ62" i="8"/>
  <c r="TKP62" i="8"/>
  <c r="TKO62" i="8"/>
  <c r="TKN62" i="8"/>
  <c r="TKM62" i="8"/>
  <c r="TKL62" i="8"/>
  <c r="TKK62" i="8"/>
  <c r="TKJ62" i="8"/>
  <c r="TKI62" i="8"/>
  <c r="TKH62" i="8"/>
  <c r="TKG62" i="8"/>
  <c r="TKF62" i="8"/>
  <c r="TKE62" i="8"/>
  <c r="TKD62" i="8"/>
  <c r="TKC62" i="8"/>
  <c r="TKB62" i="8"/>
  <c r="TKA62" i="8"/>
  <c r="TJZ62" i="8"/>
  <c r="TJY62" i="8"/>
  <c r="TJX62" i="8"/>
  <c r="TJW62" i="8"/>
  <c r="TJV62" i="8"/>
  <c r="TJU62" i="8"/>
  <c r="TJT62" i="8"/>
  <c r="TJS62" i="8"/>
  <c r="TJR62" i="8"/>
  <c r="TJQ62" i="8"/>
  <c r="TJP62" i="8"/>
  <c r="TJO62" i="8"/>
  <c r="TJN62" i="8"/>
  <c r="TJM62" i="8"/>
  <c r="TJL62" i="8"/>
  <c r="TJK62" i="8"/>
  <c r="TJJ62" i="8"/>
  <c r="TJI62" i="8"/>
  <c r="TJH62" i="8"/>
  <c r="TJG62" i="8"/>
  <c r="TJF62" i="8"/>
  <c r="TJE62" i="8"/>
  <c r="TJD62" i="8"/>
  <c r="TJC62" i="8"/>
  <c r="TJB62" i="8"/>
  <c r="TJA62" i="8"/>
  <c r="TIZ62" i="8"/>
  <c r="TIY62" i="8"/>
  <c r="TIX62" i="8"/>
  <c r="TIW62" i="8"/>
  <c r="TIV62" i="8"/>
  <c r="TIU62" i="8"/>
  <c r="TIT62" i="8"/>
  <c r="TIS62" i="8"/>
  <c r="TIR62" i="8"/>
  <c r="TIQ62" i="8"/>
  <c r="TIP62" i="8"/>
  <c r="TIO62" i="8"/>
  <c r="TIN62" i="8"/>
  <c r="TIM62" i="8"/>
  <c r="TIL62" i="8"/>
  <c r="TIK62" i="8"/>
  <c r="TIJ62" i="8"/>
  <c r="TII62" i="8"/>
  <c r="TIH62" i="8"/>
  <c r="TIG62" i="8"/>
  <c r="TIF62" i="8"/>
  <c r="TIE62" i="8"/>
  <c r="TID62" i="8"/>
  <c r="TIC62" i="8"/>
  <c r="TIB62" i="8"/>
  <c r="TIA62" i="8"/>
  <c r="THZ62" i="8"/>
  <c r="THY62" i="8"/>
  <c r="THX62" i="8"/>
  <c r="THW62" i="8"/>
  <c r="THV62" i="8"/>
  <c r="THU62" i="8"/>
  <c r="THT62" i="8"/>
  <c r="THS62" i="8"/>
  <c r="THR62" i="8"/>
  <c r="THQ62" i="8"/>
  <c r="THP62" i="8"/>
  <c r="THO62" i="8"/>
  <c r="THN62" i="8"/>
  <c r="THM62" i="8"/>
  <c r="THL62" i="8"/>
  <c r="THK62" i="8"/>
  <c r="THJ62" i="8"/>
  <c r="THI62" i="8"/>
  <c r="THH62" i="8"/>
  <c r="THG62" i="8"/>
  <c r="THF62" i="8"/>
  <c r="THE62" i="8"/>
  <c r="THD62" i="8"/>
  <c r="THC62" i="8"/>
  <c r="THB62" i="8"/>
  <c r="THA62" i="8"/>
  <c r="TGZ62" i="8"/>
  <c r="TGY62" i="8"/>
  <c r="TGX62" i="8"/>
  <c r="TGW62" i="8"/>
  <c r="TGV62" i="8"/>
  <c r="TGU62" i="8"/>
  <c r="TGT62" i="8"/>
  <c r="TGS62" i="8"/>
  <c r="TGR62" i="8"/>
  <c r="TGQ62" i="8"/>
  <c r="TGP62" i="8"/>
  <c r="TGO62" i="8"/>
  <c r="TGN62" i="8"/>
  <c r="TGM62" i="8"/>
  <c r="TGL62" i="8"/>
  <c r="TGK62" i="8"/>
  <c r="TGJ62" i="8"/>
  <c r="TGI62" i="8"/>
  <c r="TGH62" i="8"/>
  <c r="TGG62" i="8"/>
  <c r="TGF62" i="8"/>
  <c r="TGE62" i="8"/>
  <c r="TGD62" i="8"/>
  <c r="TGC62" i="8"/>
  <c r="TGB62" i="8"/>
  <c r="TGA62" i="8"/>
  <c r="TFZ62" i="8"/>
  <c r="TFY62" i="8"/>
  <c r="TFX62" i="8"/>
  <c r="TFW62" i="8"/>
  <c r="TFV62" i="8"/>
  <c r="TFU62" i="8"/>
  <c r="TFT62" i="8"/>
  <c r="TFS62" i="8"/>
  <c r="TFR62" i="8"/>
  <c r="TFQ62" i="8"/>
  <c r="TFP62" i="8"/>
  <c r="TFO62" i="8"/>
  <c r="TFN62" i="8"/>
  <c r="TFM62" i="8"/>
  <c r="TFL62" i="8"/>
  <c r="TFK62" i="8"/>
  <c r="TFJ62" i="8"/>
  <c r="TFI62" i="8"/>
  <c r="TFH62" i="8"/>
  <c r="TFG62" i="8"/>
  <c r="TFF62" i="8"/>
  <c r="TFE62" i="8"/>
  <c r="TFD62" i="8"/>
  <c r="TFC62" i="8"/>
  <c r="TFB62" i="8"/>
  <c r="TFA62" i="8"/>
  <c r="TEZ62" i="8"/>
  <c r="TEY62" i="8"/>
  <c r="TEX62" i="8"/>
  <c r="TEW62" i="8"/>
  <c r="TEV62" i="8"/>
  <c r="TEU62" i="8"/>
  <c r="TET62" i="8"/>
  <c r="TES62" i="8"/>
  <c r="TER62" i="8"/>
  <c r="TEQ62" i="8"/>
  <c r="TEP62" i="8"/>
  <c r="TEO62" i="8"/>
  <c r="TEN62" i="8"/>
  <c r="TEM62" i="8"/>
  <c r="TEL62" i="8"/>
  <c r="TEK62" i="8"/>
  <c r="TEJ62" i="8"/>
  <c r="TEI62" i="8"/>
  <c r="TEH62" i="8"/>
  <c r="TEG62" i="8"/>
  <c r="TEF62" i="8"/>
  <c r="TEE62" i="8"/>
  <c r="TED62" i="8"/>
  <c r="TEC62" i="8"/>
  <c r="TEB62" i="8"/>
  <c r="TEA62" i="8"/>
  <c r="TDZ62" i="8"/>
  <c r="TDY62" i="8"/>
  <c r="TDX62" i="8"/>
  <c r="TDW62" i="8"/>
  <c r="TDV62" i="8"/>
  <c r="TDU62" i="8"/>
  <c r="TDT62" i="8"/>
  <c r="TDS62" i="8"/>
  <c r="TDR62" i="8"/>
  <c r="TDQ62" i="8"/>
  <c r="TDP62" i="8"/>
  <c r="TDO62" i="8"/>
  <c r="TDN62" i="8"/>
  <c r="TDM62" i="8"/>
  <c r="TDL62" i="8"/>
  <c r="TDK62" i="8"/>
  <c r="TDJ62" i="8"/>
  <c r="TDI62" i="8"/>
  <c r="TDH62" i="8"/>
  <c r="TDG62" i="8"/>
  <c r="TDF62" i="8"/>
  <c r="TDE62" i="8"/>
  <c r="TDD62" i="8"/>
  <c r="TDC62" i="8"/>
  <c r="TDB62" i="8"/>
  <c r="TDA62" i="8"/>
  <c r="TCZ62" i="8"/>
  <c r="TCY62" i="8"/>
  <c r="TCX62" i="8"/>
  <c r="TCW62" i="8"/>
  <c r="TCV62" i="8"/>
  <c r="TCU62" i="8"/>
  <c r="TCT62" i="8"/>
  <c r="TCS62" i="8"/>
  <c r="TCR62" i="8"/>
  <c r="TCQ62" i="8"/>
  <c r="TCP62" i="8"/>
  <c r="TCO62" i="8"/>
  <c r="TCN62" i="8"/>
  <c r="TCM62" i="8"/>
  <c r="TCL62" i="8"/>
  <c r="TCK62" i="8"/>
  <c r="TCJ62" i="8"/>
  <c r="TCI62" i="8"/>
  <c r="TCH62" i="8"/>
  <c r="TCG62" i="8"/>
  <c r="TCF62" i="8"/>
  <c r="TCE62" i="8"/>
  <c r="TCD62" i="8"/>
  <c r="TCC62" i="8"/>
  <c r="TCB62" i="8"/>
  <c r="TCA62" i="8"/>
  <c r="TBZ62" i="8"/>
  <c r="TBY62" i="8"/>
  <c r="TBX62" i="8"/>
  <c r="TBW62" i="8"/>
  <c r="TBV62" i="8"/>
  <c r="TBU62" i="8"/>
  <c r="TBT62" i="8"/>
  <c r="TBS62" i="8"/>
  <c r="TBR62" i="8"/>
  <c r="TBQ62" i="8"/>
  <c r="TBP62" i="8"/>
  <c r="TBO62" i="8"/>
  <c r="TBN62" i="8"/>
  <c r="TBM62" i="8"/>
  <c r="TBL62" i="8"/>
  <c r="TBK62" i="8"/>
  <c r="TBJ62" i="8"/>
  <c r="TBI62" i="8"/>
  <c r="TBH62" i="8"/>
  <c r="TBG62" i="8"/>
  <c r="TBF62" i="8"/>
  <c r="TBE62" i="8"/>
  <c r="TBD62" i="8"/>
  <c r="TBC62" i="8"/>
  <c r="TBB62" i="8"/>
  <c r="TBA62" i="8"/>
  <c r="TAZ62" i="8"/>
  <c r="TAY62" i="8"/>
  <c r="TAX62" i="8"/>
  <c r="TAW62" i="8"/>
  <c r="TAV62" i="8"/>
  <c r="TAU62" i="8"/>
  <c r="TAT62" i="8"/>
  <c r="TAS62" i="8"/>
  <c r="TAR62" i="8"/>
  <c r="TAQ62" i="8"/>
  <c r="TAP62" i="8"/>
  <c r="TAO62" i="8"/>
  <c r="TAN62" i="8"/>
  <c r="TAM62" i="8"/>
  <c r="TAL62" i="8"/>
  <c r="TAK62" i="8"/>
  <c r="TAJ62" i="8"/>
  <c r="TAI62" i="8"/>
  <c r="TAH62" i="8"/>
  <c r="TAG62" i="8"/>
  <c r="TAF62" i="8"/>
  <c r="TAE62" i="8"/>
  <c r="TAD62" i="8"/>
  <c r="TAC62" i="8"/>
  <c r="TAB62" i="8"/>
  <c r="TAA62" i="8"/>
  <c r="SZZ62" i="8"/>
  <c r="SZY62" i="8"/>
  <c r="SZX62" i="8"/>
  <c r="SZW62" i="8"/>
  <c r="SZV62" i="8"/>
  <c r="SZU62" i="8"/>
  <c r="SZT62" i="8"/>
  <c r="SZS62" i="8"/>
  <c r="SZR62" i="8"/>
  <c r="SZQ62" i="8"/>
  <c r="SZP62" i="8"/>
  <c r="SZO62" i="8"/>
  <c r="SZN62" i="8"/>
  <c r="SZM62" i="8"/>
  <c r="SZL62" i="8"/>
  <c r="SZK62" i="8"/>
  <c r="SZJ62" i="8"/>
  <c r="SZI62" i="8"/>
  <c r="SZH62" i="8"/>
  <c r="SZG62" i="8"/>
  <c r="SZF62" i="8"/>
  <c r="SZE62" i="8"/>
  <c r="SZD62" i="8"/>
  <c r="SZC62" i="8"/>
  <c r="SZB62" i="8"/>
  <c r="SZA62" i="8"/>
  <c r="SYZ62" i="8"/>
  <c r="SYY62" i="8"/>
  <c r="SYX62" i="8"/>
  <c r="SYW62" i="8"/>
  <c r="SYV62" i="8"/>
  <c r="SYU62" i="8"/>
  <c r="SYT62" i="8"/>
  <c r="SYS62" i="8"/>
  <c r="SYR62" i="8"/>
  <c r="SYQ62" i="8"/>
  <c r="SYP62" i="8"/>
  <c r="SYO62" i="8"/>
  <c r="SYN62" i="8"/>
  <c r="SYM62" i="8"/>
  <c r="SYL62" i="8"/>
  <c r="SYK62" i="8"/>
  <c r="SYJ62" i="8"/>
  <c r="SYI62" i="8"/>
  <c r="SYH62" i="8"/>
  <c r="SYG62" i="8"/>
  <c r="SYF62" i="8"/>
  <c r="SYE62" i="8"/>
  <c r="SYD62" i="8"/>
  <c r="SYC62" i="8"/>
  <c r="SYB62" i="8"/>
  <c r="SYA62" i="8"/>
  <c r="SXZ62" i="8"/>
  <c r="SXY62" i="8"/>
  <c r="SXX62" i="8"/>
  <c r="SXW62" i="8"/>
  <c r="SXV62" i="8"/>
  <c r="SXU62" i="8"/>
  <c r="SXT62" i="8"/>
  <c r="SXS62" i="8"/>
  <c r="SXR62" i="8"/>
  <c r="SXQ62" i="8"/>
  <c r="SXP62" i="8"/>
  <c r="SXO62" i="8"/>
  <c r="SXN62" i="8"/>
  <c r="SXM62" i="8"/>
  <c r="SXL62" i="8"/>
  <c r="SXK62" i="8"/>
  <c r="SXJ62" i="8"/>
  <c r="SXI62" i="8"/>
  <c r="SXH62" i="8"/>
  <c r="SXG62" i="8"/>
  <c r="SXF62" i="8"/>
  <c r="SXE62" i="8"/>
  <c r="SXD62" i="8"/>
  <c r="SXC62" i="8"/>
  <c r="SXB62" i="8"/>
  <c r="SXA62" i="8"/>
  <c r="SWZ62" i="8"/>
  <c r="SWY62" i="8"/>
  <c r="SWX62" i="8"/>
  <c r="SWW62" i="8"/>
  <c r="SWV62" i="8"/>
  <c r="SWU62" i="8"/>
  <c r="SWT62" i="8"/>
  <c r="SWS62" i="8"/>
  <c r="SWR62" i="8"/>
  <c r="SWQ62" i="8"/>
  <c r="SWP62" i="8"/>
  <c r="SWO62" i="8"/>
  <c r="SWN62" i="8"/>
  <c r="SWM62" i="8"/>
  <c r="SWL62" i="8"/>
  <c r="SWK62" i="8"/>
  <c r="SWJ62" i="8"/>
  <c r="SWI62" i="8"/>
  <c r="SWH62" i="8"/>
  <c r="SWG62" i="8"/>
  <c r="SWF62" i="8"/>
  <c r="SWE62" i="8"/>
  <c r="SWD62" i="8"/>
  <c r="SWC62" i="8"/>
  <c r="SWB62" i="8"/>
  <c r="SWA62" i="8"/>
  <c r="SVZ62" i="8"/>
  <c r="SVY62" i="8"/>
  <c r="SVX62" i="8"/>
  <c r="SVW62" i="8"/>
  <c r="SVV62" i="8"/>
  <c r="SVU62" i="8"/>
  <c r="SVT62" i="8"/>
  <c r="SVS62" i="8"/>
  <c r="SVR62" i="8"/>
  <c r="SVQ62" i="8"/>
  <c r="SVP62" i="8"/>
  <c r="SVO62" i="8"/>
  <c r="SVN62" i="8"/>
  <c r="SVM62" i="8"/>
  <c r="SVL62" i="8"/>
  <c r="SVK62" i="8"/>
  <c r="SVJ62" i="8"/>
  <c r="SVI62" i="8"/>
  <c r="SVH62" i="8"/>
  <c r="SVG62" i="8"/>
  <c r="SVF62" i="8"/>
  <c r="SVE62" i="8"/>
  <c r="SVD62" i="8"/>
  <c r="SVC62" i="8"/>
  <c r="SVB62" i="8"/>
  <c r="SVA62" i="8"/>
  <c r="SUZ62" i="8"/>
  <c r="SUY62" i="8"/>
  <c r="SUX62" i="8"/>
  <c r="SUW62" i="8"/>
  <c r="SUV62" i="8"/>
  <c r="SUU62" i="8"/>
  <c r="SUT62" i="8"/>
  <c r="SUS62" i="8"/>
  <c r="SUR62" i="8"/>
  <c r="SUQ62" i="8"/>
  <c r="SUP62" i="8"/>
  <c r="SUO62" i="8"/>
  <c r="SUN62" i="8"/>
  <c r="SUM62" i="8"/>
  <c r="SUL62" i="8"/>
  <c r="SUK62" i="8"/>
  <c r="SUJ62" i="8"/>
  <c r="SUI62" i="8"/>
  <c r="SUH62" i="8"/>
  <c r="SUG62" i="8"/>
  <c r="SUF62" i="8"/>
  <c r="SUE62" i="8"/>
  <c r="SUD62" i="8"/>
  <c r="SUC62" i="8"/>
  <c r="SUB62" i="8"/>
  <c r="SUA62" i="8"/>
  <c r="STZ62" i="8"/>
  <c r="STY62" i="8"/>
  <c r="STX62" i="8"/>
  <c r="STW62" i="8"/>
  <c r="STV62" i="8"/>
  <c r="STU62" i="8"/>
  <c r="STT62" i="8"/>
  <c r="STS62" i="8"/>
  <c r="STR62" i="8"/>
  <c r="STQ62" i="8"/>
  <c r="STP62" i="8"/>
  <c r="STO62" i="8"/>
  <c r="STN62" i="8"/>
  <c r="STM62" i="8"/>
  <c r="STL62" i="8"/>
  <c r="STK62" i="8"/>
  <c r="STJ62" i="8"/>
  <c r="STI62" i="8"/>
  <c r="STH62" i="8"/>
  <c r="STG62" i="8"/>
  <c r="STF62" i="8"/>
  <c r="STE62" i="8"/>
  <c r="STD62" i="8"/>
  <c r="STC62" i="8"/>
  <c r="STB62" i="8"/>
  <c r="STA62" i="8"/>
  <c r="SSZ62" i="8"/>
  <c r="SSY62" i="8"/>
  <c r="SSX62" i="8"/>
  <c r="SSW62" i="8"/>
  <c r="SSV62" i="8"/>
  <c r="SSU62" i="8"/>
  <c r="SST62" i="8"/>
  <c r="SSS62" i="8"/>
  <c r="SSR62" i="8"/>
  <c r="SSQ62" i="8"/>
  <c r="SSP62" i="8"/>
  <c r="SSO62" i="8"/>
  <c r="SSN62" i="8"/>
  <c r="SSM62" i="8"/>
  <c r="SSL62" i="8"/>
  <c r="SSK62" i="8"/>
  <c r="SSJ62" i="8"/>
  <c r="SSI62" i="8"/>
  <c r="SSH62" i="8"/>
  <c r="SSG62" i="8"/>
  <c r="SSF62" i="8"/>
  <c r="SSE62" i="8"/>
  <c r="SSD62" i="8"/>
  <c r="SSC62" i="8"/>
  <c r="SSB62" i="8"/>
  <c r="SSA62" i="8"/>
  <c r="SRZ62" i="8"/>
  <c r="SRY62" i="8"/>
  <c r="SRX62" i="8"/>
  <c r="SRW62" i="8"/>
  <c r="SRV62" i="8"/>
  <c r="SRU62" i="8"/>
  <c r="SRT62" i="8"/>
  <c r="SRS62" i="8"/>
  <c r="SRR62" i="8"/>
  <c r="SRQ62" i="8"/>
  <c r="SRP62" i="8"/>
  <c r="SRO62" i="8"/>
  <c r="SRN62" i="8"/>
  <c r="SRM62" i="8"/>
  <c r="SRL62" i="8"/>
  <c r="SRK62" i="8"/>
  <c r="SRJ62" i="8"/>
  <c r="SRI62" i="8"/>
  <c r="SRH62" i="8"/>
  <c r="SRG62" i="8"/>
  <c r="SRF62" i="8"/>
  <c r="SRE62" i="8"/>
  <c r="SRD62" i="8"/>
  <c r="SRC62" i="8"/>
  <c r="SRB62" i="8"/>
  <c r="SRA62" i="8"/>
  <c r="SQZ62" i="8"/>
  <c r="SQY62" i="8"/>
  <c r="SQX62" i="8"/>
  <c r="SQW62" i="8"/>
  <c r="SQV62" i="8"/>
  <c r="SQU62" i="8"/>
  <c r="SQT62" i="8"/>
  <c r="SQS62" i="8"/>
  <c r="SQR62" i="8"/>
  <c r="SQQ62" i="8"/>
  <c r="SQP62" i="8"/>
  <c r="SQO62" i="8"/>
  <c r="SQN62" i="8"/>
  <c r="SQM62" i="8"/>
  <c r="SQL62" i="8"/>
  <c r="SQK62" i="8"/>
  <c r="SQJ62" i="8"/>
  <c r="SQI62" i="8"/>
  <c r="SQH62" i="8"/>
  <c r="SQG62" i="8"/>
  <c r="SQF62" i="8"/>
  <c r="SQE62" i="8"/>
  <c r="SQD62" i="8"/>
  <c r="SQC62" i="8"/>
  <c r="SQB62" i="8"/>
  <c r="SQA62" i="8"/>
  <c r="SPZ62" i="8"/>
  <c r="SPY62" i="8"/>
  <c r="SPX62" i="8"/>
  <c r="SPW62" i="8"/>
  <c r="SPV62" i="8"/>
  <c r="SPU62" i="8"/>
  <c r="SPT62" i="8"/>
  <c r="SPS62" i="8"/>
  <c r="SPR62" i="8"/>
  <c r="SPQ62" i="8"/>
  <c r="SPP62" i="8"/>
  <c r="SPO62" i="8"/>
  <c r="SPN62" i="8"/>
  <c r="SPM62" i="8"/>
  <c r="SPL62" i="8"/>
  <c r="SPK62" i="8"/>
  <c r="SPJ62" i="8"/>
  <c r="SPI62" i="8"/>
  <c r="SPH62" i="8"/>
  <c r="SPG62" i="8"/>
  <c r="SPF62" i="8"/>
  <c r="SPE62" i="8"/>
  <c r="SPD62" i="8"/>
  <c r="SPC62" i="8"/>
  <c r="SPB62" i="8"/>
  <c r="SPA62" i="8"/>
  <c r="SOZ62" i="8"/>
  <c r="SOY62" i="8"/>
  <c r="SOX62" i="8"/>
  <c r="SOW62" i="8"/>
  <c r="SOV62" i="8"/>
  <c r="SOU62" i="8"/>
  <c r="SOT62" i="8"/>
  <c r="SOS62" i="8"/>
  <c r="SOR62" i="8"/>
  <c r="SOQ62" i="8"/>
  <c r="SOP62" i="8"/>
  <c r="SOO62" i="8"/>
  <c r="SON62" i="8"/>
  <c r="SOM62" i="8"/>
  <c r="SOL62" i="8"/>
  <c r="SOK62" i="8"/>
  <c r="SOJ62" i="8"/>
  <c r="SOI62" i="8"/>
  <c r="SOH62" i="8"/>
  <c r="SOG62" i="8"/>
  <c r="SOF62" i="8"/>
  <c r="SOE62" i="8"/>
  <c r="SOD62" i="8"/>
  <c r="SOC62" i="8"/>
  <c r="SOB62" i="8"/>
  <c r="SOA62" i="8"/>
  <c r="SNZ62" i="8"/>
  <c r="SNY62" i="8"/>
  <c r="SNX62" i="8"/>
  <c r="SNW62" i="8"/>
  <c r="SNV62" i="8"/>
  <c r="SNU62" i="8"/>
  <c r="SNT62" i="8"/>
  <c r="SNS62" i="8"/>
  <c r="SNR62" i="8"/>
  <c r="SNQ62" i="8"/>
  <c r="SNP62" i="8"/>
  <c r="SNO62" i="8"/>
  <c r="SNN62" i="8"/>
  <c r="SNM62" i="8"/>
  <c r="SNL62" i="8"/>
  <c r="SNK62" i="8"/>
  <c r="SNJ62" i="8"/>
  <c r="SNI62" i="8"/>
  <c r="SNH62" i="8"/>
  <c r="SNG62" i="8"/>
  <c r="SNF62" i="8"/>
  <c r="SNE62" i="8"/>
  <c r="SND62" i="8"/>
  <c r="SNC62" i="8"/>
  <c r="SNB62" i="8"/>
  <c r="SNA62" i="8"/>
  <c r="SMZ62" i="8"/>
  <c r="SMY62" i="8"/>
  <c r="SMX62" i="8"/>
  <c r="SMW62" i="8"/>
  <c r="SMV62" i="8"/>
  <c r="SMU62" i="8"/>
  <c r="SMT62" i="8"/>
  <c r="SMS62" i="8"/>
  <c r="SMR62" i="8"/>
  <c r="SMQ62" i="8"/>
  <c r="SMP62" i="8"/>
  <c r="SMO62" i="8"/>
  <c r="SMN62" i="8"/>
  <c r="SMM62" i="8"/>
  <c r="SML62" i="8"/>
  <c r="SMK62" i="8"/>
  <c r="SMJ62" i="8"/>
  <c r="SMI62" i="8"/>
  <c r="SMH62" i="8"/>
  <c r="SMG62" i="8"/>
  <c r="SMF62" i="8"/>
  <c r="SME62" i="8"/>
  <c r="SMD62" i="8"/>
  <c r="SMC62" i="8"/>
  <c r="SMB62" i="8"/>
  <c r="SMA62" i="8"/>
  <c r="SLZ62" i="8"/>
  <c r="SLY62" i="8"/>
  <c r="SLX62" i="8"/>
  <c r="SLW62" i="8"/>
  <c r="SLV62" i="8"/>
  <c r="SLU62" i="8"/>
  <c r="SLT62" i="8"/>
  <c r="SLS62" i="8"/>
  <c r="SLR62" i="8"/>
  <c r="SLQ62" i="8"/>
  <c r="SLP62" i="8"/>
  <c r="SLO62" i="8"/>
  <c r="SLN62" i="8"/>
  <c r="SLM62" i="8"/>
  <c r="SLL62" i="8"/>
  <c r="SLK62" i="8"/>
  <c r="SLJ62" i="8"/>
  <c r="SLI62" i="8"/>
  <c r="SLH62" i="8"/>
  <c r="SLG62" i="8"/>
  <c r="SLF62" i="8"/>
  <c r="SLE62" i="8"/>
  <c r="SLD62" i="8"/>
  <c r="SLC62" i="8"/>
  <c r="SLB62" i="8"/>
  <c r="SLA62" i="8"/>
  <c r="SKZ62" i="8"/>
  <c r="SKY62" i="8"/>
  <c r="SKX62" i="8"/>
  <c r="SKW62" i="8"/>
  <c r="SKV62" i="8"/>
  <c r="SKU62" i="8"/>
  <c r="SKT62" i="8"/>
  <c r="SKS62" i="8"/>
  <c r="SKR62" i="8"/>
  <c r="SKQ62" i="8"/>
  <c r="SKP62" i="8"/>
  <c r="SKO62" i="8"/>
  <c r="SKN62" i="8"/>
  <c r="SKM62" i="8"/>
  <c r="SKL62" i="8"/>
  <c r="SKK62" i="8"/>
  <c r="SKJ62" i="8"/>
  <c r="SKI62" i="8"/>
  <c r="SKH62" i="8"/>
  <c r="SKG62" i="8"/>
  <c r="SKF62" i="8"/>
  <c r="SKE62" i="8"/>
  <c r="SKD62" i="8"/>
  <c r="SKC62" i="8"/>
  <c r="SKB62" i="8"/>
  <c r="SKA62" i="8"/>
  <c r="SJZ62" i="8"/>
  <c r="SJY62" i="8"/>
  <c r="SJX62" i="8"/>
  <c r="SJW62" i="8"/>
  <c r="SJV62" i="8"/>
  <c r="SJU62" i="8"/>
  <c r="SJT62" i="8"/>
  <c r="SJS62" i="8"/>
  <c r="SJR62" i="8"/>
  <c r="SJQ62" i="8"/>
  <c r="SJP62" i="8"/>
  <c r="SJO62" i="8"/>
  <c r="SJN62" i="8"/>
  <c r="SJM62" i="8"/>
  <c r="SJL62" i="8"/>
  <c r="SJK62" i="8"/>
  <c r="SJJ62" i="8"/>
  <c r="SJI62" i="8"/>
  <c r="SJH62" i="8"/>
  <c r="SJG62" i="8"/>
  <c r="SJF62" i="8"/>
  <c r="SJE62" i="8"/>
  <c r="SJD62" i="8"/>
  <c r="SJC62" i="8"/>
  <c r="SJB62" i="8"/>
  <c r="SJA62" i="8"/>
  <c r="SIZ62" i="8"/>
  <c r="SIY62" i="8"/>
  <c r="SIX62" i="8"/>
  <c r="SIW62" i="8"/>
  <c r="SIV62" i="8"/>
  <c r="SIU62" i="8"/>
  <c r="SIT62" i="8"/>
  <c r="SIS62" i="8"/>
  <c r="SIR62" i="8"/>
  <c r="SIQ62" i="8"/>
  <c r="SIP62" i="8"/>
  <c r="SIO62" i="8"/>
  <c r="SIN62" i="8"/>
  <c r="SIM62" i="8"/>
  <c r="SIL62" i="8"/>
  <c r="SIK62" i="8"/>
  <c r="SIJ62" i="8"/>
  <c r="SII62" i="8"/>
  <c r="SIH62" i="8"/>
  <c r="SIG62" i="8"/>
  <c r="SIF62" i="8"/>
  <c r="SIE62" i="8"/>
  <c r="SID62" i="8"/>
  <c r="SIC62" i="8"/>
  <c r="SIB62" i="8"/>
  <c r="SIA62" i="8"/>
  <c r="SHZ62" i="8"/>
  <c r="SHY62" i="8"/>
  <c r="SHX62" i="8"/>
  <c r="SHW62" i="8"/>
  <c r="SHV62" i="8"/>
  <c r="SHU62" i="8"/>
  <c r="SHT62" i="8"/>
  <c r="SHS62" i="8"/>
  <c r="SHR62" i="8"/>
  <c r="SHQ62" i="8"/>
  <c r="SHP62" i="8"/>
  <c r="SHO62" i="8"/>
  <c r="SHN62" i="8"/>
  <c r="SHM62" i="8"/>
  <c r="SHL62" i="8"/>
  <c r="SHK62" i="8"/>
  <c r="SHJ62" i="8"/>
  <c r="SHI62" i="8"/>
  <c r="SHH62" i="8"/>
  <c r="SHG62" i="8"/>
  <c r="SHF62" i="8"/>
  <c r="SHE62" i="8"/>
  <c r="SHD62" i="8"/>
  <c r="SHC62" i="8"/>
  <c r="SHB62" i="8"/>
  <c r="SHA62" i="8"/>
  <c r="SGZ62" i="8"/>
  <c r="SGY62" i="8"/>
  <c r="SGX62" i="8"/>
  <c r="SGW62" i="8"/>
  <c r="SGV62" i="8"/>
  <c r="SGU62" i="8"/>
  <c r="SGT62" i="8"/>
  <c r="SGS62" i="8"/>
  <c r="SGR62" i="8"/>
  <c r="SGQ62" i="8"/>
  <c r="SGP62" i="8"/>
  <c r="SGO62" i="8"/>
  <c r="SGN62" i="8"/>
  <c r="SGM62" i="8"/>
  <c r="SGL62" i="8"/>
  <c r="SGK62" i="8"/>
  <c r="SGJ62" i="8"/>
  <c r="SGI62" i="8"/>
  <c r="SGH62" i="8"/>
  <c r="SGG62" i="8"/>
  <c r="SGF62" i="8"/>
  <c r="SGE62" i="8"/>
  <c r="SGD62" i="8"/>
  <c r="SGC62" i="8"/>
  <c r="SGB62" i="8"/>
  <c r="SGA62" i="8"/>
  <c r="SFZ62" i="8"/>
  <c r="SFY62" i="8"/>
  <c r="SFX62" i="8"/>
  <c r="SFW62" i="8"/>
  <c r="SFV62" i="8"/>
  <c r="SFU62" i="8"/>
  <c r="SFT62" i="8"/>
  <c r="SFS62" i="8"/>
  <c r="SFR62" i="8"/>
  <c r="SFQ62" i="8"/>
  <c r="SFP62" i="8"/>
  <c r="SFO62" i="8"/>
  <c r="SFN62" i="8"/>
  <c r="SFM62" i="8"/>
  <c r="SFL62" i="8"/>
  <c r="SFK62" i="8"/>
  <c r="SFJ62" i="8"/>
  <c r="SFI62" i="8"/>
  <c r="SFH62" i="8"/>
  <c r="SFG62" i="8"/>
  <c r="SFF62" i="8"/>
  <c r="SFE62" i="8"/>
  <c r="SFD62" i="8"/>
  <c r="SFC62" i="8"/>
  <c r="SFB62" i="8"/>
  <c r="SFA62" i="8"/>
  <c r="SEZ62" i="8"/>
  <c r="SEY62" i="8"/>
  <c r="SEX62" i="8"/>
  <c r="SEW62" i="8"/>
  <c r="SEV62" i="8"/>
  <c r="SEU62" i="8"/>
  <c r="SET62" i="8"/>
  <c r="SES62" i="8"/>
  <c r="SER62" i="8"/>
  <c r="SEQ62" i="8"/>
  <c r="SEP62" i="8"/>
  <c r="SEO62" i="8"/>
  <c r="SEN62" i="8"/>
  <c r="SEM62" i="8"/>
  <c r="SEL62" i="8"/>
  <c r="SEK62" i="8"/>
  <c r="SEJ62" i="8"/>
  <c r="SEI62" i="8"/>
  <c r="SEH62" i="8"/>
  <c r="SEG62" i="8"/>
  <c r="SEF62" i="8"/>
  <c r="SEE62" i="8"/>
  <c r="SED62" i="8"/>
  <c r="SEC62" i="8"/>
  <c r="SEB62" i="8"/>
  <c r="SEA62" i="8"/>
  <c r="SDZ62" i="8"/>
  <c r="SDY62" i="8"/>
  <c r="SDX62" i="8"/>
  <c r="SDW62" i="8"/>
  <c r="SDV62" i="8"/>
  <c r="SDU62" i="8"/>
  <c r="SDT62" i="8"/>
  <c r="SDS62" i="8"/>
  <c r="SDR62" i="8"/>
  <c r="SDQ62" i="8"/>
  <c r="SDP62" i="8"/>
  <c r="SDO62" i="8"/>
  <c r="SDN62" i="8"/>
  <c r="SDM62" i="8"/>
  <c r="SDL62" i="8"/>
  <c r="SDK62" i="8"/>
  <c r="SDJ62" i="8"/>
  <c r="SDI62" i="8"/>
  <c r="SDH62" i="8"/>
  <c r="SDG62" i="8"/>
  <c r="SDF62" i="8"/>
  <c r="SDE62" i="8"/>
  <c r="SDD62" i="8"/>
  <c r="SDC62" i="8"/>
  <c r="SDB62" i="8"/>
  <c r="SDA62" i="8"/>
  <c r="SCZ62" i="8"/>
  <c r="SCY62" i="8"/>
  <c r="SCX62" i="8"/>
  <c r="SCW62" i="8"/>
  <c r="SCV62" i="8"/>
  <c r="SCU62" i="8"/>
  <c r="SCT62" i="8"/>
  <c r="SCS62" i="8"/>
  <c r="SCR62" i="8"/>
  <c r="SCQ62" i="8"/>
  <c r="SCP62" i="8"/>
  <c r="SCO62" i="8"/>
  <c r="SCN62" i="8"/>
  <c r="SCM62" i="8"/>
  <c r="SCL62" i="8"/>
  <c r="SCK62" i="8"/>
  <c r="SCJ62" i="8"/>
  <c r="SCI62" i="8"/>
  <c r="SCH62" i="8"/>
  <c r="SCG62" i="8"/>
  <c r="SCF62" i="8"/>
  <c r="SCE62" i="8"/>
  <c r="SCD62" i="8"/>
  <c r="SCC62" i="8"/>
  <c r="SCB62" i="8"/>
  <c r="SCA62" i="8"/>
  <c r="SBZ62" i="8"/>
  <c r="SBY62" i="8"/>
  <c r="SBX62" i="8"/>
  <c r="SBW62" i="8"/>
  <c r="SBV62" i="8"/>
  <c r="SBU62" i="8"/>
  <c r="SBT62" i="8"/>
  <c r="SBS62" i="8"/>
  <c r="SBR62" i="8"/>
  <c r="SBQ62" i="8"/>
  <c r="SBP62" i="8"/>
  <c r="SBO62" i="8"/>
  <c r="SBN62" i="8"/>
  <c r="SBM62" i="8"/>
  <c r="SBL62" i="8"/>
  <c r="SBK62" i="8"/>
  <c r="SBJ62" i="8"/>
  <c r="SBI62" i="8"/>
  <c r="SBH62" i="8"/>
  <c r="SBG62" i="8"/>
  <c r="SBF62" i="8"/>
  <c r="SBE62" i="8"/>
  <c r="SBD62" i="8"/>
  <c r="SBC62" i="8"/>
  <c r="SBB62" i="8"/>
  <c r="SBA62" i="8"/>
  <c r="SAZ62" i="8"/>
  <c r="SAY62" i="8"/>
  <c r="SAX62" i="8"/>
  <c r="SAW62" i="8"/>
  <c r="SAV62" i="8"/>
  <c r="SAU62" i="8"/>
  <c r="SAT62" i="8"/>
  <c r="SAS62" i="8"/>
  <c r="SAR62" i="8"/>
  <c r="SAQ62" i="8"/>
  <c r="SAP62" i="8"/>
  <c r="SAO62" i="8"/>
  <c r="SAN62" i="8"/>
  <c r="SAM62" i="8"/>
  <c r="SAL62" i="8"/>
  <c r="SAK62" i="8"/>
  <c r="SAJ62" i="8"/>
  <c r="SAI62" i="8"/>
  <c r="SAH62" i="8"/>
  <c r="SAG62" i="8"/>
  <c r="SAF62" i="8"/>
  <c r="SAE62" i="8"/>
  <c r="SAD62" i="8"/>
  <c r="SAC62" i="8"/>
  <c r="SAB62" i="8"/>
  <c r="SAA62" i="8"/>
  <c r="RZZ62" i="8"/>
  <c r="RZY62" i="8"/>
  <c r="RZX62" i="8"/>
  <c r="RZW62" i="8"/>
  <c r="RZV62" i="8"/>
  <c r="RZU62" i="8"/>
  <c r="RZT62" i="8"/>
  <c r="RZS62" i="8"/>
  <c r="RZR62" i="8"/>
  <c r="RZQ62" i="8"/>
  <c r="RZP62" i="8"/>
  <c r="RZO62" i="8"/>
  <c r="RZN62" i="8"/>
  <c r="RZM62" i="8"/>
  <c r="RZL62" i="8"/>
  <c r="RZK62" i="8"/>
  <c r="RZJ62" i="8"/>
  <c r="RZI62" i="8"/>
  <c r="RZH62" i="8"/>
  <c r="RZG62" i="8"/>
  <c r="RZF62" i="8"/>
  <c r="RZE62" i="8"/>
  <c r="RZD62" i="8"/>
  <c r="RZC62" i="8"/>
  <c r="RZB62" i="8"/>
  <c r="RZA62" i="8"/>
  <c r="RYZ62" i="8"/>
  <c r="RYY62" i="8"/>
  <c r="RYX62" i="8"/>
  <c r="RYW62" i="8"/>
  <c r="RYV62" i="8"/>
  <c r="RYU62" i="8"/>
  <c r="RYT62" i="8"/>
  <c r="RYS62" i="8"/>
  <c r="RYR62" i="8"/>
  <c r="RYQ62" i="8"/>
  <c r="RYP62" i="8"/>
  <c r="RYO62" i="8"/>
  <c r="RYN62" i="8"/>
  <c r="RYM62" i="8"/>
  <c r="RYL62" i="8"/>
  <c r="RYK62" i="8"/>
  <c r="RYJ62" i="8"/>
  <c r="RYI62" i="8"/>
  <c r="RYH62" i="8"/>
  <c r="RYG62" i="8"/>
  <c r="RYF62" i="8"/>
  <c r="RYE62" i="8"/>
  <c r="RYD62" i="8"/>
  <c r="RYC62" i="8"/>
  <c r="RYB62" i="8"/>
  <c r="RYA62" i="8"/>
  <c r="RXZ62" i="8"/>
  <c r="RXY62" i="8"/>
  <c r="RXX62" i="8"/>
  <c r="RXW62" i="8"/>
  <c r="RXV62" i="8"/>
  <c r="RXU62" i="8"/>
  <c r="RXT62" i="8"/>
  <c r="RXS62" i="8"/>
  <c r="RXR62" i="8"/>
  <c r="RXQ62" i="8"/>
  <c r="RXP62" i="8"/>
  <c r="RXO62" i="8"/>
  <c r="RXN62" i="8"/>
  <c r="RXM62" i="8"/>
  <c r="RXL62" i="8"/>
  <c r="RXK62" i="8"/>
  <c r="RXJ62" i="8"/>
  <c r="RXI62" i="8"/>
  <c r="RXH62" i="8"/>
  <c r="RXG62" i="8"/>
  <c r="RXF62" i="8"/>
  <c r="RXE62" i="8"/>
  <c r="RXD62" i="8"/>
  <c r="RXC62" i="8"/>
  <c r="RXB62" i="8"/>
  <c r="RXA62" i="8"/>
  <c r="RWZ62" i="8"/>
  <c r="RWY62" i="8"/>
  <c r="RWX62" i="8"/>
  <c r="RWW62" i="8"/>
  <c r="RWV62" i="8"/>
  <c r="RWU62" i="8"/>
  <c r="RWT62" i="8"/>
  <c r="RWS62" i="8"/>
  <c r="RWR62" i="8"/>
  <c r="RWQ62" i="8"/>
  <c r="RWP62" i="8"/>
  <c r="RWO62" i="8"/>
  <c r="RWN62" i="8"/>
  <c r="RWM62" i="8"/>
  <c r="RWL62" i="8"/>
  <c r="RWK62" i="8"/>
  <c r="RWJ62" i="8"/>
  <c r="RWI62" i="8"/>
  <c r="RWH62" i="8"/>
  <c r="RWG62" i="8"/>
  <c r="RWF62" i="8"/>
  <c r="RWE62" i="8"/>
  <c r="RWD62" i="8"/>
  <c r="RWC62" i="8"/>
  <c r="RWB62" i="8"/>
  <c r="RWA62" i="8"/>
  <c r="RVZ62" i="8"/>
  <c r="RVY62" i="8"/>
  <c r="RVX62" i="8"/>
  <c r="RVW62" i="8"/>
  <c r="RVV62" i="8"/>
  <c r="RVU62" i="8"/>
  <c r="RVT62" i="8"/>
  <c r="RVS62" i="8"/>
  <c r="RVR62" i="8"/>
  <c r="RVQ62" i="8"/>
  <c r="RVP62" i="8"/>
  <c r="RVO62" i="8"/>
  <c r="RVN62" i="8"/>
  <c r="RVM62" i="8"/>
  <c r="RVL62" i="8"/>
  <c r="RVK62" i="8"/>
  <c r="RVJ62" i="8"/>
  <c r="RVI62" i="8"/>
  <c r="RVH62" i="8"/>
  <c r="RVG62" i="8"/>
  <c r="RVF62" i="8"/>
  <c r="RVE62" i="8"/>
  <c r="RVD62" i="8"/>
  <c r="RVC62" i="8"/>
  <c r="RVB62" i="8"/>
  <c r="RVA62" i="8"/>
  <c r="RUZ62" i="8"/>
  <c r="RUY62" i="8"/>
  <c r="RUX62" i="8"/>
  <c r="RUW62" i="8"/>
  <c r="RUV62" i="8"/>
  <c r="RUU62" i="8"/>
  <c r="RUT62" i="8"/>
  <c r="RUS62" i="8"/>
  <c r="RUR62" i="8"/>
  <c r="RUQ62" i="8"/>
  <c r="RUP62" i="8"/>
  <c r="RUO62" i="8"/>
  <c r="RUN62" i="8"/>
  <c r="RUM62" i="8"/>
  <c r="RUL62" i="8"/>
  <c r="RUK62" i="8"/>
  <c r="RUJ62" i="8"/>
  <c r="RUI62" i="8"/>
  <c r="RUH62" i="8"/>
  <c r="RUG62" i="8"/>
  <c r="RUF62" i="8"/>
  <c r="RUE62" i="8"/>
  <c r="RUD62" i="8"/>
  <c r="RUC62" i="8"/>
  <c r="RUB62" i="8"/>
  <c r="RUA62" i="8"/>
  <c r="RTZ62" i="8"/>
  <c r="RTY62" i="8"/>
  <c r="RTX62" i="8"/>
  <c r="RTW62" i="8"/>
  <c r="RTV62" i="8"/>
  <c r="RTU62" i="8"/>
  <c r="RTT62" i="8"/>
  <c r="RTS62" i="8"/>
  <c r="RTR62" i="8"/>
  <c r="RTQ62" i="8"/>
  <c r="RTP62" i="8"/>
  <c r="RTO62" i="8"/>
  <c r="RTN62" i="8"/>
  <c r="RTM62" i="8"/>
  <c r="RTL62" i="8"/>
  <c r="RTK62" i="8"/>
  <c r="RTJ62" i="8"/>
  <c r="RTI62" i="8"/>
  <c r="RTH62" i="8"/>
  <c r="RTG62" i="8"/>
  <c r="RTF62" i="8"/>
  <c r="RTE62" i="8"/>
  <c r="RTD62" i="8"/>
  <c r="RTC62" i="8"/>
  <c r="RTB62" i="8"/>
  <c r="RTA62" i="8"/>
  <c r="RSZ62" i="8"/>
  <c r="RSY62" i="8"/>
  <c r="RSX62" i="8"/>
  <c r="RSW62" i="8"/>
  <c r="RSV62" i="8"/>
  <c r="RSU62" i="8"/>
  <c r="RST62" i="8"/>
  <c r="RSS62" i="8"/>
  <c r="RSR62" i="8"/>
  <c r="RSQ62" i="8"/>
  <c r="RSP62" i="8"/>
  <c r="RSO62" i="8"/>
  <c r="RSN62" i="8"/>
  <c r="RSM62" i="8"/>
  <c r="RSL62" i="8"/>
  <c r="RSK62" i="8"/>
  <c r="RSJ62" i="8"/>
  <c r="RSI62" i="8"/>
  <c r="RSH62" i="8"/>
  <c r="RSG62" i="8"/>
  <c r="RSF62" i="8"/>
  <c r="RSE62" i="8"/>
  <c r="RSD62" i="8"/>
  <c r="RSC62" i="8"/>
  <c r="RSB62" i="8"/>
  <c r="RSA62" i="8"/>
  <c r="RRZ62" i="8"/>
  <c r="RRY62" i="8"/>
  <c r="RRX62" i="8"/>
  <c r="RRW62" i="8"/>
  <c r="RRV62" i="8"/>
  <c r="RRU62" i="8"/>
  <c r="RRT62" i="8"/>
  <c r="RRS62" i="8"/>
  <c r="RRR62" i="8"/>
  <c r="RRQ62" i="8"/>
  <c r="RRP62" i="8"/>
  <c r="RRO62" i="8"/>
  <c r="RRN62" i="8"/>
  <c r="RRM62" i="8"/>
  <c r="RRL62" i="8"/>
  <c r="RRK62" i="8"/>
  <c r="RRJ62" i="8"/>
  <c r="RRI62" i="8"/>
  <c r="RRH62" i="8"/>
  <c r="RRG62" i="8"/>
  <c r="RRF62" i="8"/>
  <c r="RRE62" i="8"/>
  <c r="RRD62" i="8"/>
  <c r="RRC62" i="8"/>
  <c r="RRB62" i="8"/>
  <c r="RRA62" i="8"/>
  <c r="RQZ62" i="8"/>
  <c r="RQY62" i="8"/>
  <c r="RQX62" i="8"/>
  <c r="RQW62" i="8"/>
  <c r="RQV62" i="8"/>
  <c r="RQU62" i="8"/>
  <c r="RQT62" i="8"/>
  <c r="RQS62" i="8"/>
  <c r="RQR62" i="8"/>
  <c r="RQQ62" i="8"/>
  <c r="RQP62" i="8"/>
  <c r="RQO62" i="8"/>
  <c r="RQN62" i="8"/>
  <c r="RQM62" i="8"/>
  <c r="RQL62" i="8"/>
  <c r="RQK62" i="8"/>
  <c r="RQJ62" i="8"/>
  <c r="RQI62" i="8"/>
  <c r="RQH62" i="8"/>
  <c r="RQG62" i="8"/>
  <c r="RQF62" i="8"/>
  <c r="RQE62" i="8"/>
  <c r="RQD62" i="8"/>
  <c r="RQC62" i="8"/>
  <c r="RQB62" i="8"/>
  <c r="RQA62" i="8"/>
  <c r="RPZ62" i="8"/>
  <c r="RPY62" i="8"/>
  <c r="RPX62" i="8"/>
  <c r="RPW62" i="8"/>
  <c r="RPV62" i="8"/>
  <c r="RPU62" i="8"/>
  <c r="RPT62" i="8"/>
  <c r="RPS62" i="8"/>
  <c r="RPR62" i="8"/>
  <c r="RPQ62" i="8"/>
  <c r="RPP62" i="8"/>
  <c r="RPO62" i="8"/>
  <c r="RPN62" i="8"/>
  <c r="RPM62" i="8"/>
  <c r="RPL62" i="8"/>
  <c r="RPK62" i="8"/>
  <c r="RPJ62" i="8"/>
  <c r="RPI62" i="8"/>
  <c r="RPH62" i="8"/>
  <c r="RPG62" i="8"/>
  <c r="RPF62" i="8"/>
  <c r="RPE62" i="8"/>
  <c r="RPD62" i="8"/>
  <c r="RPC62" i="8"/>
  <c r="RPB62" i="8"/>
  <c r="RPA62" i="8"/>
  <c r="ROZ62" i="8"/>
  <c r="ROY62" i="8"/>
  <c r="ROX62" i="8"/>
  <c r="ROW62" i="8"/>
  <c r="ROV62" i="8"/>
  <c r="ROU62" i="8"/>
  <c r="ROT62" i="8"/>
  <c r="ROS62" i="8"/>
  <c r="ROR62" i="8"/>
  <c r="ROQ62" i="8"/>
  <c r="ROP62" i="8"/>
  <c r="ROO62" i="8"/>
  <c r="RON62" i="8"/>
  <c r="ROM62" i="8"/>
  <c r="ROL62" i="8"/>
  <c r="ROK62" i="8"/>
  <c r="ROJ62" i="8"/>
  <c r="ROI62" i="8"/>
  <c r="ROH62" i="8"/>
  <c r="ROG62" i="8"/>
  <c r="ROF62" i="8"/>
  <c r="ROE62" i="8"/>
  <c r="ROD62" i="8"/>
  <c r="ROC62" i="8"/>
  <c r="ROB62" i="8"/>
  <c r="ROA62" i="8"/>
  <c r="RNZ62" i="8"/>
  <c r="RNY62" i="8"/>
  <c r="RNX62" i="8"/>
  <c r="RNW62" i="8"/>
  <c r="RNV62" i="8"/>
  <c r="RNU62" i="8"/>
  <c r="RNT62" i="8"/>
  <c r="RNS62" i="8"/>
  <c r="RNR62" i="8"/>
  <c r="RNQ62" i="8"/>
  <c r="RNP62" i="8"/>
  <c r="RNO62" i="8"/>
  <c r="RNN62" i="8"/>
  <c r="RNM62" i="8"/>
  <c r="RNL62" i="8"/>
  <c r="RNK62" i="8"/>
  <c r="RNJ62" i="8"/>
  <c r="RNI62" i="8"/>
  <c r="RNH62" i="8"/>
  <c r="RNG62" i="8"/>
  <c r="RNF62" i="8"/>
  <c r="RNE62" i="8"/>
  <c r="RND62" i="8"/>
  <c r="RNC62" i="8"/>
  <c r="RNB62" i="8"/>
  <c r="RNA62" i="8"/>
  <c r="RMZ62" i="8"/>
  <c r="RMY62" i="8"/>
  <c r="RMX62" i="8"/>
  <c r="RMW62" i="8"/>
  <c r="RMV62" i="8"/>
  <c r="RMU62" i="8"/>
  <c r="RMT62" i="8"/>
  <c r="RMS62" i="8"/>
  <c r="RMR62" i="8"/>
  <c r="RMQ62" i="8"/>
  <c r="RMP62" i="8"/>
  <c r="RMO62" i="8"/>
  <c r="RMN62" i="8"/>
  <c r="RMM62" i="8"/>
  <c r="RML62" i="8"/>
  <c r="RMK62" i="8"/>
  <c r="RMJ62" i="8"/>
  <c r="RMI62" i="8"/>
  <c r="RMH62" i="8"/>
  <c r="RMG62" i="8"/>
  <c r="RMF62" i="8"/>
  <c r="RME62" i="8"/>
  <c r="RMD62" i="8"/>
  <c r="RMC62" i="8"/>
  <c r="RMB62" i="8"/>
  <c r="RMA62" i="8"/>
  <c r="RLZ62" i="8"/>
  <c r="RLY62" i="8"/>
  <c r="RLX62" i="8"/>
  <c r="RLW62" i="8"/>
  <c r="RLV62" i="8"/>
  <c r="RLU62" i="8"/>
  <c r="RLT62" i="8"/>
  <c r="RLS62" i="8"/>
  <c r="RLR62" i="8"/>
  <c r="RLQ62" i="8"/>
  <c r="RLP62" i="8"/>
  <c r="RLO62" i="8"/>
  <c r="RLN62" i="8"/>
  <c r="RLM62" i="8"/>
  <c r="RLL62" i="8"/>
  <c r="RLK62" i="8"/>
  <c r="RLJ62" i="8"/>
  <c r="RLI62" i="8"/>
  <c r="RLH62" i="8"/>
  <c r="RLG62" i="8"/>
  <c r="RLF62" i="8"/>
  <c r="RLE62" i="8"/>
  <c r="RLD62" i="8"/>
  <c r="RLC62" i="8"/>
  <c r="RLB62" i="8"/>
  <c r="RLA62" i="8"/>
  <c r="RKZ62" i="8"/>
  <c r="RKY62" i="8"/>
  <c r="RKX62" i="8"/>
  <c r="RKW62" i="8"/>
  <c r="RKV62" i="8"/>
  <c r="RKU62" i="8"/>
  <c r="RKT62" i="8"/>
  <c r="RKS62" i="8"/>
  <c r="RKR62" i="8"/>
  <c r="RKQ62" i="8"/>
  <c r="RKP62" i="8"/>
  <c r="RKO62" i="8"/>
  <c r="RKN62" i="8"/>
  <c r="RKM62" i="8"/>
  <c r="RKL62" i="8"/>
  <c r="RKK62" i="8"/>
  <c r="RKJ62" i="8"/>
  <c r="RKI62" i="8"/>
  <c r="RKH62" i="8"/>
  <c r="RKG62" i="8"/>
  <c r="RKF62" i="8"/>
  <c r="RKE62" i="8"/>
  <c r="RKD62" i="8"/>
  <c r="RKC62" i="8"/>
  <c r="RKB62" i="8"/>
  <c r="RKA62" i="8"/>
  <c r="RJZ62" i="8"/>
  <c r="RJY62" i="8"/>
  <c r="RJX62" i="8"/>
  <c r="RJW62" i="8"/>
  <c r="RJV62" i="8"/>
  <c r="RJU62" i="8"/>
  <c r="RJT62" i="8"/>
  <c r="RJS62" i="8"/>
  <c r="RJR62" i="8"/>
  <c r="RJQ62" i="8"/>
  <c r="RJP62" i="8"/>
  <c r="RJO62" i="8"/>
  <c r="RJN62" i="8"/>
  <c r="RJM62" i="8"/>
  <c r="RJL62" i="8"/>
  <c r="RJK62" i="8"/>
  <c r="RJJ62" i="8"/>
  <c r="RJI62" i="8"/>
  <c r="RJH62" i="8"/>
  <c r="RJG62" i="8"/>
  <c r="RJF62" i="8"/>
  <c r="RJE62" i="8"/>
  <c r="RJD62" i="8"/>
  <c r="RJC62" i="8"/>
  <c r="RJB62" i="8"/>
  <c r="RJA62" i="8"/>
  <c r="RIZ62" i="8"/>
  <c r="RIY62" i="8"/>
  <c r="RIX62" i="8"/>
  <c r="RIW62" i="8"/>
  <c r="RIV62" i="8"/>
  <c r="RIU62" i="8"/>
  <c r="RIT62" i="8"/>
  <c r="RIS62" i="8"/>
  <c r="RIR62" i="8"/>
  <c r="RIQ62" i="8"/>
  <c r="RIP62" i="8"/>
  <c r="RIO62" i="8"/>
  <c r="RIN62" i="8"/>
  <c r="RIM62" i="8"/>
  <c r="RIL62" i="8"/>
  <c r="RIK62" i="8"/>
  <c r="RIJ62" i="8"/>
  <c r="RII62" i="8"/>
  <c r="RIH62" i="8"/>
  <c r="RIG62" i="8"/>
  <c r="RIF62" i="8"/>
  <c r="RIE62" i="8"/>
  <c r="RID62" i="8"/>
  <c r="RIC62" i="8"/>
  <c r="RIB62" i="8"/>
  <c r="RIA62" i="8"/>
  <c r="RHZ62" i="8"/>
  <c r="RHY62" i="8"/>
  <c r="RHX62" i="8"/>
  <c r="RHW62" i="8"/>
  <c r="RHV62" i="8"/>
  <c r="RHU62" i="8"/>
  <c r="RHT62" i="8"/>
  <c r="RHS62" i="8"/>
  <c r="RHR62" i="8"/>
  <c r="RHQ62" i="8"/>
  <c r="RHP62" i="8"/>
  <c r="RHO62" i="8"/>
  <c r="RHN62" i="8"/>
  <c r="RHM62" i="8"/>
  <c r="RHL62" i="8"/>
  <c r="RHK62" i="8"/>
  <c r="RHJ62" i="8"/>
  <c r="RHI62" i="8"/>
  <c r="RHH62" i="8"/>
  <c r="RHG62" i="8"/>
  <c r="RHF62" i="8"/>
  <c r="RHE62" i="8"/>
  <c r="RHD62" i="8"/>
  <c r="RHC62" i="8"/>
  <c r="RHB62" i="8"/>
  <c r="RHA62" i="8"/>
  <c r="RGZ62" i="8"/>
  <c r="RGY62" i="8"/>
  <c r="RGX62" i="8"/>
  <c r="RGW62" i="8"/>
  <c r="RGV62" i="8"/>
  <c r="RGU62" i="8"/>
  <c r="RGT62" i="8"/>
  <c r="RGS62" i="8"/>
  <c r="RGR62" i="8"/>
  <c r="RGQ62" i="8"/>
  <c r="RGP62" i="8"/>
  <c r="RGO62" i="8"/>
  <c r="RGN62" i="8"/>
  <c r="RGM62" i="8"/>
  <c r="RGL62" i="8"/>
  <c r="RGK62" i="8"/>
  <c r="RGJ62" i="8"/>
  <c r="RGI62" i="8"/>
  <c r="RGH62" i="8"/>
  <c r="RGG62" i="8"/>
  <c r="RGF62" i="8"/>
  <c r="RGE62" i="8"/>
  <c r="RGD62" i="8"/>
  <c r="RGC62" i="8"/>
  <c r="RGB62" i="8"/>
  <c r="RGA62" i="8"/>
  <c r="RFZ62" i="8"/>
  <c r="RFY62" i="8"/>
  <c r="RFX62" i="8"/>
  <c r="RFW62" i="8"/>
  <c r="RFV62" i="8"/>
  <c r="RFU62" i="8"/>
  <c r="RFT62" i="8"/>
  <c r="RFS62" i="8"/>
  <c r="RFR62" i="8"/>
  <c r="RFQ62" i="8"/>
  <c r="RFP62" i="8"/>
  <c r="RFO62" i="8"/>
  <c r="RFN62" i="8"/>
  <c r="RFM62" i="8"/>
  <c r="RFL62" i="8"/>
  <c r="RFK62" i="8"/>
  <c r="RFJ62" i="8"/>
  <c r="RFI62" i="8"/>
  <c r="RFH62" i="8"/>
  <c r="RFG62" i="8"/>
  <c r="RFF62" i="8"/>
  <c r="RFE62" i="8"/>
  <c r="RFD62" i="8"/>
  <c r="RFC62" i="8"/>
  <c r="RFB62" i="8"/>
  <c r="RFA62" i="8"/>
  <c r="REZ62" i="8"/>
  <c r="REY62" i="8"/>
  <c r="REX62" i="8"/>
  <c r="REW62" i="8"/>
  <c r="REV62" i="8"/>
  <c r="REU62" i="8"/>
  <c r="RET62" i="8"/>
  <c r="RES62" i="8"/>
  <c r="RER62" i="8"/>
  <c r="REQ62" i="8"/>
  <c r="REP62" i="8"/>
  <c r="REO62" i="8"/>
  <c r="REN62" i="8"/>
  <c r="REM62" i="8"/>
  <c r="REL62" i="8"/>
  <c r="REK62" i="8"/>
  <c r="REJ62" i="8"/>
  <c r="REI62" i="8"/>
  <c r="REH62" i="8"/>
  <c r="REG62" i="8"/>
  <c r="REF62" i="8"/>
  <c r="REE62" i="8"/>
  <c r="RED62" i="8"/>
  <c r="REC62" i="8"/>
  <c r="REB62" i="8"/>
  <c r="REA62" i="8"/>
  <c r="RDZ62" i="8"/>
  <c r="RDY62" i="8"/>
  <c r="RDX62" i="8"/>
  <c r="RDW62" i="8"/>
  <c r="RDV62" i="8"/>
  <c r="RDU62" i="8"/>
  <c r="RDT62" i="8"/>
  <c r="RDS62" i="8"/>
  <c r="RDR62" i="8"/>
  <c r="RDQ62" i="8"/>
  <c r="RDP62" i="8"/>
  <c r="RDO62" i="8"/>
  <c r="RDN62" i="8"/>
  <c r="RDM62" i="8"/>
  <c r="RDL62" i="8"/>
  <c r="RDK62" i="8"/>
  <c r="RDJ62" i="8"/>
  <c r="RDI62" i="8"/>
  <c r="RDH62" i="8"/>
  <c r="RDG62" i="8"/>
  <c r="RDF62" i="8"/>
  <c r="RDE62" i="8"/>
  <c r="RDD62" i="8"/>
  <c r="RDC62" i="8"/>
  <c r="RDB62" i="8"/>
  <c r="RDA62" i="8"/>
  <c r="RCZ62" i="8"/>
  <c r="RCY62" i="8"/>
  <c r="RCX62" i="8"/>
  <c r="RCW62" i="8"/>
  <c r="RCV62" i="8"/>
  <c r="RCU62" i="8"/>
  <c r="RCT62" i="8"/>
  <c r="RCS62" i="8"/>
  <c r="RCR62" i="8"/>
  <c r="RCQ62" i="8"/>
  <c r="RCP62" i="8"/>
  <c r="RCO62" i="8"/>
  <c r="RCN62" i="8"/>
  <c r="RCM62" i="8"/>
  <c r="RCL62" i="8"/>
  <c r="RCK62" i="8"/>
  <c r="RCJ62" i="8"/>
  <c r="RCI62" i="8"/>
  <c r="RCH62" i="8"/>
  <c r="RCG62" i="8"/>
  <c r="RCF62" i="8"/>
  <c r="RCE62" i="8"/>
  <c r="RCD62" i="8"/>
  <c r="RCC62" i="8"/>
  <c r="RCB62" i="8"/>
  <c r="RCA62" i="8"/>
  <c r="RBZ62" i="8"/>
  <c r="RBY62" i="8"/>
  <c r="RBX62" i="8"/>
  <c r="RBW62" i="8"/>
  <c r="RBV62" i="8"/>
  <c r="RBU62" i="8"/>
  <c r="RBT62" i="8"/>
  <c r="RBS62" i="8"/>
  <c r="RBR62" i="8"/>
  <c r="RBQ62" i="8"/>
  <c r="RBP62" i="8"/>
  <c r="RBO62" i="8"/>
  <c r="RBN62" i="8"/>
  <c r="RBM62" i="8"/>
  <c r="RBL62" i="8"/>
  <c r="RBK62" i="8"/>
  <c r="RBJ62" i="8"/>
  <c r="RBI62" i="8"/>
  <c r="RBH62" i="8"/>
  <c r="RBG62" i="8"/>
  <c r="RBF62" i="8"/>
  <c r="RBE62" i="8"/>
  <c r="RBD62" i="8"/>
  <c r="RBC62" i="8"/>
  <c r="RBB62" i="8"/>
  <c r="RBA62" i="8"/>
  <c r="RAZ62" i="8"/>
  <c r="RAY62" i="8"/>
  <c r="RAX62" i="8"/>
  <c r="RAW62" i="8"/>
  <c r="RAV62" i="8"/>
  <c r="RAU62" i="8"/>
  <c r="RAT62" i="8"/>
  <c r="RAS62" i="8"/>
  <c r="RAR62" i="8"/>
  <c r="RAQ62" i="8"/>
  <c r="RAP62" i="8"/>
  <c r="RAO62" i="8"/>
  <c r="RAN62" i="8"/>
  <c r="RAM62" i="8"/>
  <c r="RAL62" i="8"/>
  <c r="RAK62" i="8"/>
  <c r="RAJ62" i="8"/>
  <c r="RAI62" i="8"/>
  <c r="RAH62" i="8"/>
  <c r="RAG62" i="8"/>
  <c r="RAF62" i="8"/>
  <c r="RAE62" i="8"/>
  <c r="RAD62" i="8"/>
  <c r="RAC62" i="8"/>
  <c r="RAB62" i="8"/>
  <c r="RAA62" i="8"/>
  <c r="QZZ62" i="8"/>
  <c r="QZY62" i="8"/>
  <c r="QZX62" i="8"/>
  <c r="QZW62" i="8"/>
  <c r="QZV62" i="8"/>
  <c r="QZU62" i="8"/>
  <c r="QZT62" i="8"/>
  <c r="QZS62" i="8"/>
  <c r="QZR62" i="8"/>
  <c r="QZQ62" i="8"/>
  <c r="QZP62" i="8"/>
  <c r="QZO62" i="8"/>
  <c r="QZN62" i="8"/>
  <c r="QZM62" i="8"/>
  <c r="QZL62" i="8"/>
  <c r="QZK62" i="8"/>
  <c r="QZJ62" i="8"/>
  <c r="QZI62" i="8"/>
  <c r="QZH62" i="8"/>
  <c r="QZG62" i="8"/>
  <c r="QZF62" i="8"/>
  <c r="QZE62" i="8"/>
  <c r="QZD62" i="8"/>
  <c r="QZC62" i="8"/>
  <c r="QZB62" i="8"/>
  <c r="QZA62" i="8"/>
  <c r="QYZ62" i="8"/>
  <c r="QYY62" i="8"/>
  <c r="QYX62" i="8"/>
  <c r="QYW62" i="8"/>
  <c r="QYV62" i="8"/>
  <c r="QYU62" i="8"/>
  <c r="QYT62" i="8"/>
  <c r="QYS62" i="8"/>
  <c r="QYR62" i="8"/>
  <c r="QYQ62" i="8"/>
  <c r="QYP62" i="8"/>
  <c r="QYO62" i="8"/>
  <c r="QYN62" i="8"/>
  <c r="QYM62" i="8"/>
  <c r="QYL62" i="8"/>
  <c r="QYK62" i="8"/>
  <c r="QYJ62" i="8"/>
  <c r="QYI62" i="8"/>
  <c r="QYH62" i="8"/>
  <c r="QYG62" i="8"/>
  <c r="QYF62" i="8"/>
  <c r="QYE62" i="8"/>
  <c r="QYD62" i="8"/>
  <c r="QYC62" i="8"/>
  <c r="QYB62" i="8"/>
  <c r="QYA62" i="8"/>
  <c r="QXZ62" i="8"/>
  <c r="QXY62" i="8"/>
  <c r="QXX62" i="8"/>
  <c r="QXW62" i="8"/>
  <c r="QXV62" i="8"/>
  <c r="QXU62" i="8"/>
  <c r="QXT62" i="8"/>
  <c r="QXS62" i="8"/>
  <c r="QXR62" i="8"/>
  <c r="QXQ62" i="8"/>
  <c r="QXP62" i="8"/>
  <c r="QXO62" i="8"/>
  <c r="QXN62" i="8"/>
  <c r="QXM62" i="8"/>
  <c r="QXL62" i="8"/>
  <c r="QXK62" i="8"/>
  <c r="QXJ62" i="8"/>
  <c r="QXI62" i="8"/>
  <c r="QXH62" i="8"/>
  <c r="QXG62" i="8"/>
  <c r="QXF62" i="8"/>
  <c r="QXE62" i="8"/>
  <c r="QXD62" i="8"/>
  <c r="QXC62" i="8"/>
  <c r="QXB62" i="8"/>
  <c r="QXA62" i="8"/>
  <c r="QWZ62" i="8"/>
  <c r="QWY62" i="8"/>
  <c r="QWX62" i="8"/>
  <c r="QWW62" i="8"/>
  <c r="QWV62" i="8"/>
  <c r="QWU62" i="8"/>
  <c r="QWT62" i="8"/>
  <c r="QWS62" i="8"/>
  <c r="QWR62" i="8"/>
  <c r="QWQ62" i="8"/>
  <c r="QWP62" i="8"/>
  <c r="QWO62" i="8"/>
  <c r="QWN62" i="8"/>
  <c r="QWM62" i="8"/>
  <c r="QWL62" i="8"/>
  <c r="QWK62" i="8"/>
  <c r="QWJ62" i="8"/>
  <c r="QWI62" i="8"/>
  <c r="QWH62" i="8"/>
  <c r="QWG62" i="8"/>
  <c r="QWF62" i="8"/>
  <c r="QWE62" i="8"/>
  <c r="QWD62" i="8"/>
  <c r="QWC62" i="8"/>
  <c r="QWB62" i="8"/>
  <c r="QWA62" i="8"/>
  <c r="QVZ62" i="8"/>
  <c r="QVY62" i="8"/>
  <c r="QVX62" i="8"/>
  <c r="QVW62" i="8"/>
  <c r="QVV62" i="8"/>
  <c r="QVU62" i="8"/>
  <c r="QVT62" i="8"/>
  <c r="QVS62" i="8"/>
  <c r="QVR62" i="8"/>
  <c r="QVQ62" i="8"/>
  <c r="QVP62" i="8"/>
  <c r="QVO62" i="8"/>
  <c r="QVN62" i="8"/>
  <c r="QVM62" i="8"/>
  <c r="QVL62" i="8"/>
  <c r="QVK62" i="8"/>
  <c r="QVJ62" i="8"/>
  <c r="QVI62" i="8"/>
  <c r="QVH62" i="8"/>
  <c r="QVG62" i="8"/>
  <c r="QVF62" i="8"/>
  <c r="QVE62" i="8"/>
  <c r="QVD62" i="8"/>
  <c r="QVC62" i="8"/>
  <c r="QVB62" i="8"/>
  <c r="QVA62" i="8"/>
  <c r="QUZ62" i="8"/>
  <c r="QUY62" i="8"/>
  <c r="QUX62" i="8"/>
  <c r="QUW62" i="8"/>
  <c r="QUV62" i="8"/>
  <c r="QUU62" i="8"/>
  <c r="QUT62" i="8"/>
  <c r="QUS62" i="8"/>
  <c r="QUR62" i="8"/>
  <c r="QUQ62" i="8"/>
  <c r="QUP62" i="8"/>
  <c r="QUO62" i="8"/>
  <c r="QUN62" i="8"/>
  <c r="QUM62" i="8"/>
  <c r="QUL62" i="8"/>
  <c r="QUK62" i="8"/>
  <c r="QUJ62" i="8"/>
  <c r="QUI62" i="8"/>
  <c r="QUH62" i="8"/>
  <c r="QUG62" i="8"/>
  <c r="QUF62" i="8"/>
  <c r="QUE62" i="8"/>
  <c r="QUD62" i="8"/>
  <c r="QUC62" i="8"/>
  <c r="QUB62" i="8"/>
  <c r="QUA62" i="8"/>
  <c r="QTZ62" i="8"/>
  <c r="QTY62" i="8"/>
  <c r="QTX62" i="8"/>
  <c r="QTW62" i="8"/>
  <c r="QTV62" i="8"/>
  <c r="QTU62" i="8"/>
  <c r="QTT62" i="8"/>
  <c r="QTS62" i="8"/>
  <c r="QTR62" i="8"/>
  <c r="QTQ62" i="8"/>
  <c r="QTP62" i="8"/>
  <c r="QTO62" i="8"/>
  <c r="QTN62" i="8"/>
  <c r="QTM62" i="8"/>
  <c r="QTL62" i="8"/>
  <c r="QTK62" i="8"/>
  <c r="QTJ62" i="8"/>
  <c r="QTI62" i="8"/>
  <c r="QTH62" i="8"/>
  <c r="QTG62" i="8"/>
  <c r="QTF62" i="8"/>
  <c r="QTE62" i="8"/>
  <c r="QTD62" i="8"/>
  <c r="QTC62" i="8"/>
  <c r="QTB62" i="8"/>
  <c r="QTA62" i="8"/>
  <c r="QSZ62" i="8"/>
  <c r="QSY62" i="8"/>
  <c r="QSX62" i="8"/>
  <c r="QSW62" i="8"/>
  <c r="QSV62" i="8"/>
  <c r="QSU62" i="8"/>
  <c r="QST62" i="8"/>
  <c r="QSS62" i="8"/>
  <c r="QSR62" i="8"/>
  <c r="QSQ62" i="8"/>
  <c r="QSP62" i="8"/>
  <c r="QSO62" i="8"/>
  <c r="QSN62" i="8"/>
  <c r="QSM62" i="8"/>
  <c r="QSL62" i="8"/>
  <c r="QSK62" i="8"/>
  <c r="QSJ62" i="8"/>
  <c r="QSI62" i="8"/>
  <c r="QSH62" i="8"/>
  <c r="QSG62" i="8"/>
  <c r="QSF62" i="8"/>
  <c r="QSE62" i="8"/>
  <c r="QSD62" i="8"/>
  <c r="QSC62" i="8"/>
  <c r="QSB62" i="8"/>
  <c r="QSA62" i="8"/>
  <c r="QRZ62" i="8"/>
  <c r="QRY62" i="8"/>
  <c r="QRX62" i="8"/>
  <c r="QRW62" i="8"/>
  <c r="QRV62" i="8"/>
  <c r="QRU62" i="8"/>
  <c r="QRT62" i="8"/>
  <c r="QRS62" i="8"/>
  <c r="QRR62" i="8"/>
  <c r="QRQ62" i="8"/>
  <c r="QRP62" i="8"/>
  <c r="QRO62" i="8"/>
  <c r="QRN62" i="8"/>
  <c r="QRM62" i="8"/>
  <c r="QRL62" i="8"/>
  <c r="QRK62" i="8"/>
  <c r="QRJ62" i="8"/>
  <c r="QRI62" i="8"/>
  <c r="QRH62" i="8"/>
  <c r="QRG62" i="8"/>
  <c r="QRF62" i="8"/>
  <c r="QRE62" i="8"/>
  <c r="QRD62" i="8"/>
  <c r="QRC62" i="8"/>
  <c r="QRB62" i="8"/>
  <c r="QRA62" i="8"/>
  <c r="QQZ62" i="8"/>
  <c r="QQY62" i="8"/>
  <c r="QQX62" i="8"/>
  <c r="QQW62" i="8"/>
  <c r="QQV62" i="8"/>
  <c r="QQU62" i="8"/>
  <c r="QQT62" i="8"/>
  <c r="QQS62" i="8"/>
  <c r="QQR62" i="8"/>
  <c r="QQQ62" i="8"/>
  <c r="QQP62" i="8"/>
  <c r="QQO62" i="8"/>
  <c r="QQN62" i="8"/>
  <c r="QQM62" i="8"/>
  <c r="QQL62" i="8"/>
  <c r="QQK62" i="8"/>
  <c r="QQJ62" i="8"/>
  <c r="QQI62" i="8"/>
  <c r="QQH62" i="8"/>
  <c r="QQG62" i="8"/>
  <c r="QQF62" i="8"/>
  <c r="QQE62" i="8"/>
  <c r="QQD62" i="8"/>
  <c r="QQC62" i="8"/>
  <c r="QQB62" i="8"/>
  <c r="QQA62" i="8"/>
  <c r="QPZ62" i="8"/>
  <c r="QPY62" i="8"/>
  <c r="QPX62" i="8"/>
  <c r="QPW62" i="8"/>
  <c r="QPV62" i="8"/>
  <c r="QPU62" i="8"/>
  <c r="QPT62" i="8"/>
  <c r="QPS62" i="8"/>
  <c r="QPR62" i="8"/>
  <c r="QPQ62" i="8"/>
  <c r="QPP62" i="8"/>
  <c r="QPO62" i="8"/>
  <c r="QPN62" i="8"/>
  <c r="QPM62" i="8"/>
  <c r="QPL62" i="8"/>
  <c r="QPK62" i="8"/>
  <c r="QPJ62" i="8"/>
  <c r="QPI62" i="8"/>
  <c r="QPH62" i="8"/>
  <c r="QPG62" i="8"/>
  <c r="QPF62" i="8"/>
  <c r="QPE62" i="8"/>
  <c r="QPD62" i="8"/>
  <c r="QPC62" i="8"/>
  <c r="QPB62" i="8"/>
  <c r="QPA62" i="8"/>
  <c r="QOZ62" i="8"/>
  <c r="QOY62" i="8"/>
  <c r="QOX62" i="8"/>
  <c r="QOW62" i="8"/>
  <c r="QOV62" i="8"/>
  <c r="QOU62" i="8"/>
  <c r="QOT62" i="8"/>
  <c r="QOS62" i="8"/>
  <c r="QOR62" i="8"/>
  <c r="QOQ62" i="8"/>
  <c r="QOP62" i="8"/>
  <c r="QOO62" i="8"/>
  <c r="QON62" i="8"/>
  <c r="QOM62" i="8"/>
  <c r="QOL62" i="8"/>
  <c r="QOK62" i="8"/>
  <c r="QOJ62" i="8"/>
  <c r="QOI62" i="8"/>
  <c r="QOH62" i="8"/>
  <c r="QOG62" i="8"/>
  <c r="QOF62" i="8"/>
  <c r="QOE62" i="8"/>
  <c r="QOD62" i="8"/>
  <c r="QOC62" i="8"/>
  <c r="QOB62" i="8"/>
  <c r="QOA62" i="8"/>
  <c r="QNZ62" i="8"/>
  <c r="QNY62" i="8"/>
  <c r="QNX62" i="8"/>
  <c r="QNW62" i="8"/>
  <c r="QNV62" i="8"/>
  <c r="QNU62" i="8"/>
  <c r="QNT62" i="8"/>
  <c r="QNS62" i="8"/>
  <c r="QNR62" i="8"/>
  <c r="QNQ62" i="8"/>
  <c r="QNP62" i="8"/>
  <c r="QNO62" i="8"/>
  <c r="QNN62" i="8"/>
  <c r="QNM62" i="8"/>
  <c r="QNL62" i="8"/>
  <c r="QNK62" i="8"/>
  <c r="QNJ62" i="8"/>
  <c r="QNI62" i="8"/>
  <c r="QNH62" i="8"/>
  <c r="QNG62" i="8"/>
  <c r="QNF62" i="8"/>
  <c r="QNE62" i="8"/>
  <c r="QND62" i="8"/>
  <c r="QNC62" i="8"/>
  <c r="QNB62" i="8"/>
  <c r="QNA62" i="8"/>
  <c r="QMZ62" i="8"/>
  <c r="QMY62" i="8"/>
  <c r="QMX62" i="8"/>
  <c r="QMW62" i="8"/>
  <c r="QMV62" i="8"/>
  <c r="QMU62" i="8"/>
  <c r="QMT62" i="8"/>
  <c r="QMS62" i="8"/>
  <c r="QMR62" i="8"/>
  <c r="QMQ62" i="8"/>
  <c r="QMP62" i="8"/>
  <c r="QMO62" i="8"/>
  <c r="QMN62" i="8"/>
  <c r="QMM62" i="8"/>
  <c r="QML62" i="8"/>
  <c r="QMK62" i="8"/>
  <c r="QMJ62" i="8"/>
  <c r="QMI62" i="8"/>
  <c r="QMH62" i="8"/>
  <c r="QMG62" i="8"/>
  <c r="QMF62" i="8"/>
  <c r="QME62" i="8"/>
  <c r="QMD62" i="8"/>
  <c r="QMC62" i="8"/>
  <c r="QMB62" i="8"/>
  <c r="QMA62" i="8"/>
  <c r="QLZ62" i="8"/>
  <c r="QLY62" i="8"/>
  <c r="QLX62" i="8"/>
  <c r="QLW62" i="8"/>
  <c r="QLV62" i="8"/>
  <c r="QLU62" i="8"/>
  <c r="QLT62" i="8"/>
  <c r="QLS62" i="8"/>
  <c r="QLR62" i="8"/>
  <c r="QLQ62" i="8"/>
  <c r="QLP62" i="8"/>
  <c r="QLO62" i="8"/>
  <c r="QLN62" i="8"/>
  <c r="QLM62" i="8"/>
  <c r="QLL62" i="8"/>
  <c r="QLK62" i="8"/>
  <c r="QLJ62" i="8"/>
  <c r="QLI62" i="8"/>
  <c r="QLH62" i="8"/>
  <c r="QLG62" i="8"/>
  <c r="QLF62" i="8"/>
  <c r="QLE62" i="8"/>
  <c r="QLD62" i="8"/>
  <c r="QLC62" i="8"/>
  <c r="QLB62" i="8"/>
  <c r="QLA62" i="8"/>
  <c r="QKZ62" i="8"/>
  <c r="QKY62" i="8"/>
  <c r="QKX62" i="8"/>
  <c r="QKW62" i="8"/>
  <c r="QKV62" i="8"/>
  <c r="QKU62" i="8"/>
  <c r="QKT62" i="8"/>
  <c r="QKS62" i="8"/>
  <c r="QKR62" i="8"/>
  <c r="QKQ62" i="8"/>
  <c r="QKP62" i="8"/>
  <c r="QKO62" i="8"/>
  <c r="QKN62" i="8"/>
  <c r="QKM62" i="8"/>
  <c r="QKL62" i="8"/>
  <c r="QKK62" i="8"/>
  <c r="QKJ62" i="8"/>
  <c r="QKI62" i="8"/>
  <c r="QKH62" i="8"/>
  <c r="QKG62" i="8"/>
  <c r="QKF62" i="8"/>
  <c r="QKE62" i="8"/>
  <c r="QKD62" i="8"/>
  <c r="QKC62" i="8"/>
  <c r="QKB62" i="8"/>
  <c r="QKA62" i="8"/>
  <c r="QJZ62" i="8"/>
  <c r="QJY62" i="8"/>
  <c r="QJX62" i="8"/>
  <c r="QJW62" i="8"/>
  <c r="QJV62" i="8"/>
  <c r="QJU62" i="8"/>
  <c r="QJT62" i="8"/>
  <c r="QJS62" i="8"/>
  <c r="QJR62" i="8"/>
  <c r="QJQ62" i="8"/>
  <c r="QJP62" i="8"/>
  <c r="QJO62" i="8"/>
  <c r="QJN62" i="8"/>
  <c r="QJM62" i="8"/>
  <c r="QJL62" i="8"/>
  <c r="QJK62" i="8"/>
  <c r="QJJ62" i="8"/>
  <c r="QJI62" i="8"/>
  <c r="QJH62" i="8"/>
  <c r="QJG62" i="8"/>
  <c r="QJF62" i="8"/>
  <c r="QJE62" i="8"/>
  <c r="QJD62" i="8"/>
  <c r="QJC62" i="8"/>
  <c r="QJB62" i="8"/>
  <c r="QJA62" i="8"/>
  <c r="QIZ62" i="8"/>
  <c r="QIY62" i="8"/>
  <c r="QIX62" i="8"/>
  <c r="QIW62" i="8"/>
  <c r="QIV62" i="8"/>
  <c r="QIU62" i="8"/>
  <c r="QIT62" i="8"/>
  <c r="QIS62" i="8"/>
  <c r="QIR62" i="8"/>
  <c r="QIQ62" i="8"/>
  <c r="QIP62" i="8"/>
  <c r="QIO62" i="8"/>
  <c r="QIN62" i="8"/>
  <c r="QIM62" i="8"/>
  <c r="QIL62" i="8"/>
  <c r="QIK62" i="8"/>
  <c r="QIJ62" i="8"/>
  <c r="QII62" i="8"/>
  <c r="QIH62" i="8"/>
  <c r="QIG62" i="8"/>
  <c r="QIF62" i="8"/>
  <c r="QIE62" i="8"/>
  <c r="QID62" i="8"/>
  <c r="QIC62" i="8"/>
  <c r="QIB62" i="8"/>
  <c r="QIA62" i="8"/>
  <c r="QHZ62" i="8"/>
  <c r="QHY62" i="8"/>
  <c r="QHX62" i="8"/>
  <c r="QHW62" i="8"/>
  <c r="QHV62" i="8"/>
  <c r="QHU62" i="8"/>
  <c r="QHT62" i="8"/>
  <c r="QHS62" i="8"/>
  <c r="QHR62" i="8"/>
  <c r="QHQ62" i="8"/>
  <c r="QHP62" i="8"/>
  <c r="QHO62" i="8"/>
  <c r="QHN62" i="8"/>
  <c r="QHM62" i="8"/>
  <c r="QHL62" i="8"/>
  <c r="QHK62" i="8"/>
  <c r="QHJ62" i="8"/>
  <c r="QHI62" i="8"/>
  <c r="QHH62" i="8"/>
  <c r="QHG62" i="8"/>
  <c r="QHF62" i="8"/>
  <c r="QHE62" i="8"/>
  <c r="QHD62" i="8"/>
  <c r="QHC62" i="8"/>
  <c r="QHB62" i="8"/>
  <c r="QHA62" i="8"/>
  <c r="QGZ62" i="8"/>
  <c r="QGY62" i="8"/>
  <c r="QGX62" i="8"/>
  <c r="QGW62" i="8"/>
  <c r="QGV62" i="8"/>
  <c r="QGU62" i="8"/>
  <c r="QGT62" i="8"/>
  <c r="QGS62" i="8"/>
  <c r="QGR62" i="8"/>
  <c r="QGQ62" i="8"/>
  <c r="QGP62" i="8"/>
  <c r="QGO62" i="8"/>
  <c r="QGN62" i="8"/>
  <c r="QGM62" i="8"/>
  <c r="QGL62" i="8"/>
  <c r="QGK62" i="8"/>
  <c r="QGJ62" i="8"/>
  <c r="QGI62" i="8"/>
  <c r="QGH62" i="8"/>
  <c r="QGG62" i="8"/>
  <c r="QGF62" i="8"/>
  <c r="QGE62" i="8"/>
  <c r="QGD62" i="8"/>
  <c r="QGC62" i="8"/>
  <c r="QGB62" i="8"/>
  <c r="QGA62" i="8"/>
  <c r="QFZ62" i="8"/>
  <c r="QFY62" i="8"/>
  <c r="QFX62" i="8"/>
  <c r="QFW62" i="8"/>
  <c r="QFV62" i="8"/>
  <c r="QFU62" i="8"/>
  <c r="QFT62" i="8"/>
  <c r="QFS62" i="8"/>
  <c r="QFR62" i="8"/>
  <c r="QFQ62" i="8"/>
  <c r="QFP62" i="8"/>
  <c r="QFO62" i="8"/>
  <c r="QFN62" i="8"/>
  <c r="QFM62" i="8"/>
  <c r="QFL62" i="8"/>
  <c r="QFK62" i="8"/>
  <c r="QFJ62" i="8"/>
  <c r="QFI62" i="8"/>
  <c r="QFH62" i="8"/>
  <c r="QFG62" i="8"/>
  <c r="QFF62" i="8"/>
  <c r="QFE62" i="8"/>
  <c r="QFD62" i="8"/>
  <c r="QFC62" i="8"/>
  <c r="QFB62" i="8"/>
  <c r="QFA62" i="8"/>
  <c r="QEZ62" i="8"/>
  <c r="QEY62" i="8"/>
  <c r="QEX62" i="8"/>
  <c r="QEW62" i="8"/>
  <c r="QEV62" i="8"/>
  <c r="QEU62" i="8"/>
  <c r="QET62" i="8"/>
  <c r="QES62" i="8"/>
  <c r="QER62" i="8"/>
  <c r="QEQ62" i="8"/>
  <c r="QEP62" i="8"/>
  <c r="QEO62" i="8"/>
  <c r="QEN62" i="8"/>
  <c r="QEM62" i="8"/>
  <c r="QEL62" i="8"/>
  <c r="QEK62" i="8"/>
  <c r="QEJ62" i="8"/>
  <c r="QEI62" i="8"/>
  <c r="QEH62" i="8"/>
  <c r="QEG62" i="8"/>
  <c r="QEF62" i="8"/>
  <c r="QEE62" i="8"/>
  <c r="QED62" i="8"/>
  <c r="QEC62" i="8"/>
  <c r="QEB62" i="8"/>
  <c r="QEA62" i="8"/>
  <c r="QDZ62" i="8"/>
  <c r="QDY62" i="8"/>
  <c r="QDX62" i="8"/>
  <c r="QDW62" i="8"/>
  <c r="QDV62" i="8"/>
  <c r="QDU62" i="8"/>
  <c r="QDT62" i="8"/>
  <c r="QDS62" i="8"/>
  <c r="QDR62" i="8"/>
  <c r="QDQ62" i="8"/>
  <c r="QDP62" i="8"/>
  <c r="QDO62" i="8"/>
  <c r="QDN62" i="8"/>
  <c r="QDM62" i="8"/>
  <c r="QDL62" i="8"/>
  <c r="QDK62" i="8"/>
  <c r="QDJ62" i="8"/>
  <c r="QDI62" i="8"/>
  <c r="QDH62" i="8"/>
  <c r="QDG62" i="8"/>
  <c r="QDF62" i="8"/>
  <c r="QDE62" i="8"/>
  <c r="QDD62" i="8"/>
  <c r="QDC62" i="8"/>
  <c r="QDB62" i="8"/>
  <c r="QDA62" i="8"/>
  <c r="QCZ62" i="8"/>
  <c r="QCY62" i="8"/>
  <c r="QCX62" i="8"/>
  <c r="QCW62" i="8"/>
  <c r="QCV62" i="8"/>
  <c r="QCU62" i="8"/>
  <c r="QCT62" i="8"/>
  <c r="QCS62" i="8"/>
  <c r="QCR62" i="8"/>
  <c r="QCQ62" i="8"/>
  <c r="QCP62" i="8"/>
  <c r="QCO62" i="8"/>
  <c r="QCN62" i="8"/>
  <c r="QCM62" i="8"/>
  <c r="QCL62" i="8"/>
  <c r="QCK62" i="8"/>
  <c r="QCJ62" i="8"/>
  <c r="QCI62" i="8"/>
  <c r="QCH62" i="8"/>
  <c r="QCG62" i="8"/>
  <c r="QCF62" i="8"/>
  <c r="QCE62" i="8"/>
  <c r="QCD62" i="8"/>
  <c r="QCC62" i="8"/>
  <c r="QCB62" i="8"/>
  <c r="QCA62" i="8"/>
  <c r="QBZ62" i="8"/>
  <c r="QBY62" i="8"/>
  <c r="QBX62" i="8"/>
  <c r="QBW62" i="8"/>
  <c r="QBV62" i="8"/>
  <c r="QBU62" i="8"/>
  <c r="QBT62" i="8"/>
  <c r="QBS62" i="8"/>
  <c r="QBR62" i="8"/>
  <c r="QBQ62" i="8"/>
  <c r="QBP62" i="8"/>
  <c r="QBO62" i="8"/>
  <c r="QBN62" i="8"/>
  <c r="QBM62" i="8"/>
  <c r="QBL62" i="8"/>
  <c r="QBK62" i="8"/>
  <c r="QBJ62" i="8"/>
  <c r="QBI62" i="8"/>
  <c r="QBH62" i="8"/>
  <c r="QBG62" i="8"/>
  <c r="QBF62" i="8"/>
  <c r="QBE62" i="8"/>
  <c r="QBD62" i="8"/>
  <c r="QBC62" i="8"/>
  <c r="QBB62" i="8"/>
  <c r="QBA62" i="8"/>
  <c r="QAZ62" i="8"/>
  <c r="QAY62" i="8"/>
  <c r="QAX62" i="8"/>
  <c r="QAW62" i="8"/>
  <c r="QAV62" i="8"/>
  <c r="QAU62" i="8"/>
  <c r="QAT62" i="8"/>
  <c r="QAS62" i="8"/>
  <c r="QAR62" i="8"/>
  <c r="QAQ62" i="8"/>
  <c r="QAP62" i="8"/>
  <c r="QAO62" i="8"/>
  <c r="QAN62" i="8"/>
  <c r="QAM62" i="8"/>
  <c r="QAL62" i="8"/>
  <c r="QAK62" i="8"/>
  <c r="QAJ62" i="8"/>
  <c r="QAI62" i="8"/>
  <c r="QAH62" i="8"/>
  <c r="QAG62" i="8"/>
  <c r="QAF62" i="8"/>
  <c r="QAE62" i="8"/>
  <c r="QAD62" i="8"/>
  <c r="QAC62" i="8"/>
  <c r="QAB62" i="8"/>
  <c r="QAA62" i="8"/>
  <c r="PZZ62" i="8"/>
  <c r="PZY62" i="8"/>
  <c r="PZX62" i="8"/>
  <c r="PZW62" i="8"/>
  <c r="PZV62" i="8"/>
  <c r="PZU62" i="8"/>
  <c r="PZT62" i="8"/>
  <c r="PZS62" i="8"/>
  <c r="PZR62" i="8"/>
  <c r="PZQ62" i="8"/>
  <c r="PZP62" i="8"/>
  <c r="PZO62" i="8"/>
  <c r="PZN62" i="8"/>
  <c r="PZM62" i="8"/>
  <c r="PZL62" i="8"/>
  <c r="PZK62" i="8"/>
  <c r="PZJ62" i="8"/>
  <c r="PZI62" i="8"/>
  <c r="PZH62" i="8"/>
  <c r="PZG62" i="8"/>
  <c r="PZF62" i="8"/>
  <c r="PZE62" i="8"/>
  <c r="PZD62" i="8"/>
  <c r="PZC62" i="8"/>
  <c r="PZB62" i="8"/>
  <c r="PZA62" i="8"/>
  <c r="PYZ62" i="8"/>
  <c r="PYY62" i="8"/>
  <c r="PYX62" i="8"/>
  <c r="PYW62" i="8"/>
  <c r="PYV62" i="8"/>
  <c r="PYU62" i="8"/>
  <c r="PYT62" i="8"/>
  <c r="PYS62" i="8"/>
  <c r="PYR62" i="8"/>
  <c r="PYQ62" i="8"/>
  <c r="PYP62" i="8"/>
  <c r="PYO62" i="8"/>
  <c r="PYN62" i="8"/>
  <c r="PYM62" i="8"/>
  <c r="PYL62" i="8"/>
  <c r="PYK62" i="8"/>
  <c r="PYJ62" i="8"/>
  <c r="PYI62" i="8"/>
  <c r="PYH62" i="8"/>
  <c r="PYG62" i="8"/>
  <c r="PYF62" i="8"/>
  <c r="PYE62" i="8"/>
  <c r="PYD62" i="8"/>
  <c r="PYC62" i="8"/>
  <c r="PYB62" i="8"/>
  <c r="PYA62" i="8"/>
  <c r="PXZ62" i="8"/>
  <c r="PXY62" i="8"/>
  <c r="PXX62" i="8"/>
  <c r="PXW62" i="8"/>
  <c r="PXV62" i="8"/>
  <c r="PXU62" i="8"/>
  <c r="PXT62" i="8"/>
  <c r="PXS62" i="8"/>
  <c r="PXR62" i="8"/>
  <c r="PXQ62" i="8"/>
  <c r="PXP62" i="8"/>
  <c r="PXO62" i="8"/>
  <c r="PXN62" i="8"/>
  <c r="PXM62" i="8"/>
  <c r="PXL62" i="8"/>
  <c r="PXK62" i="8"/>
  <c r="PXJ62" i="8"/>
  <c r="PXI62" i="8"/>
  <c r="PXH62" i="8"/>
  <c r="PXG62" i="8"/>
  <c r="PXF62" i="8"/>
  <c r="PXE62" i="8"/>
  <c r="PXD62" i="8"/>
  <c r="PXC62" i="8"/>
  <c r="PXB62" i="8"/>
  <c r="PXA62" i="8"/>
  <c r="PWZ62" i="8"/>
  <c r="PWY62" i="8"/>
  <c r="PWX62" i="8"/>
  <c r="PWW62" i="8"/>
  <c r="PWV62" i="8"/>
  <c r="PWU62" i="8"/>
  <c r="PWT62" i="8"/>
  <c r="PWS62" i="8"/>
  <c r="PWR62" i="8"/>
  <c r="PWQ62" i="8"/>
  <c r="PWP62" i="8"/>
  <c r="PWO62" i="8"/>
  <c r="PWN62" i="8"/>
  <c r="PWM62" i="8"/>
  <c r="PWL62" i="8"/>
  <c r="PWK62" i="8"/>
  <c r="PWJ62" i="8"/>
  <c r="PWI62" i="8"/>
  <c r="PWH62" i="8"/>
  <c r="PWG62" i="8"/>
  <c r="PWF62" i="8"/>
  <c r="PWE62" i="8"/>
  <c r="PWD62" i="8"/>
  <c r="PWC62" i="8"/>
  <c r="PWB62" i="8"/>
  <c r="PWA62" i="8"/>
  <c r="PVZ62" i="8"/>
  <c r="PVY62" i="8"/>
  <c r="PVX62" i="8"/>
  <c r="PVW62" i="8"/>
  <c r="PVV62" i="8"/>
  <c r="PVU62" i="8"/>
  <c r="PVT62" i="8"/>
  <c r="PVS62" i="8"/>
  <c r="PVR62" i="8"/>
  <c r="PVQ62" i="8"/>
  <c r="PVP62" i="8"/>
  <c r="PVO62" i="8"/>
  <c r="PVN62" i="8"/>
  <c r="PVM62" i="8"/>
  <c r="PVL62" i="8"/>
  <c r="PVK62" i="8"/>
  <c r="PVJ62" i="8"/>
  <c r="PVI62" i="8"/>
  <c r="PVH62" i="8"/>
  <c r="PVG62" i="8"/>
  <c r="PVF62" i="8"/>
  <c r="PVE62" i="8"/>
  <c r="PVD62" i="8"/>
  <c r="PVC62" i="8"/>
  <c r="PVB62" i="8"/>
  <c r="PVA62" i="8"/>
  <c r="PUZ62" i="8"/>
  <c r="PUY62" i="8"/>
  <c r="PUX62" i="8"/>
  <c r="PUW62" i="8"/>
  <c r="PUV62" i="8"/>
  <c r="PUU62" i="8"/>
  <c r="PUT62" i="8"/>
  <c r="PUS62" i="8"/>
  <c r="PUR62" i="8"/>
  <c r="PUQ62" i="8"/>
  <c r="PUP62" i="8"/>
  <c r="PUO62" i="8"/>
  <c r="PUN62" i="8"/>
  <c r="PUM62" i="8"/>
  <c r="PUL62" i="8"/>
  <c r="PUK62" i="8"/>
  <c r="PUJ62" i="8"/>
  <c r="PUI62" i="8"/>
  <c r="PUH62" i="8"/>
  <c r="PUG62" i="8"/>
  <c r="PUF62" i="8"/>
  <c r="PUE62" i="8"/>
  <c r="PUD62" i="8"/>
  <c r="PUC62" i="8"/>
  <c r="PUB62" i="8"/>
  <c r="PUA62" i="8"/>
  <c r="PTZ62" i="8"/>
  <c r="PTY62" i="8"/>
  <c r="PTX62" i="8"/>
  <c r="PTW62" i="8"/>
  <c r="PTV62" i="8"/>
  <c r="PTU62" i="8"/>
  <c r="PTT62" i="8"/>
  <c r="PTS62" i="8"/>
  <c r="PTR62" i="8"/>
  <c r="PTQ62" i="8"/>
  <c r="PTP62" i="8"/>
  <c r="PTO62" i="8"/>
  <c r="PTN62" i="8"/>
  <c r="PTM62" i="8"/>
  <c r="PTL62" i="8"/>
  <c r="PTK62" i="8"/>
  <c r="PTJ62" i="8"/>
  <c r="PTI62" i="8"/>
  <c r="PTH62" i="8"/>
  <c r="PTG62" i="8"/>
  <c r="PTF62" i="8"/>
  <c r="PTE62" i="8"/>
  <c r="PTD62" i="8"/>
  <c r="PTC62" i="8"/>
  <c r="PTB62" i="8"/>
  <c r="PTA62" i="8"/>
  <c r="PSZ62" i="8"/>
  <c r="PSY62" i="8"/>
  <c r="PSX62" i="8"/>
  <c r="PSW62" i="8"/>
  <c r="PSV62" i="8"/>
  <c r="PSU62" i="8"/>
  <c r="PST62" i="8"/>
  <c r="PSS62" i="8"/>
  <c r="PSR62" i="8"/>
  <c r="PSQ62" i="8"/>
  <c r="PSP62" i="8"/>
  <c r="PSO62" i="8"/>
  <c r="PSN62" i="8"/>
  <c r="PSM62" i="8"/>
  <c r="PSL62" i="8"/>
  <c r="PSK62" i="8"/>
  <c r="PSJ62" i="8"/>
  <c r="PSI62" i="8"/>
  <c r="PSH62" i="8"/>
  <c r="PSG62" i="8"/>
  <c r="PSF62" i="8"/>
  <c r="PSE62" i="8"/>
  <c r="PSD62" i="8"/>
  <c r="PSC62" i="8"/>
  <c r="PSB62" i="8"/>
  <c r="PSA62" i="8"/>
  <c r="PRZ62" i="8"/>
  <c r="PRY62" i="8"/>
  <c r="PRX62" i="8"/>
  <c r="PRW62" i="8"/>
  <c r="PRV62" i="8"/>
  <c r="PRU62" i="8"/>
  <c r="PRT62" i="8"/>
  <c r="PRS62" i="8"/>
  <c r="PRR62" i="8"/>
  <c r="PRQ62" i="8"/>
  <c r="PRP62" i="8"/>
  <c r="PRO62" i="8"/>
  <c r="PRN62" i="8"/>
  <c r="PRM62" i="8"/>
  <c r="PRL62" i="8"/>
  <c r="PRK62" i="8"/>
  <c r="PRJ62" i="8"/>
  <c r="PRI62" i="8"/>
  <c r="PRH62" i="8"/>
  <c r="PRG62" i="8"/>
  <c r="PRF62" i="8"/>
  <c r="PRE62" i="8"/>
  <c r="PRD62" i="8"/>
  <c r="PRC62" i="8"/>
  <c r="PRB62" i="8"/>
  <c r="PRA62" i="8"/>
  <c r="PQZ62" i="8"/>
  <c r="PQY62" i="8"/>
  <c r="PQX62" i="8"/>
  <c r="PQW62" i="8"/>
  <c r="PQV62" i="8"/>
  <c r="PQU62" i="8"/>
  <c r="PQT62" i="8"/>
  <c r="PQS62" i="8"/>
  <c r="PQR62" i="8"/>
  <c r="PQQ62" i="8"/>
  <c r="PQP62" i="8"/>
  <c r="PQO62" i="8"/>
  <c r="PQN62" i="8"/>
  <c r="PQM62" i="8"/>
  <c r="PQL62" i="8"/>
  <c r="PQK62" i="8"/>
  <c r="PQJ62" i="8"/>
  <c r="PQI62" i="8"/>
  <c r="PQH62" i="8"/>
  <c r="PQG62" i="8"/>
  <c r="PQF62" i="8"/>
  <c r="PQE62" i="8"/>
  <c r="PQD62" i="8"/>
  <c r="PQC62" i="8"/>
  <c r="PQB62" i="8"/>
  <c r="PQA62" i="8"/>
  <c r="PPZ62" i="8"/>
  <c r="PPY62" i="8"/>
  <c r="PPX62" i="8"/>
  <c r="PPW62" i="8"/>
  <c r="PPV62" i="8"/>
  <c r="PPU62" i="8"/>
  <c r="PPT62" i="8"/>
  <c r="PPS62" i="8"/>
  <c r="PPR62" i="8"/>
  <c r="PPQ62" i="8"/>
  <c r="PPP62" i="8"/>
  <c r="PPO62" i="8"/>
  <c r="PPN62" i="8"/>
  <c r="PPM62" i="8"/>
  <c r="PPL62" i="8"/>
  <c r="PPK62" i="8"/>
  <c r="PPJ62" i="8"/>
  <c r="PPI62" i="8"/>
  <c r="PPH62" i="8"/>
  <c r="PPG62" i="8"/>
  <c r="PPF62" i="8"/>
  <c r="PPE62" i="8"/>
  <c r="PPD62" i="8"/>
  <c r="PPC62" i="8"/>
  <c r="PPB62" i="8"/>
  <c r="PPA62" i="8"/>
  <c r="POZ62" i="8"/>
  <c r="POY62" i="8"/>
  <c r="POX62" i="8"/>
  <c r="POW62" i="8"/>
  <c r="POV62" i="8"/>
  <c r="POU62" i="8"/>
  <c r="POT62" i="8"/>
  <c r="POS62" i="8"/>
  <c r="POR62" i="8"/>
  <c r="POQ62" i="8"/>
  <c r="POP62" i="8"/>
  <c r="POO62" i="8"/>
  <c r="PON62" i="8"/>
  <c r="POM62" i="8"/>
  <c r="POL62" i="8"/>
  <c r="POK62" i="8"/>
  <c r="POJ62" i="8"/>
  <c r="POI62" i="8"/>
  <c r="POH62" i="8"/>
  <c r="POG62" i="8"/>
  <c r="POF62" i="8"/>
  <c r="POE62" i="8"/>
  <c r="POD62" i="8"/>
  <c r="POC62" i="8"/>
  <c r="POB62" i="8"/>
  <c r="POA62" i="8"/>
  <c r="PNZ62" i="8"/>
  <c r="PNY62" i="8"/>
  <c r="PNX62" i="8"/>
  <c r="PNW62" i="8"/>
  <c r="PNV62" i="8"/>
  <c r="PNU62" i="8"/>
  <c r="PNT62" i="8"/>
  <c r="PNS62" i="8"/>
  <c r="PNR62" i="8"/>
  <c r="PNQ62" i="8"/>
  <c r="PNP62" i="8"/>
  <c r="PNO62" i="8"/>
  <c r="PNN62" i="8"/>
  <c r="PNM62" i="8"/>
  <c r="PNL62" i="8"/>
  <c r="PNK62" i="8"/>
  <c r="PNJ62" i="8"/>
  <c r="PNI62" i="8"/>
  <c r="PNH62" i="8"/>
  <c r="PNG62" i="8"/>
  <c r="PNF62" i="8"/>
  <c r="PNE62" i="8"/>
  <c r="PND62" i="8"/>
  <c r="PNC62" i="8"/>
  <c r="PNB62" i="8"/>
  <c r="PNA62" i="8"/>
  <c r="PMZ62" i="8"/>
  <c r="PMY62" i="8"/>
  <c r="PMX62" i="8"/>
  <c r="PMW62" i="8"/>
  <c r="PMV62" i="8"/>
  <c r="PMU62" i="8"/>
  <c r="PMT62" i="8"/>
  <c r="PMS62" i="8"/>
  <c r="PMR62" i="8"/>
  <c r="PMQ62" i="8"/>
  <c r="PMP62" i="8"/>
  <c r="PMO62" i="8"/>
  <c r="PMN62" i="8"/>
  <c r="PMM62" i="8"/>
  <c r="PML62" i="8"/>
  <c r="PMK62" i="8"/>
  <c r="PMJ62" i="8"/>
  <c r="PMI62" i="8"/>
  <c r="PMH62" i="8"/>
  <c r="PMG62" i="8"/>
  <c r="PMF62" i="8"/>
  <c r="PME62" i="8"/>
  <c r="PMD62" i="8"/>
  <c r="PMC62" i="8"/>
  <c r="PMB62" i="8"/>
  <c r="PMA62" i="8"/>
  <c r="PLZ62" i="8"/>
  <c r="PLY62" i="8"/>
  <c r="PLX62" i="8"/>
  <c r="PLW62" i="8"/>
  <c r="PLV62" i="8"/>
  <c r="PLU62" i="8"/>
  <c r="PLT62" i="8"/>
  <c r="PLS62" i="8"/>
  <c r="PLR62" i="8"/>
  <c r="PLQ62" i="8"/>
  <c r="PLP62" i="8"/>
  <c r="PLO62" i="8"/>
  <c r="PLN62" i="8"/>
  <c r="PLM62" i="8"/>
  <c r="PLL62" i="8"/>
  <c r="PLK62" i="8"/>
  <c r="PLJ62" i="8"/>
  <c r="PLI62" i="8"/>
  <c r="PLH62" i="8"/>
  <c r="PLG62" i="8"/>
  <c r="PLF62" i="8"/>
  <c r="PLE62" i="8"/>
  <c r="PLD62" i="8"/>
  <c r="PLC62" i="8"/>
  <c r="PLB62" i="8"/>
  <c r="PLA62" i="8"/>
  <c r="PKZ62" i="8"/>
  <c r="PKY62" i="8"/>
  <c r="PKX62" i="8"/>
  <c r="PKW62" i="8"/>
  <c r="PKV62" i="8"/>
  <c r="PKU62" i="8"/>
  <c r="PKT62" i="8"/>
  <c r="PKS62" i="8"/>
  <c r="PKR62" i="8"/>
  <c r="PKQ62" i="8"/>
  <c r="PKP62" i="8"/>
  <c r="PKO62" i="8"/>
  <c r="PKN62" i="8"/>
  <c r="PKM62" i="8"/>
  <c r="PKL62" i="8"/>
  <c r="PKK62" i="8"/>
  <c r="PKJ62" i="8"/>
  <c r="PKI62" i="8"/>
  <c r="PKH62" i="8"/>
  <c r="PKG62" i="8"/>
  <c r="PKF62" i="8"/>
  <c r="PKE62" i="8"/>
  <c r="PKD62" i="8"/>
  <c r="PKC62" i="8"/>
  <c r="PKB62" i="8"/>
  <c r="PKA62" i="8"/>
  <c r="PJZ62" i="8"/>
  <c r="PJY62" i="8"/>
  <c r="PJX62" i="8"/>
  <c r="PJW62" i="8"/>
  <c r="PJV62" i="8"/>
  <c r="PJU62" i="8"/>
  <c r="PJT62" i="8"/>
  <c r="PJS62" i="8"/>
  <c r="PJR62" i="8"/>
  <c r="PJQ62" i="8"/>
  <c r="PJP62" i="8"/>
  <c r="PJO62" i="8"/>
  <c r="PJN62" i="8"/>
  <c r="PJM62" i="8"/>
  <c r="PJL62" i="8"/>
  <c r="PJK62" i="8"/>
  <c r="PJJ62" i="8"/>
  <c r="PJI62" i="8"/>
  <c r="PJH62" i="8"/>
  <c r="PJG62" i="8"/>
  <c r="PJF62" i="8"/>
  <c r="PJE62" i="8"/>
  <c r="PJD62" i="8"/>
  <c r="PJC62" i="8"/>
  <c r="PJB62" i="8"/>
  <c r="PJA62" i="8"/>
  <c r="PIZ62" i="8"/>
  <c r="PIY62" i="8"/>
  <c r="PIX62" i="8"/>
  <c r="PIW62" i="8"/>
  <c r="PIV62" i="8"/>
  <c r="PIU62" i="8"/>
  <c r="PIT62" i="8"/>
  <c r="PIS62" i="8"/>
  <c r="PIR62" i="8"/>
  <c r="PIQ62" i="8"/>
  <c r="PIP62" i="8"/>
  <c r="PIO62" i="8"/>
  <c r="PIN62" i="8"/>
  <c r="PIM62" i="8"/>
  <c r="PIL62" i="8"/>
  <c r="PIK62" i="8"/>
  <c r="PIJ62" i="8"/>
  <c r="PII62" i="8"/>
  <c r="PIH62" i="8"/>
  <c r="PIG62" i="8"/>
  <c r="PIF62" i="8"/>
  <c r="PIE62" i="8"/>
  <c r="PID62" i="8"/>
  <c r="PIC62" i="8"/>
  <c r="PIB62" i="8"/>
  <c r="PIA62" i="8"/>
  <c r="PHZ62" i="8"/>
  <c r="PHY62" i="8"/>
  <c r="PHX62" i="8"/>
  <c r="PHW62" i="8"/>
  <c r="PHV62" i="8"/>
  <c r="PHU62" i="8"/>
  <c r="PHT62" i="8"/>
  <c r="PHS62" i="8"/>
  <c r="PHR62" i="8"/>
  <c r="PHQ62" i="8"/>
  <c r="PHP62" i="8"/>
  <c r="PHO62" i="8"/>
  <c r="PHN62" i="8"/>
  <c r="PHM62" i="8"/>
  <c r="PHL62" i="8"/>
  <c r="PHK62" i="8"/>
  <c r="PHJ62" i="8"/>
  <c r="PHI62" i="8"/>
  <c r="PHH62" i="8"/>
  <c r="PHG62" i="8"/>
  <c r="PHF62" i="8"/>
  <c r="PHE62" i="8"/>
  <c r="PHD62" i="8"/>
  <c r="PHC62" i="8"/>
  <c r="PHB62" i="8"/>
  <c r="PHA62" i="8"/>
  <c r="PGZ62" i="8"/>
  <c r="PGY62" i="8"/>
  <c r="PGX62" i="8"/>
  <c r="PGW62" i="8"/>
  <c r="PGV62" i="8"/>
  <c r="PGU62" i="8"/>
  <c r="PGT62" i="8"/>
  <c r="PGS62" i="8"/>
  <c r="PGR62" i="8"/>
  <c r="PGQ62" i="8"/>
  <c r="PGP62" i="8"/>
  <c r="PGO62" i="8"/>
  <c r="PGN62" i="8"/>
  <c r="PGM62" i="8"/>
  <c r="PGL62" i="8"/>
  <c r="PGK62" i="8"/>
  <c r="PGJ62" i="8"/>
  <c r="PGI62" i="8"/>
  <c r="PGH62" i="8"/>
  <c r="PGG62" i="8"/>
  <c r="PGF62" i="8"/>
  <c r="PGE62" i="8"/>
  <c r="PGD62" i="8"/>
  <c r="PGC62" i="8"/>
  <c r="PGB62" i="8"/>
  <c r="PGA62" i="8"/>
  <c r="PFZ62" i="8"/>
  <c r="PFY62" i="8"/>
  <c r="PFX62" i="8"/>
  <c r="PFW62" i="8"/>
  <c r="PFV62" i="8"/>
  <c r="PFU62" i="8"/>
  <c r="PFT62" i="8"/>
  <c r="PFS62" i="8"/>
  <c r="PFR62" i="8"/>
  <c r="PFQ62" i="8"/>
  <c r="PFP62" i="8"/>
  <c r="PFO62" i="8"/>
  <c r="PFN62" i="8"/>
  <c r="PFM62" i="8"/>
  <c r="PFL62" i="8"/>
  <c r="PFK62" i="8"/>
  <c r="PFJ62" i="8"/>
  <c r="PFI62" i="8"/>
  <c r="PFH62" i="8"/>
  <c r="PFG62" i="8"/>
  <c r="PFF62" i="8"/>
  <c r="PFE62" i="8"/>
  <c r="PFD62" i="8"/>
  <c r="PFC62" i="8"/>
  <c r="PFB62" i="8"/>
  <c r="PFA62" i="8"/>
  <c r="PEZ62" i="8"/>
  <c r="PEY62" i="8"/>
  <c r="PEX62" i="8"/>
  <c r="PEW62" i="8"/>
  <c r="PEV62" i="8"/>
  <c r="PEU62" i="8"/>
  <c r="PET62" i="8"/>
  <c r="PES62" i="8"/>
  <c r="PER62" i="8"/>
  <c r="PEQ62" i="8"/>
  <c r="PEP62" i="8"/>
  <c r="PEO62" i="8"/>
  <c r="PEN62" i="8"/>
  <c r="PEM62" i="8"/>
  <c r="PEL62" i="8"/>
  <c r="PEK62" i="8"/>
  <c r="PEJ62" i="8"/>
  <c r="PEI62" i="8"/>
  <c r="PEH62" i="8"/>
  <c r="PEG62" i="8"/>
  <c r="PEF62" i="8"/>
  <c r="PEE62" i="8"/>
  <c r="PED62" i="8"/>
  <c r="PEC62" i="8"/>
  <c r="PEB62" i="8"/>
  <c r="PEA62" i="8"/>
  <c r="PDZ62" i="8"/>
  <c r="PDY62" i="8"/>
  <c r="PDX62" i="8"/>
  <c r="PDW62" i="8"/>
  <c r="PDV62" i="8"/>
  <c r="PDU62" i="8"/>
  <c r="PDT62" i="8"/>
  <c r="PDS62" i="8"/>
  <c r="PDR62" i="8"/>
  <c r="PDQ62" i="8"/>
  <c r="PDP62" i="8"/>
  <c r="PDO62" i="8"/>
  <c r="PDN62" i="8"/>
  <c r="PDM62" i="8"/>
  <c r="PDL62" i="8"/>
  <c r="PDK62" i="8"/>
  <c r="PDJ62" i="8"/>
  <c r="PDI62" i="8"/>
  <c r="PDH62" i="8"/>
  <c r="PDG62" i="8"/>
  <c r="PDF62" i="8"/>
  <c r="PDE62" i="8"/>
  <c r="PDD62" i="8"/>
  <c r="PDC62" i="8"/>
  <c r="PDB62" i="8"/>
  <c r="PDA62" i="8"/>
  <c r="PCZ62" i="8"/>
  <c r="PCY62" i="8"/>
  <c r="PCX62" i="8"/>
  <c r="PCW62" i="8"/>
  <c r="PCV62" i="8"/>
  <c r="PCU62" i="8"/>
  <c r="PCT62" i="8"/>
  <c r="PCS62" i="8"/>
  <c r="PCR62" i="8"/>
  <c r="PCQ62" i="8"/>
  <c r="PCP62" i="8"/>
  <c r="PCO62" i="8"/>
  <c r="PCN62" i="8"/>
  <c r="PCM62" i="8"/>
  <c r="PCL62" i="8"/>
  <c r="PCK62" i="8"/>
  <c r="PCJ62" i="8"/>
  <c r="PCI62" i="8"/>
  <c r="PCH62" i="8"/>
  <c r="PCG62" i="8"/>
  <c r="PCF62" i="8"/>
  <c r="PCE62" i="8"/>
  <c r="PCD62" i="8"/>
  <c r="PCC62" i="8"/>
  <c r="PCB62" i="8"/>
  <c r="PCA62" i="8"/>
  <c r="PBZ62" i="8"/>
  <c r="PBY62" i="8"/>
  <c r="PBX62" i="8"/>
  <c r="PBW62" i="8"/>
  <c r="PBV62" i="8"/>
  <c r="PBU62" i="8"/>
  <c r="PBT62" i="8"/>
  <c r="PBS62" i="8"/>
  <c r="PBR62" i="8"/>
  <c r="PBQ62" i="8"/>
  <c r="PBP62" i="8"/>
  <c r="PBO62" i="8"/>
  <c r="PBN62" i="8"/>
  <c r="PBM62" i="8"/>
  <c r="PBL62" i="8"/>
  <c r="PBK62" i="8"/>
  <c r="PBJ62" i="8"/>
  <c r="PBI62" i="8"/>
  <c r="PBH62" i="8"/>
  <c r="PBG62" i="8"/>
  <c r="PBF62" i="8"/>
  <c r="PBE62" i="8"/>
  <c r="PBD62" i="8"/>
  <c r="PBC62" i="8"/>
  <c r="PBB62" i="8"/>
  <c r="PBA62" i="8"/>
  <c r="PAZ62" i="8"/>
  <c r="PAY62" i="8"/>
  <c r="PAX62" i="8"/>
  <c r="PAW62" i="8"/>
  <c r="PAV62" i="8"/>
  <c r="PAU62" i="8"/>
  <c r="PAT62" i="8"/>
  <c r="PAS62" i="8"/>
  <c r="PAR62" i="8"/>
  <c r="PAQ62" i="8"/>
  <c r="PAP62" i="8"/>
  <c r="PAO62" i="8"/>
  <c r="PAN62" i="8"/>
  <c r="PAM62" i="8"/>
  <c r="PAL62" i="8"/>
  <c r="PAK62" i="8"/>
  <c r="PAJ62" i="8"/>
  <c r="PAI62" i="8"/>
  <c r="PAH62" i="8"/>
  <c r="PAG62" i="8"/>
  <c r="PAF62" i="8"/>
  <c r="PAE62" i="8"/>
  <c r="PAD62" i="8"/>
  <c r="PAC62" i="8"/>
  <c r="PAB62" i="8"/>
  <c r="PAA62" i="8"/>
  <c r="OZZ62" i="8"/>
  <c r="OZY62" i="8"/>
  <c r="OZX62" i="8"/>
  <c r="OZW62" i="8"/>
  <c r="OZV62" i="8"/>
  <c r="OZU62" i="8"/>
  <c r="OZT62" i="8"/>
  <c r="OZS62" i="8"/>
  <c r="OZR62" i="8"/>
  <c r="OZQ62" i="8"/>
  <c r="OZP62" i="8"/>
  <c r="OZO62" i="8"/>
  <c r="OZN62" i="8"/>
  <c r="OZM62" i="8"/>
  <c r="OZL62" i="8"/>
  <c r="OZK62" i="8"/>
  <c r="OZJ62" i="8"/>
  <c r="OZI62" i="8"/>
  <c r="OZH62" i="8"/>
  <c r="OZG62" i="8"/>
  <c r="OZF62" i="8"/>
  <c r="OZE62" i="8"/>
  <c r="OZD62" i="8"/>
  <c r="OZC62" i="8"/>
  <c r="OZB62" i="8"/>
  <c r="OZA62" i="8"/>
  <c r="OYZ62" i="8"/>
  <c r="OYY62" i="8"/>
  <c r="OYX62" i="8"/>
  <c r="OYW62" i="8"/>
  <c r="OYV62" i="8"/>
  <c r="OYU62" i="8"/>
  <c r="OYT62" i="8"/>
  <c r="OYS62" i="8"/>
  <c r="OYR62" i="8"/>
  <c r="OYQ62" i="8"/>
  <c r="OYP62" i="8"/>
  <c r="OYO62" i="8"/>
  <c r="OYN62" i="8"/>
  <c r="OYM62" i="8"/>
  <c r="OYL62" i="8"/>
  <c r="OYK62" i="8"/>
  <c r="OYJ62" i="8"/>
  <c r="OYI62" i="8"/>
  <c r="OYH62" i="8"/>
  <c r="OYG62" i="8"/>
  <c r="OYF62" i="8"/>
  <c r="OYE62" i="8"/>
  <c r="OYD62" i="8"/>
  <c r="OYC62" i="8"/>
  <c r="OYB62" i="8"/>
  <c r="OYA62" i="8"/>
  <c r="OXZ62" i="8"/>
  <c r="OXY62" i="8"/>
  <c r="OXX62" i="8"/>
  <c r="OXW62" i="8"/>
  <c r="OXV62" i="8"/>
  <c r="OXU62" i="8"/>
  <c r="OXT62" i="8"/>
  <c r="OXS62" i="8"/>
  <c r="OXR62" i="8"/>
  <c r="OXQ62" i="8"/>
  <c r="OXP62" i="8"/>
  <c r="OXO62" i="8"/>
  <c r="OXN62" i="8"/>
  <c r="OXM62" i="8"/>
  <c r="OXL62" i="8"/>
  <c r="OXK62" i="8"/>
  <c r="OXJ62" i="8"/>
  <c r="OXI62" i="8"/>
  <c r="OXH62" i="8"/>
  <c r="OXG62" i="8"/>
  <c r="OXF62" i="8"/>
  <c r="OXE62" i="8"/>
  <c r="OXD62" i="8"/>
  <c r="OXC62" i="8"/>
  <c r="OXB62" i="8"/>
  <c r="OXA62" i="8"/>
  <c r="OWZ62" i="8"/>
  <c r="OWY62" i="8"/>
  <c r="OWX62" i="8"/>
  <c r="OWW62" i="8"/>
  <c r="OWV62" i="8"/>
  <c r="OWU62" i="8"/>
  <c r="OWT62" i="8"/>
  <c r="OWS62" i="8"/>
  <c r="OWR62" i="8"/>
  <c r="OWQ62" i="8"/>
  <c r="OWP62" i="8"/>
  <c r="OWO62" i="8"/>
  <c r="OWN62" i="8"/>
  <c r="OWM62" i="8"/>
  <c r="OWL62" i="8"/>
  <c r="OWK62" i="8"/>
  <c r="OWJ62" i="8"/>
  <c r="OWI62" i="8"/>
  <c r="OWH62" i="8"/>
  <c r="OWG62" i="8"/>
  <c r="OWF62" i="8"/>
  <c r="OWE62" i="8"/>
  <c r="OWD62" i="8"/>
  <c r="OWC62" i="8"/>
  <c r="OWB62" i="8"/>
  <c r="OWA62" i="8"/>
  <c r="OVZ62" i="8"/>
  <c r="OVY62" i="8"/>
  <c r="OVX62" i="8"/>
  <c r="OVW62" i="8"/>
  <c r="OVV62" i="8"/>
  <c r="OVU62" i="8"/>
  <c r="OVT62" i="8"/>
  <c r="OVS62" i="8"/>
  <c r="OVR62" i="8"/>
  <c r="OVQ62" i="8"/>
  <c r="OVP62" i="8"/>
  <c r="OVO62" i="8"/>
  <c r="OVN62" i="8"/>
  <c r="OVM62" i="8"/>
  <c r="OVL62" i="8"/>
  <c r="OVK62" i="8"/>
  <c r="OVJ62" i="8"/>
  <c r="OVI62" i="8"/>
  <c r="OVH62" i="8"/>
  <c r="OVG62" i="8"/>
  <c r="OVF62" i="8"/>
  <c r="OVE62" i="8"/>
  <c r="OVD62" i="8"/>
  <c r="OVC62" i="8"/>
  <c r="OVB62" i="8"/>
  <c r="OVA62" i="8"/>
  <c r="OUZ62" i="8"/>
  <c r="OUY62" i="8"/>
  <c r="OUX62" i="8"/>
  <c r="OUW62" i="8"/>
  <c r="OUV62" i="8"/>
  <c r="OUU62" i="8"/>
  <c r="OUT62" i="8"/>
  <c r="OUS62" i="8"/>
  <c r="OUR62" i="8"/>
  <c r="OUQ62" i="8"/>
  <c r="OUP62" i="8"/>
  <c r="OUO62" i="8"/>
  <c r="OUN62" i="8"/>
  <c r="OUM62" i="8"/>
  <c r="OUL62" i="8"/>
  <c r="OUK62" i="8"/>
  <c r="OUJ62" i="8"/>
  <c r="OUI62" i="8"/>
  <c r="OUH62" i="8"/>
  <c r="OUG62" i="8"/>
  <c r="OUF62" i="8"/>
  <c r="OUE62" i="8"/>
  <c r="OUD62" i="8"/>
  <c r="OUC62" i="8"/>
  <c r="OUB62" i="8"/>
  <c r="OUA62" i="8"/>
  <c r="OTZ62" i="8"/>
  <c r="OTY62" i="8"/>
  <c r="OTX62" i="8"/>
  <c r="OTW62" i="8"/>
  <c r="OTV62" i="8"/>
  <c r="OTU62" i="8"/>
  <c r="OTT62" i="8"/>
  <c r="OTS62" i="8"/>
  <c r="OTR62" i="8"/>
  <c r="OTQ62" i="8"/>
  <c r="OTP62" i="8"/>
  <c r="OTO62" i="8"/>
  <c r="OTN62" i="8"/>
  <c r="OTM62" i="8"/>
  <c r="OTL62" i="8"/>
  <c r="OTK62" i="8"/>
  <c r="OTJ62" i="8"/>
  <c r="OTI62" i="8"/>
  <c r="OTH62" i="8"/>
  <c r="OTG62" i="8"/>
  <c r="OTF62" i="8"/>
  <c r="OTE62" i="8"/>
  <c r="OTD62" i="8"/>
  <c r="OTC62" i="8"/>
  <c r="OTB62" i="8"/>
  <c r="OTA62" i="8"/>
  <c r="OSZ62" i="8"/>
  <c r="OSY62" i="8"/>
  <c r="OSX62" i="8"/>
  <c r="OSW62" i="8"/>
  <c r="OSV62" i="8"/>
  <c r="OSU62" i="8"/>
  <c r="OST62" i="8"/>
  <c r="OSS62" i="8"/>
  <c r="OSR62" i="8"/>
  <c r="OSQ62" i="8"/>
  <c r="OSP62" i="8"/>
  <c r="OSO62" i="8"/>
  <c r="OSN62" i="8"/>
  <c r="OSM62" i="8"/>
  <c r="OSL62" i="8"/>
  <c r="OSK62" i="8"/>
  <c r="OSJ62" i="8"/>
  <c r="OSI62" i="8"/>
  <c r="OSH62" i="8"/>
  <c r="OSG62" i="8"/>
  <c r="OSF62" i="8"/>
  <c r="OSE62" i="8"/>
  <c r="OSD62" i="8"/>
  <c r="OSC62" i="8"/>
  <c r="OSB62" i="8"/>
  <c r="OSA62" i="8"/>
  <c r="ORZ62" i="8"/>
  <c r="ORY62" i="8"/>
  <c r="ORX62" i="8"/>
  <c r="ORW62" i="8"/>
  <c r="ORV62" i="8"/>
  <c r="ORU62" i="8"/>
  <c r="ORT62" i="8"/>
  <c r="ORS62" i="8"/>
  <c r="ORR62" i="8"/>
  <c r="ORQ62" i="8"/>
  <c r="ORP62" i="8"/>
  <c r="ORO62" i="8"/>
  <c r="ORN62" i="8"/>
  <c r="ORM62" i="8"/>
  <c r="ORL62" i="8"/>
  <c r="ORK62" i="8"/>
  <c r="ORJ62" i="8"/>
  <c r="ORI62" i="8"/>
  <c r="ORH62" i="8"/>
  <c r="ORG62" i="8"/>
  <c r="ORF62" i="8"/>
  <c r="ORE62" i="8"/>
  <c r="ORD62" i="8"/>
  <c r="ORC62" i="8"/>
  <c r="ORB62" i="8"/>
  <c r="ORA62" i="8"/>
  <c r="OQZ62" i="8"/>
  <c r="OQY62" i="8"/>
  <c r="OQX62" i="8"/>
  <c r="OQW62" i="8"/>
  <c r="OQV62" i="8"/>
  <c r="OQU62" i="8"/>
  <c r="OQT62" i="8"/>
  <c r="OQS62" i="8"/>
  <c r="OQR62" i="8"/>
  <c r="OQQ62" i="8"/>
  <c r="OQP62" i="8"/>
  <c r="OQO62" i="8"/>
  <c r="OQN62" i="8"/>
  <c r="OQM62" i="8"/>
  <c r="OQL62" i="8"/>
  <c r="OQK62" i="8"/>
  <c r="OQJ62" i="8"/>
  <c r="OQI62" i="8"/>
  <c r="OQH62" i="8"/>
  <c r="OQG62" i="8"/>
  <c r="OQF62" i="8"/>
  <c r="OQE62" i="8"/>
  <c r="OQD62" i="8"/>
  <c r="OQC62" i="8"/>
  <c r="OQB62" i="8"/>
  <c r="OQA62" i="8"/>
  <c r="OPZ62" i="8"/>
  <c r="OPY62" i="8"/>
  <c r="OPX62" i="8"/>
  <c r="OPW62" i="8"/>
  <c r="OPV62" i="8"/>
  <c r="OPU62" i="8"/>
  <c r="OPT62" i="8"/>
  <c r="OPS62" i="8"/>
  <c r="OPR62" i="8"/>
  <c r="OPQ62" i="8"/>
  <c r="OPP62" i="8"/>
  <c r="OPO62" i="8"/>
  <c r="OPN62" i="8"/>
  <c r="OPM62" i="8"/>
  <c r="OPL62" i="8"/>
  <c r="OPK62" i="8"/>
  <c r="OPJ62" i="8"/>
  <c r="OPI62" i="8"/>
  <c r="OPH62" i="8"/>
  <c r="OPG62" i="8"/>
  <c r="OPF62" i="8"/>
  <c r="OPE62" i="8"/>
  <c r="OPD62" i="8"/>
  <c r="OPC62" i="8"/>
  <c r="OPB62" i="8"/>
  <c r="OPA62" i="8"/>
  <c r="OOZ62" i="8"/>
  <c r="OOY62" i="8"/>
  <c r="OOX62" i="8"/>
  <c r="OOW62" i="8"/>
  <c r="OOV62" i="8"/>
  <c r="OOU62" i="8"/>
  <c r="OOT62" i="8"/>
  <c r="OOS62" i="8"/>
  <c r="OOR62" i="8"/>
  <c r="OOQ62" i="8"/>
  <c r="OOP62" i="8"/>
  <c r="OOO62" i="8"/>
  <c r="OON62" i="8"/>
  <c r="OOM62" i="8"/>
  <c r="OOL62" i="8"/>
  <c r="OOK62" i="8"/>
  <c r="OOJ62" i="8"/>
  <c r="OOI62" i="8"/>
  <c r="OOH62" i="8"/>
  <c r="OOG62" i="8"/>
  <c r="OOF62" i="8"/>
  <c r="OOE62" i="8"/>
  <c r="OOD62" i="8"/>
  <c r="OOC62" i="8"/>
  <c r="OOB62" i="8"/>
  <c r="OOA62" i="8"/>
  <c r="ONZ62" i="8"/>
  <c r="ONY62" i="8"/>
  <c r="ONX62" i="8"/>
  <c r="ONW62" i="8"/>
  <c r="ONV62" i="8"/>
  <c r="ONU62" i="8"/>
  <c r="ONT62" i="8"/>
  <c r="ONS62" i="8"/>
  <c r="ONR62" i="8"/>
  <c r="ONQ62" i="8"/>
  <c r="ONP62" i="8"/>
  <c r="ONO62" i="8"/>
  <c r="ONN62" i="8"/>
  <c r="ONM62" i="8"/>
  <c r="ONL62" i="8"/>
  <c r="ONK62" i="8"/>
  <c r="ONJ62" i="8"/>
  <c r="ONI62" i="8"/>
  <c r="ONH62" i="8"/>
  <c r="ONG62" i="8"/>
  <c r="ONF62" i="8"/>
  <c r="ONE62" i="8"/>
  <c r="OND62" i="8"/>
  <c r="ONC62" i="8"/>
  <c r="ONB62" i="8"/>
  <c r="ONA62" i="8"/>
  <c r="OMZ62" i="8"/>
  <c r="OMY62" i="8"/>
  <c r="OMX62" i="8"/>
  <c r="OMW62" i="8"/>
  <c r="OMV62" i="8"/>
  <c r="OMU62" i="8"/>
  <c r="OMT62" i="8"/>
  <c r="OMS62" i="8"/>
  <c r="OMR62" i="8"/>
  <c r="OMQ62" i="8"/>
  <c r="OMP62" i="8"/>
  <c r="OMO62" i="8"/>
  <c r="OMN62" i="8"/>
  <c r="OMM62" i="8"/>
  <c r="OML62" i="8"/>
  <c r="OMK62" i="8"/>
  <c r="OMJ62" i="8"/>
  <c r="OMI62" i="8"/>
  <c r="OMH62" i="8"/>
  <c r="OMG62" i="8"/>
  <c r="OMF62" i="8"/>
  <c r="OME62" i="8"/>
  <c r="OMD62" i="8"/>
  <c r="OMC62" i="8"/>
  <c r="OMB62" i="8"/>
  <c r="OMA62" i="8"/>
  <c r="OLZ62" i="8"/>
  <c r="OLY62" i="8"/>
  <c r="OLX62" i="8"/>
  <c r="OLW62" i="8"/>
  <c r="OLV62" i="8"/>
  <c r="OLU62" i="8"/>
  <c r="OLT62" i="8"/>
  <c r="OLS62" i="8"/>
  <c r="OLR62" i="8"/>
  <c r="OLQ62" i="8"/>
  <c r="OLP62" i="8"/>
  <c r="OLO62" i="8"/>
  <c r="OLN62" i="8"/>
  <c r="OLM62" i="8"/>
  <c r="OLL62" i="8"/>
  <c r="OLK62" i="8"/>
  <c r="OLJ62" i="8"/>
  <c r="OLI62" i="8"/>
  <c r="OLH62" i="8"/>
  <c r="OLG62" i="8"/>
  <c r="OLF62" i="8"/>
  <c r="OLE62" i="8"/>
  <c r="OLD62" i="8"/>
  <c r="OLC62" i="8"/>
  <c r="OLB62" i="8"/>
  <c r="OLA62" i="8"/>
  <c r="OKZ62" i="8"/>
  <c r="OKY62" i="8"/>
  <c r="OKX62" i="8"/>
  <c r="OKW62" i="8"/>
  <c r="OKV62" i="8"/>
  <c r="OKU62" i="8"/>
  <c r="OKT62" i="8"/>
  <c r="OKS62" i="8"/>
  <c r="OKR62" i="8"/>
  <c r="OKQ62" i="8"/>
  <c r="OKP62" i="8"/>
  <c r="OKO62" i="8"/>
  <c r="OKN62" i="8"/>
  <c r="OKM62" i="8"/>
  <c r="OKL62" i="8"/>
  <c r="OKK62" i="8"/>
  <c r="OKJ62" i="8"/>
  <c r="OKI62" i="8"/>
  <c r="OKH62" i="8"/>
  <c r="OKG62" i="8"/>
  <c r="OKF62" i="8"/>
  <c r="OKE62" i="8"/>
  <c r="OKD62" i="8"/>
  <c r="OKC62" i="8"/>
  <c r="OKB62" i="8"/>
  <c r="OKA62" i="8"/>
  <c r="OJZ62" i="8"/>
  <c r="OJY62" i="8"/>
  <c r="OJX62" i="8"/>
  <c r="OJW62" i="8"/>
  <c r="OJV62" i="8"/>
  <c r="OJU62" i="8"/>
  <c r="OJT62" i="8"/>
  <c r="OJS62" i="8"/>
  <c r="OJR62" i="8"/>
  <c r="OJQ62" i="8"/>
  <c r="OJP62" i="8"/>
  <c r="OJO62" i="8"/>
  <c r="OJN62" i="8"/>
  <c r="OJM62" i="8"/>
  <c r="OJL62" i="8"/>
  <c r="OJK62" i="8"/>
  <c r="OJJ62" i="8"/>
  <c r="OJI62" i="8"/>
  <c r="OJH62" i="8"/>
  <c r="OJG62" i="8"/>
  <c r="OJF62" i="8"/>
  <c r="OJE62" i="8"/>
  <c r="OJD62" i="8"/>
  <c r="OJC62" i="8"/>
  <c r="OJB62" i="8"/>
  <c r="OJA62" i="8"/>
  <c r="OIZ62" i="8"/>
  <c r="OIY62" i="8"/>
  <c r="OIX62" i="8"/>
  <c r="OIW62" i="8"/>
  <c r="OIV62" i="8"/>
  <c r="OIU62" i="8"/>
  <c r="OIT62" i="8"/>
  <c r="OIS62" i="8"/>
  <c r="OIR62" i="8"/>
  <c r="OIQ62" i="8"/>
  <c r="OIP62" i="8"/>
  <c r="OIO62" i="8"/>
  <c r="OIN62" i="8"/>
  <c r="OIM62" i="8"/>
  <c r="OIL62" i="8"/>
  <c r="OIK62" i="8"/>
  <c r="OIJ62" i="8"/>
  <c r="OII62" i="8"/>
  <c r="OIH62" i="8"/>
  <c r="OIG62" i="8"/>
  <c r="OIF62" i="8"/>
  <c r="OIE62" i="8"/>
  <c r="OID62" i="8"/>
  <c r="OIC62" i="8"/>
  <c r="OIB62" i="8"/>
  <c r="OIA62" i="8"/>
  <c r="OHZ62" i="8"/>
  <c r="OHY62" i="8"/>
  <c r="OHX62" i="8"/>
  <c r="OHW62" i="8"/>
  <c r="OHV62" i="8"/>
  <c r="OHU62" i="8"/>
  <c r="OHT62" i="8"/>
  <c r="OHS62" i="8"/>
  <c r="OHR62" i="8"/>
  <c r="OHQ62" i="8"/>
  <c r="OHP62" i="8"/>
  <c r="OHO62" i="8"/>
  <c r="OHN62" i="8"/>
  <c r="OHM62" i="8"/>
  <c r="OHL62" i="8"/>
  <c r="OHK62" i="8"/>
  <c r="OHJ62" i="8"/>
  <c r="OHI62" i="8"/>
  <c r="OHH62" i="8"/>
  <c r="OHG62" i="8"/>
  <c r="OHF62" i="8"/>
  <c r="OHE62" i="8"/>
  <c r="OHD62" i="8"/>
  <c r="OHC62" i="8"/>
  <c r="OHB62" i="8"/>
  <c r="OHA62" i="8"/>
  <c r="OGZ62" i="8"/>
  <c r="OGY62" i="8"/>
  <c r="OGX62" i="8"/>
  <c r="OGW62" i="8"/>
  <c r="OGV62" i="8"/>
  <c r="OGU62" i="8"/>
  <c r="OGT62" i="8"/>
  <c r="OGS62" i="8"/>
  <c r="OGR62" i="8"/>
  <c r="OGQ62" i="8"/>
  <c r="OGP62" i="8"/>
  <c r="OGO62" i="8"/>
  <c r="OGN62" i="8"/>
  <c r="OGM62" i="8"/>
  <c r="OGL62" i="8"/>
  <c r="OGK62" i="8"/>
  <c r="OGJ62" i="8"/>
  <c r="OGI62" i="8"/>
  <c r="OGH62" i="8"/>
  <c r="OGG62" i="8"/>
  <c r="OGF62" i="8"/>
  <c r="OGE62" i="8"/>
  <c r="OGD62" i="8"/>
  <c r="OGC62" i="8"/>
  <c r="OGB62" i="8"/>
  <c r="OGA62" i="8"/>
  <c r="OFZ62" i="8"/>
  <c r="OFY62" i="8"/>
  <c r="OFX62" i="8"/>
  <c r="OFW62" i="8"/>
  <c r="OFV62" i="8"/>
  <c r="OFU62" i="8"/>
  <c r="OFT62" i="8"/>
  <c r="OFS62" i="8"/>
  <c r="OFR62" i="8"/>
  <c r="OFQ62" i="8"/>
  <c r="OFP62" i="8"/>
  <c r="OFO62" i="8"/>
  <c r="OFN62" i="8"/>
  <c r="OFM62" i="8"/>
  <c r="OFL62" i="8"/>
  <c r="OFK62" i="8"/>
  <c r="OFJ62" i="8"/>
  <c r="OFI62" i="8"/>
  <c r="OFH62" i="8"/>
  <c r="OFG62" i="8"/>
  <c r="OFF62" i="8"/>
  <c r="OFE62" i="8"/>
  <c r="OFD62" i="8"/>
  <c r="OFC62" i="8"/>
  <c r="OFB62" i="8"/>
  <c r="OFA62" i="8"/>
  <c r="OEZ62" i="8"/>
  <c r="OEY62" i="8"/>
  <c r="OEX62" i="8"/>
  <c r="OEW62" i="8"/>
  <c r="OEV62" i="8"/>
  <c r="OEU62" i="8"/>
  <c r="OET62" i="8"/>
  <c r="OES62" i="8"/>
  <c r="OER62" i="8"/>
  <c r="OEQ62" i="8"/>
  <c r="OEP62" i="8"/>
  <c r="OEO62" i="8"/>
  <c r="OEN62" i="8"/>
  <c r="OEM62" i="8"/>
  <c r="OEL62" i="8"/>
  <c r="OEK62" i="8"/>
  <c r="OEJ62" i="8"/>
  <c r="OEI62" i="8"/>
  <c r="OEH62" i="8"/>
  <c r="OEG62" i="8"/>
  <c r="OEF62" i="8"/>
  <c r="OEE62" i="8"/>
  <c r="OED62" i="8"/>
  <c r="OEC62" i="8"/>
  <c r="OEB62" i="8"/>
  <c r="OEA62" i="8"/>
  <c r="ODZ62" i="8"/>
  <c r="ODY62" i="8"/>
  <c r="ODX62" i="8"/>
  <c r="ODW62" i="8"/>
  <c r="ODV62" i="8"/>
  <c r="ODU62" i="8"/>
  <c r="ODT62" i="8"/>
  <c r="ODS62" i="8"/>
  <c r="ODR62" i="8"/>
  <c r="ODQ62" i="8"/>
  <c r="ODP62" i="8"/>
  <c r="ODO62" i="8"/>
  <c r="ODN62" i="8"/>
  <c r="ODM62" i="8"/>
  <c r="ODL62" i="8"/>
  <c r="ODK62" i="8"/>
  <c r="ODJ62" i="8"/>
  <c r="ODI62" i="8"/>
  <c r="ODH62" i="8"/>
  <c r="ODG62" i="8"/>
  <c r="ODF62" i="8"/>
  <c r="ODE62" i="8"/>
  <c r="ODD62" i="8"/>
  <c r="ODC62" i="8"/>
  <c r="ODB62" i="8"/>
  <c r="ODA62" i="8"/>
  <c r="OCZ62" i="8"/>
  <c r="OCY62" i="8"/>
  <c r="OCX62" i="8"/>
  <c r="OCW62" i="8"/>
  <c r="OCV62" i="8"/>
  <c r="OCU62" i="8"/>
  <c r="OCT62" i="8"/>
  <c r="OCS62" i="8"/>
  <c r="OCR62" i="8"/>
  <c r="OCQ62" i="8"/>
  <c r="OCP62" i="8"/>
  <c r="OCO62" i="8"/>
  <c r="OCN62" i="8"/>
  <c r="OCM62" i="8"/>
  <c r="OCL62" i="8"/>
  <c r="OCK62" i="8"/>
  <c r="OCJ62" i="8"/>
  <c r="OCI62" i="8"/>
  <c r="OCH62" i="8"/>
  <c r="OCG62" i="8"/>
  <c r="OCF62" i="8"/>
  <c r="OCE62" i="8"/>
  <c r="OCD62" i="8"/>
  <c r="OCC62" i="8"/>
  <c r="OCB62" i="8"/>
  <c r="OCA62" i="8"/>
  <c r="OBZ62" i="8"/>
  <c r="OBY62" i="8"/>
  <c r="OBX62" i="8"/>
  <c r="OBW62" i="8"/>
  <c r="OBV62" i="8"/>
  <c r="OBU62" i="8"/>
  <c r="OBT62" i="8"/>
  <c r="OBS62" i="8"/>
  <c r="OBR62" i="8"/>
  <c r="OBQ62" i="8"/>
  <c r="OBP62" i="8"/>
  <c r="OBO62" i="8"/>
  <c r="OBN62" i="8"/>
  <c r="OBM62" i="8"/>
  <c r="OBL62" i="8"/>
  <c r="OBK62" i="8"/>
  <c r="OBJ62" i="8"/>
  <c r="OBI62" i="8"/>
  <c r="OBH62" i="8"/>
  <c r="OBG62" i="8"/>
  <c r="OBF62" i="8"/>
  <c r="OBE62" i="8"/>
  <c r="OBD62" i="8"/>
  <c r="OBC62" i="8"/>
  <c r="OBB62" i="8"/>
  <c r="OBA62" i="8"/>
  <c r="OAZ62" i="8"/>
  <c r="OAY62" i="8"/>
  <c r="OAX62" i="8"/>
  <c r="OAW62" i="8"/>
  <c r="OAV62" i="8"/>
  <c r="OAU62" i="8"/>
  <c r="OAT62" i="8"/>
  <c r="OAS62" i="8"/>
  <c r="OAR62" i="8"/>
  <c r="OAQ62" i="8"/>
  <c r="OAP62" i="8"/>
  <c r="OAO62" i="8"/>
  <c r="OAN62" i="8"/>
  <c r="OAM62" i="8"/>
  <c r="OAL62" i="8"/>
  <c r="OAK62" i="8"/>
  <c r="OAJ62" i="8"/>
  <c r="OAI62" i="8"/>
  <c r="OAH62" i="8"/>
  <c r="OAG62" i="8"/>
  <c r="OAF62" i="8"/>
  <c r="OAE62" i="8"/>
  <c r="OAD62" i="8"/>
  <c r="OAC62" i="8"/>
  <c r="OAB62" i="8"/>
  <c r="OAA62" i="8"/>
  <c r="NZZ62" i="8"/>
  <c r="NZY62" i="8"/>
  <c r="NZX62" i="8"/>
  <c r="NZW62" i="8"/>
  <c r="NZV62" i="8"/>
  <c r="NZU62" i="8"/>
  <c r="NZT62" i="8"/>
  <c r="NZS62" i="8"/>
  <c r="NZR62" i="8"/>
  <c r="NZQ62" i="8"/>
  <c r="NZP62" i="8"/>
  <c r="NZO62" i="8"/>
  <c r="NZN62" i="8"/>
  <c r="NZM62" i="8"/>
  <c r="NZL62" i="8"/>
  <c r="NZK62" i="8"/>
  <c r="NZJ62" i="8"/>
  <c r="NZI62" i="8"/>
  <c r="NZH62" i="8"/>
  <c r="NZG62" i="8"/>
  <c r="NZF62" i="8"/>
  <c r="NZE62" i="8"/>
  <c r="NZD62" i="8"/>
  <c r="NZC62" i="8"/>
  <c r="NZB62" i="8"/>
  <c r="NZA62" i="8"/>
  <c r="NYZ62" i="8"/>
  <c r="NYY62" i="8"/>
  <c r="NYX62" i="8"/>
  <c r="NYW62" i="8"/>
  <c r="NYV62" i="8"/>
  <c r="NYU62" i="8"/>
  <c r="NYT62" i="8"/>
  <c r="NYS62" i="8"/>
  <c r="NYR62" i="8"/>
  <c r="NYQ62" i="8"/>
  <c r="NYP62" i="8"/>
  <c r="NYO62" i="8"/>
  <c r="NYN62" i="8"/>
  <c r="NYM62" i="8"/>
  <c r="NYL62" i="8"/>
  <c r="NYK62" i="8"/>
  <c r="NYJ62" i="8"/>
  <c r="NYI62" i="8"/>
  <c r="NYH62" i="8"/>
  <c r="NYG62" i="8"/>
  <c r="NYF62" i="8"/>
  <c r="NYE62" i="8"/>
  <c r="NYD62" i="8"/>
  <c r="NYC62" i="8"/>
  <c r="NYB62" i="8"/>
  <c r="NYA62" i="8"/>
  <c r="NXZ62" i="8"/>
  <c r="NXY62" i="8"/>
  <c r="NXX62" i="8"/>
  <c r="NXW62" i="8"/>
  <c r="NXV62" i="8"/>
  <c r="NXU62" i="8"/>
  <c r="NXT62" i="8"/>
  <c r="NXS62" i="8"/>
  <c r="NXR62" i="8"/>
  <c r="NXQ62" i="8"/>
  <c r="NXP62" i="8"/>
  <c r="NXO62" i="8"/>
  <c r="NXN62" i="8"/>
  <c r="NXM62" i="8"/>
  <c r="NXL62" i="8"/>
  <c r="NXK62" i="8"/>
  <c r="NXJ62" i="8"/>
  <c r="NXI62" i="8"/>
  <c r="NXH62" i="8"/>
  <c r="NXG62" i="8"/>
  <c r="NXF62" i="8"/>
  <c r="NXE62" i="8"/>
  <c r="NXD62" i="8"/>
  <c r="NXC62" i="8"/>
  <c r="NXB62" i="8"/>
  <c r="NXA62" i="8"/>
  <c r="NWZ62" i="8"/>
  <c r="NWY62" i="8"/>
  <c r="NWX62" i="8"/>
  <c r="NWW62" i="8"/>
  <c r="NWV62" i="8"/>
  <c r="NWU62" i="8"/>
  <c r="NWT62" i="8"/>
  <c r="NWS62" i="8"/>
  <c r="NWR62" i="8"/>
  <c r="NWQ62" i="8"/>
  <c r="NWP62" i="8"/>
  <c r="NWO62" i="8"/>
  <c r="NWN62" i="8"/>
  <c r="NWM62" i="8"/>
  <c r="NWL62" i="8"/>
  <c r="NWK62" i="8"/>
  <c r="NWJ62" i="8"/>
  <c r="NWI62" i="8"/>
  <c r="NWH62" i="8"/>
  <c r="NWG62" i="8"/>
  <c r="NWF62" i="8"/>
  <c r="NWE62" i="8"/>
  <c r="NWD62" i="8"/>
  <c r="NWC62" i="8"/>
  <c r="NWB62" i="8"/>
  <c r="NWA62" i="8"/>
  <c r="NVZ62" i="8"/>
  <c r="NVY62" i="8"/>
  <c r="NVX62" i="8"/>
  <c r="NVW62" i="8"/>
  <c r="NVV62" i="8"/>
  <c r="NVU62" i="8"/>
  <c r="NVT62" i="8"/>
  <c r="NVS62" i="8"/>
  <c r="NVR62" i="8"/>
  <c r="NVQ62" i="8"/>
  <c r="NVP62" i="8"/>
  <c r="NVO62" i="8"/>
  <c r="NVN62" i="8"/>
  <c r="NVM62" i="8"/>
  <c r="NVL62" i="8"/>
  <c r="NVK62" i="8"/>
  <c r="NVJ62" i="8"/>
  <c r="NVI62" i="8"/>
  <c r="NVH62" i="8"/>
  <c r="NVG62" i="8"/>
  <c r="NVF62" i="8"/>
  <c r="NVE62" i="8"/>
  <c r="NVD62" i="8"/>
  <c r="NVC62" i="8"/>
  <c r="NVB62" i="8"/>
  <c r="NVA62" i="8"/>
  <c r="NUZ62" i="8"/>
  <c r="NUY62" i="8"/>
  <c r="NUX62" i="8"/>
  <c r="NUW62" i="8"/>
  <c r="NUV62" i="8"/>
  <c r="NUU62" i="8"/>
  <c r="NUT62" i="8"/>
  <c r="NUS62" i="8"/>
  <c r="NUR62" i="8"/>
  <c r="NUQ62" i="8"/>
  <c r="NUP62" i="8"/>
  <c r="NUO62" i="8"/>
  <c r="NUN62" i="8"/>
  <c r="NUM62" i="8"/>
  <c r="NUL62" i="8"/>
  <c r="NUK62" i="8"/>
  <c r="NUJ62" i="8"/>
  <c r="NUI62" i="8"/>
  <c r="NUH62" i="8"/>
  <c r="NUG62" i="8"/>
  <c r="NUF62" i="8"/>
  <c r="NUE62" i="8"/>
  <c r="NUD62" i="8"/>
  <c r="NUC62" i="8"/>
  <c r="NUB62" i="8"/>
  <c r="NUA62" i="8"/>
  <c r="NTZ62" i="8"/>
  <c r="NTY62" i="8"/>
  <c r="NTX62" i="8"/>
  <c r="NTW62" i="8"/>
  <c r="NTV62" i="8"/>
  <c r="NTU62" i="8"/>
  <c r="NTT62" i="8"/>
  <c r="NTS62" i="8"/>
  <c r="NTR62" i="8"/>
  <c r="NTQ62" i="8"/>
  <c r="NTP62" i="8"/>
  <c r="NTO62" i="8"/>
  <c r="NTN62" i="8"/>
  <c r="NTM62" i="8"/>
  <c r="NTL62" i="8"/>
  <c r="NTK62" i="8"/>
  <c r="NTJ62" i="8"/>
  <c r="NTI62" i="8"/>
  <c r="NTH62" i="8"/>
  <c r="NTG62" i="8"/>
  <c r="NTF62" i="8"/>
  <c r="NTE62" i="8"/>
  <c r="NTD62" i="8"/>
  <c r="NTC62" i="8"/>
  <c r="NTB62" i="8"/>
  <c r="NTA62" i="8"/>
  <c r="NSZ62" i="8"/>
  <c r="NSY62" i="8"/>
  <c r="NSX62" i="8"/>
  <c r="NSW62" i="8"/>
  <c r="NSV62" i="8"/>
  <c r="NSU62" i="8"/>
  <c r="NST62" i="8"/>
  <c r="NSS62" i="8"/>
  <c r="NSR62" i="8"/>
  <c r="NSQ62" i="8"/>
  <c r="NSP62" i="8"/>
  <c r="NSO62" i="8"/>
  <c r="NSN62" i="8"/>
  <c r="NSM62" i="8"/>
  <c r="NSL62" i="8"/>
  <c r="NSK62" i="8"/>
  <c r="NSJ62" i="8"/>
  <c r="NSI62" i="8"/>
  <c r="NSH62" i="8"/>
  <c r="NSG62" i="8"/>
  <c r="NSF62" i="8"/>
  <c r="NSE62" i="8"/>
  <c r="NSD62" i="8"/>
  <c r="NSC62" i="8"/>
  <c r="NSB62" i="8"/>
  <c r="NSA62" i="8"/>
  <c r="NRZ62" i="8"/>
  <c r="NRY62" i="8"/>
  <c r="NRX62" i="8"/>
  <c r="NRW62" i="8"/>
  <c r="NRV62" i="8"/>
  <c r="NRU62" i="8"/>
  <c r="NRT62" i="8"/>
  <c r="NRS62" i="8"/>
  <c r="NRR62" i="8"/>
  <c r="NRQ62" i="8"/>
  <c r="NRP62" i="8"/>
  <c r="NRO62" i="8"/>
  <c r="NRN62" i="8"/>
  <c r="NRM62" i="8"/>
  <c r="NRL62" i="8"/>
  <c r="NRK62" i="8"/>
  <c r="NRJ62" i="8"/>
  <c r="NRI62" i="8"/>
  <c r="NRH62" i="8"/>
  <c r="NRG62" i="8"/>
  <c r="NRF62" i="8"/>
  <c r="NRE62" i="8"/>
  <c r="NRD62" i="8"/>
  <c r="NRC62" i="8"/>
  <c r="NRB62" i="8"/>
  <c r="NRA62" i="8"/>
  <c r="NQZ62" i="8"/>
  <c r="NQY62" i="8"/>
  <c r="NQX62" i="8"/>
  <c r="NQW62" i="8"/>
  <c r="NQV62" i="8"/>
  <c r="NQU62" i="8"/>
  <c r="NQT62" i="8"/>
  <c r="NQS62" i="8"/>
  <c r="NQR62" i="8"/>
  <c r="NQQ62" i="8"/>
  <c r="NQP62" i="8"/>
  <c r="NQO62" i="8"/>
  <c r="NQN62" i="8"/>
  <c r="NQM62" i="8"/>
  <c r="NQL62" i="8"/>
  <c r="NQK62" i="8"/>
  <c r="NQJ62" i="8"/>
  <c r="NQI62" i="8"/>
  <c r="NQH62" i="8"/>
  <c r="NQG62" i="8"/>
  <c r="NQF62" i="8"/>
  <c r="NQE62" i="8"/>
  <c r="NQD62" i="8"/>
  <c r="NQC62" i="8"/>
  <c r="NQB62" i="8"/>
  <c r="NQA62" i="8"/>
  <c r="NPZ62" i="8"/>
  <c r="NPY62" i="8"/>
  <c r="NPX62" i="8"/>
  <c r="NPW62" i="8"/>
  <c r="NPV62" i="8"/>
  <c r="NPU62" i="8"/>
  <c r="NPT62" i="8"/>
  <c r="NPS62" i="8"/>
  <c r="NPR62" i="8"/>
  <c r="NPQ62" i="8"/>
  <c r="NPP62" i="8"/>
  <c r="NPO62" i="8"/>
  <c r="NPN62" i="8"/>
  <c r="NPM62" i="8"/>
  <c r="NPL62" i="8"/>
  <c r="NPK62" i="8"/>
  <c r="NPJ62" i="8"/>
  <c r="NPI62" i="8"/>
  <c r="NPH62" i="8"/>
  <c r="NPG62" i="8"/>
  <c r="NPF62" i="8"/>
  <c r="NPE62" i="8"/>
  <c r="NPD62" i="8"/>
  <c r="NPC62" i="8"/>
  <c r="NPB62" i="8"/>
  <c r="NPA62" i="8"/>
  <c r="NOZ62" i="8"/>
  <c r="NOY62" i="8"/>
  <c r="NOX62" i="8"/>
  <c r="NOW62" i="8"/>
  <c r="NOV62" i="8"/>
  <c r="NOU62" i="8"/>
  <c r="NOT62" i="8"/>
  <c r="NOS62" i="8"/>
  <c r="NOR62" i="8"/>
  <c r="NOQ62" i="8"/>
  <c r="NOP62" i="8"/>
  <c r="NOO62" i="8"/>
  <c r="NON62" i="8"/>
  <c r="NOM62" i="8"/>
  <c r="NOL62" i="8"/>
  <c r="NOK62" i="8"/>
  <c r="NOJ62" i="8"/>
  <c r="NOI62" i="8"/>
  <c r="NOH62" i="8"/>
  <c r="NOG62" i="8"/>
  <c r="NOF62" i="8"/>
  <c r="NOE62" i="8"/>
  <c r="NOD62" i="8"/>
  <c r="NOC62" i="8"/>
  <c r="NOB62" i="8"/>
  <c r="NOA62" i="8"/>
  <c r="NNZ62" i="8"/>
  <c r="NNY62" i="8"/>
  <c r="NNX62" i="8"/>
  <c r="NNW62" i="8"/>
  <c r="NNV62" i="8"/>
  <c r="NNU62" i="8"/>
  <c r="NNT62" i="8"/>
  <c r="NNS62" i="8"/>
  <c r="NNR62" i="8"/>
  <c r="NNQ62" i="8"/>
  <c r="NNP62" i="8"/>
  <c r="NNO62" i="8"/>
  <c r="NNN62" i="8"/>
  <c r="NNM62" i="8"/>
  <c r="NNL62" i="8"/>
  <c r="NNK62" i="8"/>
  <c r="NNJ62" i="8"/>
  <c r="NNI62" i="8"/>
  <c r="NNH62" i="8"/>
  <c r="NNG62" i="8"/>
  <c r="NNF62" i="8"/>
  <c r="NNE62" i="8"/>
  <c r="NND62" i="8"/>
  <c r="NNC62" i="8"/>
  <c r="NNB62" i="8"/>
  <c r="NNA62" i="8"/>
  <c r="NMZ62" i="8"/>
  <c r="NMY62" i="8"/>
  <c r="NMX62" i="8"/>
  <c r="NMW62" i="8"/>
  <c r="NMV62" i="8"/>
  <c r="NMU62" i="8"/>
  <c r="NMT62" i="8"/>
  <c r="NMS62" i="8"/>
  <c r="NMR62" i="8"/>
  <c r="NMQ62" i="8"/>
  <c r="NMP62" i="8"/>
  <c r="NMO62" i="8"/>
  <c r="NMN62" i="8"/>
  <c r="NMM62" i="8"/>
  <c r="NML62" i="8"/>
  <c r="NMK62" i="8"/>
  <c r="NMJ62" i="8"/>
  <c r="NMI62" i="8"/>
  <c r="NMH62" i="8"/>
  <c r="NMG62" i="8"/>
  <c r="NMF62" i="8"/>
  <c r="NME62" i="8"/>
  <c r="NMD62" i="8"/>
  <c r="NMC62" i="8"/>
  <c r="NMB62" i="8"/>
  <c r="NMA62" i="8"/>
  <c r="NLZ62" i="8"/>
  <c r="NLY62" i="8"/>
  <c r="NLX62" i="8"/>
  <c r="NLW62" i="8"/>
  <c r="NLV62" i="8"/>
  <c r="NLU62" i="8"/>
  <c r="NLT62" i="8"/>
  <c r="NLS62" i="8"/>
  <c r="NLR62" i="8"/>
  <c r="NLQ62" i="8"/>
  <c r="NLP62" i="8"/>
  <c r="NLO62" i="8"/>
  <c r="NLN62" i="8"/>
  <c r="NLM62" i="8"/>
  <c r="NLL62" i="8"/>
  <c r="NLK62" i="8"/>
  <c r="NLJ62" i="8"/>
  <c r="NLI62" i="8"/>
  <c r="NLH62" i="8"/>
  <c r="NLG62" i="8"/>
  <c r="NLF62" i="8"/>
  <c r="NLE62" i="8"/>
  <c r="NLD62" i="8"/>
  <c r="NLC62" i="8"/>
  <c r="NLB62" i="8"/>
  <c r="NLA62" i="8"/>
  <c r="NKZ62" i="8"/>
  <c r="NKY62" i="8"/>
  <c r="NKX62" i="8"/>
  <c r="NKW62" i="8"/>
  <c r="NKV62" i="8"/>
  <c r="NKU62" i="8"/>
  <c r="NKT62" i="8"/>
  <c r="NKS62" i="8"/>
  <c r="NKR62" i="8"/>
  <c r="NKQ62" i="8"/>
  <c r="NKP62" i="8"/>
  <c r="NKO62" i="8"/>
  <c r="NKN62" i="8"/>
  <c r="NKM62" i="8"/>
  <c r="NKL62" i="8"/>
  <c r="NKK62" i="8"/>
  <c r="NKJ62" i="8"/>
  <c r="NKI62" i="8"/>
  <c r="NKH62" i="8"/>
  <c r="NKG62" i="8"/>
  <c r="NKF62" i="8"/>
  <c r="NKE62" i="8"/>
  <c r="NKD62" i="8"/>
  <c r="NKC62" i="8"/>
  <c r="NKB62" i="8"/>
  <c r="NKA62" i="8"/>
  <c r="NJZ62" i="8"/>
  <c r="NJY62" i="8"/>
  <c r="NJX62" i="8"/>
  <c r="NJW62" i="8"/>
  <c r="NJV62" i="8"/>
  <c r="NJU62" i="8"/>
  <c r="NJT62" i="8"/>
  <c r="NJS62" i="8"/>
  <c r="NJR62" i="8"/>
  <c r="NJQ62" i="8"/>
  <c r="NJP62" i="8"/>
  <c r="NJO62" i="8"/>
  <c r="NJN62" i="8"/>
  <c r="NJM62" i="8"/>
  <c r="NJL62" i="8"/>
  <c r="NJK62" i="8"/>
  <c r="NJJ62" i="8"/>
  <c r="NJI62" i="8"/>
  <c r="NJH62" i="8"/>
  <c r="NJG62" i="8"/>
  <c r="NJF62" i="8"/>
  <c r="NJE62" i="8"/>
  <c r="NJD62" i="8"/>
  <c r="NJC62" i="8"/>
  <c r="NJB62" i="8"/>
  <c r="NJA62" i="8"/>
  <c r="NIZ62" i="8"/>
  <c r="NIY62" i="8"/>
  <c r="NIX62" i="8"/>
  <c r="NIW62" i="8"/>
  <c r="NIV62" i="8"/>
  <c r="NIU62" i="8"/>
  <c r="NIT62" i="8"/>
  <c r="NIS62" i="8"/>
  <c r="NIR62" i="8"/>
  <c r="NIQ62" i="8"/>
  <c r="NIP62" i="8"/>
  <c r="NIO62" i="8"/>
  <c r="NIN62" i="8"/>
  <c r="NIM62" i="8"/>
  <c r="NIL62" i="8"/>
  <c r="NIK62" i="8"/>
  <c r="NIJ62" i="8"/>
  <c r="NII62" i="8"/>
  <c r="NIH62" i="8"/>
  <c r="NIG62" i="8"/>
  <c r="NIF62" i="8"/>
  <c r="NIE62" i="8"/>
  <c r="NID62" i="8"/>
  <c r="NIC62" i="8"/>
  <c r="NIB62" i="8"/>
  <c r="NIA62" i="8"/>
  <c r="NHZ62" i="8"/>
  <c r="NHY62" i="8"/>
  <c r="NHX62" i="8"/>
  <c r="NHW62" i="8"/>
  <c r="NHV62" i="8"/>
  <c r="NHU62" i="8"/>
  <c r="NHT62" i="8"/>
  <c r="NHS62" i="8"/>
  <c r="NHR62" i="8"/>
  <c r="NHQ62" i="8"/>
  <c r="NHP62" i="8"/>
  <c r="NHO62" i="8"/>
  <c r="NHN62" i="8"/>
  <c r="NHM62" i="8"/>
  <c r="NHL62" i="8"/>
  <c r="NHK62" i="8"/>
  <c r="NHJ62" i="8"/>
  <c r="NHI62" i="8"/>
  <c r="NHH62" i="8"/>
  <c r="NHG62" i="8"/>
  <c r="NHF62" i="8"/>
  <c r="NHE62" i="8"/>
  <c r="NHD62" i="8"/>
  <c r="NHC62" i="8"/>
  <c r="NHB62" i="8"/>
  <c r="NHA62" i="8"/>
  <c r="NGZ62" i="8"/>
  <c r="NGY62" i="8"/>
  <c r="NGX62" i="8"/>
  <c r="NGW62" i="8"/>
  <c r="NGV62" i="8"/>
  <c r="NGU62" i="8"/>
  <c r="NGT62" i="8"/>
  <c r="NGS62" i="8"/>
  <c r="NGR62" i="8"/>
  <c r="NGQ62" i="8"/>
  <c r="NGP62" i="8"/>
  <c r="NGO62" i="8"/>
  <c r="NGN62" i="8"/>
  <c r="NGM62" i="8"/>
  <c r="NGL62" i="8"/>
  <c r="NGK62" i="8"/>
  <c r="NGJ62" i="8"/>
  <c r="NGI62" i="8"/>
  <c r="NGH62" i="8"/>
  <c r="NGG62" i="8"/>
  <c r="NGF62" i="8"/>
  <c r="NGE62" i="8"/>
  <c r="NGD62" i="8"/>
  <c r="NGC62" i="8"/>
  <c r="NGB62" i="8"/>
  <c r="NGA62" i="8"/>
  <c r="NFZ62" i="8"/>
  <c r="NFY62" i="8"/>
  <c r="NFX62" i="8"/>
  <c r="NFW62" i="8"/>
  <c r="NFV62" i="8"/>
  <c r="NFU62" i="8"/>
  <c r="NFT62" i="8"/>
  <c r="NFS62" i="8"/>
  <c r="NFR62" i="8"/>
  <c r="NFQ62" i="8"/>
  <c r="NFP62" i="8"/>
  <c r="NFO62" i="8"/>
  <c r="NFN62" i="8"/>
  <c r="NFM62" i="8"/>
  <c r="NFL62" i="8"/>
  <c r="NFK62" i="8"/>
  <c r="NFJ62" i="8"/>
  <c r="NFI62" i="8"/>
  <c r="NFH62" i="8"/>
  <c r="NFG62" i="8"/>
  <c r="NFF62" i="8"/>
  <c r="NFE62" i="8"/>
  <c r="NFD62" i="8"/>
  <c r="NFC62" i="8"/>
  <c r="NFB62" i="8"/>
  <c r="NFA62" i="8"/>
  <c r="NEZ62" i="8"/>
  <c r="NEY62" i="8"/>
  <c r="NEX62" i="8"/>
  <c r="NEW62" i="8"/>
  <c r="NEV62" i="8"/>
  <c r="NEU62" i="8"/>
  <c r="NET62" i="8"/>
  <c r="NES62" i="8"/>
  <c r="NER62" i="8"/>
  <c r="NEQ62" i="8"/>
  <c r="NEP62" i="8"/>
  <c r="NEO62" i="8"/>
  <c r="NEN62" i="8"/>
  <c r="NEM62" i="8"/>
  <c r="NEL62" i="8"/>
  <c r="NEK62" i="8"/>
  <c r="NEJ62" i="8"/>
  <c r="NEI62" i="8"/>
  <c r="NEH62" i="8"/>
  <c r="NEG62" i="8"/>
  <c r="NEF62" i="8"/>
  <c r="NEE62" i="8"/>
  <c r="NED62" i="8"/>
  <c r="NEC62" i="8"/>
  <c r="NEB62" i="8"/>
  <c r="NEA62" i="8"/>
  <c r="NDZ62" i="8"/>
  <c r="NDY62" i="8"/>
  <c r="NDX62" i="8"/>
  <c r="NDW62" i="8"/>
  <c r="NDV62" i="8"/>
  <c r="NDU62" i="8"/>
  <c r="NDT62" i="8"/>
  <c r="NDS62" i="8"/>
  <c r="NDR62" i="8"/>
  <c r="NDQ62" i="8"/>
  <c r="NDP62" i="8"/>
  <c r="NDO62" i="8"/>
  <c r="NDN62" i="8"/>
  <c r="NDM62" i="8"/>
  <c r="NDL62" i="8"/>
  <c r="NDK62" i="8"/>
  <c r="NDJ62" i="8"/>
  <c r="NDI62" i="8"/>
  <c r="NDH62" i="8"/>
  <c r="NDG62" i="8"/>
  <c r="NDF62" i="8"/>
  <c r="NDE62" i="8"/>
  <c r="NDD62" i="8"/>
  <c r="NDC62" i="8"/>
  <c r="NDB62" i="8"/>
  <c r="NDA62" i="8"/>
  <c r="NCZ62" i="8"/>
  <c r="NCY62" i="8"/>
  <c r="NCX62" i="8"/>
  <c r="NCW62" i="8"/>
  <c r="NCV62" i="8"/>
  <c r="NCU62" i="8"/>
  <c r="NCT62" i="8"/>
  <c r="NCS62" i="8"/>
  <c r="NCR62" i="8"/>
  <c r="NCQ62" i="8"/>
  <c r="NCP62" i="8"/>
  <c r="NCO62" i="8"/>
  <c r="NCN62" i="8"/>
  <c r="NCM62" i="8"/>
  <c r="NCL62" i="8"/>
  <c r="NCK62" i="8"/>
  <c r="NCJ62" i="8"/>
  <c r="NCI62" i="8"/>
  <c r="NCH62" i="8"/>
  <c r="NCG62" i="8"/>
  <c r="NCF62" i="8"/>
  <c r="NCE62" i="8"/>
  <c r="NCD62" i="8"/>
  <c r="NCC62" i="8"/>
  <c r="NCB62" i="8"/>
  <c r="NCA62" i="8"/>
  <c r="NBZ62" i="8"/>
  <c r="NBY62" i="8"/>
  <c r="NBX62" i="8"/>
  <c r="NBW62" i="8"/>
  <c r="NBV62" i="8"/>
  <c r="NBU62" i="8"/>
  <c r="NBT62" i="8"/>
  <c r="NBS62" i="8"/>
  <c r="NBR62" i="8"/>
  <c r="NBQ62" i="8"/>
  <c r="NBP62" i="8"/>
  <c r="NBO62" i="8"/>
  <c r="NBN62" i="8"/>
  <c r="NBM62" i="8"/>
  <c r="NBL62" i="8"/>
  <c r="NBK62" i="8"/>
  <c r="NBJ62" i="8"/>
  <c r="NBI62" i="8"/>
  <c r="NBH62" i="8"/>
  <c r="NBG62" i="8"/>
  <c r="NBF62" i="8"/>
  <c r="NBE62" i="8"/>
  <c r="NBD62" i="8"/>
  <c r="NBC62" i="8"/>
  <c r="NBB62" i="8"/>
  <c r="NBA62" i="8"/>
  <c r="NAZ62" i="8"/>
  <c r="NAY62" i="8"/>
  <c r="NAX62" i="8"/>
  <c r="NAW62" i="8"/>
  <c r="NAV62" i="8"/>
  <c r="NAU62" i="8"/>
  <c r="NAT62" i="8"/>
  <c r="NAS62" i="8"/>
  <c r="NAR62" i="8"/>
  <c r="NAQ62" i="8"/>
  <c r="NAP62" i="8"/>
  <c r="NAO62" i="8"/>
  <c r="NAN62" i="8"/>
  <c r="NAM62" i="8"/>
  <c r="NAL62" i="8"/>
  <c r="NAK62" i="8"/>
  <c r="NAJ62" i="8"/>
  <c r="NAI62" i="8"/>
  <c r="NAH62" i="8"/>
  <c r="NAG62" i="8"/>
  <c r="NAF62" i="8"/>
  <c r="NAE62" i="8"/>
  <c r="NAD62" i="8"/>
  <c r="NAC62" i="8"/>
  <c r="NAB62" i="8"/>
  <c r="NAA62" i="8"/>
  <c r="MZZ62" i="8"/>
  <c r="MZY62" i="8"/>
  <c r="MZX62" i="8"/>
  <c r="MZW62" i="8"/>
  <c r="MZV62" i="8"/>
  <c r="MZU62" i="8"/>
  <c r="MZT62" i="8"/>
  <c r="MZS62" i="8"/>
  <c r="MZR62" i="8"/>
  <c r="MZQ62" i="8"/>
  <c r="MZP62" i="8"/>
  <c r="MZO62" i="8"/>
  <c r="MZN62" i="8"/>
  <c r="MZM62" i="8"/>
  <c r="MZL62" i="8"/>
  <c r="MZK62" i="8"/>
  <c r="MZJ62" i="8"/>
  <c r="MZI62" i="8"/>
  <c r="MZH62" i="8"/>
  <c r="MZG62" i="8"/>
  <c r="MZF62" i="8"/>
  <c r="MZE62" i="8"/>
  <c r="MZD62" i="8"/>
  <c r="MZC62" i="8"/>
  <c r="MZB62" i="8"/>
  <c r="MZA62" i="8"/>
  <c r="MYZ62" i="8"/>
  <c r="MYY62" i="8"/>
  <c r="MYX62" i="8"/>
  <c r="MYW62" i="8"/>
  <c r="MYV62" i="8"/>
  <c r="MYU62" i="8"/>
  <c r="MYT62" i="8"/>
  <c r="MYS62" i="8"/>
  <c r="MYR62" i="8"/>
  <c r="MYQ62" i="8"/>
  <c r="MYP62" i="8"/>
  <c r="MYO62" i="8"/>
  <c r="MYN62" i="8"/>
  <c r="MYM62" i="8"/>
  <c r="MYL62" i="8"/>
  <c r="MYK62" i="8"/>
  <c r="MYJ62" i="8"/>
  <c r="MYI62" i="8"/>
  <c r="MYH62" i="8"/>
  <c r="MYG62" i="8"/>
  <c r="MYF62" i="8"/>
  <c r="MYE62" i="8"/>
  <c r="MYD62" i="8"/>
  <c r="MYC62" i="8"/>
  <c r="MYB62" i="8"/>
  <c r="MYA62" i="8"/>
  <c r="MXZ62" i="8"/>
  <c r="MXY62" i="8"/>
  <c r="MXX62" i="8"/>
  <c r="MXW62" i="8"/>
  <c r="MXV62" i="8"/>
  <c r="MXU62" i="8"/>
  <c r="MXT62" i="8"/>
  <c r="MXS62" i="8"/>
  <c r="MXR62" i="8"/>
  <c r="MXQ62" i="8"/>
  <c r="MXP62" i="8"/>
  <c r="MXO62" i="8"/>
  <c r="MXN62" i="8"/>
  <c r="MXM62" i="8"/>
  <c r="MXL62" i="8"/>
  <c r="MXK62" i="8"/>
  <c r="MXJ62" i="8"/>
  <c r="MXI62" i="8"/>
  <c r="MXH62" i="8"/>
  <c r="MXG62" i="8"/>
  <c r="MXF62" i="8"/>
  <c r="MXE62" i="8"/>
  <c r="MXD62" i="8"/>
  <c r="MXC62" i="8"/>
  <c r="MXB62" i="8"/>
  <c r="MXA62" i="8"/>
  <c r="MWZ62" i="8"/>
  <c r="MWY62" i="8"/>
  <c r="MWX62" i="8"/>
  <c r="MWW62" i="8"/>
  <c r="MWV62" i="8"/>
  <c r="MWU62" i="8"/>
  <c r="MWT62" i="8"/>
  <c r="MWS62" i="8"/>
  <c r="MWR62" i="8"/>
  <c r="MWQ62" i="8"/>
  <c r="MWP62" i="8"/>
  <c r="MWO62" i="8"/>
  <c r="MWN62" i="8"/>
  <c r="MWM62" i="8"/>
  <c r="MWL62" i="8"/>
  <c r="MWK62" i="8"/>
  <c r="MWJ62" i="8"/>
  <c r="MWI62" i="8"/>
  <c r="MWH62" i="8"/>
  <c r="MWG62" i="8"/>
  <c r="MWF62" i="8"/>
  <c r="MWE62" i="8"/>
  <c r="MWD62" i="8"/>
  <c r="MWC62" i="8"/>
  <c r="MWB62" i="8"/>
  <c r="MWA62" i="8"/>
  <c r="MVZ62" i="8"/>
  <c r="MVY62" i="8"/>
  <c r="MVX62" i="8"/>
  <c r="MVW62" i="8"/>
  <c r="MVV62" i="8"/>
  <c r="MVU62" i="8"/>
  <c r="MVT62" i="8"/>
  <c r="MVS62" i="8"/>
  <c r="MVR62" i="8"/>
  <c r="MVQ62" i="8"/>
  <c r="MVP62" i="8"/>
  <c r="MVO62" i="8"/>
  <c r="MVN62" i="8"/>
  <c r="MVM62" i="8"/>
  <c r="MVL62" i="8"/>
  <c r="MVK62" i="8"/>
  <c r="MVJ62" i="8"/>
  <c r="MVI62" i="8"/>
  <c r="MVH62" i="8"/>
  <c r="MVG62" i="8"/>
  <c r="MVF62" i="8"/>
  <c r="MVE62" i="8"/>
  <c r="MVD62" i="8"/>
  <c r="MVC62" i="8"/>
  <c r="MVB62" i="8"/>
  <c r="MVA62" i="8"/>
  <c r="MUZ62" i="8"/>
  <c r="MUY62" i="8"/>
  <c r="MUX62" i="8"/>
  <c r="MUW62" i="8"/>
  <c r="MUV62" i="8"/>
  <c r="MUU62" i="8"/>
  <c r="MUT62" i="8"/>
  <c r="MUS62" i="8"/>
  <c r="MUR62" i="8"/>
  <c r="MUQ62" i="8"/>
  <c r="MUP62" i="8"/>
  <c r="MUO62" i="8"/>
  <c r="MUN62" i="8"/>
  <c r="MUM62" i="8"/>
  <c r="MUL62" i="8"/>
  <c r="MUK62" i="8"/>
  <c r="MUJ62" i="8"/>
  <c r="MUI62" i="8"/>
  <c r="MUH62" i="8"/>
  <c r="MUG62" i="8"/>
  <c r="MUF62" i="8"/>
  <c r="MUE62" i="8"/>
  <c r="MUD62" i="8"/>
  <c r="MUC62" i="8"/>
  <c r="MUB62" i="8"/>
  <c r="MUA62" i="8"/>
  <c r="MTZ62" i="8"/>
  <c r="MTY62" i="8"/>
  <c r="MTX62" i="8"/>
  <c r="MTW62" i="8"/>
  <c r="MTV62" i="8"/>
  <c r="MTU62" i="8"/>
  <c r="MTT62" i="8"/>
  <c r="MTS62" i="8"/>
  <c r="MTR62" i="8"/>
  <c r="MTQ62" i="8"/>
  <c r="MTP62" i="8"/>
  <c r="MTO62" i="8"/>
  <c r="MTN62" i="8"/>
  <c r="MTM62" i="8"/>
  <c r="MTL62" i="8"/>
  <c r="MTK62" i="8"/>
  <c r="MTJ62" i="8"/>
  <c r="MTI62" i="8"/>
  <c r="MTH62" i="8"/>
  <c r="MTG62" i="8"/>
  <c r="MTF62" i="8"/>
  <c r="MTE62" i="8"/>
  <c r="MTD62" i="8"/>
  <c r="MTC62" i="8"/>
  <c r="MTB62" i="8"/>
  <c r="MTA62" i="8"/>
  <c r="MSZ62" i="8"/>
  <c r="MSY62" i="8"/>
  <c r="MSX62" i="8"/>
  <c r="MSW62" i="8"/>
  <c r="MSV62" i="8"/>
  <c r="MSU62" i="8"/>
  <c r="MST62" i="8"/>
  <c r="MSS62" i="8"/>
  <c r="MSR62" i="8"/>
  <c r="MSQ62" i="8"/>
  <c r="MSP62" i="8"/>
  <c r="MSO62" i="8"/>
  <c r="MSN62" i="8"/>
  <c r="MSM62" i="8"/>
  <c r="MSL62" i="8"/>
  <c r="MSK62" i="8"/>
  <c r="MSJ62" i="8"/>
  <c r="MSI62" i="8"/>
  <c r="MSH62" i="8"/>
  <c r="MSG62" i="8"/>
  <c r="MSF62" i="8"/>
  <c r="MSE62" i="8"/>
  <c r="MSD62" i="8"/>
  <c r="MSC62" i="8"/>
  <c r="MSB62" i="8"/>
  <c r="MSA62" i="8"/>
  <c r="MRZ62" i="8"/>
  <c r="MRY62" i="8"/>
  <c r="MRX62" i="8"/>
  <c r="MRW62" i="8"/>
  <c r="MRV62" i="8"/>
  <c r="MRU62" i="8"/>
  <c r="MRT62" i="8"/>
  <c r="MRS62" i="8"/>
  <c r="MRR62" i="8"/>
  <c r="MRQ62" i="8"/>
  <c r="MRP62" i="8"/>
  <c r="MRO62" i="8"/>
  <c r="MRN62" i="8"/>
  <c r="MRM62" i="8"/>
  <c r="MRL62" i="8"/>
  <c r="MRK62" i="8"/>
  <c r="MRJ62" i="8"/>
  <c r="MRI62" i="8"/>
  <c r="MRH62" i="8"/>
  <c r="MRG62" i="8"/>
  <c r="MRF62" i="8"/>
  <c r="MRE62" i="8"/>
  <c r="MRD62" i="8"/>
  <c r="MRC62" i="8"/>
  <c r="MRB62" i="8"/>
  <c r="MRA62" i="8"/>
  <c r="MQZ62" i="8"/>
  <c r="MQY62" i="8"/>
  <c r="MQX62" i="8"/>
  <c r="MQW62" i="8"/>
  <c r="MQV62" i="8"/>
  <c r="MQU62" i="8"/>
  <c r="MQT62" i="8"/>
  <c r="MQS62" i="8"/>
  <c r="MQR62" i="8"/>
  <c r="MQQ62" i="8"/>
  <c r="MQP62" i="8"/>
  <c r="MQO62" i="8"/>
  <c r="MQN62" i="8"/>
  <c r="MQM62" i="8"/>
  <c r="MQL62" i="8"/>
  <c r="MQK62" i="8"/>
  <c r="MQJ62" i="8"/>
  <c r="MQI62" i="8"/>
  <c r="MQH62" i="8"/>
  <c r="MQG62" i="8"/>
  <c r="MQF62" i="8"/>
  <c r="MQE62" i="8"/>
  <c r="MQD62" i="8"/>
  <c r="MQC62" i="8"/>
  <c r="MQB62" i="8"/>
  <c r="MQA62" i="8"/>
  <c r="MPZ62" i="8"/>
  <c r="MPY62" i="8"/>
  <c r="MPX62" i="8"/>
  <c r="MPW62" i="8"/>
  <c r="MPV62" i="8"/>
  <c r="MPU62" i="8"/>
  <c r="MPT62" i="8"/>
  <c r="MPS62" i="8"/>
  <c r="MPR62" i="8"/>
  <c r="MPQ62" i="8"/>
  <c r="MPP62" i="8"/>
  <c r="MPO62" i="8"/>
  <c r="MPN62" i="8"/>
  <c r="MPM62" i="8"/>
  <c r="MPL62" i="8"/>
  <c r="MPK62" i="8"/>
  <c r="MPJ62" i="8"/>
  <c r="MPI62" i="8"/>
  <c r="MPH62" i="8"/>
  <c r="MPG62" i="8"/>
  <c r="MPF62" i="8"/>
  <c r="MPE62" i="8"/>
  <c r="MPD62" i="8"/>
  <c r="MPC62" i="8"/>
  <c r="MPB62" i="8"/>
  <c r="MPA62" i="8"/>
  <c r="MOZ62" i="8"/>
  <c r="MOY62" i="8"/>
  <c r="MOX62" i="8"/>
  <c r="MOW62" i="8"/>
  <c r="MOV62" i="8"/>
  <c r="MOU62" i="8"/>
  <c r="MOT62" i="8"/>
  <c r="MOS62" i="8"/>
  <c r="MOR62" i="8"/>
  <c r="MOQ62" i="8"/>
  <c r="MOP62" i="8"/>
  <c r="MOO62" i="8"/>
  <c r="MON62" i="8"/>
  <c r="MOM62" i="8"/>
  <c r="MOL62" i="8"/>
  <c r="MOK62" i="8"/>
  <c r="MOJ62" i="8"/>
  <c r="MOI62" i="8"/>
  <c r="MOH62" i="8"/>
  <c r="MOG62" i="8"/>
  <c r="MOF62" i="8"/>
  <c r="MOE62" i="8"/>
  <c r="MOD62" i="8"/>
  <c r="MOC62" i="8"/>
  <c r="MOB62" i="8"/>
  <c r="MOA62" i="8"/>
  <c r="MNZ62" i="8"/>
  <c r="MNY62" i="8"/>
  <c r="MNX62" i="8"/>
  <c r="MNW62" i="8"/>
  <c r="MNV62" i="8"/>
  <c r="MNU62" i="8"/>
  <c r="MNT62" i="8"/>
  <c r="MNS62" i="8"/>
  <c r="MNR62" i="8"/>
  <c r="MNQ62" i="8"/>
  <c r="MNP62" i="8"/>
  <c r="MNO62" i="8"/>
  <c r="MNN62" i="8"/>
  <c r="MNM62" i="8"/>
  <c r="MNL62" i="8"/>
  <c r="MNK62" i="8"/>
  <c r="MNJ62" i="8"/>
  <c r="MNI62" i="8"/>
  <c r="MNH62" i="8"/>
  <c r="MNG62" i="8"/>
  <c r="MNF62" i="8"/>
  <c r="MNE62" i="8"/>
  <c r="MND62" i="8"/>
  <c r="MNC62" i="8"/>
  <c r="MNB62" i="8"/>
  <c r="MNA62" i="8"/>
  <c r="MMZ62" i="8"/>
  <c r="MMY62" i="8"/>
  <c r="MMX62" i="8"/>
  <c r="MMW62" i="8"/>
  <c r="MMV62" i="8"/>
  <c r="MMU62" i="8"/>
  <c r="MMT62" i="8"/>
  <c r="MMS62" i="8"/>
  <c r="MMR62" i="8"/>
  <c r="MMQ62" i="8"/>
  <c r="MMP62" i="8"/>
  <c r="MMO62" i="8"/>
  <c r="MMN62" i="8"/>
  <c r="MMM62" i="8"/>
  <c r="MML62" i="8"/>
  <c r="MMK62" i="8"/>
  <c r="MMJ62" i="8"/>
  <c r="MMI62" i="8"/>
  <c r="MMH62" i="8"/>
  <c r="MMG62" i="8"/>
  <c r="MMF62" i="8"/>
  <c r="MME62" i="8"/>
  <c r="MMD62" i="8"/>
  <c r="MMC62" i="8"/>
  <c r="MMB62" i="8"/>
  <c r="MMA62" i="8"/>
  <c r="MLZ62" i="8"/>
  <c r="MLY62" i="8"/>
  <c r="MLX62" i="8"/>
  <c r="MLW62" i="8"/>
  <c r="MLV62" i="8"/>
  <c r="MLU62" i="8"/>
  <c r="MLT62" i="8"/>
  <c r="MLS62" i="8"/>
  <c r="MLR62" i="8"/>
  <c r="MLQ62" i="8"/>
  <c r="MLP62" i="8"/>
  <c r="MLO62" i="8"/>
  <c r="MLN62" i="8"/>
  <c r="MLM62" i="8"/>
  <c r="MLL62" i="8"/>
  <c r="MLK62" i="8"/>
  <c r="MLJ62" i="8"/>
  <c r="MLI62" i="8"/>
  <c r="MLH62" i="8"/>
  <c r="MLG62" i="8"/>
  <c r="MLF62" i="8"/>
  <c r="MLE62" i="8"/>
  <c r="MLD62" i="8"/>
  <c r="MLC62" i="8"/>
  <c r="MLB62" i="8"/>
  <c r="MLA62" i="8"/>
  <c r="MKZ62" i="8"/>
  <c r="MKY62" i="8"/>
  <c r="MKX62" i="8"/>
  <c r="MKW62" i="8"/>
  <c r="MKV62" i="8"/>
  <c r="MKU62" i="8"/>
  <c r="MKT62" i="8"/>
  <c r="MKS62" i="8"/>
  <c r="MKR62" i="8"/>
  <c r="MKQ62" i="8"/>
  <c r="MKP62" i="8"/>
  <c r="MKO62" i="8"/>
  <c r="MKN62" i="8"/>
  <c r="MKM62" i="8"/>
  <c r="MKL62" i="8"/>
  <c r="MKK62" i="8"/>
  <c r="MKJ62" i="8"/>
  <c r="MKI62" i="8"/>
  <c r="MKH62" i="8"/>
  <c r="MKG62" i="8"/>
  <c r="MKF62" i="8"/>
  <c r="MKE62" i="8"/>
  <c r="MKD62" i="8"/>
  <c r="MKC62" i="8"/>
  <c r="MKB62" i="8"/>
  <c r="MKA62" i="8"/>
  <c r="MJZ62" i="8"/>
  <c r="MJY62" i="8"/>
  <c r="MJX62" i="8"/>
  <c r="MJW62" i="8"/>
  <c r="MJV62" i="8"/>
  <c r="MJU62" i="8"/>
  <c r="MJT62" i="8"/>
  <c r="MJS62" i="8"/>
  <c r="MJR62" i="8"/>
  <c r="MJQ62" i="8"/>
  <c r="MJP62" i="8"/>
  <c r="MJO62" i="8"/>
  <c r="MJN62" i="8"/>
  <c r="MJM62" i="8"/>
  <c r="MJL62" i="8"/>
  <c r="MJK62" i="8"/>
  <c r="MJJ62" i="8"/>
  <c r="MJI62" i="8"/>
  <c r="MJH62" i="8"/>
  <c r="MJG62" i="8"/>
  <c r="MJF62" i="8"/>
  <c r="MJE62" i="8"/>
  <c r="MJD62" i="8"/>
  <c r="MJC62" i="8"/>
  <c r="MJB62" i="8"/>
  <c r="MJA62" i="8"/>
  <c r="MIZ62" i="8"/>
  <c r="MIY62" i="8"/>
  <c r="MIX62" i="8"/>
  <c r="MIW62" i="8"/>
  <c r="MIV62" i="8"/>
  <c r="MIU62" i="8"/>
  <c r="MIT62" i="8"/>
  <c r="MIS62" i="8"/>
  <c r="MIR62" i="8"/>
  <c r="MIQ62" i="8"/>
  <c r="MIP62" i="8"/>
  <c r="MIO62" i="8"/>
  <c r="MIN62" i="8"/>
  <c r="MIM62" i="8"/>
  <c r="MIL62" i="8"/>
  <c r="MIK62" i="8"/>
  <c r="MIJ62" i="8"/>
  <c r="MII62" i="8"/>
  <c r="MIH62" i="8"/>
  <c r="MIG62" i="8"/>
  <c r="MIF62" i="8"/>
  <c r="MIE62" i="8"/>
  <c r="MID62" i="8"/>
  <c r="MIC62" i="8"/>
  <c r="MIB62" i="8"/>
  <c r="MIA62" i="8"/>
  <c r="MHZ62" i="8"/>
  <c r="MHY62" i="8"/>
  <c r="MHX62" i="8"/>
  <c r="MHW62" i="8"/>
  <c r="MHV62" i="8"/>
  <c r="MHU62" i="8"/>
  <c r="MHT62" i="8"/>
  <c r="MHS62" i="8"/>
  <c r="MHR62" i="8"/>
  <c r="MHQ62" i="8"/>
  <c r="MHP62" i="8"/>
  <c r="MHO62" i="8"/>
  <c r="MHN62" i="8"/>
  <c r="MHM62" i="8"/>
  <c r="MHL62" i="8"/>
  <c r="MHK62" i="8"/>
  <c r="MHJ62" i="8"/>
  <c r="MHI62" i="8"/>
  <c r="MHH62" i="8"/>
  <c r="MHG62" i="8"/>
  <c r="MHF62" i="8"/>
  <c r="MHE62" i="8"/>
  <c r="MHD62" i="8"/>
  <c r="MHC62" i="8"/>
  <c r="MHB62" i="8"/>
  <c r="MHA62" i="8"/>
  <c r="MGZ62" i="8"/>
  <c r="MGY62" i="8"/>
  <c r="MGX62" i="8"/>
  <c r="MGW62" i="8"/>
  <c r="MGV62" i="8"/>
  <c r="MGU62" i="8"/>
  <c r="MGT62" i="8"/>
  <c r="MGS62" i="8"/>
  <c r="MGR62" i="8"/>
  <c r="MGQ62" i="8"/>
  <c r="MGP62" i="8"/>
  <c r="MGO62" i="8"/>
  <c r="MGN62" i="8"/>
  <c r="MGM62" i="8"/>
  <c r="MGL62" i="8"/>
  <c r="MGK62" i="8"/>
  <c r="MGJ62" i="8"/>
  <c r="MGI62" i="8"/>
  <c r="MGH62" i="8"/>
  <c r="MGG62" i="8"/>
  <c r="MGF62" i="8"/>
  <c r="MGE62" i="8"/>
  <c r="MGD62" i="8"/>
  <c r="MGC62" i="8"/>
  <c r="MGB62" i="8"/>
  <c r="MGA62" i="8"/>
  <c r="MFZ62" i="8"/>
  <c r="MFY62" i="8"/>
  <c r="MFX62" i="8"/>
  <c r="MFW62" i="8"/>
  <c r="MFV62" i="8"/>
  <c r="MFU62" i="8"/>
  <c r="MFT62" i="8"/>
  <c r="MFS62" i="8"/>
  <c r="MFR62" i="8"/>
  <c r="MFQ62" i="8"/>
  <c r="MFP62" i="8"/>
  <c r="MFO62" i="8"/>
  <c r="MFN62" i="8"/>
  <c r="MFM62" i="8"/>
  <c r="MFL62" i="8"/>
  <c r="MFK62" i="8"/>
  <c r="MFJ62" i="8"/>
  <c r="MFI62" i="8"/>
  <c r="MFH62" i="8"/>
  <c r="MFG62" i="8"/>
  <c r="MFF62" i="8"/>
  <c r="MFE62" i="8"/>
  <c r="MFD62" i="8"/>
  <c r="MFC62" i="8"/>
  <c r="MFB62" i="8"/>
  <c r="MFA62" i="8"/>
  <c r="MEZ62" i="8"/>
  <c r="MEY62" i="8"/>
  <c r="MEX62" i="8"/>
  <c r="MEW62" i="8"/>
  <c r="MEV62" i="8"/>
  <c r="MEU62" i="8"/>
  <c r="MET62" i="8"/>
  <c r="MES62" i="8"/>
  <c r="MER62" i="8"/>
  <c r="MEQ62" i="8"/>
  <c r="MEP62" i="8"/>
  <c r="MEO62" i="8"/>
  <c r="MEN62" i="8"/>
  <c r="MEM62" i="8"/>
  <c r="MEL62" i="8"/>
  <c r="MEK62" i="8"/>
  <c r="MEJ62" i="8"/>
  <c r="MEI62" i="8"/>
  <c r="MEH62" i="8"/>
  <c r="MEG62" i="8"/>
  <c r="MEF62" i="8"/>
  <c r="MEE62" i="8"/>
  <c r="MED62" i="8"/>
  <c r="MEC62" i="8"/>
  <c r="MEB62" i="8"/>
  <c r="MEA62" i="8"/>
  <c r="MDZ62" i="8"/>
  <c r="MDY62" i="8"/>
  <c r="MDX62" i="8"/>
  <c r="MDW62" i="8"/>
  <c r="MDV62" i="8"/>
  <c r="MDU62" i="8"/>
  <c r="MDT62" i="8"/>
  <c r="MDS62" i="8"/>
  <c r="MDR62" i="8"/>
  <c r="MDQ62" i="8"/>
  <c r="MDP62" i="8"/>
  <c r="MDO62" i="8"/>
  <c r="MDN62" i="8"/>
  <c r="MDM62" i="8"/>
  <c r="MDL62" i="8"/>
  <c r="MDK62" i="8"/>
  <c r="MDJ62" i="8"/>
  <c r="MDI62" i="8"/>
  <c r="MDH62" i="8"/>
  <c r="MDG62" i="8"/>
  <c r="MDF62" i="8"/>
  <c r="MDE62" i="8"/>
  <c r="MDD62" i="8"/>
  <c r="MDC62" i="8"/>
  <c r="MDB62" i="8"/>
  <c r="MDA62" i="8"/>
  <c r="MCZ62" i="8"/>
  <c r="MCY62" i="8"/>
  <c r="MCX62" i="8"/>
  <c r="MCW62" i="8"/>
  <c r="MCV62" i="8"/>
  <c r="MCU62" i="8"/>
  <c r="MCT62" i="8"/>
  <c r="MCS62" i="8"/>
  <c r="MCR62" i="8"/>
  <c r="MCQ62" i="8"/>
  <c r="MCP62" i="8"/>
  <c r="MCO62" i="8"/>
  <c r="MCN62" i="8"/>
  <c r="MCM62" i="8"/>
  <c r="MCL62" i="8"/>
  <c r="MCK62" i="8"/>
  <c r="MCJ62" i="8"/>
  <c r="MCI62" i="8"/>
  <c r="MCH62" i="8"/>
  <c r="MCG62" i="8"/>
  <c r="MCF62" i="8"/>
  <c r="MCE62" i="8"/>
  <c r="MCD62" i="8"/>
  <c r="MCC62" i="8"/>
  <c r="MCB62" i="8"/>
  <c r="MCA62" i="8"/>
  <c r="MBZ62" i="8"/>
  <c r="MBY62" i="8"/>
  <c r="MBX62" i="8"/>
  <c r="MBW62" i="8"/>
  <c r="MBV62" i="8"/>
  <c r="MBU62" i="8"/>
  <c r="MBT62" i="8"/>
  <c r="MBS62" i="8"/>
  <c r="MBR62" i="8"/>
  <c r="MBQ62" i="8"/>
  <c r="MBP62" i="8"/>
  <c r="MBO62" i="8"/>
  <c r="MBN62" i="8"/>
  <c r="MBM62" i="8"/>
  <c r="MBL62" i="8"/>
  <c r="MBK62" i="8"/>
  <c r="MBJ62" i="8"/>
  <c r="MBI62" i="8"/>
  <c r="MBH62" i="8"/>
  <c r="MBG62" i="8"/>
  <c r="MBF62" i="8"/>
  <c r="MBE62" i="8"/>
  <c r="MBD62" i="8"/>
  <c r="MBC62" i="8"/>
  <c r="MBB62" i="8"/>
  <c r="MBA62" i="8"/>
  <c r="MAZ62" i="8"/>
  <c r="MAY62" i="8"/>
  <c r="MAX62" i="8"/>
  <c r="MAW62" i="8"/>
  <c r="MAV62" i="8"/>
  <c r="MAU62" i="8"/>
  <c r="MAT62" i="8"/>
  <c r="MAS62" i="8"/>
  <c r="MAR62" i="8"/>
  <c r="MAQ62" i="8"/>
  <c r="MAP62" i="8"/>
  <c r="MAO62" i="8"/>
  <c r="MAN62" i="8"/>
  <c r="MAM62" i="8"/>
  <c r="MAL62" i="8"/>
  <c r="MAK62" i="8"/>
  <c r="MAJ62" i="8"/>
  <c r="MAI62" i="8"/>
  <c r="MAH62" i="8"/>
  <c r="MAG62" i="8"/>
  <c r="MAF62" i="8"/>
  <c r="MAE62" i="8"/>
  <c r="MAD62" i="8"/>
  <c r="MAC62" i="8"/>
  <c r="MAB62" i="8"/>
  <c r="MAA62" i="8"/>
  <c r="LZZ62" i="8"/>
  <c r="LZY62" i="8"/>
  <c r="LZX62" i="8"/>
  <c r="LZW62" i="8"/>
  <c r="LZV62" i="8"/>
  <c r="LZU62" i="8"/>
  <c r="LZT62" i="8"/>
  <c r="LZS62" i="8"/>
  <c r="LZR62" i="8"/>
  <c r="LZQ62" i="8"/>
  <c r="LZP62" i="8"/>
  <c r="LZO62" i="8"/>
  <c r="LZN62" i="8"/>
  <c r="LZM62" i="8"/>
  <c r="LZL62" i="8"/>
  <c r="LZK62" i="8"/>
  <c r="LZJ62" i="8"/>
  <c r="LZI62" i="8"/>
  <c r="LZH62" i="8"/>
  <c r="LZG62" i="8"/>
  <c r="LZF62" i="8"/>
  <c r="LZE62" i="8"/>
  <c r="LZD62" i="8"/>
  <c r="LZC62" i="8"/>
  <c r="LZB62" i="8"/>
  <c r="LZA62" i="8"/>
  <c r="LYZ62" i="8"/>
  <c r="LYY62" i="8"/>
  <c r="LYX62" i="8"/>
  <c r="LYW62" i="8"/>
  <c r="LYV62" i="8"/>
  <c r="LYU62" i="8"/>
  <c r="LYT62" i="8"/>
  <c r="LYS62" i="8"/>
  <c r="LYR62" i="8"/>
  <c r="LYQ62" i="8"/>
  <c r="LYP62" i="8"/>
  <c r="LYO62" i="8"/>
  <c r="LYN62" i="8"/>
  <c r="LYM62" i="8"/>
  <c r="LYL62" i="8"/>
  <c r="LYK62" i="8"/>
  <c r="LYJ62" i="8"/>
  <c r="LYI62" i="8"/>
  <c r="LYH62" i="8"/>
  <c r="LYG62" i="8"/>
  <c r="LYF62" i="8"/>
  <c r="LYE62" i="8"/>
  <c r="LYD62" i="8"/>
  <c r="LYC62" i="8"/>
  <c r="LYB62" i="8"/>
  <c r="LYA62" i="8"/>
  <c r="LXZ62" i="8"/>
  <c r="LXY62" i="8"/>
  <c r="LXX62" i="8"/>
  <c r="LXW62" i="8"/>
  <c r="LXV62" i="8"/>
  <c r="LXU62" i="8"/>
  <c r="LXT62" i="8"/>
  <c r="LXS62" i="8"/>
  <c r="LXR62" i="8"/>
  <c r="LXQ62" i="8"/>
  <c r="LXP62" i="8"/>
  <c r="LXO62" i="8"/>
  <c r="LXN62" i="8"/>
  <c r="LXM62" i="8"/>
  <c r="LXL62" i="8"/>
  <c r="LXK62" i="8"/>
  <c r="LXJ62" i="8"/>
  <c r="LXI62" i="8"/>
  <c r="LXH62" i="8"/>
  <c r="LXG62" i="8"/>
  <c r="LXF62" i="8"/>
  <c r="LXE62" i="8"/>
  <c r="LXD62" i="8"/>
  <c r="LXC62" i="8"/>
  <c r="LXB62" i="8"/>
  <c r="LXA62" i="8"/>
  <c r="LWZ62" i="8"/>
  <c r="LWY62" i="8"/>
  <c r="LWX62" i="8"/>
  <c r="LWW62" i="8"/>
  <c r="LWV62" i="8"/>
  <c r="LWU62" i="8"/>
  <c r="LWT62" i="8"/>
  <c r="LWS62" i="8"/>
  <c r="LWR62" i="8"/>
  <c r="LWQ62" i="8"/>
  <c r="LWP62" i="8"/>
  <c r="LWO62" i="8"/>
  <c r="LWN62" i="8"/>
  <c r="LWM62" i="8"/>
  <c r="LWL62" i="8"/>
  <c r="LWK62" i="8"/>
  <c r="LWJ62" i="8"/>
  <c r="LWI62" i="8"/>
  <c r="LWH62" i="8"/>
  <c r="LWG62" i="8"/>
  <c r="LWF62" i="8"/>
  <c r="LWE62" i="8"/>
  <c r="LWD62" i="8"/>
  <c r="LWC62" i="8"/>
  <c r="LWB62" i="8"/>
  <c r="LWA62" i="8"/>
  <c r="LVZ62" i="8"/>
  <c r="LVY62" i="8"/>
  <c r="LVX62" i="8"/>
  <c r="LVW62" i="8"/>
  <c r="LVV62" i="8"/>
  <c r="LVU62" i="8"/>
  <c r="LVT62" i="8"/>
  <c r="LVS62" i="8"/>
  <c r="LVR62" i="8"/>
  <c r="LVQ62" i="8"/>
  <c r="LVP62" i="8"/>
  <c r="LVO62" i="8"/>
  <c r="LVN62" i="8"/>
  <c r="LVM62" i="8"/>
  <c r="LVL62" i="8"/>
  <c r="LVK62" i="8"/>
  <c r="LVJ62" i="8"/>
  <c r="LVI62" i="8"/>
  <c r="LVH62" i="8"/>
  <c r="LVG62" i="8"/>
  <c r="LVF62" i="8"/>
  <c r="LVE62" i="8"/>
  <c r="LVD62" i="8"/>
  <c r="LVC62" i="8"/>
  <c r="LVB62" i="8"/>
  <c r="LVA62" i="8"/>
  <c r="LUZ62" i="8"/>
  <c r="LUY62" i="8"/>
  <c r="LUX62" i="8"/>
  <c r="LUW62" i="8"/>
  <c r="LUV62" i="8"/>
  <c r="LUU62" i="8"/>
  <c r="LUT62" i="8"/>
  <c r="LUS62" i="8"/>
  <c r="LUR62" i="8"/>
  <c r="LUQ62" i="8"/>
  <c r="LUP62" i="8"/>
  <c r="LUO62" i="8"/>
  <c r="LUN62" i="8"/>
  <c r="LUM62" i="8"/>
  <c r="LUL62" i="8"/>
  <c r="LUK62" i="8"/>
  <c r="LUJ62" i="8"/>
  <c r="LUI62" i="8"/>
  <c r="LUH62" i="8"/>
  <c r="LUG62" i="8"/>
  <c r="LUF62" i="8"/>
  <c r="LUE62" i="8"/>
  <c r="LUD62" i="8"/>
  <c r="LUC62" i="8"/>
  <c r="LUB62" i="8"/>
  <c r="LUA62" i="8"/>
  <c r="LTZ62" i="8"/>
  <c r="LTY62" i="8"/>
  <c r="LTX62" i="8"/>
  <c r="LTW62" i="8"/>
  <c r="LTV62" i="8"/>
  <c r="LTU62" i="8"/>
  <c r="LTT62" i="8"/>
  <c r="LTS62" i="8"/>
  <c r="LTR62" i="8"/>
  <c r="LTQ62" i="8"/>
  <c r="LTP62" i="8"/>
  <c r="LTO62" i="8"/>
  <c r="LTN62" i="8"/>
  <c r="LTM62" i="8"/>
  <c r="LTL62" i="8"/>
  <c r="LTK62" i="8"/>
  <c r="LTJ62" i="8"/>
  <c r="LTI62" i="8"/>
  <c r="LTH62" i="8"/>
  <c r="LTG62" i="8"/>
  <c r="LTF62" i="8"/>
  <c r="LTE62" i="8"/>
  <c r="LTD62" i="8"/>
  <c r="LTC62" i="8"/>
  <c r="LTB62" i="8"/>
  <c r="LTA62" i="8"/>
  <c r="LSZ62" i="8"/>
  <c r="LSY62" i="8"/>
  <c r="LSX62" i="8"/>
  <c r="LSW62" i="8"/>
  <c r="LSV62" i="8"/>
  <c r="LSU62" i="8"/>
  <c r="LST62" i="8"/>
  <c r="LSS62" i="8"/>
  <c r="LSR62" i="8"/>
  <c r="LSQ62" i="8"/>
  <c r="LSP62" i="8"/>
  <c r="LSO62" i="8"/>
  <c r="LSN62" i="8"/>
  <c r="LSM62" i="8"/>
  <c r="LSL62" i="8"/>
  <c r="LSK62" i="8"/>
  <c r="LSJ62" i="8"/>
  <c r="LSI62" i="8"/>
  <c r="LSH62" i="8"/>
  <c r="LSG62" i="8"/>
  <c r="LSF62" i="8"/>
  <c r="LSE62" i="8"/>
  <c r="LSD62" i="8"/>
  <c r="LSC62" i="8"/>
  <c r="LSB62" i="8"/>
  <c r="LSA62" i="8"/>
  <c r="LRZ62" i="8"/>
  <c r="LRY62" i="8"/>
  <c r="LRX62" i="8"/>
  <c r="LRW62" i="8"/>
  <c r="LRV62" i="8"/>
  <c r="LRU62" i="8"/>
  <c r="LRT62" i="8"/>
  <c r="LRS62" i="8"/>
  <c r="LRR62" i="8"/>
  <c r="LRQ62" i="8"/>
  <c r="LRP62" i="8"/>
  <c r="LRO62" i="8"/>
  <c r="LRN62" i="8"/>
  <c r="LRM62" i="8"/>
  <c r="LRL62" i="8"/>
  <c r="LRK62" i="8"/>
  <c r="LRJ62" i="8"/>
  <c r="LRI62" i="8"/>
  <c r="LRH62" i="8"/>
  <c r="LRG62" i="8"/>
  <c r="LRF62" i="8"/>
  <c r="LRE62" i="8"/>
  <c r="LRD62" i="8"/>
  <c r="LRC62" i="8"/>
  <c r="LRB62" i="8"/>
  <c r="LRA62" i="8"/>
  <c r="LQZ62" i="8"/>
  <c r="LQY62" i="8"/>
  <c r="LQX62" i="8"/>
  <c r="LQW62" i="8"/>
  <c r="LQV62" i="8"/>
  <c r="LQU62" i="8"/>
  <c r="LQT62" i="8"/>
  <c r="LQS62" i="8"/>
  <c r="LQR62" i="8"/>
  <c r="LQQ62" i="8"/>
  <c r="LQP62" i="8"/>
  <c r="LQO62" i="8"/>
  <c r="LQN62" i="8"/>
  <c r="LQM62" i="8"/>
  <c r="LQL62" i="8"/>
  <c r="LQK62" i="8"/>
  <c r="LQJ62" i="8"/>
  <c r="LQI62" i="8"/>
  <c r="LQH62" i="8"/>
  <c r="LQG62" i="8"/>
  <c r="LQF62" i="8"/>
  <c r="LQE62" i="8"/>
  <c r="LQD62" i="8"/>
  <c r="LQC62" i="8"/>
  <c r="LQB62" i="8"/>
  <c r="LQA62" i="8"/>
  <c r="LPZ62" i="8"/>
  <c r="LPY62" i="8"/>
  <c r="LPX62" i="8"/>
  <c r="LPW62" i="8"/>
  <c r="LPV62" i="8"/>
  <c r="LPU62" i="8"/>
  <c r="LPT62" i="8"/>
  <c r="LPS62" i="8"/>
  <c r="LPR62" i="8"/>
  <c r="LPQ62" i="8"/>
  <c r="LPP62" i="8"/>
  <c r="LPO62" i="8"/>
  <c r="LPN62" i="8"/>
  <c r="LPM62" i="8"/>
  <c r="LPL62" i="8"/>
  <c r="LPK62" i="8"/>
  <c r="LPJ62" i="8"/>
  <c r="LPI62" i="8"/>
  <c r="LPH62" i="8"/>
  <c r="LPG62" i="8"/>
  <c r="LPF62" i="8"/>
  <c r="LPE62" i="8"/>
  <c r="LPD62" i="8"/>
  <c r="LPC62" i="8"/>
  <c r="LPB62" i="8"/>
  <c r="LPA62" i="8"/>
  <c r="LOZ62" i="8"/>
  <c r="LOY62" i="8"/>
  <c r="LOX62" i="8"/>
  <c r="LOW62" i="8"/>
  <c r="LOV62" i="8"/>
  <c r="LOU62" i="8"/>
  <c r="LOT62" i="8"/>
  <c r="LOS62" i="8"/>
  <c r="LOR62" i="8"/>
  <c r="LOQ62" i="8"/>
  <c r="LOP62" i="8"/>
  <c r="LOO62" i="8"/>
  <c r="LON62" i="8"/>
  <c r="LOM62" i="8"/>
  <c r="LOL62" i="8"/>
  <c r="LOK62" i="8"/>
  <c r="LOJ62" i="8"/>
  <c r="LOI62" i="8"/>
  <c r="LOH62" i="8"/>
  <c r="LOG62" i="8"/>
  <c r="LOF62" i="8"/>
  <c r="LOE62" i="8"/>
  <c r="LOD62" i="8"/>
  <c r="LOC62" i="8"/>
  <c r="LOB62" i="8"/>
  <c r="LOA62" i="8"/>
  <c r="LNZ62" i="8"/>
  <c r="LNY62" i="8"/>
  <c r="LNX62" i="8"/>
  <c r="LNW62" i="8"/>
  <c r="LNV62" i="8"/>
  <c r="LNU62" i="8"/>
  <c r="LNT62" i="8"/>
  <c r="LNS62" i="8"/>
  <c r="LNR62" i="8"/>
  <c r="LNQ62" i="8"/>
  <c r="LNP62" i="8"/>
  <c r="LNO62" i="8"/>
  <c r="LNN62" i="8"/>
  <c r="LNM62" i="8"/>
  <c r="LNL62" i="8"/>
  <c r="LNK62" i="8"/>
  <c r="LNJ62" i="8"/>
  <c r="LNI62" i="8"/>
  <c r="LNH62" i="8"/>
  <c r="LNG62" i="8"/>
  <c r="LNF62" i="8"/>
  <c r="LNE62" i="8"/>
  <c r="LND62" i="8"/>
  <c r="LNC62" i="8"/>
  <c r="LNB62" i="8"/>
  <c r="LNA62" i="8"/>
  <c r="LMZ62" i="8"/>
  <c r="LMY62" i="8"/>
  <c r="LMX62" i="8"/>
  <c r="LMW62" i="8"/>
  <c r="LMV62" i="8"/>
  <c r="LMU62" i="8"/>
  <c r="LMT62" i="8"/>
  <c r="LMS62" i="8"/>
  <c r="LMR62" i="8"/>
  <c r="LMQ62" i="8"/>
  <c r="LMP62" i="8"/>
  <c r="LMO62" i="8"/>
  <c r="LMN62" i="8"/>
  <c r="LMM62" i="8"/>
  <c r="LML62" i="8"/>
  <c r="LMK62" i="8"/>
  <c r="LMJ62" i="8"/>
  <c r="LMI62" i="8"/>
  <c r="LMH62" i="8"/>
  <c r="LMG62" i="8"/>
  <c r="LMF62" i="8"/>
  <c r="LME62" i="8"/>
  <c r="LMD62" i="8"/>
  <c r="LMC62" i="8"/>
  <c r="LMB62" i="8"/>
  <c r="LMA62" i="8"/>
  <c r="LLZ62" i="8"/>
  <c r="LLY62" i="8"/>
  <c r="LLX62" i="8"/>
  <c r="LLW62" i="8"/>
  <c r="LLV62" i="8"/>
  <c r="LLU62" i="8"/>
  <c r="LLT62" i="8"/>
  <c r="LLS62" i="8"/>
  <c r="LLR62" i="8"/>
  <c r="LLQ62" i="8"/>
  <c r="LLP62" i="8"/>
  <c r="LLO62" i="8"/>
  <c r="LLN62" i="8"/>
  <c r="LLM62" i="8"/>
  <c r="LLL62" i="8"/>
  <c r="LLK62" i="8"/>
  <c r="LLJ62" i="8"/>
  <c r="LLI62" i="8"/>
  <c r="LLH62" i="8"/>
  <c r="LLG62" i="8"/>
  <c r="LLF62" i="8"/>
  <c r="LLE62" i="8"/>
  <c r="LLD62" i="8"/>
  <c r="LLC62" i="8"/>
  <c r="LLB62" i="8"/>
  <c r="LLA62" i="8"/>
  <c r="LKZ62" i="8"/>
  <c r="LKY62" i="8"/>
  <c r="LKX62" i="8"/>
  <c r="LKW62" i="8"/>
  <c r="LKV62" i="8"/>
  <c r="LKU62" i="8"/>
  <c r="LKT62" i="8"/>
  <c r="LKS62" i="8"/>
  <c r="LKR62" i="8"/>
  <c r="LKQ62" i="8"/>
  <c r="LKP62" i="8"/>
  <c r="LKO62" i="8"/>
  <c r="LKN62" i="8"/>
  <c r="LKM62" i="8"/>
  <c r="LKL62" i="8"/>
  <c r="LKK62" i="8"/>
  <c r="LKJ62" i="8"/>
  <c r="LKI62" i="8"/>
  <c r="LKH62" i="8"/>
  <c r="LKG62" i="8"/>
  <c r="LKF62" i="8"/>
  <c r="LKE62" i="8"/>
  <c r="LKD62" i="8"/>
  <c r="LKC62" i="8"/>
  <c r="LKB62" i="8"/>
  <c r="LKA62" i="8"/>
  <c r="LJZ62" i="8"/>
  <c r="LJY62" i="8"/>
  <c r="LJX62" i="8"/>
  <c r="LJW62" i="8"/>
  <c r="LJV62" i="8"/>
  <c r="LJU62" i="8"/>
  <c r="LJT62" i="8"/>
  <c r="LJS62" i="8"/>
  <c r="LJR62" i="8"/>
  <c r="LJQ62" i="8"/>
  <c r="LJP62" i="8"/>
  <c r="LJO62" i="8"/>
  <c r="LJN62" i="8"/>
  <c r="LJM62" i="8"/>
  <c r="LJL62" i="8"/>
  <c r="LJK62" i="8"/>
  <c r="LJJ62" i="8"/>
  <c r="LJI62" i="8"/>
  <c r="LJH62" i="8"/>
  <c r="LJG62" i="8"/>
  <c r="LJF62" i="8"/>
  <c r="LJE62" i="8"/>
  <c r="LJD62" i="8"/>
  <c r="LJC62" i="8"/>
  <c r="LJB62" i="8"/>
  <c r="LJA62" i="8"/>
  <c r="LIZ62" i="8"/>
  <c r="LIY62" i="8"/>
  <c r="LIX62" i="8"/>
  <c r="LIW62" i="8"/>
  <c r="LIV62" i="8"/>
  <c r="LIU62" i="8"/>
  <c r="LIT62" i="8"/>
  <c r="LIS62" i="8"/>
  <c r="LIR62" i="8"/>
  <c r="LIQ62" i="8"/>
  <c r="LIP62" i="8"/>
  <c r="LIO62" i="8"/>
  <c r="LIN62" i="8"/>
  <c r="LIM62" i="8"/>
  <c r="LIL62" i="8"/>
  <c r="LIK62" i="8"/>
  <c r="LIJ62" i="8"/>
  <c r="LII62" i="8"/>
  <c r="LIH62" i="8"/>
  <c r="LIG62" i="8"/>
  <c r="LIF62" i="8"/>
  <c r="LIE62" i="8"/>
  <c r="LID62" i="8"/>
  <c r="LIC62" i="8"/>
  <c r="LIB62" i="8"/>
  <c r="LIA62" i="8"/>
  <c r="LHZ62" i="8"/>
  <c r="LHY62" i="8"/>
  <c r="LHX62" i="8"/>
  <c r="LHW62" i="8"/>
  <c r="LHV62" i="8"/>
  <c r="LHU62" i="8"/>
  <c r="LHT62" i="8"/>
  <c r="LHS62" i="8"/>
  <c r="LHR62" i="8"/>
  <c r="LHQ62" i="8"/>
  <c r="LHP62" i="8"/>
  <c r="LHO62" i="8"/>
  <c r="LHN62" i="8"/>
  <c r="LHM62" i="8"/>
  <c r="LHL62" i="8"/>
  <c r="LHK62" i="8"/>
  <c r="LHJ62" i="8"/>
  <c r="LHI62" i="8"/>
  <c r="LHH62" i="8"/>
  <c r="LHG62" i="8"/>
  <c r="LHF62" i="8"/>
  <c r="LHE62" i="8"/>
  <c r="LHD62" i="8"/>
  <c r="LHC62" i="8"/>
  <c r="LHB62" i="8"/>
  <c r="LHA62" i="8"/>
  <c r="LGZ62" i="8"/>
  <c r="LGY62" i="8"/>
  <c r="LGX62" i="8"/>
  <c r="LGW62" i="8"/>
  <c r="LGV62" i="8"/>
  <c r="LGU62" i="8"/>
  <c r="LGT62" i="8"/>
  <c r="LGS62" i="8"/>
  <c r="LGR62" i="8"/>
  <c r="LGQ62" i="8"/>
  <c r="LGP62" i="8"/>
  <c r="LGO62" i="8"/>
  <c r="LGN62" i="8"/>
  <c r="LGM62" i="8"/>
  <c r="LGL62" i="8"/>
  <c r="LGK62" i="8"/>
  <c r="LGJ62" i="8"/>
  <c r="LGI62" i="8"/>
  <c r="LGH62" i="8"/>
  <c r="LGG62" i="8"/>
  <c r="LGF62" i="8"/>
  <c r="LGE62" i="8"/>
  <c r="LGD62" i="8"/>
  <c r="LGC62" i="8"/>
  <c r="LGB62" i="8"/>
  <c r="LGA62" i="8"/>
  <c r="LFZ62" i="8"/>
  <c r="LFY62" i="8"/>
  <c r="LFX62" i="8"/>
  <c r="LFW62" i="8"/>
  <c r="LFV62" i="8"/>
  <c r="LFU62" i="8"/>
  <c r="LFT62" i="8"/>
  <c r="LFS62" i="8"/>
  <c r="LFR62" i="8"/>
  <c r="LFQ62" i="8"/>
  <c r="LFP62" i="8"/>
  <c r="LFO62" i="8"/>
  <c r="LFN62" i="8"/>
  <c r="LFM62" i="8"/>
  <c r="LFL62" i="8"/>
  <c r="LFK62" i="8"/>
  <c r="LFJ62" i="8"/>
  <c r="LFI62" i="8"/>
  <c r="LFH62" i="8"/>
  <c r="LFG62" i="8"/>
  <c r="LFF62" i="8"/>
  <c r="LFE62" i="8"/>
  <c r="LFD62" i="8"/>
  <c r="LFC62" i="8"/>
  <c r="LFB62" i="8"/>
  <c r="LFA62" i="8"/>
  <c r="LEZ62" i="8"/>
  <c r="LEY62" i="8"/>
  <c r="LEX62" i="8"/>
  <c r="LEW62" i="8"/>
  <c r="LEV62" i="8"/>
  <c r="LEU62" i="8"/>
  <c r="LET62" i="8"/>
  <c r="LES62" i="8"/>
  <c r="LER62" i="8"/>
  <c r="LEQ62" i="8"/>
  <c r="LEP62" i="8"/>
  <c r="LEO62" i="8"/>
  <c r="LEN62" i="8"/>
  <c r="LEM62" i="8"/>
  <c r="LEL62" i="8"/>
  <c r="LEK62" i="8"/>
  <c r="LEJ62" i="8"/>
  <c r="LEI62" i="8"/>
  <c r="LEH62" i="8"/>
  <c r="LEG62" i="8"/>
  <c r="LEF62" i="8"/>
  <c r="LEE62" i="8"/>
  <c r="LED62" i="8"/>
  <c r="LEC62" i="8"/>
  <c r="LEB62" i="8"/>
  <c r="LEA62" i="8"/>
  <c r="LDZ62" i="8"/>
  <c r="LDY62" i="8"/>
  <c r="LDX62" i="8"/>
  <c r="LDW62" i="8"/>
  <c r="LDV62" i="8"/>
  <c r="LDU62" i="8"/>
  <c r="LDT62" i="8"/>
  <c r="LDS62" i="8"/>
  <c r="LDR62" i="8"/>
  <c r="LDQ62" i="8"/>
  <c r="LDP62" i="8"/>
  <c r="LDO62" i="8"/>
  <c r="LDN62" i="8"/>
  <c r="LDM62" i="8"/>
  <c r="LDL62" i="8"/>
  <c r="LDK62" i="8"/>
  <c r="LDJ62" i="8"/>
  <c r="LDI62" i="8"/>
  <c r="LDH62" i="8"/>
  <c r="LDG62" i="8"/>
  <c r="LDF62" i="8"/>
  <c r="LDE62" i="8"/>
  <c r="LDD62" i="8"/>
  <c r="LDC62" i="8"/>
  <c r="LDB62" i="8"/>
  <c r="LDA62" i="8"/>
  <c r="LCZ62" i="8"/>
  <c r="LCY62" i="8"/>
  <c r="LCX62" i="8"/>
  <c r="LCW62" i="8"/>
  <c r="LCV62" i="8"/>
  <c r="LCU62" i="8"/>
  <c r="LCT62" i="8"/>
  <c r="LCS62" i="8"/>
  <c r="LCR62" i="8"/>
  <c r="LCQ62" i="8"/>
  <c r="LCP62" i="8"/>
  <c r="LCO62" i="8"/>
  <c r="LCN62" i="8"/>
  <c r="LCM62" i="8"/>
  <c r="LCL62" i="8"/>
  <c r="LCK62" i="8"/>
  <c r="LCJ62" i="8"/>
  <c r="LCI62" i="8"/>
  <c r="LCH62" i="8"/>
  <c r="LCG62" i="8"/>
  <c r="LCF62" i="8"/>
  <c r="LCE62" i="8"/>
  <c r="LCD62" i="8"/>
  <c r="LCC62" i="8"/>
  <c r="LCB62" i="8"/>
  <c r="LCA62" i="8"/>
  <c r="LBZ62" i="8"/>
  <c r="LBY62" i="8"/>
  <c r="LBX62" i="8"/>
  <c r="LBW62" i="8"/>
  <c r="LBV62" i="8"/>
  <c r="LBU62" i="8"/>
  <c r="LBT62" i="8"/>
  <c r="LBS62" i="8"/>
  <c r="LBR62" i="8"/>
  <c r="LBQ62" i="8"/>
  <c r="LBP62" i="8"/>
  <c r="LBO62" i="8"/>
  <c r="LBN62" i="8"/>
  <c r="LBM62" i="8"/>
  <c r="LBL62" i="8"/>
  <c r="LBK62" i="8"/>
  <c r="LBJ62" i="8"/>
  <c r="LBI62" i="8"/>
  <c r="LBH62" i="8"/>
  <c r="LBG62" i="8"/>
  <c r="LBF62" i="8"/>
  <c r="LBE62" i="8"/>
  <c r="LBD62" i="8"/>
  <c r="LBC62" i="8"/>
  <c r="LBB62" i="8"/>
  <c r="LBA62" i="8"/>
  <c r="LAZ62" i="8"/>
  <c r="LAY62" i="8"/>
  <c r="LAX62" i="8"/>
  <c r="LAW62" i="8"/>
  <c r="LAV62" i="8"/>
  <c r="LAU62" i="8"/>
  <c r="LAT62" i="8"/>
  <c r="LAS62" i="8"/>
  <c r="LAR62" i="8"/>
  <c r="LAQ62" i="8"/>
  <c r="LAP62" i="8"/>
  <c r="LAO62" i="8"/>
  <c r="LAN62" i="8"/>
  <c r="LAM62" i="8"/>
  <c r="LAL62" i="8"/>
  <c r="LAK62" i="8"/>
  <c r="LAJ62" i="8"/>
  <c r="LAI62" i="8"/>
  <c r="LAH62" i="8"/>
  <c r="LAG62" i="8"/>
  <c r="LAF62" i="8"/>
  <c r="LAE62" i="8"/>
  <c r="LAD62" i="8"/>
  <c r="LAC62" i="8"/>
  <c r="LAB62" i="8"/>
  <c r="LAA62" i="8"/>
  <c r="KZZ62" i="8"/>
  <c r="KZY62" i="8"/>
  <c r="KZX62" i="8"/>
  <c r="KZW62" i="8"/>
  <c r="KZV62" i="8"/>
  <c r="KZU62" i="8"/>
  <c r="KZT62" i="8"/>
  <c r="KZS62" i="8"/>
  <c r="KZR62" i="8"/>
  <c r="KZQ62" i="8"/>
  <c r="KZP62" i="8"/>
  <c r="KZO62" i="8"/>
  <c r="KZN62" i="8"/>
  <c r="KZM62" i="8"/>
  <c r="KZL62" i="8"/>
  <c r="KZK62" i="8"/>
  <c r="KZJ62" i="8"/>
  <c r="KZI62" i="8"/>
  <c r="KZH62" i="8"/>
  <c r="KZG62" i="8"/>
  <c r="KZF62" i="8"/>
  <c r="KZE62" i="8"/>
  <c r="KZD62" i="8"/>
  <c r="KZC62" i="8"/>
  <c r="KZB62" i="8"/>
  <c r="KZA62" i="8"/>
  <c r="KYZ62" i="8"/>
  <c r="KYY62" i="8"/>
  <c r="KYX62" i="8"/>
  <c r="KYW62" i="8"/>
  <c r="KYV62" i="8"/>
  <c r="KYU62" i="8"/>
  <c r="KYT62" i="8"/>
  <c r="KYS62" i="8"/>
  <c r="KYR62" i="8"/>
  <c r="KYQ62" i="8"/>
  <c r="KYP62" i="8"/>
  <c r="KYO62" i="8"/>
  <c r="KYN62" i="8"/>
  <c r="KYM62" i="8"/>
  <c r="KYL62" i="8"/>
  <c r="KYK62" i="8"/>
  <c r="KYJ62" i="8"/>
  <c r="KYI62" i="8"/>
  <c r="KYH62" i="8"/>
  <c r="KYG62" i="8"/>
  <c r="KYF62" i="8"/>
  <c r="KYE62" i="8"/>
  <c r="KYD62" i="8"/>
  <c r="KYC62" i="8"/>
  <c r="KYB62" i="8"/>
  <c r="KYA62" i="8"/>
  <c r="KXZ62" i="8"/>
  <c r="KXY62" i="8"/>
  <c r="KXX62" i="8"/>
  <c r="KXW62" i="8"/>
  <c r="KXV62" i="8"/>
  <c r="KXU62" i="8"/>
  <c r="KXT62" i="8"/>
  <c r="KXS62" i="8"/>
  <c r="KXR62" i="8"/>
  <c r="KXQ62" i="8"/>
  <c r="KXP62" i="8"/>
  <c r="KXO62" i="8"/>
  <c r="KXN62" i="8"/>
  <c r="KXM62" i="8"/>
  <c r="KXL62" i="8"/>
  <c r="KXK62" i="8"/>
  <c r="KXJ62" i="8"/>
  <c r="KXI62" i="8"/>
  <c r="KXH62" i="8"/>
  <c r="KXG62" i="8"/>
  <c r="KXF62" i="8"/>
  <c r="KXE62" i="8"/>
  <c r="KXD62" i="8"/>
  <c r="KXC62" i="8"/>
  <c r="KXB62" i="8"/>
  <c r="KXA62" i="8"/>
  <c r="KWZ62" i="8"/>
  <c r="KWY62" i="8"/>
  <c r="KWX62" i="8"/>
  <c r="KWW62" i="8"/>
  <c r="KWV62" i="8"/>
  <c r="KWU62" i="8"/>
  <c r="KWT62" i="8"/>
  <c r="KWS62" i="8"/>
  <c r="KWR62" i="8"/>
  <c r="KWQ62" i="8"/>
  <c r="KWP62" i="8"/>
  <c r="KWO62" i="8"/>
  <c r="KWN62" i="8"/>
  <c r="KWM62" i="8"/>
  <c r="KWL62" i="8"/>
  <c r="KWK62" i="8"/>
  <c r="KWJ62" i="8"/>
  <c r="KWI62" i="8"/>
  <c r="KWH62" i="8"/>
  <c r="KWG62" i="8"/>
  <c r="KWF62" i="8"/>
  <c r="KWE62" i="8"/>
  <c r="KWD62" i="8"/>
  <c r="KWC62" i="8"/>
  <c r="KWB62" i="8"/>
  <c r="KWA62" i="8"/>
  <c r="KVZ62" i="8"/>
  <c r="KVY62" i="8"/>
  <c r="KVX62" i="8"/>
  <c r="KVW62" i="8"/>
  <c r="KVV62" i="8"/>
  <c r="KVU62" i="8"/>
  <c r="KVT62" i="8"/>
  <c r="KVS62" i="8"/>
  <c r="KVR62" i="8"/>
  <c r="KVQ62" i="8"/>
  <c r="KVP62" i="8"/>
  <c r="KVO62" i="8"/>
  <c r="KVN62" i="8"/>
  <c r="KVM62" i="8"/>
  <c r="KVL62" i="8"/>
  <c r="KVK62" i="8"/>
  <c r="KVJ62" i="8"/>
  <c r="KVI62" i="8"/>
  <c r="KVH62" i="8"/>
  <c r="KVG62" i="8"/>
  <c r="KVF62" i="8"/>
  <c r="KVE62" i="8"/>
  <c r="KVD62" i="8"/>
  <c r="KVC62" i="8"/>
  <c r="KVB62" i="8"/>
  <c r="KVA62" i="8"/>
  <c r="KUZ62" i="8"/>
  <c r="KUY62" i="8"/>
  <c r="KUX62" i="8"/>
  <c r="KUW62" i="8"/>
  <c r="KUV62" i="8"/>
  <c r="KUU62" i="8"/>
  <c r="KUT62" i="8"/>
  <c r="KUS62" i="8"/>
  <c r="KUR62" i="8"/>
  <c r="KUQ62" i="8"/>
  <c r="KUP62" i="8"/>
  <c r="KUO62" i="8"/>
  <c r="KUN62" i="8"/>
  <c r="KUM62" i="8"/>
  <c r="KUL62" i="8"/>
  <c r="KUK62" i="8"/>
  <c r="KUJ62" i="8"/>
  <c r="KUI62" i="8"/>
  <c r="KUH62" i="8"/>
  <c r="KUG62" i="8"/>
  <c r="KUF62" i="8"/>
  <c r="KUE62" i="8"/>
  <c r="KUD62" i="8"/>
  <c r="KUC62" i="8"/>
  <c r="KUB62" i="8"/>
  <c r="KUA62" i="8"/>
  <c r="KTZ62" i="8"/>
  <c r="KTY62" i="8"/>
  <c r="KTX62" i="8"/>
  <c r="KTW62" i="8"/>
  <c r="KTV62" i="8"/>
  <c r="KTU62" i="8"/>
  <c r="KTT62" i="8"/>
  <c r="KTS62" i="8"/>
  <c r="KTR62" i="8"/>
  <c r="KTQ62" i="8"/>
  <c r="KTP62" i="8"/>
  <c r="KTO62" i="8"/>
  <c r="KTN62" i="8"/>
  <c r="KTM62" i="8"/>
  <c r="KTL62" i="8"/>
  <c r="KTK62" i="8"/>
  <c r="KTJ62" i="8"/>
  <c r="KTI62" i="8"/>
  <c r="KTH62" i="8"/>
  <c r="KTG62" i="8"/>
  <c r="KTF62" i="8"/>
  <c r="KTE62" i="8"/>
  <c r="KTD62" i="8"/>
  <c r="KTC62" i="8"/>
  <c r="KTB62" i="8"/>
  <c r="KTA62" i="8"/>
  <c r="KSZ62" i="8"/>
  <c r="KSY62" i="8"/>
  <c r="KSX62" i="8"/>
  <c r="KSW62" i="8"/>
  <c r="KSV62" i="8"/>
  <c r="KSU62" i="8"/>
  <c r="KST62" i="8"/>
  <c r="KSS62" i="8"/>
  <c r="KSR62" i="8"/>
  <c r="KSQ62" i="8"/>
  <c r="KSP62" i="8"/>
  <c r="KSO62" i="8"/>
  <c r="KSN62" i="8"/>
  <c r="KSM62" i="8"/>
  <c r="KSL62" i="8"/>
  <c r="KSK62" i="8"/>
  <c r="KSJ62" i="8"/>
  <c r="KSI62" i="8"/>
  <c r="KSH62" i="8"/>
  <c r="KSG62" i="8"/>
  <c r="KSF62" i="8"/>
  <c r="KSE62" i="8"/>
  <c r="KSD62" i="8"/>
  <c r="KSC62" i="8"/>
  <c r="KSB62" i="8"/>
  <c r="KSA62" i="8"/>
  <c r="KRZ62" i="8"/>
  <c r="KRY62" i="8"/>
  <c r="KRX62" i="8"/>
  <c r="KRW62" i="8"/>
  <c r="KRV62" i="8"/>
  <c r="KRU62" i="8"/>
  <c r="KRT62" i="8"/>
  <c r="KRS62" i="8"/>
  <c r="KRR62" i="8"/>
  <c r="KRQ62" i="8"/>
  <c r="KRP62" i="8"/>
  <c r="KRO62" i="8"/>
  <c r="KRN62" i="8"/>
  <c r="KRM62" i="8"/>
  <c r="KRL62" i="8"/>
  <c r="KRK62" i="8"/>
  <c r="KRJ62" i="8"/>
  <c r="KRI62" i="8"/>
  <c r="KRH62" i="8"/>
  <c r="KRG62" i="8"/>
  <c r="KRF62" i="8"/>
  <c r="KRE62" i="8"/>
  <c r="KRD62" i="8"/>
  <c r="KRC62" i="8"/>
  <c r="KRB62" i="8"/>
  <c r="KRA62" i="8"/>
  <c r="KQZ62" i="8"/>
  <c r="KQY62" i="8"/>
  <c r="KQX62" i="8"/>
  <c r="KQW62" i="8"/>
  <c r="KQV62" i="8"/>
  <c r="KQU62" i="8"/>
  <c r="KQT62" i="8"/>
  <c r="KQS62" i="8"/>
  <c r="KQR62" i="8"/>
  <c r="KQQ62" i="8"/>
  <c r="KQP62" i="8"/>
  <c r="KQO62" i="8"/>
  <c r="KQN62" i="8"/>
  <c r="KQM62" i="8"/>
  <c r="KQL62" i="8"/>
  <c r="KQK62" i="8"/>
  <c r="KQJ62" i="8"/>
  <c r="KQI62" i="8"/>
  <c r="KQH62" i="8"/>
  <c r="KQG62" i="8"/>
  <c r="KQF62" i="8"/>
  <c r="KQE62" i="8"/>
  <c r="KQD62" i="8"/>
  <c r="KQC62" i="8"/>
  <c r="KQB62" i="8"/>
  <c r="KQA62" i="8"/>
  <c r="KPZ62" i="8"/>
  <c r="KPY62" i="8"/>
  <c r="KPX62" i="8"/>
  <c r="KPW62" i="8"/>
  <c r="KPV62" i="8"/>
  <c r="KPU62" i="8"/>
  <c r="KPT62" i="8"/>
  <c r="KPS62" i="8"/>
  <c r="KPR62" i="8"/>
  <c r="KPQ62" i="8"/>
  <c r="KPP62" i="8"/>
  <c r="KPO62" i="8"/>
  <c r="KPN62" i="8"/>
  <c r="KPM62" i="8"/>
  <c r="KPL62" i="8"/>
  <c r="KPK62" i="8"/>
  <c r="KPJ62" i="8"/>
  <c r="KPI62" i="8"/>
  <c r="KPH62" i="8"/>
  <c r="KPG62" i="8"/>
  <c r="KPF62" i="8"/>
  <c r="KPE62" i="8"/>
  <c r="KPD62" i="8"/>
  <c r="KPC62" i="8"/>
  <c r="KPB62" i="8"/>
  <c r="KPA62" i="8"/>
  <c r="KOZ62" i="8"/>
  <c r="KOY62" i="8"/>
  <c r="KOX62" i="8"/>
  <c r="KOW62" i="8"/>
  <c r="KOV62" i="8"/>
  <c r="KOU62" i="8"/>
  <c r="KOT62" i="8"/>
  <c r="KOS62" i="8"/>
  <c r="KOR62" i="8"/>
  <c r="KOQ62" i="8"/>
  <c r="KOP62" i="8"/>
  <c r="KOO62" i="8"/>
  <c r="KON62" i="8"/>
  <c r="KOM62" i="8"/>
  <c r="KOL62" i="8"/>
  <c r="KOK62" i="8"/>
  <c r="KOJ62" i="8"/>
  <c r="KOI62" i="8"/>
  <c r="KOH62" i="8"/>
  <c r="KOG62" i="8"/>
  <c r="KOF62" i="8"/>
  <c r="KOE62" i="8"/>
  <c r="KOD62" i="8"/>
  <c r="KOC62" i="8"/>
  <c r="KOB62" i="8"/>
  <c r="KOA62" i="8"/>
  <c r="KNZ62" i="8"/>
  <c r="KNY62" i="8"/>
  <c r="KNX62" i="8"/>
  <c r="KNW62" i="8"/>
  <c r="KNV62" i="8"/>
  <c r="KNU62" i="8"/>
  <c r="KNT62" i="8"/>
  <c r="KNS62" i="8"/>
  <c r="KNR62" i="8"/>
  <c r="KNQ62" i="8"/>
  <c r="KNP62" i="8"/>
  <c r="KNO62" i="8"/>
  <c r="KNN62" i="8"/>
  <c r="KNM62" i="8"/>
  <c r="KNL62" i="8"/>
  <c r="KNK62" i="8"/>
  <c r="KNJ62" i="8"/>
  <c r="KNI62" i="8"/>
  <c r="KNH62" i="8"/>
  <c r="KNG62" i="8"/>
  <c r="KNF62" i="8"/>
  <c r="KNE62" i="8"/>
  <c r="KND62" i="8"/>
  <c r="KNC62" i="8"/>
  <c r="KNB62" i="8"/>
  <c r="KNA62" i="8"/>
  <c r="KMZ62" i="8"/>
  <c r="KMY62" i="8"/>
  <c r="KMX62" i="8"/>
  <c r="KMW62" i="8"/>
  <c r="KMV62" i="8"/>
  <c r="KMU62" i="8"/>
  <c r="KMT62" i="8"/>
  <c r="KMS62" i="8"/>
  <c r="KMR62" i="8"/>
  <c r="KMQ62" i="8"/>
  <c r="KMP62" i="8"/>
  <c r="KMO62" i="8"/>
  <c r="KMN62" i="8"/>
  <c r="KMM62" i="8"/>
  <c r="KML62" i="8"/>
  <c r="KMK62" i="8"/>
  <c r="KMJ62" i="8"/>
  <c r="KMI62" i="8"/>
  <c r="KMH62" i="8"/>
  <c r="KMG62" i="8"/>
  <c r="KMF62" i="8"/>
  <c r="KME62" i="8"/>
  <c r="KMD62" i="8"/>
  <c r="KMC62" i="8"/>
  <c r="KMB62" i="8"/>
  <c r="KMA62" i="8"/>
  <c r="KLZ62" i="8"/>
  <c r="KLY62" i="8"/>
  <c r="KLX62" i="8"/>
  <c r="KLW62" i="8"/>
  <c r="KLV62" i="8"/>
  <c r="KLU62" i="8"/>
  <c r="KLT62" i="8"/>
  <c r="KLS62" i="8"/>
  <c r="KLR62" i="8"/>
  <c r="KLQ62" i="8"/>
  <c r="KLP62" i="8"/>
  <c r="KLO62" i="8"/>
  <c r="KLN62" i="8"/>
  <c r="KLM62" i="8"/>
  <c r="KLL62" i="8"/>
  <c r="KLK62" i="8"/>
  <c r="KLJ62" i="8"/>
  <c r="KLI62" i="8"/>
  <c r="KLH62" i="8"/>
  <c r="KLG62" i="8"/>
  <c r="KLF62" i="8"/>
  <c r="KLE62" i="8"/>
  <c r="KLD62" i="8"/>
  <c r="KLC62" i="8"/>
  <c r="KLB62" i="8"/>
  <c r="KLA62" i="8"/>
  <c r="KKZ62" i="8"/>
  <c r="KKY62" i="8"/>
  <c r="KKX62" i="8"/>
  <c r="KKW62" i="8"/>
  <c r="KKV62" i="8"/>
  <c r="KKU62" i="8"/>
  <c r="KKT62" i="8"/>
  <c r="KKS62" i="8"/>
  <c r="KKR62" i="8"/>
  <c r="KKQ62" i="8"/>
  <c r="KKP62" i="8"/>
  <c r="KKO62" i="8"/>
  <c r="KKN62" i="8"/>
  <c r="KKM62" i="8"/>
  <c r="KKL62" i="8"/>
  <c r="KKK62" i="8"/>
  <c r="KKJ62" i="8"/>
  <c r="KKI62" i="8"/>
  <c r="KKH62" i="8"/>
  <c r="KKG62" i="8"/>
  <c r="KKF62" i="8"/>
  <c r="KKE62" i="8"/>
  <c r="KKD62" i="8"/>
  <c r="KKC62" i="8"/>
  <c r="KKB62" i="8"/>
  <c r="KKA62" i="8"/>
  <c r="KJZ62" i="8"/>
  <c r="KJY62" i="8"/>
  <c r="KJX62" i="8"/>
  <c r="KJW62" i="8"/>
  <c r="KJV62" i="8"/>
  <c r="KJU62" i="8"/>
  <c r="KJT62" i="8"/>
  <c r="KJS62" i="8"/>
  <c r="KJR62" i="8"/>
  <c r="KJQ62" i="8"/>
  <c r="KJP62" i="8"/>
  <c r="KJO62" i="8"/>
  <c r="KJN62" i="8"/>
  <c r="KJM62" i="8"/>
  <c r="KJL62" i="8"/>
  <c r="KJK62" i="8"/>
  <c r="KJJ62" i="8"/>
  <c r="KJI62" i="8"/>
  <c r="KJH62" i="8"/>
  <c r="KJG62" i="8"/>
  <c r="KJF62" i="8"/>
  <c r="KJE62" i="8"/>
  <c r="KJD62" i="8"/>
  <c r="KJC62" i="8"/>
  <c r="KJB62" i="8"/>
  <c r="KJA62" i="8"/>
  <c r="KIZ62" i="8"/>
  <c r="KIY62" i="8"/>
  <c r="KIX62" i="8"/>
  <c r="KIW62" i="8"/>
  <c r="KIV62" i="8"/>
  <c r="KIU62" i="8"/>
  <c r="KIT62" i="8"/>
  <c r="KIS62" i="8"/>
  <c r="KIR62" i="8"/>
  <c r="KIQ62" i="8"/>
  <c r="KIP62" i="8"/>
  <c r="KIO62" i="8"/>
  <c r="KIN62" i="8"/>
  <c r="KIM62" i="8"/>
  <c r="KIL62" i="8"/>
  <c r="KIK62" i="8"/>
  <c r="KIJ62" i="8"/>
  <c r="KII62" i="8"/>
  <c r="KIH62" i="8"/>
  <c r="KIG62" i="8"/>
  <c r="KIF62" i="8"/>
  <c r="KIE62" i="8"/>
  <c r="KID62" i="8"/>
  <c r="KIC62" i="8"/>
  <c r="KIB62" i="8"/>
  <c r="KIA62" i="8"/>
  <c r="KHZ62" i="8"/>
  <c r="KHY62" i="8"/>
  <c r="KHX62" i="8"/>
  <c r="KHW62" i="8"/>
  <c r="KHV62" i="8"/>
  <c r="KHU62" i="8"/>
  <c r="KHT62" i="8"/>
  <c r="KHS62" i="8"/>
  <c r="KHR62" i="8"/>
  <c r="KHQ62" i="8"/>
  <c r="KHP62" i="8"/>
  <c r="KHO62" i="8"/>
  <c r="KHN62" i="8"/>
  <c r="KHM62" i="8"/>
  <c r="KHL62" i="8"/>
  <c r="KHK62" i="8"/>
  <c r="KHJ62" i="8"/>
  <c r="KHI62" i="8"/>
  <c r="KHH62" i="8"/>
  <c r="KHG62" i="8"/>
  <c r="KHF62" i="8"/>
  <c r="KHE62" i="8"/>
  <c r="KHD62" i="8"/>
  <c r="KHC62" i="8"/>
  <c r="KHB62" i="8"/>
  <c r="KHA62" i="8"/>
  <c r="KGZ62" i="8"/>
  <c r="KGY62" i="8"/>
  <c r="KGX62" i="8"/>
  <c r="KGW62" i="8"/>
  <c r="KGV62" i="8"/>
  <c r="KGU62" i="8"/>
  <c r="KGT62" i="8"/>
  <c r="KGS62" i="8"/>
  <c r="KGR62" i="8"/>
  <c r="KGQ62" i="8"/>
  <c r="KGP62" i="8"/>
  <c r="KGO62" i="8"/>
  <c r="KGN62" i="8"/>
  <c r="KGM62" i="8"/>
  <c r="KGL62" i="8"/>
  <c r="KGK62" i="8"/>
  <c r="KGJ62" i="8"/>
  <c r="KGI62" i="8"/>
  <c r="KGH62" i="8"/>
  <c r="KGG62" i="8"/>
  <c r="KGF62" i="8"/>
  <c r="KGE62" i="8"/>
  <c r="KGD62" i="8"/>
  <c r="KGC62" i="8"/>
  <c r="KGB62" i="8"/>
  <c r="KGA62" i="8"/>
  <c r="KFZ62" i="8"/>
  <c r="KFY62" i="8"/>
  <c r="KFX62" i="8"/>
  <c r="KFW62" i="8"/>
  <c r="KFV62" i="8"/>
  <c r="KFU62" i="8"/>
  <c r="KFT62" i="8"/>
  <c r="KFS62" i="8"/>
  <c r="KFR62" i="8"/>
  <c r="KFQ62" i="8"/>
  <c r="KFP62" i="8"/>
  <c r="KFO62" i="8"/>
  <c r="KFN62" i="8"/>
  <c r="KFM62" i="8"/>
  <c r="KFL62" i="8"/>
  <c r="KFK62" i="8"/>
  <c r="KFJ62" i="8"/>
  <c r="KFI62" i="8"/>
  <c r="KFH62" i="8"/>
  <c r="KFG62" i="8"/>
  <c r="KFF62" i="8"/>
  <c r="KFE62" i="8"/>
  <c r="KFD62" i="8"/>
  <c r="KFC62" i="8"/>
  <c r="KFB62" i="8"/>
  <c r="KFA62" i="8"/>
  <c r="KEZ62" i="8"/>
  <c r="KEY62" i="8"/>
  <c r="KEX62" i="8"/>
  <c r="KEW62" i="8"/>
  <c r="KEV62" i="8"/>
  <c r="KEU62" i="8"/>
  <c r="KET62" i="8"/>
  <c r="KES62" i="8"/>
  <c r="KER62" i="8"/>
  <c r="KEQ62" i="8"/>
  <c r="KEP62" i="8"/>
  <c r="KEO62" i="8"/>
  <c r="KEN62" i="8"/>
  <c r="KEM62" i="8"/>
  <c r="KEL62" i="8"/>
  <c r="KEK62" i="8"/>
  <c r="KEJ62" i="8"/>
  <c r="KEI62" i="8"/>
  <c r="KEH62" i="8"/>
  <c r="KEG62" i="8"/>
  <c r="KEF62" i="8"/>
  <c r="KEE62" i="8"/>
  <c r="KED62" i="8"/>
  <c r="KEC62" i="8"/>
  <c r="KEB62" i="8"/>
  <c r="KEA62" i="8"/>
  <c r="KDZ62" i="8"/>
  <c r="KDY62" i="8"/>
  <c r="KDX62" i="8"/>
  <c r="KDW62" i="8"/>
  <c r="KDV62" i="8"/>
  <c r="KDU62" i="8"/>
  <c r="KDT62" i="8"/>
  <c r="KDS62" i="8"/>
  <c r="KDR62" i="8"/>
  <c r="KDQ62" i="8"/>
  <c r="KDP62" i="8"/>
  <c r="KDO62" i="8"/>
  <c r="KDN62" i="8"/>
  <c r="KDM62" i="8"/>
  <c r="KDL62" i="8"/>
  <c r="KDK62" i="8"/>
  <c r="KDJ62" i="8"/>
  <c r="KDI62" i="8"/>
  <c r="KDH62" i="8"/>
  <c r="KDG62" i="8"/>
  <c r="KDF62" i="8"/>
  <c r="KDE62" i="8"/>
  <c r="KDD62" i="8"/>
  <c r="KDC62" i="8"/>
  <c r="KDB62" i="8"/>
  <c r="KDA62" i="8"/>
  <c r="KCZ62" i="8"/>
  <c r="KCY62" i="8"/>
  <c r="KCX62" i="8"/>
  <c r="KCW62" i="8"/>
  <c r="KCV62" i="8"/>
  <c r="KCU62" i="8"/>
  <c r="KCT62" i="8"/>
  <c r="KCS62" i="8"/>
  <c r="KCR62" i="8"/>
  <c r="KCQ62" i="8"/>
  <c r="KCP62" i="8"/>
  <c r="KCO62" i="8"/>
  <c r="KCN62" i="8"/>
  <c r="KCM62" i="8"/>
  <c r="KCL62" i="8"/>
  <c r="KCK62" i="8"/>
  <c r="KCJ62" i="8"/>
  <c r="KCI62" i="8"/>
  <c r="KCH62" i="8"/>
  <c r="KCG62" i="8"/>
  <c r="KCF62" i="8"/>
  <c r="KCE62" i="8"/>
  <c r="KCD62" i="8"/>
  <c r="KCC62" i="8"/>
  <c r="KCB62" i="8"/>
  <c r="KCA62" i="8"/>
  <c r="KBZ62" i="8"/>
  <c r="KBY62" i="8"/>
  <c r="KBX62" i="8"/>
  <c r="KBW62" i="8"/>
  <c r="KBV62" i="8"/>
  <c r="KBU62" i="8"/>
  <c r="KBT62" i="8"/>
  <c r="KBS62" i="8"/>
  <c r="KBR62" i="8"/>
  <c r="KBQ62" i="8"/>
  <c r="KBP62" i="8"/>
  <c r="KBO62" i="8"/>
  <c r="KBN62" i="8"/>
  <c r="KBM62" i="8"/>
  <c r="KBL62" i="8"/>
  <c r="KBK62" i="8"/>
  <c r="KBJ62" i="8"/>
  <c r="KBI62" i="8"/>
  <c r="KBH62" i="8"/>
  <c r="KBG62" i="8"/>
  <c r="KBF62" i="8"/>
  <c r="KBE62" i="8"/>
  <c r="KBD62" i="8"/>
  <c r="KBC62" i="8"/>
  <c r="KBB62" i="8"/>
  <c r="KBA62" i="8"/>
  <c r="KAZ62" i="8"/>
  <c r="KAY62" i="8"/>
  <c r="KAX62" i="8"/>
  <c r="KAW62" i="8"/>
  <c r="KAV62" i="8"/>
  <c r="KAU62" i="8"/>
  <c r="KAT62" i="8"/>
  <c r="KAS62" i="8"/>
  <c r="KAR62" i="8"/>
  <c r="KAQ62" i="8"/>
  <c r="KAP62" i="8"/>
  <c r="KAO62" i="8"/>
  <c r="KAN62" i="8"/>
  <c r="KAM62" i="8"/>
  <c r="KAL62" i="8"/>
  <c r="KAK62" i="8"/>
  <c r="KAJ62" i="8"/>
  <c r="KAI62" i="8"/>
  <c r="KAH62" i="8"/>
  <c r="KAG62" i="8"/>
  <c r="KAF62" i="8"/>
  <c r="KAE62" i="8"/>
  <c r="KAD62" i="8"/>
  <c r="KAC62" i="8"/>
  <c r="KAB62" i="8"/>
  <c r="KAA62" i="8"/>
  <c r="JZZ62" i="8"/>
  <c r="JZY62" i="8"/>
  <c r="JZX62" i="8"/>
  <c r="JZW62" i="8"/>
  <c r="JZV62" i="8"/>
  <c r="JZU62" i="8"/>
  <c r="JZT62" i="8"/>
  <c r="JZS62" i="8"/>
  <c r="JZR62" i="8"/>
  <c r="JZQ62" i="8"/>
  <c r="JZP62" i="8"/>
  <c r="JZO62" i="8"/>
  <c r="JZN62" i="8"/>
  <c r="JZM62" i="8"/>
  <c r="JZL62" i="8"/>
  <c r="JZK62" i="8"/>
  <c r="JZJ62" i="8"/>
  <c r="JZI62" i="8"/>
  <c r="JZH62" i="8"/>
  <c r="JZG62" i="8"/>
  <c r="JZF62" i="8"/>
  <c r="JZE62" i="8"/>
  <c r="JZD62" i="8"/>
  <c r="JZC62" i="8"/>
  <c r="JZB62" i="8"/>
  <c r="JZA62" i="8"/>
  <c r="JYZ62" i="8"/>
  <c r="JYY62" i="8"/>
  <c r="JYX62" i="8"/>
  <c r="JYW62" i="8"/>
  <c r="JYV62" i="8"/>
  <c r="JYU62" i="8"/>
  <c r="JYT62" i="8"/>
  <c r="JYS62" i="8"/>
  <c r="JYR62" i="8"/>
  <c r="JYQ62" i="8"/>
  <c r="JYP62" i="8"/>
  <c r="JYO62" i="8"/>
  <c r="JYN62" i="8"/>
  <c r="JYM62" i="8"/>
  <c r="JYL62" i="8"/>
  <c r="JYK62" i="8"/>
  <c r="JYJ62" i="8"/>
  <c r="JYI62" i="8"/>
  <c r="JYH62" i="8"/>
  <c r="JYG62" i="8"/>
  <c r="JYF62" i="8"/>
  <c r="JYE62" i="8"/>
  <c r="JYD62" i="8"/>
  <c r="JYC62" i="8"/>
  <c r="JYB62" i="8"/>
  <c r="JYA62" i="8"/>
  <c r="JXZ62" i="8"/>
  <c r="JXY62" i="8"/>
  <c r="JXX62" i="8"/>
  <c r="JXW62" i="8"/>
  <c r="JXV62" i="8"/>
  <c r="JXU62" i="8"/>
  <c r="JXT62" i="8"/>
  <c r="JXS62" i="8"/>
  <c r="JXR62" i="8"/>
  <c r="JXQ62" i="8"/>
  <c r="JXP62" i="8"/>
  <c r="JXO62" i="8"/>
  <c r="JXN62" i="8"/>
  <c r="JXM62" i="8"/>
  <c r="JXL62" i="8"/>
  <c r="JXK62" i="8"/>
  <c r="JXJ62" i="8"/>
  <c r="JXI62" i="8"/>
  <c r="JXH62" i="8"/>
  <c r="JXG62" i="8"/>
  <c r="JXF62" i="8"/>
  <c r="JXE62" i="8"/>
  <c r="JXD62" i="8"/>
  <c r="JXC62" i="8"/>
  <c r="JXB62" i="8"/>
  <c r="JXA62" i="8"/>
  <c r="JWZ62" i="8"/>
  <c r="JWY62" i="8"/>
  <c r="JWX62" i="8"/>
  <c r="JWW62" i="8"/>
  <c r="JWV62" i="8"/>
  <c r="JWU62" i="8"/>
  <c r="JWT62" i="8"/>
  <c r="JWS62" i="8"/>
  <c r="JWR62" i="8"/>
  <c r="JWQ62" i="8"/>
  <c r="JWP62" i="8"/>
  <c r="JWO62" i="8"/>
  <c r="JWN62" i="8"/>
  <c r="JWM62" i="8"/>
  <c r="JWL62" i="8"/>
  <c r="JWK62" i="8"/>
  <c r="JWJ62" i="8"/>
  <c r="JWI62" i="8"/>
  <c r="JWH62" i="8"/>
  <c r="JWG62" i="8"/>
  <c r="JWF62" i="8"/>
  <c r="JWE62" i="8"/>
  <c r="JWD62" i="8"/>
  <c r="JWC62" i="8"/>
  <c r="JWB62" i="8"/>
  <c r="JWA62" i="8"/>
  <c r="JVZ62" i="8"/>
  <c r="JVY62" i="8"/>
  <c r="JVX62" i="8"/>
  <c r="JVW62" i="8"/>
  <c r="JVV62" i="8"/>
  <c r="JVU62" i="8"/>
  <c r="JVT62" i="8"/>
  <c r="JVS62" i="8"/>
  <c r="JVR62" i="8"/>
  <c r="JVQ62" i="8"/>
  <c r="JVP62" i="8"/>
  <c r="JVO62" i="8"/>
  <c r="JVN62" i="8"/>
  <c r="JVM62" i="8"/>
  <c r="JVL62" i="8"/>
  <c r="JVK62" i="8"/>
  <c r="JVJ62" i="8"/>
  <c r="JVI62" i="8"/>
  <c r="JVH62" i="8"/>
  <c r="JVG62" i="8"/>
  <c r="JVF62" i="8"/>
  <c r="JVE62" i="8"/>
  <c r="JVD62" i="8"/>
  <c r="JVC62" i="8"/>
  <c r="JVB62" i="8"/>
  <c r="JVA62" i="8"/>
  <c r="JUZ62" i="8"/>
  <c r="JUY62" i="8"/>
  <c r="JUX62" i="8"/>
  <c r="JUW62" i="8"/>
  <c r="JUV62" i="8"/>
  <c r="JUU62" i="8"/>
  <c r="JUT62" i="8"/>
  <c r="JUS62" i="8"/>
  <c r="JUR62" i="8"/>
  <c r="JUQ62" i="8"/>
  <c r="JUP62" i="8"/>
  <c r="JUO62" i="8"/>
  <c r="JUN62" i="8"/>
  <c r="JUM62" i="8"/>
  <c r="JUL62" i="8"/>
  <c r="JUK62" i="8"/>
  <c r="JUJ62" i="8"/>
  <c r="JUI62" i="8"/>
  <c r="JUH62" i="8"/>
  <c r="JUG62" i="8"/>
  <c r="JUF62" i="8"/>
  <c r="JUE62" i="8"/>
  <c r="JUD62" i="8"/>
  <c r="JUC62" i="8"/>
  <c r="JUB62" i="8"/>
  <c r="JUA62" i="8"/>
  <c r="JTZ62" i="8"/>
  <c r="JTY62" i="8"/>
  <c r="JTX62" i="8"/>
  <c r="JTW62" i="8"/>
  <c r="JTV62" i="8"/>
  <c r="JTU62" i="8"/>
  <c r="JTT62" i="8"/>
  <c r="JTS62" i="8"/>
  <c r="JTR62" i="8"/>
  <c r="JTQ62" i="8"/>
  <c r="JTP62" i="8"/>
  <c r="JTO62" i="8"/>
  <c r="JTN62" i="8"/>
  <c r="JTM62" i="8"/>
  <c r="JTL62" i="8"/>
  <c r="JTK62" i="8"/>
  <c r="JTJ62" i="8"/>
  <c r="JTI62" i="8"/>
  <c r="JTH62" i="8"/>
  <c r="JTG62" i="8"/>
  <c r="JTF62" i="8"/>
  <c r="JTE62" i="8"/>
  <c r="JTD62" i="8"/>
  <c r="JTC62" i="8"/>
  <c r="JTB62" i="8"/>
  <c r="JTA62" i="8"/>
  <c r="JSZ62" i="8"/>
  <c r="JSY62" i="8"/>
  <c r="JSX62" i="8"/>
  <c r="JSW62" i="8"/>
  <c r="JSV62" i="8"/>
  <c r="JSU62" i="8"/>
  <c r="JST62" i="8"/>
  <c r="JSS62" i="8"/>
  <c r="JSR62" i="8"/>
  <c r="JSQ62" i="8"/>
  <c r="JSP62" i="8"/>
  <c r="JSO62" i="8"/>
  <c r="JSN62" i="8"/>
  <c r="JSM62" i="8"/>
  <c r="JSL62" i="8"/>
  <c r="JSK62" i="8"/>
  <c r="JSJ62" i="8"/>
  <c r="JSI62" i="8"/>
  <c r="JSH62" i="8"/>
  <c r="JSG62" i="8"/>
  <c r="JSF62" i="8"/>
  <c r="JSE62" i="8"/>
  <c r="JSD62" i="8"/>
  <c r="JSC62" i="8"/>
  <c r="JSB62" i="8"/>
  <c r="JSA62" i="8"/>
  <c r="JRZ62" i="8"/>
  <c r="JRY62" i="8"/>
  <c r="JRX62" i="8"/>
  <c r="JRW62" i="8"/>
  <c r="JRV62" i="8"/>
  <c r="JRU62" i="8"/>
  <c r="JRT62" i="8"/>
  <c r="JRS62" i="8"/>
  <c r="JRR62" i="8"/>
  <c r="JRQ62" i="8"/>
  <c r="JRP62" i="8"/>
  <c r="JRO62" i="8"/>
  <c r="JRN62" i="8"/>
  <c r="JRM62" i="8"/>
  <c r="JRL62" i="8"/>
  <c r="JRK62" i="8"/>
  <c r="JRJ62" i="8"/>
  <c r="JRI62" i="8"/>
  <c r="JRH62" i="8"/>
  <c r="JRG62" i="8"/>
  <c r="JRF62" i="8"/>
  <c r="JRE62" i="8"/>
  <c r="JRD62" i="8"/>
  <c r="JRC62" i="8"/>
  <c r="JRB62" i="8"/>
  <c r="JRA62" i="8"/>
  <c r="JQZ62" i="8"/>
  <c r="JQY62" i="8"/>
  <c r="JQX62" i="8"/>
  <c r="JQW62" i="8"/>
  <c r="JQV62" i="8"/>
  <c r="JQU62" i="8"/>
  <c r="JQT62" i="8"/>
  <c r="JQS62" i="8"/>
  <c r="JQR62" i="8"/>
  <c r="JQQ62" i="8"/>
  <c r="JQP62" i="8"/>
  <c r="JQO62" i="8"/>
  <c r="JQN62" i="8"/>
  <c r="JQM62" i="8"/>
  <c r="JQL62" i="8"/>
  <c r="JQK62" i="8"/>
  <c r="JQJ62" i="8"/>
  <c r="JQI62" i="8"/>
  <c r="JQH62" i="8"/>
  <c r="JQG62" i="8"/>
  <c r="JQF62" i="8"/>
  <c r="JQE62" i="8"/>
  <c r="JQD62" i="8"/>
  <c r="JQC62" i="8"/>
  <c r="JQB62" i="8"/>
  <c r="JQA62" i="8"/>
  <c r="JPZ62" i="8"/>
  <c r="JPY62" i="8"/>
  <c r="JPX62" i="8"/>
  <c r="JPW62" i="8"/>
  <c r="JPV62" i="8"/>
  <c r="JPU62" i="8"/>
  <c r="JPT62" i="8"/>
  <c r="JPS62" i="8"/>
  <c r="JPR62" i="8"/>
  <c r="JPQ62" i="8"/>
  <c r="JPP62" i="8"/>
  <c r="JPO62" i="8"/>
  <c r="JPN62" i="8"/>
  <c r="JPM62" i="8"/>
  <c r="JPL62" i="8"/>
  <c r="JPK62" i="8"/>
  <c r="JPJ62" i="8"/>
  <c r="JPI62" i="8"/>
  <c r="JPH62" i="8"/>
  <c r="JPG62" i="8"/>
  <c r="JPF62" i="8"/>
  <c r="JPE62" i="8"/>
  <c r="JPD62" i="8"/>
  <c r="JPC62" i="8"/>
  <c r="JPB62" i="8"/>
  <c r="JPA62" i="8"/>
  <c r="JOZ62" i="8"/>
  <c r="JOY62" i="8"/>
  <c r="JOX62" i="8"/>
  <c r="JOW62" i="8"/>
  <c r="JOV62" i="8"/>
  <c r="JOU62" i="8"/>
  <c r="JOT62" i="8"/>
  <c r="JOS62" i="8"/>
  <c r="JOR62" i="8"/>
  <c r="JOQ62" i="8"/>
  <c r="JOP62" i="8"/>
  <c r="JOO62" i="8"/>
  <c r="JON62" i="8"/>
  <c r="JOM62" i="8"/>
  <c r="JOL62" i="8"/>
  <c r="JOK62" i="8"/>
  <c r="JOJ62" i="8"/>
  <c r="JOI62" i="8"/>
  <c r="JOH62" i="8"/>
  <c r="JOG62" i="8"/>
  <c r="JOF62" i="8"/>
  <c r="JOE62" i="8"/>
  <c r="JOD62" i="8"/>
  <c r="JOC62" i="8"/>
  <c r="JOB62" i="8"/>
  <c r="JOA62" i="8"/>
  <c r="JNZ62" i="8"/>
  <c r="JNY62" i="8"/>
  <c r="JNX62" i="8"/>
  <c r="JNW62" i="8"/>
  <c r="JNV62" i="8"/>
  <c r="JNU62" i="8"/>
  <c r="JNT62" i="8"/>
  <c r="JNS62" i="8"/>
  <c r="JNR62" i="8"/>
  <c r="JNQ62" i="8"/>
  <c r="JNP62" i="8"/>
  <c r="JNO62" i="8"/>
  <c r="JNN62" i="8"/>
  <c r="JNM62" i="8"/>
  <c r="JNL62" i="8"/>
  <c r="JNK62" i="8"/>
  <c r="JNJ62" i="8"/>
  <c r="JNI62" i="8"/>
  <c r="JNH62" i="8"/>
  <c r="JNG62" i="8"/>
  <c r="JNF62" i="8"/>
  <c r="JNE62" i="8"/>
  <c r="JND62" i="8"/>
  <c r="JNC62" i="8"/>
  <c r="JNB62" i="8"/>
  <c r="JNA62" i="8"/>
  <c r="JMZ62" i="8"/>
  <c r="JMY62" i="8"/>
  <c r="JMX62" i="8"/>
  <c r="JMW62" i="8"/>
  <c r="JMV62" i="8"/>
  <c r="JMU62" i="8"/>
  <c r="JMT62" i="8"/>
  <c r="JMS62" i="8"/>
  <c r="JMR62" i="8"/>
  <c r="JMQ62" i="8"/>
  <c r="JMP62" i="8"/>
  <c r="JMO62" i="8"/>
  <c r="JMN62" i="8"/>
  <c r="JMM62" i="8"/>
  <c r="JML62" i="8"/>
  <c r="JMK62" i="8"/>
  <c r="JMJ62" i="8"/>
  <c r="JMI62" i="8"/>
  <c r="JMH62" i="8"/>
  <c r="JMG62" i="8"/>
  <c r="JMF62" i="8"/>
  <c r="JME62" i="8"/>
  <c r="JMD62" i="8"/>
  <c r="JMC62" i="8"/>
  <c r="JMB62" i="8"/>
  <c r="JMA62" i="8"/>
  <c r="JLZ62" i="8"/>
  <c r="JLY62" i="8"/>
  <c r="JLX62" i="8"/>
  <c r="JLW62" i="8"/>
  <c r="JLV62" i="8"/>
  <c r="JLU62" i="8"/>
  <c r="JLT62" i="8"/>
  <c r="JLS62" i="8"/>
  <c r="JLR62" i="8"/>
  <c r="JLQ62" i="8"/>
  <c r="JLP62" i="8"/>
  <c r="JLO62" i="8"/>
  <c r="JLN62" i="8"/>
  <c r="JLM62" i="8"/>
  <c r="JLL62" i="8"/>
  <c r="JLK62" i="8"/>
  <c r="JLJ62" i="8"/>
  <c r="JLI62" i="8"/>
  <c r="JLH62" i="8"/>
  <c r="JLG62" i="8"/>
  <c r="JLF62" i="8"/>
  <c r="JLE62" i="8"/>
  <c r="JLD62" i="8"/>
  <c r="JLC62" i="8"/>
  <c r="JLB62" i="8"/>
  <c r="JLA62" i="8"/>
  <c r="JKZ62" i="8"/>
  <c r="JKY62" i="8"/>
  <c r="JKX62" i="8"/>
  <c r="JKW62" i="8"/>
  <c r="JKV62" i="8"/>
  <c r="JKU62" i="8"/>
  <c r="JKT62" i="8"/>
  <c r="JKS62" i="8"/>
  <c r="JKR62" i="8"/>
  <c r="JKQ62" i="8"/>
  <c r="JKP62" i="8"/>
  <c r="JKO62" i="8"/>
  <c r="JKN62" i="8"/>
  <c r="JKM62" i="8"/>
  <c r="JKL62" i="8"/>
  <c r="JKK62" i="8"/>
  <c r="JKJ62" i="8"/>
  <c r="JKI62" i="8"/>
  <c r="JKH62" i="8"/>
  <c r="JKG62" i="8"/>
  <c r="JKF62" i="8"/>
  <c r="JKE62" i="8"/>
  <c r="JKD62" i="8"/>
  <c r="JKC62" i="8"/>
  <c r="JKB62" i="8"/>
  <c r="JKA62" i="8"/>
  <c r="JJZ62" i="8"/>
  <c r="JJY62" i="8"/>
  <c r="JJX62" i="8"/>
  <c r="JJW62" i="8"/>
  <c r="JJV62" i="8"/>
  <c r="JJU62" i="8"/>
  <c r="JJT62" i="8"/>
  <c r="JJS62" i="8"/>
  <c r="JJR62" i="8"/>
  <c r="JJQ62" i="8"/>
  <c r="JJP62" i="8"/>
  <c r="JJO62" i="8"/>
  <c r="JJN62" i="8"/>
  <c r="JJM62" i="8"/>
  <c r="JJL62" i="8"/>
  <c r="JJK62" i="8"/>
  <c r="JJJ62" i="8"/>
  <c r="JJI62" i="8"/>
  <c r="JJH62" i="8"/>
  <c r="JJG62" i="8"/>
  <c r="JJF62" i="8"/>
  <c r="JJE62" i="8"/>
  <c r="JJD62" i="8"/>
  <c r="JJC62" i="8"/>
  <c r="JJB62" i="8"/>
  <c r="JJA62" i="8"/>
  <c r="JIZ62" i="8"/>
  <c r="JIY62" i="8"/>
  <c r="JIX62" i="8"/>
  <c r="JIW62" i="8"/>
  <c r="JIV62" i="8"/>
  <c r="JIU62" i="8"/>
  <c r="JIT62" i="8"/>
  <c r="JIS62" i="8"/>
  <c r="JIR62" i="8"/>
  <c r="JIQ62" i="8"/>
  <c r="JIP62" i="8"/>
  <c r="JIO62" i="8"/>
  <c r="JIN62" i="8"/>
  <c r="JIM62" i="8"/>
  <c r="JIL62" i="8"/>
  <c r="JIK62" i="8"/>
  <c r="JIJ62" i="8"/>
  <c r="JII62" i="8"/>
  <c r="JIH62" i="8"/>
  <c r="JIG62" i="8"/>
  <c r="JIF62" i="8"/>
  <c r="JIE62" i="8"/>
  <c r="JID62" i="8"/>
  <c r="JIC62" i="8"/>
  <c r="JIB62" i="8"/>
  <c r="JIA62" i="8"/>
  <c r="JHZ62" i="8"/>
  <c r="JHY62" i="8"/>
  <c r="JHX62" i="8"/>
  <c r="JHW62" i="8"/>
  <c r="JHV62" i="8"/>
  <c r="JHU62" i="8"/>
  <c r="JHT62" i="8"/>
  <c r="JHS62" i="8"/>
  <c r="JHR62" i="8"/>
  <c r="JHQ62" i="8"/>
  <c r="JHP62" i="8"/>
  <c r="JHO62" i="8"/>
  <c r="JHN62" i="8"/>
  <c r="JHM62" i="8"/>
  <c r="JHL62" i="8"/>
  <c r="JHK62" i="8"/>
  <c r="JHJ62" i="8"/>
  <c r="JHI62" i="8"/>
  <c r="JHH62" i="8"/>
  <c r="JHG62" i="8"/>
  <c r="JHF62" i="8"/>
  <c r="JHE62" i="8"/>
  <c r="JHD62" i="8"/>
  <c r="JHC62" i="8"/>
  <c r="JHB62" i="8"/>
  <c r="JHA62" i="8"/>
  <c r="JGZ62" i="8"/>
  <c r="JGY62" i="8"/>
  <c r="JGX62" i="8"/>
  <c r="JGW62" i="8"/>
  <c r="JGV62" i="8"/>
  <c r="JGU62" i="8"/>
  <c r="JGT62" i="8"/>
  <c r="JGS62" i="8"/>
  <c r="JGR62" i="8"/>
  <c r="JGQ62" i="8"/>
  <c r="JGP62" i="8"/>
  <c r="JGO62" i="8"/>
  <c r="JGN62" i="8"/>
  <c r="JGM62" i="8"/>
  <c r="JGL62" i="8"/>
  <c r="JGK62" i="8"/>
  <c r="JGJ62" i="8"/>
  <c r="JGI62" i="8"/>
  <c r="JGH62" i="8"/>
  <c r="JGG62" i="8"/>
  <c r="JGF62" i="8"/>
  <c r="JGE62" i="8"/>
  <c r="JGD62" i="8"/>
  <c r="JGC62" i="8"/>
  <c r="JGB62" i="8"/>
  <c r="JGA62" i="8"/>
  <c r="JFZ62" i="8"/>
  <c r="JFY62" i="8"/>
  <c r="JFX62" i="8"/>
  <c r="JFW62" i="8"/>
  <c r="JFV62" i="8"/>
  <c r="JFU62" i="8"/>
  <c r="JFT62" i="8"/>
  <c r="JFS62" i="8"/>
  <c r="JFR62" i="8"/>
  <c r="JFQ62" i="8"/>
  <c r="JFP62" i="8"/>
  <c r="JFO62" i="8"/>
  <c r="JFN62" i="8"/>
  <c r="JFM62" i="8"/>
  <c r="JFL62" i="8"/>
  <c r="JFK62" i="8"/>
  <c r="JFJ62" i="8"/>
  <c r="JFI62" i="8"/>
  <c r="JFH62" i="8"/>
  <c r="JFG62" i="8"/>
  <c r="JFF62" i="8"/>
  <c r="JFE62" i="8"/>
  <c r="JFD62" i="8"/>
  <c r="JFC62" i="8"/>
  <c r="JFB62" i="8"/>
  <c r="JFA62" i="8"/>
  <c r="JEZ62" i="8"/>
  <c r="JEY62" i="8"/>
  <c r="JEX62" i="8"/>
  <c r="JEW62" i="8"/>
  <c r="JEV62" i="8"/>
  <c r="JEU62" i="8"/>
  <c r="JET62" i="8"/>
  <c r="JES62" i="8"/>
  <c r="JER62" i="8"/>
  <c r="JEQ62" i="8"/>
  <c r="JEP62" i="8"/>
  <c r="JEO62" i="8"/>
  <c r="JEN62" i="8"/>
  <c r="JEM62" i="8"/>
  <c r="JEL62" i="8"/>
  <c r="JEK62" i="8"/>
  <c r="JEJ62" i="8"/>
  <c r="JEI62" i="8"/>
  <c r="JEH62" i="8"/>
  <c r="JEG62" i="8"/>
  <c r="JEF62" i="8"/>
  <c r="JEE62" i="8"/>
  <c r="JED62" i="8"/>
  <c r="JEC62" i="8"/>
  <c r="JEB62" i="8"/>
  <c r="JEA62" i="8"/>
  <c r="JDZ62" i="8"/>
  <c r="JDY62" i="8"/>
  <c r="JDX62" i="8"/>
  <c r="JDW62" i="8"/>
  <c r="JDV62" i="8"/>
  <c r="JDU62" i="8"/>
  <c r="JDT62" i="8"/>
  <c r="JDS62" i="8"/>
  <c r="JDR62" i="8"/>
  <c r="JDQ62" i="8"/>
  <c r="JDP62" i="8"/>
  <c r="JDO62" i="8"/>
  <c r="JDN62" i="8"/>
  <c r="JDM62" i="8"/>
  <c r="JDL62" i="8"/>
  <c r="JDK62" i="8"/>
  <c r="JDJ62" i="8"/>
  <c r="JDI62" i="8"/>
  <c r="JDH62" i="8"/>
  <c r="JDG62" i="8"/>
  <c r="JDF62" i="8"/>
  <c r="JDE62" i="8"/>
  <c r="JDD62" i="8"/>
  <c r="JDC62" i="8"/>
  <c r="JDB62" i="8"/>
  <c r="JDA62" i="8"/>
  <c r="JCZ62" i="8"/>
  <c r="JCY62" i="8"/>
  <c r="JCX62" i="8"/>
  <c r="JCW62" i="8"/>
  <c r="JCV62" i="8"/>
  <c r="JCU62" i="8"/>
  <c r="JCT62" i="8"/>
  <c r="JCS62" i="8"/>
  <c r="JCR62" i="8"/>
  <c r="JCQ62" i="8"/>
  <c r="JCP62" i="8"/>
  <c r="JCO62" i="8"/>
  <c r="JCN62" i="8"/>
  <c r="JCM62" i="8"/>
  <c r="JCL62" i="8"/>
  <c r="JCK62" i="8"/>
  <c r="JCJ62" i="8"/>
  <c r="JCI62" i="8"/>
  <c r="JCH62" i="8"/>
  <c r="JCG62" i="8"/>
  <c r="JCF62" i="8"/>
  <c r="JCE62" i="8"/>
  <c r="JCD62" i="8"/>
  <c r="JCC62" i="8"/>
  <c r="JCB62" i="8"/>
  <c r="JCA62" i="8"/>
  <c r="JBZ62" i="8"/>
  <c r="JBY62" i="8"/>
  <c r="JBX62" i="8"/>
  <c r="JBW62" i="8"/>
  <c r="JBV62" i="8"/>
  <c r="JBU62" i="8"/>
  <c r="JBT62" i="8"/>
  <c r="JBS62" i="8"/>
  <c r="JBR62" i="8"/>
  <c r="JBQ62" i="8"/>
  <c r="JBP62" i="8"/>
  <c r="JBO62" i="8"/>
  <c r="JBN62" i="8"/>
  <c r="JBM62" i="8"/>
  <c r="JBL62" i="8"/>
  <c r="JBK62" i="8"/>
  <c r="JBJ62" i="8"/>
  <c r="JBI62" i="8"/>
  <c r="JBH62" i="8"/>
  <c r="JBG62" i="8"/>
  <c r="JBF62" i="8"/>
  <c r="JBE62" i="8"/>
  <c r="JBD62" i="8"/>
  <c r="JBC62" i="8"/>
  <c r="JBB62" i="8"/>
  <c r="JBA62" i="8"/>
  <c r="JAZ62" i="8"/>
  <c r="JAY62" i="8"/>
  <c r="JAX62" i="8"/>
  <c r="JAW62" i="8"/>
  <c r="JAV62" i="8"/>
  <c r="JAU62" i="8"/>
  <c r="JAT62" i="8"/>
  <c r="JAS62" i="8"/>
  <c r="JAR62" i="8"/>
  <c r="JAQ62" i="8"/>
  <c r="JAP62" i="8"/>
  <c r="JAO62" i="8"/>
  <c r="JAN62" i="8"/>
  <c r="JAM62" i="8"/>
  <c r="JAL62" i="8"/>
  <c r="JAK62" i="8"/>
  <c r="JAJ62" i="8"/>
  <c r="JAI62" i="8"/>
  <c r="JAH62" i="8"/>
  <c r="JAG62" i="8"/>
  <c r="JAF62" i="8"/>
  <c r="JAE62" i="8"/>
  <c r="JAD62" i="8"/>
  <c r="JAC62" i="8"/>
  <c r="JAB62" i="8"/>
  <c r="JAA62" i="8"/>
  <c r="IZZ62" i="8"/>
  <c r="IZY62" i="8"/>
  <c r="IZX62" i="8"/>
  <c r="IZW62" i="8"/>
  <c r="IZV62" i="8"/>
  <c r="IZU62" i="8"/>
  <c r="IZT62" i="8"/>
  <c r="IZS62" i="8"/>
  <c r="IZR62" i="8"/>
  <c r="IZQ62" i="8"/>
  <c r="IZP62" i="8"/>
  <c r="IZO62" i="8"/>
  <c r="IZN62" i="8"/>
  <c r="IZM62" i="8"/>
  <c r="IZL62" i="8"/>
  <c r="IZK62" i="8"/>
  <c r="IZJ62" i="8"/>
  <c r="IZI62" i="8"/>
  <c r="IZH62" i="8"/>
  <c r="IZG62" i="8"/>
  <c r="IZF62" i="8"/>
  <c r="IZE62" i="8"/>
  <c r="IZD62" i="8"/>
  <c r="IZC62" i="8"/>
  <c r="IZB62" i="8"/>
  <c r="IZA62" i="8"/>
  <c r="IYZ62" i="8"/>
  <c r="IYY62" i="8"/>
  <c r="IYX62" i="8"/>
  <c r="IYW62" i="8"/>
  <c r="IYV62" i="8"/>
  <c r="IYU62" i="8"/>
  <c r="IYT62" i="8"/>
  <c r="IYS62" i="8"/>
  <c r="IYR62" i="8"/>
  <c r="IYQ62" i="8"/>
  <c r="IYP62" i="8"/>
  <c r="IYO62" i="8"/>
  <c r="IYN62" i="8"/>
  <c r="IYM62" i="8"/>
  <c r="IYL62" i="8"/>
  <c r="IYK62" i="8"/>
  <c r="IYJ62" i="8"/>
  <c r="IYI62" i="8"/>
  <c r="IYH62" i="8"/>
  <c r="IYG62" i="8"/>
  <c r="IYF62" i="8"/>
  <c r="IYE62" i="8"/>
  <c r="IYD62" i="8"/>
  <c r="IYC62" i="8"/>
  <c r="IYB62" i="8"/>
  <c r="IYA62" i="8"/>
  <c r="IXZ62" i="8"/>
  <c r="IXY62" i="8"/>
  <c r="IXX62" i="8"/>
  <c r="IXW62" i="8"/>
  <c r="IXV62" i="8"/>
  <c r="IXU62" i="8"/>
  <c r="IXT62" i="8"/>
  <c r="IXS62" i="8"/>
  <c r="IXR62" i="8"/>
  <c r="IXQ62" i="8"/>
  <c r="IXP62" i="8"/>
  <c r="IXO62" i="8"/>
  <c r="IXN62" i="8"/>
  <c r="IXM62" i="8"/>
  <c r="IXL62" i="8"/>
  <c r="IXK62" i="8"/>
  <c r="IXJ62" i="8"/>
  <c r="IXI62" i="8"/>
  <c r="IXH62" i="8"/>
  <c r="IXG62" i="8"/>
  <c r="IXF62" i="8"/>
  <c r="IXE62" i="8"/>
  <c r="IXD62" i="8"/>
  <c r="IXC62" i="8"/>
  <c r="IXB62" i="8"/>
  <c r="IXA62" i="8"/>
  <c r="IWZ62" i="8"/>
  <c r="IWY62" i="8"/>
  <c r="IWX62" i="8"/>
  <c r="IWW62" i="8"/>
  <c r="IWV62" i="8"/>
  <c r="IWU62" i="8"/>
  <c r="IWT62" i="8"/>
  <c r="IWS62" i="8"/>
  <c r="IWR62" i="8"/>
  <c r="IWQ62" i="8"/>
  <c r="IWP62" i="8"/>
  <c r="IWO62" i="8"/>
  <c r="IWN62" i="8"/>
  <c r="IWM62" i="8"/>
  <c r="IWL62" i="8"/>
  <c r="IWK62" i="8"/>
  <c r="IWJ62" i="8"/>
  <c r="IWI62" i="8"/>
  <c r="IWH62" i="8"/>
  <c r="IWG62" i="8"/>
  <c r="IWF62" i="8"/>
  <c r="IWE62" i="8"/>
  <c r="IWD62" i="8"/>
  <c r="IWC62" i="8"/>
  <c r="IWB62" i="8"/>
  <c r="IWA62" i="8"/>
  <c r="IVZ62" i="8"/>
  <c r="IVY62" i="8"/>
  <c r="IVX62" i="8"/>
  <c r="IVW62" i="8"/>
  <c r="IVV62" i="8"/>
  <c r="IVU62" i="8"/>
  <c r="IVT62" i="8"/>
  <c r="IVS62" i="8"/>
  <c r="IVR62" i="8"/>
  <c r="IVQ62" i="8"/>
  <c r="IVP62" i="8"/>
  <c r="IVO62" i="8"/>
  <c r="IVN62" i="8"/>
  <c r="IVM62" i="8"/>
  <c r="IVL62" i="8"/>
  <c r="IVK62" i="8"/>
  <c r="IVJ62" i="8"/>
  <c r="IVI62" i="8"/>
  <c r="IVH62" i="8"/>
  <c r="IVG62" i="8"/>
  <c r="IVF62" i="8"/>
  <c r="IVE62" i="8"/>
  <c r="IVD62" i="8"/>
  <c r="IVC62" i="8"/>
  <c r="IVB62" i="8"/>
  <c r="IVA62" i="8"/>
  <c r="IUZ62" i="8"/>
  <c r="IUY62" i="8"/>
  <c r="IUX62" i="8"/>
  <c r="IUW62" i="8"/>
  <c r="IUV62" i="8"/>
  <c r="IUU62" i="8"/>
  <c r="IUT62" i="8"/>
  <c r="IUS62" i="8"/>
  <c r="IUR62" i="8"/>
  <c r="IUQ62" i="8"/>
  <c r="IUP62" i="8"/>
  <c r="IUO62" i="8"/>
  <c r="IUN62" i="8"/>
  <c r="IUM62" i="8"/>
  <c r="IUL62" i="8"/>
  <c r="IUK62" i="8"/>
  <c r="IUJ62" i="8"/>
  <c r="IUI62" i="8"/>
  <c r="IUH62" i="8"/>
  <c r="IUG62" i="8"/>
  <c r="IUF62" i="8"/>
  <c r="IUE62" i="8"/>
  <c r="IUD62" i="8"/>
  <c r="IUC62" i="8"/>
  <c r="IUB62" i="8"/>
  <c r="IUA62" i="8"/>
  <c r="ITZ62" i="8"/>
  <c r="ITY62" i="8"/>
  <c r="ITX62" i="8"/>
  <c r="ITW62" i="8"/>
  <c r="ITV62" i="8"/>
  <c r="ITU62" i="8"/>
  <c r="ITT62" i="8"/>
  <c r="ITS62" i="8"/>
  <c r="ITR62" i="8"/>
  <c r="ITQ62" i="8"/>
  <c r="ITP62" i="8"/>
  <c r="ITO62" i="8"/>
  <c r="ITN62" i="8"/>
  <c r="ITM62" i="8"/>
  <c r="ITL62" i="8"/>
  <c r="ITK62" i="8"/>
  <c r="ITJ62" i="8"/>
  <c r="ITI62" i="8"/>
  <c r="ITH62" i="8"/>
  <c r="ITG62" i="8"/>
  <c r="ITF62" i="8"/>
  <c r="ITE62" i="8"/>
  <c r="ITD62" i="8"/>
  <c r="ITC62" i="8"/>
  <c r="ITB62" i="8"/>
  <c r="ITA62" i="8"/>
  <c r="ISZ62" i="8"/>
  <c r="ISY62" i="8"/>
  <c r="ISX62" i="8"/>
  <c r="ISW62" i="8"/>
  <c r="ISV62" i="8"/>
  <c r="ISU62" i="8"/>
  <c r="IST62" i="8"/>
  <c r="ISS62" i="8"/>
  <c r="ISR62" i="8"/>
  <c r="ISQ62" i="8"/>
  <c r="ISP62" i="8"/>
  <c r="ISO62" i="8"/>
  <c r="ISN62" i="8"/>
  <c r="ISM62" i="8"/>
  <c r="ISL62" i="8"/>
  <c r="ISK62" i="8"/>
  <c r="ISJ62" i="8"/>
  <c r="ISI62" i="8"/>
  <c r="ISH62" i="8"/>
  <c r="ISG62" i="8"/>
  <c r="ISF62" i="8"/>
  <c r="ISE62" i="8"/>
  <c r="ISD62" i="8"/>
  <c r="ISC62" i="8"/>
  <c r="ISB62" i="8"/>
  <c r="ISA62" i="8"/>
  <c r="IRZ62" i="8"/>
  <c r="IRY62" i="8"/>
  <c r="IRX62" i="8"/>
  <c r="IRW62" i="8"/>
  <c r="IRV62" i="8"/>
  <c r="IRU62" i="8"/>
  <c r="IRT62" i="8"/>
  <c r="IRS62" i="8"/>
  <c r="IRR62" i="8"/>
  <c r="IRQ62" i="8"/>
  <c r="IRP62" i="8"/>
  <c r="IRO62" i="8"/>
  <c r="IRN62" i="8"/>
  <c r="IRM62" i="8"/>
  <c r="IRL62" i="8"/>
  <c r="IRK62" i="8"/>
  <c r="IRJ62" i="8"/>
  <c r="IRI62" i="8"/>
  <c r="IRH62" i="8"/>
  <c r="IRG62" i="8"/>
  <c r="IRF62" i="8"/>
  <c r="IRE62" i="8"/>
  <c r="IRD62" i="8"/>
  <c r="IRC62" i="8"/>
  <c r="IRB62" i="8"/>
  <c r="IRA62" i="8"/>
  <c r="IQZ62" i="8"/>
  <c r="IQY62" i="8"/>
  <c r="IQX62" i="8"/>
  <c r="IQW62" i="8"/>
  <c r="IQV62" i="8"/>
  <c r="IQU62" i="8"/>
  <c r="IQT62" i="8"/>
  <c r="IQS62" i="8"/>
  <c r="IQR62" i="8"/>
  <c r="IQQ62" i="8"/>
  <c r="IQP62" i="8"/>
  <c r="IQO62" i="8"/>
  <c r="IQN62" i="8"/>
  <c r="IQM62" i="8"/>
  <c r="IQL62" i="8"/>
  <c r="IQK62" i="8"/>
  <c r="IQJ62" i="8"/>
  <c r="IQI62" i="8"/>
  <c r="IQH62" i="8"/>
  <c r="IQG62" i="8"/>
  <c r="IQF62" i="8"/>
  <c r="IQE62" i="8"/>
  <c r="IQD62" i="8"/>
  <c r="IQC62" i="8"/>
  <c r="IQB62" i="8"/>
  <c r="IQA62" i="8"/>
  <c r="IPZ62" i="8"/>
  <c r="IPY62" i="8"/>
  <c r="IPX62" i="8"/>
  <c r="IPW62" i="8"/>
  <c r="IPV62" i="8"/>
  <c r="IPU62" i="8"/>
  <c r="IPT62" i="8"/>
  <c r="IPS62" i="8"/>
  <c r="IPR62" i="8"/>
  <c r="IPQ62" i="8"/>
  <c r="IPP62" i="8"/>
  <c r="IPO62" i="8"/>
  <c r="IPN62" i="8"/>
  <c r="IPM62" i="8"/>
  <c r="IPL62" i="8"/>
  <c r="IPK62" i="8"/>
  <c r="IPJ62" i="8"/>
  <c r="IPI62" i="8"/>
  <c r="IPH62" i="8"/>
  <c r="IPG62" i="8"/>
  <c r="IPF62" i="8"/>
  <c r="IPE62" i="8"/>
  <c r="IPD62" i="8"/>
  <c r="IPC62" i="8"/>
  <c r="IPB62" i="8"/>
  <c r="IPA62" i="8"/>
  <c r="IOZ62" i="8"/>
  <c r="IOY62" i="8"/>
  <c r="IOX62" i="8"/>
  <c r="IOW62" i="8"/>
  <c r="IOV62" i="8"/>
  <c r="IOU62" i="8"/>
  <c r="IOT62" i="8"/>
  <c r="IOS62" i="8"/>
  <c r="IOR62" i="8"/>
  <c r="IOQ62" i="8"/>
  <c r="IOP62" i="8"/>
  <c r="IOO62" i="8"/>
  <c r="ION62" i="8"/>
  <c r="IOM62" i="8"/>
  <c r="IOL62" i="8"/>
  <c r="IOK62" i="8"/>
  <c r="IOJ62" i="8"/>
  <c r="IOI62" i="8"/>
  <c r="IOH62" i="8"/>
  <c r="IOG62" i="8"/>
  <c r="IOF62" i="8"/>
  <c r="IOE62" i="8"/>
  <c r="IOD62" i="8"/>
  <c r="IOC62" i="8"/>
  <c r="IOB62" i="8"/>
  <c r="IOA62" i="8"/>
  <c r="INZ62" i="8"/>
  <c r="INY62" i="8"/>
  <c r="INX62" i="8"/>
  <c r="INW62" i="8"/>
  <c r="INV62" i="8"/>
  <c r="INU62" i="8"/>
  <c r="INT62" i="8"/>
  <c r="INS62" i="8"/>
  <c r="INR62" i="8"/>
  <c r="INQ62" i="8"/>
  <c r="INP62" i="8"/>
  <c r="INO62" i="8"/>
  <c r="INN62" i="8"/>
  <c r="INM62" i="8"/>
  <c r="INL62" i="8"/>
  <c r="INK62" i="8"/>
  <c r="INJ62" i="8"/>
  <c r="INI62" i="8"/>
  <c r="INH62" i="8"/>
  <c r="ING62" i="8"/>
  <c r="INF62" i="8"/>
  <c r="INE62" i="8"/>
  <c r="IND62" i="8"/>
  <c r="INC62" i="8"/>
  <c r="INB62" i="8"/>
  <c r="INA62" i="8"/>
  <c r="IMZ62" i="8"/>
  <c r="IMY62" i="8"/>
  <c r="IMX62" i="8"/>
  <c r="IMW62" i="8"/>
  <c r="IMV62" i="8"/>
  <c r="IMU62" i="8"/>
  <c r="IMT62" i="8"/>
  <c r="IMS62" i="8"/>
  <c r="IMR62" i="8"/>
  <c r="IMQ62" i="8"/>
  <c r="IMP62" i="8"/>
  <c r="IMO62" i="8"/>
  <c r="IMN62" i="8"/>
  <c r="IMM62" i="8"/>
  <c r="IML62" i="8"/>
  <c r="IMK62" i="8"/>
  <c r="IMJ62" i="8"/>
  <c r="IMI62" i="8"/>
  <c r="IMH62" i="8"/>
  <c r="IMG62" i="8"/>
  <c r="IMF62" i="8"/>
  <c r="IME62" i="8"/>
  <c r="IMD62" i="8"/>
  <c r="IMC62" i="8"/>
  <c r="IMB62" i="8"/>
  <c r="IMA62" i="8"/>
  <c r="ILZ62" i="8"/>
  <c r="ILY62" i="8"/>
  <c r="ILX62" i="8"/>
  <c r="ILW62" i="8"/>
  <c r="ILV62" i="8"/>
  <c r="ILU62" i="8"/>
  <c r="ILT62" i="8"/>
  <c r="ILS62" i="8"/>
  <c r="ILR62" i="8"/>
  <c r="ILQ62" i="8"/>
  <c r="ILP62" i="8"/>
  <c r="ILO62" i="8"/>
  <c r="ILN62" i="8"/>
  <c r="ILM62" i="8"/>
  <c r="ILL62" i="8"/>
  <c r="ILK62" i="8"/>
  <c r="ILJ62" i="8"/>
  <c r="ILI62" i="8"/>
  <c r="ILH62" i="8"/>
  <c r="ILG62" i="8"/>
  <c r="ILF62" i="8"/>
  <c r="ILE62" i="8"/>
  <c r="ILD62" i="8"/>
  <c r="ILC62" i="8"/>
  <c r="ILB62" i="8"/>
  <c r="ILA62" i="8"/>
  <c r="IKZ62" i="8"/>
  <c r="IKY62" i="8"/>
  <c r="IKX62" i="8"/>
  <c r="IKW62" i="8"/>
  <c r="IKV62" i="8"/>
  <c r="IKU62" i="8"/>
  <c r="IKT62" i="8"/>
  <c r="IKS62" i="8"/>
  <c r="IKR62" i="8"/>
  <c r="IKQ62" i="8"/>
  <c r="IKP62" i="8"/>
  <c r="IKO62" i="8"/>
  <c r="IKN62" i="8"/>
  <c r="IKM62" i="8"/>
  <c r="IKL62" i="8"/>
  <c r="IKK62" i="8"/>
  <c r="IKJ62" i="8"/>
  <c r="IKI62" i="8"/>
  <c r="IKH62" i="8"/>
  <c r="IKG62" i="8"/>
  <c r="IKF62" i="8"/>
  <c r="IKE62" i="8"/>
  <c r="IKD62" i="8"/>
  <c r="IKC62" i="8"/>
  <c r="IKB62" i="8"/>
  <c r="IKA62" i="8"/>
  <c r="IJZ62" i="8"/>
  <c r="IJY62" i="8"/>
  <c r="IJX62" i="8"/>
  <c r="IJW62" i="8"/>
  <c r="IJV62" i="8"/>
  <c r="IJU62" i="8"/>
  <c r="IJT62" i="8"/>
  <c r="IJS62" i="8"/>
  <c r="IJR62" i="8"/>
  <c r="IJQ62" i="8"/>
  <c r="IJP62" i="8"/>
  <c r="IJO62" i="8"/>
  <c r="IJN62" i="8"/>
  <c r="IJM62" i="8"/>
  <c r="IJL62" i="8"/>
  <c r="IJK62" i="8"/>
  <c r="IJJ62" i="8"/>
  <c r="IJI62" i="8"/>
  <c r="IJH62" i="8"/>
  <c r="IJG62" i="8"/>
  <c r="IJF62" i="8"/>
  <c r="IJE62" i="8"/>
  <c r="IJD62" i="8"/>
  <c r="IJC62" i="8"/>
  <c r="IJB62" i="8"/>
  <c r="IJA62" i="8"/>
  <c r="IIZ62" i="8"/>
  <c r="IIY62" i="8"/>
  <c r="IIX62" i="8"/>
  <c r="IIW62" i="8"/>
  <c r="IIV62" i="8"/>
  <c r="IIU62" i="8"/>
  <c r="IIT62" i="8"/>
  <c r="IIS62" i="8"/>
  <c r="IIR62" i="8"/>
  <c r="IIQ62" i="8"/>
  <c r="IIP62" i="8"/>
  <c r="IIO62" i="8"/>
  <c r="IIN62" i="8"/>
  <c r="IIM62" i="8"/>
  <c r="IIL62" i="8"/>
  <c r="IIK62" i="8"/>
  <c r="IIJ62" i="8"/>
  <c r="III62" i="8"/>
  <c r="IIH62" i="8"/>
  <c r="IIG62" i="8"/>
  <c r="IIF62" i="8"/>
  <c r="IIE62" i="8"/>
  <c r="IID62" i="8"/>
  <c r="IIC62" i="8"/>
  <c r="IIB62" i="8"/>
  <c r="IIA62" i="8"/>
  <c r="IHZ62" i="8"/>
  <c r="IHY62" i="8"/>
  <c r="IHX62" i="8"/>
  <c r="IHW62" i="8"/>
  <c r="IHV62" i="8"/>
  <c r="IHU62" i="8"/>
  <c r="IHT62" i="8"/>
  <c r="IHS62" i="8"/>
  <c r="IHR62" i="8"/>
  <c r="IHQ62" i="8"/>
  <c r="IHP62" i="8"/>
  <c r="IHO62" i="8"/>
  <c r="IHN62" i="8"/>
  <c r="IHM62" i="8"/>
  <c r="IHL62" i="8"/>
  <c r="IHK62" i="8"/>
  <c r="IHJ62" i="8"/>
  <c r="IHI62" i="8"/>
  <c r="IHH62" i="8"/>
  <c r="IHG62" i="8"/>
  <c r="IHF62" i="8"/>
  <c r="IHE62" i="8"/>
  <c r="IHD62" i="8"/>
  <c r="IHC62" i="8"/>
  <c r="IHB62" i="8"/>
  <c r="IHA62" i="8"/>
  <c r="IGZ62" i="8"/>
  <c r="IGY62" i="8"/>
  <c r="IGX62" i="8"/>
  <c r="IGW62" i="8"/>
  <c r="IGV62" i="8"/>
  <c r="IGU62" i="8"/>
  <c r="IGT62" i="8"/>
  <c r="IGS62" i="8"/>
  <c r="IGR62" i="8"/>
  <c r="IGQ62" i="8"/>
  <c r="IGP62" i="8"/>
  <c r="IGO62" i="8"/>
  <c r="IGN62" i="8"/>
  <c r="IGM62" i="8"/>
  <c r="IGL62" i="8"/>
  <c r="IGK62" i="8"/>
  <c r="IGJ62" i="8"/>
  <c r="IGI62" i="8"/>
  <c r="IGH62" i="8"/>
  <c r="IGG62" i="8"/>
  <c r="IGF62" i="8"/>
  <c r="IGE62" i="8"/>
  <c r="IGD62" i="8"/>
  <c r="IGC62" i="8"/>
  <c r="IGB62" i="8"/>
  <c r="IGA62" i="8"/>
  <c r="IFZ62" i="8"/>
  <c r="IFY62" i="8"/>
  <c r="IFX62" i="8"/>
  <c r="IFW62" i="8"/>
  <c r="IFV62" i="8"/>
  <c r="IFU62" i="8"/>
  <c r="IFT62" i="8"/>
  <c r="IFS62" i="8"/>
  <c r="IFR62" i="8"/>
  <c r="IFQ62" i="8"/>
  <c r="IFP62" i="8"/>
  <c r="IFO62" i="8"/>
  <c r="IFN62" i="8"/>
  <c r="IFM62" i="8"/>
  <c r="IFL62" i="8"/>
  <c r="IFK62" i="8"/>
  <c r="IFJ62" i="8"/>
  <c r="IFI62" i="8"/>
  <c r="IFH62" i="8"/>
  <c r="IFG62" i="8"/>
  <c r="IFF62" i="8"/>
  <c r="IFE62" i="8"/>
  <c r="IFD62" i="8"/>
  <c r="IFC62" i="8"/>
  <c r="IFB62" i="8"/>
  <c r="IFA62" i="8"/>
  <c r="IEZ62" i="8"/>
  <c r="IEY62" i="8"/>
  <c r="IEX62" i="8"/>
  <c r="IEW62" i="8"/>
  <c r="IEV62" i="8"/>
  <c r="IEU62" i="8"/>
  <c r="IET62" i="8"/>
  <c r="IES62" i="8"/>
  <c r="IER62" i="8"/>
  <c r="IEQ62" i="8"/>
  <c r="IEP62" i="8"/>
  <c r="IEO62" i="8"/>
  <c r="IEN62" i="8"/>
  <c r="IEM62" i="8"/>
  <c r="IEL62" i="8"/>
  <c r="IEK62" i="8"/>
  <c r="IEJ62" i="8"/>
  <c r="IEI62" i="8"/>
  <c r="IEH62" i="8"/>
  <c r="IEG62" i="8"/>
  <c r="IEF62" i="8"/>
  <c r="IEE62" i="8"/>
  <c r="IED62" i="8"/>
  <c r="IEC62" i="8"/>
  <c r="IEB62" i="8"/>
  <c r="IEA62" i="8"/>
  <c r="IDZ62" i="8"/>
  <c r="IDY62" i="8"/>
  <c r="IDX62" i="8"/>
  <c r="IDW62" i="8"/>
  <c r="IDV62" i="8"/>
  <c r="IDU62" i="8"/>
  <c r="IDT62" i="8"/>
  <c r="IDS62" i="8"/>
  <c r="IDR62" i="8"/>
  <c r="IDQ62" i="8"/>
  <c r="IDP62" i="8"/>
  <c r="IDO62" i="8"/>
  <c r="IDN62" i="8"/>
  <c r="IDM62" i="8"/>
  <c r="IDL62" i="8"/>
  <c r="IDK62" i="8"/>
  <c r="IDJ62" i="8"/>
  <c r="IDI62" i="8"/>
  <c r="IDH62" i="8"/>
  <c r="IDG62" i="8"/>
  <c r="IDF62" i="8"/>
  <c r="IDE62" i="8"/>
  <c r="IDD62" i="8"/>
  <c r="IDC62" i="8"/>
  <c r="IDB62" i="8"/>
  <c r="IDA62" i="8"/>
  <c r="ICZ62" i="8"/>
  <c r="ICY62" i="8"/>
  <c r="ICX62" i="8"/>
  <c r="ICW62" i="8"/>
  <c r="ICV62" i="8"/>
  <c r="ICU62" i="8"/>
  <c r="ICT62" i="8"/>
  <c r="ICS62" i="8"/>
  <c r="ICR62" i="8"/>
  <c r="ICQ62" i="8"/>
  <c r="ICP62" i="8"/>
  <c r="ICO62" i="8"/>
  <c r="ICN62" i="8"/>
  <c r="ICM62" i="8"/>
  <c r="ICL62" i="8"/>
  <c r="ICK62" i="8"/>
  <c r="ICJ62" i="8"/>
  <c r="ICI62" i="8"/>
  <c r="ICH62" i="8"/>
  <c r="ICG62" i="8"/>
  <c r="ICF62" i="8"/>
  <c r="ICE62" i="8"/>
  <c r="ICD62" i="8"/>
  <c r="ICC62" i="8"/>
  <c r="ICB62" i="8"/>
  <c r="ICA62" i="8"/>
  <c r="IBZ62" i="8"/>
  <c r="IBY62" i="8"/>
  <c r="IBX62" i="8"/>
  <c r="IBW62" i="8"/>
  <c r="IBV62" i="8"/>
  <c r="IBU62" i="8"/>
  <c r="IBT62" i="8"/>
  <c r="IBS62" i="8"/>
  <c r="IBR62" i="8"/>
  <c r="IBQ62" i="8"/>
  <c r="IBP62" i="8"/>
  <c r="IBO62" i="8"/>
  <c r="IBN62" i="8"/>
  <c r="IBM62" i="8"/>
  <c r="IBL62" i="8"/>
  <c r="IBK62" i="8"/>
  <c r="IBJ62" i="8"/>
  <c r="IBI62" i="8"/>
  <c r="IBH62" i="8"/>
  <c r="IBG62" i="8"/>
  <c r="IBF62" i="8"/>
  <c r="IBE62" i="8"/>
  <c r="IBD62" i="8"/>
  <c r="IBC62" i="8"/>
  <c r="IBB62" i="8"/>
  <c r="IBA62" i="8"/>
  <c r="IAZ62" i="8"/>
  <c r="IAY62" i="8"/>
  <c r="IAX62" i="8"/>
  <c r="IAW62" i="8"/>
  <c r="IAV62" i="8"/>
  <c r="IAU62" i="8"/>
  <c r="IAT62" i="8"/>
  <c r="IAS62" i="8"/>
  <c r="IAR62" i="8"/>
  <c r="IAQ62" i="8"/>
  <c r="IAP62" i="8"/>
  <c r="IAO62" i="8"/>
  <c r="IAN62" i="8"/>
  <c r="IAM62" i="8"/>
  <c r="IAL62" i="8"/>
  <c r="IAK62" i="8"/>
  <c r="IAJ62" i="8"/>
  <c r="IAI62" i="8"/>
  <c r="IAH62" i="8"/>
  <c r="IAG62" i="8"/>
  <c r="IAF62" i="8"/>
  <c r="IAE62" i="8"/>
  <c r="IAD62" i="8"/>
  <c r="IAC62" i="8"/>
  <c r="IAB62" i="8"/>
  <c r="IAA62" i="8"/>
  <c r="HZZ62" i="8"/>
  <c r="HZY62" i="8"/>
  <c r="HZX62" i="8"/>
  <c r="HZW62" i="8"/>
  <c r="HZV62" i="8"/>
  <c r="HZU62" i="8"/>
  <c r="HZT62" i="8"/>
  <c r="HZS62" i="8"/>
  <c r="HZR62" i="8"/>
  <c r="HZQ62" i="8"/>
  <c r="HZP62" i="8"/>
  <c r="HZO62" i="8"/>
  <c r="HZN62" i="8"/>
  <c r="HZM62" i="8"/>
  <c r="HZL62" i="8"/>
  <c r="HZK62" i="8"/>
  <c r="HZJ62" i="8"/>
  <c r="HZI62" i="8"/>
  <c r="HZH62" i="8"/>
  <c r="HZG62" i="8"/>
  <c r="HZF62" i="8"/>
  <c r="HZE62" i="8"/>
  <c r="HZD62" i="8"/>
  <c r="HZC62" i="8"/>
  <c r="HZB62" i="8"/>
  <c r="HZA62" i="8"/>
  <c r="HYZ62" i="8"/>
  <c r="HYY62" i="8"/>
  <c r="HYX62" i="8"/>
  <c r="HYW62" i="8"/>
  <c r="HYV62" i="8"/>
  <c r="HYU62" i="8"/>
  <c r="HYT62" i="8"/>
  <c r="HYS62" i="8"/>
  <c r="HYR62" i="8"/>
  <c r="HYQ62" i="8"/>
  <c r="HYP62" i="8"/>
  <c r="HYO62" i="8"/>
  <c r="HYN62" i="8"/>
  <c r="HYM62" i="8"/>
  <c r="HYL62" i="8"/>
  <c r="HYK62" i="8"/>
  <c r="HYJ62" i="8"/>
  <c r="HYI62" i="8"/>
  <c r="HYH62" i="8"/>
  <c r="HYG62" i="8"/>
  <c r="HYF62" i="8"/>
  <c r="HYE62" i="8"/>
  <c r="HYD62" i="8"/>
  <c r="HYC62" i="8"/>
  <c r="HYB62" i="8"/>
  <c r="HYA62" i="8"/>
  <c r="HXZ62" i="8"/>
  <c r="HXY62" i="8"/>
  <c r="HXX62" i="8"/>
  <c r="HXW62" i="8"/>
  <c r="HXV62" i="8"/>
  <c r="HXU62" i="8"/>
  <c r="HXT62" i="8"/>
  <c r="HXS62" i="8"/>
  <c r="HXR62" i="8"/>
  <c r="HXQ62" i="8"/>
  <c r="HXP62" i="8"/>
  <c r="HXO62" i="8"/>
  <c r="HXN62" i="8"/>
  <c r="HXM62" i="8"/>
  <c r="HXL62" i="8"/>
  <c r="HXK62" i="8"/>
  <c r="HXJ62" i="8"/>
  <c r="HXI62" i="8"/>
  <c r="HXH62" i="8"/>
  <c r="HXG62" i="8"/>
  <c r="HXF62" i="8"/>
  <c r="HXE62" i="8"/>
  <c r="HXD62" i="8"/>
  <c r="HXC62" i="8"/>
  <c r="HXB62" i="8"/>
  <c r="HXA62" i="8"/>
  <c r="HWZ62" i="8"/>
  <c r="HWY62" i="8"/>
  <c r="HWX62" i="8"/>
  <c r="HWW62" i="8"/>
  <c r="HWV62" i="8"/>
  <c r="HWU62" i="8"/>
  <c r="HWT62" i="8"/>
  <c r="HWS62" i="8"/>
  <c r="HWR62" i="8"/>
  <c r="HWQ62" i="8"/>
  <c r="HWP62" i="8"/>
  <c r="HWO62" i="8"/>
  <c r="HWN62" i="8"/>
  <c r="HWM62" i="8"/>
  <c r="HWL62" i="8"/>
  <c r="HWK62" i="8"/>
  <c r="HWJ62" i="8"/>
  <c r="HWI62" i="8"/>
  <c r="HWH62" i="8"/>
  <c r="HWG62" i="8"/>
  <c r="HWF62" i="8"/>
  <c r="HWE62" i="8"/>
  <c r="HWD62" i="8"/>
  <c r="HWC62" i="8"/>
  <c r="HWB62" i="8"/>
  <c r="HWA62" i="8"/>
  <c r="HVZ62" i="8"/>
  <c r="HVY62" i="8"/>
  <c r="HVX62" i="8"/>
  <c r="HVW62" i="8"/>
  <c r="HVV62" i="8"/>
  <c r="HVU62" i="8"/>
  <c r="HVT62" i="8"/>
  <c r="HVS62" i="8"/>
  <c r="HVR62" i="8"/>
  <c r="HVQ62" i="8"/>
  <c r="HVP62" i="8"/>
  <c r="HVO62" i="8"/>
  <c r="HVN62" i="8"/>
  <c r="HVM62" i="8"/>
  <c r="HVL62" i="8"/>
  <c r="HVK62" i="8"/>
  <c r="HVJ62" i="8"/>
  <c r="HVI62" i="8"/>
  <c r="HVH62" i="8"/>
  <c r="HVG62" i="8"/>
  <c r="HVF62" i="8"/>
  <c r="HVE62" i="8"/>
  <c r="HVD62" i="8"/>
  <c r="HVC62" i="8"/>
  <c r="HVB62" i="8"/>
  <c r="HVA62" i="8"/>
  <c r="HUZ62" i="8"/>
  <c r="HUY62" i="8"/>
  <c r="HUX62" i="8"/>
  <c r="HUW62" i="8"/>
  <c r="HUV62" i="8"/>
  <c r="HUU62" i="8"/>
  <c r="HUT62" i="8"/>
  <c r="HUS62" i="8"/>
  <c r="HUR62" i="8"/>
  <c r="HUQ62" i="8"/>
  <c r="HUP62" i="8"/>
  <c r="HUO62" i="8"/>
  <c r="HUN62" i="8"/>
  <c r="HUM62" i="8"/>
  <c r="HUL62" i="8"/>
  <c r="HUK62" i="8"/>
  <c r="HUJ62" i="8"/>
  <c r="HUI62" i="8"/>
  <c r="HUH62" i="8"/>
  <c r="HUG62" i="8"/>
  <c r="HUF62" i="8"/>
  <c r="HUE62" i="8"/>
  <c r="HUD62" i="8"/>
  <c r="HUC62" i="8"/>
  <c r="HUB62" i="8"/>
  <c r="HUA62" i="8"/>
  <c r="HTZ62" i="8"/>
  <c r="HTY62" i="8"/>
  <c r="HTX62" i="8"/>
  <c r="HTW62" i="8"/>
  <c r="HTV62" i="8"/>
  <c r="HTU62" i="8"/>
  <c r="HTT62" i="8"/>
  <c r="HTS62" i="8"/>
  <c r="HTR62" i="8"/>
  <c r="HTQ62" i="8"/>
  <c r="HTP62" i="8"/>
  <c r="HTO62" i="8"/>
  <c r="HTN62" i="8"/>
  <c r="HTM62" i="8"/>
  <c r="HTL62" i="8"/>
  <c r="HTK62" i="8"/>
  <c r="HTJ62" i="8"/>
  <c r="HTI62" i="8"/>
  <c r="HTH62" i="8"/>
  <c r="HTG62" i="8"/>
  <c r="HTF62" i="8"/>
  <c r="HTE62" i="8"/>
  <c r="HTD62" i="8"/>
  <c r="HTC62" i="8"/>
  <c r="HTB62" i="8"/>
  <c r="HTA62" i="8"/>
  <c r="HSZ62" i="8"/>
  <c r="HSY62" i="8"/>
  <c r="HSX62" i="8"/>
  <c r="HSW62" i="8"/>
  <c r="HSV62" i="8"/>
  <c r="HSU62" i="8"/>
  <c r="HST62" i="8"/>
  <c r="HSS62" i="8"/>
  <c r="HSR62" i="8"/>
  <c r="HSQ62" i="8"/>
  <c r="HSP62" i="8"/>
  <c r="HSO62" i="8"/>
  <c r="HSN62" i="8"/>
  <c r="HSM62" i="8"/>
  <c r="HSL62" i="8"/>
  <c r="HSK62" i="8"/>
  <c r="HSJ62" i="8"/>
  <c r="HSI62" i="8"/>
  <c r="HSH62" i="8"/>
  <c r="HSG62" i="8"/>
  <c r="HSF62" i="8"/>
  <c r="HSE62" i="8"/>
  <c r="HSD62" i="8"/>
  <c r="HSC62" i="8"/>
  <c r="HSB62" i="8"/>
  <c r="HSA62" i="8"/>
  <c r="HRZ62" i="8"/>
  <c r="HRY62" i="8"/>
  <c r="HRX62" i="8"/>
  <c r="HRW62" i="8"/>
  <c r="HRV62" i="8"/>
  <c r="HRU62" i="8"/>
  <c r="HRT62" i="8"/>
  <c r="HRS62" i="8"/>
  <c r="HRR62" i="8"/>
  <c r="HRQ62" i="8"/>
  <c r="HRP62" i="8"/>
  <c r="HRO62" i="8"/>
  <c r="HRN62" i="8"/>
  <c r="HRM62" i="8"/>
  <c r="HRL62" i="8"/>
  <c r="HRK62" i="8"/>
  <c r="HRJ62" i="8"/>
  <c r="HRI62" i="8"/>
  <c r="HRH62" i="8"/>
  <c r="HRG62" i="8"/>
  <c r="HRF62" i="8"/>
  <c r="HRE62" i="8"/>
  <c r="HRD62" i="8"/>
  <c r="HRC62" i="8"/>
  <c r="HRB62" i="8"/>
  <c r="HRA62" i="8"/>
  <c r="HQZ62" i="8"/>
  <c r="HQY62" i="8"/>
  <c r="HQX62" i="8"/>
  <c r="HQW62" i="8"/>
  <c r="HQV62" i="8"/>
  <c r="HQU62" i="8"/>
  <c r="HQT62" i="8"/>
  <c r="HQS62" i="8"/>
  <c r="HQR62" i="8"/>
  <c r="HQQ62" i="8"/>
  <c r="HQP62" i="8"/>
  <c r="HQO62" i="8"/>
  <c r="HQN62" i="8"/>
  <c r="HQM62" i="8"/>
  <c r="HQL62" i="8"/>
  <c r="HQK62" i="8"/>
  <c r="HQJ62" i="8"/>
  <c r="HQI62" i="8"/>
  <c r="HQH62" i="8"/>
  <c r="HQG62" i="8"/>
  <c r="HQF62" i="8"/>
  <c r="HQE62" i="8"/>
  <c r="HQD62" i="8"/>
  <c r="HQC62" i="8"/>
  <c r="HQB62" i="8"/>
  <c r="HQA62" i="8"/>
  <c r="HPZ62" i="8"/>
  <c r="HPY62" i="8"/>
  <c r="HPX62" i="8"/>
  <c r="HPW62" i="8"/>
  <c r="HPV62" i="8"/>
  <c r="HPU62" i="8"/>
  <c r="HPT62" i="8"/>
  <c r="HPS62" i="8"/>
  <c r="HPR62" i="8"/>
  <c r="HPQ62" i="8"/>
  <c r="HPP62" i="8"/>
  <c r="HPO62" i="8"/>
  <c r="HPN62" i="8"/>
  <c r="HPM62" i="8"/>
  <c r="HPL62" i="8"/>
  <c r="HPK62" i="8"/>
  <c r="HPJ62" i="8"/>
  <c r="HPI62" i="8"/>
  <c r="HPH62" i="8"/>
  <c r="HPG62" i="8"/>
  <c r="HPF62" i="8"/>
  <c r="HPE62" i="8"/>
  <c r="HPD62" i="8"/>
  <c r="HPC62" i="8"/>
  <c r="HPB62" i="8"/>
  <c r="HPA62" i="8"/>
  <c r="HOZ62" i="8"/>
  <c r="HOY62" i="8"/>
  <c r="HOX62" i="8"/>
  <c r="HOW62" i="8"/>
  <c r="HOV62" i="8"/>
  <c r="HOU62" i="8"/>
  <c r="HOT62" i="8"/>
  <c r="HOS62" i="8"/>
  <c r="HOR62" i="8"/>
  <c r="HOQ62" i="8"/>
  <c r="HOP62" i="8"/>
  <c r="HOO62" i="8"/>
  <c r="HON62" i="8"/>
  <c r="HOM62" i="8"/>
  <c r="HOL62" i="8"/>
  <c r="HOK62" i="8"/>
  <c r="HOJ62" i="8"/>
  <c r="HOI62" i="8"/>
  <c r="HOH62" i="8"/>
  <c r="HOG62" i="8"/>
  <c r="HOF62" i="8"/>
  <c r="HOE62" i="8"/>
  <c r="HOD62" i="8"/>
  <c r="HOC62" i="8"/>
  <c r="HOB62" i="8"/>
  <c r="HOA62" i="8"/>
  <c r="HNZ62" i="8"/>
  <c r="HNY62" i="8"/>
  <c r="HNX62" i="8"/>
  <c r="HNW62" i="8"/>
  <c r="HNV62" i="8"/>
  <c r="HNU62" i="8"/>
  <c r="HNT62" i="8"/>
  <c r="HNS62" i="8"/>
  <c r="HNR62" i="8"/>
  <c r="HNQ62" i="8"/>
  <c r="HNP62" i="8"/>
  <c r="HNO62" i="8"/>
  <c r="HNN62" i="8"/>
  <c r="HNM62" i="8"/>
  <c r="HNL62" i="8"/>
  <c r="HNK62" i="8"/>
  <c r="HNJ62" i="8"/>
  <c r="HNI62" i="8"/>
  <c r="HNH62" i="8"/>
  <c r="HNG62" i="8"/>
  <c r="HNF62" i="8"/>
  <c r="HNE62" i="8"/>
  <c r="HND62" i="8"/>
  <c r="HNC62" i="8"/>
  <c r="HNB62" i="8"/>
  <c r="HNA62" i="8"/>
  <c r="HMZ62" i="8"/>
  <c r="HMY62" i="8"/>
  <c r="HMX62" i="8"/>
  <c r="HMW62" i="8"/>
  <c r="HMV62" i="8"/>
  <c r="HMU62" i="8"/>
  <c r="HMT62" i="8"/>
  <c r="HMS62" i="8"/>
  <c r="HMR62" i="8"/>
  <c r="HMQ62" i="8"/>
  <c r="HMP62" i="8"/>
  <c r="HMO62" i="8"/>
  <c r="HMN62" i="8"/>
  <c r="HMM62" i="8"/>
  <c r="HML62" i="8"/>
  <c r="HMK62" i="8"/>
  <c r="HMJ62" i="8"/>
  <c r="HMI62" i="8"/>
  <c r="HMH62" i="8"/>
  <c r="HMG62" i="8"/>
  <c r="HMF62" i="8"/>
  <c r="HME62" i="8"/>
  <c r="HMD62" i="8"/>
  <c r="HMC62" i="8"/>
  <c r="HMB62" i="8"/>
  <c r="HMA62" i="8"/>
  <c r="HLZ62" i="8"/>
  <c r="HLY62" i="8"/>
  <c r="HLX62" i="8"/>
  <c r="HLW62" i="8"/>
  <c r="HLV62" i="8"/>
  <c r="HLU62" i="8"/>
  <c r="HLT62" i="8"/>
  <c r="HLS62" i="8"/>
  <c r="HLR62" i="8"/>
  <c r="HLQ62" i="8"/>
  <c r="HLP62" i="8"/>
  <c r="HLO62" i="8"/>
  <c r="HLN62" i="8"/>
  <c r="HLM62" i="8"/>
  <c r="HLL62" i="8"/>
  <c r="HLK62" i="8"/>
  <c r="HLJ62" i="8"/>
  <c r="HLI62" i="8"/>
  <c r="HLH62" i="8"/>
  <c r="HLG62" i="8"/>
  <c r="HLF62" i="8"/>
  <c r="HLE62" i="8"/>
  <c r="HLD62" i="8"/>
  <c r="HLC62" i="8"/>
  <c r="HLB62" i="8"/>
  <c r="HLA62" i="8"/>
  <c r="HKZ62" i="8"/>
  <c r="HKY62" i="8"/>
  <c r="HKX62" i="8"/>
  <c r="HKW62" i="8"/>
  <c r="HKV62" i="8"/>
  <c r="HKU62" i="8"/>
  <c r="HKT62" i="8"/>
  <c r="HKS62" i="8"/>
  <c r="HKR62" i="8"/>
  <c r="HKQ62" i="8"/>
  <c r="HKP62" i="8"/>
  <c r="HKO62" i="8"/>
  <c r="HKN62" i="8"/>
  <c r="HKM62" i="8"/>
  <c r="HKL62" i="8"/>
  <c r="HKK62" i="8"/>
  <c r="HKJ62" i="8"/>
  <c r="HKI62" i="8"/>
  <c r="HKH62" i="8"/>
  <c r="HKG62" i="8"/>
  <c r="HKF62" i="8"/>
  <c r="HKE62" i="8"/>
  <c r="HKD62" i="8"/>
  <c r="HKC62" i="8"/>
  <c r="HKB62" i="8"/>
  <c r="HKA62" i="8"/>
  <c r="HJZ62" i="8"/>
  <c r="HJY62" i="8"/>
  <c r="HJX62" i="8"/>
  <c r="HJW62" i="8"/>
  <c r="HJV62" i="8"/>
  <c r="HJU62" i="8"/>
  <c r="HJT62" i="8"/>
  <c r="HJS62" i="8"/>
  <c r="HJR62" i="8"/>
  <c r="HJQ62" i="8"/>
  <c r="HJP62" i="8"/>
  <c r="HJO62" i="8"/>
  <c r="HJN62" i="8"/>
  <c r="HJM62" i="8"/>
  <c r="HJL62" i="8"/>
  <c r="HJK62" i="8"/>
  <c r="HJJ62" i="8"/>
  <c r="HJI62" i="8"/>
  <c r="HJH62" i="8"/>
  <c r="HJG62" i="8"/>
  <c r="HJF62" i="8"/>
  <c r="HJE62" i="8"/>
  <c r="HJD62" i="8"/>
  <c r="HJC62" i="8"/>
  <c r="HJB62" i="8"/>
  <c r="HJA62" i="8"/>
  <c r="HIZ62" i="8"/>
  <c r="HIY62" i="8"/>
  <c r="HIX62" i="8"/>
  <c r="HIW62" i="8"/>
  <c r="HIV62" i="8"/>
  <c r="HIU62" i="8"/>
  <c r="HIT62" i="8"/>
  <c r="HIS62" i="8"/>
  <c r="HIR62" i="8"/>
  <c r="HIQ62" i="8"/>
  <c r="HIP62" i="8"/>
  <c r="HIO62" i="8"/>
  <c r="HIN62" i="8"/>
  <c r="HIM62" i="8"/>
  <c r="HIL62" i="8"/>
  <c r="HIK62" i="8"/>
  <c r="HIJ62" i="8"/>
  <c r="HII62" i="8"/>
  <c r="HIH62" i="8"/>
  <c r="HIG62" i="8"/>
  <c r="HIF62" i="8"/>
  <c r="HIE62" i="8"/>
  <c r="HID62" i="8"/>
  <c r="HIC62" i="8"/>
  <c r="HIB62" i="8"/>
  <c r="HIA62" i="8"/>
  <c r="HHZ62" i="8"/>
  <c r="HHY62" i="8"/>
  <c r="HHX62" i="8"/>
  <c r="HHW62" i="8"/>
  <c r="HHV62" i="8"/>
  <c r="HHU62" i="8"/>
  <c r="HHT62" i="8"/>
  <c r="HHS62" i="8"/>
  <c r="HHR62" i="8"/>
  <c r="HHQ62" i="8"/>
  <c r="HHP62" i="8"/>
  <c r="HHO62" i="8"/>
  <c r="HHN62" i="8"/>
  <c r="HHM62" i="8"/>
  <c r="HHL62" i="8"/>
  <c r="HHK62" i="8"/>
  <c r="HHJ62" i="8"/>
  <c r="HHI62" i="8"/>
  <c r="HHH62" i="8"/>
  <c r="HHG62" i="8"/>
  <c r="HHF62" i="8"/>
  <c r="HHE62" i="8"/>
  <c r="HHD62" i="8"/>
  <c r="HHC62" i="8"/>
  <c r="HHB62" i="8"/>
  <c r="HHA62" i="8"/>
  <c r="HGZ62" i="8"/>
  <c r="HGY62" i="8"/>
  <c r="HGX62" i="8"/>
  <c r="HGW62" i="8"/>
  <c r="HGV62" i="8"/>
  <c r="HGU62" i="8"/>
  <c r="HGT62" i="8"/>
  <c r="HGS62" i="8"/>
  <c r="HGR62" i="8"/>
  <c r="HGQ62" i="8"/>
  <c r="HGP62" i="8"/>
  <c r="HGO62" i="8"/>
  <c r="HGN62" i="8"/>
  <c r="HGM62" i="8"/>
  <c r="HGL62" i="8"/>
  <c r="HGK62" i="8"/>
  <c r="HGJ62" i="8"/>
  <c r="HGI62" i="8"/>
  <c r="HGH62" i="8"/>
  <c r="HGG62" i="8"/>
  <c r="HGF62" i="8"/>
  <c r="HGE62" i="8"/>
  <c r="HGD62" i="8"/>
  <c r="HGC62" i="8"/>
  <c r="HGB62" i="8"/>
  <c r="HGA62" i="8"/>
  <c r="HFZ62" i="8"/>
  <c r="HFY62" i="8"/>
  <c r="HFX62" i="8"/>
  <c r="HFW62" i="8"/>
  <c r="HFV62" i="8"/>
  <c r="HFU62" i="8"/>
  <c r="HFT62" i="8"/>
  <c r="HFS62" i="8"/>
  <c r="HFR62" i="8"/>
  <c r="HFQ62" i="8"/>
  <c r="HFP62" i="8"/>
  <c r="HFO62" i="8"/>
  <c r="HFN62" i="8"/>
  <c r="HFM62" i="8"/>
  <c r="HFL62" i="8"/>
  <c r="HFK62" i="8"/>
  <c r="HFJ62" i="8"/>
  <c r="HFI62" i="8"/>
  <c r="HFH62" i="8"/>
  <c r="HFG62" i="8"/>
  <c r="HFF62" i="8"/>
  <c r="HFE62" i="8"/>
  <c r="HFD62" i="8"/>
  <c r="HFC62" i="8"/>
  <c r="HFB62" i="8"/>
  <c r="HFA62" i="8"/>
  <c r="HEZ62" i="8"/>
  <c r="HEY62" i="8"/>
  <c r="HEX62" i="8"/>
  <c r="HEW62" i="8"/>
  <c r="HEV62" i="8"/>
  <c r="HEU62" i="8"/>
  <c r="HET62" i="8"/>
  <c r="HES62" i="8"/>
  <c r="HER62" i="8"/>
  <c r="HEQ62" i="8"/>
  <c r="HEP62" i="8"/>
  <c r="HEO62" i="8"/>
  <c r="HEN62" i="8"/>
  <c r="HEM62" i="8"/>
  <c r="HEL62" i="8"/>
  <c r="HEK62" i="8"/>
  <c r="HEJ62" i="8"/>
  <c r="HEI62" i="8"/>
  <c r="HEH62" i="8"/>
  <c r="HEG62" i="8"/>
  <c r="HEF62" i="8"/>
  <c r="HEE62" i="8"/>
  <c r="HED62" i="8"/>
  <c r="HEC62" i="8"/>
  <c r="HEB62" i="8"/>
  <c r="HEA62" i="8"/>
  <c r="HDZ62" i="8"/>
  <c r="HDY62" i="8"/>
  <c r="HDX62" i="8"/>
  <c r="HDW62" i="8"/>
  <c r="HDV62" i="8"/>
  <c r="HDU62" i="8"/>
  <c r="HDT62" i="8"/>
  <c r="HDS62" i="8"/>
  <c r="HDR62" i="8"/>
  <c r="HDQ62" i="8"/>
  <c r="HDP62" i="8"/>
  <c r="HDO62" i="8"/>
  <c r="HDN62" i="8"/>
  <c r="HDM62" i="8"/>
  <c r="HDL62" i="8"/>
  <c r="HDK62" i="8"/>
  <c r="HDJ62" i="8"/>
  <c r="HDI62" i="8"/>
  <c r="HDH62" i="8"/>
  <c r="HDG62" i="8"/>
  <c r="HDF62" i="8"/>
  <c r="HDE62" i="8"/>
  <c r="HDD62" i="8"/>
  <c r="HDC62" i="8"/>
  <c r="HDB62" i="8"/>
  <c r="HDA62" i="8"/>
  <c r="HCZ62" i="8"/>
  <c r="HCY62" i="8"/>
  <c r="HCX62" i="8"/>
  <c r="HCW62" i="8"/>
  <c r="HCV62" i="8"/>
  <c r="HCU62" i="8"/>
  <c r="HCT62" i="8"/>
  <c r="HCS62" i="8"/>
  <c r="HCR62" i="8"/>
  <c r="HCQ62" i="8"/>
  <c r="HCP62" i="8"/>
  <c r="HCO62" i="8"/>
  <c r="HCN62" i="8"/>
  <c r="HCM62" i="8"/>
  <c r="HCL62" i="8"/>
  <c r="HCK62" i="8"/>
  <c r="HCJ62" i="8"/>
  <c r="HCI62" i="8"/>
  <c r="HCH62" i="8"/>
  <c r="HCG62" i="8"/>
  <c r="HCF62" i="8"/>
  <c r="HCE62" i="8"/>
  <c r="HCD62" i="8"/>
  <c r="HCC62" i="8"/>
  <c r="HCB62" i="8"/>
  <c r="HCA62" i="8"/>
  <c r="HBZ62" i="8"/>
  <c r="HBY62" i="8"/>
  <c r="HBX62" i="8"/>
  <c r="HBW62" i="8"/>
  <c r="HBV62" i="8"/>
  <c r="HBU62" i="8"/>
  <c r="HBT62" i="8"/>
  <c r="HBS62" i="8"/>
  <c r="HBR62" i="8"/>
  <c r="HBQ62" i="8"/>
  <c r="HBP62" i="8"/>
  <c r="HBO62" i="8"/>
  <c r="HBN62" i="8"/>
  <c r="HBM62" i="8"/>
  <c r="HBL62" i="8"/>
  <c r="HBK62" i="8"/>
  <c r="HBJ62" i="8"/>
  <c r="HBI62" i="8"/>
  <c r="HBH62" i="8"/>
  <c r="HBG62" i="8"/>
  <c r="HBF62" i="8"/>
  <c r="HBE62" i="8"/>
  <c r="HBD62" i="8"/>
  <c r="HBC62" i="8"/>
  <c r="HBB62" i="8"/>
  <c r="HBA62" i="8"/>
  <c r="HAZ62" i="8"/>
  <c r="HAY62" i="8"/>
  <c r="HAX62" i="8"/>
  <c r="HAW62" i="8"/>
  <c r="HAV62" i="8"/>
  <c r="HAU62" i="8"/>
  <c r="HAT62" i="8"/>
  <c r="HAS62" i="8"/>
  <c r="HAR62" i="8"/>
  <c r="HAQ62" i="8"/>
  <c r="HAP62" i="8"/>
  <c r="HAO62" i="8"/>
  <c r="HAN62" i="8"/>
  <c r="HAM62" i="8"/>
  <c r="HAL62" i="8"/>
  <c r="HAK62" i="8"/>
  <c r="HAJ62" i="8"/>
  <c r="HAI62" i="8"/>
  <c r="HAH62" i="8"/>
  <c r="HAG62" i="8"/>
  <c r="HAF62" i="8"/>
  <c r="HAE62" i="8"/>
  <c r="HAD62" i="8"/>
  <c r="HAC62" i="8"/>
  <c r="HAB62" i="8"/>
  <c r="HAA62" i="8"/>
  <c r="GZZ62" i="8"/>
  <c r="GZY62" i="8"/>
  <c r="GZX62" i="8"/>
  <c r="GZW62" i="8"/>
  <c r="GZV62" i="8"/>
  <c r="GZU62" i="8"/>
  <c r="GZT62" i="8"/>
  <c r="GZS62" i="8"/>
  <c r="GZR62" i="8"/>
  <c r="GZQ62" i="8"/>
  <c r="GZP62" i="8"/>
  <c r="GZO62" i="8"/>
  <c r="GZN62" i="8"/>
  <c r="GZM62" i="8"/>
  <c r="GZL62" i="8"/>
  <c r="GZK62" i="8"/>
  <c r="GZJ62" i="8"/>
  <c r="GZI62" i="8"/>
  <c r="GZH62" i="8"/>
  <c r="GZG62" i="8"/>
  <c r="GZF62" i="8"/>
  <c r="GZE62" i="8"/>
  <c r="GZD62" i="8"/>
  <c r="GZC62" i="8"/>
  <c r="GZB62" i="8"/>
  <c r="GZA62" i="8"/>
  <c r="GYZ62" i="8"/>
  <c r="GYY62" i="8"/>
  <c r="GYX62" i="8"/>
  <c r="GYW62" i="8"/>
  <c r="GYV62" i="8"/>
  <c r="GYU62" i="8"/>
  <c r="GYT62" i="8"/>
  <c r="GYS62" i="8"/>
  <c r="GYR62" i="8"/>
  <c r="GYQ62" i="8"/>
  <c r="GYP62" i="8"/>
  <c r="GYO62" i="8"/>
  <c r="GYN62" i="8"/>
  <c r="GYM62" i="8"/>
  <c r="GYL62" i="8"/>
  <c r="GYK62" i="8"/>
  <c r="GYJ62" i="8"/>
  <c r="GYI62" i="8"/>
  <c r="GYH62" i="8"/>
  <c r="GYG62" i="8"/>
  <c r="GYF62" i="8"/>
  <c r="GYE62" i="8"/>
  <c r="GYD62" i="8"/>
  <c r="GYC62" i="8"/>
  <c r="GYB62" i="8"/>
  <c r="GYA62" i="8"/>
  <c r="GXZ62" i="8"/>
  <c r="GXY62" i="8"/>
  <c r="GXX62" i="8"/>
  <c r="GXW62" i="8"/>
  <c r="GXV62" i="8"/>
  <c r="GXU62" i="8"/>
  <c r="GXT62" i="8"/>
  <c r="GXS62" i="8"/>
  <c r="GXR62" i="8"/>
  <c r="GXQ62" i="8"/>
  <c r="GXP62" i="8"/>
  <c r="GXO62" i="8"/>
  <c r="GXN62" i="8"/>
  <c r="GXM62" i="8"/>
  <c r="GXL62" i="8"/>
  <c r="GXK62" i="8"/>
  <c r="GXJ62" i="8"/>
  <c r="GXI62" i="8"/>
  <c r="GXH62" i="8"/>
  <c r="GXG62" i="8"/>
  <c r="GXF62" i="8"/>
  <c r="GXE62" i="8"/>
  <c r="GXD62" i="8"/>
  <c r="GXC62" i="8"/>
  <c r="GXB62" i="8"/>
  <c r="GXA62" i="8"/>
  <c r="GWZ62" i="8"/>
  <c r="GWY62" i="8"/>
  <c r="GWX62" i="8"/>
  <c r="GWW62" i="8"/>
  <c r="GWV62" i="8"/>
  <c r="GWU62" i="8"/>
  <c r="GWT62" i="8"/>
  <c r="GWS62" i="8"/>
  <c r="GWR62" i="8"/>
  <c r="GWQ62" i="8"/>
  <c r="GWP62" i="8"/>
  <c r="GWO62" i="8"/>
  <c r="GWN62" i="8"/>
  <c r="GWM62" i="8"/>
  <c r="GWL62" i="8"/>
  <c r="GWK62" i="8"/>
  <c r="GWJ62" i="8"/>
  <c r="GWI62" i="8"/>
  <c r="GWH62" i="8"/>
  <c r="GWG62" i="8"/>
  <c r="GWF62" i="8"/>
  <c r="GWE62" i="8"/>
  <c r="GWD62" i="8"/>
  <c r="GWC62" i="8"/>
  <c r="GWB62" i="8"/>
  <c r="GWA62" i="8"/>
  <c r="GVZ62" i="8"/>
  <c r="GVY62" i="8"/>
  <c r="GVX62" i="8"/>
  <c r="GVW62" i="8"/>
  <c r="GVV62" i="8"/>
  <c r="GVU62" i="8"/>
  <c r="GVT62" i="8"/>
  <c r="GVS62" i="8"/>
  <c r="GVR62" i="8"/>
  <c r="GVQ62" i="8"/>
  <c r="GVP62" i="8"/>
  <c r="GVO62" i="8"/>
  <c r="GVN62" i="8"/>
  <c r="GVM62" i="8"/>
  <c r="GVL62" i="8"/>
  <c r="GVK62" i="8"/>
  <c r="GVJ62" i="8"/>
  <c r="GVI62" i="8"/>
  <c r="GVH62" i="8"/>
  <c r="GVG62" i="8"/>
  <c r="GVF62" i="8"/>
  <c r="GVE62" i="8"/>
  <c r="GVD62" i="8"/>
  <c r="GVC62" i="8"/>
  <c r="GVB62" i="8"/>
  <c r="GVA62" i="8"/>
  <c r="GUZ62" i="8"/>
  <c r="GUY62" i="8"/>
  <c r="GUX62" i="8"/>
  <c r="GUW62" i="8"/>
  <c r="GUV62" i="8"/>
  <c r="GUU62" i="8"/>
  <c r="GUT62" i="8"/>
  <c r="GUS62" i="8"/>
  <c r="GUR62" i="8"/>
  <c r="GUQ62" i="8"/>
  <c r="GUP62" i="8"/>
  <c r="GUO62" i="8"/>
  <c r="GUN62" i="8"/>
  <c r="GUM62" i="8"/>
  <c r="GUL62" i="8"/>
  <c r="GUK62" i="8"/>
  <c r="GUJ62" i="8"/>
  <c r="GUI62" i="8"/>
  <c r="GUH62" i="8"/>
  <c r="GUG62" i="8"/>
  <c r="GUF62" i="8"/>
  <c r="GUE62" i="8"/>
  <c r="GUD62" i="8"/>
  <c r="GUC62" i="8"/>
  <c r="GUB62" i="8"/>
  <c r="GUA62" i="8"/>
  <c r="GTZ62" i="8"/>
  <c r="GTY62" i="8"/>
  <c r="GTX62" i="8"/>
  <c r="GTW62" i="8"/>
  <c r="GTV62" i="8"/>
  <c r="GTU62" i="8"/>
  <c r="GTT62" i="8"/>
  <c r="GTS62" i="8"/>
  <c r="GTR62" i="8"/>
  <c r="GTQ62" i="8"/>
  <c r="GTP62" i="8"/>
  <c r="GTO62" i="8"/>
  <c r="GTN62" i="8"/>
  <c r="GTM62" i="8"/>
  <c r="GTL62" i="8"/>
  <c r="GTK62" i="8"/>
  <c r="GTJ62" i="8"/>
  <c r="GTI62" i="8"/>
  <c r="GTH62" i="8"/>
  <c r="GTG62" i="8"/>
  <c r="GTF62" i="8"/>
  <c r="GTE62" i="8"/>
  <c r="GTD62" i="8"/>
  <c r="GTC62" i="8"/>
  <c r="GTB62" i="8"/>
  <c r="GTA62" i="8"/>
  <c r="GSZ62" i="8"/>
  <c r="GSY62" i="8"/>
  <c r="GSX62" i="8"/>
  <c r="GSW62" i="8"/>
  <c r="GSV62" i="8"/>
  <c r="GSU62" i="8"/>
  <c r="GST62" i="8"/>
  <c r="GSS62" i="8"/>
  <c r="GSR62" i="8"/>
  <c r="GSQ62" i="8"/>
  <c r="GSP62" i="8"/>
  <c r="GSO62" i="8"/>
  <c r="GSN62" i="8"/>
  <c r="GSM62" i="8"/>
  <c r="GSL62" i="8"/>
  <c r="GSK62" i="8"/>
  <c r="GSJ62" i="8"/>
  <c r="GSI62" i="8"/>
  <c r="GSH62" i="8"/>
  <c r="GSG62" i="8"/>
  <c r="GSF62" i="8"/>
  <c r="GSE62" i="8"/>
  <c r="GSD62" i="8"/>
  <c r="GSC62" i="8"/>
  <c r="GSB62" i="8"/>
  <c r="GSA62" i="8"/>
  <c r="GRZ62" i="8"/>
  <c r="GRY62" i="8"/>
  <c r="GRX62" i="8"/>
  <c r="GRW62" i="8"/>
  <c r="GRV62" i="8"/>
  <c r="GRU62" i="8"/>
  <c r="GRT62" i="8"/>
  <c r="GRS62" i="8"/>
  <c r="GRR62" i="8"/>
  <c r="GRQ62" i="8"/>
  <c r="GRP62" i="8"/>
  <c r="GRO62" i="8"/>
  <c r="GRN62" i="8"/>
  <c r="GRM62" i="8"/>
  <c r="GRL62" i="8"/>
  <c r="GRK62" i="8"/>
  <c r="GRJ62" i="8"/>
  <c r="GRI62" i="8"/>
  <c r="GRH62" i="8"/>
  <c r="GRG62" i="8"/>
  <c r="GRF62" i="8"/>
  <c r="GRE62" i="8"/>
  <c r="GRD62" i="8"/>
  <c r="GRC62" i="8"/>
  <c r="GRB62" i="8"/>
  <c r="GRA62" i="8"/>
  <c r="GQZ62" i="8"/>
  <c r="GQY62" i="8"/>
  <c r="GQX62" i="8"/>
  <c r="GQW62" i="8"/>
  <c r="GQV62" i="8"/>
  <c r="GQU62" i="8"/>
  <c r="GQT62" i="8"/>
  <c r="GQS62" i="8"/>
  <c r="GQR62" i="8"/>
  <c r="GQQ62" i="8"/>
  <c r="GQP62" i="8"/>
  <c r="GQO62" i="8"/>
  <c r="GQN62" i="8"/>
  <c r="GQM62" i="8"/>
  <c r="GQL62" i="8"/>
  <c r="GQK62" i="8"/>
  <c r="GQJ62" i="8"/>
  <c r="GQI62" i="8"/>
  <c r="GQH62" i="8"/>
  <c r="GQG62" i="8"/>
  <c r="GQF62" i="8"/>
  <c r="GQE62" i="8"/>
  <c r="GQD62" i="8"/>
  <c r="GQC62" i="8"/>
  <c r="GQB62" i="8"/>
  <c r="GQA62" i="8"/>
  <c r="GPZ62" i="8"/>
  <c r="GPY62" i="8"/>
  <c r="GPX62" i="8"/>
  <c r="GPW62" i="8"/>
  <c r="GPV62" i="8"/>
  <c r="GPU62" i="8"/>
  <c r="GPT62" i="8"/>
  <c r="GPS62" i="8"/>
  <c r="GPR62" i="8"/>
  <c r="GPQ62" i="8"/>
  <c r="GPP62" i="8"/>
  <c r="GPO62" i="8"/>
  <c r="GPN62" i="8"/>
  <c r="GPM62" i="8"/>
  <c r="GPL62" i="8"/>
  <c r="GPK62" i="8"/>
  <c r="GPJ62" i="8"/>
  <c r="GPI62" i="8"/>
  <c r="GPH62" i="8"/>
  <c r="GPG62" i="8"/>
  <c r="GPF62" i="8"/>
  <c r="GPE62" i="8"/>
  <c r="GPD62" i="8"/>
  <c r="GPC62" i="8"/>
  <c r="GPB62" i="8"/>
  <c r="GPA62" i="8"/>
  <c r="GOZ62" i="8"/>
  <c r="GOY62" i="8"/>
  <c r="GOX62" i="8"/>
  <c r="GOW62" i="8"/>
  <c r="GOV62" i="8"/>
  <c r="GOU62" i="8"/>
  <c r="GOT62" i="8"/>
  <c r="GOS62" i="8"/>
  <c r="GOR62" i="8"/>
  <c r="GOQ62" i="8"/>
  <c r="GOP62" i="8"/>
  <c r="GOO62" i="8"/>
  <c r="GON62" i="8"/>
  <c r="GOM62" i="8"/>
  <c r="GOL62" i="8"/>
  <c r="GOK62" i="8"/>
  <c r="GOJ62" i="8"/>
  <c r="GOI62" i="8"/>
  <c r="GOH62" i="8"/>
  <c r="GOG62" i="8"/>
  <c r="GOF62" i="8"/>
  <c r="GOE62" i="8"/>
  <c r="GOD62" i="8"/>
  <c r="GOC62" i="8"/>
  <c r="GOB62" i="8"/>
  <c r="GOA62" i="8"/>
  <c r="GNZ62" i="8"/>
  <c r="GNY62" i="8"/>
  <c r="GNX62" i="8"/>
  <c r="GNW62" i="8"/>
  <c r="GNV62" i="8"/>
  <c r="GNU62" i="8"/>
  <c r="GNT62" i="8"/>
  <c r="GNS62" i="8"/>
  <c r="GNR62" i="8"/>
  <c r="GNQ62" i="8"/>
  <c r="GNP62" i="8"/>
  <c r="GNO62" i="8"/>
  <c r="GNN62" i="8"/>
  <c r="GNM62" i="8"/>
  <c r="GNL62" i="8"/>
  <c r="GNK62" i="8"/>
  <c r="GNJ62" i="8"/>
  <c r="GNI62" i="8"/>
  <c r="GNH62" i="8"/>
  <c r="GNG62" i="8"/>
  <c r="GNF62" i="8"/>
  <c r="GNE62" i="8"/>
  <c r="GND62" i="8"/>
  <c r="GNC62" i="8"/>
  <c r="GNB62" i="8"/>
  <c r="GNA62" i="8"/>
  <c r="GMZ62" i="8"/>
  <c r="GMY62" i="8"/>
  <c r="GMX62" i="8"/>
  <c r="GMW62" i="8"/>
  <c r="GMV62" i="8"/>
  <c r="GMU62" i="8"/>
  <c r="GMT62" i="8"/>
  <c r="GMS62" i="8"/>
  <c r="GMR62" i="8"/>
  <c r="GMQ62" i="8"/>
  <c r="GMP62" i="8"/>
  <c r="GMO62" i="8"/>
  <c r="GMN62" i="8"/>
  <c r="GMM62" i="8"/>
  <c r="GML62" i="8"/>
  <c r="GMK62" i="8"/>
  <c r="GMJ62" i="8"/>
  <c r="GMI62" i="8"/>
  <c r="GMH62" i="8"/>
  <c r="GMG62" i="8"/>
  <c r="GMF62" i="8"/>
  <c r="GME62" i="8"/>
  <c r="GMD62" i="8"/>
  <c r="GMC62" i="8"/>
  <c r="GMB62" i="8"/>
  <c r="GMA62" i="8"/>
  <c r="GLZ62" i="8"/>
  <c r="GLY62" i="8"/>
  <c r="GLX62" i="8"/>
  <c r="GLW62" i="8"/>
  <c r="GLV62" i="8"/>
  <c r="GLU62" i="8"/>
  <c r="GLT62" i="8"/>
  <c r="GLS62" i="8"/>
  <c r="GLR62" i="8"/>
  <c r="GLQ62" i="8"/>
  <c r="GLP62" i="8"/>
  <c r="GLO62" i="8"/>
  <c r="GLN62" i="8"/>
  <c r="GLM62" i="8"/>
  <c r="GLL62" i="8"/>
  <c r="GLK62" i="8"/>
  <c r="GLJ62" i="8"/>
  <c r="GLI62" i="8"/>
  <c r="GLH62" i="8"/>
  <c r="GLG62" i="8"/>
  <c r="GLF62" i="8"/>
  <c r="GLE62" i="8"/>
  <c r="GLD62" i="8"/>
  <c r="GLC62" i="8"/>
  <c r="GLB62" i="8"/>
  <c r="GLA62" i="8"/>
  <c r="GKZ62" i="8"/>
  <c r="GKY62" i="8"/>
  <c r="GKX62" i="8"/>
  <c r="GKW62" i="8"/>
  <c r="GKV62" i="8"/>
  <c r="GKU62" i="8"/>
  <c r="GKT62" i="8"/>
  <c r="GKS62" i="8"/>
  <c r="GKR62" i="8"/>
  <c r="GKQ62" i="8"/>
  <c r="GKP62" i="8"/>
  <c r="GKO62" i="8"/>
  <c r="GKN62" i="8"/>
  <c r="GKM62" i="8"/>
  <c r="GKL62" i="8"/>
  <c r="GKK62" i="8"/>
  <c r="GKJ62" i="8"/>
  <c r="GKI62" i="8"/>
  <c r="GKH62" i="8"/>
  <c r="GKG62" i="8"/>
  <c r="GKF62" i="8"/>
  <c r="GKE62" i="8"/>
  <c r="GKD62" i="8"/>
  <c r="GKC62" i="8"/>
  <c r="GKB62" i="8"/>
  <c r="GKA62" i="8"/>
  <c r="GJZ62" i="8"/>
  <c r="GJY62" i="8"/>
  <c r="GJX62" i="8"/>
  <c r="GJW62" i="8"/>
  <c r="GJV62" i="8"/>
  <c r="GJU62" i="8"/>
  <c r="GJT62" i="8"/>
  <c r="GJS62" i="8"/>
  <c r="GJR62" i="8"/>
  <c r="GJQ62" i="8"/>
  <c r="GJP62" i="8"/>
  <c r="GJO62" i="8"/>
  <c r="GJN62" i="8"/>
  <c r="GJM62" i="8"/>
  <c r="GJL62" i="8"/>
  <c r="GJK62" i="8"/>
  <c r="GJJ62" i="8"/>
  <c r="GJI62" i="8"/>
  <c r="GJH62" i="8"/>
  <c r="GJG62" i="8"/>
  <c r="GJF62" i="8"/>
  <c r="GJE62" i="8"/>
  <c r="GJD62" i="8"/>
  <c r="GJC62" i="8"/>
  <c r="GJB62" i="8"/>
  <c r="GJA62" i="8"/>
  <c r="GIZ62" i="8"/>
  <c r="GIY62" i="8"/>
  <c r="GIX62" i="8"/>
  <c r="GIW62" i="8"/>
  <c r="GIV62" i="8"/>
  <c r="GIU62" i="8"/>
  <c r="GIT62" i="8"/>
  <c r="GIS62" i="8"/>
  <c r="GIR62" i="8"/>
  <c r="GIQ62" i="8"/>
  <c r="GIP62" i="8"/>
  <c r="GIO62" i="8"/>
  <c r="GIN62" i="8"/>
  <c r="GIM62" i="8"/>
  <c r="GIL62" i="8"/>
  <c r="GIK62" i="8"/>
  <c r="GIJ62" i="8"/>
  <c r="GII62" i="8"/>
  <c r="GIH62" i="8"/>
  <c r="GIG62" i="8"/>
  <c r="GIF62" i="8"/>
  <c r="GIE62" i="8"/>
  <c r="GID62" i="8"/>
  <c r="GIC62" i="8"/>
  <c r="GIB62" i="8"/>
  <c r="GIA62" i="8"/>
  <c r="GHZ62" i="8"/>
  <c r="GHY62" i="8"/>
  <c r="GHX62" i="8"/>
  <c r="GHW62" i="8"/>
  <c r="GHV62" i="8"/>
  <c r="GHU62" i="8"/>
  <c r="GHT62" i="8"/>
  <c r="GHS62" i="8"/>
  <c r="GHR62" i="8"/>
  <c r="GHQ62" i="8"/>
  <c r="GHP62" i="8"/>
  <c r="GHO62" i="8"/>
  <c r="GHN62" i="8"/>
  <c r="GHM62" i="8"/>
  <c r="GHL62" i="8"/>
  <c r="GHK62" i="8"/>
  <c r="GHJ62" i="8"/>
  <c r="GHI62" i="8"/>
  <c r="GHH62" i="8"/>
  <c r="GHG62" i="8"/>
  <c r="GHF62" i="8"/>
  <c r="GHE62" i="8"/>
  <c r="GHD62" i="8"/>
  <c r="GHC62" i="8"/>
  <c r="GHB62" i="8"/>
  <c r="GHA62" i="8"/>
  <c r="GGZ62" i="8"/>
  <c r="GGY62" i="8"/>
  <c r="GGX62" i="8"/>
  <c r="GGW62" i="8"/>
  <c r="GGV62" i="8"/>
  <c r="GGU62" i="8"/>
  <c r="GGT62" i="8"/>
  <c r="GGS62" i="8"/>
  <c r="GGR62" i="8"/>
  <c r="GGQ62" i="8"/>
  <c r="GGP62" i="8"/>
  <c r="GGO62" i="8"/>
  <c r="GGN62" i="8"/>
  <c r="GGM62" i="8"/>
  <c r="GGL62" i="8"/>
  <c r="GGK62" i="8"/>
  <c r="GGJ62" i="8"/>
  <c r="GGI62" i="8"/>
  <c r="GGH62" i="8"/>
  <c r="GGG62" i="8"/>
  <c r="GGF62" i="8"/>
  <c r="GGE62" i="8"/>
  <c r="GGD62" i="8"/>
  <c r="GGC62" i="8"/>
  <c r="GGB62" i="8"/>
  <c r="GGA62" i="8"/>
  <c r="GFZ62" i="8"/>
  <c r="GFY62" i="8"/>
  <c r="GFX62" i="8"/>
  <c r="GFW62" i="8"/>
  <c r="GFV62" i="8"/>
  <c r="GFU62" i="8"/>
  <c r="GFT62" i="8"/>
  <c r="GFS62" i="8"/>
  <c r="GFR62" i="8"/>
  <c r="GFQ62" i="8"/>
  <c r="GFP62" i="8"/>
  <c r="GFO62" i="8"/>
  <c r="GFN62" i="8"/>
  <c r="GFM62" i="8"/>
  <c r="GFL62" i="8"/>
  <c r="GFK62" i="8"/>
  <c r="GFJ62" i="8"/>
  <c r="GFI62" i="8"/>
  <c r="GFH62" i="8"/>
  <c r="GFG62" i="8"/>
  <c r="GFF62" i="8"/>
  <c r="GFE62" i="8"/>
  <c r="GFD62" i="8"/>
  <c r="GFC62" i="8"/>
  <c r="GFB62" i="8"/>
  <c r="GFA62" i="8"/>
  <c r="GEZ62" i="8"/>
  <c r="GEY62" i="8"/>
  <c r="GEX62" i="8"/>
  <c r="GEW62" i="8"/>
  <c r="GEV62" i="8"/>
  <c r="GEU62" i="8"/>
  <c r="GET62" i="8"/>
  <c r="GES62" i="8"/>
  <c r="GER62" i="8"/>
  <c r="GEQ62" i="8"/>
  <c r="GEP62" i="8"/>
  <c r="GEO62" i="8"/>
  <c r="GEN62" i="8"/>
  <c r="GEM62" i="8"/>
  <c r="GEL62" i="8"/>
  <c r="GEK62" i="8"/>
  <c r="GEJ62" i="8"/>
  <c r="GEI62" i="8"/>
  <c r="GEH62" i="8"/>
  <c r="GEG62" i="8"/>
  <c r="GEF62" i="8"/>
  <c r="GEE62" i="8"/>
  <c r="GED62" i="8"/>
  <c r="GEC62" i="8"/>
  <c r="GEB62" i="8"/>
  <c r="GEA62" i="8"/>
  <c r="GDZ62" i="8"/>
  <c r="GDY62" i="8"/>
  <c r="GDX62" i="8"/>
  <c r="GDW62" i="8"/>
  <c r="GDV62" i="8"/>
  <c r="GDU62" i="8"/>
  <c r="GDT62" i="8"/>
  <c r="GDS62" i="8"/>
  <c r="GDR62" i="8"/>
  <c r="GDQ62" i="8"/>
  <c r="GDP62" i="8"/>
  <c r="GDO62" i="8"/>
  <c r="GDN62" i="8"/>
  <c r="GDM62" i="8"/>
  <c r="GDL62" i="8"/>
  <c r="GDK62" i="8"/>
  <c r="GDJ62" i="8"/>
  <c r="GDI62" i="8"/>
  <c r="GDH62" i="8"/>
  <c r="GDG62" i="8"/>
  <c r="GDF62" i="8"/>
  <c r="GDE62" i="8"/>
  <c r="GDD62" i="8"/>
  <c r="GDC62" i="8"/>
  <c r="GDB62" i="8"/>
  <c r="GDA62" i="8"/>
  <c r="GCZ62" i="8"/>
  <c r="GCY62" i="8"/>
  <c r="GCX62" i="8"/>
  <c r="GCW62" i="8"/>
  <c r="GCV62" i="8"/>
  <c r="GCU62" i="8"/>
  <c r="GCT62" i="8"/>
  <c r="GCS62" i="8"/>
  <c r="GCR62" i="8"/>
  <c r="GCQ62" i="8"/>
  <c r="GCP62" i="8"/>
  <c r="GCO62" i="8"/>
  <c r="GCN62" i="8"/>
  <c r="GCM62" i="8"/>
  <c r="GCL62" i="8"/>
  <c r="GCK62" i="8"/>
  <c r="GCJ62" i="8"/>
  <c r="GCI62" i="8"/>
  <c r="GCH62" i="8"/>
  <c r="GCG62" i="8"/>
  <c r="GCF62" i="8"/>
  <c r="GCE62" i="8"/>
  <c r="GCD62" i="8"/>
  <c r="GCC62" i="8"/>
  <c r="GCB62" i="8"/>
  <c r="GCA62" i="8"/>
  <c r="GBZ62" i="8"/>
  <c r="GBY62" i="8"/>
  <c r="GBX62" i="8"/>
  <c r="GBW62" i="8"/>
  <c r="GBV62" i="8"/>
  <c r="GBU62" i="8"/>
  <c r="GBT62" i="8"/>
  <c r="GBS62" i="8"/>
  <c r="GBR62" i="8"/>
  <c r="GBQ62" i="8"/>
  <c r="GBP62" i="8"/>
  <c r="GBO62" i="8"/>
  <c r="GBN62" i="8"/>
  <c r="GBM62" i="8"/>
  <c r="GBL62" i="8"/>
  <c r="GBK62" i="8"/>
  <c r="GBJ62" i="8"/>
  <c r="GBI62" i="8"/>
  <c r="GBH62" i="8"/>
  <c r="GBG62" i="8"/>
  <c r="GBF62" i="8"/>
  <c r="GBE62" i="8"/>
  <c r="GBD62" i="8"/>
  <c r="GBC62" i="8"/>
  <c r="GBB62" i="8"/>
  <c r="GBA62" i="8"/>
  <c r="GAZ62" i="8"/>
  <c r="GAY62" i="8"/>
  <c r="GAX62" i="8"/>
  <c r="GAW62" i="8"/>
  <c r="GAV62" i="8"/>
  <c r="GAU62" i="8"/>
  <c r="GAT62" i="8"/>
  <c r="GAS62" i="8"/>
  <c r="GAR62" i="8"/>
  <c r="GAQ62" i="8"/>
  <c r="GAP62" i="8"/>
  <c r="GAO62" i="8"/>
  <c r="GAN62" i="8"/>
  <c r="GAM62" i="8"/>
  <c r="GAL62" i="8"/>
  <c r="GAK62" i="8"/>
  <c r="GAJ62" i="8"/>
  <c r="GAI62" i="8"/>
  <c r="GAH62" i="8"/>
  <c r="GAG62" i="8"/>
  <c r="GAF62" i="8"/>
  <c r="GAE62" i="8"/>
  <c r="GAD62" i="8"/>
  <c r="GAC62" i="8"/>
  <c r="GAB62" i="8"/>
  <c r="GAA62" i="8"/>
  <c r="FZZ62" i="8"/>
  <c r="FZY62" i="8"/>
  <c r="FZX62" i="8"/>
  <c r="FZW62" i="8"/>
  <c r="FZV62" i="8"/>
  <c r="FZU62" i="8"/>
  <c r="FZT62" i="8"/>
  <c r="FZS62" i="8"/>
  <c r="FZR62" i="8"/>
  <c r="FZQ62" i="8"/>
  <c r="FZP62" i="8"/>
  <c r="FZO62" i="8"/>
  <c r="FZN62" i="8"/>
  <c r="FZM62" i="8"/>
  <c r="FZL62" i="8"/>
  <c r="FZK62" i="8"/>
  <c r="FZJ62" i="8"/>
  <c r="FZI62" i="8"/>
  <c r="FZH62" i="8"/>
  <c r="FZG62" i="8"/>
  <c r="FZF62" i="8"/>
  <c r="FZE62" i="8"/>
  <c r="FZD62" i="8"/>
  <c r="FZC62" i="8"/>
  <c r="FZB62" i="8"/>
  <c r="FZA62" i="8"/>
  <c r="FYZ62" i="8"/>
  <c r="FYY62" i="8"/>
  <c r="FYX62" i="8"/>
  <c r="FYW62" i="8"/>
  <c r="FYV62" i="8"/>
  <c r="FYU62" i="8"/>
  <c r="FYT62" i="8"/>
  <c r="FYS62" i="8"/>
  <c r="FYR62" i="8"/>
  <c r="FYQ62" i="8"/>
  <c r="FYP62" i="8"/>
  <c r="FYO62" i="8"/>
  <c r="FYN62" i="8"/>
  <c r="FYM62" i="8"/>
  <c r="FYL62" i="8"/>
  <c r="FYK62" i="8"/>
  <c r="FYJ62" i="8"/>
  <c r="FYI62" i="8"/>
  <c r="FYH62" i="8"/>
  <c r="FYG62" i="8"/>
  <c r="FYF62" i="8"/>
  <c r="FYE62" i="8"/>
  <c r="FYD62" i="8"/>
  <c r="FYC62" i="8"/>
  <c r="FYB62" i="8"/>
  <c r="FYA62" i="8"/>
  <c r="FXZ62" i="8"/>
  <c r="FXY62" i="8"/>
  <c r="FXX62" i="8"/>
  <c r="FXW62" i="8"/>
  <c r="FXV62" i="8"/>
  <c r="FXU62" i="8"/>
  <c r="FXT62" i="8"/>
  <c r="FXS62" i="8"/>
  <c r="FXR62" i="8"/>
  <c r="FXQ62" i="8"/>
  <c r="FXP62" i="8"/>
  <c r="FXO62" i="8"/>
  <c r="FXN62" i="8"/>
  <c r="FXM62" i="8"/>
  <c r="FXL62" i="8"/>
  <c r="FXK62" i="8"/>
  <c r="FXJ62" i="8"/>
  <c r="FXI62" i="8"/>
  <c r="FXH62" i="8"/>
  <c r="FXG62" i="8"/>
  <c r="FXF62" i="8"/>
  <c r="FXE62" i="8"/>
  <c r="FXD62" i="8"/>
  <c r="FXC62" i="8"/>
  <c r="FXB62" i="8"/>
  <c r="FXA62" i="8"/>
  <c r="FWZ62" i="8"/>
  <c r="FWY62" i="8"/>
  <c r="FWX62" i="8"/>
  <c r="FWW62" i="8"/>
  <c r="FWV62" i="8"/>
  <c r="FWU62" i="8"/>
  <c r="FWT62" i="8"/>
  <c r="FWS62" i="8"/>
  <c r="FWR62" i="8"/>
  <c r="FWQ62" i="8"/>
  <c r="FWP62" i="8"/>
  <c r="FWO62" i="8"/>
  <c r="FWN62" i="8"/>
  <c r="FWM62" i="8"/>
  <c r="FWL62" i="8"/>
  <c r="FWK62" i="8"/>
  <c r="FWJ62" i="8"/>
  <c r="FWI62" i="8"/>
  <c r="FWH62" i="8"/>
  <c r="FWG62" i="8"/>
  <c r="FWF62" i="8"/>
  <c r="FWE62" i="8"/>
  <c r="FWD62" i="8"/>
  <c r="FWC62" i="8"/>
  <c r="FWB62" i="8"/>
  <c r="FWA62" i="8"/>
  <c r="FVZ62" i="8"/>
  <c r="FVY62" i="8"/>
  <c r="FVX62" i="8"/>
  <c r="FVW62" i="8"/>
  <c r="FVV62" i="8"/>
  <c r="FVU62" i="8"/>
  <c r="FVT62" i="8"/>
  <c r="FVS62" i="8"/>
  <c r="FVR62" i="8"/>
  <c r="FVQ62" i="8"/>
  <c r="FVP62" i="8"/>
  <c r="FVO62" i="8"/>
  <c r="FVN62" i="8"/>
  <c r="FVM62" i="8"/>
  <c r="FVL62" i="8"/>
  <c r="FVK62" i="8"/>
  <c r="FVJ62" i="8"/>
  <c r="FVI62" i="8"/>
  <c r="FVH62" i="8"/>
  <c r="FVG62" i="8"/>
  <c r="FVF62" i="8"/>
  <c r="FVE62" i="8"/>
  <c r="FVD62" i="8"/>
  <c r="FVC62" i="8"/>
  <c r="FVB62" i="8"/>
  <c r="FVA62" i="8"/>
  <c r="FUZ62" i="8"/>
  <c r="FUY62" i="8"/>
  <c r="FUX62" i="8"/>
  <c r="FUW62" i="8"/>
  <c r="FUV62" i="8"/>
  <c r="FUU62" i="8"/>
  <c r="FUT62" i="8"/>
  <c r="FUS62" i="8"/>
  <c r="FUR62" i="8"/>
  <c r="FUQ62" i="8"/>
  <c r="FUP62" i="8"/>
  <c r="FUO62" i="8"/>
  <c r="FUN62" i="8"/>
  <c r="FUM62" i="8"/>
  <c r="FUL62" i="8"/>
  <c r="FUK62" i="8"/>
  <c r="FUJ62" i="8"/>
  <c r="FUI62" i="8"/>
  <c r="FUH62" i="8"/>
  <c r="FUG62" i="8"/>
  <c r="FUF62" i="8"/>
  <c r="FUE62" i="8"/>
  <c r="FUD62" i="8"/>
  <c r="FUC62" i="8"/>
  <c r="FUB62" i="8"/>
  <c r="FUA62" i="8"/>
  <c r="FTZ62" i="8"/>
  <c r="FTY62" i="8"/>
  <c r="FTX62" i="8"/>
  <c r="FTW62" i="8"/>
  <c r="FTV62" i="8"/>
  <c r="FTU62" i="8"/>
  <c r="FTT62" i="8"/>
  <c r="FTS62" i="8"/>
  <c r="FTR62" i="8"/>
  <c r="FTQ62" i="8"/>
  <c r="FTP62" i="8"/>
  <c r="FTO62" i="8"/>
  <c r="FTN62" i="8"/>
  <c r="FTM62" i="8"/>
  <c r="FTL62" i="8"/>
  <c r="FTK62" i="8"/>
  <c r="FTJ62" i="8"/>
  <c r="FTI62" i="8"/>
  <c r="FTH62" i="8"/>
  <c r="FTG62" i="8"/>
  <c r="FTF62" i="8"/>
  <c r="FTE62" i="8"/>
  <c r="FTD62" i="8"/>
  <c r="FTC62" i="8"/>
  <c r="FTB62" i="8"/>
  <c r="FTA62" i="8"/>
  <c r="FSZ62" i="8"/>
  <c r="FSY62" i="8"/>
  <c r="FSX62" i="8"/>
  <c r="FSW62" i="8"/>
  <c r="FSV62" i="8"/>
  <c r="FSU62" i="8"/>
  <c r="FST62" i="8"/>
  <c r="FSS62" i="8"/>
  <c r="FSR62" i="8"/>
  <c r="FSQ62" i="8"/>
  <c r="FSP62" i="8"/>
  <c r="FSO62" i="8"/>
  <c r="FSN62" i="8"/>
  <c r="FSM62" i="8"/>
  <c r="FSL62" i="8"/>
  <c r="FSK62" i="8"/>
  <c r="FSJ62" i="8"/>
  <c r="FSI62" i="8"/>
  <c r="FSH62" i="8"/>
  <c r="FSG62" i="8"/>
  <c r="FSF62" i="8"/>
  <c r="FSE62" i="8"/>
  <c r="FSD62" i="8"/>
  <c r="FSC62" i="8"/>
  <c r="FSB62" i="8"/>
  <c r="FSA62" i="8"/>
  <c r="FRZ62" i="8"/>
  <c r="FRY62" i="8"/>
  <c r="FRX62" i="8"/>
  <c r="FRW62" i="8"/>
  <c r="FRV62" i="8"/>
  <c r="FRU62" i="8"/>
  <c r="FRT62" i="8"/>
  <c r="FRS62" i="8"/>
  <c r="FRR62" i="8"/>
  <c r="FRQ62" i="8"/>
  <c r="FRP62" i="8"/>
  <c r="FRO62" i="8"/>
  <c r="FRN62" i="8"/>
  <c r="FRM62" i="8"/>
  <c r="FRL62" i="8"/>
  <c r="FRK62" i="8"/>
  <c r="FRJ62" i="8"/>
  <c r="FRI62" i="8"/>
  <c r="FRH62" i="8"/>
  <c r="FRG62" i="8"/>
  <c r="FRF62" i="8"/>
  <c r="FRE62" i="8"/>
  <c r="FRD62" i="8"/>
  <c r="FRC62" i="8"/>
  <c r="FRB62" i="8"/>
  <c r="FRA62" i="8"/>
  <c r="FQZ62" i="8"/>
  <c r="FQY62" i="8"/>
  <c r="FQX62" i="8"/>
  <c r="FQW62" i="8"/>
  <c r="FQV62" i="8"/>
  <c r="FQU62" i="8"/>
  <c r="FQT62" i="8"/>
  <c r="FQS62" i="8"/>
  <c r="FQR62" i="8"/>
  <c r="FQQ62" i="8"/>
  <c r="FQP62" i="8"/>
  <c r="FQO62" i="8"/>
  <c r="FQN62" i="8"/>
  <c r="FQM62" i="8"/>
  <c r="FQL62" i="8"/>
  <c r="FQK62" i="8"/>
  <c r="FQJ62" i="8"/>
  <c r="FQI62" i="8"/>
  <c r="FQH62" i="8"/>
  <c r="FQG62" i="8"/>
  <c r="FQF62" i="8"/>
  <c r="FQE62" i="8"/>
  <c r="FQD62" i="8"/>
  <c r="FQC62" i="8"/>
  <c r="FQB62" i="8"/>
  <c r="FQA62" i="8"/>
  <c r="FPZ62" i="8"/>
  <c r="FPY62" i="8"/>
  <c r="FPX62" i="8"/>
  <c r="FPW62" i="8"/>
  <c r="FPV62" i="8"/>
  <c r="FPU62" i="8"/>
  <c r="FPT62" i="8"/>
  <c r="FPS62" i="8"/>
  <c r="FPR62" i="8"/>
  <c r="FPQ62" i="8"/>
  <c r="FPP62" i="8"/>
  <c r="FPO62" i="8"/>
  <c r="FPN62" i="8"/>
  <c r="FPM62" i="8"/>
  <c r="FPL62" i="8"/>
  <c r="FPK62" i="8"/>
  <c r="FPJ62" i="8"/>
  <c r="FPI62" i="8"/>
  <c r="FPH62" i="8"/>
  <c r="FPG62" i="8"/>
  <c r="FPF62" i="8"/>
  <c r="FPE62" i="8"/>
  <c r="FPD62" i="8"/>
  <c r="FPC62" i="8"/>
  <c r="FPB62" i="8"/>
  <c r="FPA62" i="8"/>
  <c r="FOZ62" i="8"/>
  <c r="FOY62" i="8"/>
  <c r="FOX62" i="8"/>
  <c r="FOW62" i="8"/>
  <c r="FOV62" i="8"/>
  <c r="FOU62" i="8"/>
  <c r="FOT62" i="8"/>
  <c r="FOS62" i="8"/>
  <c r="FOR62" i="8"/>
  <c r="FOQ62" i="8"/>
  <c r="FOP62" i="8"/>
  <c r="FOO62" i="8"/>
  <c r="FON62" i="8"/>
  <c r="FOM62" i="8"/>
  <c r="FOL62" i="8"/>
  <c r="FOK62" i="8"/>
  <c r="FOJ62" i="8"/>
  <c r="FOI62" i="8"/>
  <c r="FOH62" i="8"/>
  <c r="FOG62" i="8"/>
  <c r="FOF62" i="8"/>
  <c r="FOE62" i="8"/>
  <c r="FOD62" i="8"/>
  <c r="FOC62" i="8"/>
  <c r="FOB62" i="8"/>
  <c r="FOA62" i="8"/>
  <c r="FNZ62" i="8"/>
  <c r="FNY62" i="8"/>
  <c r="FNX62" i="8"/>
  <c r="FNW62" i="8"/>
  <c r="FNV62" i="8"/>
  <c r="FNU62" i="8"/>
  <c r="FNT62" i="8"/>
  <c r="FNS62" i="8"/>
  <c r="FNR62" i="8"/>
  <c r="FNQ62" i="8"/>
  <c r="FNP62" i="8"/>
  <c r="FNO62" i="8"/>
  <c r="FNN62" i="8"/>
  <c r="FNM62" i="8"/>
  <c r="FNL62" i="8"/>
  <c r="FNK62" i="8"/>
  <c r="FNJ62" i="8"/>
  <c r="FNI62" i="8"/>
  <c r="FNH62" i="8"/>
  <c r="FNG62" i="8"/>
  <c r="FNF62" i="8"/>
  <c r="FNE62" i="8"/>
  <c r="FND62" i="8"/>
  <c r="FNC62" i="8"/>
  <c r="FNB62" i="8"/>
  <c r="FNA62" i="8"/>
  <c r="FMZ62" i="8"/>
  <c r="FMY62" i="8"/>
  <c r="FMX62" i="8"/>
  <c r="FMW62" i="8"/>
  <c r="FMV62" i="8"/>
  <c r="FMU62" i="8"/>
  <c r="FMT62" i="8"/>
  <c r="FMS62" i="8"/>
  <c r="FMR62" i="8"/>
  <c r="FMQ62" i="8"/>
  <c r="FMP62" i="8"/>
  <c r="FMO62" i="8"/>
  <c r="FMN62" i="8"/>
  <c r="FMM62" i="8"/>
  <c r="FML62" i="8"/>
  <c r="FMK62" i="8"/>
  <c r="FMJ62" i="8"/>
  <c r="FMI62" i="8"/>
  <c r="FMH62" i="8"/>
  <c r="FMG62" i="8"/>
  <c r="FMF62" i="8"/>
  <c r="FME62" i="8"/>
  <c r="FMD62" i="8"/>
  <c r="FMC62" i="8"/>
  <c r="FMB62" i="8"/>
  <c r="FMA62" i="8"/>
  <c r="FLZ62" i="8"/>
  <c r="FLY62" i="8"/>
  <c r="FLX62" i="8"/>
  <c r="FLW62" i="8"/>
  <c r="FLV62" i="8"/>
  <c r="FLU62" i="8"/>
  <c r="FLT62" i="8"/>
  <c r="FLS62" i="8"/>
  <c r="FLR62" i="8"/>
  <c r="FLQ62" i="8"/>
  <c r="FLP62" i="8"/>
  <c r="FLO62" i="8"/>
  <c r="FLN62" i="8"/>
  <c r="FLM62" i="8"/>
  <c r="FLL62" i="8"/>
  <c r="FLK62" i="8"/>
  <c r="FLJ62" i="8"/>
  <c r="FLI62" i="8"/>
  <c r="FLH62" i="8"/>
  <c r="FLG62" i="8"/>
  <c r="FLF62" i="8"/>
  <c r="FLE62" i="8"/>
  <c r="FLD62" i="8"/>
  <c r="FLC62" i="8"/>
  <c r="FLB62" i="8"/>
  <c r="FLA62" i="8"/>
  <c r="FKZ62" i="8"/>
  <c r="FKY62" i="8"/>
  <c r="FKX62" i="8"/>
  <c r="FKW62" i="8"/>
  <c r="FKV62" i="8"/>
  <c r="FKU62" i="8"/>
  <c r="FKT62" i="8"/>
  <c r="FKS62" i="8"/>
  <c r="FKR62" i="8"/>
  <c r="FKQ62" i="8"/>
  <c r="FKP62" i="8"/>
  <c r="FKO62" i="8"/>
  <c r="FKN62" i="8"/>
  <c r="FKM62" i="8"/>
  <c r="FKL62" i="8"/>
  <c r="FKK62" i="8"/>
  <c r="FKJ62" i="8"/>
  <c r="FKI62" i="8"/>
  <c r="FKH62" i="8"/>
  <c r="FKG62" i="8"/>
  <c r="FKF62" i="8"/>
  <c r="FKE62" i="8"/>
  <c r="FKD62" i="8"/>
  <c r="FKC62" i="8"/>
  <c r="FKB62" i="8"/>
  <c r="FKA62" i="8"/>
  <c r="FJZ62" i="8"/>
  <c r="FJY62" i="8"/>
  <c r="FJX62" i="8"/>
  <c r="FJW62" i="8"/>
  <c r="FJV62" i="8"/>
  <c r="FJU62" i="8"/>
  <c r="FJT62" i="8"/>
  <c r="FJS62" i="8"/>
  <c r="FJR62" i="8"/>
  <c r="FJQ62" i="8"/>
  <c r="FJP62" i="8"/>
  <c r="FJO62" i="8"/>
  <c r="FJN62" i="8"/>
  <c r="FJM62" i="8"/>
  <c r="FJL62" i="8"/>
  <c r="FJK62" i="8"/>
  <c r="FJJ62" i="8"/>
  <c r="FJI62" i="8"/>
  <c r="FJH62" i="8"/>
  <c r="FJG62" i="8"/>
  <c r="FJF62" i="8"/>
  <c r="FJE62" i="8"/>
  <c r="FJD62" i="8"/>
  <c r="FJC62" i="8"/>
  <c r="FJB62" i="8"/>
  <c r="FJA62" i="8"/>
  <c r="FIZ62" i="8"/>
  <c r="FIY62" i="8"/>
  <c r="FIX62" i="8"/>
  <c r="FIW62" i="8"/>
  <c r="FIV62" i="8"/>
  <c r="FIU62" i="8"/>
  <c r="FIT62" i="8"/>
  <c r="FIS62" i="8"/>
  <c r="FIR62" i="8"/>
  <c r="FIQ62" i="8"/>
  <c r="FIP62" i="8"/>
  <c r="FIO62" i="8"/>
  <c r="FIN62" i="8"/>
  <c r="FIM62" i="8"/>
  <c r="FIL62" i="8"/>
  <c r="FIK62" i="8"/>
  <c r="FIJ62" i="8"/>
  <c r="FII62" i="8"/>
  <c r="FIH62" i="8"/>
  <c r="FIG62" i="8"/>
  <c r="FIF62" i="8"/>
  <c r="FIE62" i="8"/>
  <c r="FID62" i="8"/>
  <c r="FIC62" i="8"/>
  <c r="FIB62" i="8"/>
  <c r="FIA62" i="8"/>
  <c r="FHZ62" i="8"/>
  <c r="FHY62" i="8"/>
  <c r="FHX62" i="8"/>
  <c r="FHW62" i="8"/>
  <c r="FHV62" i="8"/>
  <c r="FHU62" i="8"/>
  <c r="FHT62" i="8"/>
  <c r="FHS62" i="8"/>
  <c r="FHR62" i="8"/>
  <c r="FHQ62" i="8"/>
  <c r="FHP62" i="8"/>
  <c r="FHO62" i="8"/>
  <c r="FHN62" i="8"/>
  <c r="FHM62" i="8"/>
  <c r="FHL62" i="8"/>
  <c r="FHK62" i="8"/>
  <c r="FHJ62" i="8"/>
  <c r="FHI62" i="8"/>
  <c r="FHH62" i="8"/>
  <c r="FHG62" i="8"/>
  <c r="FHF62" i="8"/>
  <c r="FHE62" i="8"/>
  <c r="FHD62" i="8"/>
  <c r="FHC62" i="8"/>
  <c r="FHB62" i="8"/>
  <c r="FHA62" i="8"/>
  <c r="FGZ62" i="8"/>
  <c r="FGY62" i="8"/>
  <c r="FGX62" i="8"/>
  <c r="FGW62" i="8"/>
  <c r="FGV62" i="8"/>
  <c r="FGU62" i="8"/>
  <c r="FGT62" i="8"/>
  <c r="FGS62" i="8"/>
  <c r="FGR62" i="8"/>
  <c r="FGQ62" i="8"/>
  <c r="FGP62" i="8"/>
  <c r="FGO62" i="8"/>
  <c r="FGN62" i="8"/>
  <c r="FGM62" i="8"/>
  <c r="FGL62" i="8"/>
  <c r="FGK62" i="8"/>
  <c r="FGJ62" i="8"/>
  <c r="FGI62" i="8"/>
  <c r="FGH62" i="8"/>
  <c r="FGG62" i="8"/>
  <c r="FGF62" i="8"/>
  <c r="FGE62" i="8"/>
  <c r="FGD62" i="8"/>
  <c r="FGC62" i="8"/>
  <c r="FGB62" i="8"/>
  <c r="FGA62" i="8"/>
  <c r="FFZ62" i="8"/>
  <c r="FFY62" i="8"/>
  <c r="FFX62" i="8"/>
  <c r="FFW62" i="8"/>
  <c r="FFV62" i="8"/>
  <c r="FFU62" i="8"/>
  <c r="FFT62" i="8"/>
  <c r="FFS62" i="8"/>
  <c r="FFR62" i="8"/>
  <c r="FFQ62" i="8"/>
  <c r="FFP62" i="8"/>
  <c r="FFO62" i="8"/>
  <c r="FFN62" i="8"/>
  <c r="FFM62" i="8"/>
  <c r="FFL62" i="8"/>
  <c r="FFK62" i="8"/>
  <c r="FFJ62" i="8"/>
  <c r="FFI62" i="8"/>
  <c r="FFH62" i="8"/>
  <c r="FFG62" i="8"/>
  <c r="FFF62" i="8"/>
  <c r="FFE62" i="8"/>
  <c r="FFD62" i="8"/>
  <c r="FFC62" i="8"/>
  <c r="FFB62" i="8"/>
  <c r="FFA62" i="8"/>
  <c r="FEZ62" i="8"/>
  <c r="FEY62" i="8"/>
  <c r="FEX62" i="8"/>
  <c r="FEW62" i="8"/>
  <c r="FEV62" i="8"/>
  <c r="FEU62" i="8"/>
  <c r="FET62" i="8"/>
  <c r="FES62" i="8"/>
  <c r="FER62" i="8"/>
  <c r="FEQ62" i="8"/>
  <c r="FEP62" i="8"/>
  <c r="FEO62" i="8"/>
  <c r="FEN62" i="8"/>
  <c r="FEM62" i="8"/>
  <c r="FEL62" i="8"/>
  <c r="FEK62" i="8"/>
  <c r="FEJ62" i="8"/>
  <c r="FEI62" i="8"/>
  <c r="FEH62" i="8"/>
  <c r="FEG62" i="8"/>
  <c r="FEF62" i="8"/>
  <c r="FEE62" i="8"/>
  <c r="FED62" i="8"/>
  <c r="FEC62" i="8"/>
  <c r="FEB62" i="8"/>
  <c r="FEA62" i="8"/>
  <c r="FDZ62" i="8"/>
  <c r="FDY62" i="8"/>
  <c r="FDX62" i="8"/>
  <c r="FDW62" i="8"/>
  <c r="FDV62" i="8"/>
  <c r="FDU62" i="8"/>
  <c r="FDT62" i="8"/>
  <c r="FDS62" i="8"/>
  <c r="FDR62" i="8"/>
  <c r="FDQ62" i="8"/>
  <c r="FDP62" i="8"/>
  <c r="FDO62" i="8"/>
  <c r="FDN62" i="8"/>
  <c r="FDM62" i="8"/>
  <c r="FDL62" i="8"/>
  <c r="FDK62" i="8"/>
  <c r="FDJ62" i="8"/>
  <c r="FDI62" i="8"/>
  <c r="FDH62" i="8"/>
  <c r="FDG62" i="8"/>
  <c r="FDF62" i="8"/>
  <c r="FDE62" i="8"/>
  <c r="FDD62" i="8"/>
  <c r="FDC62" i="8"/>
  <c r="FDB62" i="8"/>
  <c r="FDA62" i="8"/>
  <c r="FCZ62" i="8"/>
  <c r="FCY62" i="8"/>
  <c r="FCX62" i="8"/>
  <c r="FCW62" i="8"/>
  <c r="FCV62" i="8"/>
  <c r="FCU62" i="8"/>
  <c r="FCT62" i="8"/>
  <c r="FCS62" i="8"/>
  <c r="FCR62" i="8"/>
  <c r="FCQ62" i="8"/>
  <c r="FCP62" i="8"/>
  <c r="FCO62" i="8"/>
  <c r="FCN62" i="8"/>
  <c r="FCM62" i="8"/>
  <c r="FCL62" i="8"/>
  <c r="FCK62" i="8"/>
  <c r="FCJ62" i="8"/>
  <c r="FCI62" i="8"/>
  <c r="FCH62" i="8"/>
  <c r="FCG62" i="8"/>
  <c r="FCF62" i="8"/>
  <c r="FCE62" i="8"/>
  <c r="FCD62" i="8"/>
  <c r="FCC62" i="8"/>
  <c r="FCB62" i="8"/>
  <c r="FCA62" i="8"/>
  <c r="FBZ62" i="8"/>
  <c r="FBY62" i="8"/>
  <c r="FBX62" i="8"/>
  <c r="FBW62" i="8"/>
  <c r="FBV62" i="8"/>
  <c r="FBU62" i="8"/>
  <c r="FBT62" i="8"/>
  <c r="FBS62" i="8"/>
  <c r="FBR62" i="8"/>
  <c r="FBQ62" i="8"/>
  <c r="FBP62" i="8"/>
  <c r="FBO62" i="8"/>
  <c r="FBN62" i="8"/>
  <c r="FBM62" i="8"/>
  <c r="FBL62" i="8"/>
  <c r="FBK62" i="8"/>
  <c r="FBJ62" i="8"/>
  <c r="FBI62" i="8"/>
  <c r="FBH62" i="8"/>
  <c r="FBG62" i="8"/>
  <c r="FBF62" i="8"/>
  <c r="FBE62" i="8"/>
  <c r="FBD62" i="8"/>
  <c r="FBC62" i="8"/>
  <c r="FBB62" i="8"/>
  <c r="FBA62" i="8"/>
  <c r="FAZ62" i="8"/>
  <c r="FAY62" i="8"/>
  <c r="FAX62" i="8"/>
  <c r="FAW62" i="8"/>
  <c r="FAV62" i="8"/>
  <c r="FAU62" i="8"/>
  <c r="FAT62" i="8"/>
  <c r="FAS62" i="8"/>
  <c r="FAR62" i="8"/>
  <c r="FAQ62" i="8"/>
  <c r="FAP62" i="8"/>
  <c r="FAO62" i="8"/>
  <c r="FAN62" i="8"/>
  <c r="FAM62" i="8"/>
  <c r="FAL62" i="8"/>
  <c r="FAK62" i="8"/>
  <c r="FAJ62" i="8"/>
  <c r="FAI62" i="8"/>
  <c r="FAH62" i="8"/>
  <c r="FAG62" i="8"/>
  <c r="FAF62" i="8"/>
  <c r="FAE62" i="8"/>
  <c r="FAD62" i="8"/>
  <c r="FAC62" i="8"/>
  <c r="FAB62" i="8"/>
  <c r="FAA62" i="8"/>
  <c r="EZZ62" i="8"/>
  <c r="EZY62" i="8"/>
  <c r="EZX62" i="8"/>
  <c r="EZW62" i="8"/>
  <c r="EZV62" i="8"/>
  <c r="EZU62" i="8"/>
  <c r="EZT62" i="8"/>
  <c r="EZS62" i="8"/>
  <c r="EZR62" i="8"/>
  <c r="EZQ62" i="8"/>
  <c r="EZP62" i="8"/>
  <c r="EZO62" i="8"/>
  <c r="EZN62" i="8"/>
  <c r="EZM62" i="8"/>
  <c r="EZL62" i="8"/>
  <c r="EZK62" i="8"/>
  <c r="EZJ62" i="8"/>
  <c r="EZI62" i="8"/>
  <c r="EZH62" i="8"/>
  <c r="EZG62" i="8"/>
  <c r="EZF62" i="8"/>
  <c r="EZE62" i="8"/>
  <c r="EZD62" i="8"/>
  <c r="EZC62" i="8"/>
  <c r="EZB62" i="8"/>
  <c r="EZA62" i="8"/>
  <c r="EYZ62" i="8"/>
  <c r="EYY62" i="8"/>
  <c r="EYX62" i="8"/>
  <c r="EYW62" i="8"/>
  <c r="EYV62" i="8"/>
  <c r="EYU62" i="8"/>
  <c r="EYT62" i="8"/>
  <c r="EYS62" i="8"/>
  <c r="EYR62" i="8"/>
  <c r="EYQ62" i="8"/>
  <c r="EYP62" i="8"/>
  <c r="EYO62" i="8"/>
  <c r="EYN62" i="8"/>
  <c r="EYM62" i="8"/>
  <c r="EYL62" i="8"/>
  <c r="EYK62" i="8"/>
  <c r="EYJ62" i="8"/>
  <c r="EYI62" i="8"/>
  <c r="EYH62" i="8"/>
  <c r="EYG62" i="8"/>
  <c r="EYF62" i="8"/>
  <c r="EYE62" i="8"/>
  <c r="EYD62" i="8"/>
  <c r="EYC62" i="8"/>
  <c r="EYB62" i="8"/>
  <c r="EYA62" i="8"/>
  <c r="EXZ62" i="8"/>
  <c r="EXY62" i="8"/>
  <c r="EXX62" i="8"/>
  <c r="EXW62" i="8"/>
  <c r="EXV62" i="8"/>
  <c r="EXU62" i="8"/>
  <c r="EXT62" i="8"/>
  <c r="EXS62" i="8"/>
  <c r="EXR62" i="8"/>
  <c r="EXQ62" i="8"/>
  <c r="EXP62" i="8"/>
  <c r="EXO62" i="8"/>
  <c r="EXN62" i="8"/>
  <c r="EXM62" i="8"/>
  <c r="EXL62" i="8"/>
  <c r="EXK62" i="8"/>
  <c r="EXJ62" i="8"/>
  <c r="EXI62" i="8"/>
  <c r="EXH62" i="8"/>
  <c r="EXG62" i="8"/>
  <c r="EXF62" i="8"/>
  <c r="EXE62" i="8"/>
  <c r="EXD62" i="8"/>
  <c r="EXC62" i="8"/>
  <c r="EXB62" i="8"/>
  <c r="EXA62" i="8"/>
  <c r="EWZ62" i="8"/>
  <c r="EWY62" i="8"/>
  <c r="EWX62" i="8"/>
  <c r="EWW62" i="8"/>
  <c r="EWV62" i="8"/>
  <c r="EWU62" i="8"/>
  <c r="EWT62" i="8"/>
  <c r="EWS62" i="8"/>
  <c r="EWR62" i="8"/>
  <c r="EWQ62" i="8"/>
  <c r="EWP62" i="8"/>
  <c r="EWO62" i="8"/>
  <c r="EWN62" i="8"/>
  <c r="EWM62" i="8"/>
  <c r="EWL62" i="8"/>
  <c r="EWK62" i="8"/>
  <c r="EWJ62" i="8"/>
  <c r="EWI62" i="8"/>
  <c r="EWH62" i="8"/>
  <c r="EWG62" i="8"/>
  <c r="EWF62" i="8"/>
  <c r="EWE62" i="8"/>
  <c r="EWD62" i="8"/>
  <c r="EWC62" i="8"/>
  <c r="EWB62" i="8"/>
  <c r="EWA62" i="8"/>
  <c r="EVZ62" i="8"/>
  <c r="EVY62" i="8"/>
  <c r="EVX62" i="8"/>
  <c r="EVW62" i="8"/>
  <c r="EVV62" i="8"/>
  <c r="EVU62" i="8"/>
  <c r="EVT62" i="8"/>
  <c r="EVS62" i="8"/>
  <c r="EVR62" i="8"/>
  <c r="EVQ62" i="8"/>
  <c r="EVP62" i="8"/>
  <c r="EVO62" i="8"/>
  <c r="EVN62" i="8"/>
  <c r="EVM62" i="8"/>
  <c r="EVL62" i="8"/>
  <c r="EVK62" i="8"/>
  <c r="EVJ62" i="8"/>
  <c r="EVI62" i="8"/>
  <c r="EVH62" i="8"/>
  <c r="EVG62" i="8"/>
  <c r="EVF62" i="8"/>
  <c r="EVE62" i="8"/>
  <c r="EVD62" i="8"/>
  <c r="EVC62" i="8"/>
  <c r="EVB62" i="8"/>
  <c r="EVA62" i="8"/>
  <c r="EUZ62" i="8"/>
  <c r="EUY62" i="8"/>
  <c r="EUX62" i="8"/>
  <c r="EUW62" i="8"/>
  <c r="EUV62" i="8"/>
  <c r="EUU62" i="8"/>
  <c r="EUT62" i="8"/>
  <c r="EUS62" i="8"/>
  <c r="EUR62" i="8"/>
  <c r="EUQ62" i="8"/>
  <c r="EUP62" i="8"/>
  <c r="EUO62" i="8"/>
  <c r="EUN62" i="8"/>
  <c r="EUM62" i="8"/>
  <c r="EUL62" i="8"/>
  <c r="EUK62" i="8"/>
  <c r="EUJ62" i="8"/>
  <c r="EUI62" i="8"/>
  <c r="EUH62" i="8"/>
  <c r="EUG62" i="8"/>
  <c r="EUF62" i="8"/>
  <c r="EUE62" i="8"/>
  <c r="EUD62" i="8"/>
  <c r="EUC62" i="8"/>
  <c r="EUB62" i="8"/>
  <c r="EUA62" i="8"/>
  <c r="ETZ62" i="8"/>
  <c r="ETY62" i="8"/>
  <c r="ETX62" i="8"/>
  <c r="ETW62" i="8"/>
  <c r="ETV62" i="8"/>
  <c r="ETU62" i="8"/>
  <c r="ETT62" i="8"/>
  <c r="ETS62" i="8"/>
  <c r="ETR62" i="8"/>
  <c r="ETQ62" i="8"/>
  <c r="ETP62" i="8"/>
  <c r="ETO62" i="8"/>
  <c r="ETN62" i="8"/>
  <c r="ETM62" i="8"/>
  <c r="ETL62" i="8"/>
  <c r="ETK62" i="8"/>
  <c r="ETJ62" i="8"/>
  <c r="ETI62" i="8"/>
  <c r="ETH62" i="8"/>
  <c r="ETG62" i="8"/>
  <c r="ETF62" i="8"/>
  <c r="ETE62" i="8"/>
  <c r="ETD62" i="8"/>
  <c r="ETC62" i="8"/>
  <c r="ETB62" i="8"/>
  <c r="ETA62" i="8"/>
  <c r="ESZ62" i="8"/>
  <c r="ESY62" i="8"/>
  <c r="ESX62" i="8"/>
  <c r="ESW62" i="8"/>
  <c r="ESV62" i="8"/>
  <c r="ESU62" i="8"/>
  <c r="EST62" i="8"/>
  <c r="ESS62" i="8"/>
  <c r="ESR62" i="8"/>
  <c r="ESQ62" i="8"/>
  <c r="ESP62" i="8"/>
  <c r="ESO62" i="8"/>
  <c r="ESN62" i="8"/>
  <c r="ESM62" i="8"/>
  <c r="ESL62" i="8"/>
  <c r="ESK62" i="8"/>
  <c r="ESJ62" i="8"/>
  <c r="ESI62" i="8"/>
  <c r="ESH62" i="8"/>
  <c r="ESG62" i="8"/>
  <c r="ESF62" i="8"/>
  <c r="ESE62" i="8"/>
  <c r="ESD62" i="8"/>
  <c r="ESC62" i="8"/>
  <c r="ESB62" i="8"/>
  <c r="ESA62" i="8"/>
  <c r="ERZ62" i="8"/>
  <c r="ERY62" i="8"/>
  <c r="ERX62" i="8"/>
  <c r="ERW62" i="8"/>
  <c r="ERV62" i="8"/>
  <c r="ERU62" i="8"/>
  <c r="ERT62" i="8"/>
  <c r="ERS62" i="8"/>
  <c r="ERR62" i="8"/>
  <c r="ERQ62" i="8"/>
  <c r="ERP62" i="8"/>
  <c r="ERO62" i="8"/>
  <c r="ERN62" i="8"/>
  <c r="ERM62" i="8"/>
  <c r="ERL62" i="8"/>
  <c r="ERK62" i="8"/>
  <c r="ERJ62" i="8"/>
  <c r="ERI62" i="8"/>
  <c r="ERH62" i="8"/>
  <c r="ERG62" i="8"/>
  <c r="ERF62" i="8"/>
  <c r="ERE62" i="8"/>
  <c r="ERD62" i="8"/>
  <c r="ERC62" i="8"/>
  <c r="ERB62" i="8"/>
  <c r="ERA62" i="8"/>
  <c r="EQZ62" i="8"/>
  <c r="EQY62" i="8"/>
  <c r="EQX62" i="8"/>
  <c r="EQW62" i="8"/>
  <c r="EQV62" i="8"/>
  <c r="EQU62" i="8"/>
  <c r="EQT62" i="8"/>
  <c r="EQS62" i="8"/>
  <c r="EQR62" i="8"/>
  <c r="EQQ62" i="8"/>
  <c r="EQP62" i="8"/>
  <c r="EQO62" i="8"/>
  <c r="EQN62" i="8"/>
  <c r="EQM62" i="8"/>
  <c r="EQL62" i="8"/>
  <c r="EQK62" i="8"/>
  <c r="EQJ62" i="8"/>
  <c r="EQI62" i="8"/>
  <c r="EQH62" i="8"/>
  <c r="EQG62" i="8"/>
  <c r="EQF62" i="8"/>
  <c r="EQE62" i="8"/>
  <c r="EQD62" i="8"/>
  <c r="EQC62" i="8"/>
  <c r="EQB62" i="8"/>
  <c r="EQA62" i="8"/>
  <c r="EPZ62" i="8"/>
  <c r="EPY62" i="8"/>
  <c r="EPX62" i="8"/>
  <c r="EPW62" i="8"/>
  <c r="EPV62" i="8"/>
  <c r="EPU62" i="8"/>
  <c r="EPT62" i="8"/>
  <c r="EPS62" i="8"/>
  <c r="EPR62" i="8"/>
  <c r="EPQ62" i="8"/>
  <c r="EPP62" i="8"/>
  <c r="EPO62" i="8"/>
  <c r="EPN62" i="8"/>
  <c r="EPM62" i="8"/>
  <c r="EPL62" i="8"/>
  <c r="EPK62" i="8"/>
  <c r="EPJ62" i="8"/>
  <c r="EPI62" i="8"/>
  <c r="EPH62" i="8"/>
  <c r="EPG62" i="8"/>
  <c r="EPF62" i="8"/>
  <c r="EPE62" i="8"/>
  <c r="EPD62" i="8"/>
  <c r="EPC62" i="8"/>
  <c r="EPB62" i="8"/>
  <c r="EPA62" i="8"/>
  <c r="EOZ62" i="8"/>
  <c r="EOY62" i="8"/>
  <c r="EOX62" i="8"/>
  <c r="EOW62" i="8"/>
  <c r="EOV62" i="8"/>
  <c r="EOU62" i="8"/>
  <c r="EOT62" i="8"/>
  <c r="EOS62" i="8"/>
  <c r="EOR62" i="8"/>
  <c r="EOQ62" i="8"/>
  <c r="EOP62" i="8"/>
  <c r="EOO62" i="8"/>
  <c r="EON62" i="8"/>
  <c r="EOM62" i="8"/>
  <c r="EOL62" i="8"/>
  <c r="EOK62" i="8"/>
  <c r="EOJ62" i="8"/>
  <c r="EOI62" i="8"/>
  <c r="EOH62" i="8"/>
  <c r="EOG62" i="8"/>
  <c r="EOF62" i="8"/>
  <c r="EOE62" i="8"/>
  <c r="EOD62" i="8"/>
  <c r="EOC62" i="8"/>
  <c r="EOB62" i="8"/>
  <c r="EOA62" i="8"/>
  <c r="ENZ62" i="8"/>
  <c r="ENY62" i="8"/>
  <c r="ENX62" i="8"/>
  <c r="ENW62" i="8"/>
  <c r="ENV62" i="8"/>
  <c r="ENU62" i="8"/>
  <c r="ENT62" i="8"/>
  <c r="ENS62" i="8"/>
  <c r="ENR62" i="8"/>
  <c r="ENQ62" i="8"/>
  <c r="ENP62" i="8"/>
  <c r="ENO62" i="8"/>
  <c r="ENN62" i="8"/>
  <c r="ENM62" i="8"/>
  <c r="ENL62" i="8"/>
  <c r="ENK62" i="8"/>
  <c r="ENJ62" i="8"/>
  <c r="ENI62" i="8"/>
  <c r="ENH62" i="8"/>
  <c r="ENG62" i="8"/>
  <c r="ENF62" i="8"/>
  <c r="ENE62" i="8"/>
  <c r="END62" i="8"/>
  <c r="ENC62" i="8"/>
  <c r="ENB62" i="8"/>
  <c r="ENA62" i="8"/>
  <c r="EMZ62" i="8"/>
  <c r="EMY62" i="8"/>
  <c r="EMX62" i="8"/>
  <c r="EMW62" i="8"/>
  <c r="EMV62" i="8"/>
  <c r="EMU62" i="8"/>
  <c r="EMT62" i="8"/>
  <c r="EMS62" i="8"/>
  <c r="EMR62" i="8"/>
  <c r="EMQ62" i="8"/>
  <c r="EMP62" i="8"/>
  <c r="EMO62" i="8"/>
  <c r="EMN62" i="8"/>
  <c r="EMM62" i="8"/>
  <c r="EML62" i="8"/>
  <c r="EMK62" i="8"/>
  <c r="EMJ62" i="8"/>
  <c r="EMI62" i="8"/>
  <c r="EMH62" i="8"/>
  <c r="EMG62" i="8"/>
  <c r="EMF62" i="8"/>
  <c r="EME62" i="8"/>
  <c r="EMD62" i="8"/>
  <c r="EMC62" i="8"/>
  <c r="EMB62" i="8"/>
  <c r="EMA62" i="8"/>
  <c r="ELZ62" i="8"/>
  <c r="ELY62" i="8"/>
  <c r="ELX62" i="8"/>
  <c r="ELW62" i="8"/>
  <c r="ELV62" i="8"/>
  <c r="ELU62" i="8"/>
  <c r="ELT62" i="8"/>
  <c r="ELS62" i="8"/>
  <c r="ELR62" i="8"/>
  <c r="ELQ62" i="8"/>
  <c r="ELP62" i="8"/>
  <c r="ELO62" i="8"/>
  <c r="ELN62" i="8"/>
  <c r="ELM62" i="8"/>
  <c r="ELL62" i="8"/>
  <c r="ELK62" i="8"/>
  <c r="ELJ62" i="8"/>
  <c r="ELI62" i="8"/>
  <c r="ELH62" i="8"/>
  <c r="ELG62" i="8"/>
  <c r="ELF62" i="8"/>
  <c r="ELE62" i="8"/>
  <c r="ELD62" i="8"/>
  <c r="ELC62" i="8"/>
  <c r="ELB62" i="8"/>
  <c r="ELA62" i="8"/>
  <c r="EKZ62" i="8"/>
  <c r="EKY62" i="8"/>
  <c r="EKX62" i="8"/>
  <c r="EKW62" i="8"/>
  <c r="EKV62" i="8"/>
  <c r="EKU62" i="8"/>
  <c r="EKT62" i="8"/>
  <c r="EKS62" i="8"/>
  <c r="EKR62" i="8"/>
  <c r="EKQ62" i="8"/>
  <c r="EKP62" i="8"/>
  <c r="EKO62" i="8"/>
  <c r="EKN62" i="8"/>
  <c r="EKM62" i="8"/>
  <c r="EKL62" i="8"/>
  <c r="EKK62" i="8"/>
  <c r="EKJ62" i="8"/>
  <c r="EKI62" i="8"/>
  <c r="EKH62" i="8"/>
  <c r="EKG62" i="8"/>
  <c r="EKF62" i="8"/>
  <c r="EKE62" i="8"/>
  <c r="EKD62" i="8"/>
  <c r="EKC62" i="8"/>
  <c r="EKB62" i="8"/>
  <c r="EKA62" i="8"/>
  <c r="EJZ62" i="8"/>
  <c r="EJY62" i="8"/>
  <c r="EJX62" i="8"/>
  <c r="EJW62" i="8"/>
  <c r="EJV62" i="8"/>
  <c r="EJU62" i="8"/>
  <c r="EJT62" i="8"/>
  <c r="EJS62" i="8"/>
  <c r="EJR62" i="8"/>
  <c r="EJQ62" i="8"/>
  <c r="EJP62" i="8"/>
  <c r="EJO62" i="8"/>
  <c r="EJN62" i="8"/>
  <c r="EJM62" i="8"/>
  <c r="EJL62" i="8"/>
  <c r="EJK62" i="8"/>
  <c r="EJJ62" i="8"/>
  <c r="EJI62" i="8"/>
  <c r="EJH62" i="8"/>
  <c r="EJG62" i="8"/>
  <c r="EJF62" i="8"/>
  <c r="EJE62" i="8"/>
  <c r="EJD62" i="8"/>
  <c r="EJC62" i="8"/>
  <c r="EJB62" i="8"/>
  <c r="EJA62" i="8"/>
  <c r="EIZ62" i="8"/>
  <c r="EIY62" i="8"/>
  <c r="EIX62" i="8"/>
  <c r="EIW62" i="8"/>
  <c r="EIV62" i="8"/>
  <c r="EIU62" i="8"/>
  <c r="EIT62" i="8"/>
  <c r="EIS62" i="8"/>
  <c r="EIR62" i="8"/>
  <c r="EIQ62" i="8"/>
  <c r="EIP62" i="8"/>
  <c r="EIO62" i="8"/>
  <c r="EIN62" i="8"/>
  <c r="EIM62" i="8"/>
  <c r="EIL62" i="8"/>
  <c r="EIK62" i="8"/>
  <c r="EIJ62" i="8"/>
  <c r="EII62" i="8"/>
  <c r="EIH62" i="8"/>
  <c r="EIG62" i="8"/>
  <c r="EIF62" i="8"/>
  <c r="EIE62" i="8"/>
  <c r="EID62" i="8"/>
  <c r="EIC62" i="8"/>
  <c r="EIB62" i="8"/>
  <c r="EIA62" i="8"/>
  <c r="EHZ62" i="8"/>
  <c r="EHY62" i="8"/>
  <c r="EHX62" i="8"/>
  <c r="EHW62" i="8"/>
  <c r="EHV62" i="8"/>
  <c r="EHU62" i="8"/>
  <c r="EHT62" i="8"/>
  <c r="EHS62" i="8"/>
  <c r="EHR62" i="8"/>
  <c r="EHQ62" i="8"/>
  <c r="EHP62" i="8"/>
  <c r="EHO62" i="8"/>
  <c r="EHN62" i="8"/>
  <c r="EHM62" i="8"/>
  <c r="EHL62" i="8"/>
  <c r="EHK62" i="8"/>
  <c r="EHJ62" i="8"/>
  <c r="EHI62" i="8"/>
  <c r="EHH62" i="8"/>
  <c r="EHG62" i="8"/>
  <c r="EHF62" i="8"/>
  <c r="EHE62" i="8"/>
  <c r="EHD62" i="8"/>
  <c r="EHC62" i="8"/>
  <c r="EHB62" i="8"/>
  <c r="EHA62" i="8"/>
  <c r="EGZ62" i="8"/>
  <c r="EGY62" i="8"/>
  <c r="EGX62" i="8"/>
  <c r="EGW62" i="8"/>
  <c r="EGV62" i="8"/>
  <c r="EGU62" i="8"/>
  <c r="EGT62" i="8"/>
  <c r="EGS62" i="8"/>
  <c r="EGR62" i="8"/>
  <c r="EGQ62" i="8"/>
  <c r="EGP62" i="8"/>
  <c r="EGO62" i="8"/>
  <c r="EGN62" i="8"/>
  <c r="EGM62" i="8"/>
  <c r="EGL62" i="8"/>
  <c r="EGK62" i="8"/>
  <c r="EGJ62" i="8"/>
  <c r="EGI62" i="8"/>
  <c r="EGH62" i="8"/>
  <c r="EGG62" i="8"/>
  <c r="EGF62" i="8"/>
  <c r="EGE62" i="8"/>
  <c r="EGD62" i="8"/>
  <c r="EGC62" i="8"/>
  <c r="EGB62" i="8"/>
  <c r="EGA62" i="8"/>
  <c r="EFZ62" i="8"/>
  <c r="EFY62" i="8"/>
  <c r="EFX62" i="8"/>
  <c r="EFW62" i="8"/>
  <c r="EFV62" i="8"/>
  <c r="EFU62" i="8"/>
  <c r="EFT62" i="8"/>
  <c r="EFS62" i="8"/>
  <c r="EFR62" i="8"/>
  <c r="EFQ62" i="8"/>
  <c r="EFP62" i="8"/>
  <c r="EFO62" i="8"/>
  <c r="EFN62" i="8"/>
  <c r="EFM62" i="8"/>
  <c r="EFL62" i="8"/>
  <c r="EFK62" i="8"/>
  <c r="EFJ62" i="8"/>
  <c r="EFI62" i="8"/>
  <c r="EFH62" i="8"/>
  <c r="EFG62" i="8"/>
  <c r="EFF62" i="8"/>
  <c r="EFE62" i="8"/>
  <c r="EFD62" i="8"/>
  <c r="EFC62" i="8"/>
  <c r="EFB62" i="8"/>
  <c r="EFA62" i="8"/>
  <c r="EEZ62" i="8"/>
  <c r="EEY62" i="8"/>
  <c r="EEX62" i="8"/>
  <c r="EEW62" i="8"/>
  <c r="EEV62" i="8"/>
  <c r="EEU62" i="8"/>
  <c r="EET62" i="8"/>
  <c r="EES62" i="8"/>
  <c r="EER62" i="8"/>
  <c r="EEQ62" i="8"/>
  <c r="EEP62" i="8"/>
  <c r="EEO62" i="8"/>
  <c r="EEN62" i="8"/>
  <c r="EEM62" i="8"/>
  <c r="EEL62" i="8"/>
  <c r="EEK62" i="8"/>
  <c r="EEJ62" i="8"/>
  <c r="EEI62" i="8"/>
  <c r="EEH62" i="8"/>
  <c r="EEG62" i="8"/>
  <c r="EEF62" i="8"/>
  <c r="EEE62" i="8"/>
  <c r="EED62" i="8"/>
  <c r="EEC62" i="8"/>
  <c r="EEB62" i="8"/>
  <c r="EEA62" i="8"/>
  <c r="EDZ62" i="8"/>
  <c r="EDY62" i="8"/>
  <c r="EDX62" i="8"/>
  <c r="EDW62" i="8"/>
  <c r="EDV62" i="8"/>
  <c r="EDU62" i="8"/>
  <c r="EDT62" i="8"/>
  <c r="EDS62" i="8"/>
  <c r="EDR62" i="8"/>
  <c r="EDQ62" i="8"/>
  <c r="EDP62" i="8"/>
  <c r="EDO62" i="8"/>
  <c r="EDN62" i="8"/>
  <c r="EDM62" i="8"/>
  <c r="EDL62" i="8"/>
  <c r="EDK62" i="8"/>
  <c r="EDJ62" i="8"/>
  <c r="EDI62" i="8"/>
  <c r="EDH62" i="8"/>
  <c r="EDG62" i="8"/>
  <c r="EDF62" i="8"/>
  <c r="EDE62" i="8"/>
  <c r="EDD62" i="8"/>
  <c r="EDC62" i="8"/>
  <c r="EDB62" i="8"/>
  <c r="EDA62" i="8"/>
  <c r="ECZ62" i="8"/>
  <c r="ECY62" i="8"/>
  <c r="ECX62" i="8"/>
  <c r="ECW62" i="8"/>
  <c r="ECV62" i="8"/>
  <c r="ECU62" i="8"/>
  <c r="ECT62" i="8"/>
  <c r="ECS62" i="8"/>
  <c r="ECR62" i="8"/>
  <c r="ECQ62" i="8"/>
  <c r="ECP62" i="8"/>
  <c r="ECO62" i="8"/>
  <c r="ECN62" i="8"/>
  <c r="ECM62" i="8"/>
  <c r="ECL62" i="8"/>
  <c r="ECK62" i="8"/>
  <c r="ECJ62" i="8"/>
  <c r="ECI62" i="8"/>
  <c r="ECH62" i="8"/>
  <c r="ECG62" i="8"/>
  <c r="ECF62" i="8"/>
  <c r="ECE62" i="8"/>
  <c r="ECD62" i="8"/>
  <c r="ECC62" i="8"/>
  <c r="ECB62" i="8"/>
  <c r="ECA62" i="8"/>
  <c r="EBZ62" i="8"/>
  <c r="EBY62" i="8"/>
  <c r="EBX62" i="8"/>
  <c r="EBW62" i="8"/>
  <c r="EBV62" i="8"/>
  <c r="EBU62" i="8"/>
  <c r="EBT62" i="8"/>
  <c r="EBS62" i="8"/>
  <c r="EBR62" i="8"/>
  <c r="EBQ62" i="8"/>
  <c r="EBP62" i="8"/>
  <c r="EBO62" i="8"/>
  <c r="EBN62" i="8"/>
  <c r="EBM62" i="8"/>
  <c r="EBL62" i="8"/>
  <c r="EBK62" i="8"/>
  <c r="EBJ62" i="8"/>
  <c r="EBI62" i="8"/>
  <c r="EBH62" i="8"/>
  <c r="EBG62" i="8"/>
  <c r="EBF62" i="8"/>
  <c r="EBE62" i="8"/>
  <c r="EBD62" i="8"/>
  <c r="EBC62" i="8"/>
  <c r="EBB62" i="8"/>
  <c r="EBA62" i="8"/>
  <c r="EAZ62" i="8"/>
  <c r="EAY62" i="8"/>
  <c r="EAX62" i="8"/>
  <c r="EAW62" i="8"/>
  <c r="EAV62" i="8"/>
  <c r="EAU62" i="8"/>
  <c r="EAT62" i="8"/>
  <c r="EAS62" i="8"/>
  <c r="EAR62" i="8"/>
  <c r="EAQ62" i="8"/>
  <c r="EAP62" i="8"/>
  <c r="EAO62" i="8"/>
  <c r="EAN62" i="8"/>
  <c r="EAM62" i="8"/>
  <c r="EAL62" i="8"/>
  <c r="EAK62" i="8"/>
  <c r="EAJ62" i="8"/>
  <c r="EAI62" i="8"/>
  <c r="EAH62" i="8"/>
  <c r="EAG62" i="8"/>
  <c r="EAF62" i="8"/>
  <c r="EAE62" i="8"/>
  <c r="EAD62" i="8"/>
  <c r="EAC62" i="8"/>
  <c r="EAB62" i="8"/>
  <c r="EAA62" i="8"/>
  <c r="DZZ62" i="8"/>
  <c r="DZY62" i="8"/>
  <c r="DZX62" i="8"/>
  <c r="DZW62" i="8"/>
  <c r="DZV62" i="8"/>
  <c r="DZU62" i="8"/>
  <c r="DZT62" i="8"/>
  <c r="DZS62" i="8"/>
  <c r="DZR62" i="8"/>
  <c r="DZQ62" i="8"/>
  <c r="DZP62" i="8"/>
  <c r="DZO62" i="8"/>
  <c r="DZN62" i="8"/>
  <c r="DZM62" i="8"/>
  <c r="DZL62" i="8"/>
  <c r="DZK62" i="8"/>
  <c r="DZJ62" i="8"/>
  <c r="DZI62" i="8"/>
  <c r="DZH62" i="8"/>
  <c r="DZG62" i="8"/>
  <c r="DZF62" i="8"/>
  <c r="DZE62" i="8"/>
  <c r="DZD62" i="8"/>
  <c r="DZC62" i="8"/>
  <c r="DZB62" i="8"/>
  <c r="DZA62" i="8"/>
  <c r="DYZ62" i="8"/>
  <c r="DYY62" i="8"/>
  <c r="DYX62" i="8"/>
  <c r="DYW62" i="8"/>
  <c r="DYV62" i="8"/>
  <c r="DYU62" i="8"/>
  <c r="DYT62" i="8"/>
  <c r="DYS62" i="8"/>
  <c r="DYR62" i="8"/>
  <c r="DYQ62" i="8"/>
  <c r="DYP62" i="8"/>
  <c r="DYO62" i="8"/>
  <c r="DYN62" i="8"/>
  <c r="DYM62" i="8"/>
  <c r="DYL62" i="8"/>
  <c r="DYK62" i="8"/>
  <c r="DYJ62" i="8"/>
  <c r="DYI62" i="8"/>
  <c r="DYH62" i="8"/>
  <c r="DYG62" i="8"/>
  <c r="DYF62" i="8"/>
  <c r="DYE62" i="8"/>
  <c r="DYD62" i="8"/>
  <c r="DYC62" i="8"/>
  <c r="DYB62" i="8"/>
  <c r="DYA62" i="8"/>
  <c r="DXZ62" i="8"/>
  <c r="DXY62" i="8"/>
  <c r="DXX62" i="8"/>
  <c r="DXW62" i="8"/>
  <c r="DXV62" i="8"/>
  <c r="DXU62" i="8"/>
  <c r="DXT62" i="8"/>
  <c r="DXS62" i="8"/>
  <c r="DXR62" i="8"/>
  <c r="DXQ62" i="8"/>
  <c r="DXP62" i="8"/>
  <c r="DXO62" i="8"/>
  <c r="DXN62" i="8"/>
  <c r="DXM62" i="8"/>
  <c r="DXL62" i="8"/>
  <c r="DXK62" i="8"/>
  <c r="DXJ62" i="8"/>
  <c r="DXI62" i="8"/>
  <c r="DXH62" i="8"/>
  <c r="DXG62" i="8"/>
  <c r="DXF62" i="8"/>
  <c r="DXE62" i="8"/>
  <c r="DXD62" i="8"/>
  <c r="DXC62" i="8"/>
  <c r="DXB62" i="8"/>
  <c r="DXA62" i="8"/>
  <c r="DWZ62" i="8"/>
  <c r="DWY62" i="8"/>
  <c r="DWX62" i="8"/>
  <c r="DWW62" i="8"/>
  <c r="DWV62" i="8"/>
  <c r="DWU62" i="8"/>
  <c r="DWT62" i="8"/>
  <c r="DWS62" i="8"/>
  <c r="DWR62" i="8"/>
  <c r="DWQ62" i="8"/>
  <c r="DWP62" i="8"/>
  <c r="DWO62" i="8"/>
  <c r="DWN62" i="8"/>
  <c r="DWM62" i="8"/>
  <c r="DWL62" i="8"/>
  <c r="DWK62" i="8"/>
  <c r="DWJ62" i="8"/>
  <c r="DWI62" i="8"/>
  <c r="DWH62" i="8"/>
  <c r="DWG62" i="8"/>
  <c r="DWF62" i="8"/>
  <c r="DWE62" i="8"/>
  <c r="DWD62" i="8"/>
  <c r="DWC62" i="8"/>
  <c r="DWB62" i="8"/>
  <c r="DWA62" i="8"/>
  <c r="DVZ62" i="8"/>
  <c r="DVY62" i="8"/>
  <c r="DVX62" i="8"/>
  <c r="DVW62" i="8"/>
  <c r="DVV62" i="8"/>
  <c r="DVU62" i="8"/>
  <c r="DVT62" i="8"/>
  <c r="DVS62" i="8"/>
  <c r="DVR62" i="8"/>
  <c r="DVQ62" i="8"/>
  <c r="DVP62" i="8"/>
  <c r="DVO62" i="8"/>
  <c r="DVN62" i="8"/>
  <c r="DVM62" i="8"/>
  <c r="DVL62" i="8"/>
  <c r="DVK62" i="8"/>
  <c r="DVJ62" i="8"/>
  <c r="DVI62" i="8"/>
  <c r="DVH62" i="8"/>
  <c r="DVG62" i="8"/>
  <c r="DVF62" i="8"/>
  <c r="DVE62" i="8"/>
  <c r="DVD62" i="8"/>
  <c r="DVC62" i="8"/>
  <c r="DVB62" i="8"/>
  <c r="DVA62" i="8"/>
  <c r="DUZ62" i="8"/>
  <c r="DUY62" i="8"/>
  <c r="DUX62" i="8"/>
  <c r="DUW62" i="8"/>
  <c r="DUV62" i="8"/>
  <c r="DUU62" i="8"/>
  <c r="DUT62" i="8"/>
  <c r="DUS62" i="8"/>
  <c r="DUR62" i="8"/>
  <c r="DUQ62" i="8"/>
  <c r="DUP62" i="8"/>
  <c r="DUO62" i="8"/>
  <c r="DUN62" i="8"/>
  <c r="DUM62" i="8"/>
  <c r="DUL62" i="8"/>
  <c r="DUK62" i="8"/>
  <c r="DUJ62" i="8"/>
  <c r="DUI62" i="8"/>
  <c r="DUH62" i="8"/>
  <c r="DUG62" i="8"/>
  <c r="DUF62" i="8"/>
  <c r="DUE62" i="8"/>
  <c r="DUD62" i="8"/>
  <c r="DUC62" i="8"/>
  <c r="DUB62" i="8"/>
  <c r="DUA62" i="8"/>
  <c r="DTZ62" i="8"/>
  <c r="DTY62" i="8"/>
  <c r="DTX62" i="8"/>
  <c r="DTW62" i="8"/>
  <c r="DTV62" i="8"/>
  <c r="DTU62" i="8"/>
  <c r="DTT62" i="8"/>
  <c r="DTS62" i="8"/>
  <c r="DTR62" i="8"/>
  <c r="DTQ62" i="8"/>
  <c r="DTP62" i="8"/>
  <c r="DTO62" i="8"/>
  <c r="DTN62" i="8"/>
  <c r="DTM62" i="8"/>
  <c r="DTL62" i="8"/>
  <c r="DTK62" i="8"/>
  <c r="DTJ62" i="8"/>
  <c r="DTI62" i="8"/>
  <c r="DTH62" i="8"/>
  <c r="DTG62" i="8"/>
  <c r="DTF62" i="8"/>
  <c r="DTE62" i="8"/>
  <c r="DTD62" i="8"/>
  <c r="DTC62" i="8"/>
  <c r="DTB62" i="8"/>
  <c r="DTA62" i="8"/>
  <c r="DSZ62" i="8"/>
  <c r="DSY62" i="8"/>
  <c r="DSX62" i="8"/>
  <c r="DSW62" i="8"/>
  <c r="DSV62" i="8"/>
  <c r="DSU62" i="8"/>
  <c r="DST62" i="8"/>
  <c r="DSS62" i="8"/>
  <c r="DSR62" i="8"/>
  <c r="DSQ62" i="8"/>
  <c r="DSP62" i="8"/>
  <c r="DSO62" i="8"/>
  <c r="DSN62" i="8"/>
  <c r="DSM62" i="8"/>
  <c r="DSL62" i="8"/>
  <c r="DSK62" i="8"/>
  <c r="DSJ62" i="8"/>
  <c r="DSI62" i="8"/>
  <c r="DSH62" i="8"/>
  <c r="DSG62" i="8"/>
  <c r="DSF62" i="8"/>
  <c r="DSE62" i="8"/>
  <c r="DSD62" i="8"/>
  <c r="DSC62" i="8"/>
  <c r="DSB62" i="8"/>
  <c r="DSA62" i="8"/>
  <c r="DRZ62" i="8"/>
  <c r="DRY62" i="8"/>
  <c r="DRX62" i="8"/>
  <c r="DRW62" i="8"/>
  <c r="DRV62" i="8"/>
  <c r="DRU62" i="8"/>
  <c r="DRT62" i="8"/>
  <c r="DRS62" i="8"/>
  <c r="DRR62" i="8"/>
  <c r="DRQ62" i="8"/>
  <c r="DRP62" i="8"/>
  <c r="DRO62" i="8"/>
  <c r="DRN62" i="8"/>
  <c r="DRM62" i="8"/>
  <c r="DRL62" i="8"/>
  <c r="DRK62" i="8"/>
  <c r="DRJ62" i="8"/>
  <c r="DRI62" i="8"/>
  <c r="DRH62" i="8"/>
  <c r="DRG62" i="8"/>
  <c r="DRF62" i="8"/>
  <c r="DRE62" i="8"/>
  <c r="DRD62" i="8"/>
  <c r="DRC62" i="8"/>
  <c r="DRB62" i="8"/>
  <c r="DRA62" i="8"/>
  <c r="DQZ62" i="8"/>
  <c r="DQY62" i="8"/>
  <c r="DQX62" i="8"/>
  <c r="DQW62" i="8"/>
  <c r="DQV62" i="8"/>
  <c r="DQU62" i="8"/>
  <c r="DQT62" i="8"/>
  <c r="DQS62" i="8"/>
  <c r="DQR62" i="8"/>
  <c r="DQQ62" i="8"/>
  <c r="DQP62" i="8"/>
  <c r="DQO62" i="8"/>
  <c r="DQN62" i="8"/>
  <c r="DQM62" i="8"/>
  <c r="DQL62" i="8"/>
  <c r="DQK62" i="8"/>
  <c r="DQJ62" i="8"/>
  <c r="DQI62" i="8"/>
  <c r="DQH62" i="8"/>
  <c r="DQG62" i="8"/>
  <c r="DQF62" i="8"/>
  <c r="DQE62" i="8"/>
  <c r="DQD62" i="8"/>
  <c r="DQC62" i="8"/>
  <c r="DQB62" i="8"/>
  <c r="DQA62" i="8"/>
  <c r="DPZ62" i="8"/>
  <c r="DPY62" i="8"/>
  <c r="DPX62" i="8"/>
  <c r="DPW62" i="8"/>
  <c r="DPV62" i="8"/>
  <c r="DPU62" i="8"/>
  <c r="DPT62" i="8"/>
  <c r="DPS62" i="8"/>
  <c r="DPR62" i="8"/>
  <c r="DPQ62" i="8"/>
  <c r="DPP62" i="8"/>
  <c r="DPO62" i="8"/>
  <c r="DPN62" i="8"/>
  <c r="DPM62" i="8"/>
  <c r="DPL62" i="8"/>
  <c r="DPK62" i="8"/>
  <c r="DPJ62" i="8"/>
  <c r="DPI62" i="8"/>
  <c r="DPH62" i="8"/>
  <c r="DPG62" i="8"/>
  <c r="DPF62" i="8"/>
  <c r="DPE62" i="8"/>
  <c r="DPD62" i="8"/>
  <c r="DPC62" i="8"/>
  <c r="DPB62" i="8"/>
  <c r="DPA62" i="8"/>
  <c r="DOZ62" i="8"/>
  <c r="DOY62" i="8"/>
  <c r="DOX62" i="8"/>
  <c r="DOW62" i="8"/>
  <c r="DOV62" i="8"/>
  <c r="DOU62" i="8"/>
  <c r="DOT62" i="8"/>
  <c r="DOS62" i="8"/>
  <c r="DOR62" i="8"/>
  <c r="DOQ62" i="8"/>
  <c r="DOP62" i="8"/>
  <c r="DOO62" i="8"/>
  <c r="DON62" i="8"/>
  <c r="DOM62" i="8"/>
  <c r="DOL62" i="8"/>
  <c r="DOK62" i="8"/>
  <c r="DOJ62" i="8"/>
  <c r="DOI62" i="8"/>
  <c r="DOH62" i="8"/>
  <c r="DOG62" i="8"/>
  <c r="DOF62" i="8"/>
  <c r="DOE62" i="8"/>
  <c r="DOD62" i="8"/>
  <c r="DOC62" i="8"/>
  <c r="DOB62" i="8"/>
  <c r="DOA62" i="8"/>
  <c r="DNZ62" i="8"/>
  <c r="DNY62" i="8"/>
  <c r="DNX62" i="8"/>
  <c r="DNW62" i="8"/>
  <c r="DNV62" i="8"/>
  <c r="DNU62" i="8"/>
  <c r="DNT62" i="8"/>
  <c r="DNS62" i="8"/>
  <c r="DNR62" i="8"/>
  <c r="DNQ62" i="8"/>
  <c r="DNP62" i="8"/>
  <c r="DNO62" i="8"/>
  <c r="DNN62" i="8"/>
  <c r="DNM62" i="8"/>
  <c r="DNL62" i="8"/>
  <c r="DNK62" i="8"/>
  <c r="DNJ62" i="8"/>
  <c r="DNI62" i="8"/>
  <c r="DNH62" i="8"/>
  <c r="DNG62" i="8"/>
  <c r="DNF62" i="8"/>
  <c r="DNE62" i="8"/>
  <c r="DND62" i="8"/>
  <c r="DNC62" i="8"/>
  <c r="DNB62" i="8"/>
  <c r="DNA62" i="8"/>
  <c r="DMZ62" i="8"/>
  <c r="DMY62" i="8"/>
  <c r="DMX62" i="8"/>
  <c r="DMW62" i="8"/>
  <c r="DMV62" i="8"/>
  <c r="DMU62" i="8"/>
  <c r="DMT62" i="8"/>
  <c r="DMS62" i="8"/>
  <c r="DMR62" i="8"/>
  <c r="DMQ62" i="8"/>
  <c r="DMP62" i="8"/>
  <c r="DMO62" i="8"/>
  <c r="DMN62" i="8"/>
  <c r="DMM62" i="8"/>
  <c r="DML62" i="8"/>
  <c r="DMK62" i="8"/>
  <c r="DMJ62" i="8"/>
  <c r="DMI62" i="8"/>
  <c r="DMH62" i="8"/>
  <c r="DMG62" i="8"/>
  <c r="DMF62" i="8"/>
  <c r="DME62" i="8"/>
  <c r="DMD62" i="8"/>
  <c r="DMC62" i="8"/>
  <c r="DMB62" i="8"/>
  <c r="DMA62" i="8"/>
  <c r="DLZ62" i="8"/>
  <c r="DLY62" i="8"/>
  <c r="DLX62" i="8"/>
  <c r="DLW62" i="8"/>
  <c r="DLV62" i="8"/>
  <c r="DLU62" i="8"/>
  <c r="DLT62" i="8"/>
  <c r="DLS62" i="8"/>
  <c r="DLR62" i="8"/>
  <c r="DLQ62" i="8"/>
  <c r="DLP62" i="8"/>
  <c r="DLO62" i="8"/>
  <c r="DLN62" i="8"/>
  <c r="DLM62" i="8"/>
  <c r="DLL62" i="8"/>
  <c r="DLK62" i="8"/>
  <c r="DLJ62" i="8"/>
  <c r="DLI62" i="8"/>
  <c r="DLH62" i="8"/>
  <c r="DLG62" i="8"/>
  <c r="DLF62" i="8"/>
  <c r="DLE62" i="8"/>
  <c r="DLD62" i="8"/>
  <c r="DLC62" i="8"/>
  <c r="DLB62" i="8"/>
  <c r="DLA62" i="8"/>
  <c r="DKZ62" i="8"/>
  <c r="DKY62" i="8"/>
  <c r="DKX62" i="8"/>
  <c r="DKW62" i="8"/>
  <c r="DKV62" i="8"/>
  <c r="DKU62" i="8"/>
  <c r="DKT62" i="8"/>
  <c r="DKS62" i="8"/>
  <c r="DKR62" i="8"/>
  <c r="DKQ62" i="8"/>
  <c r="DKP62" i="8"/>
  <c r="DKO62" i="8"/>
  <c r="DKN62" i="8"/>
  <c r="DKM62" i="8"/>
  <c r="DKL62" i="8"/>
  <c r="DKK62" i="8"/>
  <c r="DKJ62" i="8"/>
  <c r="DKI62" i="8"/>
  <c r="DKH62" i="8"/>
  <c r="DKG62" i="8"/>
  <c r="DKF62" i="8"/>
  <c r="DKE62" i="8"/>
  <c r="DKD62" i="8"/>
  <c r="DKC62" i="8"/>
  <c r="DKB62" i="8"/>
  <c r="DKA62" i="8"/>
  <c r="DJZ62" i="8"/>
  <c r="DJY62" i="8"/>
  <c r="DJX62" i="8"/>
  <c r="DJW62" i="8"/>
  <c r="DJV62" i="8"/>
  <c r="DJU62" i="8"/>
  <c r="DJT62" i="8"/>
  <c r="DJS62" i="8"/>
  <c r="DJR62" i="8"/>
  <c r="DJQ62" i="8"/>
  <c r="DJP62" i="8"/>
  <c r="DJO62" i="8"/>
  <c r="DJN62" i="8"/>
  <c r="DJM62" i="8"/>
  <c r="DJL62" i="8"/>
  <c r="DJK62" i="8"/>
  <c r="DJJ62" i="8"/>
  <c r="DJI62" i="8"/>
  <c r="DJH62" i="8"/>
  <c r="DJG62" i="8"/>
  <c r="DJF62" i="8"/>
  <c r="DJE62" i="8"/>
  <c r="DJD62" i="8"/>
  <c r="DJC62" i="8"/>
  <c r="DJB62" i="8"/>
  <c r="DJA62" i="8"/>
  <c r="DIZ62" i="8"/>
  <c r="DIY62" i="8"/>
  <c r="DIX62" i="8"/>
  <c r="DIW62" i="8"/>
  <c r="DIV62" i="8"/>
  <c r="DIU62" i="8"/>
  <c r="DIT62" i="8"/>
  <c r="DIS62" i="8"/>
  <c r="DIR62" i="8"/>
  <c r="DIQ62" i="8"/>
  <c r="DIP62" i="8"/>
  <c r="DIO62" i="8"/>
  <c r="DIN62" i="8"/>
  <c r="DIM62" i="8"/>
  <c r="DIL62" i="8"/>
  <c r="DIK62" i="8"/>
  <c r="DIJ62" i="8"/>
  <c r="DII62" i="8"/>
  <c r="DIH62" i="8"/>
  <c r="DIG62" i="8"/>
  <c r="DIF62" i="8"/>
  <c r="DIE62" i="8"/>
  <c r="DID62" i="8"/>
  <c r="DIC62" i="8"/>
  <c r="DIB62" i="8"/>
  <c r="DIA62" i="8"/>
  <c r="DHZ62" i="8"/>
  <c r="DHY62" i="8"/>
  <c r="DHX62" i="8"/>
  <c r="DHW62" i="8"/>
  <c r="DHV62" i="8"/>
  <c r="DHU62" i="8"/>
  <c r="DHT62" i="8"/>
  <c r="DHS62" i="8"/>
  <c r="DHR62" i="8"/>
  <c r="DHQ62" i="8"/>
  <c r="DHP62" i="8"/>
  <c r="DHO62" i="8"/>
  <c r="DHN62" i="8"/>
  <c r="DHM62" i="8"/>
  <c r="DHL62" i="8"/>
  <c r="DHK62" i="8"/>
  <c r="DHJ62" i="8"/>
  <c r="DHI62" i="8"/>
  <c r="DHH62" i="8"/>
  <c r="DHG62" i="8"/>
  <c r="DHF62" i="8"/>
  <c r="DHE62" i="8"/>
  <c r="DHD62" i="8"/>
  <c r="DHC62" i="8"/>
  <c r="DHB62" i="8"/>
  <c r="DHA62" i="8"/>
  <c r="DGZ62" i="8"/>
  <c r="DGY62" i="8"/>
  <c r="DGX62" i="8"/>
  <c r="DGW62" i="8"/>
  <c r="DGV62" i="8"/>
  <c r="DGU62" i="8"/>
  <c r="DGT62" i="8"/>
  <c r="DGS62" i="8"/>
  <c r="DGR62" i="8"/>
  <c r="DGQ62" i="8"/>
  <c r="DGP62" i="8"/>
  <c r="DGO62" i="8"/>
  <c r="DGN62" i="8"/>
  <c r="DGM62" i="8"/>
  <c r="DGL62" i="8"/>
  <c r="DGK62" i="8"/>
  <c r="DGJ62" i="8"/>
  <c r="DGI62" i="8"/>
  <c r="DGH62" i="8"/>
  <c r="DGG62" i="8"/>
  <c r="DGF62" i="8"/>
  <c r="DGE62" i="8"/>
  <c r="DGD62" i="8"/>
  <c r="DGC62" i="8"/>
  <c r="DGB62" i="8"/>
  <c r="DGA62" i="8"/>
  <c r="DFZ62" i="8"/>
  <c r="DFY62" i="8"/>
  <c r="DFX62" i="8"/>
  <c r="DFW62" i="8"/>
  <c r="DFV62" i="8"/>
  <c r="DFU62" i="8"/>
  <c r="DFT62" i="8"/>
  <c r="DFS62" i="8"/>
  <c r="DFR62" i="8"/>
  <c r="DFQ62" i="8"/>
  <c r="DFP62" i="8"/>
  <c r="DFO62" i="8"/>
  <c r="DFN62" i="8"/>
  <c r="DFM62" i="8"/>
  <c r="DFL62" i="8"/>
  <c r="DFK62" i="8"/>
  <c r="DFJ62" i="8"/>
  <c r="DFI62" i="8"/>
  <c r="DFH62" i="8"/>
  <c r="DFG62" i="8"/>
  <c r="DFF62" i="8"/>
  <c r="DFE62" i="8"/>
  <c r="DFD62" i="8"/>
  <c r="DFC62" i="8"/>
  <c r="DFB62" i="8"/>
  <c r="DFA62" i="8"/>
  <c r="DEZ62" i="8"/>
  <c r="DEY62" i="8"/>
  <c r="DEX62" i="8"/>
  <c r="DEW62" i="8"/>
  <c r="DEV62" i="8"/>
  <c r="DEU62" i="8"/>
  <c r="DET62" i="8"/>
  <c r="DES62" i="8"/>
  <c r="DER62" i="8"/>
  <c r="DEQ62" i="8"/>
  <c r="DEP62" i="8"/>
  <c r="DEO62" i="8"/>
  <c r="DEN62" i="8"/>
  <c r="DEM62" i="8"/>
  <c r="DEL62" i="8"/>
  <c r="DEK62" i="8"/>
  <c r="DEJ62" i="8"/>
  <c r="DEI62" i="8"/>
  <c r="DEH62" i="8"/>
  <c r="DEG62" i="8"/>
  <c r="DEF62" i="8"/>
  <c r="DEE62" i="8"/>
  <c r="DED62" i="8"/>
  <c r="DEC62" i="8"/>
  <c r="DEB62" i="8"/>
  <c r="DEA62" i="8"/>
  <c r="DDZ62" i="8"/>
  <c r="DDY62" i="8"/>
  <c r="DDX62" i="8"/>
  <c r="DDW62" i="8"/>
  <c r="DDV62" i="8"/>
  <c r="DDU62" i="8"/>
  <c r="DDT62" i="8"/>
  <c r="DDS62" i="8"/>
  <c r="DDR62" i="8"/>
  <c r="DDQ62" i="8"/>
  <c r="DDP62" i="8"/>
  <c r="DDO62" i="8"/>
  <c r="DDN62" i="8"/>
  <c r="DDM62" i="8"/>
  <c r="DDL62" i="8"/>
  <c r="DDK62" i="8"/>
  <c r="DDJ62" i="8"/>
  <c r="DDI62" i="8"/>
  <c r="DDH62" i="8"/>
  <c r="DDG62" i="8"/>
  <c r="DDF62" i="8"/>
  <c r="DDE62" i="8"/>
  <c r="DDD62" i="8"/>
  <c r="DDC62" i="8"/>
  <c r="DDB62" i="8"/>
  <c r="DDA62" i="8"/>
  <c r="DCZ62" i="8"/>
  <c r="DCY62" i="8"/>
  <c r="DCX62" i="8"/>
  <c r="DCW62" i="8"/>
  <c r="DCV62" i="8"/>
  <c r="DCU62" i="8"/>
  <c r="DCT62" i="8"/>
  <c r="DCS62" i="8"/>
  <c r="DCR62" i="8"/>
  <c r="DCQ62" i="8"/>
  <c r="DCP62" i="8"/>
  <c r="DCO62" i="8"/>
  <c r="DCN62" i="8"/>
  <c r="DCM62" i="8"/>
  <c r="DCL62" i="8"/>
  <c r="DCK62" i="8"/>
  <c r="DCJ62" i="8"/>
  <c r="DCI62" i="8"/>
  <c r="DCH62" i="8"/>
  <c r="DCG62" i="8"/>
  <c r="DCF62" i="8"/>
  <c r="DCE62" i="8"/>
  <c r="DCD62" i="8"/>
  <c r="DCC62" i="8"/>
  <c r="DCB62" i="8"/>
  <c r="DCA62" i="8"/>
  <c r="DBZ62" i="8"/>
  <c r="DBY62" i="8"/>
  <c r="DBX62" i="8"/>
  <c r="DBW62" i="8"/>
  <c r="DBV62" i="8"/>
  <c r="DBU62" i="8"/>
  <c r="DBT62" i="8"/>
  <c r="DBS62" i="8"/>
  <c r="DBR62" i="8"/>
  <c r="DBQ62" i="8"/>
  <c r="DBP62" i="8"/>
  <c r="DBO62" i="8"/>
  <c r="DBN62" i="8"/>
  <c r="DBM62" i="8"/>
  <c r="DBL62" i="8"/>
  <c r="DBK62" i="8"/>
  <c r="DBJ62" i="8"/>
  <c r="DBI62" i="8"/>
  <c r="DBH62" i="8"/>
  <c r="DBG62" i="8"/>
  <c r="DBF62" i="8"/>
  <c r="DBE62" i="8"/>
  <c r="DBD62" i="8"/>
  <c r="DBC62" i="8"/>
  <c r="DBB62" i="8"/>
  <c r="DBA62" i="8"/>
  <c r="DAZ62" i="8"/>
  <c r="DAY62" i="8"/>
  <c r="DAX62" i="8"/>
  <c r="DAW62" i="8"/>
  <c r="DAV62" i="8"/>
  <c r="DAU62" i="8"/>
  <c r="DAT62" i="8"/>
  <c r="DAS62" i="8"/>
  <c r="DAR62" i="8"/>
  <c r="DAQ62" i="8"/>
  <c r="DAP62" i="8"/>
  <c r="DAO62" i="8"/>
  <c r="DAN62" i="8"/>
  <c r="DAM62" i="8"/>
  <c r="DAL62" i="8"/>
  <c r="DAK62" i="8"/>
  <c r="DAJ62" i="8"/>
  <c r="DAI62" i="8"/>
  <c r="DAH62" i="8"/>
  <c r="DAG62" i="8"/>
  <c r="DAF62" i="8"/>
  <c r="DAE62" i="8"/>
  <c r="DAD62" i="8"/>
  <c r="DAC62" i="8"/>
  <c r="DAB62" i="8"/>
  <c r="DAA62" i="8"/>
  <c r="CZZ62" i="8"/>
  <c r="CZY62" i="8"/>
  <c r="CZX62" i="8"/>
  <c r="CZW62" i="8"/>
  <c r="CZV62" i="8"/>
  <c r="CZU62" i="8"/>
  <c r="CZT62" i="8"/>
  <c r="CZS62" i="8"/>
  <c r="CZR62" i="8"/>
  <c r="CZQ62" i="8"/>
  <c r="CZP62" i="8"/>
  <c r="CZO62" i="8"/>
  <c r="CZN62" i="8"/>
  <c r="CZM62" i="8"/>
  <c r="CZL62" i="8"/>
  <c r="CZK62" i="8"/>
  <c r="CZJ62" i="8"/>
  <c r="CZI62" i="8"/>
  <c r="CZH62" i="8"/>
  <c r="CZG62" i="8"/>
  <c r="CZF62" i="8"/>
  <c r="CZE62" i="8"/>
  <c r="CZD62" i="8"/>
  <c r="CZC62" i="8"/>
  <c r="CZB62" i="8"/>
  <c r="CZA62" i="8"/>
  <c r="CYZ62" i="8"/>
  <c r="CYY62" i="8"/>
  <c r="CYX62" i="8"/>
  <c r="CYW62" i="8"/>
  <c r="CYV62" i="8"/>
  <c r="CYU62" i="8"/>
  <c r="CYT62" i="8"/>
  <c r="CYS62" i="8"/>
  <c r="CYR62" i="8"/>
  <c r="CYQ62" i="8"/>
  <c r="CYP62" i="8"/>
  <c r="CYO62" i="8"/>
  <c r="CYN62" i="8"/>
  <c r="CYM62" i="8"/>
  <c r="CYL62" i="8"/>
  <c r="CYK62" i="8"/>
  <c r="CYJ62" i="8"/>
  <c r="CYI62" i="8"/>
  <c r="CYH62" i="8"/>
  <c r="CYG62" i="8"/>
  <c r="CYF62" i="8"/>
  <c r="CYE62" i="8"/>
  <c r="CYD62" i="8"/>
  <c r="CYC62" i="8"/>
  <c r="CYB62" i="8"/>
  <c r="CYA62" i="8"/>
  <c r="CXZ62" i="8"/>
  <c r="CXY62" i="8"/>
  <c r="CXX62" i="8"/>
  <c r="CXW62" i="8"/>
  <c r="CXV62" i="8"/>
  <c r="CXU62" i="8"/>
  <c r="CXT62" i="8"/>
  <c r="CXS62" i="8"/>
  <c r="CXR62" i="8"/>
  <c r="CXQ62" i="8"/>
  <c r="CXP62" i="8"/>
  <c r="CXO62" i="8"/>
  <c r="CXN62" i="8"/>
  <c r="CXM62" i="8"/>
  <c r="CXL62" i="8"/>
  <c r="CXK62" i="8"/>
  <c r="CXJ62" i="8"/>
  <c r="CXI62" i="8"/>
  <c r="CXH62" i="8"/>
  <c r="CXG62" i="8"/>
  <c r="CXF62" i="8"/>
  <c r="CXE62" i="8"/>
  <c r="CXD62" i="8"/>
  <c r="CXC62" i="8"/>
  <c r="CXB62" i="8"/>
  <c r="CXA62" i="8"/>
  <c r="CWZ62" i="8"/>
  <c r="CWY62" i="8"/>
  <c r="CWX62" i="8"/>
  <c r="CWW62" i="8"/>
  <c r="CWV62" i="8"/>
  <c r="CWU62" i="8"/>
  <c r="CWT62" i="8"/>
  <c r="CWS62" i="8"/>
  <c r="CWR62" i="8"/>
  <c r="CWQ62" i="8"/>
  <c r="CWP62" i="8"/>
  <c r="CWO62" i="8"/>
  <c r="CWN62" i="8"/>
  <c r="CWM62" i="8"/>
  <c r="CWL62" i="8"/>
  <c r="CWK62" i="8"/>
  <c r="CWJ62" i="8"/>
  <c r="CWI62" i="8"/>
  <c r="CWH62" i="8"/>
  <c r="CWG62" i="8"/>
  <c r="CWF62" i="8"/>
  <c r="CWE62" i="8"/>
  <c r="CWD62" i="8"/>
  <c r="CWC62" i="8"/>
  <c r="CWB62" i="8"/>
  <c r="CWA62" i="8"/>
  <c r="CVZ62" i="8"/>
  <c r="CVY62" i="8"/>
  <c r="CVX62" i="8"/>
  <c r="CVW62" i="8"/>
  <c r="CVV62" i="8"/>
  <c r="CVU62" i="8"/>
  <c r="CVT62" i="8"/>
  <c r="CVS62" i="8"/>
  <c r="CVR62" i="8"/>
  <c r="CVQ62" i="8"/>
  <c r="CVP62" i="8"/>
  <c r="CVO62" i="8"/>
  <c r="CVN62" i="8"/>
  <c r="CVM62" i="8"/>
  <c r="CVL62" i="8"/>
  <c r="CVK62" i="8"/>
  <c r="CVJ62" i="8"/>
  <c r="CVI62" i="8"/>
  <c r="CVH62" i="8"/>
  <c r="CVG62" i="8"/>
  <c r="CVF62" i="8"/>
  <c r="CVE62" i="8"/>
  <c r="CVD62" i="8"/>
  <c r="CVC62" i="8"/>
  <c r="CVB62" i="8"/>
  <c r="CVA62" i="8"/>
  <c r="CUZ62" i="8"/>
  <c r="CUY62" i="8"/>
  <c r="CUX62" i="8"/>
  <c r="CUW62" i="8"/>
  <c r="CUV62" i="8"/>
  <c r="CUU62" i="8"/>
  <c r="CUT62" i="8"/>
  <c r="CUS62" i="8"/>
  <c r="CUR62" i="8"/>
  <c r="CUQ62" i="8"/>
  <c r="CUP62" i="8"/>
  <c r="CUO62" i="8"/>
  <c r="CUN62" i="8"/>
  <c r="CUM62" i="8"/>
  <c r="CUL62" i="8"/>
  <c r="CUK62" i="8"/>
  <c r="CUJ62" i="8"/>
  <c r="CUI62" i="8"/>
  <c r="CUH62" i="8"/>
  <c r="CUG62" i="8"/>
  <c r="CUF62" i="8"/>
  <c r="CUE62" i="8"/>
  <c r="CUD62" i="8"/>
  <c r="CUC62" i="8"/>
  <c r="CUB62" i="8"/>
  <c r="CUA62" i="8"/>
  <c r="CTZ62" i="8"/>
  <c r="CTY62" i="8"/>
  <c r="CTX62" i="8"/>
  <c r="CTW62" i="8"/>
  <c r="CTV62" i="8"/>
  <c r="CTU62" i="8"/>
  <c r="CTT62" i="8"/>
  <c r="CTS62" i="8"/>
  <c r="CTR62" i="8"/>
  <c r="CTQ62" i="8"/>
  <c r="CTP62" i="8"/>
  <c r="CTO62" i="8"/>
  <c r="CTN62" i="8"/>
  <c r="CTM62" i="8"/>
  <c r="CTL62" i="8"/>
  <c r="CTK62" i="8"/>
  <c r="CTJ62" i="8"/>
  <c r="CTI62" i="8"/>
  <c r="CTH62" i="8"/>
  <c r="CTG62" i="8"/>
  <c r="CTF62" i="8"/>
  <c r="CTE62" i="8"/>
  <c r="CTD62" i="8"/>
  <c r="CTC62" i="8"/>
  <c r="CTB62" i="8"/>
  <c r="CTA62" i="8"/>
  <c r="CSZ62" i="8"/>
  <c r="CSY62" i="8"/>
  <c r="CSX62" i="8"/>
  <c r="CSW62" i="8"/>
  <c r="CSV62" i="8"/>
  <c r="CSU62" i="8"/>
  <c r="CST62" i="8"/>
  <c r="CSS62" i="8"/>
  <c r="CSR62" i="8"/>
  <c r="CSQ62" i="8"/>
  <c r="CSP62" i="8"/>
  <c r="CSO62" i="8"/>
  <c r="CSN62" i="8"/>
  <c r="CSM62" i="8"/>
  <c r="CSL62" i="8"/>
  <c r="CSK62" i="8"/>
  <c r="CSJ62" i="8"/>
  <c r="CSI62" i="8"/>
  <c r="CSH62" i="8"/>
  <c r="CSG62" i="8"/>
  <c r="CSF62" i="8"/>
  <c r="CSE62" i="8"/>
  <c r="CSD62" i="8"/>
  <c r="CSC62" i="8"/>
  <c r="CSB62" i="8"/>
  <c r="CSA62" i="8"/>
  <c r="CRZ62" i="8"/>
  <c r="CRY62" i="8"/>
  <c r="CRX62" i="8"/>
  <c r="CRW62" i="8"/>
  <c r="CRV62" i="8"/>
  <c r="CRU62" i="8"/>
  <c r="CRT62" i="8"/>
  <c r="CRS62" i="8"/>
  <c r="CRR62" i="8"/>
  <c r="CRQ62" i="8"/>
  <c r="CRP62" i="8"/>
  <c r="CRO62" i="8"/>
  <c r="CRN62" i="8"/>
  <c r="CRM62" i="8"/>
  <c r="CRL62" i="8"/>
  <c r="CRK62" i="8"/>
  <c r="CRJ62" i="8"/>
  <c r="CRI62" i="8"/>
  <c r="CRH62" i="8"/>
  <c r="CRG62" i="8"/>
  <c r="CRF62" i="8"/>
  <c r="CRE62" i="8"/>
  <c r="CRD62" i="8"/>
  <c r="CRC62" i="8"/>
  <c r="CRB62" i="8"/>
  <c r="CRA62" i="8"/>
  <c r="CQZ62" i="8"/>
  <c r="CQY62" i="8"/>
  <c r="CQX62" i="8"/>
  <c r="CQW62" i="8"/>
  <c r="CQV62" i="8"/>
  <c r="CQU62" i="8"/>
  <c r="CQT62" i="8"/>
  <c r="CQS62" i="8"/>
  <c r="CQR62" i="8"/>
  <c r="CQQ62" i="8"/>
  <c r="CQP62" i="8"/>
  <c r="CQO62" i="8"/>
  <c r="CQN62" i="8"/>
  <c r="CQM62" i="8"/>
  <c r="CQL62" i="8"/>
  <c r="CQK62" i="8"/>
  <c r="CQJ62" i="8"/>
  <c r="CQI62" i="8"/>
  <c r="CQH62" i="8"/>
  <c r="CQG62" i="8"/>
  <c r="CQF62" i="8"/>
  <c r="CQE62" i="8"/>
  <c r="CQD62" i="8"/>
  <c r="CQC62" i="8"/>
  <c r="CQB62" i="8"/>
  <c r="CQA62" i="8"/>
  <c r="CPZ62" i="8"/>
  <c r="CPY62" i="8"/>
  <c r="CPX62" i="8"/>
  <c r="CPW62" i="8"/>
  <c r="CPV62" i="8"/>
  <c r="CPU62" i="8"/>
  <c r="CPT62" i="8"/>
  <c r="CPS62" i="8"/>
  <c r="CPR62" i="8"/>
  <c r="CPQ62" i="8"/>
  <c r="CPP62" i="8"/>
  <c r="CPO62" i="8"/>
  <c r="CPN62" i="8"/>
  <c r="CPM62" i="8"/>
  <c r="CPL62" i="8"/>
  <c r="CPK62" i="8"/>
  <c r="CPJ62" i="8"/>
  <c r="CPI62" i="8"/>
  <c r="CPH62" i="8"/>
  <c r="CPG62" i="8"/>
  <c r="CPF62" i="8"/>
  <c r="CPE62" i="8"/>
  <c r="CPD62" i="8"/>
  <c r="CPC62" i="8"/>
  <c r="CPB62" i="8"/>
  <c r="CPA62" i="8"/>
  <c r="COZ62" i="8"/>
  <c r="COY62" i="8"/>
  <c r="COX62" i="8"/>
  <c r="COW62" i="8"/>
  <c r="COV62" i="8"/>
  <c r="COU62" i="8"/>
  <c r="COT62" i="8"/>
  <c r="COS62" i="8"/>
  <c r="COR62" i="8"/>
  <c r="COQ62" i="8"/>
  <c r="COP62" i="8"/>
  <c r="COO62" i="8"/>
  <c r="CON62" i="8"/>
  <c r="COM62" i="8"/>
  <c r="COL62" i="8"/>
  <c r="COK62" i="8"/>
  <c r="COJ62" i="8"/>
  <c r="COI62" i="8"/>
  <c r="COH62" i="8"/>
  <c r="COG62" i="8"/>
  <c r="COF62" i="8"/>
  <c r="COE62" i="8"/>
  <c r="COD62" i="8"/>
  <c r="COC62" i="8"/>
  <c r="COB62" i="8"/>
  <c r="COA62" i="8"/>
  <c r="CNZ62" i="8"/>
  <c r="CNY62" i="8"/>
  <c r="CNX62" i="8"/>
  <c r="CNW62" i="8"/>
  <c r="CNV62" i="8"/>
  <c r="CNU62" i="8"/>
  <c r="CNT62" i="8"/>
  <c r="CNS62" i="8"/>
  <c r="CNR62" i="8"/>
  <c r="CNQ62" i="8"/>
  <c r="CNP62" i="8"/>
  <c r="CNO62" i="8"/>
  <c r="CNN62" i="8"/>
  <c r="CNM62" i="8"/>
  <c r="CNL62" i="8"/>
  <c r="CNK62" i="8"/>
  <c r="CNJ62" i="8"/>
  <c r="CNI62" i="8"/>
  <c r="CNH62" i="8"/>
  <c r="CNG62" i="8"/>
  <c r="CNF62" i="8"/>
  <c r="CNE62" i="8"/>
  <c r="CND62" i="8"/>
  <c r="CNC62" i="8"/>
  <c r="CNB62" i="8"/>
  <c r="CNA62" i="8"/>
  <c r="CMZ62" i="8"/>
  <c r="CMY62" i="8"/>
  <c r="CMX62" i="8"/>
  <c r="CMW62" i="8"/>
  <c r="CMV62" i="8"/>
  <c r="CMU62" i="8"/>
  <c r="CMT62" i="8"/>
  <c r="CMS62" i="8"/>
  <c r="CMR62" i="8"/>
  <c r="CMQ62" i="8"/>
  <c r="CMP62" i="8"/>
  <c r="CMO62" i="8"/>
  <c r="CMN62" i="8"/>
  <c r="CMM62" i="8"/>
  <c r="CML62" i="8"/>
  <c r="CMK62" i="8"/>
  <c r="CMJ62" i="8"/>
  <c r="CMI62" i="8"/>
  <c r="CMH62" i="8"/>
  <c r="CMG62" i="8"/>
  <c r="CMF62" i="8"/>
  <c r="CME62" i="8"/>
  <c r="CMD62" i="8"/>
  <c r="CMC62" i="8"/>
  <c r="CMB62" i="8"/>
  <c r="CMA62" i="8"/>
  <c r="CLZ62" i="8"/>
  <c r="CLY62" i="8"/>
  <c r="CLX62" i="8"/>
  <c r="CLW62" i="8"/>
  <c r="CLV62" i="8"/>
  <c r="CLU62" i="8"/>
  <c r="CLT62" i="8"/>
  <c r="CLS62" i="8"/>
  <c r="CLR62" i="8"/>
  <c r="CLQ62" i="8"/>
  <c r="CLP62" i="8"/>
  <c r="CLO62" i="8"/>
  <c r="CLN62" i="8"/>
  <c r="CLM62" i="8"/>
  <c r="CLL62" i="8"/>
  <c r="CLK62" i="8"/>
  <c r="CLJ62" i="8"/>
  <c r="CLI62" i="8"/>
  <c r="CLH62" i="8"/>
  <c r="CLG62" i="8"/>
  <c r="CLF62" i="8"/>
  <c r="CLE62" i="8"/>
  <c r="CLD62" i="8"/>
  <c r="CLC62" i="8"/>
  <c r="CLB62" i="8"/>
  <c r="CLA62" i="8"/>
  <c r="CKZ62" i="8"/>
  <c r="CKY62" i="8"/>
  <c r="CKX62" i="8"/>
  <c r="CKW62" i="8"/>
  <c r="CKV62" i="8"/>
  <c r="CKU62" i="8"/>
  <c r="CKT62" i="8"/>
  <c r="CKS62" i="8"/>
  <c r="CKR62" i="8"/>
  <c r="CKQ62" i="8"/>
  <c r="CKP62" i="8"/>
  <c r="CKO62" i="8"/>
  <c r="CKN62" i="8"/>
  <c r="CKM62" i="8"/>
  <c r="CKL62" i="8"/>
  <c r="CKK62" i="8"/>
  <c r="CKJ62" i="8"/>
  <c r="CKI62" i="8"/>
  <c r="CKH62" i="8"/>
  <c r="CKG62" i="8"/>
  <c r="CKF62" i="8"/>
  <c r="CKE62" i="8"/>
  <c r="CKD62" i="8"/>
  <c r="CKC62" i="8"/>
  <c r="CKB62" i="8"/>
  <c r="CKA62" i="8"/>
  <c r="CJZ62" i="8"/>
  <c r="CJY62" i="8"/>
  <c r="CJX62" i="8"/>
  <c r="CJW62" i="8"/>
  <c r="CJV62" i="8"/>
  <c r="CJU62" i="8"/>
  <c r="CJT62" i="8"/>
  <c r="CJS62" i="8"/>
  <c r="CJR62" i="8"/>
  <c r="CJQ62" i="8"/>
  <c r="CJP62" i="8"/>
  <c r="CJO62" i="8"/>
  <c r="CJN62" i="8"/>
  <c r="CJM62" i="8"/>
  <c r="CJL62" i="8"/>
  <c r="CJK62" i="8"/>
  <c r="CJJ62" i="8"/>
  <c r="CJI62" i="8"/>
  <c r="CJH62" i="8"/>
  <c r="CJG62" i="8"/>
  <c r="CJF62" i="8"/>
  <c r="CJE62" i="8"/>
  <c r="CJD62" i="8"/>
  <c r="CJC62" i="8"/>
  <c r="CJB62" i="8"/>
  <c r="CJA62" i="8"/>
  <c r="CIZ62" i="8"/>
  <c r="CIY62" i="8"/>
  <c r="CIX62" i="8"/>
  <c r="CIW62" i="8"/>
  <c r="CIV62" i="8"/>
  <c r="CIU62" i="8"/>
  <c r="CIT62" i="8"/>
  <c r="CIS62" i="8"/>
  <c r="CIR62" i="8"/>
  <c r="CIQ62" i="8"/>
  <c r="CIP62" i="8"/>
  <c r="CIO62" i="8"/>
  <c r="CIN62" i="8"/>
  <c r="CIM62" i="8"/>
  <c r="CIL62" i="8"/>
  <c r="CIK62" i="8"/>
  <c r="CIJ62" i="8"/>
  <c r="CII62" i="8"/>
  <c r="CIH62" i="8"/>
  <c r="CIG62" i="8"/>
  <c r="CIF62" i="8"/>
  <c r="CIE62" i="8"/>
  <c r="CID62" i="8"/>
  <c r="CIC62" i="8"/>
  <c r="CIB62" i="8"/>
  <c r="CIA62" i="8"/>
  <c r="CHZ62" i="8"/>
  <c r="CHY62" i="8"/>
  <c r="CHX62" i="8"/>
  <c r="CHW62" i="8"/>
  <c r="CHV62" i="8"/>
  <c r="CHU62" i="8"/>
  <c r="CHT62" i="8"/>
  <c r="CHS62" i="8"/>
  <c r="CHR62" i="8"/>
  <c r="CHQ62" i="8"/>
  <c r="CHP62" i="8"/>
  <c r="CHO62" i="8"/>
  <c r="CHN62" i="8"/>
  <c r="CHM62" i="8"/>
  <c r="CHL62" i="8"/>
  <c r="CHK62" i="8"/>
  <c r="CHJ62" i="8"/>
  <c r="CHI62" i="8"/>
  <c r="CHH62" i="8"/>
  <c r="CHG62" i="8"/>
  <c r="CHF62" i="8"/>
  <c r="CHE62" i="8"/>
  <c r="CHD62" i="8"/>
  <c r="CHC62" i="8"/>
  <c r="CHB62" i="8"/>
  <c r="CHA62" i="8"/>
  <c r="CGZ62" i="8"/>
  <c r="CGY62" i="8"/>
  <c r="CGX62" i="8"/>
  <c r="CGW62" i="8"/>
  <c r="CGV62" i="8"/>
  <c r="CGU62" i="8"/>
  <c r="CGT62" i="8"/>
  <c r="CGS62" i="8"/>
  <c r="CGR62" i="8"/>
  <c r="CGQ62" i="8"/>
  <c r="CGP62" i="8"/>
  <c r="CGO62" i="8"/>
  <c r="CGN62" i="8"/>
  <c r="CGM62" i="8"/>
  <c r="CGL62" i="8"/>
  <c r="CGK62" i="8"/>
  <c r="CGJ62" i="8"/>
  <c r="CGI62" i="8"/>
  <c r="CGH62" i="8"/>
  <c r="CGG62" i="8"/>
  <c r="CGF62" i="8"/>
  <c r="CGE62" i="8"/>
  <c r="CGD62" i="8"/>
  <c r="CGC62" i="8"/>
  <c r="CGB62" i="8"/>
  <c r="CGA62" i="8"/>
  <c r="CFZ62" i="8"/>
  <c r="CFY62" i="8"/>
  <c r="CFX62" i="8"/>
  <c r="CFW62" i="8"/>
  <c r="CFV62" i="8"/>
  <c r="CFU62" i="8"/>
  <c r="CFT62" i="8"/>
  <c r="CFS62" i="8"/>
  <c r="CFR62" i="8"/>
  <c r="CFQ62" i="8"/>
  <c r="CFP62" i="8"/>
  <c r="CFO62" i="8"/>
  <c r="CFN62" i="8"/>
  <c r="CFM62" i="8"/>
  <c r="CFL62" i="8"/>
  <c r="CFK62" i="8"/>
  <c r="CFJ62" i="8"/>
  <c r="CFI62" i="8"/>
  <c r="CFH62" i="8"/>
  <c r="CFG62" i="8"/>
  <c r="CFF62" i="8"/>
  <c r="CFE62" i="8"/>
  <c r="CFD62" i="8"/>
  <c r="CFC62" i="8"/>
  <c r="CFB62" i="8"/>
  <c r="CFA62" i="8"/>
  <c r="CEZ62" i="8"/>
  <c r="CEY62" i="8"/>
  <c r="CEX62" i="8"/>
  <c r="CEW62" i="8"/>
  <c r="CEV62" i="8"/>
  <c r="CEU62" i="8"/>
  <c r="CET62" i="8"/>
  <c r="CES62" i="8"/>
  <c r="CER62" i="8"/>
  <c r="CEQ62" i="8"/>
  <c r="CEP62" i="8"/>
  <c r="CEO62" i="8"/>
  <c r="CEN62" i="8"/>
  <c r="CEM62" i="8"/>
  <c r="CEL62" i="8"/>
  <c r="CEK62" i="8"/>
  <c r="CEJ62" i="8"/>
  <c r="CEI62" i="8"/>
  <c r="CEH62" i="8"/>
  <c r="CEG62" i="8"/>
  <c r="CEF62" i="8"/>
  <c r="CEE62" i="8"/>
  <c r="CED62" i="8"/>
  <c r="CEC62" i="8"/>
  <c r="CEB62" i="8"/>
  <c r="CEA62" i="8"/>
  <c r="CDZ62" i="8"/>
  <c r="CDY62" i="8"/>
  <c r="CDX62" i="8"/>
  <c r="CDW62" i="8"/>
  <c r="CDV62" i="8"/>
  <c r="CDU62" i="8"/>
  <c r="CDT62" i="8"/>
  <c r="CDS62" i="8"/>
  <c r="CDR62" i="8"/>
  <c r="CDQ62" i="8"/>
  <c r="CDP62" i="8"/>
  <c r="CDO62" i="8"/>
  <c r="CDN62" i="8"/>
  <c r="CDM62" i="8"/>
  <c r="CDL62" i="8"/>
  <c r="CDK62" i="8"/>
  <c r="CDJ62" i="8"/>
  <c r="CDI62" i="8"/>
  <c r="CDH62" i="8"/>
  <c r="CDG62" i="8"/>
  <c r="CDF62" i="8"/>
  <c r="CDE62" i="8"/>
  <c r="CDD62" i="8"/>
  <c r="CDC62" i="8"/>
  <c r="CDB62" i="8"/>
  <c r="CDA62" i="8"/>
  <c r="CCZ62" i="8"/>
  <c r="CCY62" i="8"/>
  <c r="CCX62" i="8"/>
  <c r="CCW62" i="8"/>
  <c r="CCV62" i="8"/>
  <c r="CCU62" i="8"/>
  <c r="CCT62" i="8"/>
  <c r="CCS62" i="8"/>
  <c r="CCR62" i="8"/>
  <c r="CCQ62" i="8"/>
  <c r="CCP62" i="8"/>
  <c r="CCO62" i="8"/>
  <c r="CCN62" i="8"/>
  <c r="CCM62" i="8"/>
  <c r="CCL62" i="8"/>
  <c r="CCK62" i="8"/>
  <c r="CCJ62" i="8"/>
  <c r="CCI62" i="8"/>
  <c r="CCH62" i="8"/>
  <c r="CCG62" i="8"/>
  <c r="CCF62" i="8"/>
  <c r="CCE62" i="8"/>
  <c r="CCD62" i="8"/>
  <c r="CCC62" i="8"/>
  <c r="CCB62" i="8"/>
  <c r="CCA62" i="8"/>
  <c r="CBZ62" i="8"/>
  <c r="CBY62" i="8"/>
  <c r="CBX62" i="8"/>
  <c r="CBW62" i="8"/>
  <c r="CBV62" i="8"/>
  <c r="CBU62" i="8"/>
  <c r="CBT62" i="8"/>
  <c r="CBS62" i="8"/>
  <c r="CBR62" i="8"/>
  <c r="CBQ62" i="8"/>
  <c r="CBP62" i="8"/>
  <c r="CBO62" i="8"/>
  <c r="CBN62" i="8"/>
  <c r="CBM62" i="8"/>
  <c r="CBL62" i="8"/>
  <c r="CBK62" i="8"/>
  <c r="CBJ62" i="8"/>
  <c r="CBI62" i="8"/>
  <c r="CBH62" i="8"/>
  <c r="CBG62" i="8"/>
  <c r="CBF62" i="8"/>
  <c r="CBE62" i="8"/>
  <c r="CBD62" i="8"/>
  <c r="CBC62" i="8"/>
  <c r="CBB62" i="8"/>
  <c r="CBA62" i="8"/>
  <c r="CAZ62" i="8"/>
  <c r="CAY62" i="8"/>
  <c r="CAX62" i="8"/>
  <c r="CAW62" i="8"/>
  <c r="CAV62" i="8"/>
  <c r="CAU62" i="8"/>
  <c r="CAT62" i="8"/>
  <c r="CAS62" i="8"/>
  <c r="CAR62" i="8"/>
  <c r="CAQ62" i="8"/>
  <c r="CAP62" i="8"/>
  <c r="CAO62" i="8"/>
  <c r="CAN62" i="8"/>
  <c r="CAM62" i="8"/>
  <c r="CAL62" i="8"/>
  <c r="CAK62" i="8"/>
  <c r="CAJ62" i="8"/>
  <c r="CAI62" i="8"/>
  <c r="CAH62" i="8"/>
  <c r="CAG62" i="8"/>
  <c r="CAF62" i="8"/>
  <c r="CAE62" i="8"/>
  <c r="CAD62" i="8"/>
  <c r="CAC62" i="8"/>
  <c r="CAB62" i="8"/>
  <c r="CAA62" i="8"/>
  <c r="BZZ62" i="8"/>
  <c r="BZY62" i="8"/>
  <c r="BZX62" i="8"/>
  <c r="BZW62" i="8"/>
  <c r="BZV62" i="8"/>
  <c r="BZU62" i="8"/>
  <c r="BZT62" i="8"/>
  <c r="BZS62" i="8"/>
  <c r="BZR62" i="8"/>
  <c r="BZQ62" i="8"/>
  <c r="BZP62" i="8"/>
  <c r="BZO62" i="8"/>
  <c r="BZN62" i="8"/>
  <c r="BZM62" i="8"/>
  <c r="BZL62" i="8"/>
  <c r="BZK62" i="8"/>
  <c r="BZJ62" i="8"/>
  <c r="BZI62" i="8"/>
  <c r="BZH62" i="8"/>
  <c r="BZG62" i="8"/>
  <c r="BZF62" i="8"/>
  <c r="BZE62" i="8"/>
  <c r="BZD62" i="8"/>
  <c r="BZC62" i="8"/>
  <c r="BZB62" i="8"/>
  <c r="BZA62" i="8"/>
  <c r="BYZ62" i="8"/>
  <c r="BYY62" i="8"/>
  <c r="BYX62" i="8"/>
  <c r="BYW62" i="8"/>
  <c r="BYV62" i="8"/>
  <c r="BYU62" i="8"/>
  <c r="BYT62" i="8"/>
  <c r="BYS62" i="8"/>
  <c r="BYR62" i="8"/>
  <c r="BYQ62" i="8"/>
  <c r="BYP62" i="8"/>
  <c r="BYO62" i="8"/>
  <c r="BYN62" i="8"/>
  <c r="BYM62" i="8"/>
  <c r="BYL62" i="8"/>
  <c r="BYK62" i="8"/>
  <c r="BYJ62" i="8"/>
  <c r="BYI62" i="8"/>
  <c r="BYH62" i="8"/>
  <c r="BYG62" i="8"/>
  <c r="BYF62" i="8"/>
  <c r="BYE62" i="8"/>
  <c r="BYD62" i="8"/>
  <c r="BYC62" i="8"/>
  <c r="BYB62" i="8"/>
  <c r="BYA62" i="8"/>
  <c r="BXZ62" i="8"/>
  <c r="BXY62" i="8"/>
  <c r="BXX62" i="8"/>
  <c r="BXW62" i="8"/>
  <c r="BXV62" i="8"/>
  <c r="BXU62" i="8"/>
  <c r="BXT62" i="8"/>
  <c r="BXS62" i="8"/>
  <c r="BXR62" i="8"/>
  <c r="BXQ62" i="8"/>
  <c r="BXP62" i="8"/>
  <c r="BXO62" i="8"/>
  <c r="BXN62" i="8"/>
  <c r="BXM62" i="8"/>
  <c r="BXL62" i="8"/>
  <c r="BXK62" i="8"/>
  <c r="BXJ62" i="8"/>
  <c r="BXI62" i="8"/>
  <c r="BXH62" i="8"/>
  <c r="BXG62" i="8"/>
  <c r="BXF62" i="8"/>
  <c r="BXE62" i="8"/>
  <c r="BXD62" i="8"/>
  <c r="BXC62" i="8"/>
  <c r="BXB62" i="8"/>
  <c r="BXA62" i="8"/>
  <c r="BWZ62" i="8"/>
  <c r="BWY62" i="8"/>
  <c r="BWX62" i="8"/>
  <c r="BWW62" i="8"/>
  <c r="BWV62" i="8"/>
  <c r="BWU62" i="8"/>
  <c r="BWT62" i="8"/>
  <c r="BWS62" i="8"/>
  <c r="BWR62" i="8"/>
  <c r="BWQ62" i="8"/>
  <c r="BWP62" i="8"/>
  <c r="BWO62" i="8"/>
  <c r="BWN62" i="8"/>
  <c r="BWM62" i="8"/>
  <c r="BWL62" i="8"/>
  <c r="BWK62" i="8"/>
  <c r="BWJ62" i="8"/>
  <c r="BWI62" i="8"/>
  <c r="BWH62" i="8"/>
  <c r="BWG62" i="8"/>
  <c r="BWF62" i="8"/>
  <c r="BWE62" i="8"/>
  <c r="BWD62" i="8"/>
  <c r="BWC62" i="8"/>
  <c r="BWB62" i="8"/>
  <c r="BWA62" i="8"/>
  <c r="BVZ62" i="8"/>
  <c r="BVY62" i="8"/>
  <c r="BVX62" i="8"/>
  <c r="BVW62" i="8"/>
  <c r="BVV62" i="8"/>
  <c r="BVU62" i="8"/>
  <c r="BVT62" i="8"/>
  <c r="BVS62" i="8"/>
  <c r="BVR62" i="8"/>
  <c r="BVQ62" i="8"/>
  <c r="BVP62" i="8"/>
  <c r="BVO62" i="8"/>
  <c r="BVN62" i="8"/>
  <c r="BVM62" i="8"/>
  <c r="BVL62" i="8"/>
  <c r="BVK62" i="8"/>
  <c r="BVJ62" i="8"/>
  <c r="BVI62" i="8"/>
  <c r="BVH62" i="8"/>
  <c r="BVG62" i="8"/>
  <c r="BVF62" i="8"/>
  <c r="BVE62" i="8"/>
  <c r="BVD62" i="8"/>
  <c r="BVC62" i="8"/>
  <c r="BVB62" i="8"/>
  <c r="BVA62" i="8"/>
  <c r="BUZ62" i="8"/>
  <c r="BUY62" i="8"/>
  <c r="BUX62" i="8"/>
  <c r="BUW62" i="8"/>
  <c r="BUV62" i="8"/>
  <c r="BUU62" i="8"/>
  <c r="BUT62" i="8"/>
  <c r="BUS62" i="8"/>
  <c r="BUR62" i="8"/>
  <c r="BUQ62" i="8"/>
  <c r="BUP62" i="8"/>
  <c r="BUO62" i="8"/>
  <c r="BUN62" i="8"/>
  <c r="BUM62" i="8"/>
  <c r="BUL62" i="8"/>
  <c r="BUK62" i="8"/>
  <c r="BUJ62" i="8"/>
  <c r="BUI62" i="8"/>
  <c r="BUH62" i="8"/>
  <c r="BUG62" i="8"/>
  <c r="BUF62" i="8"/>
  <c r="BUE62" i="8"/>
  <c r="BUD62" i="8"/>
  <c r="BUC62" i="8"/>
  <c r="BUB62" i="8"/>
  <c r="BUA62" i="8"/>
  <c r="BTZ62" i="8"/>
  <c r="BTY62" i="8"/>
  <c r="BTX62" i="8"/>
  <c r="BTW62" i="8"/>
  <c r="BTV62" i="8"/>
  <c r="BTU62" i="8"/>
  <c r="BTT62" i="8"/>
  <c r="BTS62" i="8"/>
  <c r="BTR62" i="8"/>
  <c r="BTQ62" i="8"/>
  <c r="BTP62" i="8"/>
  <c r="BTO62" i="8"/>
  <c r="BTN62" i="8"/>
  <c r="BTM62" i="8"/>
  <c r="BTL62" i="8"/>
  <c r="BTK62" i="8"/>
  <c r="BTJ62" i="8"/>
  <c r="BTI62" i="8"/>
  <c r="BTH62" i="8"/>
  <c r="BTG62" i="8"/>
  <c r="BTF62" i="8"/>
  <c r="BTE62" i="8"/>
  <c r="BTD62" i="8"/>
  <c r="BTC62" i="8"/>
  <c r="BTB62" i="8"/>
  <c r="BTA62" i="8"/>
  <c r="BSZ62" i="8"/>
  <c r="BSY62" i="8"/>
  <c r="BSX62" i="8"/>
  <c r="BSW62" i="8"/>
  <c r="BSV62" i="8"/>
  <c r="BSU62" i="8"/>
  <c r="BST62" i="8"/>
  <c r="BSS62" i="8"/>
  <c r="BSR62" i="8"/>
  <c r="BSQ62" i="8"/>
  <c r="BSP62" i="8"/>
  <c r="BSO62" i="8"/>
  <c r="BSN62" i="8"/>
  <c r="BSM62" i="8"/>
  <c r="BSL62" i="8"/>
  <c r="BSK62" i="8"/>
  <c r="BSJ62" i="8"/>
  <c r="BSI62" i="8"/>
  <c r="BSH62" i="8"/>
  <c r="BSG62" i="8"/>
  <c r="BSF62" i="8"/>
  <c r="BSE62" i="8"/>
  <c r="BSD62" i="8"/>
  <c r="BSC62" i="8"/>
  <c r="BSB62" i="8"/>
  <c r="BSA62" i="8"/>
  <c r="BRZ62" i="8"/>
  <c r="BRY62" i="8"/>
  <c r="BRX62" i="8"/>
  <c r="BRW62" i="8"/>
  <c r="BRV62" i="8"/>
  <c r="BRU62" i="8"/>
  <c r="BRT62" i="8"/>
  <c r="BRS62" i="8"/>
  <c r="BRR62" i="8"/>
  <c r="BRQ62" i="8"/>
  <c r="BRP62" i="8"/>
  <c r="BRO62" i="8"/>
  <c r="BRN62" i="8"/>
  <c r="BRM62" i="8"/>
  <c r="BRL62" i="8"/>
  <c r="BRK62" i="8"/>
  <c r="BRJ62" i="8"/>
  <c r="BRI62" i="8"/>
  <c r="BRH62" i="8"/>
  <c r="BRG62" i="8"/>
  <c r="BRF62" i="8"/>
  <c r="BRE62" i="8"/>
  <c r="BRD62" i="8"/>
  <c r="BRC62" i="8"/>
  <c r="BRB62" i="8"/>
  <c r="BRA62" i="8"/>
  <c r="BQZ62" i="8"/>
  <c r="BQY62" i="8"/>
  <c r="BQX62" i="8"/>
  <c r="BQW62" i="8"/>
  <c r="BQV62" i="8"/>
  <c r="BQU62" i="8"/>
  <c r="BQT62" i="8"/>
  <c r="BQS62" i="8"/>
  <c r="BQR62" i="8"/>
  <c r="BQQ62" i="8"/>
  <c r="BQP62" i="8"/>
  <c r="BQO62" i="8"/>
  <c r="BQN62" i="8"/>
  <c r="BQM62" i="8"/>
  <c r="BQL62" i="8"/>
  <c r="BQK62" i="8"/>
  <c r="BQJ62" i="8"/>
  <c r="BQI62" i="8"/>
  <c r="BQH62" i="8"/>
  <c r="BQG62" i="8"/>
  <c r="BQF62" i="8"/>
  <c r="BQE62" i="8"/>
  <c r="BQD62" i="8"/>
  <c r="BQC62" i="8"/>
  <c r="BQB62" i="8"/>
  <c r="BQA62" i="8"/>
  <c r="BPZ62" i="8"/>
  <c r="BPY62" i="8"/>
  <c r="BPX62" i="8"/>
  <c r="BPW62" i="8"/>
  <c r="BPV62" i="8"/>
  <c r="BPU62" i="8"/>
  <c r="BPT62" i="8"/>
  <c r="BPS62" i="8"/>
  <c r="BPR62" i="8"/>
  <c r="BPQ62" i="8"/>
  <c r="BPP62" i="8"/>
  <c r="BPO62" i="8"/>
  <c r="BPN62" i="8"/>
  <c r="BPM62" i="8"/>
  <c r="BPL62" i="8"/>
  <c r="BPK62" i="8"/>
  <c r="BPJ62" i="8"/>
  <c r="BPI62" i="8"/>
  <c r="BPH62" i="8"/>
  <c r="BPG62" i="8"/>
  <c r="BPF62" i="8"/>
  <c r="BPE62" i="8"/>
  <c r="BPD62" i="8"/>
  <c r="BPC62" i="8"/>
  <c r="BPB62" i="8"/>
  <c r="BPA62" i="8"/>
  <c r="BOZ62" i="8"/>
  <c r="BOY62" i="8"/>
  <c r="BOX62" i="8"/>
  <c r="BOW62" i="8"/>
  <c r="BOV62" i="8"/>
  <c r="BOU62" i="8"/>
  <c r="BOT62" i="8"/>
  <c r="BOS62" i="8"/>
  <c r="BOR62" i="8"/>
  <c r="BOQ62" i="8"/>
  <c r="BOP62" i="8"/>
  <c r="BOO62" i="8"/>
  <c r="BON62" i="8"/>
  <c r="BOM62" i="8"/>
  <c r="BOL62" i="8"/>
  <c r="BOK62" i="8"/>
  <c r="BOJ62" i="8"/>
  <c r="BOI62" i="8"/>
  <c r="BOH62" i="8"/>
  <c r="BOG62" i="8"/>
  <c r="BOF62" i="8"/>
  <c r="BOE62" i="8"/>
  <c r="BOD62" i="8"/>
  <c r="BOC62" i="8"/>
  <c r="BOB62" i="8"/>
  <c r="BOA62" i="8"/>
  <c r="BNZ62" i="8"/>
  <c r="BNY62" i="8"/>
  <c r="BNX62" i="8"/>
  <c r="BNW62" i="8"/>
  <c r="BNV62" i="8"/>
  <c r="BNU62" i="8"/>
  <c r="BNT62" i="8"/>
  <c r="BNS62" i="8"/>
  <c r="BNR62" i="8"/>
  <c r="BNQ62" i="8"/>
  <c r="BNP62" i="8"/>
  <c r="BNO62" i="8"/>
  <c r="BNN62" i="8"/>
  <c r="BNM62" i="8"/>
  <c r="BNL62" i="8"/>
  <c r="BNK62" i="8"/>
  <c r="BNJ62" i="8"/>
  <c r="BNI62" i="8"/>
  <c r="BNH62" i="8"/>
  <c r="BNG62" i="8"/>
  <c r="BNF62" i="8"/>
  <c r="BNE62" i="8"/>
  <c r="BND62" i="8"/>
  <c r="BNC62" i="8"/>
  <c r="BNB62" i="8"/>
  <c r="BNA62" i="8"/>
  <c r="BMZ62" i="8"/>
  <c r="BMY62" i="8"/>
  <c r="BMX62" i="8"/>
  <c r="BMW62" i="8"/>
  <c r="BMV62" i="8"/>
  <c r="BMU62" i="8"/>
  <c r="BMT62" i="8"/>
  <c r="BMS62" i="8"/>
  <c r="BMR62" i="8"/>
  <c r="BMQ62" i="8"/>
  <c r="BMP62" i="8"/>
  <c r="BMO62" i="8"/>
  <c r="BMN62" i="8"/>
  <c r="BMM62" i="8"/>
  <c r="BML62" i="8"/>
  <c r="BMK62" i="8"/>
  <c r="BMJ62" i="8"/>
  <c r="BMI62" i="8"/>
  <c r="BMH62" i="8"/>
  <c r="BMG62" i="8"/>
  <c r="BMF62" i="8"/>
  <c r="BME62" i="8"/>
  <c r="BMD62" i="8"/>
  <c r="BMC62" i="8"/>
  <c r="BMB62" i="8"/>
  <c r="BMA62" i="8"/>
  <c r="BLZ62" i="8"/>
  <c r="BLY62" i="8"/>
  <c r="BLX62" i="8"/>
  <c r="BLW62" i="8"/>
  <c r="BLV62" i="8"/>
  <c r="BLU62" i="8"/>
  <c r="BLT62" i="8"/>
  <c r="BLS62" i="8"/>
  <c r="BLR62" i="8"/>
  <c r="BLQ62" i="8"/>
  <c r="BLP62" i="8"/>
  <c r="BLO62" i="8"/>
  <c r="BLN62" i="8"/>
  <c r="BLM62" i="8"/>
  <c r="BLL62" i="8"/>
  <c r="BLK62" i="8"/>
  <c r="BLJ62" i="8"/>
  <c r="BLI62" i="8"/>
  <c r="BLH62" i="8"/>
  <c r="BLG62" i="8"/>
  <c r="BLF62" i="8"/>
  <c r="BLE62" i="8"/>
  <c r="BLD62" i="8"/>
  <c r="BLC62" i="8"/>
  <c r="BLB62" i="8"/>
  <c r="BLA62" i="8"/>
  <c r="BKZ62" i="8"/>
  <c r="BKY62" i="8"/>
  <c r="BKX62" i="8"/>
  <c r="BKW62" i="8"/>
  <c r="BKV62" i="8"/>
  <c r="BKU62" i="8"/>
  <c r="BKT62" i="8"/>
  <c r="BKS62" i="8"/>
  <c r="BKR62" i="8"/>
  <c r="BKQ62" i="8"/>
  <c r="BKP62" i="8"/>
  <c r="BKO62" i="8"/>
  <c r="BKN62" i="8"/>
  <c r="BKM62" i="8"/>
  <c r="BKL62" i="8"/>
  <c r="BKK62" i="8"/>
  <c r="BKJ62" i="8"/>
  <c r="BKI62" i="8"/>
  <c r="BKH62" i="8"/>
  <c r="BKG62" i="8"/>
  <c r="BKF62" i="8"/>
  <c r="BKE62" i="8"/>
  <c r="BKD62" i="8"/>
  <c r="BKC62" i="8"/>
  <c r="BKB62" i="8"/>
  <c r="BKA62" i="8"/>
  <c r="BJZ62" i="8"/>
  <c r="BJY62" i="8"/>
  <c r="BJX62" i="8"/>
  <c r="BJW62" i="8"/>
  <c r="BJV62" i="8"/>
  <c r="BJU62" i="8"/>
  <c r="BJT62" i="8"/>
  <c r="BJS62" i="8"/>
  <c r="BJR62" i="8"/>
  <c r="BJQ62" i="8"/>
  <c r="BJP62" i="8"/>
  <c r="BJO62" i="8"/>
  <c r="BJN62" i="8"/>
  <c r="BJM62" i="8"/>
  <c r="BJL62" i="8"/>
  <c r="BJK62" i="8"/>
  <c r="BJJ62" i="8"/>
  <c r="BJI62" i="8"/>
  <c r="BJH62" i="8"/>
  <c r="BJG62" i="8"/>
  <c r="BJF62" i="8"/>
  <c r="BJE62" i="8"/>
  <c r="BJD62" i="8"/>
  <c r="BJC62" i="8"/>
  <c r="BJB62" i="8"/>
  <c r="BJA62" i="8"/>
  <c r="BIZ62" i="8"/>
  <c r="BIY62" i="8"/>
  <c r="BIX62" i="8"/>
  <c r="BIW62" i="8"/>
  <c r="BIV62" i="8"/>
  <c r="BIU62" i="8"/>
  <c r="BIT62" i="8"/>
  <c r="BIS62" i="8"/>
  <c r="BIR62" i="8"/>
  <c r="BIQ62" i="8"/>
  <c r="BIP62" i="8"/>
  <c r="BIO62" i="8"/>
  <c r="BIN62" i="8"/>
  <c r="BIM62" i="8"/>
  <c r="BIL62" i="8"/>
  <c r="BIK62" i="8"/>
  <c r="BIJ62" i="8"/>
  <c r="BII62" i="8"/>
  <c r="BIH62" i="8"/>
  <c r="BIG62" i="8"/>
  <c r="BIF62" i="8"/>
  <c r="BIE62" i="8"/>
  <c r="BID62" i="8"/>
  <c r="BIC62" i="8"/>
  <c r="BIB62" i="8"/>
  <c r="BIA62" i="8"/>
  <c r="BHZ62" i="8"/>
  <c r="BHY62" i="8"/>
  <c r="BHX62" i="8"/>
  <c r="BHW62" i="8"/>
  <c r="BHV62" i="8"/>
  <c r="BHU62" i="8"/>
  <c r="BHT62" i="8"/>
  <c r="BHS62" i="8"/>
  <c r="BHR62" i="8"/>
  <c r="BHQ62" i="8"/>
  <c r="BHP62" i="8"/>
  <c r="BHO62" i="8"/>
  <c r="BHN62" i="8"/>
  <c r="BHM62" i="8"/>
  <c r="BHL62" i="8"/>
  <c r="BHK62" i="8"/>
  <c r="BHJ62" i="8"/>
  <c r="BHI62" i="8"/>
  <c r="BHH62" i="8"/>
  <c r="BHG62" i="8"/>
  <c r="BHF62" i="8"/>
  <c r="BHE62" i="8"/>
  <c r="BHD62" i="8"/>
  <c r="BHC62" i="8"/>
  <c r="BHB62" i="8"/>
  <c r="BHA62" i="8"/>
  <c r="BGZ62" i="8"/>
  <c r="BGY62" i="8"/>
  <c r="BGX62" i="8"/>
  <c r="BGW62" i="8"/>
  <c r="BGV62" i="8"/>
  <c r="BGU62" i="8"/>
  <c r="BGT62" i="8"/>
  <c r="BGS62" i="8"/>
  <c r="BGR62" i="8"/>
  <c r="BGQ62" i="8"/>
  <c r="BGP62" i="8"/>
  <c r="BGO62" i="8"/>
  <c r="BGN62" i="8"/>
  <c r="BGM62" i="8"/>
  <c r="BGL62" i="8"/>
  <c r="BGK62" i="8"/>
  <c r="BGJ62" i="8"/>
  <c r="BGI62" i="8"/>
  <c r="BGH62" i="8"/>
  <c r="BGG62" i="8"/>
  <c r="BGF62" i="8"/>
  <c r="BGE62" i="8"/>
  <c r="BGD62" i="8"/>
  <c r="BGC62" i="8"/>
  <c r="BGB62" i="8"/>
  <c r="BGA62" i="8"/>
  <c r="BFZ62" i="8"/>
  <c r="BFY62" i="8"/>
  <c r="BFX62" i="8"/>
  <c r="BFW62" i="8"/>
  <c r="BFV62" i="8"/>
  <c r="BFU62" i="8"/>
  <c r="BFT62" i="8"/>
  <c r="BFS62" i="8"/>
  <c r="BFR62" i="8"/>
  <c r="BFQ62" i="8"/>
  <c r="BFP62" i="8"/>
  <c r="BFO62" i="8"/>
  <c r="BFN62" i="8"/>
  <c r="BFM62" i="8"/>
  <c r="BFL62" i="8"/>
  <c r="BFK62" i="8"/>
  <c r="BFJ62" i="8"/>
  <c r="BFI62" i="8"/>
  <c r="BFH62" i="8"/>
  <c r="BFG62" i="8"/>
  <c r="BFF62" i="8"/>
  <c r="BFE62" i="8"/>
  <c r="BFD62" i="8"/>
  <c r="BFC62" i="8"/>
  <c r="BFB62" i="8"/>
  <c r="BFA62" i="8"/>
  <c r="BEZ62" i="8"/>
  <c r="BEY62" i="8"/>
  <c r="BEX62" i="8"/>
  <c r="BEW62" i="8"/>
  <c r="BEV62" i="8"/>
  <c r="BEU62" i="8"/>
  <c r="BET62" i="8"/>
  <c r="BES62" i="8"/>
  <c r="BER62" i="8"/>
  <c r="BEQ62" i="8"/>
  <c r="BEP62" i="8"/>
  <c r="BEO62" i="8"/>
  <c r="BEN62" i="8"/>
  <c r="BEM62" i="8"/>
  <c r="BEL62" i="8"/>
  <c r="BEK62" i="8"/>
  <c r="BEJ62" i="8"/>
  <c r="BEI62" i="8"/>
  <c r="BEH62" i="8"/>
  <c r="BEG62" i="8"/>
  <c r="BEF62" i="8"/>
  <c r="BEE62" i="8"/>
  <c r="BED62" i="8"/>
  <c r="BEC62" i="8"/>
  <c r="BEB62" i="8"/>
  <c r="BEA62" i="8"/>
  <c r="BDZ62" i="8"/>
  <c r="BDY62" i="8"/>
  <c r="BDX62" i="8"/>
  <c r="BDW62" i="8"/>
  <c r="BDV62" i="8"/>
  <c r="BDU62" i="8"/>
  <c r="BDT62" i="8"/>
  <c r="BDS62" i="8"/>
  <c r="BDR62" i="8"/>
  <c r="BDQ62" i="8"/>
  <c r="BDP62" i="8"/>
  <c r="BDO62" i="8"/>
  <c r="BDN62" i="8"/>
  <c r="BDM62" i="8"/>
  <c r="BDL62" i="8"/>
  <c r="BDK62" i="8"/>
  <c r="BDJ62" i="8"/>
  <c r="BDI62" i="8"/>
  <c r="BDH62" i="8"/>
  <c r="BDG62" i="8"/>
  <c r="BDF62" i="8"/>
  <c r="BDE62" i="8"/>
  <c r="BDD62" i="8"/>
  <c r="BDC62" i="8"/>
  <c r="BDB62" i="8"/>
  <c r="BDA62" i="8"/>
  <c r="BCZ62" i="8"/>
  <c r="BCY62" i="8"/>
  <c r="BCX62" i="8"/>
  <c r="BCW62" i="8"/>
  <c r="BCV62" i="8"/>
  <c r="BCU62" i="8"/>
  <c r="BCT62" i="8"/>
  <c r="BCS62" i="8"/>
  <c r="BCR62" i="8"/>
  <c r="BCQ62" i="8"/>
  <c r="BCP62" i="8"/>
  <c r="BCO62" i="8"/>
  <c r="BCN62" i="8"/>
  <c r="BCM62" i="8"/>
  <c r="BCL62" i="8"/>
  <c r="BCK62" i="8"/>
  <c r="BCJ62" i="8"/>
  <c r="BCI62" i="8"/>
  <c r="BCH62" i="8"/>
  <c r="BCG62" i="8"/>
  <c r="BCF62" i="8"/>
  <c r="BCE62" i="8"/>
  <c r="BCD62" i="8"/>
  <c r="BCC62" i="8"/>
  <c r="BCB62" i="8"/>
  <c r="BCA62" i="8"/>
  <c r="BBZ62" i="8"/>
  <c r="BBY62" i="8"/>
  <c r="BBX62" i="8"/>
  <c r="BBW62" i="8"/>
  <c r="BBV62" i="8"/>
  <c r="BBU62" i="8"/>
  <c r="BBT62" i="8"/>
  <c r="BBS62" i="8"/>
  <c r="BBR62" i="8"/>
  <c r="BBQ62" i="8"/>
  <c r="BBP62" i="8"/>
  <c r="BBO62" i="8"/>
  <c r="BBN62" i="8"/>
  <c r="BBM62" i="8"/>
  <c r="BBL62" i="8"/>
  <c r="BBK62" i="8"/>
  <c r="BBJ62" i="8"/>
  <c r="BBI62" i="8"/>
  <c r="BBH62" i="8"/>
  <c r="BBG62" i="8"/>
  <c r="BBF62" i="8"/>
  <c r="BBE62" i="8"/>
  <c r="BBD62" i="8"/>
  <c r="BBC62" i="8"/>
  <c r="BBB62" i="8"/>
  <c r="BBA62" i="8"/>
  <c r="BAZ62" i="8"/>
  <c r="BAY62" i="8"/>
  <c r="BAX62" i="8"/>
  <c r="BAW62" i="8"/>
  <c r="BAV62" i="8"/>
  <c r="BAU62" i="8"/>
  <c r="BAT62" i="8"/>
  <c r="BAS62" i="8"/>
  <c r="BAR62" i="8"/>
  <c r="BAQ62" i="8"/>
  <c r="BAP62" i="8"/>
  <c r="BAO62" i="8"/>
  <c r="BAN62" i="8"/>
  <c r="BAM62" i="8"/>
  <c r="BAL62" i="8"/>
  <c r="BAK62" i="8"/>
  <c r="BAJ62" i="8"/>
  <c r="BAI62" i="8"/>
  <c r="BAH62" i="8"/>
  <c r="BAG62" i="8"/>
  <c r="BAF62" i="8"/>
  <c r="BAE62" i="8"/>
  <c r="BAD62" i="8"/>
  <c r="BAC62" i="8"/>
  <c r="BAB62" i="8"/>
  <c r="BAA62" i="8"/>
  <c r="AZZ62" i="8"/>
  <c r="AZY62" i="8"/>
  <c r="AZX62" i="8"/>
  <c r="AZW62" i="8"/>
  <c r="AZV62" i="8"/>
  <c r="AZU62" i="8"/>
  <c r="AZT62" i="8"/>
  <c r="AZS62" i="8"/>
  <c r="AZR62" i="8"/>
  <c r="AZQ62" i="8"/>
  <c r="AZP62" i="8"/>
  <c r="AZO62" i="8"/>
  <c r="AZN62" i="8"/>
  <c r="AZM62" i="8"/>
  <c r="AZL62" i="8"/>
  <c r="AZK62" i="8"/>
  <c r="AZJ62" i="8"/>
  <c r="AZI62" i="8"/>
  <c r="AZH62" i="8"/>
  <c r="AZG62" i="8"/>
  <c r="AZF62" i="8"/>
  <c r="AZE62" i="8"/>
  <c r="AZD62" i="8"/>
  <c r="AZC62" i="8"/>
  <c r="AZB62" i="8"/>
  <c r="AZA62" i="8"/>
  <c r="AYZ62" i="8"/>
  <c r="AYY62" i="8"/>
  <c r="AYX62" i="8"/>
  <c r="AYW62" i="8"/>
  <c r="AYV62" i="8"/>
  <c r="AYU62" i="8"/>
  <c r="AYT62" i="8"/>
  <c r="AYS62" i="8"/>
  <c r="AYR62" i="8"/>
  <c r="AYQ62" i="8"/>
  <c r="AYP62" i="8"/>
  <c r="AYO62" i="8"/>
  <c r="AYN62" i="8"/>
  <c r="AYM62" i="8"/>
  <c r="AYL62" i="8"/>
  <c r="AYK62" i="8"/>
  <c r="AYJ62" i="8"/>
  <c r="AYI62" i="8"/>
  <c r="AYH62" i="8"/>
  <c r="AYG62" i="8"/>
  <c r="AYF62" i="8"/>
  <c r="AYE62" i="8"/>
  <c r="AYD62" i="8"/>
  <c r="AYC62" i="8"/>
  <c r="AYB62" i="8"/>
  <c r="AYA62" i="8"/>
  <c r="AXZ62" i="8"/>
  <c r="AXY62" i="8"/>
  <c r="AXX62" i="8"/>
  <c r="AXW62" i="8"/>
  <c r="AXV62" i="8"/>
  <c r="AXU62" i="8"/>
  <c r="AXT62" i="8"/>
  <c r="AXS62" i="8"/>
  <c r="AXR62" i="8"/>
  <c r="AXQ62" i="8"/>
  <c r="AXP62" i="8"/>
  <c r="AXO62" i="8"/>
  <c r="AXN62" i="8"/>
  <c r="AXM62" i="8"/>
  <c r="AXL62" i="8"/>
  <c r="AXK62" i="8"/>
  <c r="AXJ62" i="8"/>
  <c r="AXI62" i="8"/>
  <c r="AXH62" i="8"/>
  <c r="AXG62" i="8"/>
  <c r="AXF62" i="8"/>
  <c r="AXE62" i="8"/>
  <c r="AXD62" i="8"/>
  <c r="AXC62" i="8"/>
  <c r="AXB62" i="8"/>
  <c r="AXA62" i="8"/>
  <c r="AWZ62" i="8"/>
  <c r="AWY62" i="8"/>
  <c r="AWX62" i="8"/>
  <c r="AWW62" i="8"/>
  <c r="AWV62" i="8"/>
  <c r="AWU62" i="8"/>
  <c r="AWT62" i="8"/>
  <c r="AWS62" i="8"/>
  <c r="AWR62" i="8"/>
  <c r="AWQ62" i="8"/>
  <c r="AWP62" i="8"/>
  <c r="AWO62" i="8"/>
  <c r="AWN62" i="8"/>
  <c r="AWM62" i="8"/>
  <c r="AWL62" i="8"/>
  <c r="AWK62" i="8"/>
  <c r="AWJ62" i="8"/>
  <c r="AWI62" i="8"/>
  <c r="AWH62" i="8"/>
  <c r="AWG62" i="8"/>
  <c r="AWF62" i="8"/>
  <c r="AWE62" i="8"/>
  <c r="AWD62" i="8"/>
  <c r="AWC62" i="8"/>
  <c r="AWB62" i="8"/>
  <c r="AWA62" i="8"/>
  <c r="AVZ62" i="8"/>
  <c r="AVY62" i="8"/>
  <c r="AVX62" i="8"/>
  <c r="AVW62" i="8"/>
  <c r="AVV62" i="8"/>
  <c r="AVU62" i="8"/>
  <c r="AVT62" i="8"/>
  <c r="AVS62" i="8"/>
  <c r="AVR62" i="8"/>
  <c r="AVQ62" i="8"/>
  <c r="AVP62" i="8"/>
  <c r="AVO62" i="8"/>
  <c r="AVN62" i="8"/>
  <c r="AVM62" i="8"/>
  <c r="AVL62" i="8"/>
  <c r="AVK62" i="8"/>
  <c r="AVJ62" i="8"/>
  <c r="AVI62" i="8"/>
  <c r="AVH62" i="8"/>
  <c r="AVG62" i="8"/>
  <c r="AVF62" i="8"/>
  <c r="AVE62" i="8"/>
  <c r="AVD62" i="8"/>
  <c r="AVC62" i="8"/>
  <c r="AVB62" i="8"/>
  <c r="AVA62" i="8"/>
  <c r="AUZ62" i="8"/>
  <c r="AUY62" i="8"/>
  <c r="AUX62" i="8"/>
  <c r="AUW62" i="8"/>
  <c r="AUV62" i="8"/>
  <c r="AUU62" i="8"/>
  <c r="AUT62" i="8"/>
  <c r="AUS62" i="8"/>
  <c r="AUR62" i="8"/>
  <c r="AUQ62" i="8"/>
  <c r="AUP62" i="8"/>
  <c r="AUO62" i="8"/>
  <c r="AUN62" i="8"/>
  <c r="AUM62" i="8"/>
  <c r="AUL62" i="8"/>
  <c r="AUK62" i="8"/>
  <c r="AUJ62" i="8"/>
  <c r="AUI62" i="8"/>
  <c r="AUH62" i="8"/>
  <c r="AUG62" i="8"/>
  <c r="AUF62" i="8"/>
  <c r="AUE62" i="8"/>
  <c r="AUD62" i="8"/>
  <c r="AUC62" i="8"/>
  <c r="AUB62" i="8"/>
  <c r="AUA62" i="8"/>
  <c r="ATZ62" i="8"/>
  <c r="ATY62" i="8"/>
  <c r="ATX62" i="8"/>
  <c r="ATW62" i="8"/>
  <c r="ATV62" i="8"/>
  <c r="ATU62" i="8"/>
  <c r="ATT62" i="8"/>
  <c r="ATS62" i="8"/>
  <c r="ATR62" i="8"/>
  <c r="ATQ62" i="8"/>
  <c r="ATP62" i="8"/>
  <c r="ATO62" i="8"/>
  <c r="ATN62" i="8"/>
  <c r="ATM62" i="8"/>
  <c r="ATL62" i="8"/>
  <c r="ATK62" i="8"/>
  <c r="ATJ62" i="8"/>
  <c r="ATI62" i="8"/>
  <c r="ATH62" i="8"/>
  <c r="ATG62" i="8"/>
  <c r="ATF62" i="8"/>
  <c r="ATE62" i="8"/>
  <c r="ATD62" i="8"/>
  <c r="ATC62" i="8"/>
  <c r="ATB62" i="8"/>
  <c r="ATA62" i="8"/>
  <c r="ASZ62" i="8"/>
  <c r="ASY62" i="8"/>
  <c r="ASX62" i="8"/>
  <c r="ASW62" i="8"/>
  <c r="ASV62" i="8"/>
  <c r="ASU62" i="8"/>
  <c r="AST62" i="8"/>
  <c r="ASS62" i="8"/>
  <c r="ASR62" i="8"/>
  <c r="ASQ62" i="8"/>
  <c r="ASP62" i="8"/>
  <c r="ASO62" i="8"/>
  <c r="ASN62" i="8"/>
  <c r="ASM62" i="8"/>
  <c r="ASL62" i="8"/>
  <c r="ASK62" i="8"/>
  <c r="ASJ62" i="8"/>
  <c r="ASI62" i="8"/>
  <c r="ASH62" i="8"/>
  <c r="ASG62" i="8"/>
  <c r="ASF62" i="8"/>
  <c r="ASE62" i="8"/>
  <c r="ASD62" i="8"/>
  <c r="ASC62" i="8"/>
  <c r="ASB62" i="8"/>
  <c r="ASA62" i="8"/>
  <c r="ARZ62" i="8"/>
  <c r="ARY62" i="8"/>
  <c r="ARX62" i="8"/>
  <c r="ARW62" i="8"/>
  <c r="ARV62" i="8"/>
  <c r="ARU62" i="8"/>
  <c r="ART62" i="8"/>
  <c r="ARS62" i="8"/>
  <c r="ARR62" i="8"/>
  <c r="ARQ62" i="8"/>
  <c r="ARP62" i="8"/>
  <c r="ARO62" i="8"/>
  <c r="ARN62" i="8"/>
  <c r="ARM62" i="8"/>
  <c r="ARL62" i="8"/>
  <c r="ARK62" i="8"/>
  <c r="ARJ62" i="8"/>
  <c r="ARI62" i="8"/>
  <c r="ARH62" i="8"/>
  <c r="ARG62" i="8"/>
  <c r="ARF62" i="8"/>
  <c r="ARE62" i="8"/>
  <c r="ARD62" i="8"/>
  <c r="ARC62" i="8"/>
  <c r="ARB62" i="8"/>
  <c r="ARA62" i="8"/>
  <c r="AQZ62" i="8"/>
  <c r="AQY62" i="8"/>
  <c r="AQX62" i="8"/>
  <c r="AQW62" i="8"/>
  <c r="AQV62" i="8"/>
  <c r="AQU62" i="8"/>
  <c r="AQT62" i="8"/>
  <c r="AQS62" i="8"/>
  <c r="AQR62" i="8"/>
  <c r="AQQ62" i="8"/>
  <c r="AQP62" i="8"/>
  <c r="AQO62" i="8"/>
  <c r="AQN62" i="8"/>
  <c r="AQM62" i="8"/>
  <c r="AQL62" i="8"/>
  <c r="AQK62" i="8"/>
  <c r="AQJ62" i="8"/>
  <c r="AQI62" i="8"/>
  <c r="AQH62" i="8"/>
  <c r="AQG62" i="8"/>
  <c r="AQF62" i="8"/>
  <c r="AQE62" i="8"/>
  <c r="AQD62" i="8"/>
  <c r="AQC62" i="8"/>
  <c r="AQB62" i="8"/>
  <c r="AQA62" i="8"/>
  <c r="APZ62" i="8"/>
  <c r="APY62" i="8"/>
  <c r="APX62" i="8"/>
  <c r="APW62" i="8"/>
  <c r="APV62" i="8"/>
  <c r="APU62" i="8"/>
  <c r="APT62" i="8"/>
  <c r="APS62" i="8"/>
  <c r="APR62" i="8"/>
  <c r="APQ62" i="8"/>
  <c r="APP62" i="8"/>
  <c r="APO62" i="8"/>
  <c r="APN62" i="8"/>
  <c r="APM62" i="8"/>
  <c r="APL62" i="8"/>
  <c r="APK62" i="8"/>
  <c r="APJ62" i="8"/>
  <c r="API62" i="8"/>
  <c r="APH62" i="8"/>
  <c r="APG62" i="8"/>
  <c r="APF62" i="8"/>
  <c r="APE62" i="8"/>
  <c r="APD62" i="8"/>
  <c r="APC62" i="8"/>
  <c r="APB62" i="8"/>
  <c r="APA62" i="8"/>
  <c r="AOZ62" i="8"/>
  <c r="AOY62" i="8"/>
  <c r="AOX62" i="8"/>
  <c r="AOW62" i="8"/>
  <c r="AOV62" i="8"/>
  <c r="AOU62" i="8"/>
  <c r="AOT62" i="8"/>
  <c r="AOS62" i="8"/>
  <c r="AOR62" i="8"/>
  <c r="AOQ62" i="8"/>
  <c r="AOP62" i="8"/>
  <c r="AOO62" i="8"/>
  <c r="AON62" i="8"/>
  <c r="AOM62" i="8"/>
  <c r="AOL62" i="8"/>
  <c r="AOK62" i="8"/>
  <c r="AOJ62" i="8"/>
  <c r="AOI62" i="8"/>
  <c r="AOH62" i="8"/>
  <c r="AOG62" i="8"/>
  <c r="AOF62" i="8"/>
  <c r="AOE62" i="8"/>
  <c r="AOD62" i="8"/>
  <c r="AOC62" i="8"/>
  <c r="AOB62" i="8"/>
  <c r="AOA62" i="8"/>
  <c r="ANZ62" i="8"/>
  <c r="ANY62" i="8"/>
  <c r="ANX62" i="8"/>
  <c r="ANW62" i="8"/>
  <c r="ANV62" i="8"/>
  <c r="ANU62" i="8"/>
  <c r="ANT62" i="8"/>
  <c r="ANS62" i="8"/>
  <c r="ANR62" i="8"/>
  <c r="ANQ62" i="8"/>
  <c r="ANP62" i="8"/>
  <c r="ANO62" i="8"/>
  <c r="ANN62" i="8"/>
  <c r="ANM62" i="8"/>
  <c r="ANL62" i="8"/>
  <c r="ANK62" i="8"/>
  <c r="ANJ62" i="8"/>
  <c r="ANI62" i="8"/>
  <c r="ANH62" i="8"/>
  <c r="ANG62" i="8"/>
  <c r="ANF62" i="8"/>
  <c r="ANE62" i="8"/>
  <c r="AND62" i="8"/>
  <c r="ANC62" i="8"/>
  <c r="ANB62" i="8"/>
  <c r="ANA62" i="8"/>
  <c r="AMZ62" i="8"/>
  <c r="AMY62" i="8"/>
  <c r="AMX62" i="8"/>
  <c r="AMW62" i="8"/>
  <c r="AMV62" i="8"/>
  <c r="AMU62" i="8"/>
  <c r="AMT62" i="8"/>
  <c r="AMS62" i="8"/>
  <c r="AMR62" i="8"/>
  <c r="AMQ62" i="8"/>
  <c r="AMP62" i="8"/>
  <c r="AMO62" i="8"/>
  <c r="AMN62" i="8"/>
  <c r="AMM62" i="8"/>
  <c r="AML62" i="8"/>
  <c r="AMK62" i="8"/>
  <c r="AMJ62" i="8"/>
  <c r="AMI62" i="8"/>
  <c r="AMH62" i="8"/>
  <c r="AMG62" i="8"/>
  <c r="AMF62" i="8"/>
  <c r="AME62" i="8"/>
  <c r="AMD62" i="8"/>
  <c r="AMC62" i="8"/>
  <c r="AMB62" i="8"/>
  <c r="AMA62" i="8"/>
  <c r="ALZ62" i="8"/>
  <c r="ALY62" i="8"/>
  <c r="ALX62" i="8"/>
  <c r="ALW62" i="8"/>
  <c r="ALV62" i="8"/>
  <c r="ALU62" i="8"/>
  <c r="ALT62" i="8"/>
  <c r="ALS62" i="8"/>
  <c r="ALR62" i="8"/>
  <c r="ALQ62" i="8"/>
  <c r="ALP62" i="8"/>
  <c r="ALO62" i="8"/>
  <c r="ALN62" i="8"/>
  <c r="ALM62" i="8"/>
  <c r="ALL62" i="8"/>
  <c r="ALK62" i="8"/>
  <c r="ALJ62" i="8"/>
  <c r="ALI62" i="8"/>
  <c r="ALH62" i="8"/>
  <c r="ALG62" i="8"/>
  <c r="ALF62" i="8"/>
  <c r="ALE62" i="8"/>
  <c r="ALD62" i="8"/>
  <c r="ALC62" i="8"/>
  <c r="ALB62" i="8"/>
  <c r="ALA62" i="8"/>
  <c r="AKZ62" i="8"/>
  <c r="AKY62" i="8"/>
  <c r="AKX62" i="8"/>
  <c r="AKW62" i="8"/>
  <c r="AKV62" i="8"/>
  <c r="AKU62" i="8"/>
  <c r="AKT62" i="8"/>
  <c r="AKS62" i="8"/>
  <c r="AKR62" i="8"/>
  <c r="AKQ62" i="8"/>
  <c r="AKP62" i="8"/>
  <c r="AKO62" i="8"/>
  <c r="AKN62" i="8"/>
  <c r="AKM62" i="8"/>
  <c r="AKL62" i="8"/>
  <c r="AKK62" i="8"/>
  <c r="AKJ62" i="8"/>
  <c r="AKI62" i="8"/>
  <c r="AKH62" i="8"/>
  <c r="AKG62" i="8"/>
  <c r="AKF62" i="8"/>
  <c r="AKE62" i="8"/>
  <c r="AKD62" i="8"/>
  <c r="AKC62" i="8"/>
  <c r="AKB62" i="8"/>
  <c r="AKA62" i="8"/>
  <c r="AJZ62" i="8"/>
  <c r="AJY62" i="8"/>
  <c r="AJX62" i="8"/>
  <c r="AJW62" i="8"/>
  <c r="AJV62" i="8"/>
  <c r="AJU62" i="8"/>
  <c r="AJT62" i="8"/>
  <c r="AJS62" i="8"/>
  <c r="AJR62" i="8"/>
  <c r="AJQ62" i="8"/>
  <c r="AJP62" i="8"/>
  <c r="AJO62" i="8"/>
  <c r="AJN62" i="8"/>
  <c r="AJM62" i="8"/>
  <c r="AJL62" i="8"/>
  <c r="AJK62" i="8"/>
  <c r="AJJ62" i="8"/>
  <c r="AJI62" i="8"/>
  <c r="AJH62" i="8"/>
  <c r="AJG62" i="8"/>
  <c r="AJF62" i="8"/>
  <c r="AJE62" i="8"/>
  <c r="AJD62" i="8"/>
  <c r="AJC62" i="8"/>
  <c r="AJB62" i="8"/>
  <c r="AJA62" i="8"/>
  <c r="AIZ62" i="8"/>
  <c r="AIY62" i="8"/>
  <c r="AIX62" i="8"/>
  <c r="AIW62" i="8"/>
  <c r="AIV62" i="8"/>
  <c r="AIU62" i="8"/>
  <c r="AIT62" i="8"/>
  <c r="AIS62" i="8"/>
  <c r="AIR62" i="8"/>
  <c r="AIQ62" i="8"/>
  <c r="AIP62" i="8"/>
  <c r="AIO62" i="8"/>
  <c r="AIN62" i="8"/>
  <c r="AIM62" i="8"/>
  <c r="AIL62" i="8"/>
  <c r="AIK62" i="8"/>
  <c r="AIJ62" i="8"/>
  <c r="AII62" i="8"/>
  <c r="AIH62" i="8"/>
  <c r="AIG62" i="8"/>
  <c r="AIF62" i="8"/>
  <c r="AIE62" i="8"/>
  <c r="AID62" i="8"/>
  <c r="AIC62" i="8"/>
  <c r="AIB62" i="8"/>
  <c r="AIA62" i="8"/>
  <c r="AHZ62" i="8"/>
  <c r="AHY62" i="8"/>
  <c r="AHX62" i="8"/>
  <c r="AHW62" i="8"/>
  <c r="AHV62" i="8"/>
  <c r="AHU62" i="8"/>
  <c r="AHT62" i="8"/>
  <c r="AHS62" i="8"/>
  <c r="AHR62" i="8"/>
  <c r="AHQ62" i="8"/>
  <c r="AHP62" i="8"/>
  <c r="AHO62" i="8"/>
  <c r="AHN62" i="8"/>
  <c r="AHM62" i="8"/>
  <c r="AHL62" i="8"/>
  <c r="AHK62" i="8"/>
  <c r="AHJ62" i="8"/>
  <c r="AHI62" i="8"/>
  <c r="AHH62" i="8"/>
  <c r="AHG62" i="8"/>
  <c r="AHF62" i="8"/>
  <c r="AHE62" i="8"/>
  <c r="AHD62" i="8"/>
  <c r="AHC62" i="8"/>
  <c r="AHB62" i="8"/>
  <c r="AHA62" i="8"/>
  <c r="AGZ62" i="8"/>
  <c r="AGY62" i="8"/>
  <c r="AGX62" i="8"/>
  <c r="AGW62" i="8"/>
  <c r="AGV62" i="8"/>
  <c r="AGU62" i="8"/>
  <c r="AGT62" i="8"/>
  <c r="AGS62" i="8"/>
  <c r="AGR62" i="8"/>
  <c r="AGQ62" i="8"/>
  <c r="AGP62" i="8"/>
  <c r="AGO62" i="8"/>
  <c r="AGN62" i="8"/>
  <c r="AGM62" i="8"/>
  <c r="AGL62" i="8"/>
  <c r="AGK62" i="8"/>
  <c r="AGJ62" i="8"/>
  <c r="AGI62" i="8"/>
  <c r="AGH62" i="8"/>
  <c r="AGG62" i="8"/>
  <c r="AGF62" i="8"/>
  <c r="AGE62" i="8"/>
  <c r="AGD62" i="8"/>
  <c r="AGC62" i="8"/>
  <c r="AGB62" i="8"/>
  <c r="AGA62" i="8"/>
  <c r="AFZ62" i="8"/>
  <c r="AFY62" i="8"/>
  <c r="AFX62" i="8"/>
  <c r="AFW62" i="8"/>
  <c r="AFV62" i="8"/>
  <c r="AFU62" i="8"/>
  <c r="AFT62" i="8"/>
  <c r="AFS62" i="8"/>
  <c r="AFR62" i="8"/>
  <c r="AFQ62" i="8"/>
  <c r="AFP62" i="8"/>
  <c r="AFO62" i="8"/>
  <c r="AFN62" i="8"/>
  <c r="AFM62" i="8"/>
  <c r="AFL62" i="8"/>
  <c r="AFK62" i="8"/>
  <c r="AFJ62" i="8"/>
  <c r="AFI62" i="8"/>
  <c r="AFH62" i="8"/>
  <c r="AFG62" i="8"/>
  <c r="AFF62" i="8"/>
  <c r="AFE62" i="8"/>
  <c r="AFD62" i="8"/>
  <c r="AFC62" i="8"/>
  <c r="AFB62" i="8"/>
  <c r="AFA62" i="8"/>
  <c r="AEZ62" i="8"/>
  <c r="AEY62" i="8"/>
  <c r="AEX62" i="8"/>
  <c r="AEW62" i="8"/>
  <c r="AEV62" i="8"/>
  <c r="AEU62" i="8"/>
  <c r="AET62" i="8"/>
  <c r="AES62" i="8"/>
  <c r="AER62" i="8"/>
  <c r="AEQ62" i="8"/>
  <c r="AEP62" i="8"/>
  <c r="AEO62" i="8"/>
  <c r="AEN62" i="8"/>
  <c r="AEM62" i="8"/>
  <c r="AEL62" i="8"/>
  <c r="AEK62" i="8"/>
  <c r="AEJ62" i="8"/>
  <c r="AEI62" i="8"/>
  <c r="AEH62" i="8"/>
  <c r="AEG62" i="8"/>
  <c r="AEF62" i="8"/>
  <c r="AEE62" i="8"/>
  <c r="AED62" i="8"/>
  <c r="AEC62" i="8"/>
  <c r="AEB62" i="8"/>
  <c r="AEA62" i="8"/>
  <c r="ADZ62" i="8"/>
  <c r="ADY62" i="8"/>
  <c r="ADX62" i="8"/>
  <c r="ADW62" i="8"/>
  <c r="ADV62" i="8"/>
  <c r="ADU62" i="8"/>
  <c r="ADT62" i="8"/>
  <c r="ADS62" i="8"/>
  <c r="ADR62" i="8"/>
  <c r="ADQ62" i="8"/>
  <c r="ADP62" i="8"/>
  <c r="ADO62" i="8"/>
  <c r="ADN62" i="8"/>
  <c r="ADM62" i="8"/>
  <c r="ADL62" i="8"/>
  <c r="ADK62" i="8"/>
  <c r="ADJ62" i="8"/>
  <c r="ADI62" i="8"/>
  <c r="ADH62" i="8"/>
  <c r="ADG62" i="8"/>
  <c r="ADF62" i="8"/>
  <c r="ADE62" i="8"/>
  <c r="ADD62" i="8"/>
  <c r="ADC62" i="8"/>
  <c r="ADB62" i="8"/>
  <c r="ADA62" i="8"/>
  <c r="ACZ62" i="8"/>
  <c r="ACY62" i="8"/>
  <c r="ACX62" i="8"/>
  <c r="ACW62" i="8"/>
  <c r="ACV62" i="8"/>
  <c r="ACU62" i="8"/>
  <c r="ACT62" i="8"/>
  <c r="ACS62" i="8"/>
  <c r="ACR62" i="8"/>
  <c r="ACQ62" i="8"/>
  <c r="ACP62" i="8"/>
  <c r="ACO62" i="8"/>
  <c r="ACN62" i="8"/>
  <c r="ACM62" i="8"/>
  <c r="ACL62" i="8"/>
  <c r="ACK62" i="8"/>
  <c r="ACJ62" i="8"/>
  <c r="ACI62" i="8"/>
  <c r="ACH62" i="8"/>
  <c r="ACG62" i="8"/>
  <c r="ACF62" i="8"/>
  <c r="ACE62" i="8"/>
  <c r="ACD62" i="8"/>
  <c r="ACC62" i="8"/>
  <c r="ACB62" i="8"/>
  <c r="ACA62" i="8"/>
  <c r="ABZ62" i="8"/>
  <c r="ABY62" i="8"/>
  <c r="ABX62" i="8"/>
  <c r="ABW62" i="8"/>
  <c r="ABV62" i="8"/>
  <c r="ABU62" i="8"/>
  <c r="ABT62" i="8"/>
  <c r="ABS62" i="8"/>
  <c r="ABR62" i="8"/>
  <c r="ABQ62" i="8"/>
  <c r="ABP62" i="8"/>
  <c r="ABO62" i="8"/>
  <c r="ABN62" i="8"/>
  <c r="ABM62" i="8"/>
  <c r="ABL62" i="8"/>
  <c r="ABK62" i="8"/>
  <c r="ABJ62" i="8"/>
  <c r="ABI62" i="8"/>
  <c r="ABH62" i="8"/>
  <c r="ABG62" i="8"/>
  <c r="ABF62" i="8"/>
  <c r="ABE62" i="8"/>
  <c r="ABD62" i="8"/>
  <c r="ABC62" i="8"/>
  <c r="ABB62" i="8"/>
  <c r="ABA62" i="8"/>
  <c r="AAZ62" i="8"/>
  <c r="AAY62" i="8"/>
  <c r="AAX62" i="8"/>
  <c r="AAW62" i="8"/>
  <c r="AAV62" i="8"/>
  <c r="AAU62" i="8"/>
  <c r="AAT62" i="8"/>
  <c r="AAS62" i="8"/>
  <c r="AAR62" i="8"/>
  <c r="AAQ62" i="8"/>
  <c r="AAP62" i="8"/>
  <c r="AAO62" i="8"/>
  <c r="AAN62" i="8"/>
  <c r="AAM62" i="8"/>
  <c r="AAL62" i="8"/>
  <c r="AAK62" i="8"/>
  <c r="AAJ62" i="8"/>
  <c r="AAI62" i="8"/>
  <c r="AAH62" i="8"/>
  <c r="AAG62" i="8"/>
  <c r="AAF62" i="8"/>
  <c r="AAE62" i="8"/>
  <c r="AAD62" i="8"/>
  <c r="AAC62" i="8"/>
  <c r="AAB62" i="8"/>
  <c r="AAA62" i="8"/>
  <c r="ZZ62" i="8"/>
  <c r="ZY62" i="8"/>
  <c r="ZX62" i="8"/>
  <c r="ZW62" i="8"/>
  <c r="ZV62" i="8"/>
  <c r="ZU62" i="8"/>
  <c r="ZT62" i="8"/>
  <c r="ZS62" i="8"/>
  <c r="ZR62" i="8"/>
  <c r="ZQ62" i="8"/>
  <c r="ZP62" i="8"/>
  <c r="ZO62" i="8"/>
  <c r="ZN62" i="8"/>
  <c r="ZM62" i="8"/>
  <c r="ZL62" i="8"/>
  <c r="ZK62" i="8"/>
  <c r="ZJ62" i="8"/>
  <c r="ZI62" i="8"/>
  <c r="ZH62" i="8"/>
  <c r="ZG62" i="8"/>
  <c r="ZF62" i="8"/>
  <c r="ZE62" i="8"/>
  <c r="ZD62" i="8"/>
  <c r="ZC62" i="8"/>
  <c r="ZB62" i="8"/>
  <c r="ZA62" i="8"/>
  <c r="YZ62" i="8"/>
  <c r="YY62" i="8"/>
  <c r="YX62" i="8"/>
  <c r="YW62" i="8"/>
  <c r="YV62" i="8"/>
  <c r="YU62" i="8"/>
  <c r="YT62" i="8"/>
  <c r="YS62" i="8"/>
  <c r="YR62" i="8"/>
  <c r="YQ62" i="8"/>
  <c r="YP62" i="8"/>
  <c r="YO62" i="8"/>
  <c r="YN62" i="8"/>
  <c r="YM62" i="8"/>
  <c r="YL62" i="8"/>
  <c r="YK62" i="8"/>
  <c r="YJ62" i="8"/>
  <c r="YI62" i="8"/>
  <c r="YH62" i="8"/>
  <c r="YG62" i="8"/>
  <c r="YF62" i="8"/>
  <c r="YE62" i="8"/>
  <c r="YD62" i="8"/>
  <c r="YC62" i="8"/>
  <c r="YB62" i="8"/>
  <c r="YA62" i="8"/>
  <c r="XZ62" i="8"/>
  <c r="XY62" i="8"/>
  <c r="XX62" i="8"/>
  <c r="XW62" i="8"/>
  <c r="XV62" i="8"/>
  <c r="XU62" i="8"/>
  <c r="XT62" i="8"/>
  <c r="XS62" i="8"/>
  <c r="XR62" i="8"/>
  <c r="XQ62" i="8"/>
  <c r="XP62" i="8"/>
  <c r="XO62" i="8"/>
  <c r="XN62" i="8"/>
  <c r="XM62" i="8"/>
  <c r="XL62" i="8"/>
  <c r="XK62" i="8"/>
  <c r="XJ62" i="8"/>
  <c r="XI62" i="8"/>
  <c r="XH62" i="8"/>
  <c r="XG62" i="8"/>
  <c r="XF62" i="8"/>
  <c r="XE62" i="8"/>
  <c r="XD62" i="8"/>
  <c r="XC62" i="8"/>
  <c r="XB62" i="8"/>
  <c r="XA62" i="8"/>
  <c r="WZ62" i="8"/>
  <c r="WY62" i="8"/>
  <c r="WX62" i="8"/>
  <c r="WW62" i="8"/>
  <c r="WV62" i="8"/>
  <c r="WU62" i="8"/>
  <c r="WT62" i="8"/>
  <c r="WS62" i="8"/>
  <c r="WR62" i="8"/>
  <c r="WQ62" i="8"/>
  <c r="WP62" i="8"/>
  <c r="WO62" i="8"/>
  <c r="WN62" i="8"/>
  <c r="WM62" i="8"/>
  <c r="WL62" i="8"/>
  <c r="WK62" i="8"/>
  <c r="WJ62" i="8"/>
  <c r="WI62" i="8"/>
  <c r="WH62" i="8"/>
  <c r="WG62" i="8"/>
  <c r="WF62" i="8"/>
  <c r="WE62" i="8"/>
  <c r="WD62" i="8"/>
  <c r="WC62" i="8"/>
  <c r="WB62" i="8"/>
  <c r="WA62" i="8"/>
  <c r="VZ62" i="8"/>
  <c r="VY62" i="8"/>
  <c r="VX62" i="8"/>
  <c r="VW62" i="8"/>
  <c r="VV62" i="8"/>
  <c r="VU62" i="8"/>
  <c r="VT62" i="8"/>
  <c r="VS62" i="8"/>
  <c r="VR62" i="8"/>
  <c r="VQ62" i="8"/>
  <c r="VP62" i="8"/>
  <c r="VO62" i="8"/>
  <c r="VN62" i="8"/>
  <c r="VM62" i="8"/>
  <c r="VL62" i="8"/>
  <c r="VK62" i="8"/>
  <c r="VJ62" i="8"/>
  <c r="VI62" i="8"/>
  <c r="VH62" i="8"/>
  <c r="VG62" i="8"/>
  <c r="VF62" i="8"/>
  <c r="VE62" i="8"/>
  <c r="VD62" i="8"/>
  <c r="VC62" i="8"/>
  <c r="VB62" i="8"/>
  <c r="VA62" i="8"/>
  <c r="UZ62" i="8"/>
  <c r="UY62" i="8"/>
  <c r="UX62" i="8"/>
  <c r="UW62" i="8"/>
  <c r="UV62" i="8"/>
  <c r="UU62" i="8"/>
  <c r="UT62" i="8"/>
  <c r="US62" i="8"/>
  <c r="UR62" i="8"/>
  <c r="UQ62" i="8"/>
  <c r="UP62" i="8"/>
  <c r="UO62" i="8"/>
  <c r="UN62" i="8"/>
  <c r="UM62" i="8"/>
  <c r="UL62" i="8"/>
  <c r="UK62" i="8"/>
  <c r="UJ62" i="8"/>
  <c r="UI62" i="8"/>
  <c r="UH62" i="8"/>
  <c r="UG62" i="8"/>
  <c r="UF62" i="8"/>
  <c r="UE62" i="8"/>
  <c r="UD62" i="8"/>
  <c r="UC62" i="8"/>
  <c r="UB62" i="8"/>
  <c r="UA62" i="8"/>
  <c r="TZ62" i="8"/>
  <c r="TY62" i="8"/>
  <c r="TX62" i="8"/>
  <c r="TW62" i="8"/>
  <c r="TV62" i="8"/>
  <c r="TU62" i="8"/>
  <c r="TT62" i="8"/>
  <c r="TS62" i="8"/>
  <c r="TR62" i="8"/>
  <c r="TQ62" i="8"/>
  <c r="TP62" i="8"/>
  <c r="TO62" i="8"/>
  <c r="TN62" i="8"/>
  <c r="TM62" i="8"/>
  <c r="TL62" i="8"/>
  <c r="TK62" i="8"/>
  <c r="TJ62" i="8"/>
  <c r="TI62" i="8"/>
  <c r="TH62" i="8"/>
  <c r="TG62" i="8"/>
  <c r="TF62" i="8"/>
  <c r="TE62" i="8"/>
  <c r="TD62" i="8"/>
  <c r="TC62" i="8"/>
  <c r="TB62" i="8"/>
  <c r="TA62" i="8"/>
  <c r="SZ62" i="8"/>
  <c r="SY62" i="8"/>
  <c r="SX62" i="8"/>
  <c r="SW62" i="8"/>
  <c r="SV62" i="8"/>
  <c r="SU62" i="8"/>
  <c r="ST62" i="8"/>
  <c r="SS62" i="8"/>
  <c r="SR62" i="8"/>
  <c r="SQ62" i="8"/>
  <c r="SP62" i="8"/>
  <c r="SO62" i="8"/>
  <c r="SN62" i="8"/>
  <c r="SM62" i="8"/>
  <c r="SL62" i="8"/>
  <c r="SK62" i="8"/>
  <c r="SJ62" i="8"/>
  <c r="SI62" i="8"/>
  <c r="SH62" i="8"/>
  <c r="SG62" i="8"/>
  <c r="SF62" i="8"/>
  <c r="SE62" i="8"/>
  <c r="SD62" i="8"/>
  <c r="SC62" i="8"/>
  <c r="SB62" i="8"/>
  <c r="SA62" i="8"/>
  <c r="RZ62" i="8"/>
  <c r="RY62" i="8"/>
  <c r="RX62" i="8"/>
  <c r="RW62" i="8"/>
  <c r="RV62" i="8"/>
  <c r="RU62" i="8"/>
  <c r="RT62" i="8"/>
  <c r="RS62" i="8"/>
  <c r="RR62" i="8"/>
  <c r="RQ62" i="8"/>
  <c r="RP62" i="8"/>
  <c r="RO62" i="8"/>
  <c r="RN62" i="8"/>
  <c r="RM62" i="8"/>
  <c r="RL62" i="8"/>
  <c r="RK62" i="8"/>
  <c r="RJ62" i="8"/>
  <c r="RI62" i="8"/>
  <c r="RH62" i="8"/>
  <c r="RG62" i="8"/>
  <c r="RF62" i="8"/>
  <c r="RE62" i="8"/>
  <c r="RD62" i="8"/>
  <c r="RC62" i="8"/>
  <c r="RB62" i="8"/>
  <c r="RA62" i="8"/>
  <c r="QZ62" i="8"/>
  <c r="QY62" i="8"/>
  <c r="QX62" i="8"/>
  <c r="QW62" i="8"/>
  <c r="QV62" i="8"/>
  <c r="QU62" i="8"/>
  <c r="QT62" i="8"/>
  <c r="QS62" i="8"/>
  <c r="QR62" i="8"/>
  <c r="QQ62" i="8"/>
  <c r="QP62" i="8"/>
  <c r="QO62" i="8"/>
  <c r="QN62" i="8"/>
  <c r="QM62" i="8"/>
  <c r="QL62" i="8"/>
  <c r="QK62" i="8"/>
  <c r="QJ62" i="8"/>
  <c r="QI62" i="8"/>
  <c r="QH62" i="8"/>
  <c r="QG62" i="8"/>
  <c r="QF62" i="8"/>
  <c r="QE62" i="8"/>
  <c r="QD62" i="8"/>
  <c r="QC62" i="8"/>
  <c r="QB62" i="8"/>
  <c r="QA62" i="8"/>
  <c r="PZ62" i="8"/>
  <c r="PY62" i="8"/>
  <c r="PX62" i="8"/>
  <c r="PW62" i="8"/>
  <c r="PV62" i="8"/>
  <c r="PU62" i="8"/>
  <c r="PT62" i="8"/>
  <c r="PS62" i="8"/>
  <c r="PR62" i="8"/>
  <c r="PQ62" i="8"/>
  <c r="PP62" i="8"/>
  <c r="PO62" i="8"/>
  <c r="PN62" i="8"/>
  <c r="PM62" i="8"/>
  <c r="PL62" i="8"/>
  <c r="PK62" i="8"/>
  <c r="PJ62" i="8"/>
  <c r="PI62" i="8"/>
  <c r="PH62" i="8"/>
  <c r="PG62" i="8"/>
  <c r="PF62" i="8"/>
  <c r="PE62" i="8"/>
  <c r="PD62" i="8"/>
  <c r="PC62" i="8"/>
  <c r="PB62" i="8"/>
  <c r="PA62" i="8"/>
  <c r="OZ62" i="8"/>
  <c r="OY62" i="8"/>
  <c r="OX62" i="8"/>
  <c r="OW62" i="8"/>
  <c r="OV62" i="8"/>
  <c r="OU62" i="8"/>
  <c r="OT62" i="8"/>
  <c r="OS62" i="8"/>
  <c r="OR62" i="8"/>
  <c r="OQ62" i="8"/>
  <c r="OP62" i="8"/>
  <c r="OO62" i="8"/>
  <c r="ON62" i="8"/>
  <c r="OM62" i="8"/>
  <c r="OL62" i="8"/>
  <c r="OK62" i="8"/>
  <c r="OJ62" i="8"/>
  <c r="OI62" i="8"/>
  <c r="OH62" i="8"/>
  <c r="OG62" i="8"/>
  <c r="OF62" i="8"/>
  <c r="OE62" i="8"/>
  <c r="OD62" i="8"/>
  <c r="OC62" i="8"/>
  <c r="OB62" i="8"/>
  <c r="OA62" i="8"/>
  <c r="NZ62" i="8"/>
  <c r="NY62" i="8"/>
  <c r="NX62" i="8"/>
  <c r="NW62" i="8"/>
  <c r="NV62" i="8"/>
  <c r="NU62" i="8"/>
  <c r="NT62" i="8"/>
  <c r="NS62" i="8"/>
  <c r="NR62" i="8"/>
  <c r="NQ62" i="8"/>
  <c r="NP62" i="8"/>
  <c r="NO62" i="8"/>
  <c r="NN62" i="8"/>
  <c r="NM62" i="8"/>
  <c r="NL62" i="8"/>
  <c r="NK62" i="8"/>
  <c r="NJ62" i="8"/>
  <c r="NI62" i="8"/>
  <c r="NH62" i="8"/>
  <c r="NG62" i="8"/>
  <c r="NF62" i="8"/>
  <c r="NE62" i="8"/>
  <c r="ND62" i="8"/>
  <c r="NC62" i="8"/>
  <c r="NB62" i="8"/>
  <c r="NA62" i="8"/>
  <c r="MZ62" i="8"/>
  <c r="MY62" i="8"/>
  <c r="MX62" i="8"/>
  <c r="MW62" i="8"/>
  <c r="MV62" i="8"/>
  <c r="MU62" i="8"/>
  <c r="MT62" i="8"/>
  <c r="MS62" i="8"/>
  <c r="MR62" i="8"/>
  <c r="MQ62" i="8"/>
  <c r="MP62" i="8"/>
  <c r="MO62" i="8"/>
  <c r="MN62" i="8"/>
  <c r="MM62" i="8"/>
  <c r="ML62" i="8"/>
  <c r="MK62" i="8"/>
  <c r="MJ62" i="8"/>
  <c r="MI62" i="8"/>
  <c r="MH62" i="8"/>
  <c r="MG62" i="8"/>
  <c r="MF62" i="8"/>
  <c r="ME62" i="8"/>
  <c r="MD62" i="8"/>
  <c r="MC62" i="8"/>
  <c r="MB62" i="8"/>
  <c r="MA62" i="8"/>
  <c r="LZ62" i="8"/>
  <c r="LY62" i="8"/>
  <c r="LX62" i="8"/>
  <c r="LW62" i="8"/>
  <c r="LV62" i="8"/>
  <c r="LU62" i="8"/>
  <c r="LT62" i="8"/>
  <c r="LS62" i="8"/>
  <c r="LR62" i="8"/>
  <c r="LQ62" i="8"/>
  <c r="LP62" i="8"/>
  <c r="LO62" i="8"/>
  <c r="LN62" i="8"/>
  <c r="LM62" i="8"/>
  <c r="LL62" i="8"/>
  <c r="LK62" i="8"/>
  <c r="LJ62" i="8"/>
  <c r="LI62" i="8"/>
  <c r="LH62" i="8"/>
  <c r="LG62" i="8"/>
  <c r="LF62" i="8"/>
  <c r="LE62" i="8"/>
  <c r="LD62" i="8"/>
  <c r="LC62" i="8"/>
  <c r="LB62" i="8"/>
  <c r="LA62" i="8"/>
  <c r="KZ62" i="8"/>
  <c r="KY62" i="8"/>
  <c r="KX62" i="8"/>
  <c r="KW62" i="8"/>
  <c r="KV62" i="8"/>
  <c r="KU62" i="8"/>
  <c r="KT62" i="8"/>
  <c r="KS62" i="8"/>
  <c r="KR62" i="8"/>
  <c r="KQ62" i="8"/>
  <c r="KP62" i="8"/>
  <c r="KO62" i="8"/>
  <c r="KN62" i="8"/>
  <c r="KM62" i="8"/>
  <c r="KL62" i="8"/>
  <c r="KK62" i="8"/>
  <c r="KJ62" i="8"/>
  <c r="KI62" i="8"/>
  <c r="KH62" i="8"/>
  <c r="KG62" i="8"/>
  <c r="KF62" i="8"/>
  <c r="KE62" i="8"/>
  <c r="KD62" i="8"/>
  <c r="KC62" i="8"/>
  <c r="KB62" i="8"/>
  <c r="KA62" i="8"/>
  <c r="JZ62" i="8"/>
  <c r="JY62" i="8"/>
  <c r="JX62" i="8"/>
  <c r="JW62" i="8"/>
  <c r="JV62" i="8"/>
  <c r="JU62" i="8"/>
  <c r="JT62" i="8"/>
  <c r="JS62" i="8"/>
  <c r="JR62" i="8"/>
  <c r="JQ62" i="8"/>
  <c r="JP62" i="8"/>
  <c r="JO62" i="8"/>
  <c r="JN62" i="8"/>
  <c r="JM62" i="8"/>
  <c r="JL62" i="8"/>
  <c r="JK62" i="8"/>
  <c r="JJ62" i="8"/>
  <c r="JI62" i="8"/>
  <c r="JH62" i="8"/>
  <c r="JG62" i="8"/>
  <c r="JF62" i="8"/>
  <c r="JE62" i="8"/>
  <c r="JD62" i="8"/>
  <c r="JC62" i="8"/>
  <c r="JB62" i="8"/>
  <c r="JA62" i="8"/>
  <c r="IZ62" i="8"/>
  <c r="IY62" i="8"/>
  <c r="IX62" i="8"/>
  <c r="IW62" i="8"/>
  <c r="IV62" i="8"/>
  <c r="IU62" i="8"/>
  <c r="IT62" i="8"/>
  <c r="IS62" i="8"/>
  <c r="IR62" i="8"/>
  <c r="IQ62" i="8"/>
  <c r="IP62" i="8"/>
  <c r="IO62" i="8"/>
  <c r="IN62" i="8"/>
  <c r="IM62" i="8"/>
  <c r="IL62" i="8"/>
  <c r="IK62" i="8"/>
  <c r="IJ62" i="8"/>
  <c r="II62" i="8"/>
  <c r="IH62" i="8"/>
  <c r="IG62" i="8"/>
  <c r="IF62" i="8"/>
  <c r="IE62" i="8"/>
  <c r="ID62" i="8"/>
  <c r="IC62" i="8"/>
  <c r="IB62" i="8"/>
  <c r="IA62" i="8"/>
  <c r="HZ62" i="8"/>
  <c r="HY62" i="8"/>
  <c r="HX62" i="8"/>
  <c r="HW62" i="8"/>
  <c r="HV62" i="8"/>
  <c r="HU62" i="8"/>
  <c r="HT62" i="8"/>
  <c r="HS62" i="8"/>
  <c r="HR62" i="8"/>
  <c r="HQ62" i="8"/>
  <c r="HP62" i="8"/>
  <c r="HO62" i="8"/>
  <c r="HN62" i="8"/>
  <c r="HM62" i="8"/>
  <c r="HL62" i="8"/>
  <c r="HK62" i="8"/>
  <c r="HJ62" i="8"/>
  <c r="HI62" i="8"/>
  <c r="HH62" i="8"/>
  <c r="HG62" i="8"/>
  <c r="HF62" i="8"/>
  <c r="HE62" i="8"/>
  <c r="HD62" i="8"/>
  <c r="HC62" i="8"/>
  <c r="HB62" i="8"/>
  <c r="HA62" i="8"/>
  <c r="GZ62" i="8"/>
  <c r="GY62" i="8"/>
  <c r="GX62" i="8"/>
  <c r="GW62" i="8"/>
  <c r="GV62" i="8"/>
  <c r="GU62" i="8"/>
  <c r="GT62" i="8"/>
  <c r="GS62" i="8"/>
  <c r="GR62" i="8"/>
  <c r="GQ62" i="8"/>
  <c r="GP62" i="8"/>
  <c r="GO62" i="8"/>
  <c r="GN62" i="8"/>
  <c r="GM62" i="8"/>
  <c r="GL62" i="8"/>
  <c r="GK62" i="8"/>
  <c r="GJ62" i="8"/>
  <c r="GI62" i="8"/>
  <c r="GH62" i="8"/>
  <c r="GG62" i="8"/>
  <c r="GF62" i="8"/>
  <c r="GE62" i="8"/>
  <c r="GD62" i="8"/>
  <c r="GC62" i="8"/>
  <c r="GB62" i="8"/>
  <c r="GA62" i="8"/>
  <c r="FZ62" i="8"/>
  <c r="FY62" i="8"/>
  <c r="FX62" i="8"/>
  <c r="FW62" i="8"/>
  <c r="FV62" i="8"/>
  <c r="FU62" i="8"/>
  <c r="FT62" i="8"/>
  <c r="FS62" i="8"/>
  <c r="FR62" i="8"/>
  <c r="FQ62" i="8"/>
  <c r="FP62" i="8"/>
  <c r="FO62" i="8"/>
  <c r="FN62" i="8"/>
  <c r="FM62" i="8"/>
  <c r="FL62" i="8"/>
  <c r="FK62" i="8"/>
  <c r="FJ62" i="8"/>
  <c r="FI62" i="8"/>
  <c r="FH62" i="8"/>
  <c r="FG62" i="8"/>
  <c r="FF62" i="8"/>
  <c r="FE62" i="8"/>
  <c r="FD62" i="8"/>
  <c r="FC62" i="8"/>
  <c r="FB62" i="8"/>
  <c r="FA62" i="8"/>
  <c r="EZ62" i="8"/>
  <c r="EY62" i="8"/>
  <c r="EX62" i="8"/>
  <c r="EW62" i="8"/>
  <c r="EV62" i="8"/>
  <c r="EU62" i="8"/>
  <c r="ET62" i="8"/>
  <c r="ES62" i="8"/>
  <c r="ER62" i="8"/>
  <c r="EQ62" i="8"/>
  <c r="EP62" i="8"/>
  <c r="EO62" i="8"/>
  <c r="EN62" i="8"/>
  <c r="EM62" i="8"/>
  <c r="EL62" i="8"/>
  <c r="EK62" i="8"/>
  <c r="EJ62" i="8"/>
  <c r="EI62" i="8"/>
  <c r="EH62" i="8"/>
  <c r="EG62" i="8"/>
  <c r="EF62" i="8"/>
  <c r="EE62" i="8"/>
  <c r="ED62" i="8"/>
  <c r="EC62" i="8"/>
  <c r="EB62" i="8"/>
  <c r="EA62" i="8"/>
  <c r="DZ62" i="8"/>
  <c r="DY62" i="8"/>
  <c r="DX62" i="8"/>
  <c r="DW62" i="8"/>
  <c r="DV62" i="8"/>
  <c r="DU62" i="8"/>
  <c r="DT62" i="8"/>
  <c r="DS62" i="8"/>
  <c r="DR62" i="8"/>
  <c r="DQ62" i="8"/>
  <c r="DP62" i="8"/>
  <c r="DO62" i="8"/>
  <c r="DN62" i="8"/>
  <c r="DM62" i="8"/>
  <c r="DL62" i="8"/>
  <c r="DK62" i="8"/>
  <c r="DJ62" i="8"/>
  <c r="DI62" i="8"/>
  <c r="DH62" i="8"/>
  <c r="DG62" i="8"/>
  <c r="DF62" i="8"/>
  <c r="DE62" i="8"/>
  <c r="DD62" i="8"/>
  <c r="DC62" i="8"/>
  <c r="DB62" i="8"/>
  <c r="DA62" i="8"/>
  <c r="CZ62" i="8"/>
  <c r="CY62" i="8"/>
  <c r="C41" i="8" l="1"/>
  <c r="C40" i="8"/>
  <c r="C39" i="8"/>
  <c r="C37" i="8" l="1"/>
  <c r="C42" i="8"/>
  <c r="B22" i="8" l="1"/>
  <c r="B23" i="8" s="1"/>
  <c r="B31" i="8" s="1"/>
  <c r="AK64" i="7" l="1"/>
  <c r="AK66" i="7"/>
  <c r="AK65" i="7"/>
  <c r="AW64" i="7"/>
  <c r="AW65" i="7"/>
  <c r="AW66" i="7"/>
  <c r="D64" i="7"/>
  <c r="E64" i="7" s="1"/>
  <c r="F64" i="7" s="1"/>
  <c r="G64" i="7" s="1"/>
  <c r="H64" i="7" s="1"/>
  <c r="I64" i="7" s="1"/>
  <c r="J64" i="7" s="1"/>
  <c r="K64" i="7" s="1"/>
  <c r="L64" i="7" s="1"/>
  <c r="M64" i="7" s="1"/>
  <c r="N64" i="7" s="1"/>
  <c r="O64" i="7" s="1"/>
  <c r="P64" i="7" s="1"/>
  <c r="Q64" i="7" s="1"/>
  <c r="R64" i="7" s="1"/>
  <c r="S64" i="7" s="1"/>
  <c r="T64" i="7" s="1"/>
  <c r="U64" i="7" s="1"/>
  <c r="V64" i="7" s="1"/>
  <c r="W64" i="7" s="1"/>
  <c r="X64" i="7" s="1"/>
  <c r="Y64" i="7" s="1"/>
  <c r="Z64" i="7" s="1"/>
  <c r="AA64" i="7" s="1"/>
  <c r="D66" i="7"/>
  <c r="E66" i="7" s="1"/>
  <c r="F66" i="7" s="1"/>
  <c r="G66" i="7" s="1"/>
  <c r="H66" i="7" s="1"/>
  <c r="I66" i="7" s="1"/>
  <c r="J66" i="7" s="1"/>
  <c r="K66" i="7" s="1"/>
  <c r="L66" i="7" s="1"/>
  <c r="M66" i="7" s="1"/>
  <c r="N66" i="7" s="1"/>
  <c r="O66" i="7" s="1"/>
  <c r="P66" i="7" s="1"/>
  <c r="Q66" i="7" s="1"/>
  <c r="R66" i="7" s="1"/>
  <c r="S66" i="7" s="1"/>
  <c r="T66" i="7" s="1"/>
  <c r="U66" i="7" s="1"/>
  <c r="V66" i="7" s="1"/>
  <c r="W66" i="7" s="1"/>
  <c r="X66" i="7" s="1"/>
  <c r="Y66" i="7" s="1"/>
  <c r="Z66" i="7" s="1"/>
  <c r="AA66" i="7" s="1"/>
  <c r="D65" i="7"/>
  <c r="D83" i="8" s="1"/>
  <c r="AB64" i="7"/>
  <c r="AB65" i="7"/>
  <c r="AB66" i="7"/>
  <c r="AF64" i="7"/>
  <c r="AF66" i="7"/>
  <c r="AF65" i="7"/>
  <c r="AJ64" i="7"/>
  <c r="AJ65" i="7"/>
  <c r="AJ66" i="7"/>
  <c r="AN64" i="7"/>
  <c r="AN66" i="7"/>
  <c r="AN65" i="7"/>
  <c r="AR64" i="7"/>
  <c r="AR65" i="7"/>
  <c r="AR66" i="7"/>
  <c r="AV64" i="7"/>
  <c r="AV66" i="7"/>
  <c r="AV65" i="7"/>
  <c r="AZ64" i="7"/>
  <c r="AZ65" i="7"/>
  <c r="AZ66" i="7"/>
  <c r="BD64" i="7"/>
  <c r="BD66" i="7"/>
  <c r="BD65" i="7"/>
  <c r="BH64" i="7"/>
  <c r="BH65" i="7"/>
  <c r="BH66" i="7"/>
  <c r="BL64" i="7"/>
  <c r="BL66" i="7"/>
  <c r="BL65" i="7"/>
  <c r="BP64" i="7"/>
  <c r="BP65" i="7"/>
  <c r="BP66" i="7"/>
  <c r="BT64" i="7"/>
  <c r="BT66" i="7"/>
  <c r="BT65" i="7"/>
  <c r="BX64" i="7"/>
  <c r="BX65" i="7"/>
  <c r="BX66" i="7"/>
  <c r="CB64" i="7"/>
  <c r="CB66" i="7"/>
  <c r="CB65" i="7"/>
  <c r="CF64" i="7"/>
  <c r="CF66" i="7"/>
  <c r="CF65" i="7"/>
  <c r="CJ64" i="7"/>
  <c r="CJ65" i="7"/>
  <c r="CJ66" i="7"/>
  <c r="CN64" i="7"/>
  <c r="CN66" i="7"/>
  <c r="CN65" i="7"/>
  <c r="CR64" i="7"/>
  <c r="CR65" i="7"/>
  <c r="CR66" i="7"/>
  <c r="CV64" i="7"/>
  <c r="CV66" i="7"/>
  <c r="CV65" i="7"/>
  <c r="AC64" i="7"/>
  <c r="AC65" i="7"/>
  <c r="AC66" i="7"/>
  <c r="AS64" i="7"/>
  <c r="AS66" i="7"/>
  <c r="AS65" i="7"/>
  <c r="BE64" i="7"/>
  <c r="BE65" i="7"/>
  <c r="BE66" i="7"/>
  <c r="BQ64" i="7"/>
  <c r="BQ66" i="7"/>
  <c r="BQ65" i="7"/>
  <c r="CC64" i="7"/>
  <c r="CC65" i="7"/>
  <c r="CC66" i="7"/>
  <c r="CK64" i="7"/>
  <c r="CK66" i="7"/>
  <c r="CK65" i="7"/>
  <c r="CW64" i="7"/>
  <c r="CW66" i="7"/>
  <c r="CW65" i="7"/>
  <c r="AH64" i="7"/>
  <c r="AH65" i="7"/>
  <c r="AH66" i="7"/>
  <c r="AP64" i="7"/>
  <c r="AP65" i="7"/>
  <c r="AP66" i="7"/>
  <c r="AT64" i="7"/>
  <c r="AT65" i="7"/>
  <c r="AT66" i="7"/>
  <c r="AX64" i="7"/>
  <c r="AX65" i="7"/>
  <c r="AX66" i="7"/>
  <c r="BB64" i="7"/>
  <c r="BB65" i="7"/>
  <c r="BB66" i="7"/>
  <c r="BF64" i="7"/>
  <c r="BF65" i="7"/>
  <c r="BF66" i="7"/>
  <c r="BJ64" i="7"/>
  <c r="BJ65" i="7"/>
  <c r="BJ66" i="7"/>
  <c r="BN64" i="7"/>
  <c r="BN65" i="7"/>
  <c r="BN66" i="7"/>
  <c r="BR64" i="7"/>
  <c r="BR65" i="7"/>
  <c r="BR66" i="7"/>
  <c r="BV64" i="7"/>
  <c r="BV65" i="7"/>
  <c r="BV66" i="7"/>
  <c r="BZ64" i="7"/>
  <c r="BZ65" i="7"/>
  <c r="BZ66" i="7"/>
  <c r="CD64" i="7"/>
  <c r="CD65" i="7"/>
  <c r="CD66" i="7"/>
  <c r="CH64" i="7"/>
  <c r="CH65" i="7"/>
  <c r="CH66" i="7"/>
  <c r="CL64" i="7"/>
  <c r="CL65" i="7"/>
  <c r="CL66" i="7"/>
  <c r="CP64" i="7"/>
  <c r="CP65" i="7"/>
  <c r="CP66" i="7"/>
  <c r="CT64" i="7"/>
  <c r="CT65" i="7"/>
  <c r="CT66" i="7"/>
  <c r="CX64" i="7"/>
  <c r="CX65" i="7"/>
  <c r="CX66" i="7"/>
  <c r="AG64" i="7"/>
  <c r="AG65" i="7"/>
  <c r="AG66" i="7"/>
  <c r="AO64" i="7"/>
  <c r="AO65" i="7"/>
  <c r="AO66" i="7"/>
  <c r="BA64" i="7"/>
  <c r="BA66" i="7"/>
  <c r="BA65" i="7"/>
  <c r="BI64" i="7"/>
  <c r="BI66" i="7"/>
  <c r="BI65" i="7"/>
  <c r="BM64" i="7"/>
  <c r="BM65" i="7"/>
  <c r="BM66" i="7"/>
  <c r="BU64" i="7"/>
  <c r="BU65" i="7"/>
  <c r="BU66" i="7"/>
  <c r="BY64" i="7"/>
  <c r="BY66" i="7"/>
  <c r="BY65" i="7"/>
  <c r="CG64" i="7"/>
  <c r="CG66" i="7"/>
  <c r="CG65" i="7"/>
  <c r="CO64" i="7"/>
  <c r="CO66" i="7"/>
  <c r="CO65" i="7"/>
  <c r="CS64" i="7"/>
  <c r="CS66" i="7"/>
  <c r="CS65" i="7"/>
  <c r="AD64" i="7"/>
  <c r="AD65" i="7"/>
  <c r="AD66" i="7"/>
  <c r="AL64" i="7"/>
  <c r="AL65" i="7"/>
  <c r="AL66" i="7"/>
  <c r="AE64" i="7"/>
  <c r="AE66" i="7"/>
  <c r="AE65" i="7"/>
  <c r="AI64" i="7"/>
  <c r="AI66" i="7"/>
  <c r="AI65" i="7"/>
  <c r="AM64" i="7"/>
  <c r="AM66" i="7"/>
  <c r="AM65" i="7"/>
  <c r="AQ64" i="7"/>
  <c r="AQ66" i="7"/>
  <c r="AQ65" i="7"/>
  <c r="AU64" i="7"/>
  <c r="AU66" i="7"/>
  <c r="AU65" i="7"/>
  <c r="AY64" i="7"/>
  <c r="AY66" i="7"/>
  <c r="AY65" i="7"/>
  <c r="BC64" i="7"/>
  <c r="BC66" i="7"/>
  <c r="BC65" i="7"/>
  <c r="BG64" i="7"/>
  <c r="BG66" i="7"/>
  <c r="BG65" i="7"/>
  <c r="BK64" i="7"/>
  <c r="BK66" i="7"/>
  <c r="BK65" i="7"/>
  <c r="BO64" i="7"/>
  <c r="BO66" i="7"/>
  <c r="BO65" i="7"/>
  <c r="BS64" i="7"/>
  <c r="BS66" i="7"/>
  <c r="BS65" i="7"/>
  <c r="BW64" i="7"/>
  <c r="BW66" i="7"/>
  <c r="BW65" i="7"/>
  <c r="CA64" i="7"/>
  <c r="CA66" i="7"/>
  <c r="CA65" i="7"/>
  <c r="CE64" i="7"/>
  <c r="CE66" i="7"/>
  <c r="CE65" i="7"/>
  <c r="CI64" i="7"/>
  <c r="CI66" i="7"/>
  <c r="CI65" i="7"/>
  <c r="CM64" i="7"/>
  <c r="CM66" i="7"/>
  <c r="CM65" i="7"/>
  <c r="CQ64" i="7"/>
  <c r="CQ66" i="7"/>
  <c r="CQ65" i="7"/>
  <c r="CU64" i="7"/>
  <c r="CU66" i="7"/>
  <c r="CU65" i="7"/>
  <c r="AH84" i="8"/>
  <c r="AH83" i="8"/>
  <c r="AB84" i="8"/>
  <c r="AB83" i="8"/>
  <c r="AF84" i="8"/>
  <c r="AF83" i="8"/>
  <c r="AJ84" i="8"/>
  <c r="AJ83" i="8"/>
  <c r="AN84" i="8"/>
  <c r="AN83" i="8"/>
  <c r="AR84" i="8"/>
  <c r="AR83" i="8"/>
  <c r="AV84" i="8"/>
  <c r="AV83" i="8"/>
  <c r="AZ84" i="8"/>
  <c r="AZ83" i="8"/>
  <c r="BD84" i="8"/>
  <c r="BD83" i="8"/>
  <c r="BH84" i="8"/>
  <c r="BH83" i="8"/>
  <c r="BL84" i="8"/>
  <c r="BL83" i="8"/>
  <c r="BP84" i="8"/>
  <c r="BP83" i="8"/>
  <c r="BT84" i="8"/>
  <c r="BT83" i="8"/>
  <c r="BX84" i="8"/>
  <c r="BX83" i="8"/>
  <c r="CB84" i="8"/>
  <c r="CB83" i="8"/>
  <c r="CF84" i="8"/>
  <c r="CF83" i="8"/>
  <c r="CJ84" i="8"/>
  <c r="CJ83" i="8"/>
  <c r="CN84" i="8"/>
  <c r="CN83" i="8"/>
  <c r="CR84" i="8"/>
  <c r="CR83" i="8"/>
  <c r="CV84" i="8"/>
  <c r="CV83" i="8"/>
  <c r="AC84" i="8"/>
  <c r="AC83" i="8"/>
  <c r="AG84" i="8"/>
  <c r="AG83" i="8"/>
  <c r="AK84" i="8"/>
  <c r="AK83" i="8"/>
  <c r="AO84" i="8"/>
  <c r="AO83" i="8"/>
  <c r="AS84" i="8"/>
  <c r="AS83" i="8"/>
  <c r="AW84" i="8"/>
  <c r="AW83" i="8"/>
  <c r="BA84" i="8"/>
  <c r="BA83" i="8"/>
  <c r="BE84" i="8"/>
  <c r="BE83" i="8"/>
  <c r="BI84" i="8"/>
  <c r="BI83" i="8"/>
  <c r="BM84" i="8"/>
  <c r="BM83" i="8"/>
  <c r="BQ84" i="8"/>
  <c r="BQ83" i="8"/>
  <c r="BU84" i="8"/>
  <c r="BU83" i="8"/>
  <c r="BY84" i="8"/>
  <c r="BY83" i="8"/>
  <c r="CC84" i="8"/>
  <c r="CC83" i="8"/>
  <c r="CG84" i="8"/>
  <c r="CG83" i="8"/>
  <c r="CK84" i="8"/>
  <c r="CK83" i="8"/>
  <c r="CO84" i="8"/>
  <c r="CO83" i="8"/>
  <c r="CS84" i="8"/>
  <c r="CS83" i="8"/>
  <c r="CW84" i="8"/>
  <c r="CW83" i="8"/>
  <c r="AD84" i="8"/>
  <c r="AD83" i="8"/>
  <c r="AL84" i="8"/>
  <c r="AL83" i="8"/>
  <c r="AP84" i="8"/>
  <c r="AP83" i="8"/>
  <c r="AT84" i="8"/>
  <c r="AT83" i="8"/>
  <c r="AX84" i="8"/>
  <c r="AX83" i="8"/>
  <c r="BB84" i="8"/>
  <c r="BB83" i="8"/>
  <c r="BF84" i="8"/>
  <c r="BF83" i="8"/>
  <c r="BJ84" i="8"/>
  <c r="BJ83" i="8"/>
  <c r="BN84" i="8"/>
  <c r="BN83" i="8"/>
  <c r="BR84" i="8"/>
  <c r="BR83" i="8"/>
  <c r="BV84" i="8"/>
  <c r="BV83" i="8"/>
  <c r="BZ84" i="8"/>
  <c r="BZ83" i="8"/>
  <c r="CD84" i="8"/>
  <c r="CD83" i="8"/>
  <c r="CH84" i="8"/>
  <c r="CH83" i="8"/>
  <c r="CL84" i="8"/>
  <c r="CL83" i="8"/>
  <c r="CP84" i="8"/>
  <c r="CP83" i="8"/>
  <c r="CT84" i="8"/>
  <c r="CT83" i="8"/>
  <c r="CX84" i="8"/>
  <c r="CX83" i="8"/>
  <c r="C83" i="8"/>
  <c r="AE84" i="8"/>
  <c r="AE83" i="8"/>
  <c r="AI84" i="8"/>
  <c r="AI83" i="8"/>
  <c r="AM84" i="8"/>
  <c r="AM83" i="8"/>
  <c r="AQ84" i="8"/>
  <c r="AQ83" i="8"/>
  <c r="AU84" i="8"/>
  <c r="AU83" i="8"/>
  <c r="AY84" i="8"/>
  <c r="AY83" i="8"/>
  <c r="BC84" i="8"/>
  <c r="BC83" i="8"/>
  <c r="BG84" i="8"/>
  <c r="BG83" i="8"/>
  <c r="BK84" i="8"/>
  <c r="BK83" i="8"/>
  <c r="BO84" i="8"/>
  <c r="BO83" i="8"/>
  <c r="BS84" i="8"/>
  <c r="BS83" i="8"/>
  <c r="BW84" i="8"/>
  <c r="BW83" i="8"/>
  <c r="CA84" i="8"/>
  <c r="CA83" i="8"/>
  <c r="CE84" i="8"/>
  <c r="CE83" i="8"/>
  <c r="CI84" i="8"/>
  <c r="CI83" i="8"/>
  <c r="CM84" i="8"/>
  <c r="CM83" i="8"/>
  <c r="CQ84" i="8"/>
  <c r="CQ83" i="8"/>
  <c r="CU84" i="8"/>
  <c r="CU83" i="8"/>
  <c r="B84" i="8"/>
  <c r="C26" i="8"/>
  <c r="F28" i="8"/>
  <c r="J28" i="8"/>
  <c r="N28" i="8"/>
  <c r="R28" i="8"/>
  <c r="V28" i="8"/>
  <c r="Z28" i="8"/>
  <c r="C27" i="8"/>
  <c r="D28" i="8"/>
  <c r="L28" i="8"/>
  <c r="T28" i="8"/>
  <c r="C28" i="8"/>
  <c r="I28" i="8"/>
  <c r="Q28" i="8"/>
  <c r="Y28" i="8"/>
  <c r="G28" i="8"/>
  <c r="K28" i="8"/>
  <c r="O28" i="8"/>
  <c r="S28" i="8"/>
  <c r="W28" i="8"/>
  <c r="AA28" i="8"/>
  <c r="H28" i="8"/>
  <c r="P28" i="8"/>
  <c r="X28" i="8"/>
  <c r="E28" i="8"/>
  <c r="M28" i="8"/>
  <c r="U28" i="8"/>
  <c r="C74" i="8"/>
  <c r="C13" i="8"/>
  <c r="I12" i="8"/>
  <c r="I14" i="8"/>
  <c r="I13" i="8"/>
  <c r="M12" i="8"/>
  <c r="M14" i="8"/>
  <c r="M13" i="8"/>
  <c r="U12" i="8"/>
  <c r="U14" i="8"/>
  <c r="U13" i="8"/>
  <c r="F14" i="8"/>
  <c r="F13" i="8"/>
  <c r="N14" i="8"/>
  <c r="N13" i="8"/>
  <c r="V14" i="8"/>
  <c r="V13" i="8"/>
  <c r="C14" i="8"/>
  <c r="G14" i="8"/>
  <c r="G13" i="8"/>
  <c r="K14" i="8"/>
  <c r="K13" i="8"/>
  <c r="O14" i="8"/>
  <c r="O13" i="8"/>
  <c r="S14" i="8"/>
  <c r="S13" i="8"/>
  <c r="W14" i="8"/>
  <c r="W13" i="8"/>
  <c r="AA14" i="8"/>
  <c r="AA13" i="8"/>
  <c r="E12" i="8"/>
  <c r="E14" i="8"/>
  <c r="E13" i="8"/>
  <c r="Q12" i="8"/>
  <c r="Q14" i="8"/>
  <c r="Q13" i="8"/>
  <c r="Y12" i="8"/>
  <c r="Y14" i="8"/>
  <c r="Y13" i="8"/>
  <c r="J14" i="8"/>
  <c r="J13" i="8"/>
  <c r="R14" i="8"/>
  <c r="R13" i="8"/>
  <c r="Z14" i="8"/>
  <c r="Z13" i="8"/>
  <c r="D13" i="8"/>
  <c r="D14" i="8"/>
  <c r="H13" i="8"/>
  <c r="H14" i="8"/>
  <c r="P13" i="8"/>
  <c r="P14" i="8"/>
  <c r="T13" i="8"/>
  <c r="T14" i="8"/>
  <c r="X13" i="8"/>
  <c r="X14" i="8"/>
  <c r="G12" i="8"/>
  <c r="K12" i="8"/>
  <c r="O12" i="8"/>
  <c r="S12" i="8"/>
  <c r="W12" i="8"/>
  <c r="AA12" i="8"/>
  <c r="C12" i="8"/>
  <c r="F12" i="8"/>
  <c r="J12" i="8"/>
  <c r="N12" i="8"/>
  <c r="R12" i="8"/>
  <c r="V12" i="8"/>
  <c r="Z12" i="8"/>
  <c r="D12" i="8"/>
  <c r="H12" i="8"/>
  <c r="L12" i="8"/>
  <c r="P12" i="8"/>
  <c r="T12" i="8"/>
  <c r="X12" i="8"/>
  <c r="AE12" i="8"/>
  <c r="AQ12" i="8"/>
  <c r="BC12" i="8"/>
  <c r="BO12" i="8"/>
  <c r="CA12" i="8"/>
  <c r="CQ12" i="8"/>
  <c r="AD12" i="8"/>
  <c r="AH12" i="8"/>
  <c r="AL12" i="8"/>
  <c r="AP12" i="8"/>
  <c r="AT12" i="8"/>
  <c r="AX12" i="8"/>
  <c r="BB12" i="8"/>
  <c r="BF12" i="8"/>
  <c r="BJ12" i="8"/>
  <c r="BN12" i="8"/>
  <c r="BR12" i="8"/>
  <c r="BV12" i="8"/>
  <c r="BZ12" i="8"/>
  <c r="CD12" i="8"/>
  <c r="CH12" i="8"/>
  <c r="CL12" i="8"/>
  <c r="CP12" i="8"/>
  <c r="CT12" i="8"/>
  <c r="CX12" i="8"/>
  <c r="AM12" i="8"/>
  <c r="AY12" i="8"/>
  <c r="BK12" i="8"/>
  <c r="BW12" i="8"/>
  <c r="CI12" i="8"/>
  <c r="CU12" i="8"/>
  <c r="AB12" i="8"/>
  <c r="AF12" i="8"/>
  <c r="AJ12" i="8"/>
  <c r="AN12" i="8"/>
  <c r="AR12" i="8"/>
  <c r="AV12" i="8"/>
  <c r="AZ12" i="8"/>
  <c r="BD12" i="8"/>
  <c r="BH12" i="8"/>
  <c r="BL12" i="8"/>
  <c r="BP12" i="8"/>
  <c r="BT12" i="8"/>
  <c r="BX12" i="8"/>
  <c r="CB12" i="8"/>
  <c r="CF12" i="8"/>
  <c r="CJ12" i="8"/>
  <c r="CN12" i="8"/>
  <c r="CR12" i="8"/>
  <c r="CV12" i="8"/>
  <c r="AI12" i="8"/>
  <c r="AU12" i="8"/>
  <c r="BG12" i="8"/>
  <c r="BS12" i="8"/>
  <c r="CE12" i="8"/>
  <c r="CM12" i="8"/>
  <c r="AC12" i="8"/>
  <c r="AG12" i="8"/>
  <c r="AK12" i="8"/>
  <c r="AO12" i="8"/>
  <c r="AS12" i="8"/>
  <c r="AW12" i="8"/>
  <c r="BA12" i="8"/>
  <c r="BE12" i="8"/>
  <c r="BI12" i="8"/>
  <c r="BM12" i="8"/>
  <c r="BQ12" i="8"/>
  <c r="BU12" i="8"/>
  <c r="BY12" i="8"/>
  <c r="CC12" i="8"/>
  <c r="CG12" i="8"/>
  <c r="CK12" i="8"/>
  <c r="CO12" i="8"/>
  <c r="CS12" i="8"/>
  <c r="CW12" i="8"/>
  <c r="AI75" i="8"/>
  <c r="AI79" i="8"/>
  <c r="BG75" i="8"/>
  <c r="BG79" i="8"/>
  <c r="AS79" i="8"/>
  <c r="AS75" i="8"/>
  <c r="AH75" i="8"/>
  <c r="AH79" i="8"/>
  <c r="AP75" i="8"/>
  <c r="AP79" i="8"/>
  <c r="AX75" i="8"/>
  <c r="AX79" i="8"/>
  <c r="BF75" i="8"/>
  <c r="BF79" i="8"/>
  <c r="BN75" i="8"/>
  <c r="BN79" i="8"/>
  <c r="BV75" i="8"/>
  <c r="BV79" i="8"/>
  <c r="CD75" i="8"/>
  <c r="CD79" i="8"/>
  <c r="CL75" i="8"/>
  <c r="CL79" i="8"/>
  <c r="CT75" i="8"/>
  <c r="CT79" i="8"/>
  <c r="CU75" i="8"/>
  <c r="CU79" i="8"/>
  <c r="AB79" i="8"/>
  <c r="AB75" i="8"/>
  <c r="AJ79" i="8"/>
  <c r="AJ75" i="8"/>
  <c r="AR79" i="8"/>
  <c r="AR75" i="8"/>
  <c r="AZ79" i="8"/>
  <c r="AZ75" i="8"/>
  <c r="BH79" i="8"/>
  <c r="BH75" i="8"/>
  <c r="BP79" i="8"/>
  <c r="BP75" i="8"/>
  <c r="BX79" i="8"/>
  <c r="BX75" i="8"/>
  <c r="CF79" i="8"/>
  <c r="CF75" i="8"/>
  <c r="CN79" i="8"/>
  <c r="CN75" i="8"/>
  <c r="CV79" i="8"/>
  <c r="CV75" i="8"/>
  <c r="CW79" i="8"/>
  <c r="CW75" i="8"/>
  <c r="AY75" i="8"/>
  <c r="AY79" i="8"/>
  <c r="CM75" i="8"/>
  <c r="CM79" i="8"/>
  <c r="AK79" i="8"/>
  <c r="AK75" i="8"/>
  <c r="BY79" i="8"/>
  <c r="BY75" i="8"/>
  <c r="AD79" i="8"/>
  <c r="AD75" i="8"/>
  <c r="AL79" i="8"/>
  <c r="AL75" i="8"/>
  <c r="AT79" i="8"/>
  <c r="AT75" i="8"/>
  <c r="BB79" i="8"/>
  <c r="BB75" i="8"/>
  <c r="BJ79" i="8"/>
  <c r="BJ75" i="8"/>
  <c r="BR79" i="8"/>
  <c r="BR75" i="8"/>
  <c r="BZ79" i="8"/>
  <c r="BZ75" i="8"/>
  <c r="CH79" i="8"/>
  <c r="CH75" i="8"/>
  <c r="CP79" i="8"/>
  <c r="CP75" i="8"/>
  <c r="CX79" i="8"/>
  <c r="CX75" i="8"/>
  <c r="BW75" i="8"/>
  <c r="BW79" i="8"/>
  <c r="BA79" i="8"/>
  <c r="BA75" i="8"/>
  <c r="CO79" i="8"/>
  <c r="CO75" i="8"/>
  <c r="AE79" i="8"/>
  <c r="AE75" i="8"/>
  <c r="AM79" i="8"/>
  <c r="AM75" i="8"/>
  <c r="AU79" i="8"/>
  <c r="AU75" i="8"/>
  <c r="BC79" i="8"/>
  <c r="BC75" i="8"/>
  <c r="BK79" i="8"/>
  <c r="BK75" i="8"/>
  <c r="BS79" i="8"/>
  <c r="BS75" i="8"/>
  <c r="CA79" i="8"/>
  <c r="CA75" i="8"/>
  <c r="CI79" i="8"/>
  <c r="CI75" i="8"/>
  <c r="CQ79" i="8"/>
  <c r="CQ75" i="8"/>
  <c r="CE75" i="8"/>
  <c r="CE79" i="8"/>
  <c r="AC79" i="8"/>
  <c r="AC75" i="8"/>
  <c r="BI79" i="8"/>
  <c r="BI75" i="8"/>
  <c r="CG79" i="8"/>
  <c r="CG75" i="8"/>
  <c r="AF79" i="8"/>
  <c r="AF75" i="8"/>
  <c r="AN79" i="8"/>
  <c r="AN75" i="8"/>
  <c r="AV79" i="8"/>
  <c r="AV75" i="8"/>
  <c r="BD79" i="8"/>
  <c r="BD75" i="8"/>
  <c r="BL79" i="8"/>
  <c r="BL75" i="8"/>
  <c r="BT79" i="8"/>
  <c r="BT75" i="8"/>
  <c r="CB79" i="8"/>
  <c r="CB75" i="8"/>
  <c r="CJ79" i="8"/>
  <c r="CJ75" i="8"/>
  <c r="CR79" i="8"/>
  <c r="CR75" i="8"/>
  <c r="AQ75" i="8"/>
  <c r="AQ79" i="8"/>
  <c r="BO75" i="8"/>
  <c r="BO79" i="8"/>
  <c r="BQ79" i="8"/>
  <c r="BQ75" i="8"/>
  <c r="AG75" i="8"/>
  <c r="AG79" i="8"/>
  <c r="AO75" i="8"/>
  <c r="AO79" i="8"/>
  <c r="AW75" i="8"/>
  <c r="AW79" i="8"/>
  <c r="BE75" i="8"/>
  <c r="BE79" i="8"/>
  <c r="BM75" i="8"/>
  <c r="BM79" i="8"/>
  <c r="BU75" i="8"/>
  <c r="BU79" i="8"/>
  <c r="CC75" i="8"/>
  <c r="CC79" i="8"/>
  <c r="CK75" i="8"/>
  <c r="CK79" i="8"/>
  <c r="CS75" i="8"/>
  <c r="CS79" i="8"/>
  <c r="AD80" i="8"/>
  <c r="AH80" i="8"/>
  <c r="AL80" i="8"/>
  <c r="AP80" i="8"/>
  <c r="AT80" i="8"/>
  <c r="AX80" i="8"/>
  <c r="BB80" i="8"/>
  <c r="BF80" i="8"/>
  <c r="BJ80" i="8"/>
  <c r="BN80" i="8"/>
  <c r="BR80" i="8"/>
  <c r="BV80" i="8"/>
  <c r="BZ80" i="8"/>
  <c r="CD80" i="8"/>
  <c r="CH80" i="8"/>
  <c r="CL80" i="8"/>
  <c r="CP80" i="8"/>
  <c r="CT80" i="8"/>
  <c r="CX80" i="8"/>
  <c r="AE80" i="8"/>
  <c r="AI80" i="8"/>
  <c r="AM80" i="8"/>
  <c r="AQ80" i="8"/>
  <c r="AU80" i="8"/>
  <c r="AY80" i="8"/>
  <c r="BC80" i="8"/>
  <c r="BG80" i="8"/>
  <c r="BK80" i="8"/>
  <c r="BO80" i="8"/>
  <c r="BS80" i="8"/>
  <c r="BW80" i="8"/>
  <c r="CA80" i="8"/>
  <c r="CE80" i="8"/>
  <c r="CI80" i="8"/>
  <c r="CM80" i="8"/>
  <c r="CQ80" i="8"/>
  <c r="CU80" i="8"/>
  <c r="AB80" i="8"/>
  <c r="AF80" i="8"/>
  <c r="AJ80" i="8"/>
  <c r="AN80" i="8"/>
  <c r="AR80" i="8"/>
  <c r="AV80" i="8"/>
  <c r="AZ80" i="8"/>
  <c r="BD80" i="8"/>
  <c r="BH80" i="8"/>
  <c r="BL80" i="8"/>
  <c r="BP80" i="8"/>
  <c r="BT80" i="8"/>
  <c r="BX80" i="8"/>
  <c r="CB80" i="8"/>
  <c r="CF80" i="8"/>
  <c r="CJ80" i="8"/>
  <c r="CN80" i="8"/>
  <c r="CR80" i="8"/>
  <c r="CV80" i="8"/>
  <c r="AC80" i="8"/>
  <c r="AG80" i="8"/>
  <c r="AK80" i="8"/>
  <c r="AO80" i="8"/>
  <c r="AS80" i="8"/>
  <c r="AW80" i="8"/>
  <c r="BA80" i="8"/>
  <c r="BE80" i="8"/>
  <c r="BI80" i="8"/>
  <c r="BM80" i="8"/>
  <c r="BQ80" i="8"/>
  <c r="BU80" i="8"/>
  <c r="BY80" i="8"/>
  <c r="CC80" i="8"/>
  <c r="CG80" i="8"/>
  <c r="CK80" i="8"/>
  <c r="CO80" i="8"/>
  <c r="CS80" i="8"/>
  <c r="CW80" i="8"/>
  <c r="F54" i="8"/>
  <c r="F68" i="8"/>
  <c r="J54" i="8"/>
  <c r="J68" i="8"/>
  <c r="N54" i="8"/>
  <c r="N68" i="8"/>
  <c r="R54" i="8"/>
  <c r="R68" i="8"/>
  <c r="V54" i="8"/>
  <c r="V68" i="8"/>
  <c r="Z54" i="8"/>
  <c r="Z68" i="8"/>
  <c r="AD54" i="8"/>
  <c r="AD68" i="8"/>
  <c r="AH54" i="8"/>
  <c r="AH68" i="8"/>
  <c r="AL54" i="8"/>
  <c r="AL68" i="8"/>
  <c r="AP54" i="8"/>
  <c r="AP68" i="8"/>
  <c r="AT54" i="8"/>
  <c r="AT68" i="8"/>
  <c r="AX54" i="8"/>
  <c r="AX68" i="8"/>
  <c r="BB54" i="8"/>
  <c r="BB68" i="8"/>
  <c r="BF54" i="8"/>
  <c r="BF68" i="8"/>
  <c r="BJ54" i="8"/>
  <c r="BJ68" i="8"/>
  <c r="BN54" i="8"/>
  <c r="BN68" i="8"/>
  <c r="BR54" i="8"/>
  <c r="BR68" i="8"/>
  <c r="BV54" i="8"/>
  <c r="BV68" i="8"/>
  <c r="BZ54" i="8"/>
  <c r="BZ68" i="8"/>
  <c r="CD54" i="8"/>
  <c r="CD68" i="8"/>
  <c r="CH54" i="8"/>
  <c r="CH68" i="8"/>
  <c r="CL54" i="8"/>
  <c r="CL68" i="8"/>
  <c r="CP54" i="8"/>
  <c r="CP68" i="8"/>
  <c r="CT54" i="8"/>
  <c r="CT68" i="8"/>
  <c r="CX54" i="8"/>
  <c r="CX68" i="8"/>
  <c r="G54" i="8"/>
  <c r="G68" i="8"/>
  <c r="K54" i="8"/>
  <c r="K68" i="8"/>
  <c r="O54" i="8"/>
  <c r="O68" i="8"/>
  <c r="S54" i="8"/>
  <c r="S68" i="8"/>
  <c r="W54" i="8"/>
  <c r="W68" i="8"/>
  <c r="AA54" i="8"/>
  <c r="AA68" i="8"/>
  <c r="AE54" i="8"/>
  <c r="AE68" i="8"/>
  <c r="AI54" i="8"/>
  <c r="AI68" i="8"/>
  <c r="AM54" i="8"/>
  <c r="AM68" i="8"/>
  <c r="AQ54" i="8"/>
  <c r="AQ68" i="8"/>
  <c r="AU54" i="8"/>
  <c r="AU68" i="8"/>
  <c r="AY54" i="8"/>
  <c r="AY68" i="8"/>
  <c r="BC54" i="8"/>
  <c r="BC68" i="8"/>
  <c r="BG54" i="8"/>
  <c r="BG68" i="8"/>
  <c r="BK54" i="8"/>
  <c r="BK68" i="8"/>
  <c r="BO54" i="8"/>
  <c r="BO68" i="8"/>
  <c r="BS54" i="8"/>
  <c r="BS68" i="8"/>
  <c r="BW54" i="8"/>
  <c r="BW68" i="8"/>
  <c r="CA54" i="8"/>
  <c r="CA68" i="8"/>
  <c r="CE54" i="8"/>
  <c r="CE68" i="8"/>
  <c r="CI54" i="8"/>
  <c r="CI68" i="8"/>
  <c r="CM54" i="8"/>
  <c r="CM68" i="8"/>
  <c r="CQ54" i="8"/>
  <c r="CQ68" i="8"/>
  <c r="CU54" i="8"/>
  <c r="CU68" i="8"/>
  <c r="D54" i="8"/>
  <c r="D68" i="8"/>
  <c r="H54" i="8"/>
  <c r="H68" i="8"/>
  <c r="L54" i="8"/>
  <c r="L68" i="8"/>
  <c r="P54" i="8"/>
  <c r="P68" i="8"/>
  <c r="T54" i="8"/>
  <c r="T68" i="8"/>
  <c r="X54" i="8"/>
  <c r="X68" i="8"/>
  <c r="AB54" i="8"/>
  <c r="AB68" i="8"/>
  <c r="AF54" i="8"/>
  <c r="AF68" i="8"/>
  <c r="AJ54" i="8"/>
  <c r="AJ68" i="8"/>
  <c r="AN54" i="8"/>
  <c r="AN68" i="8"/>
  <c r="AR54" i="8"/>
  <c r="AR68" i="8"/>
  <c r="AV54" i="8"/>
  <c r="AV68" i="8"/>
  <c r="AZ54" i="8"/>
  <c r="AZ68" i="8"/>
  <c r="BD54" i="8"/>
  <c r="BD68" i="8"/>
  <c r="BH54" i="8"/>
  <c r="BH68" i="8"/>
  <c r="BL54" i="8"/>
  <c r="BL68" i="8"/>
  <c r="BP54" i="8"/>
  <c r="BP68" i="8"/>
  <c r="BT54" i="8"/>
  <c r="BT68" i="8"/>
  <c r="BX54" i="8"/>
  <c r="BX68" i="8"/>
  <c r="CB54" i="8"/>
  <c r="CB68" i="8"/>
  <c r="CF54" i="8"/>
  <c r="CF68" i="8"/>
  <c r="CJ54" i="8"/>
  <c r="CJ68" i="8"/>
  <c r="CN54" i="8"/>
  <c r="CN68" i="8"/>
  <c r="CR54" i="8"/>
  <c r="CR68" i="8"/>
  <c r="CV54" i="8"/>
  <c r="CV68" i="8"/>
  <c r="E54" i="8"/>
  <c r="E68" i="8"/>
  <c r="I54" i="8"/>
  <c r="I68" i="8"/>
  <c r="M54" i="8"/>
  <c r="M68" i="8"/>
  <c r="Q54" i="8"/>
  <c r="Q68" i="8"/>
  <c r="U54" i="8"/>
  <c r="U68" i="8"/>
  <c r="Y54" i="8"/>
  <c r="Y68" i="8"/>
  <c r="AC54" i="8"/>
  <c r="AC68" i="8"/>
  <c r="AG54" i="8"/>
  <c r="AG68" i="8"/>
  <c r="AK54" i="8"/>
  <c r="AK68" i="8"/>
  <c r="AO54" i="8"/>
  <c r="AO68" i="8"/>
  <c r="AS54" i="8"/>
  <c r="AS68" i="8"/>
  <c r="AW54" i="8"/>
  <c r="AW68" i="8"/>
  <c r="BA54" i="8"/>
  <c r="BA68" i="8"/>
  <c r="BE54" i="8"/>
  <c r="BE68" i="8"/>
  <c r="BI54" i="8"/>
  <c r="BI68" i="8"/>
  <c r="BM54" i="8"/>
  <c r="BM68" i="8"/>
  <c r="BQ54" i="8"/>
  <c r="BQ68" i="8"/>
  <c r="BU54" i="8"/>
  <c r="BU68" i="8"/>
  <c r="BY54" i="8"/>
  <c r="BY68" i="8"/>
  <c r="CC54" i="8"/>
  <c r="CC68" i="8"/>
  <c r="CG54" i="8"/>
  <c r="CG68" i="8"/>
  <c r="CK54" i="8"/>
  <c r="CK68" i="8"/>
  <c r="CO54" i="8"/>
  <c r="CO68" i="8"/>
  <c r="CS54" i="8"/>
  <c r="CS68" i="8"/>
  <c r="CW54" i="8"/>
  <c r="CW68" i="8"/>
  <c r="CU69" i="8"/>
  <c r="CV69" i="8"/>
  <c r="CW69" i="8"/>
  <c r="CX69" i="8"/>
  <c r="AC69" i="8"/>
  <c r="AC71" i="8"/>
  <c r="AG69" i="8"/>
  <c r="AG71" i="8"/>
  <c r="AK69" i="8"/>
  <c r="AK71" i="8"/>
  <c r="AO69" i="8"/>
  <c r="AO71" i="8"/>
  <c r="AS69" i="8"/>
  <c r="AS71" i="8"/>
  <c r="AW69" i="8"/>
  <c r="AW71" i="8"/>
  <c r="BA69" i="8"/>
  <c r="BA71" i="8"/>
  <c r="BE69" i="8"/>
  <c r="BE71" i="8"/>
  <c r="BI69" i="8"/>
  <c r="BI71" i="8"/>
  <c r="BM69" i="8"/>
  <c r="BM71" i="8"/>
  <c r="BQ69" i="8"/>
  <c r="BQ71" i="8"/>
  <c r="BU69" i="8"/>
  <c r="BU71" i="8"/>
  <c r="BY69" i="8"/>
  <c r="BY71" i="8"/>
  <c r="CC69" i="8"/>
  <c r="CC71" i="8"/>
  <c r="CG69" i="8"/>
  <c r="CG71" i="8"/>
  <c r="CK69" i="8"/>
  <c r="CK71" i="8"/>
  <c r="CO69" i="8"/>
  <c r="CO71" i="8"/>
  <c r="CS69" i="8"/>
  <c r="CS71" i="8"/>
  <c r="AD69" i="8"/>
  <c r="AD71" i="8"/>
  <c r="AH69" i="8"/>
  <c r="AH71" i="8"/>
  <c r="AL69" i="8"/>
  <c r="AL71" i="8"/>
  <c r="AP69" i="8"/>
  <c r="AP71" i="8"/>
  <c r="AT69" i="8"/>
  <c r="AT71" i="8"/>
  <c r="AX69" i="8"/>
  <c r="AX71" i="8"/>
  <c r="BB69" i="8"/>
  <c r="BB71" i="8"/>
  <c r="BF69" i="8"/>
  <c r="BF71" i="8"/>
  <c r="BJ69" i="8"/>
  <c r="BJ71" i="8"/>
  <c r="BN69" i="8"/>
  <c r="BN71" i="8"/>
  <c r="BR69" i="8"/>
  <c r="BR71" i="8"/>
  <c r="BV69" i="8"/>
  <c r="BV71" i="8"/>
  <c r="BZ69" i="8"/>
  <c r="BZ71" i="8"/>
  <c r="CD69" i="8"/>
  <c r="CD71" i="8"/>
  <c r="CH69" i="8"/>
  <c r="CH71" i="8"/>
  <c r="CL69" i="8"/>
  <c r="CL71" i="8"/>
  <c r="CP69" i="8"/>
  <c r="CP71" i="8"/>
  <c r="CT69" i="8"/>
  <c r="CT71" i="8"/>
  <c r="AE71" i="8"/>
  <c r="AE69" i="8"/>
  <c r="AI71" i="8"/>
  <c r="AI69" i="8"/>
  <c r="AM69" i="8"/>
  <c r="AM71" i="8"/>
  <c r="AQ71" i="8"/>
  <c r="AQ69" i="8"/>
  <c r="AU71" i="8"/>
  <c r="AU69" i="8"/>
  <c r="AY69" i="8"/>
  <c r="AY71" i="8"/>
  <c r="BC71" i="8"/>
  <c r="BC69" i="8"/>
  <c r="BG71" i="8"/>
  <c r="BG69" i="8"/>
  <c r="BK71" i="8"/>
  <c r="BK69" i="8"/>
  <c r="BO71" i="8"/>
  <c r="BO69" i="8"/>
  <c r="BS71" i="8"/>
  <c r="BS69" i="8"/>
  <c r="BW71" i="8"/>
  <c r="BW69" i="8"/>
  <c r="CA71" i="8"/>
  <c r="CA69" i="8"/>
  <c r="CE71" i="8"/>
  <c r="CE69" i="8"/>
  <c r="CI71" i="8"/>
  <c r="CI69" i="8"/>
  <c r="CM71" i="8"/>
  <c r="CM69" i="8"/>
  <c r="CQ71" i="8"/>
  <c r="CQ69" i="8"/>
  <c r="AB69" i="8"/>
  <c r="AB71" i="8"/>
  <c r="AF71" i="8"/>
  <c r="AF69" i="8"/>
  <c r="AJ69" i="8"/>
  <c r="AJ71" i="8"/>
  <c r="AN71" i="8"/>
  <c r="AN69" i="8"/>
  <c r="AR69" i="8"/>
  <c r="AR71" i="8"/>
  <c r="AV69" i="8"/>
  <c r="AV71" i="8"/>
  <c r="AZ71" i="8"/>
  <c r="AZ69" i="8"/>
  <c r="BD69" i="8"/>
  <c r="BD71" i="8"/>
  <c r="BH71" i="8"/>
  <c r="BH69" i="8"/>
  <c r="BL71" i="8"/>
  <c r="BL69" i="8"/>
  <c r="BP71" i="8"/>
  <c r="BP69" i="8"/>
  <c r="BT71" i="8"/>
  <c r="BT69" i="8"/>
  <c r="BX71" i="8"/>
  <c r="BX69" i="8"/>
  <c r="CB71" i="8"/>
  <c r="CB69" i="8"/>
  <c r="CF71" i="8"/>
  <c r="CF69" i="8"/>
  <c r="CJ71" i="8"/>
  <c r="CJ69" i="8"/>
  <c r="CN71" i="8"/>
  <c r="CN69" i="8"/>
  <c r="CR71" i="8"/>
  <c r="CR69" i="8"/>
  <c r="CW71" i="8"/>
  <c r="CX71" i="8"/>
  <c r="CU71" i="8"/>
  <c r="CV71" i="8"/>
  <c r="AP56" i="8"/>
  <c r="AP59" i="8"/>
  <c r="BF56" i="8"/>
  <c r="BF59" i="8"/>
  <c r="AE56" i="8"/>
  <c r="AE59" i="8"/>
  <c r="AQ56" i="8"/>
  <c r="AQ59" i="8"/>
  <c r="BC56" i="8"/>
  <c r="BC59" i="8"/>
  <c r="BK56" i="8"/>
  <c r="BK59" i="8"/>
  <c r="BW56" i="8"/>
  <c r="BW59" i="8"/>
  <c r="CI56" i="8"/>
  <c r="CI59" i="8"/>
  <c r="CQ56" i="8"/>
  <c r="CQ59" i="8"/>
  <c r="AC56" i="8"/>
  <c r="AC59" i="8"/>
  <c r="AG59" i="8"/>
  <c r="AG56" i="8"/>
  <c r="AK56" i="8"/>
  <c r="AK59" i="8"/>
  <c r="AO56" i="8"/>
  <c r="AO59" i="8"/>
  <c r="AS56" i="8"/>
  <c r="AS59" i="8"/>
  <c r="AW59" i="8"/>
  <c r="AW56" i="8"/>
  <c r="BA56" i="8"/>
  <c r="BA59" i="8"/>
  <c r="BE56" i="8"/>
  <c r="BE59" i="8"/>
  <c r="BI59" i="8"/>
  <c r="BI56" i="8"/>
  <c r="BM56" i="8"/>
  <c r="BM59" i="8"/>
  <c r="BQ56" i="8"/>
  <c r="BQ59" i="8"/>
  <c r="BU56" i="8"/>
  <c r="BU59" i="8"/>
  <c r="BY56" i="8"/>
  <c r="BY59" i="8"/>
  <c r="CC56" i="8"/>
  <c r="CC59" i="8"/>
  <c r="CG56" i="8"/>
  <c r="CG59" i="8"/>
  <c r="CK56" i="8"/>
  <c r="CK59" i="8"/>
  <c r="CO56" i="8"/>
  <c r="CO59" i="8"/>
  <c r="CS56" i="8"/>
  <c r="CS59" i="8"/>
  <c r="CW56" i="8"/>
  <c r="CW59" i="8"/>
  <c r="AD56" i="8"/>
  <c r="AD59" i="8"/>
  <c r="AT56" i="8"/>
  <c r="AT59" i="8"/>
  <c r="BJ56" i="8"/>
  <c r="BJ59" i="8"/>
  <c r="BN56" i="8"/>
  <c r="BN59" i="8"/>
  <c r="BR56" i="8"/>
  <c r="BR59" i="8"/>
  <c r="BV56" i="8"/>
  <c r="BV59" i="8"/>
  <c r="BZ56" i="8"/>
  <c r="BZ59" i="8"/>
  <c r="CD56" i="8"/>
  <c r="CD59" i="8"/>
  <c r="CH56" i="8"/>
  <c r="CH59" i="8"/>
  <c r="CL56" i="8"/>
  <c r="CL59" i="8"/>
  <c r="CP56" i="8"/>
  <c r="CP59" i="8"/>
  <c r="CT56" i="8"/>
  <c r="CT59" i="8"/>
  <c r="CX56" i="8"/>
  <c r="CX59" i="8"/>
  <c r="AH56" i="8"/>
  <c r="AH59" i="8"/>
  <c r="AX56" i="8"/>
  <c r="AX59" i="8"/>
  <c r="AI56" i="8"/>
  <c r="AI59" i="8"/>
  <c r="AU56" i="8"/>
  <c r="AU59" i="8"/>
  <c r="BO56" i="8"/>
  <c r="BO59" i="8"/>
  <c r="CA56" i="8"/>
  <c r="CA59" i="8"/>
  <c r="CU56" i="8"/>
  <c r="CU59" i="8"/>
  <c r="AL56" i="8"/>
  <c r="AL59" i="8"/>
  <c r="BB56" i="8"/>
  <c r="BB59" i="8"/>
  <c r="AM56" i="8"/>
  <c r="AM59" i="8"/>
  <c r="AY56" i="8"/>
  <c r="AY59" i="8"/>
  <c r="BG56" i="8"/>
  <c r="BG59" i="8"/>
  <c r="BS56" i="8"/>
  <c r="BS59" i="8"/>
  <c r="CE56" i="8"/>
  <c r="CE59" i="8"/>
  <c r="CM56" i="8"/>
  <c r="CM59" i="8"/>
  <c r="AB56" i="8"/>
  <c r="AB59" i="8"/>
  <c r="AF56" i="8"/>
  <c r="AF59" i="8"/>
  <c r="AJ56" i="8"/>
  <c r="AJ59" i="8"/>
  <c r="AN56" i="8"/>
  <c r="AN59" i="8"/>
  <c r="AR56" i="8"/>
  <c r="AR59" i="8"/>
  <c r="AV56" i="8"/>
  <c r="AV59" i="8"/>
  <c r="AZ56" i="8"/>
  <c r="AZ59" i="8"/>
  <c r="BD56" i="8"/>
  <c r="BD59" i="8"/>
  <c r="BH56" i="8"/>
  <c r="BH59" i="8"/>
  <c r="BL56" i="8"/>
  <c r="BL59" i="8"/>
  <c r="BP56" i="8"/>
  <c r="BP59" i="8"/>
  <c r="BT56" i="8"/>
  <c r="BT59" i="8"/>
  <c r="BX56" i="8"/>
  <c r="BX59" i="8"/>
  <c r="CB56" i="8"/>
  <c r="CB59" i="8"/>
  <c r="CF56" i="8"/>
  <c r="CF59" i="8"/>
  <c r="CJ56" i="8"/>
  <c r="CJ59" i="8"/>
  <c r="CN56" i="8"/>
  <c r="CN59" i="8"/>
  <c r="CR56" i="8"/>
  <c r="CR59" i="8"/>
  <c r="CV56" i="8"/>
  <c r="CV59" i="8"/>
  <c r="AD15" i="8"/>
  <c r="AH15" i="8"/>
  <c r="AL15" i="8"/>
  <c r="AP15" i="8"/>
  <c r="AT15" i="8"/>
  <c r="AX15" i="8"/>
  <c r="BB15" i="8"/>
  <c r="BF15" i="8"/>
  <c r="BJ15" i="8"/>
  <c r="BN15" i="8"/>
  <c r="BR15" i="8"/>
  <c r="BV15" i="8"/>
  <c r="BZ15" i="8"/>
  <c r="CD15" i="8"/>
  <c r="CH15" i="8"/>
  <c r="CL15" i="8"/>
  <c r="CP15" i="8"/>
  <c r="CT15" i="8"/>
  <c r="CX15" i="8"/>
  <c r="AE15" i="8"/>
  <c r="AI15" i="8"/>
  <c r="AM15" i="8"/>
  <c r="AQ15" i="8"/>
  <c r="AU15" i="8"/>
  <c r="AY15" i="8"/>
  <c r="BC15" i="8"/>
  <c r="BG15" i="8"/>
  <c r="BK15" i="8"/>
  <c r="BO15" i="8"/>
  <c r="BS15" i="8"/>
  <c r="BW15" i="8"/>
  <c r="CA15" i="8"/>
  <c r="CE15" i="8"/>
  <c r="CI15" i="8"/>
  <c r="CM15" i="8"/>
  <c r="CQ15" i="8"/>
  <c r="CU15" i="8"/>
  <c r="AB15" i="8"/>
  <c r="AF15" i="8"/>
  <c r="AJ15" i="8"/>
  <c r="AN15" i="8"/>
  <c r="AR15" i="8"/>
  <c r="AV15" i="8"/>
  <c r="AZ15" i="8"/>
  <c r="BD15" i="8"/>
  <c r="BH15" i="8"/>
  <c r="BL15" i="8"/>
  <c r="BP15" i="8"/>
  <c r="BT15" i="8"/>
  <c r="BX15" i="8"/>
  <c r="CB15" i="8"/>
  <c r="CF15" i="8"/>
  <c r="CJ15" i="8"/>
  <c r="CN15" i="8"/>
  <c r="CR15" i="8"/>
  <c r="CV15" i="8"/>
  <c r="AC15" i="8"/>
  <c r="AG15" i="8"/>
  <c r="AK15" i="8"/>
  <c r="AO15" i="8"/>
  <c r="AS15" i="8"/>
  <c r="AW15" i="8"/>
  <c r="BA15" i="8"/>
  <c r="BE15" i="8"/>
  <c r="BI15" i="8"/>
  <c r="BM15" i="8"/>
  <c r="BQ15" i="8"/>
  <c r="BU15" i="8"/>
  <c r="BY15" i="8"/>
  <c r="CC15" i="8"/>
  <c r="CG15" i="8"/>
  <c r="CK15" i="8"/>
  <c r="CO15" i="8"/>
  <c r="CS15" i="8"/>
  <c r="CW15" i="8"/>
  <c r="AD57" i="8"/>
  <c r="AD72" i="8"/>
  <c r="AH57" i="8"/>
  <c r="AH72" i="8"/>
  <c r="AL57" i="8"/>
  <c r="AL72" i="8"/>
  <c r="AP57" i="8"/>
  <c r="AP72" i="8"/>
  <c r="AT57" i="8"/>
  <c r="AT72" i="8"/>
  <c r="AX57" i="8"/>
  <c r="AX72" i="8"/>
  <c r="BB57" i="8"/>
  <c r="BB72" i="8"/>
  <c r="BF57" i="8"/>
  <c r="BF72" i="8"/>
  <c r="BJ57" i="8"/>
  <c r="BJ72" i="8"/>
  <c r="BN57" i="8"/>
  <c r="BN72" i="8"/>
  <c r="BR57" i="8"/>
  <c r="BR72" i="8"/>
  <c r="BV57" i="8"/>
  <c r="BV72" i="8"/>
  <c r="BZ57" i="8"/>
  <c r="BZ72" i="8"/>
  <c r="CD57" i="8"/>
  <c r="CD72" i="8"/>
  <c r="CH57" i="8"/>
  <c r="CH72" i="8"/>
  <c r="CL57" i="8"/>
  <c r="CL72" i="8"/>
  <c r="CP57" i="8"/>
  <c r="CP72" i="8"/>
  <c r="CT57" i="8"/>
  <c r="CT72" i="8"/>
  <c r="CX57" i="8"/>
  <c r="CX72" i="8"/>
  <c r="AE72" i="8"/>
  <c r="AE57" i="8"/>
  <c r="AI72" i="8"/>
  <c r="AI57" i="8"/>
  <c r="AM72" i="8"/>
  <c r="AM57" i="8"/>
  <c r="AQ72" i="8"/>
  <c r="AQ57" i="8"/>
  <c r="AU72" i="8"/>
  <c r="AU57" i="8"/>
  <c r="AY72" i="8"/>
  <c r="AY57" i="8"/>
  <c r="BC72" i="8"/>
  <c r="BC57" i="8"/>
  <c r="BG72" i="8"/>
  <c r="BG57" i="8"/>
  <c r="BK72" i="8"/>
  <c r="BK57" i="8"/>
  <c r="BO72" i="8"/>
  <c r="BO57" i="8"/>
  <c r="BS72" i="8"/>
  <c r="BS57" i="8"/>
  <c r="BW72" i="8"/>
  <c r="BW57" i="8"/>
  <c r="CA72" i="8"/>
  <c r="CA57" i="8"/>
  <c r="CE72" i="8"/>
  <c r="CE57" i="8"/>
  <c r="CI72" i="8"/>
  <c r="CI57" i="8"/>
  <c r="CM72" i="8"/>
  <c r="CM57" i="8"/>
  <c r="CQ72" i="8"/>
  <c r="CQ57" i="8"/>
  <c r="CU72" i="8"/>
  <c r="CU57" i="8"/>
  <c r="AB57" i="8"/>
  <c r="AB72" i="8"/>
  <c r="AF57" i="8"/>
  <c r="AF72" i="8"/>
  <c r="AJ57" i="8"/>
  <c r="AJ72" i="8"/>
  <c r="AN57" i="8"/>
  <c r="AN72" i="8"/>
  <c r="AR57" i="8"/>
  <c r="AR72" i="8"/>
  <c r="AV57" i="8"/>
  <c r="AV72" i="8"/>
  <c r="AZ57" i="8"/>
  <c r="AZ72" i="8"/>
  <c r="BD57" i="8"/>
  <c r="BD72" i="8"/>
  <c r="BH57" i="8"/>
  <c r="BH72" i="8"/>
  <c r="BL57" i="8"/>
  <c r="BL72" i="8"/>
  <c r="BP57" i="8"/>
  <c r="BP72" i="8"/>
  <c r="BT57" i="8"/>
  <c r="BT72" i="8"/>
  <c r="BX57" i="8"/>
  <c r="BX72" i="8"/>
  <c r="CB57" i="8"/>
  <c r="CB72" i="8"/>
  <c r="CF57" i="8"/>
  <c r="CF72" i="8"/>
  <c r="CJ57" i="8"/>
  <c r="CJ72" i="8"/>
  <c r="CN57" i="8"/>
  <c r="CN72" i="8"/>
  <c r="CR57" i="8"/>
  <c r="CR72" i="8"/>
  <c r="CV57" i="8"/>
  <c r="CV72" i="8"/>
  <c r="AC57" i="8"/>
  <c r="AC72" i="8"/>
  <c r="AG57" i="8"/>
  <c r="AG72" i="8"/>
  <c r="AK57" i="8"/>
  <c r="AK72" i="8"/>
  <c r="AO57" i="8"/>
  <c r="AO72" i="8"/>
  <c r="AS57" i="8"/>
  <c r="AS72" i="8"/>
  <c r="AW57" i="8"/>
  <c r="AW72" i="8"/>
  <c r="BA57" i="8"/>
  <c r="BA72" i="8"/>
  <c r="BE57" i="8"/>
  <c r="BE72" i="8"/>
  <c r="BI57" i="8"/>
  <c r="BI72" i="8"/>
  <c r="BM57" i="8"/>
  <c r="BM72" i="8"/>
  <c r="BQ57" i="8"/>
  <c r="BQ72" i="8"/>
  <c r="BU57" i="8"/>
  <c r="BU72" i="8"/>
  <c r="BY57" i="8"/>
  <c r="BY72" i="8"/>
  <c r="CC57" i="8"/>
  <c r="CC72" i="8"/>
  <c r="CG57" i="8"/>
  <c r="CG72" i="8"/>
  <c r="CK57" i="8"/>
  <c r="CK72" i="8"/>
  <c r="CO57" i="8"/>
  <c r="CO72" i="8"/>
  <c r="CS57" i="8"/>
  <c r="CS72" i="8"/>
  <c r="CW57" i="8"/>
  <c r="CW72" i="8"/>
  <c r="CW70" i="8"/>
  <c r="AJ70" i="8"/>
  <c r="AN70" i="8"/>
  <c r="AR70" i="8"/>
  <c r="AV70" i="8"/>
  <c r="AZ70" i="8"/>
  <c r="BD70" i="8"/>
  <c r="BH70" i="8"/>
  <c r="BL70" i="8"/>
  <c r="BP70" i="8"/>
  <c r="BT70" i="8"/>
  <c r="BX70" i="8"/>
  <c r="CB70" i="8"/>
  <c r="CF70" i="8"/>
  <c r="CJ70" i="8"/>
  <c r="CN70" i="8"/>
  <c r="CR70" i="8"/>
  <c r="CV70" i="8"/>
  <c r="AH70" i="8"/>
  <c r="AL70" i="8"/>
  <c r="AP70" i="8"/>
  <c r="AT70" i="8"/>
  <c r="AX70" i="8"/>
  <c r="BB70" i="8"/>
  <c r="BF70" i="8"/>
  <c r="BJ70" i="8"/>
  <c r="BN70" i="8"/>
  <c r="BR70" i="8"/>
  <c r="BV70" i="8"/>
  <c r="BZ70" i="8"/>
  <c r="CD70" i="8"/>
  <c r="CH70" i="8"/>
  <c r="CL70" i="8"/>
  <c r="CP70" i="8"/>
  <c r="CT70" i="8"/>
  <c r="CX70" i="8"/>
  <c r="AG70" i="8"/>
  <c r="AK70" i="8"/>
  <c r="AO70" i="8"/>
  <c r="AS70" i="8"/>
  <c r="AW70" i="8"/>
  <c r="BA70" i="8"/>
  <c r="BE70" i="8"/>
  <c r="BI70" i="8"/>
  <c r="BM70" i="8"/>
  <c r="BQ70" i="8"/>
  <c r="BU70" i="8"/>
  <c r="BY70" i="8"/>
  <c r="CC70" i="8"/>
  <c r="CG70" i="8"/>
  <c r="CK70" i="8"/>
  <c r="CO70" i="8"/>
  <c r="CS70" i="8"/>
  <c r="AI70" i="8"/>
  <c r="AM70" i="8"/>
  <c r="AQ70" i="8"/>
  <c r="AU70" i="8"/>
  <c r="AY70" i="8"/>
  <c r="BC70" i="8"/>
  <c r="BG70" i="8"/>
  <c r="BK70" i="8"/>
  <c r="BO70" i="8"/>
  <c r="BS70" i="8"/>
  <c r="BW70" i="8"/>
  <c r="CA70" i="8"/>
  <c r="CE70" i="8"/>
  <c r="CI70" i="8"/>
  <c r="CM70" i="8"/>
  <c r="CQ70" i="8"/>
  <c r="CU70" i="8"/>
  <c r="AJ31" i="8"/>
  <c r="AN31" i="8"/>
  <c r="AR31" i="8"/>
  <c r="AV31" i="8"/>
  <c r="AZ31" i="8"/>
  <c r="BD31" i="8"/>
  <c r="BH31" i="8"/>
  <c r="BL31" i="8"/>
  <c r="BP31" i="8"/>
  <c r="BT31" i="8"/>
  <c r="BX31" i="8"/>
  <c r="CB31" i="8"/>
  <c r="CF31" i="8"/>
  <c r="CJ31" i="8"/>
  <c r="CN31" i="8"/>
  <c r="CR31" i="8"/>
  <c r="CV31" i="8"/>
  <c r="AG31" i="8"/>
  <c r="AS31" i="8"/>
  <c r="BI31" i="8"/>
  <c r="BU31" i="8"/>
  <c r="BY31" i="8"/>
  <c r="CC31" i="8"/>
  <c r="CG31" i="8"/>
  <c r="CK31" i="8"/>
  <c r="CO31" i="8"/>
  <c r="CS31" i="8"/>
  <c r="CW31" i="8"/>
  <c r="BV31" i="8"/>
  <c r="CD31" i="8"/>
  <c r="CL31" i="8"/>
  <c r="CP31" i="8"/>
  <c r="CT31" i="8"/>
  <c r="CX31" i="8"/>
  <c r="AI31" i="8"/>
  <c r="AY31" i="8"/>
  <c r="BG31" i="8"/>
  <c r="BW31" i="8"/>
  <c r="CE31" i="8"/>
  <c r="CI31" i="8"/>
  <c r="CQ31" i="8"/>
  <c r="AQ31" i="8"/>
  <c r="AH31" i="8"/>
  <c r="AL31" i="8"/>
  <c r="AP31" i="8"/>
  <c r="AT31" i="8"/>
  <c r="AX31" i="8"/>
  <c r="BB31" i="8"/>
  <c r="BF31" i="8"/>
  <c r="BJ31" i="8"/>
  <c r="BN31" i="8"/>
  <c r="BR31" i="8"/>
  <c r="BZ31" i="8"/>
  <c r="CH31" i="8"/>
  <c r="AM31" i="8"/>
  <c r="AU31" i="8"/>
  <c r="BC31" i="8"/>
  <c r="BK31" i="8"/>
  <c r="BO31" i="8"/>
  <c r="BS31" i="8"/>
  <c r="CA31" i="8"/>
  <c r="CM31" i="8"/>
  <c r="AK31" i="8"/>
  <c r="AO31" i="8"/>
  <c r="AW31" i="8"/>
  <c r="BA31" i="8"/>
  <c r="BE31" i="8"/>
  <c r="BM31" i="8"/>
  <c r="BQ31" i="8"/>
  <c r="CU31" i="8"/>
  <c r="AJ55" i="8"/>
  <c r="AN55" i="8"/>
  <c r="AR55" i="8"/>
  <c r="AV55" i="8"/>
  <c r="AZ55" i="8"/>
  <c r="BD55" i="8"/>
  <c r="BH55" i="8"/>
  <c r="BL55" i="8"/>
  <c r="BP55" i="8"/>
  <c r="BT55" i="8"/>
  <c r="BX55" i="8"/>
  <c r="CB55" i="8"/>
  <c r="CF55" i="8"/>
  <c r="CJ55" i="8"/>
  <c r="CN55" i="8"/>
  <c r="CR55" i="8"/>
  <c r="AG55" i="8"/>
  <c r="AK55" i="8"/>
  <c r="AO55" i="8"/>
  <c r="AS55" i="8"/>
  <c r="AW55" i="8"/>
  <c r="BA55" i="8"/>
  <c r="BE55" i="8"/>
  <c r="BI55" i="8"/>
  <c r="BM55" i="8"/>
  <c r="BQ55" i="8"/>
  <c r="BU55" i="8"/>
  <c r="BY55" i="8"/>
  <c r="CC55" i="8"/>
  <c r="CG55" i="8"/>
  <c r="CK55" i="8"/>
  <c r="CO55" i="8"/>
  <c r="CS55" i="8"/>
  <c r="AH55" i="8"/>
  <c r="AL55" i="8"/>
  <c r="AP55" i="8"/>
  <c r="AT55" i="8"/>
  <c r="AX55" i="8"/>
  <c r="BB55" i="8"/>
  <c r="BF55" i="8"/>
  <c r="BJ55" i="8"/>
  <c r="BN55" i="8"/>
  <c r="BR55" i="8"/>
  <c r="BV55" i="8"/>
  <c r="BZ55" i="8"/>
  <c r="CD55" i="8"/>
  <c r="CH55" i="8"/>
  <c r="CL55" i="8"/>
  <c r="CP55" i="8"/>
  <c r="CT55" i="8"/>
  <c r="AI55" i="8"/>
  <c r="AM55" i="8"/>
  <c r="AQ55" i="8"/>
  <c r="AU55" i="8"/>
  <c r="AY55" i="8"/>
  <c r="BC55" i="8"/>
  <c r="BG55" i="8"/>
  <c r="BK55" i="8"/>
  <c r="BO55" i="8"/>
  <c r="BS55" i="8"/>
  <c r="BW55" i="8"/>
  <c r="CA55" i="8"/>
  <c r="CE55" i="8"/>
  <c r="CI55" i="8"/>
  <c r="CM55" i="8"/>
  <c r="CQ55" i="8"/>
  <c r="CV55" i="8"/>
  <c r="CW55" i="8"/>
  <c r="CX55" i="8"/>
  <c r="CU55" i="8"/>
  <c r="AB18" i="8"/>
  <c r="AB64" i="8" s="1"/>
  <c r="AF18" i="8"/>
  <c r="AF64" i="8" s="1"/>
  <c r="AJ18" i="8"/>
  <c r="AJ64" i="8" s="1"/>
  <c r="AN18" i="8"/>
  <c r="AN64" i="8" s="1"/>
  <c r="AR18" i="8"/>
  <c r="AR64" i="8" s="1"/>
  <c r="AV18" i="8"/>
  <c r="AV64" i="8" s="1"/>
  <c r="AZ18" i="8"/>
  <c r="AZ64" i="8" s="1"/>
  <c r="BD18" i="8"/>
  <c r="BD64" i="8" s="1"/>
  <c r="BH18" i="8"/>
  <c r="BH64" i="8" s="1"/>
  <c r="BL18" i="8"/>
  <c r="BL64" i="8" s="1"/>
  <c r="BP18" i="8"/>
  <c r="BP64" i="8" s="1"/>
  <c r="BT18" i="8"/>
  <c r="BT64" i="8" s="1"/>
  <c r="BX18" i="8"/>
  <c r="CB18" i="8"/>
  <c r="CF18" i="8"/>
  <c r="CJ18" i="8"/>
  <c r="CN18" i="8"/>
  <c r="CR18" i="8"/>
  <c r="AC18" i="8"/>
  <c r="AC64" i="8" s="1"/>
  <c r="AG18" i="8"/>
  <c r="AG64" i="8" s="1"/>
  <c r="AK18" i="8"/>
  <c r="AK64" i="8" s="1"/>
  <c r="AO18" i="8"/>
  <c r="AO64" i="8" s="1"/>
  <c r="AS18" i="8"/>
  <c r="AS64" i="8" s="1"/>
  <c r="AW18" i="8"/>
  <c r="AW64" i="8" s="1"/>
  <c r="BA18" i="8"/>
  <c r="BA64" i="8" s="1"/>
  <c r="BE18" i="8"/>
  <c r="BE64" i="8" s="1"/>
  <c r="BI18" i="8"/>
  <c r="BI64" i="8" s="1"/>
  <c r="BM18" i="8"/>
  <c r="BM64" i="8" s="1"/>
  <c r="BQ18" i="8"/>
  <c r="BQ64" i="8" s="1"/>
  <c r="BU18" i="8"/>
  <c r="BU64" i="8" s="1"/>
  <c r="BY18" i="8"/>
  <c r="CC18" i="8"/>
  <c r="CG18" i="8"/>
  <c r="CK18" i="8"/>
  <c r="CO18" i="8"/>
  <c r="CS18" i="8"/>
  <c r="AD18" i="8"/>
  <c r="AD64" i="8" s="1"/>
  <c r="AH18" i="8"/>
  <c r="AH64" i="8" s="1"/>
  <c r="AL18" i="8"/>
  <c r="AL64" i="8" s="1"/>
  <c r="AP18" i="8"/>
  <c r="AP64" i="8" s="1"/>
  <c r="AT18" i="8"/>
  <c r="AT64" i="8" s="1"/>
  <c r="AX18" i="8"/>
  <c r="AX64" i="8" s="1"/>
  <c r="BB18" i="8"/>
  <c r="BB64" i="8" s="1"/>
  <c r="BF18" i="8"/>
  <c r="BF64" i="8" s="1"/>
  <c r="BJ18" i="8"/>
  <c r="BJ64" i="8" s="1"/>
  <c r="BN18" i="8"/>
  <c r="BN64" i="8" s="1"/>
  <c r="BR18" i="8"/>
  <c r="BR64" i="8" s="1"/>
  <c r="BV18" i="8"/>
  <c r="BV64" i="8" s="1"/>
  <c r="BZ18" i="8"/>
  <c r="CD18" i="8"/>
  <c r="CH18" i="8"/>
  <c r="CL18" i="8"/>
  <c r="CP18" i="8"/>
  <c r="CT18" i="8"/>
  <c r="AE18" i="8"/>
  <c r="AE64" i="8" s="1"/>
  <c r="AI18" i="8"/>
  <c r="AI64" i="8" s="1"/>
  <c r="AM18" i="8"/>
  <c r="AM64" i="8" s="1"/>
  <c r="AQ18" i="8"/>
  <c r="AQ64" i="8" s="1"/>
  <c r="AU18" i="8"/>
  <c r="AU64" i="8" s="1"/>
  <c r="AY18" i="8"/>
  <c r="AY64" i="8" s="1"/>
  <c r="BC18" i="8"/>
  <c r="BC64" i="8" s="1"/>
  <c r="BG18" i="8"/>
  <c r="BG64" i="8" s="1"/>
  <c r="BK18" i="8"/>
  <c r="BK64" i="8" s="1"/>
  <c r="BO18" i="8"/>
  <c r="BO64" i="8" s="1"/>
  <c r="BS18" i="8"/>
  <c r="BS64" i="8" s="1"/>
  <c r="BW18" i="8"/>
  <c r="CA18" i="8"/>
  <c r="CE18" i="8"/>
  <c r="CI18" i="8"/>
  <c r="CM18" i="8"/>
  <c r="CQ18" i="8"/>
  <c r="CV18" i="8"/>
  <c r="CW18" i="8"/>
  <c r="CX18" i="8"/>
  <c r="CU18" i="8"/>
  <c r="BW64" i="8"/>
  <c r="CA64" i="8"/>
  <c r="CE64" i="8"/>
  <c r="CI64" i="8"/>
  <c r="CM64" i="8"/>
  <c r="CQ64" i="8"/>
  <c r="BY64" i="8"/>
  <c r="CC64" i="8"/>
  <c r="CG64" i="8"/>
  <c r="CK64" i="8"/>
  <c r="CO64" i="8"/>
  <c r="CS64" i="8"/>
  <c r="BZ64" i="8"/>
  <c r="CD64" i="8"/>
  <c r="CH64" i="8"/>
  <c r="CL64" i="8"/>
  <c r="CP64" i="8"/>
  <c r="CT64" i="8"/>
  <c r="BX64" i="8"/>
  <c r="CB64" i="8"/>
  <c r="CF64" i="8"/>
  <c r="CJ64" i="8"/>
  <c r="CN64" i="8"/>
  <c r="CR64" i="8"/>
  <c r="CW64" i="8"/>
  <c r="CX64" i="8"/>
  <c r="CU64" i="8"/>
  <c r="CV64" i="8"/>
  <c r="E65" i="7" l="1"/>
  <c r="E83" i="8" s="1"/>
  <c r="D67" i="7"/>
  <c r="D26" i="8"/>
  <c r="E26" i="8" s="1"/>
  <c r="B5" i="8" a="1"/>
  <c r="C15" i="8"/>
  <c r="D27" i="8"/>
  <c r="D29" i="8" s="1"/>
  <c r="C29" i="8"/>
  <c r="O15" i="8"/>
  <c r="X15" i="8"/>
  <c r="H15" i="8"/>
  <c r="L15" i="8"/>
  <c r="V15" i="8"/>
  <c r="P15" i="8"/>
  <c r="Z15" i="8"/>
  <c r="J15" i="8"/>
  <c r="W15" i="8"/>
  <c r="M15" i="8"/>
  <c r="G15" i="8"/>
  <c r="F15" i="8"/>
  <c r="S15" i="8"/>
  <c r="E15" i="8"/>
  <c r="U15" i="8"/>
  <c r="R15" i="8"/>
  <c r="Q15" i="8"/>
  <c r="T15" i="8"/>
  <c r="D15" i="8"/>
  <c r="N15" i="8"/>
  <c r="AA15" i="8"/>
  <c r="K15" i="8"/>
  <c r="Y15" i="8"/>
  <c r="I15" i="8"/>
  <c r="E67" i="7" l="1"/>
  <c r="F65" i="7"/>
  <c r="F83" i="8" s="1"/>
  <c r="B5" i="8"/>
  <c r="CG5" i="8"/>
  <c r="BM5" i="8"/>
  <c r="CF5" i="8"/>
  <c r="BA5" i="8"/>
  <c r="AK5" i="8"/>
  <c r="U5" i="8"/>
  <c r="E5" i="8"/>
  <c r="BX5" i="8"/>
  <c r="BD5" i="8"/>
  <c r="AN5" i="8"/>
  <c r="H5" i="8"/>
  <c r="CM5" i="8"/>
  <c r="BW5" i="8"/>
  <c r="BG5" i="8"/>
  <c r="AQ5" i="8"/>
  <c r="AA5" i="8"/>
  <c r="K5" i="8"/>
  <c r="CP5" i="8"/>
  <c r="BZ5" i="8"/>
  <c r="BJ5" i="8"/>
  <c r="AT5" i="8"/>
  <c r="AD5" i="8"/>
  <c r="N5" i="8"/>
  <c r="CK5" i="8"/>
  <c r="BQ5" i="8"/>
  <c r="CO5" i="8"/>
  <c r="BT5" i="8"/>
  <c r="AW5" i="8"/>
  <c r="AG5" i="8"/>
  <c r="Q5" i="8"/>
  <c r="CR5" i="8"/>
  <c r="BP5" i="8"/>
  <c r="AZ5" i="8"/>
  <c r="AJ5" i="8"/>
  <c r="T5" i="8"/>
  <c r="D5" i="8"/>
  <c r="CI5" i="8"/>
  <c r="BS5" i="8"/>
  <c r="BC5" i="8"/>
  <c r="AM5" i="8"/>
  <c r="W5" i="8"/>
  <c r="G5" i="8"/>
  <c r="CL5" i="8"/>
  <c r="BV5" i="8"/>
  <c r="BF5" i="8"/>
  <c r="AP5" i="8"/>
  <c r="Z5" i="8"/>
  <c r="J5" i="8"/>
  <c r="BU5" i="8"/>
  <c r="CS5" i="8"/>
  <c r="BY5" i="8"/>
  <c r="CV5" i="8"/>
  <c r="C5" i="8"/>
  <c r="AS5" i="8"/>
  <c r="AC5" i="8"/>
  <c r="M5" i="8"/>
  <c r="CJ5" i="8"/>
  <c r="BL5" i="8"/>
  <c r="AV5" i="8"/>
  <c r="AF5" i="8"/>
  <c r="P5" i="8"/>
  <c r="CU5" i="8"/>
  <c r="CE5" i="8"/>
  <c r="BO5" i="8"/>
  <c r="AY5" i="8"/>
  <c r="AI5" i="8"/>
  <c r="S5" i="8"/>
  <c r="CX5" i="8"/>
  <c r="CH5" i="8"/>
  <c r="BR5" i="8"/>
  <c r="BB5" i="8"/>
  <c r="AL5" i="8"/>
  <c r="V5" i="8"/>
  <c r="F5" i="8"/>
  <c r="CW5" i="8"/>
  <c r="CC5" i="8"/>
  <c r="BI5" i="8"/>
  <c r="CN5" i="8"/>
  <c r="BE5" i="8"/>
  <c r="AO5" i="8"/>
  <c r="Y5" i="8"/>
  <c r="I5" i="8"/>
  <c r="CB5" i="8"/>
  <c r="BH5" i="8"/>
  <c r="AR5" i="8"/>
  <c r="AB5" i="8"/>
  <c r="L5" i="8"/>
  <c r="CQ5" i="8"/>
  <c r="CA5" i="8"/>
  <c r="BK5" i="8"/>
  <c r="AU5" i="8"/>
  <c r="AE5" i="8"/>
  <c r="O5" i="8"/>
  <c r="CT5" i="8"/>
  <c r="CD5" i="8"/>
  <c r="BN5" i="8"/>
  <c r="AX5" i="8"/>
  <c r="AH5" i="8"/>
  <c r="R5" i="8"/>
  <c r="X5" i="8"/>
  <c r="C31" i="8"/>
  <c r="D31" i="8"/>
  <c r="F26" i="8"/>
  <c r="E27" i="8"/>
  <c r="E29" i="8" s="1"/>
  <c r="E31" i="8" s="1"/>
  <c r="O18" i="8"/>
  <c r="O64" i="8" s="1"/>
  <c r="P18" i="8"/>
  <c r="P64" i="8" s="1"/>
  <c r="J18" i="8"/>
  <c r="J64" i="8" s="1"/>
  <c r="G18" i="8"/>
  <c r="G64" i="8" s="1"/>
  <c r="C18" i="8"/>
  <c r="C64" i="8" s="1"/>
  <c r="F18" i="8"/>
  <c r="F64" i="8" s="1"/>
  <c r="H18" i="8"/>
  <c r="H64" i="8" s="1"/>
  <c r="X18" i="8"/>
  <c r="X64" i="8" s="1"/>
  <c r="L18" i="8"/>
  <c r="L64" i="8" s="1"/>
  <c r="N18" i="8"/>
  <c r="N64" i="8" s="1"/>
  <c r="E18" i="8"/>
  <c r="E64" i="8" s="1"/>
  <c r="M18" i="8"/>
  <c r="M64" i="8" s="1"/>
  <c r="U18" i="8"/>
  <c r="U64" i="8" s="1"/>
  <c r="Z18" i="8"/>
  <c r="Z64" i="8" s="1"/>
  <c r="V18" i="8"/>
  <c r="V64" i="8" s="1"/>
  <c r="Y18" i="8"/>
  <c r="AA18" i="8"/>
  <c r="AA64" i="8" s="1"/>
  <c r="S18" i="8"/>
  <c r="S64" i="8" s="1"/>
  <c r="Q18" i="8"/>
  <c r="W18" i="8"/>
  <c r="R18" i="8"/>
  <c r="R64" i="8" s="1"/>
  <c r="I18" i="8"/>
  <c r="I64" i="8" s="1"/>
  <c r="D18" i="8"/>
  <c r="D64" i="8" s="1"/>
  <c r="K18" i="8"/>
  <c r="T18" i="8"/>
  <c r="G65" i="7" l="1"/>
  <c r="H65" i="7" s="1"/>
  <c r="F67" i="7"/>
  <c r="G67" i="7"/>
  <c r="C50" i="8"/>
  <c r="C55" i="8" s="1"/>
  <c r="G26" i="8"/>
  <c r="F27" i="8"/>
  <c r="F29" i="8" s="1"/>
  <c r="F31" i="8" s="1"/>
  <c r="J50" i="8"/>
  <c r="P50" i="8"/>
  <c r="U50" i="8"/>
  <c r="G50" i="8"/>
  <c r="O50" i="8"/>
  <c r="N50" i="8"/>
  <c r="F50" i="8"/>
  <c r="H50" i="8"/>
  <c r="E50" i="8"/>
  <c r="L50" i="8"/>
  <c r="X50" i="8"/>
  <c r="Z50" i="8"/>
  <c r="T50" i="8"/>
  <c r="T64" i="8"/>
  <c r="Q50" i="8"/>
  <c r="Q64" i="8"/>
  <c r="Y50" i="8"/>
  <c r="Y64" i="8"/>
  <c r="K50" i="8"/>
  <c r="K64" i="8"/>
  <c r="M50" i="8"/>
  <c r="W50" i="8"/>
  <c r="W64" i="8"/>
  <c r="V50" i="8"/>
  <c r="I50" i="8"/>
  <c r="D50" i="8"/>
  <c r="R50" i="8"/>
  <c r="AA50" i="8"/>
  <c r="S50" i="8"/>
  <c r="AC70" i="8"/>
  <c r="AE70" i="8"/>
  <c r="AE55" i="8"/>
  <c r="AF70" i="8"/>
  <c r="AF55" i="8"/>
  <c r="AB70" i="8"/>
  <c r="AB55" i="8"/>
  <c r="AD70" i="8"/>
  <c r="AD55" i="8"/>
  <c r="AC55" i="8"/>
  <c r="AE31" i="8"/>
  <c r="AF31" i="8"/>
  <c r="AC31" i="8"/>
  <c r="AB31" i="8"/>
  <c r="AD31" i="8"/>
  <c r="G83" i="8" l="1"/>
  <c r="I65" i="7"/>
  <c r="H67" i="7"/>
  <c r="H83" i="8"/>
  <c r="G27" i="8"/>
  <c r="G29" i="8" s="1"/>
  <c r="G31" i="8" s="1"/>
  <c r="H26" i="8"/>
  <c r="C56" i="8"/>
  <c r="C57" i="8" s="1"/>
  <c r="C59" i="8" s="1"/>
  <c r="J65" i="7" l="1"/>
  <c r="I67" i="7"/>
  <c r="I83" i="8"/>
  <c r="I26" i="8"/>
  <c r="H27" i="8"/>
  <c r="H29" i="8" s="1"/>
  <c r="H31" i="8" s="1"/>
  <c r="C69" i="8"/>
  <c r="C70" i="8" s="1"/>
  <c r="K65" i="7" l="1"/>
  <c r="J67" i="7"/>
  <c r="J83" i="8"/>
  <c r="J26" i="8"/>
  <c r="I27" i="8"/>
  <c r="I29" i="8" s="1"/>
  <c r="I31" i="8" s="1"/>
  <c r="C71" i="8"/>
  <c r="C72" i="8" s="1"/>
  <c r="C75" i="8" s="1"/>
  <c r="L65" i="7" l="1"/>
  <c r="K67" i="7"/>
  <c r="K83" i="8"/>
  <c r="C84" i="8"/>
  <c r="K26" i="8"/>
  <c r="J27" i="8"/>
  <c r="J29" i="8" s="1"/>
  <c r="J31" i="8" s="1"/>
  <c r="M65" i="7" l="1"/>
  <c r="L67" i="7"/>
  <c r="L83" i="8"/>
  <c r="K27" i="8"/>
  <c r="K29" i="8" s="1"/>
  <c r="K31" i="8" s="1"/>
  <c r="L26" i="8"/>
  <c r="D55" i="8"/>
  <c r="D56" i="8" s="1"/>
  <c r="D57" i="8" s="1"/>
  <c r="D59" i="8" s="1"/>
  <c r="N65" i="7" l="1"/>
  <c r="M67" i="7"/>
  <c r="M83" i="8"/>
  <c r="M26" i="8"/>
  <c r="L27" i="8"/>
  <c r="L29" i="8" s="1"/>
  <c r="L31" i="8" s="1"/>
  <c r="D69" i="8"/>
  <c r="O65" i="7" l="1"/>
  <c r="N67" i="7"/>
  <c r="N83" i="8"/>
  <c r="N26" i="8"/>
  <c r="M27" i="8"/>
  <c r="M29" i="8" s="1"/>
  <c r="M31" i="8" s="1"/>
  <c r="D70" i="8"/>
  <c r="D71" i="8" s="1"/>
  <c r="D72" i="8" s="1"/>
  <c r="E55" i="8"/>
  <c r="E56" i="8" s="1"/>
  <c r="F55" i="8"/>
  <c r="F56" i="8" s="1"/>
  <c r="P65" i="7" l="1"/>
  <c r="O67" i="7"/>
  <c r="O83" i="8"/>
  <c r="O26" i="8"/>
  <c r="N27" i="8"/>
  <c r="N29" i="8" s="1"/>
  <c r="N31" i="8" s="1"/>
  <c r="D75" i="8"/>
  <c r="D84" i="8" s="1"/>
  <c r="F57" i="8"/>
  <c r="F59" i="8" s="1"/>
  <c r="E57" i="8"/>
  <c r="E59" i="8" s="1"/>
  <c r="Q65" i="7" l="1"/>
  <c r="P67" i="7"/>
  <c r="P83" i="8"/>
  <c r="P26" i="8"/>
  <c r="O27" i="8"/>
  <c r="O29" i="8" s="1"/>
  <c r="O31" i="8" s="1"/>
  <c r="F69" i="8"/>
  <c r="F70" i="8" s="1"/>
  <c r="F71" i="8" s="1"/>
  <c r="G55" i="8"/>
  <c r="G56" i="8" s="1"/>
  <c r="R65" i="7" l="1"/>
  <c r="Q67" i="7"/>
  <c r="Q83" i="8"/>
  <c r="Q26" i="8"/>
  <c r="P27" i="8"/>
  <c r="P29" i="8" s="1"/>
  <c r="P31" i="8" s="1"/>
  <c r="E69" i="8"/>
  <c r="E70" i="8" s="1"/>
  <c r="E71" i="8" s="1"/>
  <c r="E72" i="8" s="1"/>
  <c r="E75" i="8" s="1"/>
  <c r="E84" i="8" s="1"/>
  <c r="F72" i="8"/>
  <c r="F75" i="8" s="1"/>
  <c r="F84" i="8" s="1"/>
  <c r="G57" i="8"/>
  <c r="G59" i="8" s="1"/>
  <c r="H55" i="8"/>
  <c r="H56" i="8" s="1"/>
  <c r="S65" i="7" l="1"/>
  <c r="R67" i="7"/>
  <c r="R83" i="8"/>
  <c r="R26" i="8"/>
  <c r="Q27" i="8"/>
  <c r="Q29" i="8" s="1"/>
  <c r="Q31" i="8" s="1"/>
  <c r="H57" i="8"/>
  <c r="H59" i="8" s="1"/>
  <c r="I55" i="8"/>
  <c r="I56" i="8" s="1"/>
  <c r="T65" i="7" l="1"/>
  <c r="S67" i="7"/>
  <c r="S83" i="8"/>
  <c r="S26" i="8"/>
  <c r="R27" i="8"/>
  <c r="R29" i="8" s="1"/>
  <c r="R31" i="8" s="1"/>
  <c r="G69" i="8"/>
  <c r="G70" i="8" s="1"/>
  <c r="G71" i="8" s="1"/>
  <c r="G72" i="8" s="1"/>
  <c r="G75" i="8" s="1"/>
  <c r="G84" i="8" s="1"/>
  <c r="I57" i="8"/>
  <c r="I59" i="8" s="1"/>
  <c r="J55" i="8"/>
  <c r="J56" i="8" s="1"/>
  <c r="U65" i="7" l="1"/>
  <c r="T67" i="7"/>
  <c r="T83" i="8"/>
  <c r="T26" i="8"/>
  <c r="S27" i="8"/>
  <c r="S29" i="8" s="1"/>
  <c r="S31" i="8" s="1"/>
  <c r="H69" i="8"/>
  <c r="H70" i="8" s="1"/>
  <c r="H71" i="8" s="1"/>
  <c r="H72" i="8" s="1"/>
  <c r="H75" i="8" s="1"/>
  <c r="H84" i="8" s="1"/>
  <c r="J57" i="8"/>
  <c r="J59" i="8" s="1"/>
  <c r="K55" i="8"/>
  <c r="K56" i="8" s="1"/>
  <c r="V65" i="7" l="1"/>
  <c r="U67" i="7"/>
  <c r="U83" i="8"/>
  <c r="U26" i="8"/>
  <c r="T27" i="8"/>
  <c r="T29" i="8" s="1"/>
  <c r="T31" i="8" s="1"/>
  <c r="I69" i="8"/>
  <c r="I70" i="8" s="1"/>
  <c r="I71" i="8" s="1"/>
  <c r="I72" i="8" s="1"/>
  <c r="I75" i="8" s="1"/>
  <c r="I84" i="8" s="1"/>
  <c r="K57" i="8"/>
  <c r="K59" i="8" s="1"/>
  <c r="L55" i="8"/>
  <c r="L56" i="8" s="1"/>
  <c r="W65" i="7" l="1"/>
  <c r="V67" i="7"/>
  <c r="V83" i="8"/>
  <c r="V26" i="8"/>
  <c r="U27" i="8"/>
  <c r="U29" i="8" s="1"/>
  <c r="U31" i="8" s="1"/>
  <c r="J69" i="8"/>
  <c r="J70" i="8" s="1"/>
  <c r="J71" i="8" s="1"/>
  <c r="J72" i="8" s="1"/>
  <c r="J75" i="8" s="1"/>
  <c r="J84" i="8" s="1"/>
  <c r="L57" i="8"/>
  <c r="L59" i="8" s="1"/>
  <c r="M55" i="8"/>
  <c r="M56" i="8" s="1"/>
  <c r="X65" i="7" l="1"/>
  <c r="W67" i="7"/>
  <c r="W83" i="8"/>
  <c r="W26" i="8"/>
  <c r="V27" i="8"/>
  <c r="V29" i="8" s="1"/>
  <c r="V31" i="8" s="1"/>
  <c r="K69" i="8"/>
  <c r="K70" i="8" s="1"/>
  <c r="K71" i="8" s="1"/>
  <c r="K72" i="8" s="1"/>
  <c r="K75" i="8" s="1"/>
  <c r="K84" i="8" s="1"/>
  <c r="M57" i="8"/>
  <c r="M59" i="8" s="1"/>
  <c r="N55" i="8"/>
  <c r="N56" i="8" s="1"/>
  <c r="Y65" i="7" l="1"/>
  <c r="X67" i="7"/>
  <c r="X83" i="8"/>
  <c r="X26" i="8"/>
  <c r="W27" i="8"/>
  <c r="W29" i="8" s="1"/>
  <c r="W31" i="8" s="1"/>
  <c r="L69" i="8"/>
  <c r="L70" i="8" s="1"/>
  <c r="L71" i="8" s="1"/>
  <c r="L72" i="8" s="1"/>
  <c r="L75" i="8" s="1"/>
  <c r="L84" i="8" s="1"/>
  <c r="N57" i="8"/>
  <c r="N59" i="8" s="1"/>
  <c r="O55" i="8"/>
  <c r="O56" i="8" s="1"/>
  <c r="Z65" i="7" l="1"/>
  <c r="Y67" i="7"/>
  <c r="Y83" i="8"/>
  <c r="X27" i="8"/>
  <c r="X29" i="8" s="1"/>
  <c r="X31" i="8" s="1"/>
  <c r="Y26" i="8"/>
  <c r="M69" i="8"/>
  <c r="M70" i="8" s="1"/>
  <c r="M71" i="8" s="1"/>
  <c r="M72" i="8" s="1"/>
  <c r="M75" i="8" s="1"/>
  <c r="M84" i="8" s="1"/>
  <c r="O57" i="8"/>
  <c r="O59" i="8" s="1"/>
  <c r="P55" i="8"/>
  <c r="P56" i="8" s="1"/>
  <c r="AA65" i="7" l="1"/>
  <c r="Z67" i="7"/>
  <c r="Z83" i="8"/>
  <c r="Z26" i="8"/>
  <c r="Y27" i="8"/>
  <c r="Y29" i="8" s="1"/>
  <c r="Y31" i="8" s="1"/>
  <c r="N69" i="8"/>
  <c r="N70" i="8" s="1"/>
  <c r="N71" i="8" s="1"/>
  <c r="N72" i="8" s="1"/>
  <c r="N75" i="8" s="1"/>
  <c r="N84" i="8" s="1"/>
  <c r="P57" i="8"/>
  <c r="P59" i="8" s="1"/>
  <c r="Q55" i="8"/>
  <c r="Q56" i="8" s="1"/>
  <c r="AA67" i="7" l="1"/>
  <c r="B8" i="8" s="1" a="1"/>
  <c r="AA83" i="8"/>
  <c r="E8" i="7" s="1"/>
  <c r="AA26" i="8"/>
  <c r="AA27" i="8" s="1"/>
  <c r="AA29" i="8" s="1"/>
  <c r="AA31" i="8" s="1"/>
  <c r="Z27" i="8"/>
  <c r="Z29" i="8" s="1"/>
  <c r="Z31" i="8" s="1"/>
  <c r="O69" i="8"/>
  <c r="O70" i="8" s="1"/>
  <c r="O71" i="8" s="1"/>
  <c r="O72" i="8" s="1"/>
  <c r="O75" i="8" s="1"/>
  <c r="O84" i="8" s="1"/>
  <c r="Q57" i="8"/>
  <c r="Q59" i="8" s="1"/>
  <c r="R55" i="8"/>
  <c r="R56" i="8" s="1"/>
  <c r="B8" i="8" l="1"/>
  <c r="B80" i="8" s="1"/>
  <c r="BI8" i="8"/>
  <c r="AW8" i="8"/>
  <c r="I8" i="8"/>
  <c r="I79" i="8" s="1"/>
  <c r="I80" i="8" s="1"/>
  <c r="CS8" i="8"/>
  <c r="H8" i="8"/>
  <c r="H79" i="8" s="1"/>
  <c r="H80" i="8" s="1"/>
  <c r="AO8" i="8"/>
  <c r="BA8" i="8"/>
  <c r="E8" i="8"/>
  <c r="E79" i="8" s="1"/>
  <c r="E80" i="8" s="1"/>
  <c r="BP8" i="8"/>
  <c r="AJ8" i="8"/>
  <c r="CE8" i="8"/>
  <c r="AY8" i="8"/>
  <c r="CJ8" i="8"/>
  <c r="BL8" i="8"/>
  <c r="AF8" i="8"/>
  <c r="CA8" i="8"/>
  <c r="AU8" i="8"/>
  <c r="AA8" i="8"/>
  <c r="AA79" i="8" s="1"/>
  <c r="G8" i="8"/>
  <c r="G79" i="8" s="1"/>
  <c r="G80" i="8" s="1"/>
  <c r="CP8" i="8"/>
  <c r="BZ8" i="8"/>
  <c r="BJ8" i="8"/>
  <c r="AT8" i="8"/>
  <c r="AD8" i="8"/>
  <c r="N8" i="8"/>
  <c r="N79" i="8" s="1"/>
  <c r="N80" i="8" s="1"/>
  <c r="Y8" i="8"/>
  <c r="Y79" i="8" s="1"/>
  <c r="CU8" i="8"/>
  <c r="BX8" i="8"/>
  <c r="CQ8" i="8"/>
  <c r="AI8" i="8"/>
  <c r="CX8" i="8"/>
  <c r="BR8" i="8"/>
  <c r="AL8" i="8"/>
  <c r="F8" i="8"/>
  <c r="F79" i="8" s="1"/>
  <c r="F80" i="8" s="1"/>
  <c r="BE8" i="8"/>
  <c r="CM8" i="8"/>
  <c r="BT8" i="8"/>
  <c r="CI8" i="8"/>
  <c r="AE8" i="8"/>
  <c r="CT8" i="8"/>
  <c r="BN8" i="8"/>
  <c r="AH8" i="8"/>
  <c r="D8" i="8"/>
  <c r="D79" i="8" s="1"/>
  <c r="D80" i="8" s="1"/>
  <c r="P8" i="8"/>
  <c r="P79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79" i="8" s="1"/>
  <c r="BS8" i="8"/>
  <c r="AQ8" i="8"/>
  <c r="W8" i="8"/>
  <c r="W79" i="8" s="1"/>
  <c r="C8" i="8"/>
  <c r="C79" i="8" s="1"/>
  <c r="C80" i="8" s="1"/>
  <c r="CL8" i="8"/>
  <c r="BV8" i="8"/>
  <c r="BF8" i="8"/>
  <c r="AP8" i="8"/>
  <c r="Z8" i="8"/>
  <c r="Z79" i="8" s="1"/>
  <c r="J8" i="8"/>
  <c r="J79" i="8" s="1"/>
  <c r="J80" i="8" s="1"/>
  <c r="CO8" i="8"/>
  <c r="AC8" i="8"/>
  <c r="AG8" i="8"/>
  <c r="BU8" i="8"/>
  <c r="CG8" i="8"/>
  <c r="U8" i="8"/>
  <c r="U79" i="8" s="1"/>
  <c r="CN8" i="8"/>
  <c r="AZ8" i="8"/>
  <c r="BO8" i="8"/>
  <c r="O8" i="8"/>
  <c r="O79" i="8" s="1"/>
  <c r="AV8" i="8"/>
  <c r="BK8" i="8"/>
  <c r="S8" i="8"/>
  <c r="S79" i="8" s="1"/>
  <c r="CH8" i="8"/>
  <c r="BB8" i="8"/>
  <c r="V8" i="8"/>
  <c r="V79" i="8" s="1"/>
  <c r="CC8" i="8"/>
  <c r="T8" i="8"/>
  <c r="T79" i="8" s="1"/>
  <c r="AS8" i="8"/>
  <c r="L8" i="8"/>
  <c r="L79" i="8" s="1"/>
  <c r="L80" i="8" s="1"/>
  <c r="Q8" i="8"/>
  <c r="Q79" i="8" s="1"/>
  <c r="BQ8" i="8"/>
  <c r="M8" i="8"/>
  <c r="M79" i="8" s="1"/>
  <c r="M80" i="8" s="1"/>
  <c r="CB8" i="8"/>
  <c r="AR8" i="8"/>
  <c r="BG8" i="8"/>
  <c r="CR8" i="8"/>
  <c r="AN8" i="8"/>
  <c r="BC8" i="8"/>
  <c r="K8" i="8"/>
  <c r="K79" i="8" s="1"/>
  <c r="K80" i="8" s="1"/>
  <c r="CD8" i="8"/>
  <c r="AX8" i="8"/>
  <c r="R8" i="8"/>
  <c r="R79" i="8" s="1"/>
  <c r="O80" i="8"/>
  <c r="P69" i="8"/>
  <c r="P70" i="8" s="1"/>
  <c r="P71" i="8" s="1"/>
  <c r="P72" i="8" s="1"/>
  <c r="P75" i="8" s="1"/>
  <c r="P84" i="8" s="1"/>
  <c r="R57" i="8"/>
  <c r="R59" i="8" s="1"/>
  <c r="S55" i="8"/>
  <c r="S56" i="8" s="1"/>
  <c r="P80" i="8" l="1"/>
  <c r="Q69" i="8"/>
  <c r="Q70" i="8" s="1"/>
  <c r="Q71" i="8" s="1"/>
  <c r="Q72" i="8" s="1"/>
  <c r="Q75" i="8" s="1"/>
  <c r="Q84" i="8" s="1"/>
  <c r="S57" i="8"/>
  <c r="S59" i="8" s="1"/>
  <c r="T55" i="8"/>
  <c r="T56" i="8" s="1"/>
  <c r="Q80" i="8" l="1"/>
  <c r="R69" i="8"/>
  <c r="R70" i="8" s="1"/>
  <c r="R71" i="8" s="1"/>
  <c r="R72" i="8" s="1"/>
  <c r="R75" i="8" s="1"/>
  <c r="R84" i="8" s="1"/>
  <c r="T57" i="8"/>
  <c r="T59" i="8" s="1"/>
  <c r="U55" i="8"/>
  <c r="U56" i="8" s="1"/>
  <c r="R80" i="8" l="1"/>
  <c r="S69" i="8"/>
  <c r="S70" i="8" s="1"/>
  <c r="S71" i="8" s="1"/>
  <c r="S72" i="8" s="1"/>
  <c r="S75" i="8" s="1"/>
  <c r="S84" i="8" s="1"/>
  <c r="U57" i="8"/>
  <c r="U59" i="8" s="1"/>
  <c r="V55" i="8"/>
  <c r="V56" i="8" s="1"/>
  <c r="S80" i="8" l="1"/>
  <c r="T69" i="8"/>
  <c r="T70" i="8" s="1"/>
  <c r="T71" i="8" s="1"/>
  <c r="T72" i="8" s="1"/>
  <c r="T75" i="8" s="1"/>
  <c r="T84" i="8" s="1"/>
  <c r="V57" i="8"/>
  <c r="V59" i="8" s="1"/>
  <c r="W55" i="8"/>
  <c r="W56" i="8" s="1"/>
  <c r="T80" i="8" l="1"/>
  <c r="U69" i="8"/>
  <c r="U70" i="8" s="1"/>
  <c r="U71" i="8" s="1"/>
  <c r="U72" i="8" s="1"/>
  <c r="U75" i="8" s="1"/>
  <c r="U84" i="8" s="1"/>
  <c r="W57" i="8"/>
  <c r="W59" i="8" s="1"/>
  <c r="X55" i="8"/>
  <c r="X56" i="8" s="1"/>
  <c r="U80" i="8" l="1"/>
  <c r="V69" i="8"/>
  <c r="V70" i="8" s="1"/>
  <c r="V71" i="8" s="1"/>
  <c r="V72" i="8" s="1"/>
  <c r="V75" i="8" s="1"/>
  <c r="V84" i="8" s="1"/>
  <c r="X57" i="8"/>
  <c r="X59" i="8" s="1"/>
  <c r="Y55" i="8"/>
  <c r="Y56" i="8" s="1"/>
  <c r="V80" i="8" l="1"/>
  <c r="W69" i="8"/>
  <c r="W70" i="8" s="1"/>
  <c r="W71" i="8" s="1"/>
  <c r="W72" i="8" s="1"/>
  <c r="W75" i="8" s="1"/>
  <c r="W84" i="8" s="1"/>
  <c r="Y57" i="8"/>
  <c r="Y59" i="8" s="1"/>
  <c r="Z55" i="8"/>
  <c r="Z56" i="8" s="1"/>
  <c r="W80" i="8" l="1"/>
  <c r="X69" i="8"/>
  <c r="X70" i="8" s="1"/>
  <c r="X71" i="8" s="1"/>
  <c r="X72" i="8" s="1"/>
  <c r="X75" i="8" s="1"/>
  <c r="X84" i="8" s="1"/>
  <c r="Z57" i="8"/>
  <c r="Z59" i="8" s="1"/>
  <c r="AA55" i="8"/>
  <c r="AA56" i="8" s="1"/>
  <c r="X80" i="8" l="1"/>
  <c r="Y69" i="8"/>
  <c r="Y70" i="8" s="1"/>
  <c r="Y71" i="8" s="1"/>
  <c r="Y72" i="8" s="1"/>
  <c r="Y75" i="8" s="1"/>
  <c r="Y84" i="8" s="1"/>
  <c r="AA57" i="8"/>
  <c r="AA59" i="8" s="1"/>
  <c r="Y80" i="8" l="1"/>
  <c r="Z69" i="8"/>
  <c r="Z70" i="8" s="1"/>
  <c r="Z71" i="8" s="1"/>
  <c r="Z72" i="8" s="1"/>
  <c r="Z75" i="8" s="1"/>
  <c r="Z84" i="8" s="1"/>
  <c r="Z80" i="8" l="1"/>
  <c r="AA69" i="8"/>
  <c r="AA70" i="8" s="1"/>
  <c r="AA71" i="8" s="1"/>
  <c r="AA72" i="8" s="1"/>
  <c r="AA75" i="8" s="1"/>
  <c r="AA84" i="8" l="1"/>
  <c r="E9" i="7" s="1"/>
  <c r="AA80" i="8"/>
  <c r="E11" i="7" s="1"/>
  <c r="E10" i="7" l="1"/>
</calcChain>
</file>

<file path=xl/sharedStrings.xml><?xml version="1.0" encoding="utf-8"?>
<sst xmlns="http://schemas.openxmlformats.org/spreadsheetml/2006/main" count="490" uniqueCount="143">
  <si>
    <t>Amount</t>
  </si>
  <si>
    <t>Federal</t>
  </si>
  <si>
    <t>State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</si>
  <si>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</si>
  <si>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</si>
  <si>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</si>
  <si>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</si>
  <si>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</si>
  <si>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</si>
  <si>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</si>
  <si>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</si>
  <si>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</si>
  <si>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</si>
  <si>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</si>
  <si>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</si>
  <si>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</si>
  <si>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</si>
  <si>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</si>
  <si>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</si>
  <si>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TAX CREDITS</t>
  </si>
  <si>
    <t>As percentage</t>
  </si>
  <si>
    <t>DIRECT CASH INCENTIVES</t>
  </si>
  <si>
    <t>Federal ($/W)</t>
  </si>
  <si>
    <t>State  ($/W)</t>
  </si>
  <si>
    <t>Utility  ($/W)</t>
  </si>
  <si>
    <t>RESULTS</t>
  </si>
  <si>
    <t>Depreciation, Commercial only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</si>
  <si>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</si>
  <si>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</si>
  <si>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</si>
  <si>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</si>
  <si>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</si>
  <si>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</si>
  <si>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Tax deductible debt interest?
 (Residential Mortgage and Commercial Only)</t>
  </si>
  <si>
    <t>Deductions</t>
  </si>
  <si>
    <t>Total taxable income before deductions</t>
  </si>
  <si>
    <t>Income tax</t>
  </si>
  <si>
    <t>Deductible operating expenses</t>
  </si>
  <si>
    <t>Total deductions</t>
  </si>
  <si>
    <t>Investment-based incentives (IBI)</t>
  </si>
  <si>
    <t>Capacity-based incentives (CBI)</t>
  </si>
  <si>
    <t>Equity</t>
  </si>
  <si>
    <t>Value of electricity savings ($)</t>
  </si>
  <si>
    <t>ANNUAL VALUES</t>
  </si>
  <si>
    <t>State tax savings/liability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</si>
  <si>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</si>
  <si>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</si>
  <si>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</si>
  <si>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</si>
  <si>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</si>
  <si>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</si>
  <si>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</si>
  <si>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</si>
  <si>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</si>
  <si>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</si>
  <si>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</si>
  <si>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</si>
  <si>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</si>
  <si>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</si>
  <si>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</si>
  <si>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</si>
  <si>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</si>
  <si>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</si>
  <si>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</si>
  <si>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</si>
  <si>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</si>
  <si>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Year 1 net energy (kWh/year)</t>
  </si>
  <si>
    <t>Total Installed Cost ($)</t>
  </si>
  <si>
    <t>Federal income tax rate (%)</t>
  </si>
  <si>
    <t>State income tax rate (%)</t>
  </si>
  <si>
    <t>Property Tax (%/year)</t>
  </si>
  <si>
    <t>Assessed value ($)</t>
  </si>
  <si>
    <t>Annual decline (%/year)</t>
  </si>
  <si>
    <t>Property tax rate (% of assessed value)</t>
  </si>
  <si>
    <t>Total installed cost less IBI and CBI</t>
  </si>
  <si>
    <t>Assessed percentage (% of total installed cost)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</si>
  <si>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</si>
  <si>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</si>
  <si>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</si>
  <si>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</si>
  <si>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</si>
  <si>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</si>
  <si>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</si>
  <si>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</si>
  <si>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</si>
  <si>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</si>
  <si>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</si>
  <si>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</si>
  <si>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</si>
  <si>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</si>
  <si>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</si>
  <si>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</si>
  <si>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</si>
  <si>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</si>
  <si>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State Income Tax</t>
  </si>
  <si>
    <t>Federal Income Tax</t>
  </si>
  <si>
    <t>Total taxable income less deductions</t>
  </si>
  <si>
    <t>State income tax</t>
  </si>
  <si>
    <t>State ITC basis</t>
  </si>
  <si>
    <t>State depreciation percentages (fraction)</t>
  </si>
  <si>
    <t>Federal depreciation percentages (fraction)</t>
  </si>
  <si>
    <t>Federal ITC basis</t>
  </si>
  <si>
    <t>Federal ITC amount</t>
  </si>
  <si>
    <t>After-tax value of energy generated by system</t>
  </si>
  <si>
    <t>Reduces depreciation and ITC basis</t>
  </si>
  <si>
    <t>5-yr MACRS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</si>
  <si>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</si>
  <si>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</si>
  <si>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</si>
  <si>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</si>
  <si>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</si>
  <si>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</si>
  <si>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</si>
  <si>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</si>
  <si>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</si>
  <si>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</si>
  <si>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</si>
  <si>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</si>
  <si>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</si>
  <si>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>Depreciation</t>
  </si>
  <si>
    <t/>
  </si>
  <si>
    <t>LCC with system, $</t>
  </si>
  <si>
    <t>LCC without system, $</t>
  </si>
  <si>
    <t>Electricity bill without system ($)</t>
  </si>
  <si>
    <t>Electricity bill with system ($)</t>
  </si>
  <si>
    <t>LCC Calculation</t>
  </si>
  <si>
    <t>Net annual costs with system (after tax)</t>
  </si>
  <si>
    <t>Net annual costs without system (after tax)</t>
  </si>
  <si>
    <t>PV degradation rate (%/year)</t>
  </si>
  <si>
    <t>Escalation rate (%/year)</t>
  </si>
  <si>
    <t>Federal bonus fraction</t>
  </si>
  <si>
    <t>State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</si>
  <si>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</si>
  <si>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</si>
  <si>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</si>
  <si>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</si>
  <si>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</si>
  <si>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</si>
  <si>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State Taxable</t>
  </si>
  <si>
    <t>Term (years)</t>
  </si>
  <si>
    <t>Combined PBI</t>
  </si>
  <si>
    <t>Production-based incentives PBI</t>
  </si>
  <si>
    <t>System Size Limit (kW)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</si>
</sst>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31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31" applyNumberFormat="0" applyAlignment="0" applyProtection="0"/>
    <xf numFmtId="0" fontId="1" fillId="0" borderId="0"/>
    <xf numFmtId="0" fontId="1" fillId="0" borderId="0"/>
    <xf numFmtId="0" fontId="1" fillId="23" borderId="32" applyNumberFormat="0" applyFont="0" applyAlignment="0" applyProtection="0"/>
    <xf numFmtId="0" fontId="18" fillId="20" borderId="33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4" applyNumberFormat="0" applyFill="0" applyAlignment="0" applyProtection="0"/>
    <xf numFmtId="0" fontId="1" fillId="23" borderId="7" applyNumberFormat="0" applyFont="0" applyAlignment="0" applyProtection="0"/>
  </cellStyleXfs>
  <cellXfs count="209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 applyAlignment="1">
      <alignment horizontal="center"/>
    </xf>
    <xf numFmtId="0" fontId="24" fillId="0" borderId="0" xfId="40" applyFont="1" applyFill="1" applyBorder="1"/>
    <xf numFmtId="0" fontId="25" fillId="0" borderId="0" xfId="40" applyFont="1" applyFill="1" applyBorder="1"/>
    <xf numFmtId="0" fontId="25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5" fillId="25" borderId="10" xfId="40" applyFont="1" applyFill="1" applyBorder="1" applyAlignment="1">
      <alignment horizontal="left"/>
    </xf>
    <xf numFmtId="0" fontId="25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164" fontId="23" fillId="0" borderId="13" xfId="40" applyNumberFormat="1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0" fontId="23" fillId="0" borderId="16" xfId="40" applyFont="1" applyFill="1" applyBorder="1" applyAlignment="1">
      <alignment horizontal="left" indent="1"/>
    </xf>
    <xf numFmtId="164" fontId="23" fillId="0" borderId="16" xfId="40" applyNumberFormat="1" applyFont="1" applyFill="1" applyBorder="1" applyAlignment="1">
      <alignment horizontal="center"/>
    </xf>
    <xf numFmtId="0" fontId="25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5" fillId="25" borderId="17" xfId="40" applyFont="1" applyFill="1" applyBorder="1" applyAlignment="1">
      <alignment horizontal="left"/>
    </xf>
    <xf numFmtId="0" fontId="26" fillId="25" borderId="13" xfId="0" applyFont="1" applyFill="1" applyBorder="1"/>
    <xf numFmtId="0" fontId="27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5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left" wrapText="1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3" fontId="1" fillId="0" borderId="0" xfId="40" applyNumberFormat="1" applyFont="1" applyFill="1" applyBorder="1" applyAlignment="1">
      <alignment horizontal="left" indent="2"/>
    </xf>
    <xf numFmtId="3" fontId="1" fillId="0" borderId="0" xfId="40" applyNumberFormat="1" applyFont="1" applyFill="1" applyBorder="1" applyAlignment="1">
      <alignment horizontal="left" indent="1"/>
    </xf>
    <xf numFmtId="3" fontId="1" fillId="0" borderId="0" xfId="40" applyNumberFormat="1" applyFont="1" applyFill="1" applyBorder="1" applyAlignment="1">
      <alignment horizontal="left"/>
    </xf>
    <xf numFmtId="3" fontId="1" fillId="0" borderId="11" xfId="40" applyNumberFormat="1" applyFont="1" applyFill="1" applyBorder="1" applyAlignment="1">
      <alignment horizontal="left"/>
    </xf>
    <xf numFmtId="3" fontId="1" fillId="0" borderId="19" xfId="0" applyNumberFormat="1" applyFont="1" applyFill="1" applyBorder="1"/>
    <xf numFmtId="0" fontId="23" fillId="0" borderId="16" xfId="40" applyNumberFormat="1" applyFont="1" applyFill="1" applyBorder="1" applyAlignment="1">
      <alignment horizontal="center"/>
    </xf>
    <xf numFmtId="0" fontId="25" fillId="0" borderId="10" xfId="40" applyFont="1" applyFill="1" applyBorder="1" applyAlignment="1">
      <alignment horizontal="left"/>
    </xf>
    <xf numFmtId="0" fontId="25" fillId="0" borderId="18" xfId="40" applyFont="1" applyFill="1" applyBorder="1" applyAlignment="1">
      <alignment horizontal="left"/>
    </xf>
    <xf numFmtId="0" fontId="25" fillId="25" borderId="21" xfId="40" applyFont="1" applyFill="1" applyBorder="1" applyAlignment="1">
      <alignment horizontal="center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5" fillId="0" borderId="22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5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" fillId="28" borderId="26" xfId="40" applyNumberFormat="1" applyFont="1" applyFill="1" applyBorder="1" applyAlignment="1">
      <alignment horizontal="right"/>
    </xf>
    <xf numFmtId="0" fontId="26" fillId="28" borderId="23" xfId="0" applyFont="1" applyFill="1" applyBorder="1"/>
    <xf numFmtId="3" fontId="3" fillId="28" borderId="25" xfId="40" applyNumberFormat="1" applyFont="1" applyFill="1" applyBorder="1"/>
    <xf numFmtId="3" fontId="3" fillId="28" borderId="26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3" xfId="0" applyFont="1" applyFill="1" applyBorder="1"/>
    <xf numFmtId="3" fontId="28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8" xfId="40" applyNumberFormat="1" applyFont="1" applyFill="1" applyBorder="1" applyAlignment="1">
      <alignment horizontal="left"/>
    </xf>
    <xf numFmtId="0" fontId="23" fillId="0" borderId="29" xfId="40" applyNumberFormat="1" applyFont="1" applyFill="1" applyBorder="1" applyAlignment="1">
      <alignment horizontal="center"/>
    </xf>
    <xf numFmtId="0" fontId="23" fillId="0" borderId="29" xfId="0" applyFont="1" applyBorder="1"/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3" fontId="23" fillId="26" borderId="13" xfId="40" applyNumberFormat="1" applyFont="1" applyFill="1" applyBorder="1" applyAlignment="1">
      <alignment horizontal="right"/>
    </xf>
    <xf numFmtId="1" fontId="23" fillId="0" borderId="13" xfId="40" applyNumberFormat="1" applyFont="1" applyFill="1" applyBorder="1" applyAlignment="1">
      <alignment horizontal="right"/>
    </xf>
    <xf numFmtId="0" fontId="23" fillId="0" borderId="23" xfId="40" applyFont="1" applyFill="1" applyBorder="1" applyAlignment="1">
      <alignment horizontal="right"/>
    </xf>
    <xf numFmtId="3" fontId="23" fillId="0" borderId="23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2" fontId="23" fillId="0" borderId="16" xfId="40" applyNumberFormat="1" applyFont="1" applyFill="1" applyBorder="1" applyAlignment="1">
      <alignment horizontal="right"/>
    </xf>
    <xf numFmtId="0" fontId="23" fillId="0" borderId="24" xfId="40" applyFont="1" applyFill="1" applyBorder="1" applyAlignment="1">
      <alignment horizontal="left"/>
    </xf>
    <xf numFmtId="0" fontId="25" fillId="0" borderId="26" xfId="40" applyFont="1" applyFill="1" applyBorder="1" applyAlignment="1">
      <alignment horizontal="center"/>
    </xf>
    <xf numFmtId="0" fontId="29" fillId="29" borderId="30" xfId="40" applyFont="1" applyFill="1" applyBorder="1" applyAlignment="1">
      <alignment horizontal="left"/>
    </xf>
    <xf numFmtId="0" fontId="29" fillId="29" borderId="27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4" xfId="40" applyNumberFormat="1" applyFont="1" applyFill="1" applyBorder="1" applyAlignment="1">
      <alignment horizontal="center"/>
    </xf>
    <xf numFmtId="164" fontId="23" fillId="0" borderId="26" xfId="40" applyNumberFormat="1" applyFont="1" applyFill="1" applyBorder="1" applyAlignment="1">
      <alignment horizontal="center"/>
    </xf>
    <xf numFmtId="0" fontId="25" fillId="0" borderId="18" xfId="0" applyFont="1" applyFill="1" applyBorder="1"/>
    <xf numFmtId="0" fontId="23" fillId="0" borderId="19" xfId="0" applyFont="1" applyFill="1" applyBorder="1"/>
    <xf numFmtId="0" fontId="23" fillId="0" borderId="18" xfId="0" applyFont="1" applyFill="1" applyBorder="1" applyAlignment="1">
      <alignment horizontal="center"/>
    </xf>
    <xf numFmtId="0" fontId="25" fillId="25" borderId="24" xfId="40" applyFont="1" applyFill="1" applyBorder="1" applyAlignment="1">
      <alignment horizontal="left"/>
    </xf>
    <xf numFmtId="0" fontId="25" fillId="25" borderId="25" xfId="40" applyFont="1" applyFill="1" applyBorder="1" applyAlignment="1">
      <alignment horizontal="center"/>
    </xf>
    <xf numFmtId="0" fontId="25" fillId="25" borderId="26" xfId="40" applyFont="1" applyFill="1" applyBorder="1" applyAlignment="1">
      <alignment horizontal="center"/>
    </xf>
    <xf numFmtId="0" fontId="23" fillId="0" borderId="23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7" xfId="57" applyNumberFormat="1" applyFont="1" applyFill="1" applyBorder="1" applyAlignment="1">
      <alignment horizontal="right"/>
    </xf>
    <xf numFmtId="0" fontId="25" fillId="25" borderId="36" xfId="40" applyFont="1" applyFill="1" applyBorder="1" applyAlignment="1">
      <alignment horizontal="center"/>
    </xf>
    <xf numFmtId="2" fontId="23" fillId="0" borderId="38" xfId="40" applyNumberFormat="1" applyFont="1" applyFill="1" applyBorder="1" applyAlignment="1">
      <alignment horizontal="right"/>
    </xf>
    <xf numFmtId="0" fontId="23" fillId="0" borderId="38" xfId="40" applyFont="1" applyFill="1" applyBorder="1" applyAlignment="1">
      <alignment horizontal="left"/>
    </xf>
    <xf numFmtId="0" fontId="23" fillId="0" borderId="38" xfId="51" applyFont="1" applyBorder="1" applyAlignment="1">
      <alignment horizontal="left"/>
    </xf>
    <xf numFmtId="0" fontId="25" fillId="28" borderId="35" xfId="51" applyFont="1" applyFill="1" applyBorder="1" applyAlignment="1">
      <alignment horizontal="left"/>
    </xf>
    <xf numFmtId="4" fontId="23" fillId="0" borderId="38" xfId="51" applyNumberFormat="1" applyFont="1" applyBorder="1"/>
    <xf numFmtId="0" fontId="25" fillId="28" borderId="36" xfId="51" applyFont="1" applyFill="1" applyBorder="1" applyAlignment="1">
      <alignment horizontal="center"/>
    </xf>
    <xf numFmtId="3" fontId="23" fillId="30" borderId="38" xfId="51" applyNumberFormat="1" applyFont="1" applyFill="1" applyBorder="1" applyAlignment="1">
      <alignment horizontal="right"/>
    </xf>
    <xf numFmtId="4" fontId="23" fillId="30" borderId="38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5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6" xfId="57" applyFont="1" applyFill="1" applyBorder="1" applyAlignment="1">
      <alignment horizontal="right"/>
    </xf>
    <xf numFmtId="0" fontId="1" fillId="28" borderId="36" xfId="57" applyFont="1" applyFill="1" applyBorder="1" applyAlignment="1">
      <alignment horizontal="right"/>
    </xf>
    <xf numFmtId="4" fontId="1" fillId="28" borderId="37" xfId="57" applyNumberFormat="1" applyFont="1" applyFill="1" applyBorder="1" applyAlignment="1">
      <alignment horizontal="right"/>
    </xf>
    <xf numFmtId="0" fontId="1" fillId="0" borderId="36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6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8" xfId="57" applyFont="1" applyFill="1" applyBorder="1" applyAlignment="1">
      <alignment horizontal="left"/>
    </xf>
    <xf numFmtId="0" fontId="25" fillId="25" borderId="35" xfId="57" applyFont="1" applyFill="1" applyBorder="1" applyAlignment="1">
      <alignment horizontal="left"/>
    </xf>
    <xf numFmtId="0" fontId="25" fillId="25" borderId="37" xfId="57" applyFont="1" applyFill="1" applyBorder="1" applyAlignment="1">
      <alignment horizontal="center"/>
    </xf>
    <xf numFmtId="0" fontId="23" fillId="0" borderId="35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6" xfId="57" applyNumberFormat="1" applyFont="1" applyFill="1" applyBorder="1" applyAlignment="1">
      <alignment horizontal="right"/>
    </xf>
    <xf numFmtId="2" fontId="23" fillId="0" borderId="38" xfId="57" applyNumberFormat="1" applyFont="1" applyFill="1" applyBorder="1" applyAlignment="1">
      <alignment horizontal="right"/>
    </xf>
    <xf numFmtId="0" fontId="23" fillId="0" borderId="38" xfId="57" applyFont="1" applyFill="1" applyBorder="1" applyAlignment="1">
      <alignment horizontal="right"/>
    </xf>
    <xf numFmtId="0" fontId="1" fillId="0" borderId="0" xfId="57"/>
    <xf numFmtId="3" fontId="1" fillId="0" borderId="0" xfId="57" applyNumberFormat="1" applyFont="1" applyFill="1" applyBorder="1" applyAlignment="1">
      <alignment horizontal="right"/>
    </xf>
    <xf numFmtId="3" fontId="1" fillId="0" borderId="0" xfId="57" applyNumberFormat="1" applyFont="1" applyFill="1" applyBorder="1" applyAlignment="1">
      <alignment horizontal="lef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8" xfId="51" applyNumberFormat="1" applyFont="1" applyBorder="1" applyAlignment="1">
      <alignment horizontal="center"/>
    </xf>
    <xf numFmtId="4" fontId="23" fillId="0" borderId="38" xfId="51" applyNumberFormat="1" applyFont="1" applyBorder="1" applyAlignment="1">
      <alignment horizontal="center"/>
    </xf>
    <xf numFmtId="0" fontId="23" fillId="0" borderId="38" xfId="0" applyFont="1" applyBorder="1" applyAlignment="1">
      <alignment horizontal="center"/>
    </xf>
    <xf numFmtId="2" fontId="23" fillId="0" borderId="0" xfId="0" applyNumberFormat="1" applyFont="1" applyFill="1" applyBorder="1"/>
    <xf numFmtId="166" fontId="28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9" xfId="0" applyFont="1" applyFill="1" applyBorder="1"/>
    <xf numFmtId="0" fontId="23" fillId="0" borderId="39" xfId="40" applyFont="1" applyFill="1" applyBorder="1" applyAlignment="1">
      <alignment horizontal="right"/>
    </xf>
    <xf numFmtId="3" fontId="23" fillId="26" borderId="38" xfId="51" applyNumberFormat="1" applyFont="1" applyFill="1" applyBorder="1" applyAlignment="1">
      <alignment horizontal="center"/>
    </xf>
    <xf numFmtId="0" fontId="23" fillId="26" borderId="38" xfId="0" applyFont="1" applyFill="1" applyBorder="1" applyAlignment="1">
      <alignment horizontal="center"/>
    </xf>
    <xf numFmtId="3" fontId="23" fillId="26" borderId="38" xfId="51" applyNumberFormat="1" applyFont="1" applyFill="1" applyBorder="1" applyAlignment="1">
      <alignment horizontal="right"/>
    </xf>
    <xf numFmtId="10" fontId="28" fillId="24" borderId="23" xfId="44" applyNumberFormat="1" applyFont="1" applyFill="1" applyBorder="1" applyAlignment="1">
      <alignment horizontal="center"/>
    </xf>
    <xf numFmtId="0" fontId="23" fillId="0" borderId="39" xfId="40" applyFont="1" applyFill="1" applyBorder="1" applyAlignment="1">
      <alignment horizontal="left" wrapText="1"/>
    </xf>
    <xf numFmtId="0" fontId="23" fillId="0" borderId="39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9" xfId="40" applyNumberFormat="1" applyFont="1" applyFill="1" applyBorder="1" applyAlignment="1">
      <alignment horizontal="center"/>
    </xf>
    <xf numFmtId="11" fontId="23" fillId="0" borderId="39" xfId="40" applyNumberFormat="1" applyFont="1" applyFill="1" applyBorder="1" applyAlignment="1">
      <alignment horizontal="right"/>
    </xf>
    <xf numFmtId="0" fontId="23" fillId="0" borderId="39" xfId="0" applyNumberFormat="1" applyFont="1" applyBorder="1" applyAlignment="1">
      <alignment horizontal="center"/>
    </xf>
    <xf numFmtId="164" fontId="23" fillId="0" borderId="39" xfId="40" applyNumberFormat="1" applyFont="1" applyFill="1" applyBorder="1" applyAlignment="1">
      <alignment horizontal="center"/>
    </xf>
    <xf numFmtId="0" fontId="23" fillId="0" borderId="39" xfId="0" applyFont="1" applyBorder="1"/>
    <xf numFmtId="11" fontId="23" fillId="0" borderId="39" xfId="40" applyNumberFormat="1" applyFont="1" applyFill="1" applyBorder="1" applyAlignment="1">
      <alignment horizontal="center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17"/>
  <sheetViews>
    <sheetView topLeftCell="A31" zoomScaleNormal="100" workbookViewId="0">
      <selection activeCell="B54" sqref="B54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4.4257812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7" ht="21" thickBot="1" x14ac:dyDescent="0.4">
      <c r="A1" s="134" t="s">
        <v>117</v>
      </c>
      <c r="B1" s="130"/>
      <c r="C1" s="27"/>
    </row>
    <row r="2" spans="1:17" x14ac:dyDescent="0.2">
      <c r="A2" s="35" t="s">
        <v>12</v>
      </c>
      <c r="B2" s="36"/>
      <c r="C2" s="20"/>
      <c r="F2" s="20"/>
      <c r="L2" s="21"/>
      <c r="Q2" s="20"/>
    </row>
    <row r="3" spans="1:17" s="22" customFormat="1" x14ac:dyDescent="0.2">
      <c r="A3" s="114" t="s">
        <v>108</v>
      </c>
      <c r="B3" s="126">
        <v>219.58600000000001</v>
      </c>
      <c r="C3" s="20"/>
      <c r="D3" s="50" t="s">
        <v>17</v>
      </c>
      <c r="F3" s="20"/>
      <c r="L3" s="21"/>
      <c r="M3" s="19"/>
      <c r="N3" s="19"/>
      <c r="Q3" s="20"/>
    </row>
    <row r="4" spans="1:17" s="22" customFormat="1" x14ac:dyDescent="0.2">
      <c r="A4" s="192" t="s">
        <v>128</v>
      </c>
      <c r="B4" s="193">
        <v>0.5</v>
      </c>
      <c r="C4" s="20"/>
      <c r="D4" s="51" t="s">
        <v>18</v>
      </c>
      <c r="F4" s="20"/>
      <c r="L4" s="21"/>
      <c r="M4" s="19"/>
      <c r="N4" s="19"/>
      <c r="Q4" s="20"/>
    </row>
    <row r="5" spans="1:17" s="22" customFormat="1" x14ac:dyDescent="0.2">
      <c r="A5" s="114" t="s">
        <v>109</v>
      </c>
      <c r="B5" s="114">
        <v>100</v>
      </c>
      <c r="C5" s="20"/>
      <c r="D5" s="52" t="s">
        <v>107</v>
      </c>
      <c r="F5" s="20"/>
      <c r="L5" s="21"/>
      <c r="M5" s="19"/>
      <c r="N5" s="19"/>
      <c r="Q5" s="20"/>
    </row>
    <row r="6" spans="1:17" s="22" customFormat="1" x14ac:dyDescent="0.2">
      <c r="A6" s="114" t="s">
        <v>110</v>
      </c>
      <c r="B6" s="127">
        <v>50</v>
      </c>
      <c r="C6" s="20"/>
      <c r="D6" s="146"/>
      <c r="F6" s="20"/>
      <c r="L6" s="21"/>
      <c r="M6" s="19"/>
      <c r="N6" s="19"/>
      <c r="Q6" s="20"/>
    </row>
    <row r="7" spans="1:17" s="22" customFormat="1" x14ac:dyDescent="0.2">
      <c r="A7" s="114" t="s">
        <v>66</v>
      </c>
      <c r="B7" s="127">
        <v>411626</v>
      </c>
      <c r="C7" s="20"/>
      <c r="D7" s="35" t="s">
        <v>25</v>
      </c>
      <c r="E7" s="36"/>
      <c r="F7" s="20"/>
      <c r="L7" s="21"/>
      <c r="M7" s="19"/>
      <c r="N7" s="19"/>
      <c r="Q7" s="20"/>
    </row>
    <row r="8" spans="1:17" x14ac:dyDescent="0.2">
      <c r="A8" s="37"/>
      <c r="B8" s="116"/>
      <c r="C8" s="20"/>
      <c r="D8" s="113" t="s">
        <v>122</v>
      </c>
      <c r="E8" s="189">
        <f>-('Cash Flow'!B83+NPV(NominalDiscountRate/100, 'Cash Flow'!C83:CX83))</f>
        <v>6739404.5416733334</v>
      </c>
      <c r="F8" s="188"/>
      <c r="L8" s="21"/>
      <c r="Q8" s="20"/>
    </row>
    <row r="9" spans="1:17" x14ac:dyDescent="0.2">
      <c r="A9" s="35" t="s">
        <v>13</v>
      </c>
      <c r="B9" s="36"/>
      <c r="C9" s="20"/>
      <c r="D9" s="113" t="s">
        <v>121</v>
      </c>
      <c r="E9" s="189">
        <f>-('Cash Flow'!B84+NPV(NominalDiscountRate/100, 'Cash Flow'!C84:CX84))</f>
        <v>6640083.9376761466</v>
      </c>
      <c r="F9" s="190"/>
      <c r="G9" s="105"/>
      <c r="H9" s="31"/>
      <c r="L9" s="21"/>
      <c r="Q9" s="20"/>
    </row>
    <row r="10" spans="1:17" x14ac:dyDescent="0.2">
      <c r="A10" s="43" t="s">
        <v>67</v>
      </c>
      <c r="B10" s="128">
        <v>542718</v>
      </c>
      <c r="C10" s="20"/>
      <c r="D10" s="113" t="s">
        <v>132</v>
      </c>
      <c r="E10" s="115">
        <f>'Cash Flow'!B80+NPV(NominalDiscountRate/100,'Cash Flow'!C80:CX80)</f>
        <v>99320.603997185593</v>
      </c>
      <c r="F10" s="190"/>
      <c r="G10" s="191"/>
      <c r="H10" s="106"/>
      <c r="L10" s="21"/>
      <c r="Q10" s="20"/>
    </row>
    <row r="11" spans="1:17" x14ac:dyDescent="0.2">
      <c r="A11" s="46" t="s">
        <v>27</v>
      </c>
      <c r="B11" s="42"/>
      <c r="C11" s="20"/>
      <c r="D11" s="114" t="s">
        <v>106</v>
      </c>
      <c r="E11" s="197">
        <f>IF(loan_term=0,IRR('Cash Flow'!B80:CX80, NominalDiscountRate/100),IRR('Cash Flow'!C80:CX80, NominalDiscountRate/100))</f>
        <v>0.12028117362830693</v>
      </c>
      <c r="F11" s="20"/>
      <c r="G11" s="20"/>
      <c r="H11" s="23"/>
      <c r="L11" s="21"/>
      <c r="Q11" s="20"/>
    </row>
    <row r="12" spans="1:17" x14ac:dyDescent="0.2">
      <c r="A12" s="38" t="s">
        <v>8</v>
      </c>
      <c r="B12" s="129">
        <v>20</v>
      </c>
      <c r="C12" s="20"/>
      <c r="F12" s="20"/>
      <c r="G12" s="20"/>
      <c r="H12" s="23"/>
      <c r="L12" s="21"/>
      <c r="Q12" s="20"/>
    </row>
    <row r="13" spans="1:17" x14ac:dyDescent="0.2">
      <c r="A13" s="38" t="s">
        <v>111</v>
      </c>
      <c r="B13" s="129">
        <v>500</v>
      </c>
      <c r="C13" s="20"/>
      <c r="H13" s="23"/>
      <c r="L13" s="21"/>
      <c r="Q13" s="20"/>
    </row>
    <row r="14" spans="1:17" x14ac:dyDescent="0.2">
      <c r="A14" s="38" t="s">
        <v>115</v>
      </c>
      <c r="B14" s="129">
        <v>10</v>
      </c>
      <c r="C14" s="20"/>
      <c r="F14" s="19"/>
      <c r="I14" s="20"/>
    </row>
    <row r="15" spans="1:17" x14ac:dyDescent="0.2">
      <c r="A15" s="38" t="s">
        <v>112</v>
      </c>
      <c r="B15" s="129">
        <v>500</v>
      </c>
      <c r="C15" s="20"/>
      <c r="F15" s="19"/>
      <c r="I15" s="20"/>
    </row>
    <row r="16" spans="1:17" x14ac:dyDescent="0.2">
      <c r="A16" s="38" t="s">
        <v>116</v>
      </c>
      <c r="B16" s="129">
        <v>10</v>
      </c>
      <c r="C16" s="20"/>
      <c r="F16" s="19"/>
      <c r="I16" s="20"/>
    </row>
    <row r="17" spans="1:15" x14ac:dyDescent="0.2">
      <c r="A17" s="25"/>
      <c r="B17" s="25"/>
      <c r="C17" s="20"/>
      <c r="D17" s="21"/>
      <c r="F17" s="19"/>
      <c r="I17" s="20"/>
    </row>
    <row r="18" spans="1:15" x14ac:dyDescent="0.2">
      <c r="A18" s="172" t="s">
        <v>15</v>
      </c>
      <c r="B18" s="173"/>
      <c r="C18" s="20"/>
      <c r="D18" s="21"/>
      <c r="F18" s="19"/>
      <c r="I18" s="20"/>
    </row>
    <row r="19" spans="1:15" x14ac:dyDescent="0.2">
      <c r="A19" s="171" t="s">
        <v>59</v>
      </c>
      <c r="B19" s="177">
        <v>100</v>
      </c>
      <c r="C19" s="20"/>
      <c r="D19" s="21"/>
      <c r="F19" s="19"/>
      <c r="I19" s="20"/>
    </row>
    <row r="20" spans="1:15" x14ac:dyDescent="0.2">
      <c r="A20" s="171" t="s">
        <v>60</v>
      </c>
      <c r="B20" s="178">
        <v>0</v>
      </c>
      <c r="C20" s="20"/>
      <c r="D20" s="21"/>
      <c r="F20" s="19"/>
      <c r="I20" s="20"/>
    </row>
    <row r="21" spans="1:15" x14ac:dyDescent="0.2">
      <c r="A21" s="171" t="s">
        <v>61</v>
      </c>
      <c r="B21" s="177">
        <v>0</v>
      </c>
      <c r="C21" s="20"/>
      <c r="D21" s="21"/>
      <c r="F21" s="19"/>
      <c r="I21" s="20"/>
    </row>
    <row r="22" spans="1:15" x14ac:dyDescent="0.2">
      <c r="A22" s="174"/>
      <c r="B22" s="147"/>
      <c r="C22" s="20"/>
      <c r="D22" s="21"/>
      <c r="F22" s="19"/>
      <c r="I22" s="20"/>
    </row>
    <row r="23" spans="1:15" s="20" customFormat="1" x14ac:dyDescent="0.2">
      <c r="A23" s="35" t="s">
        <v>16</v>
      </c>
      <c r="B23" s="36"/>
      <c r="L23" s="19"/>
    </row>
    <row r="24" spans="1:15" s="20" customFormat="1" x14ac:dyDescent="0.2">
      <c r="A24" s="33" t="s">
        <v>62</v>
      </c>
      <c r="B24" s="122">
        <v>25</v>
      </c>
      <c r="L24" s="19"/>
    </row>
    <row r="25" spans="1:15" s="20" customFormat="1" x14ac:dyDescent="0.2">
      <c r="A25" s="33" t="s">
        <v>63</v>
      </c>
      <c r="B25" s="120">
        <v>2</v>
      </c>
      <c r="L25" s="19"/>
    </row>
    <row r="26" spans="1:15" s="20" customFormat="1" x14ac:dyDescent="0.2">
      <c r="A26" s="150" t="s">
        <v>129</v>
      </c>
      <c r="B26" s="149">
        <v>0</v>
      </c>
      <c r="L26" s="19"/>
    </row>
    <row r="27" spans="1:15" s="20" customFormat="1" x14ac:dyDescent="0.2">
      <c r="A27" s="33" t="s">
        <v>64</v>
      </c>
      <c r="B27" s="120">
        <v>6</v>
      </c>
      <c r="L27" s="19"/>
      <c r="O27" s="19"/>
    </row>
    <row r="28" spans="1:15" s="20" customFormat="1" x14ac:dyDescent="0.2">
      <c r="A28" s="33" t="s">
        <v>65</v>
      </c>
      <c r="B28" s="123">
        <f>((inflation_rate/100+1)*(real_discount_rate/100+1)-1)*100</f>
        <v>8.1200000000000152</v>
      </c>
      <c r="L28" s="19"/>
      <c r="M28" s="19"/>
      <c r="N28" s="19"/>
    </row>
    <row r="29" spans="1:15" s="20" customFormat="1" x14ac:dyDescent="0.2">
      <c r="A29" s="47"/>
    </row>
    <row r="30" spans="1:15" s="20" customFormat="1" x14ac:dyDescent="0.2">
      <c r="A30" s="35" t="s">
        <v>14</v>
      </c>
      <c r="B30" s="36"/>
    </row>
    <row r="31" spans="1:15" s="20" customFormat="1" x14ac:dyDescent="0.2">
      <c r="A31" s="33" t="s">
        <v>68</v>
      </c>
      <c r="B31" s="120">
        <v>30</v>
      </c>
    </row>
    <row r="32" spans="1:15" s="20" customFormat="1" x14ac:dyDescent="0.2">
      <c r="A32" s="33" t="s">
        <v>69</v>
      </c>
      <c r="B32" s="120">
        <v>7</v>
      </c>
    </row>
    <row r="33" spans="1:7" s="20" customFormat="1" x14ac:dyDescent="0.2">
      <c r="A33" s="132" t="s">
        <v>70</v>
      </c>
      <c r="B33" s="133"/>
      <c r="C33" s="26"/>
    </row>
    <row r="34" spans="1:7" s="20" customFormat="1" x14ac:dyDescent="0.2">
      <c r="A34" s="44" t="s">
        <v>75</v>
      </c>
      <c r="B34" s="131">
        <v>100</v>
      </c>
      <c r="C34" s="26"/>
    </row>
    <row r="35" spans="1:7" s="20" customFormat="1" x14ac:dyDescent="0.2">
      <c r="A35" s="38" t="s">
        <v>71</v>
      </c>
      <c r="B35" s="124">
        <f>prop_tax_cost_assessed_percent/100*total_installed_cost</f>
        <v>542718</v>
      </c>
      <c r="C35" s="26"/>
    </row>
    <row r="36" spans="1:7" s="20" customFormat="1" x14ac:dyDescent="0.2">
      <c r="A36" s="38" t="s">
        <v>72</v>
      </c>
      <c r="B36" s="125">
        <v>0</v>
      </c>
      <c r="C36" s="26"/>
    </row>
    <row r="37" spans="1:7" s="20" customFormat="1" x14ac:dyDescent="0.2">
      <c r="A37" s="38" t="s">
        <v>73</v>
      </c>
      <c r="B37" s="125">
        <v>0</v>
      </c>
      <c r="C37" s="26"/>
    </row>
    <row r="38" spans="1:7" s="20" customFormat="1" x14ac:dyDescent="0.2">
      <c r="C38" s="26"/>
    </row>
    <row r="39" spans="1:7" s="20" customFormat="1" x14ac:dyDescent="0.2">
      <c r="A39" s="142" t="s">
        <v>19</v>
      </c>
      <c r="B39" s="143"/>
      <c r="C39" s="143"/>
      <c r="D39" s="148"/>
      <c r="E39" s="144"/>
    </row>
    <row r="40" spans="1:7" s="20" customFormat="1" x14ac:dyDescent="0.2">
      <c r="A40" s="139" t="s">
        <v>56</v>
      </c>
      <c r="B40" s="140"/>
      <c r="D40" s="141" t="s">
        <v>104</v>
      </c>
      <c r="E40" s="101"/>
    </row>
    <row r="41" spans="1:7" s="20" customFormat="1" x14ac:dyDescent="0.2">
      <c r="A41" s="41" t="s">
        <v>20</v>
      </c>
      <c r="B41" s="100" t="s">
        <v>3</v>
      </c>
      <c r="C41" s="100" t="s">
        <v>7</v>
      </c>
      <c r="D41" s="145" t="s">
        <v>1</v>
      </c>
      <c r="E41" s="145" t="s">
        <v>2</v>
      </c>
    </row>
    <row r="42" spans="1:7" s="20" customFormat="1" x14ac:dyDescent="0.2">
      <c r="A42" s="55" t="s">
        <v>1</v>
      </c>
      <c r="B42" s="122">
        <v>30</v>
      </c>
      <c r="C42" s="136">
        <v>9.9999999999999998E+37</v>
      </c>
      <c r="D42" s="103" t="s">
        <v>76</v>
      </c>
      <c r="E42" s="103" t="s">
        <v>76</v>
      </c>
      <c r="F42" s="30"/>
    </row>
    <row r="43" spans="1:7" s="20" customFormat="1" x14ac:dyDescent="0.2">
      <c r="A43" s="18"/>
      <c r="B43" s="19"/>
      <c r="C43" s="18"/>
      <c r="D43" s="19"/>
      <c r="E43" s="19"/>
      <c r="F43" s="54"/>
      <c r="G43" s="54"/>
    </row>
    <row r="44" spans="1:7" s="20" customFormat="1" x14ac:dyDescent="0.2">
      <c r="A44" s="49" t="s">
        <v>21</v>
      </c>
      <c r="B44" s="57"/>
      <c r="C44" s="57"/>
      <c r="D44" s="57"/>
      <c r="E44" s="57"/>
      <c r="F44" s="57"/>
      <c r="G44" s="98"/>
    </row>
    <row r="45" spans="1:7" s="20" customFormat="1" x14ac:dyDescent="0.2">
      <c r="A45" s="96" t="s">
        <v>52</v>
      </c>
      <c r="B45" s="59"/>
      <c r="C45" s="60"/>
      <c r="D45" s="137" t="s">
        <v>57</v>
      </c>
      <c r="E45" s="138"/>
      <c r="F45" s="137" t="s">
        <v>104</v>
      </c>
      <c r="G45" s="138"/>
    </row>
    <row r="46" spans="1:7" s="20" customFormat="1" x14ac:dyDescent="0.2">
      <c r="A46" s="38" t="s">
        <v>20</v>
      </c>
      <c r="B46" s="32" t="s">
        <v>3</v>
      </c>
      <c r="C46" s="95" t="s">
        <v>55</v>
      </c>
      <c r="D46" s="99" t="s">
        <v>1</v>
      </c>
      <c r="E46" s="95" t="s">
        <v>2</v>
      </c>
      <c r="F46" s="45" t="s">
        <v>1</v>
      </c>
      <c r="G46" s="45" t="s">
        <v>2</v>
      </c>
    </row>
    <row r="47" spans="1:7" s="20" customFormat="1" x14ac:dyDescent="0.2">
      <c r="A47" s="40" t="s">
        <v>50</v>
      </c>
      <c r="B47" s="121">
        <v>0</v>
      </c>
      <c r="C47" s="136">
        <v>9.9999999999999998E+37</v>
      </c>
      <c r="D47" s="48" t="s">
        <v>76</v>
      </c>
      <c r="E47" s="48" t="s">
        <v>76</v>
      </c>
      <c r="F47" s="103" t="s">
        <v>77</v>
      </c>
      <c r="G47" s="48" t="s">
        <v>77</v>
      </c>
    </row>
    <row r="48" spans="1:7" s="20" customFormat="1" ht="13.5" thickBot="1" x14ac:dyDescent="0.25">
      <c r="A48" s="40" t="s">
        <v>51</v>
      </c>
      <c r="B48" s="121">
        <v>0</v>
      </c>
      <c r="C48" s="136">
        <v>9.9999999999999998E+37</v>
      </c>
      <c r="D48" s="48" t="s">
        <v>76</v>
      </c>
      <c r="E48" s="48" t="s">
        <v>76</v>
      </c>
      <c r="F48" s="103" t="s">
        <v>77</v>
      </c>
      <c r="G48" s="48" t="s">
        <v>77</v>
      </c>
    </row>
    <row r="49" spans="1:102" ht="12.75" customHeight="1" x14ac:dyDescent="0.2">
      <c r="A49" s="97" t="s">
        <v>53</v>
      </c>
      <c r="B49" s="34" t="s">
        <v>54</v>
      </c>
      <c r="C49" s="95" t="s">
        <v>55</v>
      </c>
      <c r="D49" s="117"/>
      <c r="E49" s="118"/>
      <c r="F49" s="117"/>
      <c r="G49" s="119"/>
      <c r="H49" s="24"/>
      <c r="I49" s="26"/>
      <c r="J49" s="24"/>
      <c r="K49" s="26"/>
      <c r="L49" s="31"/>
    </row>
    <row r="50" spans="1:102" ht="12.75" customHeight="1" x14ac:dyDescent="0.2">
      <c r="A50" s="40" t="s">
        <v>22</v>
      </c>
      <c r="B50" s="122">
        <v>0</v>
      </c>
      <c r="C50" s="136">
        <v>9.9999999999999998E+37</v>
      </c>
      <c r="D50" s="48" t="s">
        <v>76</v>
      </c>
      <c r="E50" s="48" t="s">
        <v>76</v>
      </c>
      <c r="F50" s="103" t="s">
        <v>77</v>
      </c>
      <c r="G50" s="48" t="s">
        <v>77</v>
      </c>
      <c r="H50" s="54"/>
      <c r="I50" s="23"/>
      <c r="J50" s="23"/>
      <c r="K50" s="29"/>
      <c r="L50" s="28"/>
    </row>
    <row r="51" spans="1:102" ht="12.75" customHeight="1" x14ac:dyDescent="0.2">
      <c r="A51" s="40" t="s">
        <v>23</v>
      </c>
      <c r="B51" s="122">
        <v>0</v>
      </c>
      <c r="C51" s="136">
        <v>9.9999999999999998E+37</v>
      </c>
      <c r="D51" s="48" t="s">
        <v>76</v>
      </c>
      <c r="E51" s="48" t="s">
        <v>76</v>
      </c>
      <c r="F51" s="103" t="s">
        <v>77</v>
      </c>
      <c r="G51" s="48" t="s">
        <v>77</v>
      </c>
      <c r="H51" s="54"/>
      <c r="I51" s="23"/>
      <c r="J51" s="23"/>
      <c r="K51" s="29"/>
      <c r="L51" s="28"/>
    </row>
    <row r="52" spans="1:102" ht="12.75" customHeight="1" x14ac:dyDescent="0.2">
      <c r="A52" s="40" t="s">
        <v>24</v>
      </c>
      <c r="B52" s="122">
        <v>0</v>
      </c>
      <c r="C52" s="200">
        <v>9.9999999999999998E+37</v>
      </c>
      <c r="D52" s="201" t="s">
        <v>76</v>
      </c>
      <c r="E52" s="201" t="s">
        <v>76</v>
      </c>
      <c r="F52" s="202" t="s">
        <v>77</v>
      </c>
      <c r="G52" s="201" t="s">
        <v>77</v>
      </c>
      <c r="H52" s="54"/>
      <c r="I52" s="23"/>
      <c r="J52" s="23"/>
      <c r="K52" s="29"/>
      <c r="L52" s="28"/>
    </row>
    <row r="53" spans="1:102" ht="12.75" customHeight="1" x14ac:dyDescent="0.2">
      <c r="A53" s="97" t="s">
        <v>133</v>
      </c>
      <c r="B53" s="34" t="s">
        <v>135</v>
      </c>
      <c r="C53" s="203" t="s">
        <v>136</v>
      </c>
      <c r="D53" s="206" t="s">
        <v>137</v>
      </c>
      <c r="E53" s="203" t="s">
        <v>138</v>
      </c>
      <c r="F53" s="206" t="s">
        <v>139</v>
      </c>
      <c r="G53" s="207" t="s">
        <v>142</v>
      </c>
      <c r="H53" s="54"/>
      <c r="I53" s="23"/>
      <c r="J53" s="23"/>
      <c r="K53" s="29"/>
      <c r="L53" s="28"/>
    </row>
    <row r="54" spans="1:102" ht="12.75" customHeight="1" x14ac:dyDescent="0.2">
      <c r="A54" s="40" t="s">
        <v>134</v>
      </c>
      <c r="B54" s="122">
        <v>0</v>
      </c>
      <c r="C54" s="204">
        <v>9.9999999999999998E+37</v>
      </c>
      <c r="D54" s="203" t="s">
        <v>76</v>
      </c>
      <c r="E54" s="203" t="s">
        <v>76</v>
      </c>
      <c r="F54" s="205" t="s">
        <v>77</v>
      </c>
      <c r="G54" s="208">
        <v>9.9999999999999998E+37</v>
      </c>
      <c r="H54" s="54"/>
      <c r="I54" s="23"/>
      <c r="J54" s="23"/>
      <c r="K54" s="29"/>
      <c r="L54" s="28"/>
    </row>
    <row r="55" spans="1:102" ht="12.75" customHeight="1" x14ac:dyDescent="0.2">
      <c r="H55" s="54"/>
      <c r="I55" s="23"/>
      <c r="J55" s="23"/>
      <c r="K55" s="29"/>
      <c r="L55" s="28"/>
    </row>
    <row r="56" spans="1:102" ht="12.75" customHeight="1" x14ac:dyDescent="0.2">
      <c r="A56" s="49" t="s">
        <v>32</v>
      </c>
      <c r="B56" s="36"/>
      <c r="H56" s="54"/>
      <c r="I56" s="23"/>
      <c r="J56" s="23"/>
      <c r="K56" s="29"/>
      <c r="L56" s="28"/>
    </row>
    <row r="57" spans="1:102" ht="12.75" customHeight="1" x14ac:dyDescent="0.2">
      <c r="A57" s="58" t="s">
        <v>1</v>
      </c>
      <c r="B57" s="56" t="s">
        <v>105</v>
      </c>
      <c r="H57" s="54"/>
      <c r="I57" s="23"/>
      <c r="J57" s="23"/>
      <c r="K57" s="30"/>
      <c r="L57" s="31"/>
    </row>
    <row r="58" spans="1:102" ht="12.75" customHeight="1" x14ac:dyDescent="0.2">
      <c r="A58" s="58" t="s">
        <v>2</v>
      </c>
      <c r="B58" s="56" t="s">
        <v>105</v>
      </c>
      <c r="H58" s="54"/>
      <c r="I58" s="23"/>
      <c r="J58" s="23"/>
      <c r="K58" s="26"/>
      <c r="L58" s="24"/>
    </row>
    <row r="59" spans="1:102" ht="12.75" customHeight="1" x14ac:dyDescent="0.2">
      <c r="A59" s="79" t="s">
        <v>33</v>
      </c>
      <c r="B59" s="39" t="s">
        <v>76</v>
      </c>
      <c r="H59" s="54"/>
      <c r="I59" s="23"/>
      <c r="J59" s="23"/>
      <c r="K59" s="26"/>
      <c r="L59" s="24"/>
    </row>
    <row r="60" spans="1:102" ht="12.75" customHeight="1" x14ac:dyDescent="0.2">
      <c r="A60" s="198" t="s">
        <v>130</v>
      </c>
      <c r="B60" s="199">
        <v>0.5</v>
      </c>
      <c r="H60" s="54"/>
      <c r="I60" s="23"/>
      <c r="J60" s="23"/>
      <c r="K60" s="26"/>
      <c r="L60" s="24"/>
    </row>
    <row r="61" spans="1:102" ht="12.75" customHeight="1" x14ac:dyDescent="0.2">
      <c r="A61" s="198" t="s">
        <v>131</v>
      </c>
      <c r="B61" s="199">
        <v>0.5</v>
      </c>
      <c r="H61" s="54"/>
      <c r="I61" s="23"/>
      <c r="J61" s="23"/>
      <c r="K61" s="26"/>
      <c r="L61" s="24"/>
    </row>
    <row r="62" spans="1:102" ht="12.75" customHeight="1" x14ac:dyDescent="0.2">
      <c r="H62" s="54"/>
      <c r="I62" s="23"/>
      <c r="J62" s="23"/>
      <c r="K62" s="26"/>
      <c r="L62" s="24"/>
    </row>
    <row r="63" spans="1:102" ht="12.75" customHeight="1" x14ac:dyDescent="0.2">
      <c r="A63" s="152" t="s">
        <v>43</v>
      </c>
      <c r="B63" s="154">
        <v>0</v>
      </c>
      <c r="C63" s="154">
        <v>1</v>
      </c>
      <c r="D63" s="154">
        <v>2</v>
      </c>
      <c r="E63" s="154">
        <v>3</v>
      </c>
      <c r="F63" s="154">
        <v>4</v>
      </c>
      <c r="G63" s="154">
        <v>5</v>
      </c>
      <c r="H63" s="154">
        <v>6</v>
      </c>
      <c r="I63" s="154">
        <v>7</v>
      </c>
      <c r="J63" s="154">
        <v>8</v>
      </c>
      <c r="K63" s="154">
        <v>9</v>
      </c>
      <c r="L63" s="154">
        <v>10</v>
      </c>
      <c r="M63" s="154">
        <v>11</v>
      </c>
      <c r="N63" s="154">
        <v>12</v>
      </c>
      <c r="O63" s="154">
        <v>13</v>
      </c>
      <c r="P63" s="154">
        <v>14</v>
      </c>
      <c r="Q63" s="154">
        <v>15</v>
      </c>
      <c r="R63" s="154">
        <v>16</v>
      </c>
      <c r="S63" s="154">
        <v>17</v>
      </c>
      <c r="T63" s="154">
        <v>18</v>
      </c>
      <c r="U63" s="154">
        <v>19</v>
      </c>
      <c r="V63" s="154">
        <v>20</v>
      </c>
      <c r="W63" s="154">
        <v>21</v>
      </c>
      <c r="X63" s="154">
        <v>22</v>
      </c>
      <c r="Y63" s="154">
        <v>23</v>
      </c>
      <c r="Z63" s="154">
        <v>24</v>
      </c>
      <c r="AA63" s="154">
        <v>25</v>
      </c>
      <c r="AB63" s="154">
        <v>26</v>
      </c>
      <c r="AC63" s="154">
        <v>27</v>
      </c>
      <c r="AD63" s="154">
        <v>28</v>
      </c>
      <c r="AE63" s="154">
        <v>29</v>
      </c>
      <c r="AF63" s="154">
        <v>30</v>
      </c>
      <c r="AG63" s="154">
        <v>31</v>
      </c>
      <c r="AH63" s="154">
        <v>32</v>
      </c>
      <c r="AI63" s="154">
        <v>33</v>
      </c>
      <c r="AJ63" s="154">
        <v>34</v>
      </c>
      <c r="AK63" s="154">
        <v>35</v>
      </c>
      <c r="AL63" s="154">
        <v>36</v>
      </c>
      <c r="AM63" s="154">
        <v>37</v>
      </c>
      <c r="AN63" s="154">
        <v>38</v>
      </c>
      <c r="AO63" s="154">
        <v>39</v>
      </c>
      <c r="AP63" s="154">
        <v>40</v>
      </c>
      <c r="AQ63" s="154">
        <v>41</v>
      </c>
      <c r="AR63" s="154">
        <v>42</v>
      </c>
      <c r="AS63" s="154">
        <v>43</v>
      </c>
      <c r="AT63" s="154">
        <v>44</v>
      </c>
      <c r="AU63" s="154">
        <v>45</v>
      </c>
      <c r="AV63" s="154">
        <v>46</v>
      </c>
      <c r="AW63" s="154">
        <v>47</v>
      </c>
      <c r="AX63" s="154">
        <v>48</v>
      </c>
      <c r="AY63" s="154">
        <v>49</v>
      </c>
      <c r="AZ63" s="154">
        <v>50</v>
      </c>
      <c r="BA63" s="154">
        <v>51</v>
      </c>
      <c r="BB63" s="154">
        <v>52</v>
      </c>
      <c r="BC63" s="154">
        <v>53</v>
      </c>
      <c r="BD63" s="154">
        <v>54</v>
      </c>
      <c r="BE63" s="154">
        <v>55</v>
      </c>
      <c r="BF63" s="154">
        <v>56</v>
      </c>
      <c r="BG63" s="154">
        <v>57</v>
      </c>
      <c r="BH63" s="154">
        <v>58</v>
      </c>
      <c r="BI63" s="154">
        <v>59</v>
      </c>
      <c r="BJ63" s="154">
        <v>60</v>
      </c>
      <c r="BK63" s="154">
        <v>61</v>
      </c>
      <c r="BL63" s="154">
        <v>62</v>
      </c>
      <c r="BM63" s="154">
        <v>63</v>
      </c>
      <c r="BN63" s="154">
        <v>64</v>
      </c>
      <c r="BO63" s="154">
        <v>65</v>
      </c>
      <c r="BP63" s="154">
        <v>66</v>
      </c>
      <c r="BQ63" s="154">
        <v>67</v>
      </c>
      <c r="BR63" s="154">
        <v>68</v>
      </c>
      <c r="BS63" s="154">
        <v>69</v>
      </c>
      <c r="BT63" s="154">
        <v>70</v>
      </c>
      <c r="BU63" s="154">
        <v>71</v>
      </c>
      <c r="BV63" s="154">
        <v>72</v>
      </c>
      <c r="BW63" s="154">
        <v>73</v>
      </c>
      <c r="BX63" s="154">
        <v>74</v>
      </c>
      <c r="BY63" s="154">
        <v>75</v>
      </c>
      <c r="BZ63" s="154">
        <v>76</v>
      </c>
      <c r="CA63" s="154">
        <v>77</v>
      </c>
      <c r="CB63" s="154">
        <v>78</v>
      </c>
      <c r="CC63" s="154">
        <v>79</v>
      </c>
      <c r="CD63" s="154">
        <v>80</v>
      </c>
      <c r="CE63" s="154">
        <v>81</v>
      </c>
      <c r="CF63" s="154">
        <v>82</v>
      </c>
      <c r="CG63" s="154">
        <v>83</v>
      </c>
      <c r="CH63" s="154">
        <v>84</v>
      </c>
      <c r="CI63" s="154">
        <v>85</v>
      </c>
      <c r="CJ63" s="154">
        <v>86</v>
      </c>
      <c r="CK63" s="154">
        <v>87</v>
      </c>
      <c r="CL63" s="154">
        <v>88</v>
      </c>
      <c r="CM63" s="154">
        <v>89</v>
      </c>
      <c r="CN63" s="154">
        <v>90</v>
      </c>
      <c r="CO63" s="154">
        <v>91</v>
      </c>
      <c r="CP63" s="154">
        <v>92</v>
      </c>
      <c r="CQ63" s="154">
        <v>93</v>
      </c>
      <c r="CR63" s="154">
        <v>94</v>
      </c>
      <c r="CS63" s="154">
        <v>95</v>
      </c>
      <c r="CT63" s="154">
        <v>96</v>
      </c>
      <c r="CU63" s="154">
        <v>97</v>
      </c>
      <c r="CV63" s="154">
        <v>98</v>
      </c>
      <c r="CW63" s="154">
        <v>99</v>
      </c>
      <c r="CX63" s="154">
        <v>100</v>
      </c>
    </row>
    <row r="64" spans="1:102" ht="12.75" customHeight="1" x14ac:dyDescent="0.2">
      <c r="A64" s="151" t="s">
        <v>58</v>
      </c>
      <c r="B64" s="155">
        <v>0</v>
      </c>
      <c r="C64" s="185">
        <f>B7</f>
        <v>411626</v>
      </c>
      <c r="D64" s="194">
        <f t="shared" ref="D64:AI64" si="0">IF(ISNUMBER(outYear),C64*(1-pv_degradation_rate/100),"")</f>
        <v>409567.87</v>
      </c>
      <c r="E64" s="194">
        <f t="shared" si="0"/>
        <v>407520.03064999997</v>
      </c>
      <c r="F64" s="194">
        <f t="shared" si="0"/>
        <v>405482.43049674999</v>
      </c>
      <c r="G64" s="194">
        <f t="shared" si="0"/>
        <v>403455.01834426622</v>
      </c>
      <c r="H64" s="194">
        <f t="shared" si="0"/>
        <v>401437.7432525449</v>
      </c>
      <c r="I64" s="194">
        <f t="shared" si="0"/>
        <v>399430.55453628214</v>
      </c>
      <c r="J64" s="194">
        <f t="shared" si="0"/>
        <v>397433.4017636007</v>
      </c>
      <c r="K64" s="194">
        <f t="shared" si="0"/>
        <v>395446.23475478269</v>
      </c>
      <c r="L64" s="194">
        <f t="shared" si="0"/>
        <v>393469.00358100876</v>
      </c>
      <c r="M64" s="194">
        <f t="shared" si="0"/>
        <v>391501.6585631037</v>
      </c>
      <c r="N64" s="194">
        <f t="shared" si="0"/>
        <v>389544.15027028817</v>
      </c>
      <c r="O64" s="194">
        <f t="shared" si="0"/>
        <v>387596.42951893673</v>
      </c>
      <c r="P64" s="194">
        <f t="shared" si="0"/>
        <v>385658.44737134204</v>
      </c>
      <c r="Q64" s="194">
        <f t="shared" si="0"/>
        <v>383730.15513448534</v>
      </c>
      <c r="R64" s="194">
        <f t="shared" si="0"/>
        <v>381811.50435881293</v>
      </c>
      <c r="S64" s="194">
        <f t="shared" si="0"/>
        <v>379902.44683701888</v>
      </c>
      <c r="T64" s="194">
        <f t="shared" si="0"/>
        <v>378002.93460283376</v>
      </c>
      <c r="U64" s="194">
        <f t="shared" si="0"/>
        <v>376112.91992981959</v>
      </c>
      <c r="V64" s="194">
        <f t="shared" si="0"/>
        <v>374232.35533017048</v>
      </c>
      <c r="W64" s="194">
        <f t="shared" si="0"/>
        <v>372361.19355351961</v>
      </c>
      <c r="X64" s="194">
        <f t="shared" si="0"/>
        <v>370499.387585752</v>
      </c>
      <c r="Y64" s="194">
        <f t="shared" si="0"/>
        <v>368646.89064782322</v>
      </c>
      <c r="Z64" s="194">
        <f t="shared" si="0"/>
        <v>366803.65619458409</v>
      </c>
      <c r="AA64" s="194">
        <f t="shared" si="0"/>
        <v>364969.63791361119</v>
      </c>
      <c r="AB64" s="194" t="str">
        <f t="shared" si="0"/>
        <v/>
      </c>
      <c r="AC64" s="194" t="str">
        <f t="shared" si="0"/>
        <v/>
      </c>
      <c r="AD64" s="194" t="str">
        <f t="shared" si="0"/>
        <v/>
      </c>
      <c r="AE64" s="194" t="str">
        <f t="shared" si="0"/>
        <v/>
      </c>
      <c r="AF64" s="194" t="str">
        <f t="shared" si="0"/>
        <v/>
      </c>
      <c r="AG64" s="194" t="str">
        <f t="shared" si="0"/>
        <v/>
      </c>
      <c r="AH64" s="194" t="str">
        <f t="shared" si="0"/>
        <v/>
      </c>
      <c r="AI64" s="194" t="str">
        <f t="shared" si="0"/>
        <v/>
      </c>
      <c r="AJ64" s="194" t="str">
        <f t="shared" ref="AJ64:BO64" si="1">IF(ISNUMBER(outYear),AI64*(1-pv_degradation_rate/100),"")</f>
        <v/>
      </c>
      <c r="AK64" s="194" t="str">
        <f t="shared" si="1"/>
        <v/>
      </c>
      <c r="AL64" s="194" t="str">
        <f t="shared" si="1"/>
        <v/>
      </c>
      <c r="AM64" s="194" t="str">
        <f t="shared" si="1"/>
        <v/>
      </c>
      <c r="AN64" s="194" t="str">
        <f t="shared" si="1"/>
        <v/>
      </c>
      <c r="AO64" s="194" t="str">
        <f t="shared" si="1"/>
        <v/>
      </c>
      <c r="AP64" s="194" t="str">
        <f t="shared" si="1"/>
        <v/>
      </c>
      <c r="AQ64" s="194" t="str">
        <f t="shared" si="1"/>
        <v/>
      </c>
      <c r="AR64" s="194" t="str">
        <f t="shared" si="1"/>
        <v/>
      </c>
      <c r="AS64" s="194" t="str">
        <f t="shared" si="1"/>
        <v/>
      </c>
      <c r="AT64" s="194" t="str">
        <f t="shared" si="1"/>
        <v/>
      </c>
      <c r="AU64" s="194" t="str">
        <f t="shared" si="1"/>
        <v/>
      </c>
      <c r="AV64" s="194" t="str">
        <f t="shared" si="1"/>
        <v/>
      </c>
      <c r="AW64" s="194" t="str">
        <f t="shared" si="1"/>
        <v/>
      </c>
      <c r="AX64" s="194" t="str">
        <f t="shared" si="1"/>
        <v/>
      </c>
      <c r="AY64" s="194" t="str">
        <f t="shared" si="1"/>
        <v/>
      </c>
      <c r="AZ64" s="194" t="str">
        <f t="shared" si="1"/>
        <v/>
      </c>
      <c r="BA64" s="194" t="str">
        <f t="shared" si="1"/>
        <v/>
      </c>
      <c r="BB64" s="194" t="str">
        <f t="shared" si="1"/>
        <v/>
      </c>
      <c r="BC64" s="194" t="str">
        <f t="shared" si="1"/>
        <v/>
      </c>
      <c r="BD64" s="194" t="str">
        <f t="shared" si="1"/>
        <v/>
      </c>
      <c r="BE64" s="194" t="str">
        <f t="shared" si="1"/>
        <v/>
      </c>
      <c r="BF64" s="194" t="str">
        <f t="shared" si="1"/>
        <v/>
      </c>
      <c r="BG64" s="194" t="str">
        <f t="shared" si="1"/>
        <v/>
      </c>
      <c r="BH64" s="194" t="str">
        <f t="shared" si="1"/>
        <v/>
      </c>
      <c r="BI64" s="194" t="str">
        <f t="shared" si="1"/>
        <v/>
      </c>
      <c r="BJ64" s="194" t="str">
        <f t="shared" si="1"/>
        <v/>
      </c>
      <c r="BK64" s="194" t="str">
        <f t="shared" si="1"/>
        <v/>
      </c>
      <c r="BL64" s="194" t="str">
        <f t="shared" si="1"/>
        <v/>
      </c>
      <c r="BM64" s="194" t="str">
        <f t="shared" si="1"/>
        <v/>
      </c>
      <c r="BN64" s="194" t="str">
        <f t="shared" si="1"/>
        <v/>
      </c>
      <c r="BO64" s="194" t="str">
        <f t="shared" si="1"/>
        <v/>
      </c>
      <c r="BP64" s="194" t="str">
        <f t="shared" ref="BP64:CX64" si="2">IF(ISNUMBER(outYear),BO64*(1-pv_degradation_rate/100),"")</f>
        <v/>
      </c>
      <c r="BQ64" s="194" t="str">
        <f t="shared" si="2"/>
        <v/>
      </c>
      <c r="BR64" s="194" t="str">
        <f t="shared" si="2"/>
        <v/>
      </c>
      <c r="BS64" s="194" t="str">
        <f t="shared" si="2"/>
        <v/>
      </c>
      <c r="BT64" s="194" t="str">
        <f t="shared" si="2"/>
        <v/>
      </c>
      <c r="BU64" s="194" t="str">
        <f t="shared" si="2"/>
        <v/>
      </c>
      <c r="BV64" s="194" t="str">
        <f t="shared" si="2"/>
        <v/>
      </c>
      <c r="BW64" s="194" t="str">
        <f t="shared" si="2"/>
        <v/>
      </c>
      <c r="BX64" s="194" t="str">
        <f t="shared" si="2"/>
        <v/>
      </c>
      <c r="BY64" s="194" t="str">
        <f t="shared" si="2"/>
        <v/>
      </c>
      <c r="BZ64" s="194" t="str">
        <f t="shared" si="2"/>
        <v/>
      </c>
      <c r="CA64" s="194" t="str">
        <f t="shared" si="2"/>
        <v/>
      </c>
      <c r="CB64" s="194" t="str">
        <f t="shared" si="2"/>
        <v/>
      </c>
      <c r="CC64" s="194" t="str">
        <f t="shared" si="2"/>
        <v/>
      </c>
      <c r="CD64" s="194" t="str">
        <f t="shared" si="2"/>
        <v/>
      </c>
      <c r="CE64" s="194" t="str">
        <f t="shared" si="2"/>
        <v/>
      </c>
      <c r="CF64" s="194" t="str">
        <f t="shared" si="2"/>
        <v/>
      </c>
      <c r="CG64" s="194" t="str">
        <f t="shared" si="2"/>
        <v/>
      </c>
      <c r="CH64" s="194" t="str">
        <f t="shared" si="2"/>
        <v/>
      </c>
      <c r="CI64" s="194" t="str">
        <f t="shared" si="2"/>
        <v/>
      </c>
      <c r="CJ64" s="194" t="str">
        <f t="shared" si="2"/>
        <v/>
      </c>
      <c r="CK64" s="194" t="str">
        <f t="shared" si="2"/>
        <v/>
      </c>
      <c r="CL64" s="194" t="str">
        <f t="shared" si="2"/>
        <v/>
      </c>
      <c r="CM64" s="194" t="str">
        <f t="shared" si="2"/>
        <v/>
      </c>
      <c r="CN64" s="194" t="str">
        <f t="shared" si="2"/>
        <v/>
      </c>
      <c r="CO64" s="194" t="str">
        <f t="shared" si="2"/>
        <v/>
      </c>
      <c r="CP64" s="194" t="str">
        <f t="shared" si="2"/>
        <v/>
      </c>
      <c r="CQ64" s="194" t="str">
        <f t="shared" si="2"/>
        <v/>
      </c>
      <c r="CR64" s="194" t="str">
        <f t="shared" si="2"/>
        <v/>
      </c>
      <c r="CS64" s="194" t="str">
        <f t="shared" si="2"/>
        <v/>
      </c>
      <c r="CT64" s="194" t="str">
        <f t="shared" si="2"/>
        <v/>
      </c>
      <c r="CU64" s="194" t="str">
        <f t="shared" si="2"/>
        <v/>
      </c>
      <c r="CV64" s="194" t="str">
        <f t="shared" si="2"/>
        <v/>
      </c>
      <c r="CW64" s="194" t="str">
        <f t="shared" si="2"/>
        <v/>
      </c>
      <c r="CX64" s="194" t="str">
        <f t="shared" si="2"/>
        <v/>
      </c>
    </row>
    <row r="65" spans="1:102" ht="12.75" customHeight="1" x14ac:dyDescent="0.2">
      <c r="A65" s="151" t="s">
        <v>123</v>
      </c>
      <c r="B65" s="155"/>
      <c r="C65" s="187">
        <v>826030</v>
      </c>
      <c r="D65" s="195">
        <f t="shared" ref="D65:AI65" si="3">IF(ISNUMBER(outYear),C65*(1+inflation_rate/100 + escalation_rate/100),"")</f>
        <v>842550.6</v>
      </c>
      <c r="E65" s="195">
        <f t="shared" si="3"/>
        <v>859401.61199999996</v>
      </c>
      <c r="F65" s="195">
        <f t="shared" si="3"/>
        <v>876589.64423999994</v>
      </c>
      <c r="G65" s="195">
        <f t="shared" si="3"/>
        <v>894121.43712479994</v>
      </c>
      <c r="H65" s="195">
        <f t="shared" si="3"/>
        <v>912003.865867296</v>
      </c>
      <c r="I65" s="195">
        <f t="shared" si="3"/>
        <v>930243.94318464189</v>
      </c>
      <c r="J65" s="195">
        <f t="shared" si="3"/>
        <v>948848.82204833475</v>
      </c>
      <c r="K65" s="195">
        <f t="shared" si="3"/>
        <v>967825.79848930147</v>
      </c>
      <c r="L65" s="195">
        <f t="shared" si="3"/>
        <v>987182.31445908756</v>
      </c>
      <c r="M65" s="195">
        <f t="shared" si="3"/>
        <v>1006925.9607482693</v>
      </c>
      <c r="N65" s="195">
        <f t="shared" si="3"/>
        <v>1027064.4799632347</v>
      </c>
      <c r="O65" s="195">
        <f t="shared" si="3"/>
        <v>1047605.7695624995</v>
      </c>
      <c r="P65" s="195">
        <f t="shared" si="3"/>
        <v>1068557.8849537496</v>
      </c>
      <c r="Q65" s="195">
        <f t="shared" si="3"/>
        <v>1089929.0426528247</v>
      </c>
      <c r="R65" s="195">
        <f t="shared" si="3"/>
        <v>1111727.6235058813</v>
      </c>
      <c r="S65" s="195">
        <f t="shared" si="3"/>
        <v>1133962.1759759989</v>
      </c>
      <c r="T65" s="195">
        <f t="shared" si="3"/>
        <v>1156641.4194955188</v>
      </c>
      <c r="U65" s="195">
        <f t="shared" si="3"/>
        <v>1179774.2478854291</v>
      </c>
      <c r="V65" s="195">
        <f t="shared" si="3"/>
        <v>1203369.7328431376</v>
      </c>
      <c r="W65" s="195">
        <f t="shared" si="3"/>
        <v>1227437.1275000004</v>
      </c>
      <c r="X65" s="195">
        <f t="shared" si="3"/>
        <v>1251985.8700500005</v>
      </c>
      <c r="Y65" s="195">
        <f t="shared" si="3"/>
        <v>1277025.5874510005</v>
      </c>
      <c r="Z65" s="195">
        <f t="shared" si="3"/>
        <v>1302566.0992000205</v>
      </c>
      <c r="AA65" s="195">
        <f t="shared" si="3"/>
        <v>1328617.421184021</v>
      </c>
      <c r="AB65" s="195" t="str">
        <f t="shared" si="3"/>
        <v/>
      </c>
      <c r="AC65" s="195" t="str">
        <f t="shared" si="3"/>
        <v/>
      </c>
      <c r="AD65" s="195" t="str">
        <f t="shared" si="3"/>
        <v/>
      </c>
      <c r="AE65" s="195" t="str">
        <f t="shared" si="3"/>
        <v/>
      </c>
      <c r="AF65" s="195" t="str">
        <f t="shared" si="3"/>
        <v/>
      </c>
      <c r="AG65" s="195" t="str">
        <f t="shared" si="3"/>
        <v/>
      </c>
      <c r="AH65" s="195" t="str">
        <f t="shared" si="3"/>
        <v/>
      </c>
      <c r="AI65" s="195" t="str">
        <f t="shared" si="3"/>
        <v/>
      </c>
      <c r="AJ65" s="195" t="str">
        <f t="shared" ref="AJ65:BO65" si="4">IF(ISNUMBER(outYear),AI65*(1+inflation_rate/100 + escalation_rate/100),"")</f>
        <v/>
      </c>
      <c r="AK65" s="195" t="str">
        <f t="shared" si="4"/>
        <v/>
      </c>
      <c r="AL65" s="195" t="str">
        <f t="shared" si="4"/>
        <v/>
      </c>
      <c r="AM65" s="195" t="str">
        <f t="shared" si="4"/>
        <v/>
      </c>
      <c r="AN65" s="195" t="str">
        <f t="shared" si="4"/>
        <v/>
      </c>
      <c r="AO65" s="195" t="str">
        <f t="shared" si="4"/>
        <v/>
      </c>
      <c r="AP65" s="195" t="str">
        <f t="shared" si="4"/>
        <v/>
      </c>
      <c r="AQ65" s="195" t="str">
        <f t="shared" si="4"/>
        <v/>
      </c>
      <c r="AR65" s="195" t="str">
        <f t="shared" si="4"/>
        <v/>
      </c>
      <c r="AS65" s="195" t="str">
        <f t="shared" si="4"/>
        <v/>
      </c>
      <c r="AT65" s="195" t="str">
        <f t="shared" si="4"/>
        <v/>
      </c>
      <c r="AU65" s="195" t="str">
        <f t="shared" si="4"/>
        <v/>
      </c>
      <c r="AV65" s="195" t="str">
        <f t="shared" si="4"/>
        <v/>
      </c>
      <c r="AW65" s="195" t="str">
        <f t="shared" si="4"/>
        <v/>
      </c>
      <c r="AX65" s="195" t="str">
        <f t="shared" si="4"/>
        <v/>
      </c>
      <c r="AY65" s="195" t="str">
        <f t="shared" si="4"/>
        <v/>
      </c>
      <c r="AZ65" s="195" t="str">
        <f t="shared" si="4"/>
        <v/>
      </c>
      <c r="BA65" s="195" t="str">
        <f t="shared" si="4"/>
        <v/>
      </c>
      <c r="BB65" s="195" t="str">
        <f t="shared" si="4"/>
        <v/>
      </c>
      <c r="BC65" s="195" t="str">
        <f t="shared" si="4"/>
        <v/>
      </c>
      <c r="BD65" s="195" t="str">
        <f t="shared" si="4"/>
        <v/>
      </c>
      <c r="BE65" s="195" t="str">
        <f t="shared" si="4"/>
        <v/>
      </c>
      <c r="BF65" s="195" t="str">
        <f t="shared" si="4"/>
        <v/>
      </c>
      <c r="BG65" s="195" t="str">
        <f t="shared" si="4"/>
        <v/>
      </c>
      <c r="BH65" s="195" t="str">
        <f t="shared" si="4"/>
        <v/>
      </c>
      <c r="BI65" s="195" t="str">
        <f t="shared" si="4"/>
        <v/>
      </c>
      <c r="BJ65" s="195" t="str">
        <f t="shared" si="4"/>
        <v/>
      </c>
      <c r="BK65" s="195" t="str">
        <f t="shared" si="4"/>
        <v/>
      </c>
      <c r="BL65" s="195" t="str">
        <f t="shared" si="4"/>
        <v/>
      </c>
      <c r="BM65" s="195" t="str">
        <f t="shared" si="4"/>
        <v/>
      </c>
      <c r="BN65" s="195" t="str">
        <f t="shared" si="4"/>
        <v/>
      </c>
      <c r="BO65" s="195" t="str">
        <f t="shared" si="4"/>
        <v/>
      </c>
      <c r="BP65" s="195" t="str">
        <f t="shared" ref="BP65:CX65" si="5">IF(ISNUMBER(outYear),BO65*(1+inflation_rate/100 + escalation_rate/100),"")</f>
        <v/>
      </c>
      <c r="BQ65" s="195" t="str">
        <f t="shared" si="5"/>
        <v/>
      </c>
      <c r="BR65" s="195" t="str">
        <f t="shared" si="5"/>
        <v/>
      </c>
      <c r="BS65" s="195" t="str">
        <f t="shared" si="5"/>
        <v/>
      </c>
      <c r="BT65" s="195" t="str">
        <f t="shared" si="5"/>
        <v/>
      </c>
      <c r="BU65" s="195" t="str">
        <f t="shared" si="5"/>
        <v/>
      </c>
      <c r="BV65" s="195" t="str">
        <f t="shared" si="5"/>
        <v/>
      </c>
      <c r="BW65" s="195" t="str">
        <f t="shared" si="5"/>
        <v/>
      </c>
      <c r="BX65" s="195" t="str">
        <f t="shared" si="5"/>
        <v/>
      </c>
      <c r="BY65" s="195" t="str">
        <f t="shared" si="5"/>
        <v/>
      </c>
      <c r="BZ65" s="195" t="str">
        <f t="shared" si="5"/>
        <v/>
      </c>
      <c r="CA65" s="195" t="str">
        <f t="shared" si="5"/>
        <v/>
      </c>
      <c r="CB65" s="195" t="str">
        <f t="shared" si="5"/>
        <v/>
      </c>
      <c r="CC65" s="195" t="str">
        <f t="shared" si="5"/>
        <v/>
      </c>
      <c r="CD65" s="195" t="str">
        <f t="shared" si="5"/>
        <v/>
      </c>
      <c r="CE65" s="195" t="str">
        <f t="shared" si="5"/>
        <v/>
      </c>
      <c r="CF65" s="195" t="str">
        <f t="shared" si="5"/>
        <v/>
      </c>
      <c r="CG65" s="195" t="str">
        <f t="shared" si="5"/>
        <v/>
      </c>
      <c r="CH65" s="195" t="str">
        <f t="shared" si="5"/>
        <v/>
      </c>
      <c r="CI65" s="195" t="str">
        <f t="shared" si="5"/>
        <v/>
      </c>
      <c r="CJ65" s="195" t="str">
        <f t="shared" si="5"/>
        <v/>
      </c>
      <c r="CK65" s="195" t="str">
        <f t="shared" si="5"/>
        <v/>
      </c>
      <c r="CL65" s="195" t="str">
        <f t="shared" si="5"/>
        <v/>
      </c>
      <c r="CM65" s="195" t="str">
        <f t="shared" si="5"/>
        <v/>
      </c>
      <c r="CN65" s="195" t="str">
        <f t="shared" si="5"/>
        <v/>
      </c>
      <c r="CO65" s="195" t="str">
        <f t="shared" si="5"/>
        <v/>
      </c>
      <c r="CP65" s="195" t="str">
        <f t="shared" si="5"/>
        <v/>
      </c>
      <c r="CQ65" s="195" t="str">
        <f t="shared" si="5"/>
        <v/>
      </c>
      <c r="CR65" s="195" t="str">
        <f t="shared" si="5"/>
        <v/>
      </c>
      <c r="CS65" s="195" t="str">
        <f t="shared" si="5"/>
        <v/>
      </c>
      <c r="CT65" s="195" t="str">
        <f t="shared" si="5"/>
        <v/>
      </c>
      <c r="CU65" s="195" t="str">
        <f t="shared" si="5"/>
        <v/>
      </c>
      <c r="CV65" s="195" t="str">
        <f t="shared" si="5"/>
        <v/>
      </c>
      <c r="CW65" s="195" t="str">
        <f t="shared" si="5"/>
        <v/>
      </c>
      <c r="CX65" s="195" t="str">
        <f t="shared" si="5"/>
        <v/>
      </c>
    </row>
    <row r="66" spans="1:102" ht="12.75" customHeight="1" x14ac:dyDescent="0.2">
      <c r="A66" s="151" t="s">
        <v>124</v>
      </c>
      <c r="B66" s="155"/>
      <c r="C66" s="187">
        <v>783215</v>
      </c>
      <c r="D66" s="195">
        <f t="shared" ref="D66:AI66" si="6">IF(ISNUMBER(outYear),C66*(1+inflation_rate/100 + escalation_rate/100),"")</f>
        <v>798879.3</v>
      </c>
      <c r="E66" s="195">
        <f t="shared" si="6"/>
        <v>814856.88600000006</v>
      </c>
      <c r="F66" s="195">
        <f t="shared" si="6"/>
        <v>831154.02372000006</v>
      </c>
      <c r="G66" s="195">
        <f t="shared" si="6"/>
        <v>847777.10419440002</v>
      </c>
      <c r="H66" s="195">
        <f t="shared" si="6"/>
        <v>864732.64627828798</v>
      </c>
      <c r="I66" s="195">
        <f t="shared" si="6"/>
        <v>882027.2992038537</v>
      </c>
      <c r="J66" s="195">
        <f t="shared" si="6"/>
        <v>899667.84518793074</v>
      </c>
      <c r="K66" s="195">
        <f t="shared" si="6"/>
        <v>917661.20209168934</v>
      </c>
      <c r="L66" s="195">
        <f t="shared" si="6"/>
        <v>936014.42613352311</v>
      </c>
      <c r="M66" s="195">
        <f t="shared" si="6"/>
        <v>954734.71465619362</v>
      </c>
      <c r="N66" s="195">
        <f t="shared" si="6"/>
        <v>973829.40894931753</v>
      </c>
      <c r="O66" s="195">
        <f t="shared" si="6"/>
        <v>993305.99712830386</v>
      </c>
      <c r="P66" s="195">
        <f t="shared" si="6"/>
        <v>1013172.11707087</v>
      </c>
      <c r="Q66" s="195">
        <f t="shared" si="6"/>
        <v>1033435.5594122874</v>
      </c>
      <c r="R66" s="195">
        <f t="shared" si="6"/>
        <v>1054104.2706005331</v>
      </c>
      <c r="S66" s="195">
        <f t="shared" si="6"/>
        <v>1075186.3560125439</v>
      </c>
      <c r="T66" s="195">
        <f t="shared" si="6"/>
        <v>1096690.0831327948</v>
      </c>
      <c r="U66" s="195">
        <f t="shared" si="6"/>
        <v>1118623.8847954508</v>
      </c>
      <c r="V66" s="195">
        <f t="shared" si="6"/>
        <v>1140996.3624913599</v>
      </c>
      <c r="W66" s="195">
        <f t="shared" si="6"/>
        <v>1163816.2897411871</v>
      </c>
      <c r="X66" s="195">
        <f t="shared" si="6"/>
        <v>1187092.6155360108</v>
      </c>
      <c r="Y66" s="195">
        <f t="shared" si="6"/>
        <v>1210834.467846731</v>
      </c>
      <c r="Z66" s="195">
        <f t="shared" si="6"/>
        <v>1235051.1572036657</v>
      </c>
      <c r="AA66" s="195">
        <f t="shared" si="6"/>
        <v>1259752.180347739</v>
      </c>
      <c r="AB66" s="195" t="str">
        <f t="shared" si="6"/>
        <v/>
      </c>
      <c r="AC66" s="195" t="str">
        <f t="shared" si="6"/>
        <v/>
      </c>
      <c r="AD66" s="195" t="str">
        <f t="shared" si="6"/>
        <v/>
      </c>
      <c r="AE66" s="195" t="str">
        <f t="shared" si="6"/>
        <v/>
      </c>
      <c r="AF66" s="195" t="str">
        <f t="shared" si="6"/>
        <v/>
      </c>
      <c r="AG66" s="195" t="str">
        <f t="shared" si="6"/>
        <v/>
      </c>
      <c r="AH66" s="195" t="str">
        <f t="shared" si="6"/>
        <v/>
      </c>
      <c r="AI66" s="195" t="str">
        <f t="shared" si="6"/>
        <v/>
      </c>
      <c r="AJ66" s="195" t="str">
        <f t="shared" ref="AJ66:BO66" si="7">IF(ISNUMBER(outYear),AI66*(1+inflation_rate/100 + escalation_rate/100),"")</f>
        <v/>
      </c>
      <c r="AK66" s="195" t="str">
        <f t="shared" si="7"/>
        <v/>
      </c>
      <c r="AL66" s="195" t="str">
        <f t="shared" si="7"/>
        <v/>
      </c>
      <c r="AM66" s="195" t="str">
        <f t="shared" si="7"/>
        <v/>
      </c>
      <c r="AN66" s="195" t="str">
        <f t="shared" si="7"/>
        <v/>
      </c>
      <c r="AO66" s="195" t="str">
        <f t="shared" si="7"/>
        <v/>
      </c>
      <c r="AP66" s="195" t="str">
        <f t="shared" si="7"/>
        <v/>
      </c>
      <c r="AQ66" s="195" t="str">
        <f t="shared" si="7"/>
        <v/>
      </c>
      <c r="AR66" s="195" t="str">
        <f t="shared" si="7"/>
        <v/>
      </c>
      <c r="AS66" s="195" t="str">
        <f t="shared" si="7"/>
        <v/>
      </c>
      <c r="AT66" s="195" t="str">
        <f t="shared" si="7"/>
        <v/>
      </c>
      <c r="AU66" s="195" t="str">
        <f t="shared" si="7"/>
        <v/>
      </c>
      <c r="AV66" s="195" t="str">
        <f t="shared" si="7"/>
        <v/>
      </c>
      <c r="AW66" s="195" t="str">
        <f t="shared" si="7"/>
        <v/>
      </c>
      <c r="AX66" s="195" t="str">
        <f t="shared" si="7"/>
        <v/>
      </c>
      <c r="AY66" s="195" t="str">
        <f t="shared" si="7"/>
        <v/>
      </c>
      <c r="AZ66" s="195" t="str">
        <f t="shared" si="7"/>
        <v/>
      </c>
      <c r="BA66" s="195" t="str">
        <f t="shared" si="7"/>
        <v/>
      </c>
      <c r="BB66" s="195" t="str">
        <f t="shared" si="7"/>
        <v/>
      </c>
      <c r="BC66" s="195" t="str">
        <f t="shared" si="7"/>
        <v/>
      </c>
      <c r="BD66" s="195" t="str">
        <f t="shared" si="7"/>
        <v/>
      </c>
      <c r="BE66" s="195" t="str">
        <f t="shared" si="7"/>
        <v/>
      </c>
      <c r="BF66" s="195" t="str">
        <f t="shared" si="7"/>
        <v/>
      </c>
      <c r="BG66" s="195" t="str">
        <f t="shared" si="7"/>
        <v/>
      </c>
      <c r="BH66" s="195" t="str">
        <f t="shared" si="7"/>
        <v/>
      </c>
      <c r="BI66" s="195" t="str">
        <f t="shared" si="7"/>
        <v/>
      </c>
      <c r="BJ66" s="195" t="str">
        <f t="shared" si="7"/>
        <v/>
      </c>
      <c r="BK66" s="195" t="str">
        <f t="shared" si="7"/>
        <v/>
      </c>
      <c r="BL66" s="195" t="str">
        <f t="shared" si="7"/>
        <v/>
      </c>
      <c r="BM66" s="195" t="str">
        <f t="shared" si="7"/>
        <v/>
      </c>
      <c r="BN66" s="195" t="str">
        <f t="shared" si="7"/>
        <v/>
      </c>
      <c r="BO66" s="195" t="str">
        <f t="shared" si="7"/>
        <v/>
      </c>
      <c r="BP66" s="195" t="str">
        <f t="shared" ref="BP66:CX66" si="8">IF(ISNUMBER(outYear),BO66*(1+inflation_rate/100 + escalation_rate/100),"")</f>
        <v/>
      </c>
      <c r="BQ66" s="195" t="str">
        <f t="shared" si="8"/>
        <v/>
      </c>
      <c r="BR66" s="195" t="str">
        <f t="shared" si="8"/>
        <v/>
      </c>
      <c r="BS66" s="195" t="str">
        <f t="shared" si="8"/>
        <v/>
      </c>
      <c r="BT66" s="195" t="str">
        <f t="shared" si="8"/>
        <v/>
      </c>
      <c r="BU66" s="195" t="str">
        <f t="shared" si="8"/>
        <v/>
      </c>
      <c r="BV66" s="195" t="str">
        <f t="shared" si="8"/>
        <v/>
      </c>
      <c r="BW66" s="195" t="str">
        <f t="shared" si="8"/>
        <v/>
      </c>
      <c r="BX66" s="195" t="str">
        <f t="shared" si="8"/>
        <v/>
      </c>
      <c r="BY66" s="195" t="str">
        <f t="shared" si="8"/>
        <v/>
      </c>
      <c r="BZ66" s="195" t="str">
        <f t="shared" si="8"/>
        <v/>
      </c>
      <c r="CA66" s="195" t="str">
        <f t="shared" si="8"/>
        <v/>
      </c>
      <c r="CB66" s="195" t="str">
        <f t="shared" si="8"/>
        <v/>
      </c>
      <c r="CC66" s="195" t="str">
        <f t="shared" si="8"/>
        <v/>
      </c>
      <c r="CD66" s="195" t="str">
        <f t="shared" si="8"/>
        <v/>
      </c>
      <c r="CE66" s="195" t="str">
        <f t="shared" si="8"/>
        <v/>
      </c>
      <c r="CF66" s="195" t="str">
        <f t="shared" si="8"/>
        <v/>
      </c>
      <c r="CG66" s="195" t="str">
        <f t="shared" si="8"/>
        <v/>
      </c>
      <c r="CH66" s="195" t="str">
        <f t="shared" si="8"/>
        <v/>
      </c>
      <c r="CI66" s="195" t="str">
        <f t="shared" si="8"/>
        <v/>
      </c>
      <c r="CJ66" s="195" t="str">
        <f t="shared" si="8"/>
        <v/>
      </c>
      <c r="CK66" s="195" t="str">
        <f t="shared" si="8"/>
        <v/>
      </c>
      <c r="CL66" s="195" t="str">
        <f t="shared" si="8"/>
        <v/>
      </c>
      <c r="CM66" s="195" t="str">
        <f t="shared" si="8"/>
        <v/>
      </c>
      <c r="CN66" s="195" t="str">
        <f t="shared" si="8"/>
        <v/>
      </c>
      <c r="CO66" s="195" t="str">
        <f t="shared" si="8"/>
        <v/>
      </c>
      <c r="CP66" s="195" t="str">
        <f t="shared" si="8"/>
        <v/>
      </c>
      <c r="CQ66" s="195" t="str">
        <f t="shared" si="8"/>
        <v/>
      </c>
      <c r="CR66" s="195" t="str">
        <f t="shared" si="8"/>
        <v/>
      </c>
      <c r="CS66" s="195" t="str">
        <f t="shared" si="8"/>
        <v/>
      </c>
      <c r="CT66" s="195" t="str">
        <f t="shared" si="8"/>
        <v/>
      </c>
      <c r="CU66" s="195" t="str">
        <f t="shared" si="8"/>
        <v/>
      </c>
      <c r="CV66" s="195" t="str">
        <f t="shared" si="8"/>
        <v/>
      </c>
      <c r="CW66" s="195" t="str">
        <f t="shared" si="8"/>
        <v/>
      </c>
      <c r="CX66" s="195" t="str">
        <f t="shared" si="8"/>
        <v/>
      </c>
    </row>
    <row r="67" spans="1:102" ht="12.75" customHeight="1" x14ac:dyDescent="0.2">
      <c r="A67" s="151" t="s">
        <v>42</v>
      </c>
      <c r="B67" s="155">
        <v>0</v>
      </c>
      <c r="C67" s="185">
        <f>C65-C66</f>
        <v>42815</v>
      </c>
      <c r="D67" s="194">
        <f t="shared" ref="D67:AA67" si="9">D65-D66</f>
        <v>43671.29999999993</v>
      </c>
      <c r="E67" s="194">
        <f t="shared" si="9"/>
        <v>44544.725999999908</v>
      </c>
      <c r="F67" s="194">
        <f t="shared" si="9"/>
        <v>45435.62051999988</v>
      </c>
      <c r="G67" s="194">
        <f t="shared" si="9"/>
        <v>46344.33293039992</v>
      </c>
      <c r="H67" s="194">
        <f t="shared" si="9"/>
        <v>47271.219589008018</v>
      </c>
      <c r="I67" s="194">
        <f t="shared" si="9"/>
        <v>48216.643980788183</v>
      </c>
      <c r="J67" s="194">
        <f t="shared" si="9"/>
        <v>49180.976860404015</v>
      </c>
      <c r="K67" s="194">
        <f t="shared" si="9"/>
        <v>50164.596397612127</v>
      </c>
      <c r="L67" s="194">
        <f t="shared" si="9"/>
        <v>51167.888325564447</v>
      </c>
      <c r="M67" s="194">
        <f t="shared" si="9"/>
        <v>52191.246092075715</v>
      </c>
      <c r="N67" s="194">
        <f t="shared" si="9"/>
        <v>53235.071013917215</v>
      </c>
      <c r="O67" s="194">
        <f t="shared" si="9"/>
        <v>54299.77243419562</v>
      </c>
      <c r="P67" s="194">
        <f t="shared" si="9"/>
        <v>55385.767882879591</v>
      </c>
      <c r="Q67" s="194">
        <f t="shared" si="9"/>
        <v>56493.483240537229</v>
      </c>
      <c r="R67" s="194">
        <f t="shared" si="9"/>
        <v>57623.352905348176</v>
      </c>
      <c r="S67" s="194">
        <f t="shared" si="9"/>
        <v>58775.819963454967</v>
      </c>
      <c r="T67" s="194">
        <f t="shared" si="9"/>
        <v>59951.33636272396</v>
      </c>
      <c r="U67" s="194">
        <f t="shared" si="9"/>
        <v>61150.363089978229</v>
      </c>
      <c r="V67" s="194">
        <f t="shared" si="9"/>
        <v>62373.370351777645</v>
      </c>
      <c r="W67" s="194">
        <f t="shared" si="9"/>
        <v>63620.837758813286</v>
      </c>
      <c r="X67" s="194">
        <f t="shared" si="9"/>
        <v>64893.254513989668</v>
      </c>
      <c r="Y67" s="194">
        <f t="shared" si="9"/>
        <v>66191.119604269508</v>
      </c>
      <c r="Z67" s="194">
        <f t="shared" si="9"/>
        <v>67514.941996354843</v>
      </c>
      <c r="AA67" s="194">
        <f t="shared" si="9"/>
        <v>68865.240836282028</v>
      </c>
      <c r="AB67" s="196"/>
      <c r="AC67" s="196"/>
      <c r="AD67" s="196"/>
      <c r="AE67" s="196"/>
      <c r="AF67" s="196"/>
      <c r="AG67" s="196"/>
      <c r="AH67" s="196"/>
      <c r="AI67" s="196"/>
      <c r="AJ67" s="196"/>
      <c r="AK67" s="196"/>
      <c r="AL67" s="196"/>
      <c r="AM67" s="196"/>
      <c r="AN67" s="196"/>
      <c r="AO67" s="196"/>
      <c r="AP67" s="196"/>
      <c r="AQ67" s="196"/>
      <c r="AR67" s="196"/>
      <c r="AS67" s="196"/>
      <c r="AT67" s="196"/>
      <c r="AU67" s="196"/>
      <c r="AV67" s="196"/>
      <c r="AW67" s="196"/>
      <c r="AX67" s="196"/>
      <c r="AY67" s="196"/>
      <c r="AZ67" s="196"/>
      <c r="BA67" s="196"/>
      <c r="BB67" s="196"/>
      <c r="BC67" s="196"/>
      <c r="BD67" s="196"/>
      <c r="BE67" s="196"/>
      <c r="BF67" s="196"/>
      <c r="BG67" s="196"/>
      <c r="BH67" s="196"/>
      <c r="BI67" s="196"/>
      <c r="BJ67" s="196"/>
      <c r="BK67" s="196"/>
      <c r="BL67" s="196"/>
      <c r="BM67" s="196"/>
      <c r="BN67" s="196"/>
      <c r="BO67" s="196"/>
      <c r="BP67" s="196"/>
      <c r="BQ67" s="196"/>
      <c r="BR67" s="196"/>
      <c r="BS67" s="196"/>
      <c r="BT67" s="196"/>
      <c r="BU67" s="196"/>
      <c r="BV67" s="196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L67" s="196"/>
      <c r="CM67" s="196"/>
      <c r="CN67" s="196"/>
      <c r="CO67" s="196"/>
      <c r="CP67" s="196"/>
      <c r="CQ67" s="196"/>
      <c r="CR67" s="196"/>
      <c r="CS67" s="196"/>
      <c r="CT67" s="196"/>
      <c r="CU67" s="196"/>
      <c r="CV67" s="196"/>
      <c r="CW67" s="196"/>
      <c r="CX67" s="196"/>
    </row>
    <row r="68" spans="1:102" ht="12.75" customHeight="1" x14ac:dyDescent="0.2">
      <c r="A68" s="151" t="s">
        <v>99</v>
      </c>
      <c r="B68" s="156">
        <v>0</v>
      </c>
      <c r="C68" s="186">
        <v>0.2</v>
      </c>
      <c r="D68" s="186">
        <v>0.32</v>
      </c>
      <c r="E68" s="186">
        <v>0.192</v>
      </c>
      <c r="F68" s="186">
        <v>0.1152</v>
      </c>
      <c r="G68" s="186">
        <v>0.1152</v>
      </c>
      <c r="H68" s="186">
        <v>5.7599999999999998E-2</v>
      </c>
      <c r="I68" s="186">
        <v>0</v>
      </c>
      <c r="J68" s="186">
        <v>0</v>
      </c>
      <c r="K68" s="186">
        <v>0</v>
      </c>
      <c r="L68" s="186">
        <v>0</v>
      </c>
      <c r="M68" s="186">
        <v>0</v>
      </c>
      <c r="N68" s="186">
        <v>0</v>
      </c>
      <c r="O68" s="186">
        <v>0</v>
      </c>
      <c r="P68" s="186">
        <v>0</v>
      </c>
      <c r="Q68" s="186">
        <v>0</v>
      </c>
      <c r="R68" s="186">
        <v>0</v>
      </c>
      <c r="S68" s="186">
        <v>0</v>
      </c>
      <c r="T68" s="186">
        <v>0</v>
      </c>
      <c r="U68" s="186">
        <v>0</v>
      </c>
      <c r="V68" s="186">
        <v>0</v>
      </c>
      <c r="W68" s="186">
        <v>0</v>
      </c>
      <c r="X68" s="186">
        <v>0</v>
      </c>
      <c r="Y68" s="186">
        <v>0</v>
      </c>
      <c r="Z68" s="186">
        <v>0</v>
      </c>
      <c r="AA68" s="186">
        <v>0</v>
      </c>
      <c r="AB68" s="153"/>
      <c r="AC68" s="153"/>
      <c r="AD68" s="153"/>
      <c r="AE68" s="153"/>
      <c r="AF68" s="153"/>
      <c r="AG68" s="153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  <c r="AV68" s="153"/>
      <c r="AW68" s="153"/>
      <c r="AX68" s="153"/>
      <c r="AY68" s="153"/>
      <c r="AZ68" s="153"/>
      <c r="BA68" s="153"/>
      <c r="BB68" s="153"/>
      <c r="BC68" s="153"/>
      <c r="BD68" s="153"/>
      <c r="BE68" s="153"/>
      <c r="BF68" s="153"/>
      <c r="BG68" s="153"/>
      <c r="BH68" s="153"/>
      <c r="BI68" s="153"/>
      <c r="BJ68" s="153"/>
      <c r="BK68" s="153"/>
      <c r="BL68" s="153"/>
      <c r="BM68" s="153"/>
      <c r="BN68" s="153"/>
      <c r="BO68" s="153"/>
      <c r="BP68" s="153"/>
      <c r="BQ68" s="153"/>
      <c r="BR68" s="153"/>
      <c r="BS68" s="153"/>
      <c r="BT68" s="153"/>
      <c r="BU68" s="153"/>
      <c r="BV68" s="153"/>
      <c r="BW68" s="153"/>
      <c r="BX68" s="153"/>
      <c r="BY68" s="153"/>
      <c r="BZ68" s="153"/>
      <c r="CA68" s="153"/>
      <c r="CB68" s="153"/>
      <c r="CC68" s="153"/>
      <c r="CD68" s="153"/>
      <c r="CE68" s="153"/>
      <c r="CF68" s="153"/>
      <c r="CG68" s="153"/>
      <c r="CH68" s="153"/>
      <c r="CI68" s="153"/>
      <c r="CJ68" s="153"/>
      <c r="CK68" s="153"/>
      <c r="CL68" s="153"/>
      <c r="CM68" s="153"/>
      <c r="CN68" s="153"/>
      <c r="CO68" s="153"/>
      <c r="CP68" s="153"/>
      <c r="CQ68" s="153"/>
      <c r="CR68" s="153"/>
      <c r="CS68" s="153"/>
      <c r="CT68" s="153"/>
      <c r="CU68" s="153"/>
      <c r="CV68" s="153"/>
      <c r="CW68" s="153"/>
      <c r="CX68" s="153"/>
    </row>
    <row r="69" spans="1:102" ht="12.75" customHeight="1" x14ac:dyDescent="0.2">
      <c r="A69" s="151" t="s">
        <v>100</v>
      </c>
      <c r="B69" s="156">
        <v>0</v>
      </c>
      <c r="C69" s="186">
        <v>0.2</v>
      </c>
      <c r="D69" s="186">
        <v>0.32</v>
      </c>
      <c r="E69" s="186">
        <v>0.192</v>
      </c>
      <c r="F69" s="186">
        <v>0.1152</v>
      </c>
      <c r="G69" s="186">
        <v>0.1152</v>
      </c>
      <c r="H69" s="186">
        <v>5.7599999999999998E-2</v>
      </c>
      <c r="I69" s="186">
        <v>0</v>
      </c>
      <c r="J69" s="186">
        <v>0</v>
      </c>
      <c r="K69" s="186">
        <v>0</v>
      </c>
      <c r="L69" s="186">
        <v>0</v>
      </c>
      <c r="M69" s="186">
        <v>0</v>
      </c>
      <c r="N69" s="186">
        <v>0</v>
      </c>
      <c r="O69" s="186">
        <v>0</v>
      </c>
      <c r="P69" s="186">
        <v>0</v>
      </c>
      <c r="Q69" s="186">
        <v>0</v>
      </c>
      <c r="R69" s="186">
        <v>0</v>
      </c>
      <c r="S69" s="186">
        <v>0</v>
      </c>
      <c r="T69" s="186">
        <v>0</v>
      </c>
      <c r="U69" s="186">
        <v>0</v>
      </c>
      <c r="V69" s="186">
        <v>0</v>
      </c>
      <c r="W69" s="186">
        <v>0</v>
      </c>
      <c r="X69" s="186">
        <v>0</v>
      </c>
      <c r="Y69" s="186">
        <v>0</v>
      </c>
      <c r="Z69" s="186">
        <v>0</v>
      </c>
      <c r="AA69" s="186">
        <v>0</v>
      </c>
      <c r="AB69" s="153"/>
      <c r="AC69" s="153"/>
      <c r="AD69" s="153"/>
      <c r="AE69" s="153"/>
      <c r="AF69" s="153"/>
      <c r="AG69" s="153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  <c r="AV69" s="153"/>
      <c r="AW69" s="153"/>
      <c r="AX69" s="153"/>
      <c r="AY69" s="153"/>
      <c r="AZ69" s="153"/>
      <c r="BA69" s="153"/>
      <c r="BB69" s="153"/>
      <c r="BC69" s="153"/>
      <c r="BD69" s="153"/>
      <c r="BE69" s="153"/>
      <c r="BF69" s="153"/>
      <c r="BG69" s="153"/>
      <c r="BH69" s="153"/>
      <c r="BI69" s="153"/>
      <c r="BJ69" s="153"/>
      <c r="BK69" s="153"/>
      <c r="BL69" s="153"/>
      <c r="BM69" s="153"/>
      <c r="BN69" s="153"/>
      <c r="BO69" s="153"/>
      <c r="BP69" s="153"/>
      <c r="BQ69" s="153"/>
      <c r="BR69" s="153"/>
      <c r="BS69" s="153"/>
      <c r="BT69" s="153"/>
      <c r="BU69" s="153"/>
      <c r="BV69" s="153"/>
      <c r="BW69" s="153"/>
      <c r="BX69" s="153"/>
      <c r="BY69" s="153"/>
      <c r="BZ69" s="153"/>
      <c r="CA69" s="153"/>
      <c r="CB69" s="153"/>
      <c r="CC69" s="153"/>
      <c r="CD69" s="153"/>
      <c r="CE69" s="153"/>
      <c r="CF69" s="153"/>
      <c r="CG69" s="153"/>
      <c r="CH69" s="153"/>
      <c r="CI69" s="153"/>
      <c r="CJ69" s="153"/>
      <c r="CK69" s="153"/>
      <c r="CL69" s="153"/>
      <c r="CM69" s="153"/>
      <c r="CN69" s="153"/>
      <c r="CO69" s="153"/>
      <c r="CP69" s="153"/>
      <c r="CQ69" s="153"/>
      <c r="CR69" s="153"/>
      <c r="CS69" s="153"/>
      <c r="CT69" s="153"/>
      <c r="CU69" s="153"/>
      <c r="CV69" s="153"/>
      <c r="CW69" s="153"/>
      <c r="CX69" s="153"/>
    </row>
    <row r="80" spans="1:102" x14ac:dyDescent="0.2">
      <c r="C80" s="183"/>
    </row>
    <row r="81" spans="3:33" x14ac:dyDescent="0.2">
      <c r="C81" s="183"/>
    </row>
    <row r="82" spans="3:33" x14ac:dyDescent="0.2">
      <c r="C82" s="184"/>
      <c r="D82" s="184"/>
      <c r="E82" s="20"/>
      <c r="F82" s="20"/>
    </row>
    <row r="83" spans="3:33" x14ac:dyDescent="0.2">
      <c r="C83" s="184"/>
      <c r="D83" s="184"/>
      <c r="E83" s="20"/>
      <c r="F83" s="20"/>
    </row>
    <row r="84" spans="3:33" x14ac:dyDescent="0.2">
      <c r="C84" s="184"/>
      <c r="D84" s="184"/>
      <c r="E84" s="20"/>
      <c r="F84" s="20"/>
    </row>
    <row r="85" spans="3:33" x14ac:dyDescent="0.2">
      <c r="C85" s="184"/>
      <c r="D85" s="184"/>
      <c r="E85" s="20"/>
      <c r="F85" s="20"/>
    </row>
    <row r="86" spans="3:33" x14ac:dyDescent="0.2">
      <c r="C86" s="184"/>
      <c r="D86" s="184"/>
      <c r="E86" s="20"/>
      <c r="F86" s="20"/>
    </row>
    <row r="87" spans="3:33" x14ac:dyDescent="0.2">
      <c r="C87" s="184"/>
      <c r="D87" s="184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3:33" x14ac:dyDescent="0.2">
      <c r="C88" s="184"/>
      <c r="D88" s="184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3:33" x14ac:dyDescent="0.2">
      <c r="C89" s="184"/>
      <c r="D89" s="184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3:33" x14ac:dyDescent="0.2">
      <c r="C90" s="184"/>
      <c r="D90" s="184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3:33" x14ac:dyDescent="0.2">
      <c r="C91" s="184"/>
      <c r="D91" s="184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3:33" x14ac:dyDescent="0.2">
      <c r="C92" s="184"/>
      <c r="D92" s="184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3:33" x14ac:dyDescent="0.2">
      <c r="C93" s="184"/>
      <c r="D93" s="184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3:33" x14ac:dyDescent="0.2">
      <c r="C94" s="184"/>
      <c r="D94" s="184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3:33" x14ac:dyDescent="0.2">
      <c r="C95" s="184"/>
      <c r="D95" s="184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3:33" x14ac:dyDescent="0.2">
      <c r="C96" s="184"/>
      <c r="D96" s="184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3:33" x14ac:dyDescent="0.2"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3:33" x14ac:dyDescent="0.2"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3:33" x14ac:dyDescent="0.2"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3:33" x14ac:dyDescent="0.2"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3:33" x14ac:dyDescent="0.2"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7:33" x14ac:dyDescent="0.2"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7:33" x14ac:dyDescent="0.2"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7:33" x14ac:dyDescent="0.2"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7:33" x14ac:dyDescent="0.2"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7:33" x14ac:dyDescent="0.2"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</sheetData>
  <phoneticPr fontId="0" type="noConversion"/>
  <conditionalFormatting sqref="B42">
    <cfRule type="expression" dxfId="2" priority="28" stopIfTrue="1">
      <formula>#REF!="Fixed"</formula>
    </cfRule>
  </conditionalFormatting>
  <conditionalFormatting sqref="B47">
    <cfRule type="expression" dxfId="1" priority="29" stopIfTrue="1">
      <formula>#REF!="Fixed"</formula>
    </cfRule>
  </conditionalFormatting>
  <conditionalFormatting sqref="B48">
    <cfRule type="expression" dxfId="0" priority="30" stopIfTrue="1">
      <formula>#REF!="Fixed"</formula>
    </cfRule>
  </conditionalFormatting>
  <dataValidations count="2">
    <dataValidation type="list" allowBlank="1" showInputMessage="1" showErrorMessage="1" sqref="B57:B58">
      <formula1>"No Depreciation,5-yr MACRS,Straight Line,Custom,N/A"</formula1>
    </dataValidation>
    <dataValidation type="list" allowBlank="1" showInputMessage="1" showErrorMessage="1" sqref="B59">
      <formula1>"Yes,No"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89"/>
  <sheetViews>
    <sheetView tabSelected="1" zoomScaleNormal="100" workbookViewId="0">
      <pane xSplit="1" ySplit="2" topLeftCell="CL51" activePane="bottomRight" state="frozen"/>
      <selection activeCell="B6" sqref="B6"/>
      <selection pane="topRight" activeCell="B6" sqref="B6"/>
      <selection pane="bottomLeft" activeCell="B6" sqref="B6"/>
      <selection pane="bottomRight" activeCell="CW86" sqref="CW86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35" t="s">
        <v>118</v>
      </c>
      <c r="B1" s="9"/>
      <c r="C1" s="10"/>
      <c r="D1" s="53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110" t="s">
        <v>86</v>
      </c>
      <c r="B2" s="108">
        <v>0</v>
      </c>
      <c r="C2" s="108">
        <f t="shared" ref="C2:AH2" si="0">IF(B2="","",IF(B2+1&lt;=analysis_period,B2+1,""))</f>
        <v>1</v>
      </c>
      <c r="D2" s="108">
        <f t="shared" si="0"/>
        <v>2</v>
      </c>
      <c r="E2" s="108">
        <f t="shared" si="0"/>
        <v>3</v>
      </c>
      <c r="F2" s="108">
        <f t="shared" si="0"/>
        <v>4</v>
      </c>
      <c r="G2" s="108">
        <f t="shared" si="0"/>
        <v>5</v>
      </c>
      <c r="H2" s="108">
        <f t="shared" si="0"/>
        <v>6</v>
      </c>
      <c r="I2" s="108">
        <f t="shared" si="0"/>
        <v>7</v>
      </c>
      <c r="J2" s="108">
        <f t="shared" si="0"/>
        <v>8</v>
      </c>
      <c r="K2" s="108">
        <f t="shared" si="0"/>
        <v>9</v>
      </c>
      <c r="L2" s="108">
        <f t="shared" si="0"/>
        <v>10</v>
      </c>
      <c r="M2" s="108">
        <f t="shared" si="0"/>
        <v>11</v>
      </c>
      <c r="N2" s="108">
        <f t="shared" si="0"/>
        <v>12</v>
      </c>
      <c r="O2" s="108">
        <f t="shared" si="0"/>
        <v>13</v>
      </c>
      <c r="P2" s="108">
        <f t="shared" si="0"/>
        <v>14</v>
      </c>
      <c r="Q2" s="108">
        <f t="shared" si="0"/>
        <v>15</v>
      </c>
      <c r="R2" s="108">
        <f t="shared" si="0"/>
        <v>16</v>
      </c>
      <c r="S2" s="108">
        <f t="shared" si="0"/>
        <v>17</v>
      </c>
      <c r="T2" s="108">
        <f t="shared" si="0"/>
        <v>18</v>
      </c>
      <c r="U2" s="108">
        <f t="shared" si="0"/>
        <v>19</v>
      </c>
      <c r="V2" s="108">
        <f t="shared" si="0"/>
        <v>20</v>
      </c>
      <c r="W2" s="108">
        <f t="shared" si="0"/>
        <v>21</v>
      </c>
      <c r="X2" s="108">
        <f t="shared" si="0"/>
        <v>22</v>
      </c>
      <c r="Y2" s="108">
        <f t="shared" si="0"/>
        <v>23</v>
      </c>
      <c r="Z2" s="108">
        <f t="shared" si="0"/>
        <v>24</v>
      </c>
      <c r="AA2" s="108">
        <f t="shared" si="0"/>
        <v>25</v>
      </c>
      <c r="AB2" s="108" t="str">
        <f t="shared" si="0"/>
        <v/>
      </c>
      <c r="AC2" s="108" t="str">
        <f t="shared" si="0"/>
        <v/>
      </c>
      <c r="AD2" s="108" t="str">
        <f t="shared" si="0"/>
        <v/>
      </c>
      <c r="AE2" s="108" t="str">
        <f t="shared" si="0"/>
        <v/>
      </c>
      <c r="AF2" s="108" t="str">
        <f t="shared" si="0"/>
        <v/>
      </c>
      <c r="AG2" s="108" t="str">
        <f t="shared" si="0"/>
        <v/>
      </c>
      <c r="AH2" s="108" t="str">
        <f t="shared" si="0"/>
        <v/>
      </c>
      <c r="AI2" s="108" t="str">
        <f t="shared" ref="AI2:BN2" si="1">IF(AH2="","",IF(AH2+1&lt;=analysis_period,AH2+1,""))</f>
        <v/>
      </c>
      <c r="AJ2" s="108" t="str">
        <f t="shared" si="1"/>
        <v/>
      </c>
      <c r="AK2" s="108" t="str">
        <f t="shared" si="1"/>
        <v/>
      </c>
      <c r="AL2" s="108" t="str">
        <f t="shared" si="1"/>
        <v/>
      </c>
      <c r="AM2" s="108" t="str">
        <f t="shared" si="1"/>
        <v/>
      </c>
      <c r="AN2" s="108" t="str">
        <f t="shared" si="1"/>
        <v/>
      </c>
      <c r="AO2" s="108" t="str">
        <f t="shared" si="1"/>
        <v/>
      </c>
      <c r="AP2" s="108" t="str">
        <f t="shared" si="1"/>
        <v/>
      </c>
      <c r="AQ2" s="108" t="str">
        <f t="shared" si="1"/>
        <v/>
      </c>
      <c r="AR2" s="108" t="str">
        <f t="shared" si="1"/>
        <v/>
      </c>
      <c r="AS2" s="108" t="str">
        <f t="shared" si="1"/>
        <v/>
      </c>
      <c r="AT2" s="108" t="str">
        <f t="shared" si="1"/>
        <v/>
      </c>
      <c r="AU2" s="108" t="str">
        <f t="shared" si="1"/>
        <v/>
      </c>
      <c r="AV2" s="108" t="str">
        <f t="shared" si="1"/>
        <v/>
      </c>
      <c r="AW2" s="108" t="str">
        <f t="shared" si="1"/>
        <v/>
      </c>
      <c r="AX2" s="108" t="str">
        <f t="shared" si="1"/>
        <v/>
      </c>
      <c r="AY2" s="108" t="str">
        <f t="shared" si="1"/>
        <v/>
      </c>
      <c r="AZ2" s="108" t="str">
        <f t="shared" si="1"/>
        <v/>
      </c>
      <c r="BA2" s="108" t="str">
        <f t="shared" si="1"/>
        <v/>
      </c>
      <c r="BB2" s="108" t="str">
        <f t="shared" si="1"/>
        <v/>
      </c>
      <c r="BC2" s="108" t="str">
        <f t="shared" si="1"/>
        <v/>
      </c>
      <c r="BD2" s="108" t="str">
        <f t="shared" si="1"/>
        <v/>
      </c>
      <c r="BE2" s="108" t="str">
        <f t="shared" si="1"/>
        <v/>
      </c>
      <c r="BF2" s="108" t="str">
        <f t="shared" si="1"/>
        <v/>
      </c>
      <c r="BG2" s="108" t="str">
        <f t="shared" si="1"/>
        <v/>
      </c>
      <c r="BH2" s="108" t="str">
        <f t="shared" si="1"/>
        <v/>
      </c>
      <c r="BI2" s="108" t="str">
        <f t="shared" si="1"/>
        <v/>
      </c>
      <c r="BJ2" s="108" t="str">
        <f t="shared" si="1"/>
        <v/>
      </c>
      <c r="BK2" s="108" t="str">
        <f t="shared" si="1"/>
        <v/>
      </c>
      <c r="BL2" s="108" t="str">
        <f t="shared" si="1"/>
        <v/>
      </c>
      <c r="BM2" s="108" t="str">
        <f t="shared" si="1"/>
        <v/>
      </c>
      <c r="BN2" s="108" t="str">
        <f t="shared" si="1"/>
        <v/>
      </c>
      <c r="BO2" s="108" t="str">
        <f t="shared" ref="BO2:CX2" si="2">IF(BN2="","",IF(BN2+1&lt;=analysis_period,BN2+1,""))</f>
        <v/>
      </c>
      <c r="BP2" s="108" t="str">
        <f t="shared" si="2"/>
        <v/>
      </c>
      <c r="BQ2" s="108" t="str">
        <f t="shared" si="2"/>
        <v/>
      </c>
      <c r="BR2" s="108" t="str">
        <f t="shared" si="2"/>
        <v/>
      </c>
      <c r="BS2" s="108" t="str">
        <f t="shared" si="2"/>
        <v/>
      </c>
      <c r="BT2" s="108" t="str">
        <f t="shared" si="2"/>
        <v/>
      </c>
      <c r="BU2" s="108" t="str">
        <f t="shared" si="2"/>
        <v/>
      </c>
      <c r="BV2" s="108" t="str">
        <f t="shared" si="2"/>
        <v/>
      </c>
      <c r="BW2" s="108" t="str">
        <f t="shared" si="2"/>
        <v/>
      </c>
      <c r="BX2" s="108" t="str">
        <f t="shared" si="2"/>
        <v/>
      </c>
      <c r="BY2" s="108" t="str">
        <f t="shared" si="2"/>
        <v/>
      </c>
      <c r="BZ2" s="108" t="str">
        <f t="shared" si="2"/>
        <v/>
      </c>
      <c r="CA2" s="108" t="str">
        <f t="shared" si="2"/>
        <v/>
      </c>
      <c r="CB2" s="108" t="str">
        <f t="shared" si="2"/>
        <v/>
      </c>
      <c r="CC2" s="108" t="str">
        <f t="shared" si="2"/>
        <v/>
      </c>
      <c r="CD2" s="108" t="str">
        <f t="shared" si="2"/>
        <v/>
      </c>
      <c r="CE2" s="108" t="str">
        <f t="shared" si="2"/>
        <v/>
      </c>
      <c r="CF2" s="108" t="str">
        <f t="shared" si="2"/>
        <v/>
      </c>
      <c r="CG2" s="108" t="str">
        <f t="shared" si="2"/>
        <v/>
      </c>
      <c r="CH2" s="108" t="str">
        <f t="shared" si="2"/>
        <v/>
      </c>
      <c r="CI2" s="108" t="str">
        <f t="shared" si="2"/>
        <v/>
      </c>
      <c r="CJ2" s="108" t="str">
        <f t="shared" si="2"/>
        <v/>
      </c>
      <c r="CK2" s="108" t="str">
        <f t="shared" si="2"/>
        <v/>
      </c>
      <c r="CL2" s="108" t="str">
        <f t="shared" si="2"/>
        <v/>
      </c>
      <c r="CM2" s="108" t="str">
        <f t="shared" si="2"/>
        <v/>
      </c>
      <c r="CN2" s="108" t="str">
        <f t="shared" si="2"/>
        <v/>
      </c>
      <c r="CO2" s="108" t="str">
        <f t="shared" si="2"/>
        <v/>
      </c>
      <c r="CP2" s="108" t="str">
        <f t="shared" si="2"/>
        <v/>
      </c>
      <c r="CQ2" s="108" t="str">
        <f t="shared" si="2"/>
        <v/>
      </c>
      <c r="CR2" s="108" t="str">
        <f t="shared" si="2"/>
        <v/>
      </c>
      <c r="CS2" s="108" t="str">
        <f t="shared" si="2"/>
        <v/>
      </c>
      <c r="CT2" s="108" t="str">
        <f t="shared" si="2"/>
        <v/>
      </c>
      <c r="CU2" s="108" t="str">
        <f t="shared" si="2"/>
        <v/>
      </c>
      <c r="CV2" s="108" t="str">
        <f t="shared" si="2"/>
        <v/>
      </c>
      <c r="CW2" s="108" t="str">
        <f t="shared" si="2"/>
        <v/>
      </c>
      <c r="CX2" s="108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110" t="s">
        <v>88</v>
      </c>
      <c r="B4" s="107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  <c r="BL4" s="108"/>
      <c r="BM4" s="108"/>
      <c r="BN4" s="108"/>
      <c r="BO4" s="108"/>
      <c r="BP4" s="108"/>
      <c r="BQ4" s="108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08"/>
      <c r="CD4" s="108"/>
      <c r="CE4" s="108"/>
      <c r="CF4" s="108"/>
      <c r="CG4" s="108"/>
      <c r="CH4" s="108"/>
      <c r="CI4" s="108"/>
      <c r="CJ4" s="108"/>
      <c r="CK4" s="108"/>
      <c r="CL4" s="108"/>
      <c r="CM4" s="108"/>
      <c r="CN4" s="108"/>
      <c r="CO4" s="108"/>
      <c r="CP4" s="108"/>
      <c r="CQ4" s="108"/>
      <c r="CR4" s="108"/>
      <c r="CS4" s="108"/>
      <c r="CT4" s="108"/>
      <c r="CU4" s="108"/>
      <c r="CV4" s="108"/>
      <c r="CW4" s="108"/>
      <c r="CX4" s="109"/>
    </row>
    <row r="5" spans="1:102" x14ac:dyDescent="0.2">
      <c r="A5" s="61" t="s">
        <v>89</v>
      </c>
      <c r="B5" s="104">
        <f t="array" ref="B5:CX5">'Inputs and Outputs'!B64:CX64</f>
        <v>0</v>
      </c>
      <c r="C5" s="104">
        <v>411626</v>
      </c>
      <c r="D5" s="104">
        <v>409567.87</v>
      </c>
      <c r="E5" s="104">
        <v>407520.03064999997</v>
      </c>
      <c r="F5" s="104">
        <v>405482.43049674999</v>
      </c>
      <c r="G5" s="104">
        <v>403455.01834426622</v>
      </c>
      <c r="H5" s="104">
        <v>401437.7432525449</v>
      </c>
      <c r="I5" s="104">
        <v>399430.55453628214</v>
      </c>
      <c r="J5" s="104">
        <v>397433.4017636007</v>
      </c>
      <c r="K5" s="104">
        <v>395446.23475478269</v>
      </c>
      <c r="L5" s="104">
        <v>393469.00358100876</v>
      </c>
      <c r="M5" s="104">
        <v>391501.6585631037</v>
      </c>
      <c r="N5" s="104">
        <v>389544.15027028817</v>
      </c>
      <c r="O5" s="104">
        <v>387596.42951893673</v>
      </c>
      <c r="P5" s="104">
        <v>385658.44737134204</v>
      </c>
      <c r="Q5" s="104">
        <v>383730.15513448534</v>
      </c>
      <c r="R5" s="104">
        <v>381811.50435881293</v>
      </c>
      <c r="S5" s="104">
        <v>379902.44683701888</v>
      </c>
      <c r="T5" s="104">
        <v>378002.93460283376</v>
      </c>
      <c r="U5" s="104">
        <v>376112.91992981959</v>
      </c>
      <c r="V5" s="104">
        <v>374232.35533017048</v>
      </c>
      <c r="W5" s="104">
        <v>372361.19355351961</v>
      </c>
      <c r="X5" s="104">
        <v>370499.387585752</v>
      </c>
      <c r="Y5" s="104">
        <v>368646.89064782322</v>
      </c>
      <c r="Z5" s="104">
        <v>366803.65619458409</v>
      </c>
      <c r="AA5" s="104">
        <v>364969.63791361119</v>
      </c>
      <c r="AB5" s="104" t="str">
        <v/>
      </c>
      <c r="AC5" s="104" t="str">
        <v/>
      </c>
      <c r="AD5" s="104" t="str">
        <v/>
      </c>
      <c r="AE5" s="104" t="str">
        <v/>
      </c>
      <c r="AF5" s="104" t="str">
        <v/>
      </c>
      <c r="AG5" s="104" t="str">
        <v/>
      </c>
      <c r="AH5" s="104" t="str">
        <v/>
      </c>
      <c r="AI5" s="104" t="str">
        <v/>
      </c>
      <c r="AJ5" s="104" t="str">
        <v/>
      </c>
      <c r="AK5" s="104" t="str">
        <v/>
      </c>
      <c r="AL5" s="104" t="str">
        <v/>
      </c>
      <c r="AM5" s="104" t="str">
        <v/>
      </c>
      <c r="AN5" s="104" t="str">
        <v/>
      </c>
      <c r="AO5" s="104" t="str">
        <v/>
      </c>
      <c r="AP5" s="104" t="str">
        <v/>
      </c>
      <c r="AQ5" s="104" t="str">
        <v/>
      </c>
      <c r="AR5" s="104" t="str">
        <v/>
      </c>
      <c r="AS5" s="104" t="str">
        <v/>
      </c>
      <c r="AT5" s="104" t="str">
        <v/>
      </c>
      <c r="AU5" s="104" t="str">
        <v/>
      </c>
      <c r="AV5" s="104" t="str">
        <v/>
      </c>
      <c r="AW5" s="104" t="str">
        <v/>
      </c>
      <c r="AX5" s="104" t="str">
        <v/>
      </c>
      <c r="AY5" s="104" t="str">
        <v/>
      </c>
      <c r="AZ5" s="104" t="str">
        <v/>
      </c>
      <c r="BA5" s="104" t="str">
        <v/>
      </c>
      <c r="BB5" s="104" t="str">
        <v/>
      </c>
      <c r="BC5" s="104" t="str">
        <v/>
      </c>
      <c r="BD5" s="104" t="str">
        <v/>
      </c>
      <c r="BE5" s="104" t="str">
        <v/>
      </c>
      <c r="BF5" s="104" t="str">
        <v/>
      </c>
      <c r="BG5" s="104" t="str">
        <v/>
      </c>
      <c r="BH5" s="104" t="str">
        <v/>
      </c>
      <c r="BI5" s="104" t="str">
        <v/>
      </c>
      <c r="BJ5" s="104" t="str">
        <v/>
      </c>
      <c r="BK5" s="104" t="str">
        <v/>
      </c>
      <c r="BL5" s="104" t="str">
        <v/>
      </c>
      <c r="BM5" s="104" t="str">
        <v/>
      </c>
      <c r="BN5" s="104" t="str">
        <v/>
      </c>
      <c r="BO5" s="104" t="str">
        <v/>
      </c>
      <c r="BP5" s="104" t="str">
        <v/>
      </c>
      <c r="BQ5" s="104" t="str">
        <v/>
      </c>
      <c r="BR5" s="104" t="str">
        <v/>
      </c>
      <c r="BS5" s="104" t="str">
        <v/>
      </c>
      <c r="BT5" s="104" t="str">
        <v/>
      </c>
      <c r="BU5" s="104" t="str">
        <v/>
      </c>
      <c r="BV5" s="104" t="str">
        <v/>
      </c>
      <c r="BW5" s="104" t="str">
        <v/>
      </c>
      <c r="BX5" s="104" t="str">
        <v/>
      </c>
      <c r="BY5" s="104" t="str">
        <v/>
      </c>
      <c r="BZ5" s="104" t="str">
        <v/>
      </c>
      <c r="CA5" s="104" t="str">
        <v/>
      </c>
      <c r="CB5" s="104" t="str">
        <v/>
      </c>
      <c r="CC5" s="104" t="str">
        <v/>
      </c>
      <c r="CD5" s="104" t="str">
        <v/>
      </c>
      <c r="CE5" s="104" t="str">
        <v/>
      </c>
      <c r="CF5" s="104" t="str">
        <v/>
      </c>
      <c r="CG5" s="104" t="str">
        <v/>
      </c>
      <c r="CH5" s="104" t="str">
        <v/>
      </c>
      <c r="CI5" s="104" t="str">
        <v/>
      </c>
      <c r="CJ5" s="104" t="str">
        <v/>
      </c>
      <c r="CK5" s="104" t="str">
        <v/>
      </c>
      <c r="CL5" s="104" t="str">
        <v/>
      </c>
      <c r="CM5" s="104" t="str">
        <v/>
      </c>
      <c r="CN5" s="104" t="str">
        <v/>
      </c>
      <c r="CO5" s="104" t="str">
        <v/>
      </c>
      <c r="CP5" s="104" t="str">
        <v/>
      </c>
      <c r="CQ5" s="104" t="str">
        <v/>
      </c>
      <c r="CR5" s="104" t="str">
        <v/>
      </c>
      <c r="CS5" s="104" t="str">
        <v/>
      </c>
      <c r="CT5" s="104" t="str">
        <v/>
      </c>
      <c r="CU5" s="104" t="str">
        <v/>
      </c>
      <c r="CV5" s="104" t="str">
        <v/>
      </c>
      <c r="CW5" s="104" t="str">
        <v/>
      </c>
      <c r="CX5" s="104" t="str">
        <v/>
      </c>
    </row>
    <row r="6" spans="1:102" x14ac:dyDescent="0.2">
      <c r="A6" s="61"/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/>
      <c r="AW6" s="104"/>
      <c r="AX6" s="104"/>
      <c r="AY6" s="104"/>
      <c r="AZ6" s="104"/>
      <c r="BA6" s="104"/>
      <c r="BB6" s="104"/>
      <c r="BC6" s="104"/>
      <c r="BD6" s="104"/>
      <c r="BE6" s="104"/>
      <c r="BF6" s="104"/>
      <c r="BG6" s="104"/>
      <c r="BH6" s="104"/>
      <c r="BI6" s="104"/>
      <c r="BJ6" s="104"/>
      <c r="BK6" s="104"/>
      <c r="BL6" s="104"/>
      <c r="BM6" s="104"/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A6" s="104"/>
      <c r="CB6" s="104"/>
      <c r="CC6" s="104"/>
      <c r="CD6" s="104"/>
      <c r="CE6" s="104"/>
      <c r="CF6" s="104"/>
      <c r="CG6" s="104"/>
      <c r="CH6" s="104"/>
      <c r="CI6" s="104"/>
      <c r="CJ6" s="104"/>
      <c r="CK6" s="104"/>
      <c r="CL6" s="104"/>
      <c r="CM6" s="104"/>
      <c r="CN6" s="104"/>
      <c r="CO6" s="104"/>
      <c r="CP6" s="104"/>
      <c r="CQ6" s="104"/>
      <c r="CR6" s="104"/>
      <c r="CS6" s="104"/>
      <c r="CT6" s="104"/>
      <c r="CU6" s="104"/>
      <c r="CV6" s="104"/>
      <c r="CW6" s="104"/>
      <c r="CX6" s="104"/>
    </row>
    <row r="7" spans="1:102" x14ac:dyDescent="0.2">
      <c r="A7" s="110" t="s">
        <v>87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  <c r="AU7" s="111"/>
      <c r="AV7" s="111"/>
      <c r="AW7" s="111"/>
      <c r="AX7" s="111"/>
      <c r="AY7" s="111"/>
      <c r="AZ7" s="111"/>
      <c r="BA7" s="111"/>
      <c r="BB7" s="111"/>
      <c r="BC7" s="111"/>
      <c r="BD7" s="111"/>
      <c r="BE7" s="111"/>
      <c r="BF7" s="111"/>
      <c r="BG7" s="111"/>
      <c r="BH7" s="111"/>
      <c r="BI7" s="111"/>
      <c r="BJ7" s="111"/>
      <c r="BK7" s="111"/>
      <c r="BL7" s="111"/>
      <c r="BM7" s="111"/>
      <c r="BN7" s="111"/>
      <c r="BO7" s="111"/>
      <c r="BP7" s="111"/>
      <c r="BQ7" s="111"/>
      <c r="BR7" s="111"/>
      <c r="BS7" s="111"/>
      <c r="BT7" s="111"/>
      <c r="BU7" s="111"/>
      <c r="BV7" s="111"/>
      <c r="BW7" s="111"/>
      <c r="BX7" s="111"/>
      <c r="BY7" s="111"/>
      <c r="BZ7" s="111"/>
      <c r="CA7" s="111"/>
      <c r="CB7" s="111"/>
      <c r="CC7" s="111"/>
      <c r="CD7" s="111"/>
      <c r="CE7" s="111"/>
      <c r="CF7" s="111"/>
      <c r="CG7" s="111"/>
      <c r="CH7" s="111"/>
      <c r="CI7" s="111"/>
      <c r="CJ7" s="111"/>
      <c r="CK7" s="111"/>
      <c r="CL7" s="111"/>
      <c r="CM7" s="111"/>
      <c r="CN7" s="111"/>
      <c r="CO7" s="111"/>
      <c r="CP7" s="111"/>
      <c r="CQ7" s="111"/>
      <c r="CR7" s="111"/>
      <c r="CS7" s="111"/>
      <c r="CT7" s="111"/>
      <c r="CU7" s="111"/>
      <c r="CV7" s="111"/>
      <c r="CW7" s="111"/>
      <c r="CX7" s="112"/>
    </row>
    <row r="8" spans="1:102" x14ac:dyDescent="0.2">
      <c r="A8" s="62" t="s">
        <v>42</v>
      </c>
      <c r="B8" s="82">
        <f t="array" ref="B8:CX8">'Inputs and Outputs'!B67:CX67</f>
        <v>0</v>
      </c>
      <c r="C8" s="82">
        <v>42815</v>
      </c>
      <c r="D8" s="82">
        <v>43671.29999999993</v>
      </c>
      <c r="E8" s="82">
        <v>44544.725999999908</v>
      </c>
      <c r="F8" s="82">
        <v>45435.62051999988</v>
      </c>
      <c r="G8" s="82">
        <v>46344.33293039992</v>
      </c>
      <c r="H8" s="82">
        <v>47271.219589008018</v>
      </c>
      <c r="I8" s="82">
        <v>48216.643980788183</v>
      </c>
      <c r="J8" s="82">
        <v>49180.976860404015</v>
      </c>
      <c r="K8" s="82">
        <v>50164.596397612127</v>
      </c>
      <c r="L8" s="82">
        <v>51167.888325564447</v>
      </c>
      <c r="M8" s="82">
        <v>52191.246092075715</v>
      </c>
      <c r="N8" s="82">
        <v>53235.071013917215</v>
      </c>
      <c r="O8" s="82">
        <v>54299.77243419562</v>
      </c>
      <c r="P8" s="82">
        <v>55385.767882879591</v>
      </c>
      <c r="Q8" s="82">
        <v>56493.483240537229</v>
      </c>
      <c r="R8" s="82">
        <v>57623.352905348176</v>
      </c>
      <c r="S8" s="82">
        <v>58775.819963454967</v>
      </c>
      <c r="T8" s="82">
        <v>59951.33636272396</v>
      </c>
      <c r="U8" s="82">
        <v>61150.363089978229</v>
      </c>
      <c r="V8" s="82">
        <v>62373.370351777645</v>
      </c>
      <c r="W8" s="82">
        <v>63620.837758813286</v>
      </c>
      <c r="X8" s="82">
        <v>64893.254513989668</v>
      </c>
      <c r="Y8" s="82">
        <v>66191.119604269508</v>
      </c>
      <c r="Z8" s="82">
        <v>67514.941996354843</v>
      </c>
      <c r="AA8" s="82">
        <v>68865.240836282028</v>
      </c>
      <c r="AB8" s="82">
        <v>0</v>
      </c>
      <c r="AC8" s="82">
        <v>0</v>
      </c>
      <c r="AD8" s="82">
        <v>0</v>
      </c>
      <c r="AE8" s="82">
        <v>0</v>
      </c>
      <c r="AF8" s="82">
        <v>0</v>
      </c>
      <c r="AG8" s="82">
        <v>0</v>
      </c>
      <c r="AH8" s="82">
        <v>0</v>
      </c>
      <c r="AI8" s="82">
        <v>0</v>
      </c>
      <c r="AJ8" s="82">
        <v>0</v>
      </c>
      <c r="AK8" s="82">
        <v>0</v>
      </c>
      <c r="AL8" s="82">
        <v>0</v>
      </c>
      <c r="AM8" s="82">
        <v>0</v>
      </c>
      <c r="AN8" s="82">
        <v>0</v>
      </c>
      <c r="AO8" s="82">
        <v>0</v>
      </c>
      <c r="AP8" s="82">
        <v>0</v>
      </c>
      <c r="AQ8" s="82">
        <v>0</v>
      </c>
      <c r="AR8" s="82">
        <v>0</v>
      </c>
      <c r="AS8" s="82">
        <v>0</v>
      </c>
      <c r="AT8" s="82">
        <v>0</v>
      </c>
      <c r="AU8" s="82">
        <v>0</v>
      </c>
      <c r="AV8" s="82">
        <v>0</v>
      </c>
      <c r="AW8" s="82">
        <v>0</v>
      </c>
      <c r="AX8" s="82">
        <v>0</v>
      </c>
      <c r="AY8" s="82">
        <v>0</v>
      </c>
      <c r="AZ8" s="82">
        <v>0</v>
      </c>
      <c r="BA8" s="82">
        <v>0</v>
      </c>
      <c r="BB8" s="82">
        <v>0</v>
      </c>
      <c r="BC8" s="82">
        <v>0</v>
      </c>
      <c r="BD8" s="82">
        <v>0</v>
      </c>
      <c r="BE8" s="82">
        <v>0</v>
      </c>
      <c r="BF8" s="82">
        <v>0</v>
      </c>
      <c r="BG8" s="82">
        <v>0</v>
      </c>
      <c r="BH8" s="82">
        <v>0</v>
      </c>
      <c r="BI8" s="82">
        <v>0</v>
      </c>
      <c r="BJ8" s="82">
        <v>0</v>
      </c>
      <c r="BK8" s="82">
        <v>0</v>
      </c>
      <c r="BL8" s="82">
        <v>0</v>
      </c>
      <c r="BM8" s="82">
        <v>0</v>
      </c>
      <c r="BN8" s="82">
        <v>0</v>
      </c>
      <c r="BO8" s="82">
        <v>0</v>
      </c>
      <c r="BP8" s="82">
        <v>0</v>
      </c>
      <c r="BQ8" s="82">
        <v>0</v>
      </c>
      <c r="BR8" s="82">
        <v>0</v>
      </c>
      <c r="BS8" s="82">
        <v>0</v>
      </c>
      <c r="BT8" s="82">
        <v>0</v>
      </c>
      <c r="BU8" s="82">
        <v>0</v>
      </c>
      <c r="BV8" s="82">
        <v>0</v>
      </c>
      <c r="BW8" s="82">
        <v>0</v>
      </c>
      <c r="BX8" s="82">
        <v>0</v>
      </c>
      <c r="BY8" s="82">
        <v>0</v>
      </c>
      <c r="BZ8" s="82">
        <v>0</v>
      </c>
      <c r="CA8" s="82">
        <v>0</v>
      </c>
      <c r="CB8" s="82">
        <v>0</v>
      </c>
      <c r="CC8" s="82">
        <v>0</v>
      </c>
      <c r="CD8" s="82">
        <v>0</v>
      </c>
      <c r="CE8" s="82">
        <v>0</v>
      </c>
      <c r="CF8" s="82">
        <v>0</v>
      </c>
      <c r="CG8" s="82">
        <v>0</v>
      </c>
      <c r="CH8" s="82">
        <v>0</v>
      </c>
      <c r="CI8" s="82">
        <v>0</v>
      </c>
      <c r="CJ8" s="82">
        <v>0</v>
      </c>
      <c r="CK8" s="82">
        <v>0</v>
      </c>
      <c r="CL8" s="82">
        <v>0</v>
      </c>
      <c r="CM8" s="82">
        <v>0</v>
      </c>
      <c r="CN8" s="82">
        <v>0</v>
      </c>
      <c r="CO8" s="82">
        <v>0</v>
      </c>
      <c r="CP8" s="82">
        <v>0</v>
      </c>
      <c r="CQ8" s="82">
        <v>0</v>
      </c>
      <c r="CR8" s="82">
        <v>0</v>
      </c>
      <c r="CS8" s="82">
        <v>0</v>
      </c>
      <c r="CT8" s="82">
        <v>0</v>
      </c>
      <c r="CU8" s="82">
        <v>0</v>
      </c>
      <c r="CV8" s="82">
        <v>0</v>
      </c>
      <c r="CW8" s="82">
        <v>0</v>
      </c>
      <c r="CX8" s="82">
        <v>0</v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6" t="s">
        <v>90</v>
      </c>
      <c r="B10" s="63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5"/>
    </row>
    <row r="11" spans="1:102" s="2" customFormat="1" x14ac:dyDescent="0.2">
      <c r="A11" s="61" t="s">
        <v>27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7" t="s">
        <v>31</v>
      </c>
      <c r="B12" s="16"/>
      <c r="C12" s="82">
        <f t="shared" ref="C12:AA12" si="3">IF(AND(ISNUMBER(outYear),ISNUMBER(om_capacity)),om_capacity*(1+inflation_rate/100+escalation_rate/100)^B2*system_capacity,"")</f>
        <v>4391.72</v>
      </c>
      <c r="D12" s="82">
        <f t="shared" si="3"/>
        <v>4479.5544</v>
      </c>
      <c r="E12" s="82">
        <f t="shared" si="3"/>
        <v>4569.1454880000001</v>
      </c>
      <c r="F12" s="82">
        <f t="shared" si="3"/>
        <v>4660.5283977600002</v>
      </c>
      <c r="G12" s="82">
        <f t="shared" si="3"/>
        <v>4753.7389657151998</v>
      </c>
      <c r="H12" s="82">
        <f t="shared" si="3"/>
        <v>4848.8137450295044</v>
      </c>
      <c r="I12" s="82">
        <f t="shared" si="3"/>
        <v>4945.7900199300948</v>
      </c>
      <c r="J12" s="82">
        <f t="shared" si="3"/>
        <v>5044.7058203286961</v>
      </c>
      <c r="K12" s="82">
        <f t="shared" si="3"/>
        <v>5145.5999367352697</v>
      </c>
      <c r="L12" s="82">
        <f t="shared" si="3"/>
        <v>5248.5119354699755</v>
      </c>
      <c r="M12" s="82">
        <f t="shared" si="3"/>
        <v>5353.4821741793758</v>
      </c>
      <c r="N12" s="82">
        <f t="shared" si="3"/>
        <v>5460.5518176629621</v>
      </c>
      <c r="O12" s="82">
        <f t="shared" si="3"/>
        <v>5569.7628540162214</v>
      </c>
      <c r="P12" s="82">
        <f t="shared" si="3"/>
        <v>5681.1581110965462</v>
      </c>
      <c r="Q12" s="82">
        <f t="shared" si="3"/>
        <v>5794.7812733184765</v>
      </c>
      <c r="R12" s="82">
        <f t="shared" si="3"/>
        <v>5910.6768987848445</v>
      </c>
      <c r="S12" s="82">
        <f t="shared" si="3"/>
        <v>6028.8904367605428</v>
      </c>
      <c r="T12" s="82">
        <f t="shared" si="3"/>
        <v>6149.4682454957547</v>
      </c>
      <c r="U12" s="82">
        <f t="shared" si="3"/>
        <v>6272.4576104056687</v>
      </c>
      <c r="V12" s="82">
        <f t="shared" si="3"/>
        <v>6397.9067626137821</v>
      </c>
      <c r="W12" s="82">
        <f t="shared" si="3"/>
        <v>6525.8648978660585</v>
      </c>
      <c r="X12" s="82">
        <f t="shared" si="3"/>
        <v>6656.3821958233793</v>
      </c>
      <c r="Y12" s="82">
        <f t="shared" si="3"/>
        <v>6789.5098397398469</v>
      </c>
      <c r="Z12" s="82">
        <f t="shared" si="3"/>
        <v>6925.3000365346425</v>
      </c>
      <c r="AA12" s="82">
        <f t="shared" si="3"/>
        <v>7063.8060372653363</v>
      </c>
      <c r="AB12" s="82" t="str">
        <f t="shared" ref="AB12:BG12" si="4">IF(AND(ISNUMBER(outYear),ISNUMBER(om_capacity)),om_capacity*(1+inflation_rate/100+om_capacity_escal/100)^AA2*system_capacity,"")</f>
        <v/>
      </c>
      <c r="AC12" s="82" t="str">
        <f t="shared" si="4"/>
        <v/>
      </c>
      <c r="AD12" s="82" t="str">
        <f t="shared" si="4"/>
        <v/>
      </c>
      <c r="AE12" s="82" t="str">
        <f t="shared" si="4"/>
        <v/>
      </c>
      <c r="AF12" s="82" t="str">
        <f t="shared" si="4"/>
        <v/>
      </c>
      <c r="AG12" s="82" t="str">
        <f t="shared" si="4"/>
        <v/>
      </c>
      <c r="AH12" s="82" t="str">
        <f t="shared" si="4"/>
        <v/>
      </c>
      <c r="AI12" s="82" t="str">
        <f t="shared" si="4"/>
        <v/>
      </c>
      <c r="AJ12" s="82" t="str">
        <f t="shared" si="4"/>
        <v/>
      </c>
      <c r="AK12" s="82" t="str">
        <f t="shared" si="4"/>
        <v/>
      </c>
      <c r="AL12" s="82" t="str">
        <f t="shared" si="4"/>
        <v/>
      </c>
      <c r="AM12" s="82" t="str">
        <f t="shared" si="4"/>
        <v/>
      </c>
      <c r="AN12" s="82" t="str">
        <f t="shared" si="4"/>
        <v/>
      </c>
      <c r="AO12" s="82" t="str">
        <f t="shared" si="4"/>
        <v/>
      </c>
      <c r="AP12" s="82" t="str">
        <f t="shared" si="4"/>
        <v/>
      </c>
      <c r="AQ12" s="82" t="str">
        <f t="shared" si="4"/>
        <v/>
      </c>
      <c r="AR12" s="82" t="str">
        <f t="shared" si="4"/>
        <v/>
      </c>
      <c r="AS12" s="82" t="str">
        <f t="shared" si="4"/>
        <v/>
      </c>
      <c r="AT12" s="82" t="str">
        <f t="shared" si="4"/>
        <v/>
      </c>
      <c r="AU12" s="82" t="str">
        <f t="shared" si="4"/>
        <v/>
      </c>
      <c r="AV12" s="82" t="str">
        <f t="shared" si="4"/>
        <v/>
      </c>
      <c r="AW12" s="82" t="str">
        <f t="shared" si="4"/>
        <v/>
      </c>
      <c r="AX12" s="82" t="str">
        <f t="shared" si="4"/>
        <v/>
      </c>
      <c r="AY12" s="82" t="str">
        <f t="shared" si="4"/>
        <v/>
      </c>
      <c r="AZ12" s="82" t="str">
        <f t="shared" si="4"/>
        <v/>
      </c>
      <c r="BA12" s="82" t="str">
        <f t="shared" si="4"/>
        <v/>
      </c>
      <c r="BB12" s="82" t="str">
        <f t="shared" si="4"/>
        <v/>
      </c>
      <c r="BC12" s="82" t="str">
        <f t="shared" si="4"/>
        <v/>
      </c>
      <c r="BD12" s="82" t="str">
        <f t="shared" si="4"/>
        <v/>
      </c>
      <c r="BE12" s="82" t="str">
        <f t="shared" si="4"/>
        <v/>
      </c>
      <c r="BF12" s="82" t="str">
        <f t="shared" si="4"/>
        <v/>
      </c>
      <c r="BG12" s="82" t="str">
        <f t="shared" si="4"/>
        <v/>
      </c>
      <c r="BH12" s="82" t="str">
        <f t="shared" ref="BH12:CM12" si="5">IF(AND(ISNUMBER(outYear),ISNUMBER(om_capacity)),om_capacity*(1+inflation_rate/100+om_capacity_escal/100)^BG2*system_capacity,"")</f>
        <v/>
      </c>
      <c r="BI12" s="82" t="str">
        <f t="shared" si="5"/>
        <v/>
      </c>
      <c r="BJ12" s="82" t="str">
        <f t="shared" si="5"/>
        <v/>
      </c>
      <c r="BK12" s="82" t="str">
        <f t="shared" si="5"/>
        <v/>
      </c>
      <c r="BL12" s="82" t="str">
        <f t="shared" si="5"/>
        <v/>
      </c>
      <c r="BM12" s="82" t="str">
        <f t="shared" si="5"/>
        <v/>
      </c>
      <c r="BN12" s="82" t="str">
        <f t="shared" si="5"/>
        <v/>
      </c>
      <c r="BO12" s="82" t="str">
        <f t="shared" si="5"/>
        <v/>
      </c>
      <c r="BP12" s="82" t="str">
        <f t="shared" si="5"/>
        <v/>
      </c>
      <c r="BQ12" s="82" t="str">
        <f t="shared" si="5"/>
        <v/>
      </c>
      <c r="BR12" s="82" t="str">
        <f t="shared" si="5"/>
        <v/>
      </c>
      <c r="BS12" s="82" t="str">
        <f t="shared" si="5"/>
        <v/>
      </c>
      <c r="BT12" s="82" t="str">
        <f t="shared" si="5"/>
        <v/>
      </c>
      <c r="BU12" s="82" t="str">
        <f t="shared" si="5"/>
        <v/>
      </c>
      <c r="BV12" s="82" t="str">
        <f t="shared" si="5"/>
        <v/>
      </c>
      <c r="BW12" s="82" t="str">
        <f t="shared" si="5"/>
        <v/>
      </c>
      <c r="BX12" s="82" t="str">
        <f t="shared" si="5"/>
        <v/>
      </c>
      <c r="BY12" s="82" t="str">
        <f t="shared" si="5"/>
        <v/>
      </c>
      <c r="BZ12" s="82" t="str">
        <f t="shared" si="5"/>
        <v/>
      </c>
      <c r="CA12" s="82" t="str">
        <f t="shared" si="5"/>
        <v/>
      </c>
      <c r="CB12" s="82" t="str">
        <f t="shared" si="5"/>
        <v/>
      </c>
      <c r="CC12" s="82" t="str">
        <f t="shared" si="5"/>
        <v/>
      </c>
      <c r="CD12" s="82" t="str">
        <f t="shared" si="5"/>
        <v/>
      </c>
      <c r="CE12" s="82" t="str">
        <f t="shared" si="5"/>
        <v/>
      </c>
      <c r="CF12" s="82" t="str">
        <f t="shared" si="5"/>
        <v/>
      </c>
      <c r="CG12" s="82" t="str">
        <f t="shared" si="5"/>
        <v/>
      </c>
      <c r="CH12" s="82" t="str">
        <f t="shared" si="5"/>
        <v/>
      </c>
      <c r="CI12" s="82" t="str">
        <f t="shared" si="5"/>
        <v/>
      </c>
      <c r="CJ12" s="82" t="str">
        <f t="shared" si="5"/>
        <v/>
      </c>
      <c r="CK12" s="82" t="str">
        <f t="shared" si="5"/>
        <v/>
      </c>
      <c r="CL12" s="82" t="str">
        <f t="shared" si="5"/>
        <v/>
      </c>
      <c r="CM12" s="82" t="str">
        <f t="shared" si="5"/>
        <v/>
      </c>
      <c r="CN12" s="82" t="str">
        <f t="shared" ref="CN12:CX12" si="6">IF(AND(ISNUMBER(outYear),ISNUMBER(om_capacity)),om_capacity*(1+inflation_rate/100+om_capacity_escal/100)^CM2*system_capacity,"")</f>
        <v/>
      </c>
      <c r="CO12" s="82" t="str">
        <f t="shared" si="6"/>
        <v/>
      </c>
      <c r="CP12" s="82" t="str">
        <f t="shared" si="6"/>
        <v/>
      </c>
      <c r="CQ12" s="82" t="str">
        <f t="shared" si="6"/>
        <v/>
      </c>
      <c r="CR12" s="82" t="str">
        <f t="shared" si="6"/>
        <v/>
      </c>
      <c r="CS12" s="82" t="str">
        <f t="shared" si="6"/>
        <v/>
      </c>
      <c r="CT12" s="82" t="str">
        <f t="shared" si="6"/>
        <v/>
      </c>
      <c r="CU12" s="82" t="str">
        <f t="shared" si="6"/>
        <v/>
      </c>
      <c r="CV12" s="82" t="str">
        <f t="shared" si="6"/>
        <v/>
      </c>
      <c r="CW12" s="82" t="str">
        <f t="shared" si="6"/>
        <v/>
      </c>
      <c r="CX12" s="82" t="str">
        <f t="shared" si="6"/>
        <v/>
      </c>
    </row>
    <row r="13" spans="1:102" s="2" customFormat="1" x14ac:dyDescent="0.2">
      <c r="A13" s="67" t="s">
        <v>113</v>
      </c>
      <c r="B13" s="16"/>
      <c r="C13" s="82">
        <f t="shared" ref="C13:AA13" si="7">IF(EXACT(batt_repl_kw_year,C2), IF(AND(ISNUMBER(outYear),ISNUMBER(batt_repl_cost_kw)),(batt_kw * batt_repl_cost_kw)*(1+inflation_rate/100+escalation_rate/100)^B2,""), 0)</f>
        <v>0</v>
      </c>
      <c r="D13" s="82">
        <f t="shared" si="7"/>
        <v>0</v>
      </c>
      <c r="E13" s="82">
        <f t="shared" si="7"/>
        <v>0</v>
      </c>
      <c r="F13" s="82">
        <f t="shared" si="7"/>
        <v>0</v>
      </c>
      <c r="G13" s="82">
        <f t="shared" si="7"/>
        <v>0</v>
      </c>
      <c r="H13" s="82">
        <f t="shared" si="7"/>
        <v>0</v>
      </c>
      <c r="I13" s="82">
        <f t="shared" si="7"/>
        <v>0</v>
      </c>
      <c r="J13" s="82">
        <f t="shared" si="7"/>
        <v>0</v>
      </c>
      <c r="K13" s="82">
        <f t="shared" si="7"/>
        <v>0</v>
      </c>
      <c r="L13" s="82">
        <f>IF(EXACT(batt_repl_kw_year,L2), IF(AND(ISNUMBER(outYear),ISNUMBER(batt_repl_cost_kw)),(batt_kw * batt_repl_cost_kw)*(1+inflation_rate/100+escalation_rate/100)^K2,""), 0)</f>
        <v>59754.62843111554</v>
      </c>
      <c r="M13" s="82">
        <f t="shared" si="7"/>
        <v>0</v>
      </c>
      <c r="N13" s="82">
        <f t="shared" si="7"/>
        <v>0</v>
      </c>
      <c r="O13" s="82">
        <f t="shared" si="7"/>
        <v>0</v>
      </c>
      <c r="P13" s="82">
        <f t="shared" si="7"/>
        <v>0</v>
      </c>
      <c r="Q13" s="82">
        <f t="shared" si="7"/>
        <v>0</v>
      </c>
      <c r="R13" s="82">
        <f t="shared" si="7"/>
        <v>0</v>
      </c>
      <c r="S13" s="82">
        <f t="shared" si="7"/>
        <v>0</v>
      </c>
      <c r="T13" s="82">
        <f t="shared" si="7"/>
        <v>0</v>
      </c>
      <c r="U13" s="82">
        <f t="shared" si="7"/>
        <v>0</v>
      </c>
      <c r="V13" s="82">
        <f t="shared" si="7"/>
        <v>0</v>
      </c>
      <c r="W13" s="82">
        <f t="shared" si="7"/>
        <v>0</v>
      </c>
      <c r="X13" s="82">
        <f t="shared" si="7"/>
        <v>0</v>
      </c>
      <c r="Y13" s="82">
        <f t="shared" si="7"/>
        <v>0</v>
      </c>
      <c r="Z13" s="82">
        <f t="shared" si="7"/>
        <v>0</v>
      </c>
      <c r="AA13" s="82">
        <f t="shared" si="7"/>
        <v>0</v>
      </c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2"/>
      <c r="BV13" s="82"/>
      <c r="BW13" s="82"/>
      <c r="BX13" s="82"/>
      <c r="BY13" s="82"/>
      <c r="BZ13" s="82"/>
      <c r="CA13" s="82"/>
      <c r="CB13" s="82"/>
      <c r="CC13" s="82"/>
      <c r="CD13" s="82"/>
      <c r="CE13" s="82"/>
      <c r="CF13" s="82"/>
      <c r="CG13" s="82"/>
      <c r="CH13" s="82"/>
      <c r="CI13" s="82"/>
      <c r="CJ13" s="82"/>
      <c r="CK13" s="82"/>
      <c r="CL13" s="82"/>
      <c r="CM13" s="82"/>
      <c r="CN13" s="82"/>
      <c r="CO13" s="82"/>
      <c r="CP13" s="82"/>
      <c r="CQ13" s="82"/>
      <c r="CR13" s="82"/>
      <c r="CS13" s="82"/>
      <c r="CT13" s="82"/>
      <c r="CU13" s="82"/>
      <c r="CV13" s="82"/>
      <c r="CW13" s="82"/>
      <c r="CX13" s="82"/>
    </row>
    <row r="14" spans="1:102" s="2" customFormat="1" x14ac:dyDescent="0.2">
      <c r="A14" s="67" t="s">
        <v>114</v>
      </c>
      <c r="B14" s="16"/>
      <c r="C14" s="82">
        <f t="shared" ref="C14:AA14" si="8">IF(EXACT(batt_repl_year_kwh, C2), IF(AND(ISNUMBER(outYear),ISNUMBER(batt_repl_cost_kwh)),(batt_kwh * batt_repl_cost_kwh)*(1+inflation_rate/100+escalation_rate/100)^B3,""), 0)</f>
        <v>0</v>
      </c>
      <c r="D14" s="82">
        <f t="shared" si="8"/>
        <v>0</v>
      </c>
      <c r="E14" s="82">
        <f t="shared" si="8"/>
        <v>0</v>
      </c>
      <c r="F14" s="82">
        <f t="shared" si="8"/>
        <v>0</v>
      </c>
      <c r="G14" s="82">
        <f t="shared" si="8"/>
        <v>0</v>
      </c>
      <c r="H14" s="82">
        <f t="shared" si="8"/>
        <v>0</v>
      </c>
      <c r="I14" s="82">
        <f t="shared" si="8"/>
        <v>0</v>
      </c>
      <c r="J14" s="82">
        <f t="shared" si="8"/>
        <v>0</v>
      </c>
      <c r="K14" s="82">
        <f t="shared" si="8"/>
        <v>0</v>
      </c>
      <c r="L14" s="82">
        <f>IF(EXACT(batt_repl_year_kwh, L2), IF(AND(ISNUMBER(outYear),ISNUMBER(batt_repl_cost_kwh)),(batt_kwh * batt_repl_cost_kwh)*(1+inflation_rate/100+escalation_rate/100)^K2,""), 0)</f>
        <v>29877.31421555777</v>
      </c>
      <c r="M14" s="82">
        <f t="shared" si="8"/>
        <v>0</v>
      </c>
      <c r="N14" s="82">
        <f t="shared" si="8"/>
        <v>0</v>
      </c>
      <c r="O14" s="82">
        <f t="shared" si="8"/>
        <v>0</v>
      </c>
      <c r="P14" s="82">
        <f t="shared" si="8"/>
        <v>0</v>
      </c>
      <c r="Q14" s="82">
        <f t="shared" si="8"/>
        <v>0</v>
      </c>
      <c r="R14" s="82">
        <f t="shared" si="8"/>
        <v>0</v>
      </c>
      <c r="S14" s="82">
        <f t="shared" si="8"/>
        <v>0</v>
      </c>
      <c r="T14" s="82">
        <f t="shared" si="8"/>
        <v>0</v>
      </c>
      <c r="U14" s="82">
        <f t="shared" si="8"/>
        <v>0</v>
      </c>
      <c r="V14" s="82">
        <f t="shared" si="8"/>
        <v>0</v>
      </c>
      <c r="W14" s="82">
        <f t="shared" si="8"/>
        <v>0</v>
      </c>
      <c r="X14" s="82">
        <f t="shared" si="8"/>
        <v>0</v>
      </c>
      <c r="Y14" s="82">
        <f t="shared" si="8"/>
        <v>0</v>
      </c>
      <c r="Z14" s="82">
        <f t="shared" si="8"/>
        <v>0</v>
      </c>
      <c r="AA14" s="82">
        <f t="shared" si="8"/>
        <v>0</v>
      </c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2"/>
      <c r="CP14" s="82"/>
      <c r="CQ14" s="82"/>
      <c r="CR14" s="82"/>
      <c r="CS14" s="82"/>
      <c r="CT14" s="82"/>
      <c r="CU14" s="82"/>
      <c r="CV14" s="82"/>
      <c r="CW14" s="82"/>
      <c r="CX14" s="82"/>
    </row>
    <row r="15" spans="1:102" s="2" customFormat="1" x14ac:dyDescent="0.2">
      <c r="A15" s="72" t="s">
        <v>28</v>
      </c>
      <c r="B15" s="71"/>
      <c r="C15" s="83">
        <f>IF(ISNUMBER(outYear),SUM(C12:C14),"")</f>
        <v>4391.72</v>
      </c>
      <c r="D15" s="83">
        <f t="shared" ref="D15:AA15" si="9">IF(ISNUMBER(outYear),SUM(D12:D14),"")</f>
        <v>4479.5544</v>
      </c>
      <c r="E15" s="83">
        <f t="shared" si="9"/>
        <v>4569.1454880000001</v>
      </c>
      <c r="F15" s="83">
        <f t="shared" si="9"/>
        <v>4660.5283977600002</v>
      </c>
      <c r="G15" s="83">
        <f t="shared" si="9"/>
        <v>4753.7389657151998</v>
      </c>
      <c r="H15" s="83">
        <f t="shared" si="9"/>
        <v>4848.8137450295044</v>
      </c>
      <c r="I15" s="83">
        <f t="shared" si="9"/>
        <v>4945.7900199300948</v>
      </c>
      <c r="J15" s="83">
        <f t="shared" si="9"/>
        <v>5044.7058203286961</v>
      </c>
      <c r="K15" s="83">
        <f t="shared" si="9"/>
        <v>5145.5999367352697</v>
      </c>
      <c r="L15" s="83">
        <f t="shared" si="9"/>
        <v>94880.454582143284</v>
      </c>
      <c r="M15" s="83">
        <f t="shared" si="9"/>
        <v>5353.4821741793758</v>
      </c>
      <c r="N15" s="83">
        <f t="shared" si="9"/>
        <v>5460.5518176629621</v>
      </c>
      <c r="O15" s="83">
        <f t="shared" si="9"/>
        <v>5569.7628540162214</v>
      </c>
      <c r="P15" s="83">
        <f t="shared" si="9"/>
        <v>5681.1581110965462</v>
      </c>
      <c r="Q15" s="83">
        <f t="shared" si="9"/>
        <v>5794.7812733184765</v>
      </c>
      <c r="R15" s="83">
        <f t="shared" si="9"/>
        <v>5910.6768987848445</v>
      </c>
      <c r="S15" s="83">
        <f t="shared" si="9"/>
        <v>6028.8904367605428</v>
      </c>
      <c r="T15" s="83">
        <f t="shared" si="9"/>
        <v>6149.4682454957547</v>
      </c>
      <c r="U15" s="83">
        <f t="shared" si="9"/>
        <v>6272.4576104056687</v>
      </c>
      <c r="V15" s="83">
        <f t="shared" si="9"/>
        <v>6397.9067626137821</v>
      </c>
      <c r="W15" s="83">
        <f t="shared" si="9"/>
        <v>6525.8648978660585</v>
      </c>
      <c r="X15" s="83">
        <f t="shared" si="9"/>
        <v>6656.3821958233793</v>
      </c>
      <c r="Y15" s="83">
        <f t="shared" si="9"/>
        <v>6789.5098397398469</v>
      </c>
      <c r="Z15" s="83">
        <f t="shared" si="9"/>
        <v>6925.3000365346425</v>
      </c>
      <c r="AA15" s="83">
        <f t="shared" si="9"/>
        <v>7063.8060372653363</v>
      </c>
      <c r="AB15" s="83" t="str">
        <f>IF(ISNUMBER(outYear),SUM(AB12:AB12)-#REF!,"")</f>
        <v/>
      </c>
      <c r="AC15" s="83" t="str">
        <f>IF(ISNUMBER(outYear),SUM(AC12:AC12)-#REF!,"")</f>
        <v/>
      </c>
      <c r="AD15" s="83" t="str">
        <f>IF(ISNUMBER(outYear),SUM(AD12:AD12)-#REF!,"")</f>
        <v/>
      </c>
      <c r="AE15" s="83" t="str">
        <f>IF(ISNUMBER(outYear),SUM(AE12:AE12)-#REF!,"")</f>
        <v/>
      </c>
      <c r="AF15" s="83" t="str">
        <f>IF(ISNUMBER(outYear),SUM(AF12:AF12)-#REF!,"")</f>
        <v/>
      </c>
      <c r="AG15" s="83" t="str">
        <f>IF(ISNUMBER(outYear),SUM(AG12:AG12)-#REF!,"")</f>
        <v/>
      </c>
      <c r="AH15" s="83" t="str">
        <f>IF(ISNUMBER(outYear),SUM(AH12:AH12)-#REF!,"")</f>
        <v/>
      </c>
      <c r="AI15" s="83" t="str">
        <f>IF(ISNUMBER(outYear),SUM(AI12:AI12)-#REF!,"")</f>
        <v/>
      </c>
      <c r="AJ15" s="83" t="str">
        <f>IF(ISNUMBER(outYear),SUM(AJ12:AJ12)-#REF!,"")</f>
        <v/>
      </c>
      <c r="AK15" s="83" t="str">
        <f>IF(ISNUMBER(outYear),SUM(AK12:AK12)-#REF!,"")</f>
        <v/>
      </c>
      <c r="AL15" s="83" t="str">
        <f>IF(ISNUMBER(outYear),SUM(AL12:AL12)-#REF!,"")</f>
        <v/>
      </c>
      <c r="AM15" s="83" t="str">
        <f>IF(ISNUMBER(outYear),SUM(AM12:AM12)-#REF!,"")</f>
        <v/>
      </c>
      <c r="AN15" s="83" t="str">
        <f>IF(ISNUMBER(outYear),SUM(AN12:AN12)-#REF!,"")</f>
        <v/>
      </c>
      <c r="AO15" s="83" t="str">
        <f>IF(ISNUMBER(outYear),SUM(AO12:AO12)-#REF!,"")</f>
        <v/>
      </c>
      <c r="AP15" s="83" t="str">
        <f>IF(ISNUMBER(outYear),SUM(AP12:AP12)-#REF!,"")</f>
        <v/>
      </c>
      <c r="AQ15" s="83" t="str">
        <f>IF(ISNUMBER(outYear),SUM(AQ12:AQ12)-#REF!,"")</f>
        <v/>
      </c>
      <c r="AR15" s="83" t="str">
        <f>IF(ISNUMBER(outYear),SUM(AR12:AR12)-#REF!,"")</f>
        <v/>
      </c>
      <c r="AS15" s="83" t="str">
        <f>IF(ISNUMBER(outYear),SUM(AS12:AS12)-#REF!,"")</f>
        <v/>
      </c>
      <c r="AT15" s="83" t="str">
        <f>IF(ISNUMBER(outYear),SUM(AT12:AT12)-#REF!,"")</f>
        <v/>
      </c>
      <c r="AU15" s="83" t="str">
        <f>IF(ISNUMBER(outYear),SUM(AU12:AU12)-#REF!,"")</f>
        <v/>
      </c>
      <c r="AV15" s="83" t="str">
        <f>IF(ISNUMBER(outYear),SUM(AV12:AV12)-#REF!,"")</f>
        <v/>
      </c>
      <c r="AW15" s="83" t="str">
        <f>IF(ISNUMBER(outYear),SUM(AW12:AW12)-#REF!,"")</f>
        <v/>
      </c>
      <c r="AX15" s="83" t="str">
        <f>IF(ISNUMBER(outYear),SUM(AX12:AX12)-#REF!,"")</f>
        <v/>
      </c>
      <c r="AY15" s="83" t="str">
        <f>IF(ISNUMBER(outYear),SUM(AY12:AY12)-#REF!,"")</f>
        <v/>
      </c>
      <c r="AZ15" s="83" t="str">
        <f>IF(ISNUMBER(outYear),SUM(AZ12:AZ12)-#REF!,"")</f>
        <v/>
      </c>
      <c r="BA15" s="83" t="str">
        <f>IF(ISNUMBER(outYear),SUM(BA12:BA12)-#REF!,"")</f>
        <v/>
      </c>
      <c r="BB15" s="83" t="str">
        <f>IF(ISNUMBER(outYear),SUM(BB12:BB12)-#REF!,"")</f>
        <v/>
      </c>
      <c r="BC15" s="83" t="str">
        <f>IF(ISNUMBER(outYear),SUM(BC12:BC12)-#REF!,"")</f>
        <v/>
      </c>
      <c r="BD15" s="83" t="str">
        <f>IF(ISNUMBER(outYear),SUM(BD12:BD12)-#REF!,"")</f>
        <v/>
      </c>
      <c r="BE15" s="83" t="str">
        <f>IF(ISNUMBER(outYear),SUM(BE12:BE12)-#REF!,"")</f>
        <v/>
      </c>
      <c r="BF15" s="83" t="str">
        <f>IF(ISNUMBER(outYear),SUM(BF12:BF12)-#REF!,"")</f>
        <v/>
      </c>
      <c r="BG15" s="83" t="str">
        <f>IF(ISNUMBER(outYear),SUM(BG12:BG12)-#REF!,"")</f>
        <v/>
      </c>
      <c r="BH15" s="83" t="str">
        <f>IF(ISNUMBER(outYear),SUM(BH12:BH12)-#REF!,"")</f>
        <v/>
      </c>
      <c r="BI15" s="83" t="str">
        <f>IF(ISNUMBER(outYear),SUM(BI12:BI12)-#REF!,"")</f>
        <v/>
      </c>
      <c r="BJ15" s="83" t="str">
        <f>IF(ISNUMBER(outYear),SUM(BJ12:BJ12)-#REF!,"")</f>
        <v/>
      </c>
      <c r="BK15" s="83" t="str">
        <f>IF(ISNUMBER(outYear),SUM(BK12:BK12)-#REF!,"")</f>
        <v/>
      </c>
      <c r="BL15" s="83" t="str">
        <f>IF(ISNUMBER(outYear),SUM(BL12:BL12)-#REF!,"")</f>
        <v/>
      </c>
      <c r="BM15" s="83" t="str">
        <f>IF(ISNUMBER(outYear),SUM(BM12:BM12)-#REF!,"")</f>
        <v/>
      </c>
      <c r="BN15" s="83" t="str">
        <f>IF(ISNUMBER(outYear),SUM(BN12:BN12)-#REF!,"")</f>
        <v/>
      </c>
      <c r="BO15" s="83" t="str">
        <f>IF(ISNUMBER(outYear),SUM(BO12:BO12)-#REF!,"")</f>
        <v/>
      </c>
      <c r="BP15" s="83" t="str">
        <f>IF(ISNUMBER(outYear),SUM(BP12:BP12)-#REF!,"")</f>
        <v/>
      </c>
      <c r="BQ15" s="83" t="str">
        <f>IF(ISNUMBER(outYear),SUM(BQ12:BQ12)-#REF!,"")</f>
        <v/>
      </c>
      <c r="BR15" s="83" t="str">
        <f>IF(ISNUMBER(outYear),SUM(BR12:BR12)-#REF!,"")</f>
        <v/>
      </c>
      <c r="BS15" s="83" t="str">
        <f>IF(ISNUMBER(outYear),SUM(BS12:BS12)-#REF!,"")</f>
        <v/>
      </c>
      <c r="BT15" s="83" t="str">
        <f>IF(ISNUMBER(outYear),SUM(BT12:BT12)-#REF!,"")</f>
        <v/>
      </c>
      <c r="BU15" s="83" t="str">
        <f>IF(ISNUMBER(outYear),SUM(BU12:BU12)-#REF!,"")</f>
        <v/>
      </c>
      <c r="BV15" s="83" t="str">
        <f>IF(ISNUMBER(outYear),SUM(BV12:BV12)-#REF!,"")</f>
        <v/>
      </c>
      <c r="BW15" s="83" t="str">
        <f>IF(ISNUMBER(outYear),SUM(BW12:BW12)-#REF!,"")</f>
        <v/>
      </c>
      <c r="BX15" s="83" t="str">
        <f>IF(ISNUMBER(outYear),SUM(BX12:BX12)-#REF!,"")</f>
        <v/>
      </c>
      <c r="BY15" s="83" t="str">
        <f>IF(ISNUMBER(outYear),SUM(BY12:BY12)-#REF!,"")</f>
        <v/>
      </c>
      <c r="BZ15" s="83" t="str">
        <f>IF(ISNUMBER(outYear),SUM(BZ12:BZ12)-#REF!,"")</f>
        <v/>
      </c>
      <c r="CA15" s="83" t="str">
        <f>IF(ISNUMBER(outYear),SUM(CA12:CA12)-#REF!,"")</f>
        <v/>
      </c>
      <c r="CB15" s="83" t="str">
        <f>IF(ISNUMBER(outYear),SUM(CB12:CB12)-#REF!,"")</f>
        <v/>
      </c>
      <c r="CC15" s="83" t="str">
        <f>IF(ISNUMBER(outYear),SUM(CC12:CC12)-#REF!,"")</f>
        <v/>
      </c>
      <c r="CD15" s="83" t="str">
        <f>IF(ISNUMBER(outYear),SUM(CD12:CD12)-#REF!,"")</f>
        <v/>
      </c>
      <c r="CE15" s="83" t="str">
        <f>IF(ISNUMBER(outYear),SUM(CE12:CE12)-#REF!,"")</f>
        <v/>
      </c>
      <c r="CF15" s="83" t="str">
        <f>IF(ISNUMBER(outYear),SUM(CF12:CF12)-#REF!,"")</f>
        <v/>
      </c>
      <c r="CG15" s="83" t="str">
        <f>IF(ISNUMBER(outYear),SUM(CG12:CG12)-#REF!,"")</f>
        <v/>
      </c>
      <c r="CH15" s="83" t="str">
        <f>IF(ISNUMBER(outYear),SUM(CH12:CH12)-#REF!,"")</f>
        <v/>
      </c>
      <c r="CI15" s="83" t="str">
        <f>IF(ISNUMBER(outYear),SUM(CI12:CI12)-#REF!,"")</f>
        <v/>
      </c>
      <c r="CJ15" s="83" t="str">
        <f>IF(ISNUMBER(outYear),SUM(CJ12:CJ12)-#REF!,"")</f>
        <v/>
      </c>
      <c r="CK15" s="83" t="str">
        <f>IF(ISNUMBER(outYear),SUM(CK12:CK12)-#REF!,"")</f>
        <v/>
      </c>
      <c r="CL15" s="83" t="str">
        <f>IF(ISNUMBER(outYear),SUM(CL12:CL12)-#REF!,"")</f>
        <v/>
      </c>
      <c r="CM15" s="83" t="str">
        <f>IF(ISNUMBER(outYear),SUM(CM12:CM12)-#REF!,"")</f>
        <v/>
      </c>
      <c r="CN15" s="83" t="str">
        <f>IF(ISNUMBER(outYear),SUM(CN12:CN12)-#REF!,"")</f>
        <v/>
      </c>
      <c r="CO15" s="83" t="str">
        <f>IF(ISNUMBER(outYear),SUM(CO12:CO12)-#REF!,"")</f>
        <v/>
      </c>
      <c r="CP15" s="83" t="str">
        <f>IF(ISNUMBER(outYear),SUM(CP12:CP12)-#REF!,"")</f>
        <v/>
      </c>
      <c r="CQ15" s="83" t="str">
        <f>IF(ISNUMBER(outYear),SUM(CQ12:CQ12)-#REF!,"")</f>
        <v/>
      </c>
      <c r="CR15" s="83" t="str">
        <f>IF(ISNUMBER(outYear),SUM(CR12:CR12)-#REF!,"")</f>
        <v/>
      </c>
      <c r="CS15" s="83" t="str">
        <f>IF(ISNUMBER(outYear),SUM(CS12:CS12)-#REF!,"")</f>
        <v/>
      </c>
      <c r="CT15" s="83" t="str">
        <f>IF(ISNUMBER(outYear),SUM(CT12:CT12)-#REF!,"")</f>
        <v/>
      </c>
      <c r="CU15" s="83" t="str">
        <f>IF(ISNUMBER(outYear),SUM(CU12:CU12)-#REF!,"")</f>
        <v/>
      </c>
      <c r="CV15" s="83" t="str">
        <f>IF(ISNUMBER(outYear),SUM(CV12:CV12)-#REF!,"")</f>
        <v/>
      </c>
      <c r="CW15" s="83" t="str">
        <f>IF(ISNUMBER(outYear),SUM(CW12:CW12)-#REF!,"")</f>
        <v/>
      </c>
      <c r="CX15" s="83" t="str">
        <f>IF(ISNUMBER(outYear),SUM(CX12:CX12)-#REF!,"")</f>
        <v/>
      </c>
    </row>
    <row r="16" spans="1:102" s="2" customFormat="1" x14ac:dyDescent="0.2">
      <c r="A16" s="62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6" t="s">
        <v>91</v>
      </c>
      <c r="B17" s="73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5"/>
    </row>
    <row r="18" spans="1:102" s="2" customFormat="1" x14ac:dyDescent="0.2">
      <c r="A18" s="67" t="s">
        <v>29</v>
      </c>
      <c r="B18" s="16"/>
      <c r="C18" s="82">
        <f t="shared" ref="C18:AH18" si="10">IF(ISNUMBER(outYear),IF(FederalDepreciation&lt;&gt;"N/A",C15,0),"")</f>
        <v>4391.72</v>
      </c>
      <c r="D18" s="82">
        <f t="shared" si="10"/>
        <v>4479.5544</v>
      </c>
      <c r="E18" s="82">
        <f t="shared" si="10"/>
        <v>4569.1454880000001</v>
      </c>
      <c r="F18" s="82">
        <f t="shared" si="10"/>
        <v>4660.5283977600002</v>
      </c>
      <c r="G18" s="82">
        <f t="shared" si="10"/>
        <v>4753.7389657151998</v>
      </c>
      <c r="H18" s="82">
        <f t="shared" si="10"/>
        <v>4848.8137450295044</v>
      </c>
      <c r="I18" s="82">
        <f t="shared" si="10"/>
        <v>4945.7900199300948</v>
      </c>
      <c r="J18" s="82">
        <f t="shared" si="10"/>
        <v>5044.7058203286961</v>
      </c>
      <c r="K18" s="82">
        <f t="shared" si="10"/>
        <v>5145.5999367352697</v>
      </c>
      <c r="L18" s="82">
        <f t="shared" si="10"/>
        <v>94880.454582143284</v>
      </c>
      <c r="M18" s="82">
        <f t="shared" si="10"/>
        <v>5353.4821741793758</v>
      </c>
      <c r="N18" s="82">
        <f t="shared" si="10"/>
        <v>5460.5518176629621</v>
      </c>
      <c r="O18" s="82">
        <f t="shared" si="10"/>
        <v>5569.7628540162214</v>
      </c>
      <c r="P18" s="82">
        <f t="shared" si="10"/>
        <v>5681.1581110965462</v>
      </c>
      <c r="Q18" s="82">
        <f t="shared" si="10"/>
        <v>5794.7812733184765</v>
      </c>
      <c r="R18" s="82">
        <f t="shared" si="10"/>
        <v>5910.6768987848445</v>
      </c>
      <c r="S18" s="82">
        <f t="shared" si="10"/>
        <v>6028.8904367605428</v>
      </c>
      <c r="T18" s="82">
        <f t="shared" si="10"/>
        <v>6149.4682454957547</v>
      </c>
      <c r="U18" s="82">
        <f t="shared" si="10"/>
        <v>6272.4576104056687</v>
      </c>
      <c r="V18" s="82">
        <f t="shared" si="10"/>
        <v>6397.9067626137821</v>
      </c>
      <c r="W18" s="82">
        <f t="shared" si="10"/>
        <v>6525.8648978660585</v>
      </c>
      <c r="X18" s="82">
        <f t="shared" si="10"/>
        <v>6656.3821958233793</v>
      </c>
      <c r="Y18" s="82">
        <f t="shared" si="10"/>
        <v>6789.5098397398469</v>
      </c>
      <c r="Z18" s="82">
        <f t="shared" si="10"/>
        <v>6925.3000365346425</v>
      </c>
      <c r="AA18" s="82">
        <f t="shared" si="10"/>
        <v>7063.8060372653363</v>
      </c>
      <c r="AB18" s="82" t="str">
        <f t="shared" si="10"/>
        <v/>
      </c>
      <c r="AC18" s="82" t="str">
        <f t="shared" si="10"/>
        <v/>
      </c>
      <c r="AD18" s="82" t="str">
        <f t="shared" si="10"/>
        <v/>
      </c>
      <c r="AE18" s="82" t="str">
        <f t="shared" si="10"/>
        <v/>
      </c>
      <c r="AF18" s="82" t="str">
        <f t="shared" si="10"/>
        <v/>
      </c>
      <c r="AG18" s="82" t="str">
        <f t="shared" si="10"/>
        <v/>
      </c>
      <c r="AH18" s="82" t="str">
        <f t="shared" si="10"/>
        <v/>
      </c>
      <c r="AI18" s="82" t="str">
        <f t="shared" ref="AI18:BN18" si="11">IF(ISNUMBER(outYear),IF(FederalDepreciation&lt;&gt;"N/A",AI15,0),"")</f>
        <v/>
      </c>
      <c r="AJ18" s="82" t="str">
        <f t="shared" si="11"/>
        <v/>
      </c>
      <c r="AK18" s="82" t="str">
        <f t="shared" si="11"/>
        <v/>
      </c>
      <c r="AL18" s="82" t="str">
        <f t="shared" si="11"/>
        <v/>
      </c>
      <c r="AM18" s="82" t="str">
        <f t="shared" si="11"/>
        <v/>
      </c>
      <c r="AN18" s="82" t="str">
        <f t="shared" si="11"/>
        <v/>
      </c>
      <c r="AO18" s="82" t="str">
        <f t="shared" si="11"/>
        <v/>
      </c>
      <c r="AP18" s="82" t="str">
        <f t="shared" si="11"/>
        <v/>
      </c>
      <c r="AQ18" s="82" t="str">
        <f t="shared" si="11"/>
        <v/>
      </c>
      <c r="AR18" s="82" t="str">
        <f t="shared" si="11"/>
        <v/>
      </c>
      <c r="AS18" s="82" t="str">
        <f t="shared" si="11"/>
        <v/>
      </c>
      <c r="AT18" s="82" t="str">
        <f t="shared" si="11"/>
        <v/>
      </c>
      <c r="AU18" s="82" t="str">
        <f t="shared" si="11"/>
        <v/>
      </c>
      <c r="AV18" s="82" t="str">
        <f t="shared" si="11"/>
        <v/>
      </c>
      <c r="AW18" s="82" t="str">
        <f t="shared" si="11"/>
        <v/>
      </c>
      <c r="AX18" s="82" t="str">
        <f t="shared" si="11"/>
        <v/>
      </c>
      <c r="AY18" s="82" t="str">
        <f t="shared" si="11"/>
        <v/>
      </c>
      <c r="AZ18" s="82" t="str">
        <f t="shared" si="11"/>
        <v/>
      </c>
      <c r="BA18" s="82" t="str">
        <f t="shared" si="11"/>
        <v/>
      </c>
      <c r="BB18" s="82" t="str">
        <f t="shared" si="11"/>
        <v/>
      </c>
      <c r="BC18" s="82" t="str">
        <f t="shared" si="11"/>
        <v/>
      </c>
      <c r="BD18" s="82" t="str">
        <f t="shared" si="11"/>
        <v/>
      </c>
      <c r="BE18" s="82" t="str">
        <f t="shared" si="11"/>
        <v/>
      </c>
      <c r="BF18" s="82" t="str">
        <f t="shared" si="11"/>
        <v/>
      </c>
      <c r="BG18" s="82" t="str">
        <f t="shared" si="11"/>
        <v/>
      </c>
      <c r="BH18" s="82" t="str">
        <f t="shared" si="11"/>
        <v/>
      </c>
      <c r="BI18" s="82" t="str">
        <f t="shared" si="11"/>
        <v/>
      </c>
      <c r="BJ18" s="82" t="str">
        <f t="shared" si="11"/>
        <v/>
      </c>
      <c r="BK18" s="82" t="str">
        <f t="shared" si="11"/>
        <v/>
      </c>
      <c r="BL18" s="82" t="str">
        <f t="shared" si="11"/>
        <v/>
      </c>
      <c r="BM18" s="82" t="str">
        <f t="shared" si="11"/>
        <v/>
      </c>
      <c r="BN18" s="82" t="str">
        <f t="shared" si="11"/>
        <v/>
      </c>
      <c r="BO18" s="82" t="str">
        <f t="shared" ref="BO18:CX18" si="12">IF(ISNUMBER(outYear),IF(FederalDepreciation&lt;&gt;"N/A",BO15,0),"")</f>
        <v/>
      </c>
      <c r="BP18" s="82" t="str">
        <f t="shared" si="12"/>
        <v/>
      </c>
      <c r="BQ18" s="82" t="str">
        <f t="shared" si="12"/>
        <v/>
      </c>
      <c r="BR18" s="82" t="str">
        <f t="shared" si="12"/>
        <v/>
      </c>
      <c r="BS18" s="82" t="str">
        <f t="shared" si="12"/>
        <v/>
      </c>
      <c r="BT18" s="82" t="str">
        <f t="shared" si="12"/>
        <v/>
      </c>
      <c r="BU18" s="82" t="str">
        <f t="shared" si="12"/>
        <v/>
      </c>
      <c r="BV18" s="82" t="str">
        <f t="shared" si="12"/>
        <v/>
      </c>
      <c r="BW18" s="82" t="str">
        <f t="shared" si="12"/>
        <v/>
      </c>
      <c r="BX18" s="82" t="str">
        <f t="shared" si="12"/>
        <v/>
      </c>
      <c r="BY18" s="82" t="str">
        <f t="shared" si="12"/>
        <v/>
      </c>
      <c r="BZ18" s="82" t="str">
        <f t="shared" si="12"/>
        <v/>
      </c>
      <c r="CA18" s="82" t="str">
        <f t="shared" si="12"/>
        <v/>
      </c>
      <c r="CB18" s="82" t="str">
        <f t="shared" si="12"/>
        <v/>
      </c>
      <c r="CC18" s="82" t="str">
        <f t="shared" si="12"/>
        <v/>
      </c>
      <c r="CD18" s="82" t="str">
        <f t="shared" si="12"/>
        <v/>
      </c>
      <c r="CE18" s="82" t="str">
        <f t="shared" si="12"/>
        <v/>
      </c>
      <c r="CF18" s="82" t="str">
        <f t="shared" si="12"/>
        <v/>
      </c>
      <c r="CG18" s="82" t="str">
        <f t="shared" si="12"/>
        <v/>
      </c>
      <c r="CH18" s="82" t="str">
        <f t="shared" si="12"/>
        <v/>
      </c>
      <c r="CI18" s="82" t="str">
        <f t="shared" si="12"/>
        <v/>
      </c>
      <c r="CJ18" s="82" t="str">
        <f t="shared" si="12"/>
        <v/>
      </c>
      <c r="CK18" s="82" t="str">
        <f t="shared" si="12"/>
        <v/>
      </c>
      <c r="CL18" s="82" t="str">
        <f t="shared" si="12"/>
        <v/>
      </c>
      <c r="CM18" s="82" t="str">
        <f t="shared" si="12"/>
        <v/>
      </c>
      <c r="CN18" s="82" t="str">
        <f t="shared" si="12"/>
        <v/>
      </c>
      <c r="CO18" s="82" t="str">
        <f t="shared" si="12"/>
        <v/>
      </c>
      <c r="CP18" s="82" t="str">
        <f t="shared" si="12"/>
        <v/>
      </c>
      <c r="CQ18" s="82" t="str">
        <f t="shared" si="12"/>
        <v/>
      </c>
      <c r="CR18" s="82" t="str">
        <f t="shared" si="12"/>
        <v/>
      </c>
      <c r="CS18" s="82" t="str">
        <f t="shared" si="12"/>
        <v/>
      </c>
      <c r="CT18" s="82" t="str">
        <f t="shared" si="12"/>
        <v/>
      </c>
      <c r="CU18" s="82" t="str">
        <f t="shared" si="12"/>
        <v/>
      </c>
      <c r="CV18" s="82" t="str">
        <f t="shared" si="12"/>
        <v/>
      </c>
      <c r="CW18" s="82" t="str">
        <f t="shared" si="12"/>
        <v/>
      </c>
      <c r="CX18" s="82" t="str">
        <f t="shared" si="12"/>
        <v/>
      </c>
    </row>
    <row r="19" spans="1:102" s="2" customFormat="1" x14ac:dyDescent="0.2">
      <c r="A19" s="61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60" t="s">
        <v>92</v>
      </c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163"/>
      <c r="BL20" s="163"/>
      <c r="BM20" s="163"/>
      <c r="BN20" s="163"/>
      <c r="BO20" s="163"/>
      <c r="BP20" s="163"/>
      <c r="BQ20" s="163"/>
      <c r="BR20" s="163"/>
      <c r="BS20" s="163"/>
      <c r="BT20" s="163"/>
      <c r="BU20" s="163"/>
      <c r="BV20" s="163"/>
      <c r="BW20" s="163"/>
      <c r="BX20" s="163"/>
      <c r="BY20" s="163"/>
      <c r="BZ20" s="163"/>
      <c r="CA20" s="163"/>
      <c r="CB20" s="163"/>
      <c r="CC20" s="163"/>
      <c r="CD20" s="163"/>
      <c r="CE20" s="163"/>
      <c r="CF20" s="163"/>
      <c r="CG20" s="163"/>
      <c r="CH20" s="163"/>
      <c r="CI20" s="163"/>
      <c r="CJ20" s="163"/>
      <c r="CK20" s="163"/>
      <c r="CL20" s="163"/>
      <c r="CM20" s="163"/>
      <c r="CN20" s="163"/>
      <c r="CO20" s="163"/>
      <c r="CP20" s="163"/>
      <c r="CQ20" s="163"/>
      <c r="CR20" s="163"/>
      <c r="CS20" s="163"/>
      <c r="CT20" s="163"/>
      <c r="CU20" s="163"/>
      <c r="CV20" s="163"/>
      <c r="CW20" s="163"/>
      <c r="CX20" s="164"/>
    </row>
    <row r="21" spans="1:102" s="2" customFormat="1" x14ac:dyDescent="0.2">
      <c r="A21" s="157" t="s">
        <v>79</v>
      </c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58"/>
      <c r="BL21" s="158"/>
      <c r="BM21" s="158"/>
      <c r="BN21" s="158"/>
      <c r="BO21" s="158"/>
      <c r="BP21" s="158"/>
      <c r="BQ21" s="158"/>
      <c r="BR21" s="158"/>
      <c r="BS21" s="158"/>
      <c r="BT21" s="158"/>
      <c r="BU21" s="158"/>
      <c r="BV21" s="158"/>
      <c r="BW21" s="158"/>
      <c r="BX21" s="158"/>
      <c r="BY21" s="158"/>
      <c r="BZ21" s="158"/>
      <c r="CA21" s="158"/>
      <c r="CB21" s="158"/>
      <c r="CC21" s="158"/>
      <c r="CD21" s="158"/>
      <c r="CE21" s="158"/>
      <c r="CF21" s="158"/>
      <c r="CG21" s="158"/>
      <c r="CH21" s="158"/>
      <c r="CI21" s="158"/>
      <c r="CJ21" s="158"/>
      <c r="CK21" s="158"/>
      <c r="CL21" s="158"/>
      <c r="CM21" s="158"/>
      <c r="CN21" s="158"/>
      <c r="CO21" s="158"/>
      <c r="CP21" s="158"/>
      <c r="CQ21" s="158"/>
      <c r="CR21" s="158"/>
      <c r="CS21" s="158"/>
      <c r="CT21" s="158"/>
      <c r="CU21" s="158"/>
      <c r="CV21" s="158"/>
      <c r="CW21" s="158"/>
      <c r="CX21" s="159"/>
    </row>
    <row r="22" spans="1:102" s="2" customFormat="1" x14ac:dyDescent="0.2">
      <c r="A22" s="161" t="s">
        <v>74</v>
      </c>
      <c r="B22" s="166">
        <f>total_installed_cost-C37-C42</f>
        <v>542718</v>
      </c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  <c r="BS22" s="158"/>
      <c r="BT22" s="158"/>
      <c r="BU22" s="158"/>
      <c r="BV22" s="158"/>
      <c r="BW22" s="158"/>
      <c r="BX22" s="158"/>
      <c r="BY22" s="158"/>
      <c r="BZ22" s="158"/>
      <c r="CA22" s="158"/>
      <c r="CB22" s="158"/>
      <c r="CC22" s="158"/>
      <c r="CD22" s="158"/>
      <c r="CE22" s="158"/>
      <c r="CF22" s="158"/>
      <c r="CG22" s="158"/>
      <c r="CH22" s="158"/>
      <c r="CI22" s="158"/>
      <c r="CJ22" s="158"/>
      <c r="CK22" s="158"/>
      <c r="CL22" s="158"/>
      <c r="CM22" s="158"/>
      <c r="CN22" s="158"/>
      <c r="CO22" s="158"/>
      <c r="CP22" s="158"/>
      <c r="CQ22" s="158"/>
      <c r="CR22" s="158"/>
      <c r="CS22" s="158"/>
      <c r="CT22" s="158"/>
      <c r="CU22" s="158"/>
      <c r="CV22" s="158"/>
      <c r="CW22" s="158"/>
      <c r="CX22" s="159"/>
    </row>
    <row r="23" spans="1:102" s="2" customFormat="1" x14ac:dyDescent="0.2">
      <c r="A23" s="161" t="s">
        <v>78</v>
      </c>
      <c r="B23" s="168">
        <f>B22*debt_fraction/100</f>
        <v>542718</v>
      </c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158"/>
      <c r="AB23" s="158"/>
      <c r="AC23" s="158"/>
      <c r="AD23" s="158"/>
      <c r="AE23" s="158"/>
      <c r="AF23" s="158"/>
      <c r="AG23" s="158"/>
      <c r="AH23" s="158"/>
      <c r="AI23" s="158"/>
      <c r="AJ23" s="158"/>
      <c r="AK23" s="158"/>
      <c r="AL23" s="158"/>
      <c r="AM23" s="158"/>
      <c r="AN23" s="158"/>
      <c r="AO23" s="158"/>
      <c r="AP23" s="158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58"/>
      <c r="BM23" s="158"/>
      <c r="BN23" s="158"/>
      <c r="BO23" s="158"/>
      <c r="BP23" s="158"/>
      <c r="BQ23" s="158"/>
      <c r="BR23" s="158"/>
      <c r="BS23" s="158"/>
      <c r="BT23" s="158"/>
      <c r="BU23" s="158"/>
      <c r="BV23" s="158"/>
      <c r="BW23" s="158"/>
      <c r="BX23" s="158"/>
      <c r="BY23" s="158"/>
      <c r="BZ23" s="158"/>
      <c r="CA23" s="158"/>
      <c r="CB23" s="158"/>
      <c r="CC23" s="158"/>
      <c r="CD23" s="158"/>
      <c r="CE23" s="158"/>
      <c r="CF23" s="158"/>
      <c r="CG23" s="158"/>
      <c r="CH23" s="158"/>
      <c r="CI23" s="158"/>
      <c r="CJ23" s="158"/>
      <c r="CK23" s="158"/>
      <c r="CL23" s="158"/>
      <c r="CM23" s="158"/>
      <c r="CN23" s="158"/>
      <c r="CO23" s="158"/>
      <c r="CP23" s="158"/>
      <c r="CQ23" s="158"/>
      <c r="CR23" s="158"/>
      <c r="CS23" s="158"/>
      <c r="CT23" s="158"/>
      <c r="CU23" s="158"/>
      <c r="CV23" s="158"/>
      <c r="CW23" s="158"/>
      <c r="CX23" s="159"/>
    </row>
    <row r="24" spans="1:102" s="2" customFormat="1" x14ac:dyDescent="0.2">
      <c r="A24" s="161" t="s">
        <v>41</v>
      </c>
      <c r="B24" s="166">
        <v>0</v>
      </c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58"/>
      <c r="BM24" s="158"/>
      <c r="BN24" s="158"/>
      <c r="BO24" s="158"/>
      <c r="BP24" s="158"/>
      <c r="BQ24" s="158"/>
      <c r="BR24" s="158"/>
      <c r="BS24" s="158"/>
      <c r="BT24" s="158"/>
      <c r="BU24" s="158"/>
      <c r="BV24" s="158"/>
      <c r="BW24" s="158"/>
      <c r="BX24" s="158"/>
      <c r="BY24" s="158"/>
      <c r="BZ24" s="158"/>
      <c r="CA24" s="158"/>
      <c r="CB24" s="158"/>
      <c r="CC24" s="158"/>
      <c r="CD24" s="158"/>
      <c r="CE24" s="158"/>
      <c r="CF24" s="158"/>
      <c r="CG24" s="158"/>
      <c r="CH24" s="158"/>
      <c r="CI24" s="158"/>
      <c r="CJ24" s="158"/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9"/>
    </row>
    <row r="25" spans="1:102" s="2" customFormat="1" x14ac:dyDescent="0.2">
      <c r="A25" s="157" t="s">
        <v>80</v>
      </c>
      <c r="B25" s="166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  <c r="BP25" s="158"/>
      <c r="BQ25" s="158"/>
      <c r="BR25" s="158"/>
      <c r="BS25" s="158"/>
      <c r="BT25" s="158"/>
      <c r="BU25" s="158"/>
      <c r="BV25" s="158"/>
      <c r="BW25" s="158"/>
      <c r="BX25" s="158"/>
      <c r="BY25" s="158"/>
      <c r="BZ25" s="158"/>
      <c r="CA25" s="158"/>
      <c r="CB25" s="158"/>
      <c r="CC25" s="158"/>
      <c r="CD25" s="158"/>
      <c r="CE25" s="158"/>
      <c r="CF25" s="158"/>
      <c r="CG25" s="158"/>
      <c r="CH25" s="158"/>
      <c r="CI25" s="158"/>
      <c r="CJ25" s="158"/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9"/>
    </row>
    <row r="26" spans="1:102" s="2" customFormat="1" x14ac:dyDescent="0.2">
      <c r="A26" s="161" t="s">
        <v>81</v>
      </c>
      <c r="B26" s="166"/>
      <c r="C26" s="166">
        <f>IF(loan_term=0, 0, B23)</f>
        <v>0</v>
      </c>
      <c r="D26" s="166">
        <f t="shared" ref="D26:AA26" si="13">IF(ISNUMBER(outYear),C26-C28,"")</f>
        <v>0</v>
      </c>
      <c r="E26" s="175">
        <f t="shared" si="13"/>
        <v>0</v>
      </c>
      <c r="F26" s="175">
        <f t="shared" si="13"/>
        <v>0</v>
      </c>
      <c r="G26" s="175">
        <f t="shared" si="13"/>
        <v>0</v>
      </c>
      <c r="H26" s="175">
        <f t="shared" si="13"/>
        <v>0</v>
      </c>
      <c r="I26" s="175">
        <f t="shared" si="13"/>
        <v>0</v>
      </c>
      <c r="J26" s="175">
        <f t="shared" si="13"/>
        <v>0</v>
      </c>
      <c r="K26" s="175">
        <f t="shared" si="13"/>
        <v>0</v>
      </c>
      <c r="L26" s="175">
        <f t="shared" si="13"/>
        <v>0</v>
      </c>
      <c r="M26" s="175">
        <f t="shared" si="13"/>
        <v>0</v>
      </c>
      <c r="N26" s="175">
        <f t="shared" si="13"/>
        <v>0</v>
      </c>
      <c r="O26" s="175">
        <f t="shared" si="13"/>
        <v>0</v>
      </c>
      <c r="P26" s="175">
        <f t="shared" si="13"/>
        <v>0</v>
      </c>
      <c r="Q26" s="175">
        <f t="shared" si="13"/>
        <v>0</v>
      </c>
      <c r="R26" s="175">
        <f t="shared" si="13"/>
        <v>0</v>
      </c>
      <c r="S26" s="175">
        <f t="shared" si="13"/>
        <v>0</v>
      </c>
      <c r="T26" s="175">
        <f t="shared" si="13"/>
        <v>0</v>
      </c>
      <c r="U26" s="175">
        <f t="shared" si="13"/>
        <v>0</v>
      </c>
      <c r="V26" s="175">
        <f t="shared" si="13"/>
        <v>0</v>
      </c>
      <c r="W26" s="175">
        <f t="shared" si="13"/>
        <v>0</v>
      </c>
      <c r="X26" s="175">
        <f t="shared" si="13"/>
        <v>0</v>
      </c>
      <c r="Y26" s="175">
        <f t="shared" si="13"/>
        <v>0</v>
      </c>
      <c r="Z26" s="175">
        <f t="shared" si="13"/>
        <v>0</v>
      </c>
      <c r="AA26" s="175">
        <f t="shared" si="13"/>
        <v>0</v>
      </c>
      <c r="AB26" s="166" t="s">
        <v>120</v>
      </c>
      <c r="AC26" s="166" t="s">
        <v>120</v>
      </c>
      <c r="AD26" s="166" t="s">
        <v>120</v>
      </c>
      <c r="AE26" s="166" t="s">
        <v>120</v>
      </c>
      <c r="AF26" s="166" t="s">
        <v>120</v>
      </c>
      <c r="AG26" s="166" t="s">
        <v>120</v>
      </c>
      <c r="AH26" s="166" t="s">
        <v>120</v>
      </c>
      <c r="AI26" s="166" t="s">
        <v>120</v>
      </c>
      <c r="AJ26" s="166" t="s">
        <v>120</v>
      </c>
      <c r="AK26" s="166" t="s">
        <v>120</v>
      </c>
      <c r="AL26" s="166" t="s">
        <v>120</v>
      </c>
      <c r="AM26" s="166" t="s">
        <v>120</v>
      </c>
      <c r="AN26" s="166" t="s">
        <v>120</v>
      </c>
      <c r="AO26" s="166" t="s">
        <v>120</v>
      </c>
      <c r="AP26" s="166" t="s">
        <v>120</v>
      </c>
      <c r="AQ26" s="166" t="s">
        <v>120</v>
      </c>
      <c r="AR26" s="166" t="s">
        <v>120</v>
      </c>
      <c r="AS26" s="166" t="s">
        <v>120</v>
      </c>
      <c r="AT26" s="166" t="s">
        <v>120</v>
      </c>
      <c r="AU26" s="166" t="s">
        <v>120</v>
      </c>
      <c r="AV26" s="166" t="s">
        <v>120</v>
      </c>
      <c r="AW26" s="166" t="s">
        <v>120</v>
      </c>
      <c r="AX26" s="166" t="s">
        <v>120</v>
      </c>
      <c r="AY26" s="166" t="s">
        <v>120</v>
      </c>
      <c r="AZ26" s="166" t="s">
        <v>120</v>
      </c>
      <c r="BA26" s="166" t="s">
        <v>120</v>
      </c>
      <c r="BB26" s="166" t="s">
        <v>120</v>
      </c>
      <c r="BC26" s="166" t="s">
        <v>120</v>
      </c>
      <c r="BD26" s="166" t="s">
        <v>120</v>
      </c>
      <c r="BE26" s="166" t="s">
        <v>120</v>
      </c>
      <c r="BF26" s="166" t="s">
        <v>120</v>
      </c>
      <c r="BG26" s="166" t="s">
        <v>120</v>
      </c>
      <c r="BH26" s="166" t="s">
        <v>120</v>
      </c>
      <c r="BI26" s="166" t="s">
        <v>120</v>
      </c>
      <c r="BJ26" s="166" t="s">
        <v>120</v>
      </c>
      <c r="BK26" s="166" t="s">
        <v>120</v>
      </c>
      <c r="BL26" s="166" t="s">
        <v>120</v>
      </c>
      <c r="BM26" s="166" t="s">
        <v>120</v>
      </c>
      <c r="BN26" s="166" t="s">
        <v>120</v>
      </c>
      <c r="BO26" s="166" t="s">
        <v>120</v>
      </c>
      <c r="BP26" s="166" t="s">
        <v>120</v>
      </c>
      <c r="BQ26" s="166" t="s">
        <v>120</v>
      </c>
      <c r="BR26" s="166" t="s">
        <v>120</v>
      </c>
      <c r="BS26" s="166" t="s">
        <v>120</v>
      </c>
      <c r="BT26" s="166" t="s">
        <v>120</v>
      </c>
      <c r="BU26" s="166" t="s">
        <v>120</v>
      </c>
      <c r="BV26" s="166" t="s">
        <v>120</v>
      </c>
      <c r="BW26" s="166" t="s">
        <v>120</v>
      </c>
      <c r="BX26" s="166" t="s">
        <v>120</v>
      </c>
      <c r="BY26" s="166" t="s">
        <v>120</v>
      </c>
      <c r="BZ26" s="166" t="s">
        <v>120</v>
      </c>
      <c r="CA26" s="166" t="s">
        <v>120</v>
      </c>
      <c r="CB26" s="166" t="s">
        <v>120</v>
      </c>
      <c r="CC26" s="166" t="s">
        <v>120</v>
      </c>
      <c r="CD26" s="166" t="s">
        <v>120</v>
      </c>
      <c r="CE26" s="166" t="s">
        <v>120</v>
      </c>
      <c r="CF26" s="166" t="s">
        <v>120</v>
      </c>
      <c r="CG26" s="166" t="s">
        <v>120</v>
      </c>
      <c r="CH26" s="166" t="s">
        <v>120</v>
      </c>
      <c r="CI26" s="166" t="s">
        <v>120</v>
      </c>
      <c r="CJ26" s="166" t="s">
        <v>120</v>
      </c>
      <c r="CK26" s="166" t="s">
        <v>120</v>
      </c>
      <c r="CL26" s="166" t="s">
        <v>120</v>
      </c>
      <c r="CM26" s="166" t="s">
        <v>120</v>
      </c>
      <c r="CN26" s="166" t="s">
        <v>120</v>
      </c>
      <c r="CO26" s="166" t="s">
        <v>120</v>
      </c>
      <c r="CP26" s="166" t="s">
        <v>120</v>
      </c>
      <c r="CQ26" s="166" t="s">
        <v>120</v>
      </c>
      <c r="CR26" s="166" t="s">
        <v>120</v>
      </c>
      <c r="CS26" s="166" t="s">
        <v>120</v>
      </c>
      <c r="CT26" s="166" t="s">
        <v>120</v>
      </c>
      <c r="CU26" s="166" t="s">
        <v>120</v>
      </c>
      <c r="CV26" s="166" t="s">
        <v>120</v>
      </c>
      <c r="CW26" s="166" t="s">
        <v>120</v>
      </c>
      <c r="CX26" s="166" t="s">
        <v>120</v>
      </c>
    </row>
    <row r="27" spans="1:102" s="2" customFormat="1" x14ac:dyDescent="0.2">
      <c r="A27" s="161" t="s">
        <v>82</v>
      </c>
      <c r="B27" s="158"/>
      <c r="C27" s="166">
        <f t="shared" ref="C27:AA27" si="14">IF(ISNUMBER(outYear),IF(outYear&gt;loan_term,0,C26*loan_rate/100),"")</f>
        <v>0</v>
      </c>
      <c r="D27" s="175">
        <f t="shared" si="14"/>
        <v>0</v>
      </c>
      <c r="E27" s="175">
        <f t="shared" si="14"/>
        <v>0</v>
      </c>
      <c r="F27" s="175">
        <f t="shared" si="14"/>
        <v>0</v>
      </c>
      <c r="G27" s="175">
        <f t="shared" si="14"/>
        <v>0</v>
      </c>
      <c r="H27" s="175">
        <f t="shared" si="14"/>
        <v>0</v>
      </c>
      <c r="I27" s="175">
        <f t="shared" si="14"/>
        <v>0</v>
      </c>
      <c r="J27" s="175">
        <f t="shared" si="14"/>
        <v>0</v>
      </c>
      <c r="K27" s="175">
        <f t="shared" si="14"/>
        <v>0</v>
      </c>
      <c r="L27" s="175">
        <f t="shared" si="14"/>
        <v>0</v>
      </c>
      <c r="M27" s="175">
        <f t="shared" si="14"/>
        <v>0</v>
      </c>
      <c r="N27" s="175">
        <f t="shared" si="14"/>
        <v>0</v>
      </c>
      <c r="O27" s="175">
        <f t="shared" si="14"/>
        <v>0</v>
      </c>
      <c r="P27" s="175">
        <f t="shared" si="14"/>
        <v>0</v>
      </c>
      <c r="Q27" s="175">
        <f t="shared" si="14"/>
        <v>0</v>
      </c>
      <c r="R27" s="175">
        <f t="shared" si="14"/>
        <v>0</v>
      </c>
      <c r="S27" s="175">
        <f t="shared" si="14"/>
        <v>0</v>
      </c>
      <c r="T27" s="175">
        <f t="shared" si="14"/>
        <v>0</v>
      </c>
      <c r="U27" s="175">
        <f t="shared" si="14"/>
        <v>0</v>
      </c>
      <c r="V27" s="175">
        <f t="shared" si="14"/>
        <v>0</v>
      </c>
      <c r="W27" s="175">
        <f t="shared" si="14"/>
        <v>0</v>
      </c>
      <c r="X27" s="175">
        <f t="shared" si="14"/>
        <v>0</v>
      </c>
      <c r="Y27" s="175">
        <f t="shared" si="14"/>
        <v>0</v>
      </c>
      <c r="Z27" s="175">
        <f t="shared" si="14"/>
        <v>0</v>
      </c>
      <c r="AA27" s="175">
        <f t="shared" si="14"/>
        <v>0</v>
      </c>
      <c r="AB27" s="166" t="s">
        <v>120</v>
      </c>
      <c r="AC27" s="166" t="s">
        <v>120</v>
      </c>
      <c r="AD27" s="166" t="s">
        <v>120</v>
      </c>
      <c r="AE27" s="166" t="s">
        <v>120</v>
      </c>
      <c r="AF27" s="166" t="s">
        <v>120</v>
      </c>
      <c r="AG27" s="166" t="s">
        <v>120</v>
      </c>
      <c r="AH27" s="166" t="s">
        <v>120</v>
      </c>
      <c r="AI27" s="166" t="s">
        <v>120</v>
      </c>
      <c r="AJ27" s="166" t="s">
        <v>120</v>
      </c>
      <c r="AK27" s="166" t="s">
        <v>120</v>
      </c>
      <c r="AL27" s="166" t="s">
        <v>120</v>
      </c>
      <c r="AM27" s="166" t="s">
        <v>120</v>
      </c>
      <c r="AN27" s="166" t="s">
        <v>120</v>
      </c>
      <c r="AO27" s="166" t="s">
        <v>120</v>
      </c>
      <c r="AP27" s="166" t="s">
        <v>120</v>
      </c>
      <c r="AQ27" s="166" t="s">
        <v>120</v>
      </c>
      <c r="AR27" s="166" t="s">
        <v>120</v>
      </c>
      <c r="AS27" s="166" t="s">
        <v>120</v>
      </c>
      <c r="AT27" s="166" t="s">
        <v>120</v>
      </c>
      <c r="AU27" s="166" t="s">
        <v>120</v>
      </c>
      <c r="AV27" s="166" t="s">
        <v>120</v>
      </c>
      <c r="AW27" s="166" t="s">
        <v>120</v>
      </c>
      <c r="AX27" s="166" t="s">
        <v>120</v>
      </c>
      <c r="AY27" s="166" t="s">
        <v>120</v>
      </c>
      <c r="AZ27" s="166" t="s">
        <v>120</v>
      </c>
      <c r="BA27" s="166" t="s">
        <v>120</v>
      </c>
      <c r="BB27" s="166" t="s">
        <v>120</v>
      </c>
      <c r="BC27" s="166" t="s">
        <v>120</v>
      </c>
      <c r="BD27" s="166" t="s">
        <v>120</v>
      </c>
      <c r="BE27" s="166" t="s">
        <v>120</v>
      </c>
      <c r="BF27" s="166" t="s">
        <v>120</v>
      </c>
      <c r="BG27" s="166" t="s">
        <v>120</v>
      </c>
      <c r="BH27" s="166" t="s">
        <v>120</v>
      </c>
      <c r="BI27" s="166" t="s">
        <v>120</v>
      </c>
      <c r="BJ27" s="166" t="s">
        <v>120</v>
      </c>
      <c r="BK27" s="166" t="s">
        <v>120</v>
      </c>
      <c r="BL27" s="166" t="s">
        <v>120</v>
      </c>
      <c r="BM27" s="166" t="s">
        <v>120</v>
      </c>
      <c r="BN27" s="166" t="s">
        <v>120</v>
      </c>
      <c r="BO27" s="166" t="s">
        <v>120</v>
      </c>
      <c r="BP27" s="166" t="s">
        <v>120</v>
      </c>
      <c r="BQ27" s="166" t="s">
        <v>120</v>
      </c>
      <c r="BR27" s="166" t="s">
        <v>120</v>
      </c>
      <c r="BS27" s="166" t="s">
        <v>120</v>
      </c>
      <c r="BT27" s="166" t="s">
        <v>120</v>
      </c>
      <c r="BU27" s="166" t="s">
        <v>120</v>
      </c>
      <c r="BV27" s="166" t="s">
        <v>120</v>
      </c>
      <c r="BW27" s="166" t="s">
        <v>120</v>
      </c>
      <c r="BX27" s="166" t="s">
        <v>120</v>
      </c>
      <c r="BY27" s="166" t="s">
        <v>120</v>
      </c>
      <c r="BZ27" s="166" t="s">
        <v>120</v>
      </c>
      <c r="CA27" s="166" t="s">
        <v>120</v>
      </c>
      <c r="CB27" s="166" t="s">
        <v>120</v>
      </c>
      <c r="CC27" s="166" t="s">
        <v>120</v>
      </c>
      <c r="CD27" s="166" t="s">
        <v>120</v>
      </c>
      <c r="CE27" s="166" t="s">
        <v>120</v>
      </c>
      <c r="CF27" s="166" t="s">
        <v>120</v>
      </c>
      <c r="CG27" s="166" t="s">
        <v>120</v>
      </c>
      <c r="CH27" s="166" t="s">
        <v>120</v>
      </c>
      <c r="CI27" s="166" t="s">
        <v>120</v>
      </c>
      <c r="CJ27" s="166" t="s">
        <v>120</v>
      </c>
      <c r="CK27" s="166" t="s">
        <v>120</v>
      </c>
      <c r="CL27" s="166" t="s">
        <v>120</v>
      </c>
      <c r="CM27" s="166" t="s">
        <v>120</v>
      </c>
      <c r="CN27" s="166" t="s">
        <v>120</v>
      </c>
      <c r="CO27" s="166" t="s">
        <v>120</v>
      </c>
      <c r="CP27" s="166" t="s">
        <v>120</v>
      </c>
      <c r="CQ27" s="166" t="s">
        <v>120</v>
      </c>
      <c r="CR27" s="166" t="s">
        <v>120</v>
      </c>
      <c r="CS27" s="166" t="s">
        <v>120</v>
      </c>
      <c r="CT27" s="166" t="s">
        <v>120</v>
      </c>
      <c r="CU27" s="166" t="s">
        <v>120</v>
      </c>
      <c r="CV27" s="166" t="s">
        <v>120</v>
      </c>
      <c r="CW27" s="166" t="s">
        <v>120</v>
      </c>
      <c r="CX27" s="166" t="s">
        <v>120</v>
      </c>
    </row>
    <row r="28" spans="1:102" s="2" customFormat="1" x14ac:dyDescent="0.2">
      <c r="A28" s="161" t="s">
        <v>84</v>
      </c>
      <c r="B28" s="158"/>
      <c r="C28" s="166">
        <f t="shared" ref="C28:AA28" si="15">IF(ISNUMBER(outYear),IF(outYear&gt;loan_term,0,-PPMT(loan_rate/100,outYear,loan_term,$B$23,0,0)),"")</f>
        <v>0</v>
      </c>
      <c r="D28" s="175">
        <f t="shared" si="15"/>
        <v>0</v>
      </c>
      <c r="E28" s="175">
        <f t="shared" si="15"/>
        <v>0</v>
      </c>
      <c r="F28" s="175">
        <f t="shared" si="15"/>
        <v>0</v>
      </c>
      <c r="G28" s="175">
        <f t="shared" si="15"/>
        <v>0</v>
      </c>
      <c r="H28" s="175">
        <f t="shared" si="15"/>
        <v>0</v>
      </c>
      <c r="I28" s="175">
        <f t="shared" si="15"/>
        <v>0</v>
      </c>
      <c r="J28" s="175">
        <f t="shared" si="15"/>
        <v>0</v>
      </c>
      <c r="K28" s="175">
        <f t="shared" si="15"/>
        <v>0</v>
      </c>
      <c r="L28" s="175">
        <f t="shared" si="15"/>
        <v>0</v>
      </c>
      <c r="M28" s="175">
        <f t="shared" si="15"/>
        <v>0</v>
      </c>
      <c r="N28" s="175">
        <f t="shared" si="15"/>
        <v>0</v>
      </c>
      <c r="O28" s="175">
        <f t="shared" si="15"/>
        <v>0</v>
      </c>
      <c r="P28" s="175">
        <f t="shared" si="15"/>
        <v>0</v>
      </c>
      <c r="Q28" s="175">
        <f t="shared" si="15"/>
        <v>0</v>
      </c>
      <c r="R28" s="175">
        <f t="shared" si="15"/>
        <v>0</v>
      </c>
      <c r="S28" s="175">
        <f t="shared" si="15"/>
        <v>0</v>
      </c>
      <c r="T28" s="175">
        <f t="shared" si="15"/>
        <v>0</v>
      </c>
      <c r="U28" s="175">
        <f t="shared" si="15"/>
        <v>0</v>
      </c>
      <c r="V28" s="175">
        <f t="shared" si="15"/>
        <v>0</v>
      </c>
      <c r="W28" s="175">
        <f t="shared" si="15"/>
        <v>0</v>
      </c>
      <c r="X28" s="175">
        <f t="shared" si="15"/>
        <v>0</v>
      </c>
      <c r="Y28" s="175">
        <f t="shared" si="15"/>
        <v>0</v>
      </c>
      <c r="Z28" s="175">
        <f t="shared" si="15"/>
        <v>0</v>
      </c>
      <c r="AA28" s="175">
        <f t="shared" si="15"/>
        <v>0</v>
      </c>
      <c r="AB28" s="166" t="s">
        <v>120</v>
      </c>
      <c r="AC28" s="166" t="s">
        <v>120</v>
      </c>
      <c r="AD28" s="166" t="s">
        <v>120</v>
      </c>
      <c r="AE28" s="166" t="s">
        <v>120</v>
      </c>
      <c r="AF28" s="166" t="s">
        <v>120</v>
      </c>
      <c r="AG28" s="166" t="s">
        <v>120</v>
      </c>
      <c r="AH28" s="166" t="s">
        <v>120</v>
      </c>
      <c r="AI28" s="166" t="s">
        <v>120</v>
      </c>
      <c r="AJ28" s="166" t="s">
        <v>120</v>
      </c>
      <c r="AK28" s="166" t="s">
        <v>120</v>
      </c>
      <c r="AL28" s="166" t="s">
        <v>120</v>
      </c>
      <c r="AM28" s="166" t="s">
        <v>120</v>
      </c>
      <c r="AN28" s="166" t="s">
        <v>120</v>
      </c>
      <c r="AO28" s="166" t="s">
        <v>120</v>
      </c>
      <c r="AP28" s="166" t="s">
        <v>120</v>
      </c>
      <c r="AQ28" s="166" t="s">
        <v>120</v>
      </c>
      <c r="AR28" s="166" t="s">
        <v>120</v>
      </c>
      <c r="AS28" s="166" t="s">
        <v>120</v>
      </c>
      <c r="AT28" s="166" t="s">
        <v>120</v>
      </c>
      <c r="AU28" s="166" t="s">
        <v>120</v>
      </c>
      <c r="AV28" s="166" t="s">
        <v>120</v>
      </c>
      <c r="AW28" s="166" t="s">
        <v>120</v>
      </c>
      <c r="AX28" s="166" t="s">
        <v>120</v>
      </c>
      <c r="AY28" s="166" t="s">
        <v>120</v>
      </c>
      <c r="AZ28" s="166" t="s">
        <v>120</v>
      </c>
      <c r="BA28" s="166" t="s">
        <v>120</v>
      </c>
      <c r="BB28" s="166" t="s">
        <v>120</v>
      </c>
      <c r="BC28" s="166" t="s">
        <v>120</v>
      </c>
      <c r="BD28" s="166" t="s">
        <v>120</v>
      </c>
      <c r="BE28" s="166" t="s">
        <v>120</v>
      </c>
      <c r="BF28" s="166" t="s">
        <v>120</v>
      </c>
      <c r="BG28" s="166" t="s">
        <v>120</v>
      </c>
      <c r="BH28" s="166" t="s">
        <v>120</v>
      </c>
      <c r="BI28" s="166" t="s">
        <v>120</v>
      </c>
      <c r="BJ28" s="166" t="s">
        <v>120</v>
      </c>
      <c r="BK28" s="166" t="s">
        <v>120</v>
      </c>
      <c r="BL28" s="166" t="s">
        <v>120</v>
      </c>
      <c r="BM28" s="166" t="s">
        <v>120</v>
      </c>
      <c r="BN28" s="166" t="s">
        <v>120</v>
      </c>
      <c r="BO28" s="166" t="s">
        <v>120</v>
      </c>
      <c r="BP28" s="166" t="s">
        <v>120</v>
      </c>
      <c r="BQ28" s="166" t="s">
        <v>120</v>
      </c>
      <c r="BR28" s="166" t="s">
        <v>120</v>
      </c>
      <c r="BS28" s="166" t="s">
        <v>120</v>
      </c>
      <c r="BT28" s="166" t="s">
        <v>120</v>
      </c>
      <c r="BU28" s="166" t="s">
        <v>120</v>
      </c>
      <c r="BV28" s="166" t="s">
        <v>120</v>
      </c>
      <c r="BW28" s="166" t="s">
        <v>120</v>
      </c>
      <c r="BX28" s="166" t="s">
        <v>120</v>
      </c>
      <c r="BY28" s="166" t="s">
        <v>120</v>
      </c>
      <c r="BZ28" s="166" t="s">
        <v>120</v>
      </c>
      <c r="CA28" s="166" t="s">
        <v>120</v>
      </c>
      <c r="CB28" s="166" t="s">
        <v>120</v>
      </c>
      <c r="CC28" s="166" t="s">
        <v>120</v>
      </c>
      <c r="CD28" s="166" t="s">
        <v>120</v>
      </c>
      <c r="CE28" s="166" t="s">
        <v>120</v>
      </c>
      <c r="CF28" s="166" t="s">
        <v>120</v>
      </c>
      <c r="CG28" s="166" t="s">
        <v>120</v>
      </c>
      <c r="CH28" s="166" t="s">
        <v>120</v>
      </c>
      <c r="CI28" s="166" t="s">
        <v>120</v>
      </c>
      <c r="CJ28" s="166" t="s">
        <v>120</v>
      </c>
      <c r="CK28" s="166" t="s">
        <v>120</v>
      </c>
      <c r="CL28" s="166" t="s">
        <v>120</v>
      </c>
      <c r="CM28" s="166" t="s">
        <v>120</v>
      </c>
      <c r="CN28" s="166" t="s">
        <v>120</v>
      </c>
      <c r="CO28" s="166" t="s">
        <v>120</v>
      </c>
      <c r="CP28" s="166" t="s">
        <v>120</v>
      </c>
      <c r="CQ28" s="166" t="s">
        <v>120</v>
      </c>
      <c r="CR28" s="166" t="s">
        <v>120</v>
      </c>
      <c r="CS28" s="166" t="s">
        <v>120</v>
      </c>
      <c r="CT28" s="166" t="s">
        <v>120</v>
      </c>
      <c r="CU28" s="166" t="s">
        <v>120</v>
      </c>
      <c r="CV28" s="166" t="s">
        <v>120</v>
      </c>
      <c r="CW28" s="166" t="s">
        <v>120</v>
      </c>
      <c r="CX28" s="166" t="s">
        <v>120</v>
      </c>
    </row>
    <row r="29" spans="1:102" s="2" customFormat="1" x14ac:dyDescent="0.2">
      <c r="A29" s="165" t="s">
        <v>83</v>
      </c>
      <c r="B29" s="162"/>
      <c r="C29" s="167">
        <f t="shared" ref="C29:AA29" si="16">IF(ISNUMBER(outYear),+C27+C28,"")</f>
        <v>0</v>
      </c>
      <c r="D29" s="176">
        <f t="shared" si="16"/>
        <v>0</v>
      </c>
      <c r="E29" s="176">
        <f t="shared" si="16"/>
        <v>0</v>
      </c>
      <c r="F29" s="176">
        <f t="shared" si="16"/>
        <v>0</v>
      </c>
      <c r="G29" s="176">
        <f t="shared" si="16"/>
        <v>0</v>
      </c>
      <c r="H29" s="176">
        <f t="shared" si="16"/>
        <v>0</v>
      </c>
      <c r="I29" s="176">
        <f t="shared" si="16"/>
        <v>0</v>
      </c>
      <c r="J29" s="176">
        <f t="shared" si="16"/>
        <v>0</v>
      </c>
      <c r="K29" s="176">
        <f t="shared" si="16"/>
        <v>0</v>
      </c>
      <c r="L29" s="176">
        <f t="shared" si="16"/>
        <v>0</v>
      </c>
      <c r="M29" s="176">
        <f t="shared" si="16"/>
        <v>0</v>
      </c>
      <c r="N29" s="176">
        <f t="shared" si="16"/>
        <v>0</v>
      </c>
      <c r="O29" s="176">
        <f t="shared" si="16"/>
        <v>0</v>
      </c>
      <c r="P29" s="176">
        <f t="shared" si="16"/>
        <v>0</v>
      </c>
      <c r="Q29" s="176">
        <f t="shared" si="16"/>
        <v>0</v>
      </c>
      <c r="R29" s="176">
        <f t="shared" si="16"/>
        <v>0</v>
      </c>
      <c r="S29" s="176">
        <f t="shared" si="16"/>
        <v>0</v>
      </c>
      <c r="T29" s="176">
        <f t="shared" si="16"/>
        <v>0</v>
      </c>
      <c r="U29" s="176">
        <f t="shared" si="16"/>
        <v>0</v>
      </c>
      <c r="V29" s="176">
        <f t="shared" si="16"/>
        <v>0</v>
      </c>
      <c r="W29" s="176">
        <f t="shared" si="16"/>
        <v>0</v>
      </c>
      <c r="X29" s="176">
        <f t="shared" si="16"/>
        <v>0</v>
      </c>
      <c r="Y29" s="176">
        <f t="shared" si="16"/>
        <v>0</v>
      </c>
      <c r="Z29" s="176">
        <f t="shared" si="16"/>
        <v>0</v>
      </c>
      <c r="AA29" s="176">
        <f t="shared" si="16"/>
        <v>0</v>
      </c>
      <c r="AB29" s="167" t="s">
        <v>120</v>
      </c>
      <c r="AC29" s="167" t="s">
        <v>120</v>
      </c>
      <c r="AD29" s="167" t="s">
        <v>120</v>
      </c>
      <c r="AE29" s="167" t="s">
        <v>120</v>
      </c>
      <c r="AF29" s="167" t="s">
        <v>120</v>
      </c>
      <c r="AG29" s="167" t="s">
        <v>120</v>
      </c>
      <c r="AH29" s="167" t="s">
        <v>120</v>
      </c>
      <c r="AI29" s="167" t="s">
        <v>120</v>
      </c>
      <c r="AJ29" s="167" t="s">
        <v>120</v>
      </c>
      <c r="AK29" s="167" t="s">
        <v>120</v>
      </c>
      <c r="AL29" s="167" t="s">
        <v>120</v>
      </c>
      <c r="AM29" s="167" t="s">
        <v>120</v>
      </c>
      <c r="AN29" s="167" t="s">
        <v>120</v>
      </c>
      <c r="AO29" s="167" t="s">
        <v>120</v>
      </c>
      <c r="AP29" s="167" t="s">
        <v>120</v>
      </c>
      <c r="AQ29" s="167" t="s">
        <v>120</v>
      </c>
      <c r="AR29" s="167" t="s">
        <v>120</v>
      </c>
      <c r="AS29" s="167" t="s">
        <v>120</v>
      </c>
      <c r="AT29" s="167" t="s">
        <v>120</v>
      </c>
      <c r="AU29" s="167" t="s">
        <v>120</v>
      </c>
      <c r="AV29" s="167" t="s">
        <v>120</v>
      </c>
      <c r="AW29" s="167" t="s">
        <v>120</v>
      </c>
      <c r="AX29" s="167" t="s">
        <v>120</v>
      </c>
      <c r="AY29" s="167" t="s">
        <v>120</v>
      </c>
      <c r="AZ29" s="167" t="s">
        <v>120</v>
      </c>
      <c r="BA29" s="167" t="s">
        <v>120</v>
      </c>
      <c r="BB29" s="167" t="s">
        <v>120</v>
      </c>
      <c r="BC29" s="167" t="s">
        <v>120</v>
      </c>
      <c r="BD29" s="167" t="s">
        <v>120</v>
      </c>
      <c r="BE29" s="167" t="s">
        <v>120</v>
      </c>
      <c r="BF29" s="167" t="s">
        <v>120</v>
      </c>
      <c r="BG29" s="167" t="s">
        <v>120</v>
      </c>
      <c r="BH29" s="167" t="s">
        <v>120</v>
      </c>
      <c r="BI29" s="167" t="s">
        <v>120</v>
      </c>
      <c r="BJ29" s="167" t="s">
        <v>120</v>
      </c>
      <c r="BK29" s="167" t="s">
        <v>120</v>
      </c>
      <c r="BL29" s="167" t="s">
        <v>120</v>
      </c>
      <c r="BM29" s="167" t="s">
        <v>120</v>
      </c>
      <c r="BN29" s="167" t="s">
        <v>120</v>
      </c>
      <c r="BO29" s="167" t="s">
        <v>120</v>
      </c>
      <c r="BP29" s="167" t="s">
        <v>120</v>
      </c>
      <c r="BQ29" s="167" t="s">
        <v>120</v>
      </c>
      <c r="BR29" s="167" t="s">
        <v>120</v>
      </c>
      <c r="BS29" s="167" t="s">
        <v>120</v>
      </c>
      <c r="BT29" s="167" t="s">
        <v>120</v>
      </c>
      <c r="BU29" s="167" t="s">
        <v>120</v>
      </c>
      <c r="BV29" s="167" t="s">
        <v>120</v>
      </c>
      <c r="BW29" s="167" t="s">
        <v>120</v>
      </c>
      <c r="BX29" s="167" t="s">
        <v>120</v>
      </c>
      <c r="BY29" s="167" t="s">
        <v>120</v>
      </c>
      <c r="BZ29" s="167" t="s">
        <v>120</v>
      </c>
      <c r="CA29" s="167" t="s">
        <v>120</v>
      </c>
      <c r="CB29" s="167" t="s">
        <v>120</v>
      </c>
      <c r="CC29" s="167" t="s">
        <v>120</v>
      </c>
      <c r="CD29" s="167" t="s">
        <v>120</v>
      </c>
      <c r="CE29" s="167" t="s">
        <v>120</v>
      </c>
      <c r="CF29" s="167" t="s">
        <v>120</v>
      </c>
      <c r="CG29" s="167" t="s">
        <v>120</v>
      </c>
      <c r="CH29" s="167" t="s">
        <v>120</v>
      </c>
      <c r="CI29" s="167" t="s">
        <v>120</v>
      </c>
      <c r="CJ29" s="167" t="s">
        <v>120</v>
      </c>
      <c r="CK29" s="167" t="s">
        <v>120</v>
      </c>
      <c r="CL29" s="167" t="s">
        <v>120</v>
      </c>
      <c r="CM29" s="167" t="s">
        <v>120</v>
      </c>
      <c r="CN29" s="167" t="s">
        <v>120</v>
      </c>
      <c r="CO29" s="167" t="s">
        <v>120</v>
      </c>
      <c r="CP29" s="167" t="s">
        <v>120</v>
      </c>
      <c r="CQ29" s="167" t="s">
        <v>120</v>
      </c>
      <c r="CR29" s="167" t="s">
        <v>120</v>
      </c>
      <c r="CS29" s="167" t="s">
        <v>120</v>
      </c>
      <c r="CT29" s="167" t="s">
        <v>120</v>
      </c>
      <c r="CU29" s="167" t="s">
        <v>120</v>
      </c>
      <c r="CV29" s="167" t="s">
        <v>120</v>
      </c>
      <c r="CW29" s="167" t="s">
        <v>120</v>
      </c>
      <c r="CX29" s="167" t="s">
        <v>120</v>
      </c>
    </row>
    <row r="30" spans="1:102" s="2" customFormat="1" x14ac:dyDescent="0.2">
      <c r="A30" s="169"/>
      <c r="B30" s="170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  <c r="CA30" s="175"/>
      <c r="CB30" s="175"/>
      <c r="CC30" s="175"/>
      <c r="CD30" s="175"/>
      <c r="CE30" s="175"/>
      <c r="CF30" s="175"/>
      <c r="CG30" s="175"/>
      <c r="CH30" s="175"/>
      <c r="CI30" s="175"/>
      <c r="CJ30" s="175"/>
      <c r="CK30" s="175"/>
      <c r="CL30" s="175"/>
      <c r="CM30" s="175"/>
      <c r="CN30" s="175"/>
      <c r="CO30" s="175"/>
      <c r="CP30" s="175"/>
      <c r="CQ30" s="175"/>
      <c r="CR30" s="175"/>
      <c r="CS30" s="175"/>
      <c r="CT30" s="175"/>
      <c r="CU30" s="175"/>
      <c r="CV30" s="175"/>
      <c r="CW30" s="175"/>
      <c r="CX30" s="175"/>
    </row>
    <row r="31" spans="1:102" x14ac:dyDescent="0.2">
      <c r="A31" s="85" t="s">
        <v>85</v>
      </c>
      <c r="B31" s="82">
        <f>IF(loan_term=0,-B23,0)</f>
        <v>-542718</v>
      </c>
      <c r="C31" s="82">
        <f>IF(ISNUMBER(C2),-(C15+C29),"")</f>
        <v>-4391.72</v>
      </c>
      <c r="D31" s="82">
        <f t="shared" ref="D31:AA31" si="17">IF(ISNUMBER(D2),-(D15+D29),"")</f>
        <v>-4479.5544</v>
      </c>
      <c r="E31" s="82">
        <f t="shared" si="17"/>
        <v>-4569.1454880000001</v>
      </c>
      <c r="F31" s="82">
        <f t="shared" si="17"/>
        <v>-4660.5283977600002</v>
      </c>
      <c r="G31" s="82">
        <f t="shared" si="17"/>
        <v>-4753.7389657151998</v>
      </c>
      <c r="H31" s="82">
        <f t="shared" si="17"/>
        <v>-4848.8137450295044</v>
      </c>
      <c r="I31" s="82">
        <f t="shared" si="17"/>
        <v>-4945.7900199300948</v>
      </c>
      <c r="J31" s="82">
        <f t="shared" si="17"/>
        <v>-5044.7058203286961</v>
      </c>
      <c r="K31" s="82">
        <f t="shared" si="17"/>
        <v>-5145.5999367352697</v>
      </c>
      <c r="L31" s="82">
        <f t="shared" si="17"/>
        <v>-94880.454582143284</v>
      </c>
      <c r="M31" s="82">
        <f t="shared" si="17"/>
        <v>-5353.4821741793758</v>
      </c>
      <c r="N31" s="82">
        <f t="shared" si="17"/>
        <v>-5460.5518176629621</v>
      </c>
      <c r="O31" s="82">
        <f t="shared" si="17"/>
        <v>-5569.7628540162214</v>
      </c>
      <c r="P31" s="82">
        <f t="shared" si="17"/>
        <v>-5681.1581110965462</v>
      </c>
      <c r="Q31" s="82">
        <f t="shared" si="17"/>
        <v>-5794.7812733184765</v>
      </c>
      <c r="R31" s="82">
        <f t="shared" si="17"/>
        <v>-5910.6768987848445</v>
      </c>
      <c r="S31" s="82">
        <f t="shared" si="17"/>
        <v>-6028.8904367605428</v>
      </c>
      <c r="T31" s="82">
        <f t="shared" si="17"/>
        <v>-6149.4682454957547</v>
      </c>
      <c r="U31" s="82">
        <f t="shared" si="17"/>
        <v>-6272.4576104056687</v>
      </c>
      <c r="V31" s="82">
        <f t="shared" si="17"/>
        <v>-6397.9067626137821</v>
      </c>
      <c r="W31" s="82">
        <f t="shared" si="17"/>
        <v>-6525.8648978660585</v>
      </c>
      <c r="X31" s="82">
        <f t="shared" si="17"/>
        <v>-6656.3821958233793</v>
      </c>
      <c r="Y31" s="82">
        <f t="shared" si="17"/>
        <v>-6789.5098397398469</v>
      </c>
      <c r="Z31" s="82">
        <f t="shared" si="17"/>
        <v>-6925.3000365346425</v>
      </c>
      <c r="AA31" s="82">
        <f t="shared" si="17"/>
        <v>-7063.8060372653363</v>
      </c>
      <c r="AB31" s="82" t="str">
        <f>IF(ISNUMBER(AB2),-(AB15+#REF!),"")</f>
        <v/>
      </c>
      <c r="AC31" s="82" t="str">
        <f>IF(ISNUMBER(AC2),-(AC15+#REF!),"")</f>
        <v/>
      </c>
      <c r="AD31" s="82" t="str">
        <f>IF(ISNUMBER(AD2),-(AD15+#REF!),"")</f>
        <v/>
      </c>
      <c r="AE31" s="82" t="str">
        <f>IF(ISNUMBER(AE2),-(AE15+#REF!),"")</f>
        <v/>
      </c>
      <c r="AF31" s="82" t="str">
        <f>IF(ISNUMBER(AF2),-(AF15+#REF!),"")</f>
        <v/>
      </c>
      <c r="AG31" s="82" t="str">
        <f>IF(ISNUMBER(AG2),-(AG15+#REF!),"")</f>
        <v/>
      </c>
      <c r="AH31" s="82" t="str">
        <f>IF(ISNUMBER(AH2),-(AH15+#REF!),"")</f>
        <v/>
      </c>
      <c r="AI31" s="82" t="str">
        <f>IF(ISNUMBER(AI2),-(AI15+#REF!),"")</f>
        <v/>
      </c>
      <c r="AJ31" s="82" t="str">
        <f>IF(ISNUMBER(AJ2),-(AJ15+#REF!),"")</f>
        <v/>
      </c>
      <c r="AK31" s="82" t="str">
        <f>IF(ISNUMBER(AK2),-(AK15+#REF!),"")</f>
        <v/>
      </c>
      <c r="AL31" s="82" t="str">
        <f>IF(ISNUMBER(AL2),-(AL15+#REF!),"")</f>
        <v/>
      </c>
      <c r="AM31" s="82" t="str">
        <f>IF(ISNUMBER(AM2),-(AM15+#REF!),"")</f>
        <v/>
      </c>
      <c r="AN31" s="82" t="str">
        <f>IF(ISNUMBER(AN2),-(AN15+#REF!),"")</f>
        <v/>
      </c>
      <c r="AO31" s="82" t="str">
        <f>IF(ISNUMBER(AO2),-(AO15+#REF!),"")</f>
        <v/>
      </c>
      <c r="AP31" s="82" t="str">
        <f>IF(ISNUMBER(AP2),-(AP15+#REF!),"")</f>
        <v/>
      </c>
      <c r="AQ31" s="82" t="str">
        <f>IF(ISNUMBER(AQ2),-(AQ15+#REF!),"")</f>
        <v/>
      </c>
      <c r="AR31" s="82" t="str">
        <f>IF(ISNUMBER(AR2),-(AR15+#REF!),"")</f>
        <v/>
      </c>
      <c r="AS31" s="82" t="str">
        <f>IF(ISNUMBER(AS2),-(AS15+#REF!),"")</f>
        <v/>
      </c>
      <c r="AT31" s="82" t="str">
        <f>IF(ISNUMBER(AT2),-(AT15+#REF!),"")</f>
        <v/>
      </c>
      <c r="AU31" s="82" t="str">
        <f>IF(ISNUMBER(AU2),-(AU15+#REF!),"")</f>
        <v/>
      </c>
      <c r="AV31" s="82" t="str">
        <f>IF(ISNUMBER(AV2),-(AV15+#REF!),"")</f>
        <v/>
      </c>
      <c r="AW31" s="82" t="str">
        <f>IF(ISNUMBER(AW2),-(AW15+#REF!),"")</f>
        <v/>
      </c>
      <c r="AX31" s="82" t="str">
        <f>IF(ISNUMBER(AX2),-(AX15+#REF!),"")</f>
        <v/>
      </c>
      <c r="AY31" s="82" t="str">
        <f>IF(ISNUMBER(AY2),-(AY15+#REF!),"")</f>
        <v/>
      </c>
      <c r="AZ31" s="82" t="str">
        <f>IF(ISNUMBER(AZ2),-(AZ15+#REF!),"")</f>
        <v/>
      </c>
      <c r="BA31" s="82" t="str">
        <f>IF(ISNUMBER(BA2),-(BA15+#REF!),"")</f>
        <v/>
      </c>
      <c r="BB31" s="82" t="str">
        <f>IF(ISNUMBER(BB2),-(BB15+#REF!),"")</f>
        <v/>
      </c>
      <c r="BC31" s="82" t="str">
        <f>IF(ISNUMBER(BC2),-(BC15+#REF!),"")</f>
        <v/>
      </c>
      <c r="BD31" s="82" t="str">
        <f>IF(ISNUMBER(BD2),-(BD15+#REF!),"")</f>
        <v/>
      </c>
      <c r="BE31" s="82" t="str">
        <f>IF(ISNUMBER(BE2),-(BE15+#REF!),"")</f>
        <v/>
      </c>
      <c r="BF31" s="82" t="str">
        <f>IF(ISNUMBER(BF2),-(BF15+#REF!),"")</f>
        <v/>
      </c>
      <c r="BG31" s="82" t="str">
        <f>IF(ISNUMBER(BG2),-(BG15+#REF!),"")</f>
        <v/>
      </c>
      <c r="BH31" s="82" t="str">
        <f>IF(ISNUMBER(BH2),-(BH15+#REF!),"")</f>
        <v/>
      </c>
      <c r="BI31" s="82" t="str">
        <f>IF(ISNUMBER(BI2),-(BI15+#REF!),"")</f>
        <v/>
      </c>
      <c r="BJ31" s="82" t="str">
        <f>IF(ISNUMBER(BJ2),-(BJ15+#REF!),"")</f>
        <v/>
      </c>
      <c r="BK31" s="82" t="str">
        <f>IF(ISNUMBER(BK2),-(BK15+#REF!),"")</f>
        <v/>
      </c>
      <c r="BL31" s="82" t="str">
        <f>IF(ISNUMBER(BL2),-(BL15+#REF!),"")</f>
        <v/>
      </c>
      <c r="BM31" s="82" t="str">
        <f>IF(ISNUMBER(BM2),-(BM15+#REF!),"")</f>
        <v/>
      </c>
      <c r="BN31" s="82" t="str">
        <f>IF(ISNUMBER(BN2),-(BN15+#REF!),"")</f>
        <v/>
      </c>
      <c r="BO31" s="82" t="str">
        <f>IF(ISNUMBER(BO2),-(BO15+#REF!),"")</f>
        <v/>
      </c>
      <c r="BP31" s="82" t="str">
        <f>IF(ISNUMBER(BP2),-(BP15+#REF!),"")</f>
        <v/>
      </c>
      <c r="BQ31" s="82" t="str">
        <f>IF(ISNUMBER(BQ2),-(BQ15+#REF!),"")</f>
        <v/>
      </c>
      <c r="BR31" s="82" t="str">
        <f>IF(ISNUMBER(BR2),-(BR15+#REF!),"")</f>
        <v/>
      </c>
      <c r="BS31" s="82" t="str">
        <f>IF(ISNUMBER(BS2),-(BS15+#REF!),"")</f>
        <v/>
      </c>
      <c r="BT31" s="82" t="str">
        <f>IF(ISNUMBER(BT2),-(BT15+#REF!),"")</f>
        <v/>
      </c>
      <c r="BU31" s="82" t="str">
        <f>IF(ISNUMBER(BU2),-(BU15+#REF!),"")</f>
        <v/>
      </c>
      <c r="BV31" s="82" t="str">
        <f>IF(ISNUMBER(BV2),-(BV15+#REF!),"")</f>
        <v/>
      </c>
      <c r="BW31" s="82" t="str">
        <f>IF(ISNUMBER(BW2),-(BW15+#REF!),"")</f>
        <v/>
      </c>
      <c r="BX31" s="82" t="str">
        <f>IF(ISNUMBER(BX2),-(BX15+#REF!),"")</f>
        <v/>
      </c>
      <c r="BY31" s="82" t="str">
        <f>IF(ISNUMBER(BY2),-(BY15+#REF!),"")</f>
        <v/>
      </c>
      <c r="BZ31" s="82" t="str">
        <f>IF(ISNUMBER(BZ2),-(BZ15+#REF!),"")</f>
        <v/>
      </c>
      <c r="CA31" s="82" t="str">
        <f>IF(ISNUMBER(CA2),-(CA15+#REF!),"")</f>
        <v/>
      </c>
      <c r="CB31" s="82" t="str">
        <f>IF(ISNUMBER(CB2),-(CB15+#REF!),"")</f>
        <v/>
      </c>
      <c r="CC31" s="82" t="str">
        <f>IF(ISNUMBER(CC2),-(CC15+#REF!),"")</f>
        <v/>
      </c>
      <c r="CD31" s="82" t="str">
        <f>IF(ISNUMBER(CD2),-(CD15+#REF!),"")</f>
        <v/>
      </c>
      <c r="CE31" s="82" t="str">
        <f>IF(ISNUMBER(CE2),-(CE15+#REF!),"")</f>
        <v/>
      </c>
      <c r="CF31" s="82" t="str">
        <f>IF(ISNUMBER(CF2),-(CF15+#REF!),"")</f>
        <v/>
      </c>
      <c r="CG31" s="82" t="str">
        <f>IF(ISNUMBER(CG2),-(CG15+#REF!),"")</f>
        <v/>
      </c>
      <c r="CH31" s="82" t="str">
        <f>IF(ISNUMBER(CH2),-(CH15+#REF!),"")</f>
        <v/>
      </c>
      <c r="CI31" s="82" t="str">
        <f>IF(ISNUMBER(CI2),-(CI15+#REF!),"")</f>
        <v/>
      </c>
      <c r="CJ31" s="82" t="str">
        <f>IF(ISNUMBER(CJ2),-(CJ15+#REF!),"")</f>
        <v/>
      </c>
      <c r="CK31" s="82" t="str">
        <f>IF(ISNUMBER(CK2),-(CK15+#REF!),"")</f>
        <v/>
      </c>
      <c r="CL31" s="82" t="str">
        <f>IF(ISNUMBER(CL2),-(CL15+#REF!),"")</f>
        <v/>
      </c>
      <c r="CM31" s="82" t="str">
        <f>IF(ISNUMBER(CM2),-(CM15+#REF!),"")</f>
        <v/>
      </c>
      <c r="CN31" s="82" t="str">
        <f>IF(ISNUMBER(CN2),-(CN15+#REF!),"")</f>
        <v/>
      </c>
      <c r="CO31" s="82" t="str">
        <f>IF(ISNUMBER(CO2),-(CO15+#REF!),"")</f>
        <v/>
      </c>
      <c r="CP31" s="82" t="str">
        <f>IF(ISNUMBER(CP2),-(CP15+#REF!),"")</f>
        <v/>
      </c>
      <c r="CQ31" s="82" t="str">
        <f>IF(ISNUMBER(CQ2),-(CQ15+#REF!),"")</f>
        <v/>
      </c>
      <c r="CR31" s="82" t="str">
        <f>IF(ISNUMBER(CR2),-(CR15+#REF!),"")</f>
        <v/>
      </c>
      <c r="CS31" s="82" t="str">
        <f>IF(ISNUMBER(CS2),-(CS15+#REF!),"")</f>
        <v/>
      </c>
      <c r="CT31" s="82" t="str">
        <f>IF(ISNUMBER(CT2),-(CT15+#REF!),"")</f>
        <v/>
      </c>
      <c r="CU31" s="82" t="str">
        <f>IF(ISNUMBER(CU2),-(CU15+#REF!),"")</f>
        <v/>
      </c>
      <c r="CV31" s="82" t="str">
        <f>IF(ISNUMBER(CV2),-(CV15+#REF!),"")</f>
        <v/>
      </c>
      <c r="CW31" s="82" t="str">
        <f>IF(ISNUMBER(CW2),-(CW15+#REF!),"")</f>
        <v/>
      </c>
      <c r="CX31" s="82" t="str">
        <f>IF(ISNUMBER(CX2),-(CX15+#REF!),"")</f>
        <v/>
      </c>
    </row>
    <row r="32" spans="1:102" x14ac:dyDescent="0.2">
      <c r="A32" s="85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  <c r="CW32" s="82"/>
      <c r="CX32" s="82"/>
    </row>
    <row r="33" spans="1:102" x14ac:dyDescent="0.2">
      <c r="A33" s="66" t="s">
        <v>93</v>
      </c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5"/>
    </row>
    <row r="34" spans="1:102" x14ac:dyDescent="0.2">
      <c r="A34" s="62" t="s">
        <v>39</v>
      </c>
      <c r="B34" s="1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  <c r="CE34" s="76"/>
      <c r="CF34" s="76"/>
      <c r="CG34" s="76"/>
      <c r="CH34" s="76"/>
      <c r="CI34" s="76"/>
      <c r="CJ34" s="76"/>
      <c r="CK34" s="76"/>
      <c r="CL34" s="76"/>
      <c r="CM34" s="76"/>
      <c r="CN34" s="76"/>
      <c r="CO34" s="76"/>
      <c r="CP34" s="76"/>
      <c r="CQ34" s="76"/>
      <c r="CR34" s="76"/>
      <c r="CS34" s="76"/>
      <c r="CT34" s="76"/>
      <c r="CU34" s="76"/>
      <c r="CV34" s="76"/>
      <c r="CW34" s="76"/>
      <c r="CX34" s="76"/>
    </row>
    <row r="35" spans="1:102" x14ac:dyDescent="0.2">
      <c r="A35" s="69" t="s">
        <v>10</v>
      </c>
      <c r="B35" s="16"/>
      <c r="C35" s="82">
        <f>MIN(ibi_sta_percent/100*total_installed_cost,ibi_sta_percent_maxvalue)</f>
        <v>0</v>
      </c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6"/>
      <c r="CG35" s="76"/>
      <c r="CH35" s="76"/>
      <c r="CI35" s="76"/>
      <c r="CJ35" s="76"/>
      <c r="CK35" s="76"/>
      <c r="CL35" s="76"/>
      <c r="CM35" s="76"/>
      <c r="CN35" s="76"/>
      <c r="CO35" s="76"/>
      <c r="CP35" s="76"/>
      <c r="CQ35" s="76"/>
      <c r="CR35" s="76"/>
      <c r="CS35" s="76"/>
      <c r="CT35" s="76"/>
      <c r="CU35" s="76"/>
      <c r="CV35" s="76"/>
      <c r="CW35" s="76"/>
      <c r="CX35" s="76"/>
    </row>
    <row r="36" spans="1:102" x14ac:dyDescent="0.2">
      <c r="A36" s="69" t="s">
        <v>11</v>
      </c>
      <c r="B36" s="16"/>
      <c r="C36" s="82">
        <f>MIN(ibi_uti_percent/100*total_installed_cost,ibi_uti_percent_maxvalue)</f>
        <v>0</v>
      </c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76"/>
      <c r="BJ36" s="76"/>
      <c r="BK36" s="76"/>
      <c r="BL36" s="76"/>
      <c r="BM36" s="76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  <c r="CE36" s="76"/>
      <c r="CF36" s="76"/>
      <c r="CG36" s="76"/>
      <c r="CH36" s="76"/>
      <c r="CI36" s="76"/>
      <c r="CJ36" s="76"/>
      <c r="CK36" s="76"/>
      <c r="CL36" s="76"/>
      <c r="CM36" s="76"/>
      <c r="CN36" s="76"/>
      <c r="CO36" s="76"/>
      <c r="CP36" s="76"/>
      <c r="CQ36" s="76"/>
      <c r="CR36" s="76"/>
      <c r="CS36" s="76"/>
      <c r="CT36" s="76"/>
      <c r="CU36" s="76"/>
      <c r="CV36" s="76"/>
      <c r="CW36" s="76"/>
      <c r="CX36" s="76"/>
    </row>
    <row r="37" spans="1:102" x14ac:dyDescent="0.2">
      <c r="A37" s="67" t="s">
        <v>30</v>
      </c>
      <c r="B37" s="16"/>
      <c r="C37" s="82">
        <f>SUM(C35:C36)</f>
        <v>0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G37" s="76"/>
      <c r="CH37" s="76"/>
      <c r="CI37" s="76"/>
      <c r="CJ37" s="76"/>
      <c r="CK37" s="76"/>
      <c r="CL37" s="76"/>
      <c r="CM37" s="76"/>
      <c r="CN37" s="76"/>
      <c r="CO37" s="76"/>
      <c r="CP37" s="76"/>
      <c r="CQ37" s="76"/>
      <c r="CR37" s="76"/>
      <c r="CS37" s="76"/>
      <c r="CT37" s="76"/>
      <c r="CU37" s="76"/>
      <c r="CV37" s="76"/>
      <c r="CW37" s="76"/>
      <c r="CX37" s="76"/>
    </row>
    <row r="38" spans="1:102" x14ac:dyDescent="0.2">
      <c r="A38" s="62" t="s">
        <v>40</v>
      </c>
      <c r="B38" s="1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76"/>
      <c r="BJ38" s="76"/>
      <c r="BK38" s="76"/>
      <c r="BL38" s="76"/>
      <c r="BM38" s="76"/>
      <c r="BN38" s="76"/>
      <c r="BO38" s="76"/>
      <c r="BP38" s="76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  <c r="CB38" s="76"/>
      <c r="CC38" s="76"/>
      <c r="CD38" s="76"/>
      <c r="CE38" s="76"/>
      <c r="CF38" s="76"/>
      <c r="CG38" s="76"/>
      <c r="CH38" s="76"/>
      <c r="CI38" s="76"/>
      <c r="CJ38" s="76"/>
      <c r="CK38" s="76"/>
      <c r="CL38" s="76"/>
      <c r="CM38" s="76"/>
      <c r="CN38" s="76"/>
      <c r="CO38" s="76"/>
      <c r="CP38" s="76"/>
      <c r="CQ38" s="76"/>
      <c r="CR38" s="76"/>
      <c r="CS38" s="76"/>
      <c r="CT38" s="76"/>
      <c r="CU38" s="76"/>
      <c r="CV38" s="76"/>
      <c r="CW38" s="76"/>
      <c r="CX38" s="76"/>
    </row>
    <row r="39" spans="1:102" x14ac:dyDescent="0.2">
      <c r="A39" s="69" t="s">
        <v>4</v>
      </c>
      <c r="B39" s="16"/>
      <c r="C39" s="82">
        <f>MIN(cbi_fed_amount*system_capacity*1000,cbi_fed_maxvalue)</f>
        <v>0</v>
      </c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/>
      <c r="CG39" s="76"/>
      <c r="CH39" s="76"/>
      <c r="CI39" s="76"/>
      <c r="CJ39" s="76"/>
      <c r="CK39" s="76"/>
      <c r="CL39" s="76"/>
      <c r="CM39" s="76"/>
      <c r="CN39" s="76"/>
      <c r="CO39" s="76"/>
      <c r="CP39" s="76"/>
      <c r="CQ39" s="76"/>
      <c r="CR39" s="76"/>
      <c r="CS39" s="76"/>
      <c r="CT39" s="76"/>
      <c r="CU39" s="76"/>
      <c r="CV39" s="76"/>
      <c r="CW39" s="76"/>
      <c r="CX39" s="76"/>
    </row>
    <row r="40" spans="1:102" x14ac:dyDescent="0.2">
      <c r="A40" s="69" t="s">
        <v>5</v>
      </c>
      <c r="B40" s="16"/>
      <c r="C40" s="82">
        <f>MIN(cbi_sta_amount*system_capacity*1000,cbi_sta_maxvalue)</f>
        <v>0</v>
      </c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/>
      <c r="BI40" s="76"/>
      <c r="BJ40" s="76"/>
      <c r="BK40" s="76"/>
      <c r="BL40" s="76"/>
      <c r="BM40" s="76"/>
      <c r="BN40" s="76"/>
      <c r="BO40" s="76"/>
      <c r="BP40" s="76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  <c r="CB40" s="76"/>
      <c r="CC40" s="76"/>
      <c r="CD40" s="76"/>
      <c r="CE40" s="76"/>
      <c r="CF40" s="76"/>
      <c r="CG40" s="76"/>
      <c r="CH40" s="76"/>
      <c r="CI40" s="76"/>
      <c r="CJ40" s="76"/>
      <c r="CK40" s="76"/>
      <c r="CL40" s="76"/>
      <c r="CM40" s="76"/>
      <c r="CN40" s="76"/>
      <c r="CO40" s="76"/>
      <c r="CP40" s="76"/>
      <c r="CQ40" s="76"/>
      <c r="CR40" s="76"/>
      <c r="CS40" s="76"/>
      <c r="CT40" s="76"/>
      <c r="CU40" s="76"/>
      <c r="CV40" s="76"/>
      <c r="CW40" s="76"/>
      <c r="CX40" s="76"/>
    </row>
    <row r="41" spans="1:102" x14ac:dyDescent="0.2">
      <c r="A41" s="69" t="s">
        <v>6</v>
      </c>
      <c r="B41" s="16"/>
      <c r="C41" s="82">
        <f>MIN(cbi_uti_amount*system_capacity*1000,cbi_uti_maxvalue)</f>
        <v>0</v>
      </c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/>
      <c r="CM41" s="76"/>
      <c r="CN41" s="76"/>
      <c r="CO41" s="76"/>
      <c r="CP41" s="76"/>
      <c r="CQ41" s="76"/>
      <c r="CR41" s="76"/>
      <c r="CS41" s="76"/>
      <c r="CT41" s="76"/>
      <c r="CU41" s="76"/>
      <c r="CV41" s="76"/>
      <c r="CW41" s="76"/>
      <c r="CX41" s="76"/>
    </row>
    <row r="42" spans="1:102" x14ac:dyDescent="0.2">
      <c r="A42" s="67" t="s">
        <v>30</v>
      </c>
      <c r="B42" s="16"/>
      <c r="C42" s="82">
        <f>SUM(C39:C41)</f>
        <v>0</v>
      </c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/>
      <c r="BM42" s="76"/>
      <c r="BN42" s="76"/>
      <c r="BO42" s="76"/>
      <c r="BP42" s="76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  <c r="CB42" s="76"/>
      <c r="CC42" s="76"/>
      <c r="CD42" s="76"/>
      <c r="CE42" s="76"/>
      <c r="CF42" s="76"/>
      <c r="CG42" s="76"/>
      <c r="CH42" s="76"/>
      <c r="CI42" s="76"/>
      <c r="CJ42" s="76"/>
      <c r="CK42" s="76"/>
      <c r="CL42" s="76"/>
      <c r="CM42" s="76"/>
      <c r="CN42" s="76"/>
      <c r="CO42" s="76"/>
      <c r="CP42" s="76"/>
      <c r="CQ42" s="76"/>
      <c r="CR42" s="76"/>
      <c r="CS42" s="76"/>
      <c r="CT42" s="76"/>
      <c r="CU42" s="76"/>
      <c r="CV42" s="76"/>
      <c r="CW42" s="76"/>
      <c r="CX42" s="76"/>
    </row>
    <row r="43" spans="1:102" x14ac:dyDescent="0.2">
      <c r="A43" s="62" t="s">
        <v>141</v>
      </c>
      <c r="B43" s="16"/>
      <c r="C43" s="82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</row>
    <row r="44" spans="1:102" x14ac:dyDescent="0.2">
      <c r="A44" s="67" t="s">
        <v>140</v>
      </c>
      <c r="B44" s="16"/>
      <c r="C44" s="82">
        <f t="shared" ref="C44:AH44" si="18">IF(ISNUMBER(outYear),IF(outYear&lt;=pbi_combined_term,MIN(pbi_combined_amount*C5,pbi_combined_maxvalue),0),"")</f>
        <v>0</v>
      </c>
      <c r="D44" s="82">
        <f t="shared" si="18"/>
        <v>0</v>
      </c>
      <c r="E44" s="82">
        <f t="shared" si="18"/>
        <v>0</v>
      </c>
      <c r="F44" s="82">
        <f t="shared" si="18"/>
        <v>0</v>
      </c>
      <c r="G44" s="82">
        <f t="shared" si="18"/>
        <v>0</v>
      </c>
      <c r="H44" s="82">
        <f t="shared" si="18"/>
        <v>0</v>
      </c>
      <c r="I44" s="82">
        <f t="shared" si="18"/>
        <v>0</v>
      </c>
      <c r="J44" s="82">
        <f t="shared" si="18"/>
        <v>0</v>
      </c>
      <c r="K44" s="82">
        <f t="shared" si="18"/>
        <v>0</v>
      </c>
      <c r="L44" s="82">
        <f t="shared" si="18"/>
        <v>0</v>
      </c>
      <c r="M44" s="82">
        <f t="shared" si="18"/>
        <v>0</v>
      </c>
      <c r="N44" s="82">
        <f t="shared" si="18"/>
        <v>0</v>
      </c>
      <c r="O44" s="82">
        <f t="shared" si="18"/>
        <v>0</v>
      </c>
      <c r="P44" s="82">
        <f t="shared" si="18"/>
        <v>0</v>
      </c>
      <c r="Q44" s="82">
        <f t="shared" si="18"/>
        <v>0</v>
      </c>
      <c r="R44" s="82">
        <f t="shared" si="18"/>
        <v>0</v>
      </c>
      <c r="S44" s="82">
        <f t="shared" si="18"/>
        <v>0</v>
      </c>
      <c r="T44" s="82">
        <f t="shared" si="18"/>
        <v>0</v>
      </c>
      <c r="U44" s="82">
        <f t="shared" si="18"/>
        <v>0</v>
      </c>
      <c r="V44" s="82">
        <f t="shared" si="18"/>
        <v>0</v>
      </c>
      <c r="W44" s="82">
        <f t="shared" si="18"/>
        <v>0</v>
      </c>
      <c r="X44" s="82">
        <f t="shared" si="18"/>
        <v>0</v>
      </c>
      <c r="Y44" s="82">
        <f t="shared" si="18"/>
        <v>0</v>
      </c>
      <c r="Z44" s="82">
        <f t="shared" si="18"/>
        <v>0</v>
      </c>
      <c r="AA44" s="82">
        <f t="shared" si="18"/>
        <v>0</v>
      </c>
      <c r="AB44" s="82" t="str">
        <f t="shared" si="18"/>
        <v/>
      </c>
      <c r="AC44" s="82" t="str">
        <f t="shared" si="18"/>
        <v/>
      </c>
      <c r="AD44" s="82" t="str">
        <f t="shared" si="18"/>
        <v/>
      </c>
      <c r="AE44" s="82" t="str">
        <f t="shared" si="18"/>
        <v/>
      </c>
      <c r="AF44" s="82" t="str">
        <f t="shared" si="18"/>
        <v/>
      </c>
      <c r="AG44" s="82" t="str">
        <f t="shared" si="18"/>
        <v/>
      </c>
      <c r="AH44" s="82" t="str">
        <f t="shared" si="18"/>
        <v/>
      </c>
      <c r="AI44" s="82" t="str">
        <f t="shared" ref="AI44:BN44" si="19">IF(ISNUMBER(outYear),IF(outYear&lt;=pbi_combined_term,MIN(pbi_combined_amount*AI5,pbi_combined_maxvalue),0),"")</f>
        <v/>
      </c>
      <c r="AJ44" s="82" t="str">
        <f t="shared" si="19"/>
        <v/>
      </c>
      <c r="AK44" s="82" t="str">
        <f t="shared" si="19"/>
        <v/>
      </c>
      <c r="AL44" s="82" t="str">
        <f t="shared" si="19"/>
        <v/>
      </c>
      <c r="AM44" s="82" t="str">
        <f t="shared" si="19"/>
        <v/>
      </c>
      <c r="AN44" s="82" t="str">
        <f t="shared" si="19"/>
        <v/>
      </c>
      <c r="AO44" s="82" t="str">
        <f t="shared" si="19"/>
        <v/>
      </c>
      <c r="AP44" s="82" t="str">
        <f t="shared" si="19"/>
        <v/>
      </c>
      <c r="AQ44" s="82" t="str">
        <f t="shared" si="19"/>
        <v/>
      </c>
      <c r="AR44" s="82" t="str">
        <f t="shared" si="19"/>
        <v/>
      </c>
      <c r="AS44" s="82" t="str">
        <f t="shared" si="19"/>
        <v/>
      </c>
      <c r="AT44" s="82" t="str">
        <f t="shared" si="19"/>
        <v/>
      </c>
      <c r="AU44" s="82" t="str">
        <f t="shared" si="19"/>
        <v/>
      </c>
      <c r="AV44" s="82" t="str">
        <f t="shared" si="19"/>
        <v/>
      </c>
      <c r="AW44" s="82" t="str">
        <f t="shared" si="19"/>
        <v/>
      </c>
      <c r="AX44" s="82" t="str">
        <f t="shared" si="19"/>
        <v/>
      </c>
      <c r="AY44" s="82" t="str">
        <f t="shared" si="19"/>
        <v/>
      </c>
      <c r="AZ44" s="82" t="str">
        <f t="shared" si="19"/>
        <v/>
      </c>
      <c r="BA44" s="82" t="str">
        <f t="shared" si="19"/>
        <v/>
      </c>
      <c r="BB44" s="82" t="str">
        <f t="shared" si="19"/>
        <v/>
      </c>
      <c r="BC44" s="82" t="str">
        <f t="shared" si="19"/>
        <v/>
      </c>
      <c r="BD44" s="82" t="str">
        <f t="shared" si="19"/>
        <v/>
      </c>
      <c r="BE44" s="82" t="str">
        <f t="shared" si="19"/>
        <v/>
      </c>
      <c r="BF44" s="82" t="str">
        <f t="shared" si="19"/>
        <v/>
      </c>
      <c r="BG44" s="82" t="str">
        <f t="shared" si="19"/>
        <v/>
      </c>
      <c r="BH44" s="82" t="str">
        <f t="shared" si="19"/>
        <v/>
      </c>
      <c r="BI44" s="82" t="str">
        <f t="shared" si="19"/>
        <v/>
      </c>
      <c r="BJ44" s="82" t="str">
        <f t="shared" si="19"/>
        <v/>
      </c>
      <c r="BK44" s="82" t="str">
        <f t="shared" si="19"/>
        <v/>
      </c>
      <c r="BL44" s="82" t="str">
        <f t="shared" si="19"/>
        <v/>
      </c>
      <c r="BM44" s="82" t="str">
        <f t="shared" si="19"/>
        <v/>
      </c>
      <c r="BN44" s="82" t="str">
        <f t="shared" si="19"/>
        <v/>
      </c>
      <c r="BO44" s="82" t="str">
        <f t="shared" ref="BO44:CX44" si="20">IF(ISNUMBER(outYear),IF(outYear&lt;=pbi_combined_term,MIN(pbi_combined_amount*BO5,pbi_combined_maxvalue),0),"")</f>
        <v/>
      </c>
      <c r="BP44" s="82" t="str">
        <f t="shared" si="20"/>
        <v/>
      </c>
      <c r="BQ44" s="82" t="str">
        <f t="shared" si="20"/>
        <v/>
      </c>
      <c r="BR44" s="82" t="str">
        <f t="shared" si="20"/>
        <v/>
      </c>
      <c r="BS44" s="82" t="str">
        <f t="shared" si="20"/>
        <v/>
      </c>
      <c r="BT44" s="82" t="str">
        <f t="shared" si="20"/>
        <v/>
      </c>
      <c r="BU44" s="82" t="str">
        <f t="shared" si="20"/>
        <v/>
      </c>
      <c r="BV44" s="82" t="str">
        <f t="shared" si="20"/>
        <v/>
      </c>
      <c r="BW44" s="82" t="str">
        <f t="shared" si="20"/>
        <v/>
      </c>
      <c r="BX44" s="82" t="str">
        <f t="shared" si="20"/>
        <v/>
      </c>
      <c r="BY44" s="82" t="str">
        <f t="shared" si="20"/>
        <v/>
      </c>
      <c r="BZ44" s="82" t="str">
        <f t="shared" si="20"/>
        <v/>
      </c>
      <c r="CA44" s="82" t="str">
        <f t="shared" si="20"/>
        <v/>
      </c>
      <c r="CB44" s="82" t="str">
        <f t="shared" si="20"/>
        <v/>
      </c>
      <c r="CC44" s="82" t="str">
        <f t="shared" si="20"/>
        <v/>
      </c>
      <c r="CD44" s="82" t="str">
        <f t="shared" si="20"/>
        <v/>
      </c>
      <c r="CE44" s="82" t="str">
        <f t="shared" si="20"/>
        <v/>
      </c>
      <c r="CF44" s="82" t="str">
        <f t="shared" si="20"/>
        <v/>
      </c>
      <c r="CG44" s="82" t="str">
        <f t="shared" si="20"/>
        <v/>
      </c>
      <c r="CH44" s="82" t="str">
        <f t="shared" si="20"/>
        <v/>
      </c>
      <c r="CI44" s="82" t="str">
        <f t="shared" si="20"/>
        <v/>
      </c>
      <c r="CJ44" s="82" t="str">
        <f t="shared" si="20"/>
        <v/>
      </c>
      <c r="CK44" s="82" t="str">
        <f t="shared" si="20"/>
        <v/>
      </c>
      <c r="CL44" s="82" t="str">
        <f t="shared" si="20"/>
        <v/>
      </c>
      <c r="CM44" s="82" t="str">
        <f t="shared" si="20"/>
        <v/>
      </c>
      <c r="CN44" s="82" t="str">
        <f t="shared" si="20"/>
        <v/>
      </c>
      <c r="CO44" s="82" t="str">
        <f t="shared" si="20"/>
        <v/>
      </c>
      <c r="CP44" s="82" t="str">
        <f t="shared" si="20"/>
        <v/>
      </c>
      <c r="CQ44" s="82" t="str">
        <f t="shared" si="20"/>
        <v/>
      </c>
      <c r="CR44" s="82" t="str">
        <f t="shared" si="20"/>
        <v/>
      </c>
      <c r="CS44" s="82" t="str">
        <f t="shared" si="20"/>
        <v/>
      </c>
      <c r="CT44" s="82" t="str">
        <f t="shared" si="20"/>
        <v/>
      </c>
      <c r="CU44" s="82" t="str">
        <f t="shared" si="20"/>
        <v/>
      </c>
      <c r="CV44" s="82" t="str">
        <f t="shared" si="20"/>
        <v/>
      </c>
      <c r="CW44" s="82" t="str">
        <f t="shared" si="20"/>
        <v/>
      </c>
      <c r="CX44" s="82" t="str">
        <f t="shared" si="20"/>
        <v/>
      </c>
    </row>
    <row r="45" spans="1:102" x14ac:dyDescent="0.2">
      <c r="A45" s="67" t="s">
        <v>30</v>
      </c>
      <c r="B45" s="16"/>
      <c r="C45" s="82">
        <f>C44</f>
        <v>0</v>
      </c>
      <c r="D45" s="82">
        <f t="shared" ref="D45:BO45" si="21">D44</f>
        <v>0</v>
      </c>
      <c r="E45" s="82">
        <f t="shared" si="21"/>
        <v>0</v>
      </c>
      <c r="F45" s="82">
        <f t="shared" si="21"/>
        <v>0</v>
      </c>
      <c r="G45" s="82">
        <f t="shared" si="21"/>
        <v>0</v>
      </c>
      <c r="H45" s="82">
        <f t="shared" si="21"/>
        <v>0</v>
      </c>
      <c r="I45" s="82">
        <f t="shared" si="21"/>
        <v>0</v>
      </c>
      <c r="J45" s="82">
        <f t="shared" si="21"/>
        <v>0</v>
      </c>
      <c r="K45" s="82">
        <f t="shared" si="21"/>
        <v>0</v>
      </c>
      <c r="L45" s="82">
        <f t="shared" si="21"/>
        <v>0</v>
      </c>
      <c r="M45" s="82">
        <f t="shared" si="21"/>
        <v>0</v>
      </c>
      <c r="N45" s="82">
        <f t="shared" si="21"/>
        <v>0</v>
      </c>
      <c r="O45" s="82">
        <f t="shared" si="21"/>
        <v>0</v>
      </c>
      <c r="P45" s="82">
        <f t="shared" si="21"/>
        <v>0</v>
      </c>
      <c r="Q45" s="82">
        <f t="shared" si="21"/>
        <v>0</v>
      </c>
      <c r="R45" s="82">
        <f t="shared" si="21"/>
        <v>0</v>
      </c>
      <c r="S45" s="82">
        <f t="shared" si="21"/>
        <v>0</v>
      </c>
      <c r="T45" s="82">
        <f t="shared" si="21"/>
        <v>0</v>
      </c>
      <c r="U45" s="82">
        <f t="shared" si="21"/>
        <v>0</v>
      </c>
      <c r="V45" s="82">
        <f t="shared" si="21"/>
        <v>0</v>
      </c>
      <c r="W45" s="82">
        <f t="shared" si="21"/>
        <v>0</v>
      </c>
      <c r="X45" s="82">
        <f t="shared" si="21"/>
        <v>0</v>
      </c>
      <c r="Y45" s="82">
        <f t="shared" si="21"/>
        <v>0</v>
      </c>
      <c r="Z45" s="82">
        <f t="shared" si="21"/>
        <v>0</v>
      </c>
      <c r="AA45" s="82">
        <f t="shared" si="21"/>
        <v>0</v>
      </c>
      <c r="AB45" s="82" t="str">
        <f t="shared" si="21"/>
        <v/>
      </c>
      <c r="AC45" s="82" t="str">
        <f t="shared" si="21"/>
        <v/>
      </c>
      <c r="AD45" s="82" t="str">
        <f t="shared" si="21"/>
        <v/>
      </c>
      <c r="AE45" s="82" t="str">
        <f t="shared" si="21"/>
        <v/>
      </c>
      <c r="AF45" s="82" t="str">
        <f t="shared" si="21"/>
        <v/>
      </c>
      <c r="AG45" s="82" t="str">
        <f t="shared" si="21"/>
        <v/>
      </c>
      <c r="AH45" s="82" t="str">
        <f t="shared" si="21"/>
        <v/>
      </c>
      <c r="AI45" s="82" t="str">
        <f t="shared" si="21"/>
        <v/>
      </c>
      <c r="AJ45" s="82" t="str">
        <f t="shared" si="21"/>
        <v/>
      </c>
      <c r="AK45" s="82" t="str">
        <f t="shared" si="21"/>
        <v/>
      </c>
      <c r="AL45" s="82" t="str">
        <f t="shared" si="21"/>
        <v/>
      </c>
      <c r="AM45" s="82" t="str">
        <f t="shared" si="21"/>
        <v/>
      </c>
      <c r="AN45" s="82" t="str">
        <f t="shared" si="21"/>
        <v/>
      </c>
      <c r="AO45" s="82" t="str">
        <f t="shared" si="21"/>
        <v/>
      </c>
      <c r="AP45" s="82" t="str">
        <f t="shared" si="21"/>
        <v/>
      </c>
      <c r="AQ45" s="82" t="str">
        <f t="shared" si="21"/>
        <v/>
      </c>
      <c r="AR45" s="82" t="str">
        <f t="shared" si="21"/>
        <v/>
      </c>
      <c r="AS45" s="82" t="str">
        <f t="shared" si="21"/>
        <v/>
      </c>
      <c r="AT45" s="82" t="str">
        <f t="shared" si="21"/>
        <v/>
      </c>
      <c r="AU45" s="82" t="str">
        <f t="shared" si="21"/>
        <v/>
      </c>
      <c r="AV45" s="82" t="str">
        <f t="shared" si="21"/>
        <v/>
      </c>
      <c r="AW45" s="82" t="str">
        <f t="shared" si="21"/>
        <v/>
      </c>
      <c r="AX45" s="82" t="str">
        <f t="shared" si="21"/>
        <v/>
      </c>
      <c r="AY45" s="82" t="str">
        <f t="shared" si="21"/>
        <v/>
      </c>
      <c r="AZ45" s="82" t="str">
        <f t="shared" si="21"/>
        <v/>
      </c>
      <c r="BA45" s="82" t="str">
        <f t="shared" si="21"/>
        <v/>
      </c>
      <c r="BB45" s="82" t="str">
        <f t="shared" si="21"/>
        <v/>
      </c>
      <c r="BC45" s="82" t="str">
        <f t="shared" si="21"/>
        <v/>
      </c>
      <c r="BD45" s="82" t="str">
        <f t="shared" si="21"/>
        <v/>
      </c>
      <c r="BE45" s="82" t="str">
        <f t="shared" si="21"/>
        <v/>
      </c>
      <c r="BF45" s="82" t="str">
        <f t="shared" si="21"/>
        <v/>
      </c>
      <c r="BG45" s="82" t="str">
        <f t="shared" si="21"/>
        <v/>
      </c>
      <c r="BH45" s="82" t="str">
        <f t="shared" si="21"/>
        <v/>
      </c>
      <c r="BI45" s="82" t="str">
        <f t="shared" si="21"/>
        <v/>
      </c>
      <c r="BJ45" s="82" t="str">
        <f t="shared" si="21"/>
        <v/>
      </c>
      <c r="BK45" s="82" t="str">
        <f t="shared" si="21"/>
        <v/>
      </c>
      <c r="BL45" s="82" t="str">
        <f t="shared" si="21"/>
        <v/>
      </c>
      <c r="BM45" s="82" t="str">
        <f t="shared" si="21"/>
        <v/>
      </c>
      <c r="BN45" s="82" t="str">
        <f t="shared" si="21"/>
        <v/>
      </c>
      <c r="BO45" s="82" t="str">
        <f t="shared" si="21"/>
        <v/>
      </c>
      <c r="BP45" s="82" t="str">
        <f t="shared" ref="BP45:CX45" si="22">BP44</f>
        <v/>
      </c>
      <c r="BQ45" s="82" t="str">
        <f t="shared" si="22"/>
        <v/>
      </c>
      <c r="BR45" s="82" t="str">
        <f t="shared" si="22"/>
        <v/>
      </c>
      <c r="BS45" s="82" t="str">
        <f t="shared" si="22"/>
        <v/>
      </c>
      <c r="BT45" s="82" t="str">
        <f t="shared" si="22"/>
        <v/>
      </c>
      <c r="BU45" s="82" t="str">
        <f t="shared" si="22"/>
        <v/>
      </c>
      <c r="BV45" s="82" t="str">
        <f t="shared" si="22"/>
        <v/>
      </c>
      <c r="BW45" s="82" t="str">
        <f t="shared" si="22"/>
        <v/>
      </c>
      <c r="BX45" s="82" t="str">
        <f t="shared" si="22"/>
        <v/>
      </c>
      <c r="BY45" s="82" t="str">
        <f t="shared" si="22"/>
        <v/>
      </c>
      <c r="BZ45" s="82" t="str">
        <f t="shared" si="22"/>
        <v/>
      </c>
      <c r="CA45" s="82" t="str">
        <f t="shared" si="22"/>
        <v/>
      </c>
      <c r="CB45" s="82" t="str">
        <f t="shared" si="22"/>
        <v/>
      </c>
      <c r="CC45" s="82" t="str">
        <f t="shared" si="22"/>
        <v/>
      </c>
      <c r="CD45" s="82" t="str">
        <f t="shared" si="22"/>
        <v/>
      </c>
      <c r="CE45" s="82" t="str">
        <f t="shared" si="22"/>
        <v/>
      </c>
      <c r="CF45" s="82" t="str">
        <f t="shared" si="22"/>
        <v/>
      </c>
      <c r="CG45" s="82" t="str">
        <f t="shared" si="22"/>
        <v/>
      </c>
      <c r="CH45" s="82" t="str">
        <f t="shared" si="22"/>
        <v/>
      </c>
      <c r="CI45" s="82" t="str">
        <f t="shared" si="22"/>
        <v/>
      </c>
      <c r="CJ45" s="82" t="str">
        <f t="shared" si="22"/>
        <v/>
      </c>
      <c r="CK45" s="82" t="str">
        <f t="shared" si="22"/>
        <v/>
      </c>
      <c r="CL45" s="82" t="str">
        <f t="shared" si="22"/>
        <v/>
      </c>
      <c r="CM45" s="82" t="str">
        <f t="shared" si="22"/>
        <v/>
      </c>
      <c r="CN45" s="82" t="str">
        <f t="shared" si="22"/>
        <v/>
      </c>
      <c r="CO45" s="82" t="str">
        <f t="shared" si="22"/>
        <v/>
      </c>
      <c r="CP45" s="82" t="str">
        <f t="shared" si="22"/>
        <v/>
      </c>
      <c r="CQ45" s="82" t="str">
        <f t="shared" si="22"/>
        <v/>
      </c>
      <c r="CR45" s="82" t="str">
        <f t="shared" si="22"/>
        <v/>
      </c>
      <c r="CS45" s="82" t="str">
        <f t="shared" si="22"/>
        <v/>
      </c>
      <c r="CT45" s="82" t="str">
        <f t="shared" si="22"/>
        <v/>
      </c>
      <c r="CU45" s="82" t="str">
        <f t="shared" si="22"/>
        <v/>
      </c>
      <c r="CV45" s="82" t="str">
        <f t="shared" si="22"/>
        <v/>
      </c>
      <c r="CW45" s="82" t="str">
        <f t="shared" si="22"/>
        <v/>
      </c>
      <c r="CX45" s="82" t="str">
        <f t="shared" si="22"/>
        <v/>
      </c>
    </row>
    <row r="46" spans="1:102" x14ac:dyDescent="0.2">
      <c r="A46" s="14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</row>
    <row r="47" spans="1:102" x14ac:dyDescent="0.2">
      <c r="A47" s="66" t="s">
        <v>94</v>
      </c>
      <c r="B47" s="77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8"/>
      <c r="BZ47" s="78"/>
      <c r="CA47" s="78"/>
      <c r="CB47" s="78"/>
      <c r="CC47" s="78"/>
      <c r="CD47" s="78"/>
      <c r="CE47" s="78"/>
      <c r="CF47" s="78"/>
      <c r="CG47" s="78"/>
      <c r="CH47" s="78"/>
      <c r="CI47" s="78"/>
      <c r="CJ47" s="78"/>
      <c r="CK47" s="78"/>
      <c r="CL47" s="78"/>
      <c r="CM47" s="78"/>
      <c r="CN47" s="78"/>
      <c r="CO47" s="78"/>
      <c r="CP47" s="78"/>
      <c r="CQ47" s="78"/>
      <c r="CR47" s="78"/>
      <c r="CS47" s="78"/>
      <c r="CT47" s="78"/>
      <c r="CU47" s="78"/>
      <c r="CV47" s="78"/>
      <c r="CW47" s="78"/>
      <c r="CX47" s="75"/>
    </row>
    <row r="48" spans="1:102" x14ac:dyDescent="0.2">
      <c r="A48" s="62" t="s">
        <v>35</v>
      </c>
      <c r="B48" s="16"/>
      <c r="C48" s="82">
        <f>IF(ISNUMBER(outYear),IF(ibi_sta_percent_tax_sta="Yes",MIN(ibi_sta_percent/100*total_installed_cost,ibi_sta_percent_maxvalue),0)+IF(ibi_uti_percent_tax_sta="Yes",MIN(ibi_uti_percent/100*total_installed_cost,ibi_uti_percent_maxvalue),0)+IF(cbi_fed_tax_sta="Yes",C39,0)+IF(cbi_sta_tax_sta="Yes",C40,0)+IF(cbi_uti_tax_sta="Yes",C41,0) + IF(pbi_combined_tax_sta="Yes",C44,0),"")</f>
        <v>0</v>
      </c>
      <c r="D48" s="82">
        <f t="shared" ref="D48:AI48" si="23">IF(ISNUMBER(outYear),IF(pbi_combined_tax_sta="Yes",D44,0),"")</f>
        <v>0</v>
      </c>
      <c r="E48" s="82">
        <f t="shared" si="23"/>
        <v>0</v>
      </c>
      <c r="F48" s="82">
        <f t="shared" si="23"/>
        <v>0</v>
      </c>
      <c r="G48" s="82">
        <f t="shared" si="23"/>
        <v>0</v>
      </c>
      <c r="H48" s="82">
        <f t="shared" si="23"/>
        <v>0</v>
      </c>
      <c r="I48" s="82">
        <f t="shared" si="23"/>
        <v>0</v>
      </c>
      <c r="J48" s="82">
        <f t="shared" si="23"/>
        <v>0</v>
      </c>
      <c r="K48" s="82">
        <f t="shared" si="23"/>
        <v>0</v>
      </c>
      <c r="L48" s="82">
        <f t="shared" si="23"/>
        <v>0</v>
      </c>
      <c r="M48" s="82">
        <f t="shared" si="23"/>
        <v>0</v>
      </c>
      <c r="N48" s="82">
        <f t="shared" si="23"/>
        <v>0</v>
      </c>
      <c r="O48" s="82">
        <f t="shared" si="23"/>
        <v>0</v>
      </c>
      <c r="P48" s="82">
        <f t="shared" si="23"/>
        <v>0</v>
      </c>
      <c r="Q48" s="82">
        <f t="shared" si="23"/>
        <v>0</v>
      </c>
      <c r="R48" s="82">
        <f t="shared" si="23"/>
        <v>0</v>
      </c>
      <c r="S48" s="82">
        <f t="shared" si="23"/>
        <v>0</v>
      </c>
      <c r="T48" s="82">
        <f t="shared" si="23"/>
        <v>0</v>
      </c>
      <c r="U48" s="82">
        <f t="shared" si="23"/>
        <v>0</v>
      </c>
      <c r="V48" s="82">
        <f t="shared" si="23"/>
        <v>0</v>
      </c>
      <c r="W48" s="82">
        <f t="shared" si="23"/>
        <v>0</v>
      </c>
      <c r="X48" s="82">
        <f t="shared" si="23"/>
        <v>0</v>
      </c>
      <c r="Y48" s="82">
        <f t="shared" si="23"/>
        <v>0</v>
      </c>
      <c r="Z48" s="82">
        <f t="shared" si="23"/>
        <v>0</v>
      </c>
      <c r="AA48" s="82">
        <f t="shared" si="23"/>
        <v>0</v>
      </c>
      <c r="AB48" s="82" t="str">
        <f t="shared" si="23"/>
        <v/>
      </c>
      <c r="AC48" s="82" t="str">
        <f t="shared" si="23"/>
        <v/>
      </c>
      <c r="AD48" s="82" t="str">
        <f t="shared" si="23"/>
        <v/>
      </c>
      <c r="AE48" s="82" t="str">
        <f t="shared" si="23"/>
        <v/>
      </c>
      <c r="AF48" s="82" t="str">
        <f t="shared" si="23"/>
        <v/>
      </c>
      <c r="AG48" s="82" t="str">
        <f t="shared" si="23"/>
        <v/>
      </c>
      <c r="AH48" s="82" t="str">
        <f t="shared" si="23"/>
        <v/>
      </c>
      <c r="AI48" s="82" t="str">
        <f t="shared" si="23"/>
        <v/>
      </c>
      <c r="AJ48" s="82" t="str">
        <f t="shared" ref="AJ48:BO48" si="24">IF(ISNUMBER(outYear),IF(pbi_combined_tax_sta="Yes",AJ44,0),"")</f>
        <v/>
      </c>
      <c r="AK48" s="82" t="str">
        <f t="shared" si="24"/>
        <v/>
      </c>
      <c r="AL48" s="82" t="str">
        <f t="shared" si="24"/>
        <v/>
      </c>
      <c r="AM48" s="82" t="str">
        <f t="shared" si="24"/>
        <v/>
      </c>
      <c r="AN48" s="82" t="str">
        <f t="shared" si="24"/>
        <v/>
      </c>
      <c r="AO48" s="82" t="str">
        <f t="shared" si="24"/>
        <v/>
      </c>
      <c r="AP48" s="82" t="str">
        <f t="shared" si="24"/>
        <v/>
      </c>
      <c r="AQ48" s="82" t="str">
        <f t="shared" si="24"/>
        <v/>
      </c>
      <c r="AR48" s="82" t="str">
        <f t="shared" si="24"/>
        <v/>
      </c>
      <c r="AS48" s="82" t="str">
        <f t="shared" si="24"/>
        <v/>
      </c>
      <c r="AT48" s="82" t="str">
        <f t="shared" si="24"/>
        <v/>
      </c>
      <c r="AU48" s="82" t="str">
        <f t="shared" si="24"/>
        <v/>
      </c>
      <c r="AV48" s="82" t="str">
        <f t="shared" si="24"/>
        <v/>
      </c>
      <c r="AW48" s="82" t="str">
        <f t="shared" si="24"/>
        <v/>
      </c>
      <c r="AX48" s="82" t="str">
        <f t="shared" si="24"/>
        <v/>
      </c>
      <c r="AY48" s="82" t="str">
        <f t="shared" si="24"/>
        <v/>
      </c>
      <c r="AZ48" s="82" t="str">
        <f t="shared" si="24"/>
        <v/>
      </c>
      <c r="BA48" s="82" t="str">
        <f t="shared" si="24"/>
        <v/>
      </c>
      <c r="BB48" s="82" t="str">
        <f t="shared" si="24"/>
        <v/>
      </c>
      <c r="BC48" s="82" t="str">
        <f t="shared" si="24"/>
        <v/>
      </c>
      <c r="BD48" s="82" t="str">
        <f t="shared" si="24"/>
        <v/>
      </c>
      <c r="BE48" s="82" t="str">
        <f t="shared" si="24"/>
        <v/>
      </c>
      <c r="BF48" s="82" t="str">
        <f t="shared" si="24"/>
        <v/>
      </c>
      <c r="BG48" s="82" t="str">
        <f t="shared" si="24"/>
        <v/>
      </c>
      <c r="BH48" s="82" t="str">
        <f t="shared" si="24"/>
        <v/>
      </c>
      <c r="BI48" s="82" t="str">
        <f t="shared" si="24"/>
        <v/>
      </c>
      <c r="BJ48" s="82" t="str">
        <f t="shared" si="24"/>
        <v/>
      </c>
      <c r="BK48" s="82" t="str">
        <f t="shared" si="24"/>
        <v/>
      </c>
      <c r="BL48" s="82" t="str">
        <f t="shared" si="24"/>
        <v/>
      </c>
      <c r="BM48" s="82" t="str">
        <f t="shared" si="24"/>
        <v/>
      </c>
      <c r="BN48" s="82" t="str">
        <f t="shared" si="24"/>
        <v/>
      </c>
      <c r="BO48" s="82" t="str">
        <f t="shared" si="24"/>
        <v/>
      </c>
      <c r="BP48" s="82" t="str">
        <f t="shared" ref="BP48:CX48" si="25">IF(ISNUMBER(outYear),IF(pbi_combined_tax_sta="Yes",BP44,0),"")</f>
        <v/>
      </c>
      <c r="BQ48" s="82" t="str">
        <f t="shared" si="25"/>
        <v/>
      </c>
      <c r="BR48" s="82" t="str">
        <f t="shared" si="25"/>
        <v/>
      </c>
      <c r="BS48" s="82" t="str">
        <f t="shared" si="25"/>
        <v/>
      </c>
      <c r="BT48" s="82" t="str">
        <f t="shared" si="25"/>
        <v/>
      </c>
      <c r="BU48" s="82" t="str">
        <f t="shared" si="25"/>
        <v/>
      </c>
      <c r="BV48" s="82" t="str">
        <f t="shared" si="25"/>
        <v/>
      </c>
      <c r="BW48" s="82" t="str">
        <f t="shared" si="25"/>
        <v/>
      </c>
      <c r="BX48" s="82" t="str">
        <f t="shared" si="25"/>
        <v/>
      </c>
      <c r="BY48" s="82" t="str">
        <f t="shared" si="25"/>
        <v/>
      </c>
      <c r="BZ48" s="82" t="str">
        <f t="shared" si="25"/>
        <v/>
      </c>
      <c r="CA48" s="82" t="str">
        <f t="shared" si="25"/>
        <v/>
      </c>
      <c r="CB48" s="82" t="str">
        <f t="shared" si="25"/>
        <v/>
      </c>
      <c r="CC48" s="82" t="str">
        <f t="shared" si="25"/>
        <v/>
      </c>
      <c r="CD48" s="82" t="str">
        <f t="shared" si="25"/>
        <v/>
      </c>
      <c r="CE48" s="82" t="str">
        <f t="shared" si="25"/>
        <v/>
      </c>
      <c r="CF48" s="82" t="str">
        <f t="shared" si="25"/>
        <v/>
      </c>
      <c r="CG48" s="82" t="str">
        <f t="shared" si="25"/>
        <v/>
      </c>
      <c r="CH48" s="82" t="str">
        <f t="shared" si="25"/>
        <v/>
      </c>
      <c r="CI48" s="82" t="str">
        <f t="shared" si="25"/>
        <v/>
      </c>
      <c r="CJ48" s="82" t="str">
        <f t="shared" si="25"/>
        <v/>
      </c>
      <c r="CK48" s="82" t="str">
        <f t="shared" si="25"/>
        <v/>
      </c>
      <c r="CL48" s="82" t="str">
        <f t="shared" si="25"/>
        <v/>
      </c>
      <c r="CM48" s="82" t="str">
        <f t="shared" si="25"/>
        <v/>
      </c>
      <c r="CN48" s="82" t="str">
        <f t="shared" si="25"/>
        <v/>
      </c>
      <c r="CO48" s="82" t="str">
        <f t="shared" si="25"/>
        <v/>
      </c>
      <c r="CP48" s="82" t="str">
        <f t="shared" si="25"/>
        <v/>
      </c>
      <c r="CQ48" s="82" t="str">
        <f t="shared" si="25"/>
        <v/>
      </c>
      <c r="CR48" s="82" t="str">
        <f t="shared" si="25"/>
        <v/>
      </c>
      <c r="CS48" s="82" t="str">
        <f t="shared" si="25"/>
        <v/>
      </c>
      <c r="CT48" s="82" t="str">
        <f t="shared" si="25"/>
        <v/>
      </c>
      <c r="CU48" s="82" t="str">
        <f t="shared" si="25"/>
        <v/>
      </c>
      <c r="CV48" s="82" t="str">
        <f t="shared" si="25"/>
        <v/>
      </c>
      <c r="CW48" s="82" t="str">
        <f t="shared" si="25"/>
        <v/>
      </c>
      <c r="CX48" s="82" t="str">
        <f t="shared" si="25"/>
        <v/>
      </c>
    </row>
    <row r="49" spans="1:16384" x14ac:dyDescent="0.2">
      <c r="A49" s="62" t="s">
        <v>34</v>
      </c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</row>
    <row r="50" spans="1:16384" x14ac:dyDescent="0.2">
      <c r="A50" s="67" t="s">
        <v>37</v>
      </c>
      <c r="B50" s="16"/>
      <c r="C50" s="82">
        <f t="shared" ref="C50:BN50" si="26">IF(ISNUMBER(outYear),C18,"")</f>
        <v>4391.72</v>
      </c>
      <c r="D50" s="82">
        <f t="shared" si="26"/>
        <v>4479.5544</v>
      </c>
      <c r="E50" s="82">
        <f t="shared" si="26"/>
        <v>4569.1454880000001</v>
      </c>
      <c r="F50" s="82">
        <f t="shared" si="26"/>
        <v>4660.5283977600002</v>
      </c>
      <c r="G50" s="82">
        <f t="shared" si="26"/>
        <v>4753.7389657151998</v>
      </c>
      <c r="H50" s="82">
        <f t="shared" si="26"/>
        <v>4848.8137450295044</v>
      </c>
      <c r="I50" s="82">
        <f t="shared" si="26"/>
        <v>4945.7900199300948</v>
      </c>
      <c r="J50" s="82">
        <f t="shared" si="26"/>
        <v>5044.7058203286961</v>
      </c>
      <c r="K50" s="82">
        <f t="shared" si="26"/>
        <v>5145.5999367352697</v>
      </c>
      <c r="L50" s="82">
        <f t="shared" si="26"/>
        <v>94880.454582143284</v>
      </c>
      <c r="M50" s="82">
        <f t="shared" si="26"/>
        <v>5353.4821741793758</v>
      </c>
      <c r="N50" s="82">
        <f t="shared" si="26"/>
        <v>5460.5518176629621</v>
      </c>
      <c r="O50" s="82">
        <f t="shared" si="26"/>
        <v>5569.7628540162214</v>
      </c>
      <c r="P50" s="82">
        <f t="shared" si="26"/>
        <v>5681.1581110965462</v>
      </c>
      <c r="Q50" s="82">
        <f t="shared" si="26"/>
        <v>5794.7812733184765</v>
      </c>
      <c r="R50" s="82">
        <f t="shared" si="26"/>
        <v>5910.6768987848445</v>
      </c>
      <c r="S50" s="82">
        <f t="shared" si="26"/>
        <v>6028.8904367605428</v>
      </c>
      <c r="T50" s="82">
        <f t="shared" si="26"/>
        <v>6149.4682454957547</v>
      </c>
      <c r="U50" s="82">
        <f t="shared" si="26"/>
        <v>6272.4576104056687</v>
      </c>
      <c r="V50" s="82">
        <f t="shared" si="26"/>
        <v>6397.9067626137821</v>
      </c>
      <c r="W50" s="82">
        <f t="shared" si="26"/>
        <v>6525.8648978660585</v>
      </c>
      <c r="X50" s="82">
        <f t="shared" si="26"/>
        <v>6656.3821958233793</v>
      </c>
      <c r="Y50" s="82">
        <f t="shared" si="26"/>
        <v>6789.5098397398469</v>
      </c>
      <c r="Z50" s="82">
        <f t="shared" si="26"/>
        <v>6925.3000365346425</v>
      </c>
      <c r="AA50" s="82">
        <f t="shared" si="26"/>
        <v>7063.8060372653363</v>
      </c>
      <c r="AB50" s="82" t="str">
        <f t="shared" si="26"/>
        <v/>
      </c>
      <c r="AC50" s="82" t="str">
        <f t="shared" si="26"/>
        <v/>
      </c>
      <c r="AD50" s="82" t="str">
        <f t="shared" si="26"/>
        <v/>
      </c>
      <c r="AE50" s="82" t="str">
        <f t="shared" si="26"/>
        <v/>
      </c>
      <c r="AF50" s="82" t="str">
        <f t="shared" si="26"/>
        <v/>
      </c>
      <c r="AG50" s="82" t="str">
        <f t="shared" si="26"/>
        <v/>
      </c>
      <c r="AH50" s="82" t="str">
        <f t="shared" si="26"/>
        <v/>
      </c>
      <c r="AI50" s="82" t="str">
        <f t="shared" si="26"/>
        <v/>
      </c>
      <c r="AJ50" s="82" t="str">
        <f t="shared" si="26"/>
        <v/>
      </c>
      <c r="AK50" s="82" t="str">
        <f t="shared" si="26"/>
        <v/>
      </c>
      <c r="AL50" s="82" t="str">
        <f t="shared" si="26"/>
        <v/>
      </c>
      <c r="AM50" s="82" t="str">
        <f t="shared" si="26"/>
        <v/>
      </c>
      <c r="AN50" s="82" t="str">
        <f t="shared" si="26"/>
        <v/>
      </c>
      <c r="AO50" s="82" t="str">
        <f t="shared" si="26"/>
        <v/>
      </c>
      <c r="AP50" s="82" t="str">
        <f t="shared" si="26"/>
        <v/>
      </c>
      <c r="AQ50" s="82" t="str">
        <f t="shared" si="26"/>
        <v/>
      </c>
      <c r="AR50" s="82" t="str">
        <f t="shared" si="26"/>
        <v/>
      </c>
      <c r="AS50" s="82" t="str">
        <f t="shared" si="26"/>
        <v/>
      </c>
      <c r="AT50" s="82" t="str">
        <f t="shared" si="26"/>
        <v/>
      </c>
      <c r="AU50" s="82" t="str">
        <f t="shared" si="26"/>
        <v/>
      </c>
      <c r="AV50" s="82" t="str">
        <f t="shared" si="26"/>
        <v/>
      </c>
      <c r="AW50" s="82" t="str">
        <f t="shared" si="26"/>
        <v/>
      </c>
      <c r="AX50" s="82" t="str">
        <f t="shared" si="26"/>
        <v/>
      </c>
      <c r="AY50" s="82" t="str">
        <f t="shared" si="26"/>
        <v/>
      </c>
      <c r="AZ50" s="82" t="str">
        <f t="shared" si="26"/>
        <v/>
      </c>
      <c r="BA50" s="82" t="str">
        <f t="shared" si="26"/>
        <v/>
      </c>
      <c r="BB50" s="82" t="str">
        <f t="shared" si="26"/>
        <v/>
      </c>
      <c r="BC50" s="82" t="str">
        <f t="shared" si="26"/>
        <v/>
      </c>
      <c r="BD50" s="82" t="str">
        <f t="shared" si="26"/>
        <v/>
      </c>
      <c r="BE50" s="82" t="str">
        <f t="shared" si="26"/>
        <v/>
      </c>
      <c r="BF50" s="82" t="str">
        <f t="shared" si="26"/>
        <v/>
      </c>
      <c r="BG50" s="82" t="str">
        <f t="shared" si="26"/>
        <v/>
      </c>
      <c r="BH50" s="82" t="str">
        <f t="shared" si="26"/>
        <v/>
      </c>
      <c r="BI50" s="82" t="str">
        <f t="shared" si="26"/>
        <v/>
      </c>
      <c r="BJ50" s="82" t="str">
        <f t="shared" si="26"/>
        <v/>
      </c>
      <c r="BK50" s="82" t="str">
        <f t="shared" si="26"/>
        <v/>
      </c>
      <c r="BL50" s="82" t="str">
        <f t="shared" si="26"/>
        <v/>
      </c>
      <c r="BM50" s="82" t="str">
        <f t="shared" si="26"/>
        <v/>
      </c>
      <c r="BN50" s="82" t="str">
        <f t="shared" si="26"/>
        <v/>
      </c>
      <c r="BO50" s="82" t="str">
        <f t="shared" ref="BO50:CX50" si="27">IF(ISNUMBER(outYear),BO18,"")</f>
        <v/>
      </c>
      <c r="BP50" s="82" t="str">
        <f t="shared" si="27"/>
        <v/>
      </c>
      <c r="BQ50" s="82" t="str">
        <f t="shared" si="27"/>
        <v/>
      </c>
      <c r="BR50" s="82" t="str">
        <f t="shared" si="27"/>
        <v/>
      </c>
      <c r="BS50" s="82" t="str">
        <f t="shared" si="27"/>
        <v/>
      </c>
      <c r="BT50" s="82" t="str">
        <f t="shared" si="27"/>
        <v/>
      </c>
      <c r="BU50" s="82" t="str">
        <f t="shared" si="27"/>
        <v/>
      </c>
      <c r="BV50" s="82" t="str">
        <f t="shared" si="27"/>
        <v/>
      </c>
      <c r="BW50" s="82" t="str">
        <f t="shared" si="27"/>
        <v/>
      </c>
      <c r="BX50" s="82" t="str">
        <f t="shared" si="27"/>
        <v/>
      </c>
      <c r="BY50" s="82" t="str">
        <f t="shared" si="27"/>
        <v/>
      </c>
      <c r="BZ50" s="82" t="str">
        <f t="shared" si="27"/>
        <v/>
      </c>
      <c r="CA50" s="82" t="str">
        <f t="shared" si="27"/>
        <v/>
      </c>
      <c r="CB50" s="82" t="str">
        <f t="shared" si="27"/>
        <v/>
      </c>
      <c r="CC50" s="82" t="str">
        <f t="shared" si="27"/>
        <v/>
      </c>
      <c r="CD50" s="82" t="str">
        <f t="shared" si="27"/>
        <v/>
      </c>
      <c r="CE50" s="82" t="str">
        <f t="shared" si="27"/>
        <v/>
      </c>
      <c r="CF50" s="82" t="str">
        <f t="shared" si="27"/>
        <v/>
      </c>
      <c r="CG50" s="82" t="str">
        <f t="shared" si="27"/>
        <v/>
      </c>
      <c r="CH50" s="82" t="str">
        <f t="shared" si="27"/>
        <v/>
      </c>
      <c r="CI50" s="82" t="str">
        <f t="shared" si="27"/>
        <v/>
      </c>
      <c r="CJ50" s="82" t="str">
        <f t="shared" si="27"/>
        <v/>
      </c>
      <c r="CK50" s="82" t="str">
        <f t="shared" si="27"/>
        <v/>
      </c>
      <c r="CL50" s="82" t="str">
        <f t="shared" si="27"/>
        <v/>
      </c>
      <c r="CM50" s="82" t="str">
        <f t="shared" si="27"/>
        <v/>
      </c>
      <c r="CN50" s="82" t="str">
        <f t="shared" si="27"/>
        <v/>
      </c>
      <c r="CO50" s="82" t="str">
        <f t="shared" si="27"/>
        <v/>
      </c>
      <c r="CP50" s="82" t="str">
        <f t="shared" si="27"/>
        <v/>
      </c>
      <c r="CQ50" s="82" t="str">
        <f t="shared" si="27"/>
        <v/>
      </c>
      <c r="CR50" s="82" t="str">
        <f t="shared" si="27"/>
        <v/>
      </c>
      <c r="CS50" s="82" t="str">
        <f t="shared" si="27"/>
        <v/>
      </c>
      <c r="CT50" s="82" t="str">
        <f t="shared" si="27"/>
        <v/>
      </c>
      <c r="CU50" s="82" t="str">
        <f t="shared" si="27"/>
        <v/>
      </c>
      <c r="CV50" s="82" t="str">
        <f t="shared" si="27"/>
        <v/>
      </c>
      <c r="CW50" s="82" t="str">
        <f t="shared" si="27"/>
        <v/>
      </c>
      <c r="CX50" s="82" t="str">
        <f t="shared" si="27"/>
        <v/>
      </c>
    </row>
    <row r="51" spans="1:16384" x14ac:dyDescent="0.2">
      <c r="A51" s="67" t="s">
        <v>119</v>
      </c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</row>
    <row r="52" spans="1:16384" x14ac:dyDescent="0.2">
      <c r="A52" s="68" t="s">
        <v>46</v>
      </c>
      <c r="B52" s="16"/>
      <c r="C52" s="17">
        <f t="array" ref="C52:CX52">'Inputs and Outputs'!C68:CX68</f>
        <v>0.2</v>
      </c>
      <c r="D52" s="17">
        <v>0.32</v>
      </c>
      <c r="E52" s="17">
        <v>0.192</v>
      </c>
      <c r="F52" s="17">
        <v>0.1152</v>
      </c>
      <c r="G52" s="17">
        <v>0.1152</v>
      </c>
      <c r="H52" s="17">
        <v>5.7599999999999998E-2</v>
      </c>
      <c r="I52" s="17">
        <v>0</v>
      </c>
      <c r="J52" s="17">
        <v>0</v>
      </c>
      <c r="K52" s="17">
        <v>0</v>
      </c>
      <c r="L52" s="17">
        <v>0</v>
      </c>
      <c r="M52" s="17">
        <v>0</v>
      </c>
      <c r="N52" s="17">
        <v>0</v>
      </c>
      <c r="O52" s="17">
        <v>0</v>
      </c>
      <c r="P52" s="17">
        <v>0</v>
      </c>
      <c r="Q52" s="17">
        <v>0</v>
      </c>
      <c r="R52" s="17">
        <v>0</v>
      </c>
      <c r="S52" s="17">
        <v>0</v>
      </c>
      <c r="T52" s="17">
        <v>0</v>
      </c>
      <c r="U52" s="17">
        <v>0</v>
      </c>
      <c r="V52" s="17">
        <v>0</v>
      </c>
      <c r="W52" s="17">
        <v>0</v>
      </c>
      <c r="X52" s="17">
        <v>0</v>
      </c>
      <c r="Y52" s="17">
        <v>0</v>
      </c>
      <c r="Z52" s="17">
        <v>0</v>
      </c>
      <c r="AA52" s="17">
        <v>0</v>
      </c>
      <c r="AB52" s="17">
        <v>0</v>
      </c>
      <c r="AC52" s="17">
        <v>0</v>
      </c>
      <c r="AD52" s="17">
        <v>0</v>
      </c>
      <c r="AE52" s="17">
        <v>0</v>
      </c>
      <c r="AF52" s="17">
        <v>0</v>
      </c>
      <c r="AG52" s="17">
        <v>0</v>
      </c>
      <c r="AH52" s="17">
        <v>0</v>
      </c>
      <c r="AI52" s="17">
        <v>0</v>
      </c>
      <c r="AJ52" s="17">
        <v>0</v>
      </c>
      <c r="AK52" s="17">
        <v>0</v>
      </c>
      <c r="AL52" s="17">
        <v>0</v>
      </c>
      <c r="AM52" s="17">
        <v>0</v>
      </c>
      <c r="AN52" s="17">
        <v>0</v>
      </c>
      <c r="AO52" s="17">
        <v>0</v>
      </c>
      <c r="AP52" s="17">
        <v>0</v>
      </c>
      <c r="AQ52" s="17">
        <v>0</v>
      </c>
      <c r="AR52" s="17">
        <v>0</v>
      </c>
      <c r="AS52" s="17">
        <v>0</v>
      </c>
      <c r="AT52" s="17">
        <v>0</v>
      </c>
      <c r="AU52" s="17">
        <v>0</v>
      </c>
      <c r="AV52" s="17">
        <v>0</v>
      </c>
      <c r="AW52" s="17">
        <v>0</v>
      </c>
      <c r="AX52" s="17">
        <v>0</v>
      </c>
      <c r="AY52" s="17">
        <v>0</v>
      </c>
      <c r="AZ52" s="17">
        <v>0</v>
      </c>
      <c r="BA52" s="17">
        <v>0</v>
      </c>
      <c r="BB52" s="17">
        <v>0</v>
      </c>
      <c r="BC52" s="17">
        <v>0</v>
      </c>
      <c r="BD52" s="17">
        <v>0</v>
      </c>
      <c r="BE52" s="17">
        <v>0</v>
      </c>
      <c r="BF52" s="17">
        <v>0</v>
      </c>
      <c r="BG52" s="17">
        <v>0</v>
      </c>
      <c r="BH52" s="17">
        <v>0</v>
      </c>
      <c r="BI52" s="17">
        <v>0</v>
      </c>
      <c r="BJ52" s="17">
        <v>0</v>
      </c>
      <c r="BK52" s="17">
        <v>0</v>
      </c>
      <c r="BL52" s="17">
        <v>0</v>
      </c>
      <c r="BM52" s="17">
        <v>0</v>
      </c>
      <c r="BN52" s="17">
        <v>0</v>
      </c>
      <c r="BO52" s="17">
        <v>0</v>
      </c>
      <c r="BP52" s="17">
        <v>0</v>
      </c>
      <c r="BQ52" s="17">
        <v>0</v>
      </c>
      <c r="BR52" s="17">
        <v>0</v>
      </c>
      <c r="BS52" s="17">
        <v>0</v>
      </c>
      <c r="BT52" s="17">
        <v>0</v>
      </c>
      <c r="BU52" s="17">
        <v>0</v>
      </c>
      <c r="BV52" s="17">
        <v>0</v>
      </c>
      <c r="BW52" s="17">
        <v>0</v>
      </c>
      <c r="BX52" s="17">
        <v>0</v>
      </c>
      <c r="BY52" s="17">
        <v>0</v>
      </c>
      <c r="BZ52" s="17">
        <v>0</v>
      </c>
      <c r="CA52" s="17">
        <v>0</v>
      </c>
      <c r="CB52" s="17">
        <v>0</v>
      </c>
      <c r="CC52" s="17">
        <v>0</v>
      </c>
      <c r="CD52" s="17">
        <v>0</v>
      </c>
      <c r="CE52" s="17">
        <v>0</v>
      </c>
      <c r="CF52" s="17">
        <v>0</v>
      </c>
      <c r="CG52" s="17">
        <v>0</v>
      </c>
      <c r="CH52" s="17">
        <v>0</v>
      </c>
      <c r="CI52" s="17">
        <v>0</v>
      </c>
      <c r="CJ52" s="17">
        <v>0</v>
      </c>
      <c r="CK52" s="17">
        <v>0</v>
      </c>
      <c r="CL52" s="17">
        <v>0</v>
      </c>
      <c r="CM52" s="17">
        <v>0</v>
      </c>
      <c r="CN52" s="17">
        <v>0</v>
      </c>
      <c r="CO52" s="17">
        <v>0</v>
      </c>
      <c r="CP52" s="17">
        <v>0</v>
      </c>
      <c r="CQ52" s="17">
        <v>0</v>
      </c>
      <c r="CR52" s="17">
        <v>0</v>
      </c>
      <c r="CS52" s="17">
        <v>0</v>
      </c>
      <c r="CT52" s="17">
        <v>0</v>
      </c>
      <c r="CU52" s="17">
        <v>0</v>
      </c>
      <c r="CV52" s="17">
        <v>0</v>
      </c>
      <c r="CW52" s="17">
        <v>0</v>
      </c>
      <c r="CX52" s="17">
        <v>0</v>
      </c>
    </row>
    <row r="53" spans="1:16384" x14ac:dyDescent="0.2">
      <c r="A53" s="68" t="s">
        <v>47</v>
      </c>
      <c r="B53" s="82">
        <f>IF(ISNUMBER(outYear),IF(StateDepreciation="N/A",0,($B$58-IF(itc_fed_percent_deprbas_sta="Yes",0.5*MIN(itc_fed_percent/100*$B$73,itc_fed_percent_maxvalue),0))),"")</f>
        <v>461310.3</v>
      </c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</row>
    <row r="54" spans="1:16384" x14ac:dyDescent="0.2">
      <c r="A54" s="90" t="s">
        <v>0</v>
      </c>
      <c r="B54" s="82"/>
      <c r="C54" s="82">
        <f>IF(ISNUMBER(outYear),$B$53*(C52 + 'Inputs and Outputs'!B61),"")</f>
        <v>322917.20999999996</v>
      </c>
      <c r="D54" s="82">
        <f t="shared" ref="D54:AH54" si="28">IF(ISNUMBER(outYear),$B$53*D52,"")</f>
        <v>147619.296</v>
      </c>
      <c r="E54" s="82">
        <f t="shared" si="28"/>
        <v>88571.577600000004</v>
      </c>
      <c r="F54" s="82">
        <f t="shared" si="28"/>
        <v>53142.946559999997</v>
      </c>
      <c r="G54" s="82">
        <f t="shared" si="28"/>
        <v>53142.946559999997</v>
      </c>
      <c r="H54" s="82">
        <f t="shared" si="28"/>
        <v>26571.473279999998</v>
      </c>
      <c r="I54" s="82">
        <f t="shared" si="28"/>
        <v>0</v>
      </c>
      <c r="J54" s="82">
        <f t="shared" si="28"/>
        <v>0</v>
      </c>
      <c r="K54" s="82">
        <f t="shared" si="28"/>
        <v>0</v>
      </c>
      <c r="L54" s="82">
        <f t="shared" si="28"/>
        <v>0</v>
      </c>
      <c r="M54" s="82">
        <f t="shared" si="28"/>
        <v>0</v>
      </c>
      <c r="N54" s="82">
        <f t="shared" si="28"/>
        <v>0</v>
      </c>
      <c r="O54" s="82">
        <f t="shared" si="28"/>
        <v>0</v>
      </c>
      <c r="P54" s="82">
        <f t="shared" si="28"/>
        <v>0</v>
      </c>
      <c r="Q54" s="82">
        <f t="shared" si="28"/>
        <v>0</v>
      </c>
      <c r="R54" s="82">
        <f t="shared" si="28"/>
        <v>0</v>
      </c>
      <c r="S54" s="82">
        <f t="shared" si="28"/>
        <v>0</v>
      </c>
      <c r="T54" s="82">
        <f t="shared" si="28"/>
        <v>0</v>
      </c>
      <c r="U54" s="82">
        <f t="shared" si="28"/>
        <v>0</v>
      </c>
      <c r="V54" s="82">
        <f t="shared" si="28"/>
        <v>0</v>
      </c>
      <c r="W54" s="82">
        <f t="shared" si="28"/>
        <v>0</v>
      </c>
      <c r="X54" s="82">
        <f t="shared" si="28"/>
        <v>0</v>
      </c>
      <c r="Y54" s="82">
        <f t="shared" si="28"/>
        <v>0</v>
      </c>
      <c r="Z54" s="82">
        <f t="shared" si="28"/>
        <v>0</v>
      </c>
      <c r="AA54" s="82">
        <f t="shared" si="28"/>
        <v>0</v>
      </c>
      <c r="AB54" s="82" t="str">
        <f t="shared" si="28"/>
        <v/>
      </c>
      <c r="AC54" s="82" t="str">
        <f t="shared" si="28"/>
        <v/>
      </c>
      <c r="AD54" s="82" t="str">
        <f t="shared" si="28"/>
        <v/>
      </c>
      <c r="AE54" s="82" t="str">
        <f t="shared" si="28"/>
        <v/>
      </c>
      <c r="AF54" s="82" t="str">
        <f t="shared" si="28"/>
        <v/>
      </c>
      <c r="AG54" s="82" t="str">
        <f t="shared" si="28"/>
        <v/>
      </c>
      <c r="AH54" s="82" t="str">
        <f t="shared" si="28"/>
        <v/>
      </c>
      <c r="AI54" s="82" t="str">
        <f t="shared" ref="AI54:BN54" si="29">IF(ISNUMBER(outYear),$B$53*AI52,"")</f>
        <v/>
      </c>
      <c r="AJ54" s="82" t="str">
        <f t="shared" si="29"/>
        <v/>
      </c>
      <c r="AK54" s="82" t="str">
        <f t="shared" si="29"/>
        <v/>
      </c>
      <c r="AL54" s="82" t="str">
        <f t="shared" si="29"/>
        <v/>
      </c>
      <c r="AM54" s="82" t="str">
        <f t="shared" si="29"/>
        <v/>
      </c>
      <c r="AN54" s="82" t="str">
        <f t="shared" si="29"/>
        <v/>
      </c>
      <c r="AO54" s="82" t="str">
        <f t="shared" si="29"/>
        <v/>
      </c>
      <c r="AP54" s="82" t="str">
        <f t="shared" si="29"/>
        <v/>
      </c>
      <c r="AQ54" s="82" t="str">
        <f t="shared" si="29"/>
        <v/>
      </c>
      <c r="AR54" s="82" t="str">
        <f t="shared" si="29"/>
        <v/>
      </c>
      <c r="AS54" s="82" t="str">
        <f t="shared" si="29"/>
        <v/>
      </c>
      <c r="AT54" s="82" t="str">
        <f t="shared" si="29"/>
        <v/>
      </c>
      <c r="AU54" s="82" t="str">
        <f t="shared" si="29"/>
        <v/>
      </c>
      <c r="AV54" s="82" t="str">
        <f t="shared" si="29"/>
        <v/>
      </c>
      <c r="AW54" s="82" t="str">
        <f t="shared" si="29"/>
        <v/>
      </c>
      <c r="AX54" s="82" t="str">
        <f t="shared" si="29"/>
        <v/>
      </c>
      <c r="AY54" s="82" t="str">
        <f t="shared" si="29"/>
        <v/>
      </c>
      <c r="AZ54" s="82" t="str">
        <f t="shared" si="29"/>
        <v/>
      </c>
      <c r="BA54" s="82" t="str">
        <f t="shared" si="29"/>
        <v/>
      </c>
      <c r="BB54" s="82" t="str">
        <f t="shared" si="29"/>
        <v/>
      </c>
      <c r="BC54" s="82" t="str">
        <f t="shared" si="29"/>
        <v/>
      </c>
      <c r="BD54" s="82" t="str">
        <f t="shared" si="29"/>
        <v/>
      </c>
      <c r="BE54" s="82" t="str">
        <f t="shared" si="29"/>
        <v/>
      </c>
      <c r="BF54" s="82" t="str">
        <f t="shared" si="29"/>
        <v/>
      </c>
      <c r="BG54" s="82" t="str">
        <f t="shared" si="29"/>
        <v/>
      </c>
      <c r="BH54" s="82" t="str">
        <f t="shared" si="29"/>
        <v/>
      </c>
      <c r="BI54" s="82" t="str">
        <f t="shared" si="29"/>
        <v/>
      </c>
      <c r="BJ54" s="82" t="str">
        <f t="shared" si="29"/>
        <v/>
      </c>
      <c r="BK54" s="82" t="str">
        <f t="shared" si="29"/>
        <v/>
      </c>
      <c r="BL54" s="82" t="str">
        <f t="shared" si="29"/>
        <v/>
      </c>
      <c r="BM54" s="82" t="str">
        <f t="shared" si="29"/>
        <v/>
      </c>
      <c r="BN54" s="82" t="str">
        <f t="shared" si="29"/>
        <v/>
      </c>
      <c r="BO54" s="82" t="str">
        <f t="shared" ref="BO54:CX54" si="30">IF(ISNUMBER(outYear),$B$53*BO52,"")</f>
        <v/>
      </c>
      <c r="BP54" s="82" t="str">
        <f t="shared" si="30"/>
        <v/>
      </c>
      <c r="BQ54" s="82" t="str">
        <f t="shared" si="30"/>
        <v/>
      </c>
      <c r="BR54" s="82" t="str">
        <f t="shared" si="30"/>
        <v/>
      </c>
      <c r="BS54" s="82" t="str">
        <f t="shared" si="30"/>
        <v/>
      </c>
      <c r="BT54" s="82" t="str">
        <f t="shared" si="30"/>
        <v/>
      </c>
      <c r="BU54" s="82" t="str">
        <f t="shared" si="30"/>
        <v/>
      </c>
      <c r="BV54" s="82" t="str">
        <f t="shared" si="30"/>
        <v/>
      </c>
      <c r="BW54" s="82" t="str">
        <f t="shared" si="30"/>
        <v/>
      </c>
      <c r="BX54" s="82" t="str">
        <f t="shared" si="30"/>
        <v/>
      </c>
      <c r="BY54" s="82" t="str">
        <f t="shared" si="30"/>
        <v/>
      </c>
      <c r="BZ54" s="82" t="str">
        <f t="shared" si="30"/>
        <v/>
      </c>
      <c r="CA54" s="82" t="str">
        <f t="shared" si="30"/>
        <v/>
      </c>
      <c r="CB54" s="82" t="str">
        <f t="shared" si="30"/>
        <v/>
      </c>
      <c r="CC54" s="82" t="str">
        <f t="shared" si="30"/>
        <v/>
      </c>
      <c r="CD54" s="82" t="str">
        <f t="shared" si="30"/>
        <v/>
      </c>
      <c r="CE54" s="82" t="str">
        <f t="shared" si="30"/>
        <v/>
      </c>
      <c r="CF54" s="82" t="str">
        <f t="shared" si="30"/>
        <v/>
      </c>
      <c r="CG54" s="82" t="str">
        <f t="shared" si="30"/>
        <v/>
      </c>
      <c r="CH54" s="82" t="str">
        <f t="shared" si="30"/>
        <v/>
      </c>
      <c r="CI54" s="82" t="str">
        <f t="shared" si="30"/>
        <v/>
      </c>
      <c r="CJ54" s="82" t="str">
        <f t="shared" si="30"/>
        <v/>
      </c>
      <c r="CK54" s="82" t="str">
        <f t="shared" si="30"/>
        <v/>
      </c>
      <c r="CL54" s="82" t="str">
        <f t="shared" si="30"/>
        <v/>
      </c>
      <c r="CM54" s="82" t="str">
        <f t="shared" si="30"/>
        <v/>
      </c>
      <c r="CN54" s="82" t="str">
        <f t="shared" si="30"/>
        <v/>
      </c>
      <c r="CO54" s="82" t="str">
        <f t="shared" si="30"/>
        <v/>
      </c>
      <c r="CP54" s="82" t="str">
        <f t="shared" si="30"/>
        <v/>
      </c>
      <c r="CQ54" s="82" t="str">
        <f t="shared" si="30"/>
        <v/>
      </c>
      <c r="CR54" s="82" t="str">
        <f t="shared" si="30"/>
        <v/>
      </c>
      <c r="CS54" s="82" t="str">
        <f t="shared" si="30"/>
        <v/>
      </c>
      <c r="CT54" s="82" t="str">
        <f t="shared" si="30"/>
        <v/>
      </c>
      <c r="CU54" s="82" t="str">
        <f t="shared" si="30"/>
        <v/>
      </c>
      <c r="CV54" s="82" t="str">
        <f t="shared" si="30"/>
        <v/>
      </c>
      <c r="CW54" s="82" t="str">
        <f t="shared" si="30"/>
        <v/>
      </c>
      <c r="CX54" s="82" t="str">
        <f t="shared" si="30"/>
        <v/>
      </c>
    </row>
    <row r="55" spans="1:16384" x14ac:dyDescent="0.2">
      <c r="A55" s="91" t="s">
        <v>38</v>
      </c>
      <c r="B55" s="82"/>
      <c r="C55" s="82">
        <f>IF(ISNUMBER(C2),SUM(C50,C54:C54),"")</f>
        <v>327308.92999999993</v>
      </c>
      <c r="D55" s="82">
        <f t="shared" ref="D55:AI55" si="31">IF(ISNUMBER(D2),SUM(D50:D54),"")</f>
        <v>152099.1704</v>
      </c>
      <c r="E55" s="82">
        <f t="shared" si="31"/>
        <v>93140.915088000009</v>
      </c>
      <c r="F55" s="82">
        <f t="shared" si="31"/>
        <v>57803.590157759994</v>
      </c>
      <c r="G55" s="82">
        <f t="shared" si="31"/>
        <v>57896.800725715198</v>
      </c>
      <c r="H55" s="82">
        <f t="shared" si="31"/>
        <v>31420.344625029502</v>
      </c>
      <c r="I55" s="82">
        <f t="shared" si="31"/>
        <v>4945.7900199300948</v>
      </c>
      <c r="J55" s="82">
        <f t="shared" si="31"/>
        <v>5044.7058203286961</v>
      </c>
      <c r="K55" s="82">
        <f t="shared" si="31"/>
        <v>5145.5999367352697</v>
      </c>
      <c r="L55" s="82">
        <f t="shared" si="31"/>
        <v>94880.454582143284</v>
      </c>
      <c r="M55" s="82">
        <f t="shared" si="31"/>
        <v>5353.4821741793758</v>
      </c>
      <c r="N55" s="82">
        <f t="shared" si="31"/>
        <v>5460.5518176629621</v>
      </c>
      <c r="O55" s="82">
        <f t="shared" si="31"/>
        <v>5569.7628540162214</v>
      </c>
      <c r="P55" s="82">
        <f t="shared" si="31"/>
        <v>5681.1581110965462</v>
      </c>
      <c r="Q55" s="82">
        <f t="shared" si="31"/>
        <v>5794.7812733184765</v>
      </c>
      <c r="R55" s="82">
        <f t="shared" si="31"/>
        <v>5910.6768987848445</v>
      </c>
      <c r="S55" s="82">
        <f t="shared" si="31"/>
        <v>6028.8904367605428</v>
      </c>
      <c r="T55" s="82">
        <f t="shared" si="31"/>
        <v>6149.4682454957547</v>
      </c>
      <c r="U55" s="82">
        <f t="shared" si="31"/>
        <v>6272.4576104056687</v>
      </c>
      <c r="V55" s="82">
        <f t="shared" si="31"/>
        <v>6397.9067626137821</v>
      </c>
      <c r="W55" s="82">
        <f t="shared" si="31"/>
        <v>6525.8648978660585</v>
      </c>
      <c r="X55" s="82">
        <f t="shared" si="31"/>
        <v>6656.3821958233793</v>
      </c>
      <c r="Y55" s="82">
        <f t="shared" si="31"/>
        <v>6789.5098397398469</v>
      </c>
      <c r="Z55" s="82">
        <f t="shared" si="31"/>
        <v>6925.3000365346425</v>
      </c>
      <c r="AA55" s="82">
        <f t="shared" si="31"/>
        <v>7063.8060372653363</v>
      </c>
      <c r="AB55" s="82" t="str">
        <f t="shared" si="31"/>
        <v/>
      </c>
      <c r="AC55" s="82" t="str">
        <f t="shared" si="31"/>
        <v/>
      </c>
      <c r="AD55" s="82" t="str">
        <f t="shared" si="31"/>
        <v/>
      </c>
      <c r="AE55" s="82" t="str">
        <f t="shared" si="31"/>
        <v/>
      </c>
      <c r="AF55" s="82" t="str">
        <f t="shared" si="31"/>
        <v/>
      </c>
      <c r="AG55" s="82" t="str">
        <f t="shared" si="31"/>
        <v/>
      </c>
      <c r="AH55" s="82" t="str">
        <f t="shared" si="31"/>
        <v/>
      </c>
      <c r="AI55" s="82" t="str">
        <f t="shared" si="31"/>
        <v/>
      </c>
      <c r="AJ55" s="82" t="str">
        <f t="shared" ref="AJ55:BO55" si="32">IF(ISNUMBER(AJ2),SUM(AJ50:AJ54),"")</f>
        <v/>
      </c>
      <c r="AK55" s="82" t="str">
        <f t="shared" si="32"/>
        <v/>
      </c>
      <c r="AL55" s="82" t="str">
        <f t="shared" si="32"/>
        <v/>
      </c>
      <c r="AM55" s="82" t="str">
        <f t="shared" si="32"/>
        <v/>
      </c>
      <c r="AN55" s="82" t="str">
        <f t="shared" si="32"/>
        <v/>
      </c>
      <c r="AO55" s="82" t="str">
        <f t="shared" si="32"/>
        <v/>
      </c>
      <c r="AP55" s="82" t="str">
        <f t="shared" si="32"/>
        <v/>
      </c>
      <c r="AQ55" s="82" t="str">
        <f t="shared" si="32"/>
        <v/>
      </c>
      <c r="AR55" s="82" t="str">
        <f t="shared" si="32"/>
        <v/>
      </c>
      <c r="AS55" s="82" t="str">
        <f t="shared" si="32"/>
        <v/>
      </c>
      <c r="AT55" s="82" t="str">
        <f t="shared" si="32"/>
        <v/>
      </c>
      <c r="AU55" s="82" t="str">
        <f t="shared" si="32"/>
        <v/>
      </c>
      <c r="AV55" s="82" t="str">
        <f t="shared" si="32"/>
        <v/>
      </c>
      <c r="AW55" s="82" t="str">
        <f t="shared" si="32"/>
        <v/>
      </c>
      <c r="AX55" s="82" t="str">
        <f t="shared" si="32"/>
        <v/>
      </c>
      <c r="AY55" s="82" t="str">
        <f t="shared" si="32"/>
        <v/>
      </c>
      <c r="AZ55" s="82" t="str">
        <f t="shared" si="32"/>
        <v/>
      </c>
      <c r="BA55" s="82" t="str">
        <f t="shared" si="32"/>
        <v/>
      </c>
      <c r="BB55" s="82" t="str">
        <f t="shared" si="32"/>
        <v/>
      </c>
      <c r="BC55" s="82" t="str">
        <f t="shared" si="32"/>
        <v/>
      </c>
      <c r="BD55" s="82" t="str">
        <f t="shared" si="32"/>
        <v/>
      </c>
      <c r="BE55" s="82" t="str">
        <f t="shared" si="32"/>
        <v/>
      </c>
      <c r="BF55" s="82" t="str">
        <f t="shared" si="32"/>
        <v/>
      </c>
      <c r="BG55" s="82" t="str">
        <f t="shared" si="32"/>
        <v/>
      </c>
      <c r="BH55" s="82" t="str">
        <f t="shared" si="32"/>
        <v/>
      </c>
      <c r="BI55" s="82" t="str">
        <f t="shared" si="32"/>
        <v/>
      </c>
      <c r="BJ55" s="82" t="str">
        <f t="shared" si="32"/>
        <v/>
      </c>
      <c r="BK55" s="82" t="str">
        <f t="shared" si="32"/>
        <v/>
      </c>
      <c r="BL55" s="82" t="str">
        <f t="shared" si="32"/>
        <v/>
      </c>
      <c r="BM55" s="82" t="str">
        <f t="shared" si="32"/>
        <v/>
      </c>
      <c r="BN55" s="82" t="str">
        <f t="shared" si="32"/>
        <v/>
      </c>
      <c r="BO55" s="82" t="str">
        <f t="shared" si="32"/>
        <v/>
      </c>
      <c r="BP55" s="82" t="str">
        <f t="shared" ref="BP55:CU55" si="33">IF(ISNUMBER(BP2),SUM(BP50:BP54),"")</f>
        <v/>
      </c>
      <c r="BQ55" s="82" t="str">
        <f t="shared" si="33"/>
        <v/>
      </c>
      <c r="BR55" s="82" t="str">
        <f t="shared" si="33"/>
        <v/>
      </c>
      <c r="BS55" s="82" t="str">
        <f t="shared" si="33"/>
        <v/>
      </c>
      <c r="BT55" s="82" t="str">
        <f t="shared" si="33"/>
        <v/>
      </c>
      <c r="BU55" s="82" t="str">
        <f t="shared" si="33"/>
        <v/>
      </c>
      <c r="BV55" s="82" t="str">
        <f t="shared" si="33"/>
        <v/>
      </c>
      <c r="BW55" s="82" t="str">
        <f t="shared" si="33"/>
        <v/>
      </c>
      <c r="BX55" s="82" t="str">
        <f t="shared" si="33"/>
        <v/>
      </c>
      <c r="BY55" s="82" t="str">
        <f t="shared" si="33"/>
        <v/>
      </c>
      <c r="BZ55" s="82" t="str">
        <f t="shared" si="33"/>
        <v/>
      </c>
      <c r="CA55" s="82" t="str">
        <f t="shared" si="33"/>
        <v/>
      </c>
      <c r="CB55" s="82" t="str">
        <f t="shared" si="33"/>
        <v/>
      </c>
      <c r="CC55" s="82" t="str">
        <f t="shared" si="33"/>
        <v/>
      </c>
      <c r="CD55" s="82" t="str">
        <f t="shared" si="33"/>
        <v/>
      </c>
      <c r="CE55" s="82" t="str">
        <f t="shared" si="33"/>
        <v/>
      </c>
      <c r="CF55" s="82" t="str">
        <f t="shared" si="33"/>
        <v/>
      </c>
      <c r="CG55" s="82" t="str">
        <f t="shared" si="33"/>
        <v/>
      </c>
      <c r="CH55" s="82" t="str">
        <f t="shared" si="33"/>
        <v/>
      </c>
      <c r="CI55" s="82" t="str">
        <f t="shared" si="33"/>
        <v/>
      </c>
      <c r="CJ55" s="82" t="str">
        <f t="shared" si="33"/>
        <v/>
      </c>
      <c r="CK55" s="82" t="str">
        <f t="shared" si="33"/>
        <v/>
      </c>
      <c r="CL55" s="82" t="str">
        <f t="shared" si="33"/>
        <v/>
      </c>
      <c r="CM55" s="82" t="str">
        <f t="shared" si="33"/>
        <v/>
      </c>
      <c r="CN55" s="82" t="str">
        <f t="shared" si="33"/>
        <v/>
      </c>
      <c r="CO55" s="82" t="str">
        <f t="shared" si="33"/>
        <v/>
      </c>
      <c r="CP55" s="82" t="str">
        <f t="shared" si="33"/>
        <v/>
      </c>
      <c r="CQ55" s="82" t="str">
        <f t="shared" si="33"/>
        <v/>
      </c>
      <c r="CR55" s="82" t="str">
        <f t="shared" si="33"/>
        <v/>
      </c>
      <c r="CS55" s="82" t="str">
        <f t="shared" si="33"/>
        <v/>
      </c>
      <c r="CT55" s="82" t="str">
        <f t="shared" si="33"/>
        <v/>
      </c>
      <c r="CU55" s="82" t="str">
        <f t="shared" si="33"/>
        <v/>
      </c>
      <c r="CV55" s="82" t="str">
        <f t="shared" ref="CV55:CX55" si="34">IF(ISNUMBER(CV2),SUM(CV50:CV54),"")</f>
        <v/>
      </c>
      <c r="CW55" s="82" t="str">
        <f t="shared" si="34"/>
        <v/>
      </c>
      <c r="CX55" s="82" t="str">
        <f t="shared" si="34"/>
        <v/>
      </c>
    </row>
    <row r="56" spans="1:16384" x14ac:dyDescent="0.2">
      <c r="A56" s="92" t="s">
        <v>96</v>
      </c>
      <c r="B56" s="82"/>
      <c r="C56" s="82">
        <f t="shared" ref="C56:AH56" si="35">IF(ISNUMBER(outYear),C48-C55,"")</f>
        <v>-327308.92999999993</v>
      </c>
      <c r="D56" s="82">
        <f t="shared" si="35"/>
        <v>-152099.1704</v>
      </c>
      <c r="E56" s="82">
        <f t="shared" si="35"/>
        <v>-93140.915088000009</v>
      </c>
      <c r="F56" s="82">
        <f t="shared" si="35"/>
        <v>-57803.590157759994</v>
      </c>
      <c r="G56" s="82">
        <f t="shared" si="35"/>
        <v>-57896.800725715198</v>
      </c>
      <c r="H56" s="82">
        <f t="shared" si="35"/>
        <v>-31420.344625029502</v>
      </c>
      <c r="I56" s="82">
        <f t="shared" si="35"/>
        <v>-4945.7900199300948</v>
      </c>
      <c r="J56" s="82">
        <f t="shared" si="35"/>
        <v>-5044.7058203286961</v>
      </c>
      <c r="K56" s="82">
        <f t="shared" si="35"/>
        <v>-5145.5999367352697</v>
      </c>
      <c r="L56" s="82">
        <f t="shared" si="35"/>
        <v>-94880.454582143284</v>
      </c>
      <c r="M56" s="82">
        <f t="shared" si="35"/>
        <v>-5353.4821741793758</v>
      </c>
      <c r="N56" s="82">
        <f t="shared" si="35"/>
        <v>-5460.5518176629621</v>
      </c>
      <c r="O56" s="82">
        <f t="shared" si="35"/>
        <v>-5569.7628540162214</v>
      </c>
      <c r="P56" s="82">
        <f t="shared" si="35"/>
        <v>-5681.1581110965462</v>
      </c>
      <c r="Q56" s="82">
        <f t="shared" si="35"/>
        <v>-5794.7812733184765</v>
      </c>
      <c r="R56" s="82">
        <f t="shared" si="35"/>
        <v>-5910.6768987848445</v>
      </c>
      <c r="S56" s="82">
        <f t="shared" si="35"/>
        <v>-6028.8904367605428</v>
      </c>
      <c r="T56" s="82">
        <f t="shared" si="35"/>
        <v>-6149.4682454957547</v>
      </c>
      <c r="U56" s="82">
        <f t="shared" si="35"/>
        <v>-6272.4576104056687</v>
      </c>
      <c r="V56" s="82">
        <f t="shared" si="35"/>
        <v>-6397.9067626137821</v>
      </c>
      <c r="W56" s="82">
        <f t="shared" si="35"/>
        <v>-6525.8648978660585</v>
      </c>
      <c r="X56" s="82">
        <f t="shared" si="35"/>
        <v>-6656.3821958233793</v>
      </c>
      <c r="Y56" s="82">
        <f t="shared" si="35"/>
        <v>-6789.5098397398469</v>
      </c>
      <c r="Z56" s="82">
        <f t="shared" si="35"/>
        <v>-6925.3000365346425</v>
      </c>
      <c r="AA56" s="82">
        <f t="shared" si="35"/>
        <v>-7063.8060372653363</v>
      </c>
      <c r="AB56" s="82" t="str">
        <f t="shared" si="35"/>
        <v/>
      </c>
      <c r="AC56" s="82" t="str">
        <f t="shared" si="35"/>
        <v/>
      </c>
      <c r="AD56" s="82" t="str">
        <f t="shared" si="35"/>
        <v/>
      </c>
      <c r="AE56" s="82" t="str">
        <f t="shared" si="35"/>
        <v/>
      </c>
      <c r="AF56" s="82" t="str">
        <f t="shared" si="35"/>
        <v/>
      </c>
      <c r="AG56" s="82" t="str">
        <f t="shared" si="35"/>
        <v/>
      </c>
      <c r="AH56" s="82" t="str">
        <f t="shared" si="35"/>
        <v/>
      </c>
      <c r="AI56" s="82" t="str">
        <f t="shared" ref="AI56:BN56" si="36">IF(ISNUMBER(outYear),AI48-AI55,"")</f>
        <v/>
      </c>
      <c r="AJ56" s="82" t="str">
        <f t="shared" si="36"/>
        <v/>
      </c>
      <c r="AK56" s="82" t="str">
        <f t="shared" si="36"/>
        <v/>
      </c>
      <c r="AL56" s="82" t="str">
        <f t="shared" si="36"/>
        <v/>
      </c>
      <c r="AM56" s="82" t="str">
        <f t="shared" si="36"/>
        <v/>
      </c>
      <c r="AN56" s="82" t="str">
        <f t="shared" si="36"/>
        <v/>
      </c>
      <c r="AO56" s="82" t="str">
        <f t="shared" si="36"/>
        <v/>
      </c>
      <c r="AP56" s="82" t="str">
        <f t="shared" si="36"/>
        <v/>
      </c>
      <c r="AQ56" s="82" t="str">
        <f t="shared" si="36"/>
        <v/>
      </c>
      <c r="AR56" s="82" t="str">
        <f t="shared" si="36"/>
        <v/>
      </c>
      <c r="AS56" s="82" t="str">
        <f t="shared" si="36"/>
        <v/>
      </c>
      <c r="AT56" s="82" t="str">
        <f t="shared" si="36"/>
        <v/>
      </c>
      <c r="AU56" s="82" t="str">
        <f t="shared" si="36"/>
        <v/>
      </c>
      <c r="AV56" s="82" t="str">
        <f t="shared" si="36"/>
        <v/>
      </c>
      <c r="AW56" s="82" t="str">
        <f t="shared" si="36"/>
        <v/>
      </c>
      <c r="AX56" s="82" t="str">
        <f t="shared" si="36"/>
        <v/>
      </c>
      <c r="AY56" s="82" t="str">
        <f t="shared" si="36"/>
        <v/>
      </c>
      <c r="AZ56" s="82" t="str">
        <f t="shared" si="36"/>
        <v/>
      </c>
      <c r="BA56" s="82" t="str">
        <f t="shared" si="36"/>
        <v/>
      </c>
      <c r="BB56" s="82" t="str">
        <f t="shared" si="36"/>
        <v/>
      </c>
      <c r="BC56" s="82" t="str">
        <f t="shared" si="36"/>
        <v/>
      </c>
      <c r="BD56" s="82" t="str">
        <f t="shared" si="36"/>
        <v/>
      </c>
      <c r="BE56" s="82" t="str">
        <f t="shared" si="36"/>
        <v/>
      </c>
      <c r="BF56" s="82" t="str">
        <f t="shared" si="36"/>
        <v/>
      </c>
      <c r="BG56" s="82" t="str">
        <f t="shared" si="36"/>
        <v/>
      </c>
      <c r="BH56" s="82" t="str">
        <f t="shared" si="36"/>
        <v/>
      </c>
      <c r="BI56" s="82" t="str">
        <f t="shared" si="36"/>
        <v/>
      </c>
      <c r="BJ56" s="82" t="str">
        <f t="shared" si="36"/>
        <v/>
      </c>
      <c r="BK56" s="82" t="str">
        <f t="shared" si="36"/>
        <v/>
      </c>
      <c r="BL56" s="82" t="str">
        <f t="shared" si="36"/>
        <v/>
      </c>
      <c r="BM56" s="82" t="str">
        <f t="shared" si="36"/>
        <v/>
      </c>
      <c r="BN56" s="82" t="str">
        <f t="shared" si="36"/>
        <v/>
      </c>
      <c r="BO56" s="82" t="str">
        <f t="shared" ref="BO56:CT56" si="37">IF(ISNUMBER(outYear),BO48-BO55,"")</f>
        <v/>
      </c>
      <c r="BP56" s="82" t="str">
        <f t="shared" si="37"/>
        <v/>
      </c>
      <c r="BQ56" s="82" t="str">
        <f t="shared" si="37"/>
        <v/>
      </c>
      <c r="BR56" s="82" t="str">
        <f t="shared" si="37"/>
        <v/>
      </c>
      <c r="BS56" s="82" t="str">
        <f t="shared" si="37"/>
        <v/>
      </c>
      <c r="BT56" s="82" t="str">
        <f t="shared" si="37"/>
        <v/>
      </c>
      <c r="BU56" s="82" t="str">
        <f t="shared" si="37"/>
        <v/>
      </c>
      <c r="BV56" s="82" t="str">
        <f t="shared" si="37"/>
        <v/>
      </c>
      <c r="BW56" s="82" t="str">
        <f t="shared" si="37"/>
        <v/>
      </c>
      <c r="BX56" s="82" t="str">
        <f t="shared" si="37"/>
        <v/>
      </c>
      <c r="BY56" s="82" t="str">
        <f t="shared" si="37"/>
        <v/>
      </c>
      <c r="BZ56" s="82" t="str">
        <f t="shared" si="37"/>
        <v/>
      </c>
      <c r="CA56" s="82" t="str">
        <f t="shared" si="37"/>
        <v/>
      </c>
      <c r="CB56" s="82" t="str">
        <f t="shared" si="37"/>
        <v/>
      </c>
      <c r="CC56" s="82" t="str">
        <f t="shared" si="37"/>
        <v/>
      </c>
      <c r="CD56" s="82" t="str">
        <f t="shared" si="37"/>
        <v/>
      </c>
      <c r="CE56" s="82" t="str">
        <f t="shared" si="37"/>
        <v/>
      </c>
      <c r="CF56" s="82" t="str">
        <f t="shared" si="37"/>
        <v/>
      </c>
      <c r="CG56" s="82" t="str">
        <f t="shared" si="37"/>
        <v/>
      </c>
      <c r="CH56" s="82" t="str">
        <f t="shared" si="37"/>
        <v/>
      </c>
      <c r="CI56" s="82" t="str">
        <f t="shared" si="37"/>
        <v/>
      </c>
      <c r="CJ56" s="82" t="str">
        <f t="shared" si="37"/>
        <v/>
      </c>
      <c r="CK56" s="82" t="str">
        <f t="shared" si="37"/>
        <v/>
      </c>
      <c r="CL56" s="82" t="str">
        <f t="shared" si="37"/>
        <v/>
      </c>
      <c r="CM56" s="82" t="str">
        <f t="shared" si="37"/>
        <v/>
      </c>
      <c r="CN56" s="82" t="str">
        <f t="shared" si="37"/>
        <v/>
      </c>
      <c r="CO56" s="82" t="str">
        <f t="shared" si="37"/>
        <v/>
      </c>
      <c r="CP56" s="82" t="str">
        <f t="shared" si="37"/>
        <v/>
      </c>
      <c r="CQ56" s="82" t="str">
        <f t="shared" si="37"/>
        <v/>
      </c>
      <c r="CR56" s="82" t="str">
        <f t="shared" si="37"/>
        <v/>
      </c>
      <c r="CS56" s="82" t="str">
        <f t="shared" si="37"/>
        <v/>
      </c>
      <c r="CT56" s="82" t="str">
        <f t="shared" si="37"/>
        <v/>
      </c>
      <c r="CU56" s="82" t="str">
        <f t="shared" ref="CU56:CX56" si="38">IF(ISNUMBER(outYear),CU48-CU55,"")</f>
        <v/>
      </c>
      <c r="CV56" s="82" t="str">
        <f t="shared" si="38"/>
        <v/>
      </c>
      <c r="CW56" s="82" t="str">
        <f t="shared" si="38"/>
        <v/>
      </c>
      <c r="CX56" s="82" t="str">
        <f t="shared" si="38"/>
        <v/>
      </c>
    </row>
    <row r="57" spans="1:16384" x14ac:dyDescent="0.2">
      <c r="A57" s="92" t="s">
        <v>36</v>
      </c>
      <c r="B57" s="82"/>
      <c r="C57" s="82">
        <f>IF(ISNUMBER(outYear),+C56*state_tax_rate/100,"")</f>
        <v>-22911.625099999997</v>
      </c>
      <c r="D57" s="82">
        <f t="shared" ref="D57:AH57" si="39">IF(ISNUMBER(outYear),+D56*state_tax_rate/100,"")</f>
        <v>-10646.941928</v>
      </c>
      <c r="E57" s="82">
        <f t="shared" si="39"/>
        <v>-6519.8640561600005</v>
      </c>
      <c r="F57" s="82">
        <f t="shared" si="39"/>
        <v>-4046.2513110431992</v>
      </c>
      <c r="G57" s="82">
        <f t="shared" si="39"/>
        <v>-4052.7760508000642</v>
      </c>
      <c r="H57" s="82">
        <f t="shared" si="39"/>
        <v>-2199.424123752065</v>
      </c>
      <c r="I57" s="82">
        <f t="shared" si="39"/>
        <v>-346.20530139510663</v>
      </c>
      <c r="J57" s="82">
        <f t="shared" si="39"/>
        <v>-353.12940742300873</v>
      </c>
      <c r="K57" s="82">
        <f t="shared" si="39"/>
        <v>-360.19199557146885</v>
      </c>
      <c r="L57" s="82">
        <f t="shared" si="39"/>
        <v>-6641.631820750029</v>
      </c>
      <c r="M57" s="82">
        <f t="shared" si="39"/>
        <v>-374.74375219255626</v>
      </c>
      <c r="N57" s="82">
        <f t="shared" si="39"/>
        <v>-382.23862723640735</v>
      </c>
      <c r="O57" s="82">
        <f t="shared" si="39"/>
        <v>-389.88339978113549</v>
      </c>
      <c r="P57" s="82">
        <f t="shared" si="39"/>
        <v>-397.6810677767582</v>
      </c>
      <c r="Q57" s="82">
        <f t="shared" si="39"/>
        <v>-405.63468913229337</v>
      </c>
      <c r="R57" s="82">
        <f t="shared" si="39"/>
        <v>-413.74738291493907</v>
      </c>
      <c r="S57" s="82">
        <f t="shared" si="39"/>
        <v>-422.02233057323798</v>
      </c>
      <c r="T57" s="82">
        <f t="shared" si="39"/>
        <v>-430.46277718470287</v>
      </c>
      <c r="U57" s="82">
        <f t="shared" si="39"/>
        <v>-439.07203272839683</v>
      </c>
      <c r="V57" s="82">
        <f t="shared" si="39"/>
        <v>-447.85347338296475</v>
      </c>
      <c r="W57" s="82">
        <f t="shared" si="39"/>
        <v>-456.81054285062413</v>
      </c>
      <c r="X57" s="82">
        <f t="shared" si="39"/>
        <v>-465.9467537076365</v>
      </c>
      <c r="Y57" s="82">
        <f t="shared" si="39"/>
        <v>-475.26568878178927</v>
      </c>
      <c r="Z57" s="82">
        <f t="shared" si="39"/>
        <v>-484.77100255742494</v>
      </c>
      <c r="AA57" s="82">
        <f t="shared" si="39"/>
        <v>-494.46642260857357</v>
      </c>
      <c r="AB57" s="82" t="str">
        <f t="shared" si="39"/>
        <v/>
      </c>
      <c r="AC57" s="82" t="str">
        <f t="shared" si="39"/>
        <v/>
      </c>
      <c r="AD57" s="82" t="str">
        <f t="shared" si="39"/>
        <v/>
      </c>
      <c r="AE57" s="82" t="str">
        <f t="shared" si="39"/>
        <v/>
      </c>
      <c r="AF57" s="82" t="str">
        <f t="shared" si="39"/>
        <v/>
      </c>
      <c r="AG57" s="82" t="str">
        <f t="shared" si="39"/>
        <v/>
      </c>
      <c r="AH57" s="82" t="str">
        <f t="shared" si="39"/>
        <v/>
      </c>
      <c r="AI57" s="82" t="str">
        <f t="shared" ref="AI57:BN57" si="40">IF(ISNUMBER(outYear),+AI56*state_tax_rate/100,"")</f>
        <v/>
      </c>
      <c r="AJ57" s="82" t="str">
        <f t="shared" si="40"/>
        <v/>
      </c>
      <c r="AK57" s="82" t="str">
        <f t="shared" si="40"/>
        <v/>
      </c>
      <c r="AL57" s="82" t="str">
        <f t="shared" si="40"/>
        <v/>
      </c>
      <c r="AM57" s="82" t="str">
        <f t="shared" si="40"/>
        <v/>
      </c>
      <c r="AN57" s="82" t="str">
        <f t="shared" si="40"/>
        <v/>
      </c>
      <c r="AO57" s="82" t="str">
        <f t="shared" si="40"/>
        <v/>
      </c>
      <c r="AP57" s="82" t="str">
        <f t="shared" si="40"/>
        <v/>
      </c>
      <c r="AQ57" s="82" t="str">
        <f t="shared" si="40"/>
        <v/>
      </c>
      <c r="AR57" s="82" t="str">
        <f t="shared" si="40"/>
        <v/>
      </c>
      <c r="AS57" s="82" t="str">
        <f t="shared" si="40"/>
        <v/>
      </c>
      <c r="AT57" s="82" t="str">
        <f t="shared" si="40"/>
        <v/>
      </c>
      <c r="AU57" s="82" t="str">
        <f t="shared" si="40"/>
        <v/>
      </c>
      <c r="AV57" s="82" t="str">
        <f t="shared" si="40"/>
        <v/>
      </c>
      <c r="AW57" s="82" t="str">
        <f t="shared" si="40"/>
        <v/>
      </c>
      <c r="AX57" s="82" t="str">
        <f t="shared" si="40"/>
        <v/>
      </c>
      <c r="AY57" s="82" t="str">
        <f t="shared" si="40"/>
        <v/>
      </c>
      <c r="AZ57" s="82" t="str">
        <f t="shared" si="40"/>
        <v/>
      </c>
      <c r="BA57" s="82" t="str">
        <f t="shared" si="40"/>
        <v/>
      </c>
      <c r="BB57" s="82" t="str">
        <f t="shared" si="40"/>
        <v/>
      </c>
      <c r="BC57" s="82" t="str">
        <f t="shared" si="40"/>
        <v/>
      </c>
      <c r="BD57" s="82" t="str">
        <f t="shared" si="40"/>
        <v/>
      </c>
      <c r="BE57" s="82" t="str">
        <f t="shared" si="40"/>
        <v/>
      </c>
      <c r="BF57" s="82" t="str">
        <f t="shared" si="40"/>
        <v/>
      </c>
      <c r="BG57" s="82" t="str">
        <f t="shared" si="40"/>
        <v/>
      </c>
      <c r="BH57" s="82" t="str">
        <f t="shared" si="40"/>
        <v/>
      </c>
      <c r="BI57" s="82" t="str">
        <f t="shared" si="40"/>
        <v/>
      </c>
      <c r="BJ57" s="82" t="str">
        <f t="shared" si="40"/>
        <v/>
      </c>
      <c r="BK57" s="82" t="str">
        <f t="shared" si="40"/>
        <v/>
      </c>
      <c r="BL57" s="82" t="str">
        <f t="shared" si="40"/>
        <v/>
      </c>
      <c r="BM57" s="82" t="str">
        <f t="shared" si="40"/>
        <v/>
      </c>
      <c r="BN57" s="82" t="str">
        <f t="shared" si="40"/>
        <v/>
      </c>
      <c r="BO57" s="82" t="str">
        <f t="shared" ref="BO57:CT57" si="41">IF(ISNUMBER(outYear),+BO56*state_tax_rate/100,"")</f>
        <v/>
      </c>
      <c r="BP57" s="82" t="str">
        <f t="shared" si="41"/>
        <v/>
      </c>
      <c r="BQ57" s="82" t="str">
        <f t="shared" si="41"/>
        <v/>
      </c>
      <c r="BR57" s="82" t="str">
        <f t="shared" si="41"/>
        <v/>
      </c>
      <c r="BS57" s="82" t="str">
        <f t="shared" si="41"/>
        <v/>
      </c>
      <c r="BT57" s="82" t="str">
        <f t="shared" si="41"/>
        <v/>
      </c>
      <c r="BU57" s="82" t="str">
        <f t="shared" si="41"/>
        <v/>
      </c>
      <c r="BV57" s="82" t="str">
        <f t="shared" si="41"/>
        <v/>
      </c>
      <c r="BW57" s="82" t="str">
        <f t="shared" si="41"/>
        <v/>
      </c>
      <c r="BX57" s="82" t="str">
        <f t="shared" si="41"/>
        <v/>
      </c>
      <c r="BY57" s="82" t="str">
        <f t="shared" si="41"/>
        <v/>
      </c>
      <c r="BZ57" s="82" t="str">
        <f t="shared" si="41"/>
        <v/>
      </c>
      <c r="CA57" s="82" t="str">
        <f t="shared" si="41"/>
        <v/>
      </c>
      <c r="CB57" s="82" t="str">
        <f t="shared" si="41"/>
        <v/>
      </c>
      <c r="CC57" s="82" t="str">
        <f t="shared" si="41"/>
        <v/>
      </c>
      <c r="CD57" s="82" t="str">
        <f t="shared" si="41"/>
        <v/>
      </c>
      <c r="CE57" s="82" t="str">
        <f t="shared" si="41"/>
        <v/>
      </c>
      <c r="CF57" s="82" t="str">
        <f t="shared" si="41"/>
        <v/>
      </c>
      <c r="CG57" s="82" t="str">
        <f t="shared" si="41"/>
        <v/>
      </c>
      <c r="CH57" s="82" t="str">
        <f t="shared" si="41"/>
        <v/>
      </c>
      <c r="CI57" s="82" t="str">
        <f t="shared" si="41"/>
        <v/>
      </c>
      <c r="CJ57" s="82" t="str">
        <f t="shared" si="41"/>
        <v/>
      </c>
      <c r="CK57" s="82" t="str">
        <f t="shared" si="41"/>
        <v/>
      </c>
      <c r="CL57" s="82" t="str">
        <f t="shared" si="41"/>
        <v/>
      </c>
      <c r="CM57" s="82" t="str">
        <f t="shared" si="41"/>
        <v/>
      </c>
      <c r="CN57" s="82" t="str">
        <f t="shared" si="41"/>
        <v/>
      </c>
      <c r="CO57" s="82" t="str">
        <f t="shared" si="41"/>
        <v/>
      </c>
      <c r="CP57" s="82" t="str">
        <f t="shared" si="41"/>
        <v/>
      </c>
      <c r="CQ57" s="82" t="str">
        <f t="shared" si="41"/>
        <v/>
      </c>
      <c r="CR57" s="82" t="str">
        <f t="shared" si="41"/>
        <v/>
      </c>
      <c r="CS57" s="82" t="str">
        <f t="shared" si="41"/>
        <v/>
      </c>
      <c r="CT57" s="82" t="str">
        <f t="shared" si="41"/>
        <v/>
      </c>
      <c r="CU57" s="82" t="str">
        <f t="shared" ref="CU57:CX57" si="42">IF(ISNUMBER(outYear),+CU56*state_tax_rate/100,"")</f>
        <v/>
      </c>
      <c r="CV57" s="82" t="str">
        <f t="shared" si="42"/>
        <v/>
      </c>
      <c r="CW57" s="82" t="str">
        <f t="shared" si="42"/>
        <v/>
      </c>
      <c r="CX57" s="82" t="str">
        <f t="shared" si="42"/>
        <v/>
      </c>
    </row>
    <row r="58" spans="1:16384" x14ac:dyDescent="0.2">
      <c r="A58" s="181" t="s">
        <v>98</v>
      </c>
      <c r="B58" s="180">
        <f>IF(ISNUMBER(outYear),total_installed_cost-IF(ibi_sta_percent_deprbas_sta="Yes",MIN(ibi_sta_percent/100*total_installed_cost,ibi_sta_percent_maxvalue),0)-IF(ibi_uti_percent_deprbas_sta="Yes",MIN(ibi_uti_percent/100*total_installed_cost,ibi_uti_percent_maxvalue),0)-IF(cbi_fed_deprbas_sta="Yes",C39,0)-IF(cbi_sta_deprbas_sta="Yes",C40,0)-IF(cbi_uti_deprbas_sta="Yes",C41,0),"")</f>
        <v>542718</v>
      </c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180"/>
      <c r="O58" s="180"/>
      <c r="P58" s="180"/>
      <c r="Q58" s="180"/>
      <c r="R58" s="180"/>
      <c r="S58" s="180"/>
      <c r="T58" s="180"/>
      <c r="U58" s="180"/>
      <c r="V58" s="180"/>
      <c r="W58" s="180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  <c r="AI58" s="180"/>
      <c r="AJ58" s="180"/>
      <c r="AK58" s="180"/>
      <c r="AL58" s="180"/>
      <c r="AM58" s="180"/>
      <c r="AN58" s="180"/>
      <c r="AO58" s="180"/>
      <c r="AP58" s="180"/>
      <c r="AQ58" s="180"/>
      <c r="AR58" s="180"/>
      <c r="AS58" s="180"/>
      <c r="AT58" s="180"/>
      <c r="AU58" s="180"/>
      <c r="AV58" s="180"/>
      <c r="AW58" s="180"/>
      <c r="AX58" s="180"/>
      <c r="AY58" s="180"/>
      <c r="AZ58" s="180"/>
      <c r="BA58" s="180"/>
      <c r="BB58" s="180"/>
      <c r="BC58" s="180"/>
      <c r="BD58" s="180"/>
      <c r="BE58" s="180"/>
      <c r="BF58" s="180"/>
      <c r="BG58" s="180"/>
      <c r="BH58" s="180"/>
      <c r="BI58" s="180"/>
      <c r="BJ58" s="180"/>
      <c r="BK58" s="180"/>
      <c r="BL58" s="180"/>
      <c r="BM58" s="180"/>
      <c r="BN58" s="180"/>
      <c r="BO58" s="180"/>
      <c r="BP58" s="180"/>
      <c r="BQ58" s="180"/>
      <c r="BR58" s="180"/>
      <c r="BS58" s="180"/>
      <c r="BT58" s="180"/>
      <c r="BU58" s="180"/>
      <c r="BV58" s="180"/>
      <c r="BW58" s="180"/>
      <c r="BX58" s="180"/>
      <c r="BY58" s="180"/>
      <c r="BZ58" s="180"/>
      <c r="CA58" s="180"/>
      <c r="CB58" s="180"/>
      <c r="CC58" s="180"/>
      <c r="CD58" s="180"/>
      <c r="CE58" s="180"/>
      <c r="CF58" s="180"/>
      <c r="CG58" s="180"/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79"/>
      <c r="CZ58" s="179"/>
      <c r="DA58" s="179"/>
      <c r="DB58" s="179"/>
      <c r="DC58" s="179"/>
      <c r="DD58" s="179"/>
      <c r="DE58" s="179"/>
      <c r="DF58" s="179"/>
      <c r="DG58" s="179"/>
      <c r="DH58" s="179"/>
      <c r="DI58" s="179"/>
      <c r="DJ58" s="179"/>
      <c r="DK58" s="179"/>
      <c r="DL58" s="179"/>
      <c r="DM58" s="179"/>
      <c r="DN58" s="179"/>
      <c r="DO58" s="179"/>
      <c r="DP58" s="179"/>
      <c r="DQ58" s="179"/>
      <c r="DR58" s="179"/>
      <c r="DS58" s="179"/>
      <c r="DT58" s="179"/>
      <c r="DU58" s="179"/>
      <c r="DV58" s="179"/>
      <c r="DW58" s="179"/>
      <c r="DX58" s="179"/>
      <c r="DY58" s="179"/>
      <c r="DZ58" s="179"/>
      <c r="EA58" s="179"/>
      <c r="EB58" s="179"/>
      <c r="EC58" s="179"/>
      <c r="ED58" s="179"/>
      <c r="EE58" s="179"/>
      <c r="EF58" s="179"/>
      <c r="EG58" s="179"/>
      <c r="EH58" s="179"/>
      <c r="EI58" s="179"/>
      <c r="EJ58" s="179"/>
      <c r="EK58" s="179"/>
      <c r="EL58" s="179"/>
      <c r="EM58" s="179"/>
      <c r="EN58" s="179"/>
      <c r="EO58" s="179"/>
      <c r="EP58" s="179"/>
      <c r="EQ58" s="179"/>
      <c r="ER58" s="179"/>
      <c r="ES58" s="179"/>
      <c r="ET58" s="179"/>
      <c r="EU58" s="179"/>
      <c r="EV58" s="179"/>
      <c r="EW58" s="179"/>
      <c r="EX58" s="179"/>
      <c r="EY58" s="179"/>
      <c r="EZ58" s="179"/>
      <c r="FA58" s="179"/>
      <c r="FB58" s="179"/>
      <c r="FC58" s="179"/>
      <c r="FD58" s="179"/>
      <c r="FE58" s="179"/>
      <c r="FF58" s="179"/>
      <c r="FG58" s="179"/>
      <c r="FH58" s="179"/>
      <c r="FI58" s="179"/>
      <c r="FJ58" s="179"/>
      <c r="FK58" s="179"/>
      <c r="FL58" s="179"/>
      <c r="FM58" s="179"/>
      <c r="FN58" s="179"/>
      <c r="FO58" s="179"/>
      <c r="FP58" s="179"/>
      <c r="FQ58" s="179"/>
      <c r="FR58" s="179"/>
      <c r="FS58" s="179"/>
      <c r="FT58" s="179"/>
      <c r="FU58" s="179"/>
      <c r="FV58" s="179"/>
      <c r="FW58" s="179"/>
      <c r="FX58" s="179"/>
      <c r="FY58" s="179"/>
      <c r="FZ58" s="179"/>
      <c r="GA58" s="179"/>
      <c r="GB58" s="179"/>
      <c r="GC58" s="179"/>
      <c r="GD58" s="179"/>
      <c r="GE58" s="179"/>
      <c r="GF58" s="179"/>
      <c r="GG58" s="179"/>
      <c r="GH58" s="179"/>
      <c r="GI58" s="179"/>
      <c r="GJ58" s="179"/>
      <c r="GK58" s="179"/>
      <c r="GL58" s="179"/>
      <c r="GM58" s="179"/>
      <c r="GN58" s="179"/>
      <c r="GO58" s="179"/>
      <c r="GP58" s="179"/>
      <c r="GQ58" s="179"/>
      <c r="GR58" s="179"/>
      <c r="GS58" s="179"/>
      <c r="GT58" s="179"/>
      <c r="GU58" s="179"/>
      <c r="GV58" s="179"/>
      <c r="GW58" s="179"/>
      <c r="GX58" s="179"/>
      <c r="GY58" s="179"/>
      <c r="GZ58" s="179"/>
      <c r="HA58" s="179"/>
      <c r="HB58" s="179"/>
      <c r="HC58" s="179"/>
      <c r="HD58" s="179"/>
      <c r="HE58" s="179"/>
      <c r="HF58" s="179"/>
      <c r="HG58" s="179"/>
      <c r="HH58" s="179"/>
      <c r="HI58" s="179"/>
      <c r="HJ58" s="179"/>
      <c r="HK58" s="179"/>
      <c r="HL58" s="179"/>
      <c r="HM58" s="179"/>
      <c r="HN58" s="179"/>
      <c r="HO58" s="179"/>
      <c r="HP58" s="179"/>
      <c r="HQ58" s="179"/>
      <c r="HR58" s="179"/>
      <c r="HS58" s="179"/>
      <c r="HT58" s="179"/>
      <c r="HU58" s="179"/>
      <c r="HV58" s="179"/>
      <c r="HW58" s="179"/>
      <c r="HX58" s="179"/>
      <c r="HY58" s="179"/>
      <c r="HZ58" s="179"/>
      <c r="IA58" s="179"/>
      <c r="IB58" s="179"/>
      <c r="IC58" s="179"/>
      <c r="ID58" s="179"/>
      <c r="IE58" s="179"/>
      <c r="IF58" s="179"/>
      <c r="IG58" s="179"/>
      <c r="IH58" s="179"/>
      <c r="II58" s="179"/>
      <c r="IJ58" s="179"/>
      <c r="IK58" s="179"/>
      <c r="IL58" s="179"/>
      <c r="IM58" s="179"/>
      <c r="IN58" s="179"/>
      <c r="IO58" s="179"/>
      <c r="IP58" s="179"/>
      <c r="IQ58" s="179"/>
      <c r="IR58" s="179"/>
      <c r="IS58" s="179"/>
      <c r="IT58" s="179"/>
      <c r="IU58" s="179"/>
      <c r="IV58" s="179"/>
      <c r="IW58" s="179"/>
      <c r="IX58" s="179"/>
      <c r="IY58" s="179"/>
      <c r="IZ58" s="179"/>
      <c r="JA58" s="179"/>
      <c r="JB58" s="179"/>
      <c r="JC58" s="179"/>
      <c r="JD58" s="179"/>
      <c r="JE58" s="179"/>
      <c r="JF58" s="179"/>
      <c r="JG58" s="179"/>
      <c r="JH58" s="179"/>
      <c r="JI58" s="179"/>
      <c r="JJ58" s="179"/>
      <c r="JK58" s="179"/>
      <c r="JL58" s="179"/>
      <c r="JM58" s="179"/>
      <c r="JN58" s="179"/>
      <c r="JO58" s="179"/>
      <c r="JP58" s="179"/>
      <c r="JQ58" s="179"/>
      <c r="JR58" s="179"/>
      <c r="JS58" s="179"/>
      <c r="JT58" s="179"/>
      <c r="JU58" s="179"/>
      <c r="JV58" s="179"/>
      <c r="JW58" s="179"/>
      <c r="JX58" s="179"/>
      <c r="JY58" s="179"/>
      <c r="JZ58" s="179"/>
      <c r="KA58" s="179"/>
      <c r="KB58" s="179"/>
      <c r="KC58" s="179"/>
      <c r="KD58" s="179"/>
      <c r="KE58" s="179"/>
      <c r="KF58" s="179"/>
      <c r="KG58" s="179"/>
      <c r="KH58" s="179"/>
      <c r="KI58" s="179"/>
      <c r="KJ58" s="179"/>
      <c r="KK58" s="179"/>
      <c r="KL58" s="179"/>
      <c r="KM58" s="179"/>
      <c r="KN58" s="179"/>
      <c r="KO58" s="179"/>
      <c r="KP58" s="179"/>
      <c r="KQ58" s="179"/>
      <c r="KR58" s="179"/>
      <c r="KS58" s="179"/>
      <c r="KT58" s="179"/>
      <c r="KU58" s="179"/>
      <c r="KV58" s="179"/>
      <c r="KW58" s="179"/>
      <c r="KX58" s="179"/>
      <c r="KY58" s="179"/>
      <c r="KZ58" s="179"/>
      <c r="LA58" s="179"/>
      <c r="LB58" s="179"/>
      <c r="LC58" s="179"/>
      <c r="LD58" s="179"/>
      <c r="LE58" s="179"/>
      <c r="LF58" s="179"/>
      <c r="LG58" s="179"/>
      <c r="LH58" s="179"/>
      <c r="LI58" s="179"/>
      <c r="LJ58" s="179"/>
      <c r="LK58" s="179"/>
      <c r="LL58" s="179"/>
      <c r="LM58" s="179"/>
      <c r="LN58" s="179"/>
      <c r="LO58" s="179"/>
      <c r="LP58" s="179"/>
      <c r="LQ58" s="179"/>
      <c r="LR58" s="179"/>
      <c r="LS58" s="179"/>
      <c r="LT58" s="179"/>
      <c r="LU58" s="179"/>
      <c r="LV58" s="179"/>
      <c r="LW58" s="179"/>
      <c r="LX58" s="179"/>
      <c r="LY58" s="179"/>
      <c r="LZ58" s="179"/>
      <c r="MA58" s="179"/>
      <c r="MB58" s="179"/>
      <c r="MC58" s="179"/>
      <c r="MD58" s="179"/>
      <c r="ME58" s="179"/>
      <c r="MF58" s="179"/>
      <c r="MG58" s="179"/>
      <c r="MH58" s="179"/>
      <c r="MI58" s="179"/>
      <c r="MJ58" s="179"/>
      <c r="MK58" s="179"/>
      <c r="ML58" s="179"/>
      <c r="MM58" s="179"/>
      <c r="MN58" s="179"/>
      <c r="MO58" s="179"/>
      <c r="MP58" s="179"/>
      <c r="MQ58" s="179"/>
      <c r="MR58" s="179"/>
      <c r="MS58" s="179"/>
      <c r="MT58" s="179"/>
      <c r="MU58" s="179"/>
      <c r="MV58" s="179"/>
      <c r="MW58" s="179"/>
      <c r="MX58" s="179"/>
      <c r="MY58" s="179"/>
      <c r="MZ58" s="179"/>
      <c r="NA58" s="179"/>
      <c r="NB58" s="179"/>
      <c r="NC58" s="179"/>
      <c r="ND58" s="179"/>
      <c r="NE58" s="179"/>
      <c r="NF58" s="179"/>
      <c r="NG58" s="179"/>
      <c r="NH58" s="179"/>
      <c r="NI58" s="179"/>
      <c r="NJ58" s="179"/>
      <c r="NK58" s="179"/>
      <c r="NL58" s="179"/>
      <c r="NM58" s="179"/>
      <c r="NN58" s="179"/>
      <c r="NO58" s="179"/>
      <c r="NP58" s="179"/>
      <c r="NQ58" s="179"/>
      <c r="NR58" s="179"/>
      <c r="NS58" s="179"/>
      <c r="NT58" s="179"/>
      <c r="NU58" s="179"/>
      <c r="NV58" s="179"/>
      <c r="NW58" s="179"/>
      <c r="NX58" s="179"/>
      <c r="NY58" s="179"/>
      <c r="NZ58" s="179"/>
      <c r="OA58" s="179"/>
      <c r="OB58" s="179"/>
      <c r="OC58" s="179"/>
      <c r="OD58" s="179"/>
      <c r="OE58" s="179"/>
      <c r="OF58" s="179"/>
      <c r="OG58" s="179"/>
      <c r="OH58" s="179"/>
      <c r="OI58" s="179"/>
      <c r="OJ58" s="179"/>
      <c r="OK58" s="179"/>
      <c r="OL58" s="179"/>
      <c r="OM58" s="179"/>
      <c r="ON58" s="179"/>
      <c r="OO58" s="179"/>
      <c r="OP58" s="179"/>
      <c r="OQ58" s="179"/>
      <c r="OR58" s="179"/>
      <c r="OS58" s="179"/>
      <c r="OT58" s="179"/>
      <c r="OU58" s="179"/>
      <c r="OV58" s="179"/>
      <c r="OW58" s="179"/>
      <c r="OX58" s="179"/>
      <c r="OY58" s="179"/>
      <c r="OZ58" s="179"/>
      <c r="PA58" s="179"/>
      <c r="PB58" s="179"/>
      <c r="PC58" s="179"/>
      <c r="PD58" s="179"/>
      <c r="PE58" s="179"/>
      <c r="PF58" s="179"/>
      <c r="PG58" s="179"/>
      <c r="PH58" s="179"/>
      <c r="PI58" s="179"/>
      <c r="PJ58" s="179"/>
      <c r="PK58" s="179"/>
      <c r="PL58" s="179"/>
      <c r="PM58" s="179"/>
      <c r="PN58" s="179"/>
      <c r="PO58" s="179"/>
      <c r="PP58" s="179"/>
      <c r="PQ58" s="179"/>
      <c r="PR58" s="179"/>
      <c r="PS58" s="179"/>
      <c r="PT58" s="179"/>
      <c r="PU58" s="179"/>
      <c r="PV58" s="179"/>
      <c r="PW58" s="179"/>
      <c r="PX58" s="179"/>
      <c r="PY58" s="179"/>
      <c r="PZ58" s="179"/>
      <c r="QA58" s="179"/>
      <c r="QB58" s="179"/>
      <c r="QC58" s="179"/>
      <c r="QD58" s="179"/>
      <c r="QE58" s="179"/>
      <c r="QF58" s="179"/>
      <c r="QG58" s="179"/>
      <c r="QH58" s="179"/>
      <c r="QI58" s="179"/>
      <c r="QJ58" s="179"/>
      <c r="QK58" s="179"/>
      <c r="QL58" s="179"/>
      <c r="QM58" s="179"/>
      <c r="QN58" s="179"/>
      <c r="QO58" s="179"/>
      <c r="QP58" s="179"/>
      <c r="QQ58" s="179"/>
      <c r="QR58" s="179"/>
      <c r="QS58" s="179"/>
      <c r="QT58" s="179"/>
      <c r="QU58" s="179"/>
      <c r="QV58" s="179"/>
      <c r="QW58" s="179"/>
      <c r="QX58" s="179"/>
      <c r="QY58" s="179"/>
      <c r="QZ58" s="179"/>
      <c r="RA58" s="179"/>
      <c r="RB58" s="179"/>
      <c r="RC58" s="179"/>
      <c r="RD58" s="179"/>
      <c r="RE58" s="179"/>
      <c r="RF58" s="179"/>
      <c r="RG58" s="179"/>
      <c r="RH58" s="179"/>
      <c r="RI58" s="179"/>
      <c r="RJ58" s="179"/>
      <c r="RK58" s="179"/>
      <c r="RL58" s="179"/>
      <c r="RM58" s="179"/>
      <c r="RN58" s="179"/>
      <c r="RO58" s="179"/>
      <c r="RP58" s="179"/>
      <c r="RQ58" s="179"/>
      <c r="RR58" s="179"/>
      <c r="RS58" s="179"/>
      <c r="RT58" s="179"/>
      <c r="RU58" s="179"/>
      <c r="RV58" s="179"/>
      <c r="RW58" s="179"/>
      <c r="RX58" s="179"/>
      <c r="RY58" s="179"/>
      <c r="RZ58" s="179"/>
      <c r="SA58" s="179"/>
      <c r="SB58" s="179"/>
      <c r="SC58" s="179"/>
      <c r="SD58" s="179"/>
      <c r="SE58" s="179"/>
      <c r="SF58" s="179"/>
      <c r="SG58" s="179"/>
      <c r="SH58" s="179"/>
      <c r="SI58" s="179"/>
      <c r="SJ58" s="179"/>
      <c r="SK58" s="179"/>
      <c r="SL58" s="179"/>
      <c r="SM58" s="179"/>
      <c r="SN58" s="179"/>
      <c r="SO58" s="179"/>
      <c r="SP58" s="179"/>
      <c r="SQ58" s="179"/>
      <c r="SR58" s="179"/>
      <c r="SS58" s="179"/>
      <c r="ST58" s="179"/>
      <c r="SU58" s="179"/>
      <c r="SV58" s="179"/>
      <c r="SW58" s="179"/>
      <c r="SX58" s="179"/>
      <c r="SY58" s="179"/>
      <c r="SZ58" s="179"/>
      <c r="TA58" s="179"/>
      <c r="TB58" s="179"/>
      <c r="TC58" s="179"/>
      <c r="TD58" s="179"/>
      <c r="TE58" s="179"/>
      <c r="TF58" s="179"/>
      <c r="TG58" s="179"/>
      <c r="TH58" s="179"/>
      <c r="TI58" s="179"/>
      <c r="TJ58" s="179"/>
      <c r="TK58" s="179"/>
      <c r="TL58" s="179"/>
      <c r="TM58" s="179"/>
      <c r="TN58" s="179"/>
      <c r="TO58" s="179"/>
      <c r="TP58" s="179"/>
      <c r="TQ58" s="179"/>
      <c r="TR58" s="179"/>
      <c r="TS58" s="179"/>
      <c r="TT58" s="179"/>
      <c r="TU58" s="179"/>
      <c r="TV58" s="179"/>
      <c r="TW58" s="179"/>
      <c r="TX58" s="179"/>
      <c r="TY58" s="179"/>
      <c r="TZ58" s="179"/>
      <c r="UA58" s="179"/>
      <c r="UB58" s="179"/>
      <c r="UC58" s="179"/>
      <c r="UD58" s="179"/>
      <c r="UE58" s="179"/>
      <c r="UF58" s="179"/>
      <c r="UG58" s="179"/>
      <c r="UH58" s="179"/>
      <c r="UI58" s="179"/>
      <c r="UJ58" s="179"/>
      <c r="UK58" s="179"/>
      <c r="UL58" s="179"/>
      <c r="UM58" s="179"/>
      <c r="UN58" s="179"/>
      <c r="UO58" s="179"/>
      <c r="UP58" s="179"/>
      <c r="UQ58" s="179"/>
      <c r="UR58" s="179"/>
      <c r="US58" s="179"/>
      <c r="UT58" s="179"/>
      <c r="UU58" s="179"/>
      <c r="UV58" s="179"/>
      <c r="UW58" s="179"/>
      <c r="UX58" s="179"/>
      <c r="UY58" s="179"/>
      <c r="UZ58" s="179"/>
      <c r="VA58" s="179"/>
      <c r="VB58" s="179"/>
      <c r="VC58" s="179"/>
      <c r="VD58" s="179"/>
      <c r="VE58" s="179"/>
      <c r="VF58" s="179"/>
      <c r="VG58" s="179"/>
      <c r="VH58" s="179"/>
      <c r="VI58" s="179"/>
      <c r="VJ58" s="179"/>
      <c r="VK58" s="179"/>
      <c r="VL58" s="179"/>
      <c r="VM58" s="179"/>
      <c r="VN58" s="179"/>
      <c r="VO58" s="179"/>
      <c r="VP58" s="179"/>
      <c r="VQ58" s="179"/>
      <c r="VR58" s="179"/>
      <c r="VS58" s="179"/>
      <c r="VT58" s="179"/>
      <c r="VU58" s="179"/>
      <c r="VV58" s="179"/>
      <c r="VW58" s="179"/>
      <c r="VX58" s="179"/>
      <c r="VY58" s="179"/>
      <c r="VZ58" s="179"/>
      <c r="WA58" s="179"/>
      <c r="WB58" s="179"/>
      <c r="WC58" s="179"/>
      <c r="WD58" s="179"/>
      <c r="WE58" s="179"/>
      <c r="WF58" s="179"/>
      <c r="WG58" s="179"/>
      <c r="WH58" s="179"/>
      <c r="WI58" s="179"/>
      <c r="WJ58" s="179"/>
      <c r="WK58" s="179"/>
      <c r="WL58" s="179"/>
      <c r="WM58" s="179"/>
      <c r="WN58" s="179"/>
      <c r="WO58" s="179"/>
      <c r="WP58" s="179"/>
      <c r="WQ58" s="179"/>
      <c r="WR58" s="179"/>
      <c r="WS58" s="179"/>
      <c r="WT58" s="179"/>
      <c r="WU58" s="179"/>
      <c r="WV58" s="179"/>
      <c r="WW58" s="179"/>
      <c r="WX58" s="179"/>
      <c r="WY58" s="179"/>
      <c r="WZ58" s="179"/>
      <c r="XA58" s="179"/>
      <c r="XB58" s="179"/>
      <c r="XC58" s="179"/>
      <c r="XD58" s="179"/>
      <c r="XE58" s="179"/>
      <c r="XF58" s="179"/>
      <c r="XG58" s="179"/>
      <c r="XH58" s="179"/>
      <c r="XI58" s="179"/>
      <c r="XJ58" s="179"/>
      <c r="XK58" s="179"/>
      <c r="XL58" s="179"/>
      <c r="XM58" s="179"/>
      <c r="XN58" s="179"/>
      <c r="XO58" s="179"/>
      <c r="XP58" s="179"/>
      <c r="XQ58" s="179"/>
      <c r="XR58" s="179"/>
      <c r="XS58" s="179"/>
      <c r="XT58" s="179"/>
      <c r="XU58" s="179"/>
      <c r="XV58" s="179"/>
      <c r="XW58" s="179"/>
      <c r="XX58" s="179"/>
      <c r="XY58" s="179"/>
      <c r="XZ58" s="179"/>
      <c r="YA58" s="179"/>
      <c r="YB58" s="179"/>
      <c r="YC58" s="179"/>
      <c r="YD58" s="179"/>
      <c r="YE58" s="179"/>
      <c r="YF58" s="179"/>
      <c r="YG58" s="179"/>
      <c r="YH58" s="179"/>
      <c r="YI58" s="179"/>
      <c r="YJ58" s="179"/>
      <c r="YK58" s="179"/>
      <c r="YL58" s="179"/>
      <c r="YM58" s="179"/>
      <c r="YN58" s="179"/>
      <c r="YO58" s="179"/>
      <c r="YP58" s="179"/>
      <c r="YQ58" s="179"/>
      <c r="YR58" s="179"/>
      <c r="YS58" s="179"/>
      <c r="YT58" s="179"/>
      <c r="YU58" s="179"/>
      <c r="YV58" s="179"/>
      <c r="YW58" s="179"/>
      <c r="YX58" s="179"/>
      <c r="YY58" s="179"/>
      <c r="YZ58" s="179"/>
      <c r="ZA58" s="179"/>
      <c r="ZB58" s="179"/>
      <c r="ZC58" s="179"/>
      <c r="ZD58" s="179"/>
      <c r="ZE58" s="179"/>
      <c r="ZF58" s="179"/>
      <c r="ZG58" s="179"/>
      <c r="ZH58" s="179"/>
      <c r="ZI58" s="179"/>
      <c r="ZJ58" s="179"/>
      <c r="ZK58" s="179"/>
      <c r="ZL58" s="179"/>
      <c r="ZM58" s="179"/>
      <c r="ZN58" s="179"/>
      <c r="ZO58" s="179"/>
      <c r="ZP58" s="179"/>
      <c r="ZQ58" s="179"/>
      <c r="ZR58" s="179"/>
      <c r="ZS58" s="179"/>
      <c r="ZT58" s="179"/>
      <c r="ZU58" s="179"/>
      <c r="ZV58" s="179"/>
      <c r="ZW58" s="179"/>
      <c r="ZX58" s="179"/>
      <c r="ZY58" s="179"/>
      <c r="ZZ58" s="179"/>
      <c r="AAA58" s="179"/>
      <c r="AAB58" s="179"/>
      <c r="AAC58" s="179"/>
      <c r="AAD58" s="179"/>
      <c r="AAE58" s="179"/>
      <c r="AAF58" s="179"/>
      <c r="AAG58" s="179"/>
      <c r="AAH58" s="179"/>
      <c r="AAI58" s="179"/>
      <c r="AAJ58" s="179"/>
      <c r="AAK58" s="179"/>
      <c r="AAL58" s="179"/>
      <c r="AAM58" s="179"/>
      <c r="AAN58" s="179"/>
      <c r="AAO58" s="179"/>
      <c r="AAP58" s="179"/>
      <c r="AAQ58" s="179"/>
      <c r="AAR58" s="179"/>
      <c r="AAS58" s="179"/>
      <c r="AAT58" s="179"/>
      <c r="AAU58" s="179"/>
      <c r="AAV58" s="179"/>
      <c r="AAW58" s="179"/>
      <c r="AAX58" s="179"/>
      <c r="AAY58" s="179"/>
      <c r="AAZ58" s="179"/>
      <c r="ABA58" s="179"/>
      <c r="ABB58" s="179"/>
      <c r="ABC58" s="179"/>
      <c r="ABD58" s="179"/>
      <c r="ABE58" s="179"/>
      <c r="ABF58" s="179"/>
      <c r="ABG58" s="179"/>
      <c r="ABH58" s="179"/>
      <c r="ABI58" s="179"/>
      <c r="ABJ58" s="179"/>
      <c r="ABK58" s="179"/>
      <c r="ABL58" s="179"/>
      <c r="ABM58" s="179"/>
      <c r="ABN58" s="179"/>
      <c r="ABO58" s="179"/>
      <c r="ABP58" s="179"/>
      <c r="ABQ58" s="179"/>
      <c r="ABR58" s="179"/>
      <c r="ABS58" s="179"/>
      <c r="ABT58" s="179"/>
      <c r="ABU58" s="179"/>
      <c r="ABV58" s="179"/>
      <c r="ABW58" s="179"/>
      <c r="ABX58" s="179"/>
      <c r="ABY58" s="179"/>
      <c r="ABZ58" s="179"/>
      <c r="ACA58" s="179"/>
      <c r="ACB58" s="179"/>
      <c r="ACC58" s="179"/>
      <c r="ACD58" s="179"/>
      <c r="ACE58" s="179"/>
      <c r="ACF58" s="179"/>
      <c r="ACG58" s="179"/>
      <c r="ACH58" s="179"/>
      <c r="ACI58" s="179"/>
      <c r="ACJ58" s="179"/>
      <c r="ACK58" s="179"/>
      <c r="ACL58" s="179"/>
      <c r="ACM58" s="179"/>
      <c r="ACN58" s="179"/>
      <c r="ACO58" s="179"/>
      <c r="ACP58" s="179"/>
      <c r="ACQ58" s="179"/>
      <c r="ACR58" s="179"/>
      <c r="ACS58" s="179"/>
      <c r="ACT58" s="179"/>
      <c r="ACU58" s="179"/>
      <c r="ACV58" s="179"/>
      <c r="ACW58" s="179"/>
      <c r="ACX58" s="179"/>
      <c r="ACY58" s="179"/>
      <c r="ACZ58" s="179"/>
      <c r="ADA58" s="179"/>
      <c r="ADB58" s="179"/>
      <c r="ADC58" s="179"/>
      <c r="ADD58" s="179"/>
      <c r="ADE58" s="179"/>
      <c r="ADF58" s="179"/>
      <c r="ADG58" s="179"/>
      <c r="ADH58" s="179"/>
      <c r="ADI58" s="179"/>
      <c r="ADJ58" s="179"/>
      <c r="ADK58" s="179"/>
      <c r="ADL58" s="179"/>
      <c r="ADM58" s="179"/>
      <c r="ADN58" s="179"/>
      <c r="ADO58" s="179"/>
      <c r="ADP58" s="179"/>
      <c r="ADQ58" s="179"/>
      <c r="ADR58" s="179"/>
      <c r="ADS58" s="179"/>
      <c r="ADT58" s="179"/>
      <c r="ADU58" s="179"/>
      <c r="ADV58" s="179"/>
      <c r="ADW58" s="179"/>
      <c r="ADX58" s="179"/>
      <c r="ADY58" s="179"/>
      <c r="ADZ58" s="179"/>
      <c r="AEA58" s="179"/>
      <c r="AEB58" s="179"/>
      <c r="AEC58" s="179"/>
      <c r="AED58" s="179"/>
      <c r="AEE58" s="179"/>
      <c r="AEF58" s="179"/>
      <c r="AEG58" s="179"/>
      <c r="AEH58" s="179"/>
      <c r="AEI58" s="179"/>
      <c r="AEJ58" s="179"/>
      <c r="AEK58" s="179"/>
      <c r="AEL58" s="179"/>
      <c r="AEM58" s="179"/>
      <c r="AEN58" s="179"/>
      <c r="AEO58" s="179"/>
      <c r="AEP58" s="179"/>
      <c r="AEQ58" s="179"/>
      <c r="AER58" s="179"/>
      <c r="AES58" s="179"/>
      <c r="AET58" s="179"/>
      <c r="AEU58" s="179"/>
      <c r="AEV58" s="179"/>
      <c r="AEW58" s="179"/>
      <c r="AEX58" s="179"/>
      <c r="AEY58" s="179"/>
      <c r="AEZ58" s="179"/>
      <c r="AFA58" s="179"/>
      <c r="AFB58" s="179"/>
      <c r="AFC58" s="179"/>
      <c r="AFD58" s="179"/>
      <c r="AFE58" s="179"/>
      <c r="AFF58" s="179"/>
      <c r="AFG58" s="179"/>
      <c r="AFH58" s="179"/>
      <c r="AFI58" s="179"/>
      <c r="AFJ58" s="179"/>
      <c r="AFK58" s="179"/>
      <c r="AFL58" s="179"/>
      <c r="AFM58" s="179"/>
      <c r="AFN58" s="179"/>
      <c r="AFO58" s="179"/>
      <c r="AFP58" s="179"/>
      <c r="AFQ58" s="179"/>
      <c r="AFR58" s="179"/>
      <c r="AFS58" s="179"/>
      <c r="AFT58" s="179"/>
      <c r="AFU58" s="179"/>
      <c r="AFV58" s="179"/>
      <c r="AFW58" s="179"/>
      <c r="AFX58" s="179"/>
      <c r="AFY58" s="179"/>
      <c r="AFZ58" s="179"/>
      <c r="AGA58" s="179"/>
      <c r="AGB58" s="179"/>
      <c r="AGC58" s="179"/>
      <c r="AGD58" s="179"/>
      <c r="AGE58" s="179"/>
      <c r="AGF58" s="179"/>
      <c r="AGG58" s="179"/>
      <c r="AGH58" s="179"/>
      <c r="AGI58" s="179"/>
      <c r="AGJ58" s="179"/>
      <c r="AGK58" s="179"/>
      <c r="AGL58" s="179"/>
      <c r="AGM58" s="179"/>
      <c r="AGN58" s="179"/>
      <c r="AGO58" s="179"/>
      <c r="AGP58" s="179"/>
      <c r="AGQ58" s="179"/>
      <c r="AGR58" s="179"/>
      <c r="AGS58" s="179"/>
      <c r="AGT58" s="179"/>
      <c r="AGU58" s="179"/>
      <c r="AGV58" s="179"/>
      <c r="AGW58" s="179"/>
      <c r="AGX58" s="179"/>
      <c r="AGY58" s="179"/>
      <c r="AGZ58" s="179"/>
      <c r="AHA58" s="179"/>
      <c r="AHB58" s="179"/>
      <c r="AHC58" s="179"/>
      <c r="AHD58" s="179"/>
      <c r="AHE58" s="179"/>
      <c r="AHF58" s="179"/>
      <c r="AHG58" s="179"/>
      <c r="AHH58" s="179"/>
      <c r="AHI58" s="179"/>
      <c r="AHJ58" s="179"/>
      <c r="AHK58" s="179"/>
      <c r="AHL58" s="179"/>
      <c r="AHM58" s="179"/>
      <c r="AHN58" s="179"/>
      <c r="AHO58" s="179"/>
      <c r="AHP58" s="179"/>
      <c r="AHQ58" s="179"/>
      <c r="AHR58" s="179"/>
      <c r="AHS58" s="179"/>
      <c r="AHT58" s="179"/>
      <c r="AHU58" s="179"/>
      <c r="AHV58" s="179"/>
      <c r="AHW58" s="179"/>
      <c r="AHX58" s="179"/>
      <c r="AHY58" s="179"/>
      <c r="AHZ58" s="179"/>
      <c r="AIA58" s="179"/>
      <c r="AIB58" s="179"/>
      <c r="AIC58" s="179"/>
      <c r="AID58" s="179"/>
      <c r="AIE58" s="179"/>
      <c r="AIF58" s="179"/>
      <c r="AIG58" s="179"/>
      <c r="AIH58" s="179"/>
      <c r="AII58" s="179"/>
      <c r="AIJ58" s="179"/>
      <c r="AIK58" s="179"/>
      <c r="AIL58" s="179"/>
      <c r="AIM58" s="179"/>
      <c r="AIN58" s="179"/>
      <c r="AIO58" s="179"/>
      <c r="AIP58" s="179"/>
      <c r="AIQ58" s="179"/>
      <c r="AIR58" s="179"/>
      <c r="AIS58" s="179"/>
      <c r="AIT58" s="179"/>
      <c r="AIU58" s="179"/>
      <c r="AIV58" s="179"/>
      <c r="AIW58" s="179"/>
      <c r="AIX58" s="179"/>
      <c r="AIY58" s="179"/>
      <c r="AIZ58" s="179"/>
      <c r="AJA58" s="179"/>
      <c r="AJB58" s="179"/>
      <c r="AJC58" s="179"/>
      <c r="AJD58" s="179"/>
      <c r="AJE58" s="179"/>
      <c r="AJF58" s="179"/>
      <c r="AJG58" s="179"/>
      <c r="AJH58" s="179"/>
      <c r="AJI58" s="179"/>
      <c r="AJJ58" s="179"/>
      <c r="AJK58" s="179"/>
      <c r="AJL58" s="179"/>
      <c r="AJM58" s="179"/>
      <c r="AJN58" s="179"/>
      <c r="AJO58" s="179"/>
      <c r="AJP58" s="179"/>
      <c r="AJQ58" s="179"/>
      <c r="AJR58" s="179"/>
      <c r="AJS58" s="179"/>
      <c r="AJT58" s="179"/>
      <c r="AJU58" s="179"/>
      <c r="AJV58" s="179"/>
      <c r="AJW58" s="179"/>
      <c r="AJX58" s="179"/>
      <c r="AJY58" s="179"/>
      <c r="AJZ58" s="179"/>
      <c r="AKA58" s="179"/>
      <c r="AKB58" s="179"/>
      <c r="AKC58" s="179"/>
      <c r="AKD58" s="179"/>
      <c r="AKE58" s="179"/>
      <c r="AKF58" s="179"/>
      <c r="AKG58" s="179"/>
      <c r="AKH58" s="179"/>
      <c r="AKI58" s="179"/>
      <c r="AKJ58" s="179"/>
      <c r="AKK58" s="179"/>
      <c r="AKL58" s="179"/>
      <c r="AKM58" s="179"/>
      <c r="AKN58" s="179"/>
      <c r="AKO58" s="179"/>
      <c r="AKP58" s="179"/>
      <c r="AKQ58" s="179"/>
      <c r="AKR58" s="179"/>
      <c r="AKS58" s="179"/>
      <c r="AKT58" s="179"/>
      <c r="AKU58" s="179"/>
      <c r="AKV58" s="179"/>
      <c r="AKW58" s="179"/>
      <c r="AKX58" s="179"/>
      <c r="AKY58" s="179"/>
      <c r="AKZ58" s="179"/>
      <c r="ALA58" s="179"/>
      <c r="ALB58" s="179"/>
      <c r="ALC58" s="179"/>
      <c r="ALD58" s="179"/>
      <c r="ALE58" s="179"/>
      <c r="ALF58" s="179"/>
      <c r="ALG58" s="179"/>
      <c r="ALH58" s="179"/>
      <c r="ALI58" s="179"/>
      <c r="ALJ58" s="179"/>
      <c r="ALK58" s="179"/>
      <c r="ALL58" s="179"/>
      <c r="ALM58" s="179"/>
      <c r="ALN58" s="179"/>
      <c r="ALO58" s="179"/>
      <c r="ALP58" s="179"/>
      <c r="ALQ58" s="179"/>
      <c r="ALR58" s="179"/>
      <c r="ALS58" s="179"/>
      <c r="ALT58" s="179"/>
      <c r="ALU58" s="179"/>
      <c r="ALV58" s="179"/>
      <c r="ALW58" s="179"/>
      <c r="ALX58" s="179"/>
      <c r="ALY58" s="179"/>
      <c r="ALZ58" s="179"/>
      <c r="AMA58" s="179"/>
      <c r="AMB58" s="179"/>
      <c r="AMC58" s="179"/>
      <c r="AMD58" s="179"/>
      <c r="AME58" s="179"/>
      <c r="AMF58" s="179"/>
      <c r="AMG58" s="179"/>
      <c r="AMH58" s="179"/>
      <c r="AMI58" s="179"/>
      <c r="AMJ58" s="179"/>
      <c r="AMK58" s="179"/>
      <c r="AML58" s="179"/>
      <c r="AMM58" s="179"/>
      <c r="AMN58" s="179"/>
      <c r="AMO58" s="179"/>
      <c r="AMP58" s="179"/>
      <c r="AMQ58" s="179"/>
      <c r="AMR58" s="179"/>
      <c r="AMS58" s="179"/>
      <c r="AMT58" s="179"/>
      <c r="AMU58" s="179"/>
      <c r="AMV58" s="179"/>
      <c r="AMW58" s="179"/>
      <c r="AMX58" s="179"/>
      <c r="AMY58" s="179"/>
      <c r="AMZ58" s="179"/>
      <c r="ANA58" s="179"/>
      <c r="ANB58" s="179"/>
      <c r="ANC58" s="179"/>
      <c r="AND58" s="179"/>
      <c r="ANE58" s="179"/>
      <c r="ANF58" s="179"/>
      <c r="ANG58" s="179"/>
      <c r="ANH58" s="179"/>
      <c r="ANI58" s="179"/>
      <c r="ANJ58" s="179"/>
      <c r="ANK58" s="179"/>
      <c r="ANL58" s="179"/>
      <c r="ANM58" s="179"/>
      <c r="ANN58" s="179"/>
      <c r="ANO58" s="179"/>
      <c r="ANP58" s="179"/>
      <c r="ANQ58" s="179"/>
      <c r="ANR58" s="179"/>
      <c r="ANS58" s="179"/>
      <c r="ANT58" s="179"/>
      <c r="ANU58" s="179"/>
      <c r="ANV58" s="179"/>
      <c r="ANW58" s="179"/>
      <c r="ANX58" s="179"/>
      <c r="ANY58" s="179"/>
      <c r="ANZ58" s="179"/>
      <c r="AOA58" s="179"/>
      <c r="AOB58" s="179"/>
      <c r="AOC58" s="179"/>
      <c r="AOD58" s="179"/>
      <c r="AOE58" s="179"/>
      <c r="AOF58" s="179"/>
      <c r="AOG58" s="179"/>
      <c r="AOH58" s="179"/>
      <c r="AOI58" s="179"/>
      <c r="AOJ58" s="179"/>
      <c r="AOK58" s="179"/>
      <c r="AOL58" s="179"/>
      <c r="AOM58" s="179"/>
      <c r="AON58" s="179"/>
      <c r="AOO58" s="179"/>
      <c r="AOP58" s="179"/>
      <c r="AOQ58" s="179"/>
      <c r="AOR58" s="179"/>
      <c r="AOS58" s="179"/>
      <c r="AOT58" s="179"/>
      <c r="AOU58" s="179"/>
      <c r="AOV58" s="179"/>
      <c r="AOW58" s="179"/>
      <c r="AOX58" s="179"/>
      <c r="AOY58" s="179"/>
      <c r="AOZ58" s="179"/>
      <c r="APA58" s="179"/>
      <c r="APB58" s="179"/>
      <c r="APC58" s="179"/>
      <c r="APD58" s="179"/>
      <c r="APE58" s="179"/>
      <c r="APF58" s="179"/>
      <c r="APG58" s="179"/>
      <c r="APH58" s="179"/>
      <c r="API58" s="179"/>
      <c r="APJ58" s="179"/>
      <c r="APK58" s="179"/>
      <c r="APL58" s="179"/>
      <c r="APM58" s="179"/>
      <c r="APN58" s="179"/>
      <c r="APO58" s="179"/>
      <c r="APP58" s="179"/>
      <c r="APQ58" s="179"/>
      <c r="APR58" s="179"/>
      <c r="APS58" s="179"/>
      <c r="APT58" s="179"/>
      <c r="APU58" s="179"/>
      <c r="APV58" s="179"/>
      <c r="APW58" s="179"/>
      <c r="APX58" s="179"/>
      <c r="APY58" s="179"/>
      <c r="APZ58" s="179"/>
      <c r="AQA58" s="179"/>
      <c r="AQB58" s="179"/>
      <c r="AQC58" s="179"/>
      <c r="AQD58" s="179"/>
      <c r="AQE58" s="179"/>
      <c r="AQF58" s="179"/>
      <c r="AQG58" s="179"/>
      <c r="AQH58" s="179"/>
      <c r="AQI58" s="179"/>
      <c r="AQJ58" s="179"/>
      <c r="AQK58" s="179"/>
      <c r="AQL58" s="179"/>
      <c r="AQM58" s="179"/>
      <c r="AQN58" s="179"/>
      <c r="AQO58" s="179"/>
      <c r="AQP58" s="179"/>
      <c r="AQQ58" s="179"/>
      <c r="AQR58" s="179"/>
      <c r="AQS58" s="179"/>
      <c r="AQT58" s="179"/>
      <c r="AQU58" s="179"/>
      <c r="AQV58" s="179"/>
      <c r="AQW58" s="179"/>
      <c r="AQX58" s="179"/>
      <c r="AQY58" s="179"/>
      <c r="AQZ58" s="179"/>
      <c r="ARA58" s="179"/>
      <c r="ARB58" s="179"/>
      <c r="ARC58" s="179"/>
      <c r="ARD58" s="179"/>
      <c r="ARE58" s="179"/>
      <c r="ARF58" s="179"/>
      <c r="ARG58" s="179"/>
      <c r="ARH58" s="179"/>
      <c r="ARI58" s="179"/>
      <c r="ARJ58" s="179"/>
      <c r="ARK58" s="179"/>
      <c r="ARL58" s="179"/>
      <c r="ARM58" s="179"/>
      <c r="ARN58" s="179"/>
      <c r="ARO58" s="179"/>
      <c r="ARP58" s="179"/>
      <c r="ARQ58" s="179"/>
      <c r="ARR58" s="179"/>
      <c r="ARS58" s="179"/>
      <c r="ART58" s="179"/>
      <c r="ARU58" s="179"/>
      <c r="ARV58" s="179"/>
      <c r="ARW58" s="179"/>
      <c r="ARX58" s="179"/>
      <c r="ARY58" s="179"/>
      <c r="ARZ58" s="179"/>
      <c r="ASA58" s="179"/>
      <c r="ASB58" s="179"/>
      <c r="ASC58" s="179"/>
      <c r="ASD58" s="179"/>
      <c r="ASE58" s="179"/>
      <c r="ASF58" s="179"/>
      <c r="ASG58" s="179"/>
      <c r="ASH58" s="179"/>
      <c r="ASI58" s="179"/>
      <c r="ASJ58" s="179"/>
      <c r="ASK58" s="179"/>
      <c r="ASL58" s="179"/>
      <c r="ASM58" s="179"/>
      <c r="ASN58" s="179"/>
      <c r="ASO58" s="179"/>
      <c r="ASP58" s="179"/>
      <c r="ASQ58" s="179"/>
      <c r="ASR58" s="179"/>
      <c r="ASS58" s="179"/>
      <c r="AST58" s="179"/>
      <c r="ASU58" s="179"/>
      <c r="ASV58" s="179"/>
      <c r="ASW58" s="179"/>
      <c r="ASX58" s="179"/>
      <c r="ASY58" s="179"/>
      <c r="ASZ58" s="179"/>
      <c r="ATA58" s="179"/>
      <c r="ATB58" s="179"/>
      <c r="ATC58" s="179"/>
      <c r="ATD58" s="179"/>
      <c r="ATE58" s="179"/>
      <c r="ATF58" s="179"/>
      <c r="ATG58" s="179"/>
      <c r="ATH58" s="179"/>
      <c r="ATI58" s="179"/>
      <c r="ATJ58" s="179"/>
      <c r="ATK58" s="179"/>
      <c r="ATL58" s="179"/>
      <c r="ATM58" s="179"/>
      <c r="ATN58" s="179"/>
      <c r="ATO58" s="179"/>
      <c r="ATP58" s="179"/>
      <c r="ATQ58" s="179"/>
      <c r="ATR58" s="179"/>
      <c r="ATS58" s="179"/>
      <c r="ATT58" s="179"/>
      <c r="ATU58" s="179"/>
      <c r="ATV58" s="179"/>
      <c r="ATW58" s="179"/>
      <c r="ATX58" s="179"/>
      <c r="ATY58" s="179"/>
      <c r="ATZ58" s="179"/>
      <c r="AUA58" s="179"/>
      <c r="AUB58" s="179"/>
      <c r="AUC58" s="179"/>
      <c r="AUD58" s="179"/>
      <c r="AUE58" s="179"/>
      <c r="AUF58" s="179"/>
      <c r="AUG58" s="179"/>
      <c r="AUH58" s="179"/>
      <c r="AUI58" s="179"/>
      <c r="AUJ58" s="179"/>
      <c r="AUK58" s="179"/>
      <c r="AUL58" s="179"/>
      <c r="AUM58" s="179"/>
      <c r="AUN58" s="179"/>
      <c r="AUO58" s="179"/>
      <c r="AUP58" s="179"/>
      <c r="AUQ58" s="179"/>
      <c r="AUR58" s="179"/>
      <c r="AUS58" s="179"/>
      <c r="AUT58" s="179"/>
      <c r="AUU58" s="179"/>
      <c r="AUV58" s="179"/>
      <c r="AUW58" s="179"/>
      <c r="AUX58" s="179"/>
      <c r="AUY58" s="179"/>
      <c r="AUZ58" s="179"/>
      <c r="AVA58" s="179"/>
      <c r="AVB58" s="179"/>
      <c r="AVC58" s="179"/>
      <c r="AVD58" s="179"/>
      <c r="AVE58" s="179"/>
      <c r="AVF58" s="179"/>
      <c r="AVG58" s="179"/>
      <c r="AVH58" s="179"/>
      <c r="AVI58" s="179"/>
      <c r="AVJ58" s="179"/>
      <c r="AVK58" s="179"/>
      <c r="AVL58" s="179"/>
      <c r="AVM58" s="179"/>
      <c r="AVN58" s="179"/>
      <c r="AVO58" s="179"/>
      <c r="AVP58" s="179"/>
      <c r="AVQ58" s="179"/>
      <c r="AVR58" s="179"/>
      <c r="AVS58" s="179"/>
      <c r="AVT58" s="179"/>
      <c r="AVU58" s="179"/>
      <c r="AVV58" s="179"/>
      <c r="AVW58" s="179"/>
      <c r="AVX58" s="179"/>
      <c r="AVY58" s="179"/>
      <c r="AVZ58" s="179"/>
      <c r="AWA58" s="179"/>
      <c r="AWB58" s="179"/>
      <c r="AWC58" s="179"/>
      <c r="AWD58" s="179"/>
      <c r="AWE58" s="179"/>
      <c r="AWF58" s="179"/>
      <c r="AWG58" s="179"/>
      <c r="AWH58" s="179"/>
      <c r="AWI58" s="179"/>
      <c r="AWJ58" s="179"/>
      <c r="AWK58" s="179"/>
      <c r="AWL58" s="179"/>
      <c r="AWM58" s="179"/>
      <c r="AWN58" s="179"/>
      <c r="AWO58" s="179"/>
      <c r="AWP58" s="179"/>
      <c r="AWQ58" s="179"/>
      <c r="AWR58" s="179"/>
      <c r="AWS58" s="179"/>
      <c r="AWT58" s="179"/>
      <c r="AWU58" s="179"/>
      <c r="AWV58" s="179"/>
      <c r="AWW58" s="179"/>
      <c r="AWX58" s="179"/>
      <c r="AWY58" s="179"/>
      <c r="AWZ58" s="179"/>
      <c r="AXA58" s="179"/>
      <c r="AXB58" s="179"/>
      <c r="AXC58" s="179"/>
      <c r="AXD58" s="179"/>
      <c r="AXE58" s="179"/>
      <c r="AXF58" s="179"/>
      <c r="AXG58" s="179"/>
      <c r="AXH58" s="179"/>
      <c r="AXI58" s="179"/>
      <c r="AXJ58" s="179"/>
      <c r="AXK58" s="179"/>
      <c r="AXL58" s="179"/>
      <c r="AXM58" s="179"/>
      <c r="AXN58" s="179"/>
      <c r="AXO58" s="179"/>
      <c r="AXP58" s="179"/>
      <c r="AXQ58" s="179"/>
      <c r="AXR58" s="179"/>
      <c r="AXS58" s="179"/>
      <c r="AXT58" s="179"/>
      <c r="AXU58" s="179"/>
      <c r="AXV58" s="179"/>
      <c r="AXW58" s="179"/>
      <c r="AXX58" s="179"/>
      <c r="AXY58" s="179"/>
      <c r="AXZ58" s="179"/>
      <c r="AYA58" s="179"/>
      <c r="AYB58" s="179"/>
      <c r="AYC58" s="179"/>
      <c r="AYD58" s="179"/>
      <c r="AYE58" s="179"/>
      <c r="AYF58" s="179"/>
      <c r="AYG58" s="179"/>
      <c r="AYH58" s="179"/>
      <c r="AYI58" s="179"/>
      <c r="AYJ58" s="179"/>
      <c r="AYK58" s="179"/>
      <c r="AYL58" s="179"/>
      <c r="AYM58" s="179"/>
      <c r="AYN58" s="179"/>
      <c r="AYO58" s="179"/>
      <c r="AYP58" s="179"/>
      <c r="AYQ58" s="179"/>
      <c r="AYR58" s="179"/>
      <c r="AYS58" s="179"/>
      <c r="AYT58" s="179"/>
      <c r="AYU58" s="179"/>
      <c r="AYV58" s="179"/>
      <c r="AYW58" s="179"/>
      <c r="AYX58" s="179"/>
      <c r="AYY58" s="179"/>
      <c r="AYZ58" s="179"/>
      <c r="AZA58" s="179"/>
      <c r="AZB58" s="179"/>
      <c r="AZC58" s="179"/>
      <c r="AZD58" s="179"/>
      <c r="AZE58" s="179"/>
      <c r="AZF58" s="179"/>
      <c r="AZG58" s="179"/>
      <c r="AZH58" s="179"/>
      <c r="AZI58" s="179"/>
      <c r="AZJ58" s="179"/>
      <c r="AZK58" s="179"/>
      <c r="AZL58" s="179"/>
      <c r="AZM58" s="179"/>
      <c r="AZN58" s="179"/>
      <c r="AZO58" s="179"/>
      <c r="AZP58" s="179"/>
      <c r="AZQ58" s="179"/>
      <c r="AZR58" s="179"/>
      <c r="AZS58" s="179"/>
      <c r="AZT58" s="179"/>
      <c r="AZU58" s="179"/>
      <c r="AZV58" s="179"/>
      <c r="AZW58" s="179"/>
      <c r="AZX58" s="179"/>
      <c r="AZY58" s="179"/>
      <c r="AZZ58" s="179"/>
      <c r="BAA58" s="179"/>
      <c r="BAB58" s="179"/>
      <c r="BAC58" s="179"/>
      <c r="BAD58" s="179"/>
      <c r="BAE58" s="179"/>
      <c r="BAF58" s="179"/>
      <c r="BAG58" s="179"/>
      <c r="BAH58" s="179"/>
      <c r="BAI58" s="179"/>
      <c r="BAJ58" s="179"/>
      <c r="BAK58" s="179"/>
      <c r="BAL58" s="179"/>
      <c r="BAM58" s="179"/>
      <c r="BAN58" s="179"/>
      <c r="BAO58" s="179"/>
      <c r="BAP58" s="179"/>
      <c r="BAQ58" s="179"/>
      <c r="BAR58" s="179"/>
      <c r="BAS58" s="179"/>
      <c r="BAT58" s="179"/>
      <c r="BAU58" s="179"/>
      <c r="BAV58" s="179"/>
      <c r="BAW58" s="179"/>
      <c r="BAX58" s="179"/>
      <c r="BAY58" s="179"/>
      <c r="BAZ58" s="179"/>
      <c r="BBA58" s="179"/>
      <c r="BBB58" s="179"/>
      <c r="BBC58" s="179"/>
      <c r="BBD58" s="179"/>
      <c r="BBE58" s="179"/>
      <c r="BBF58" s="179"/>
      <c r="BBG58" s="179"/>
      <c r="BBH58" s="179"/>
      <c r="BBI58" s="179"/>
      <c r="BBJ58" s="179"/>
      <c r="BBK58" s="179"/>
      <c r="BBL58" s="179"/>
      <c r="BBM58" s="179"/>
      <c r="BBN58" s="179"/>
      <c r="BBO58" s="179"/>
      <c r="BBP58" s="179"/>
      <c r="BBQ58" s="179"/>
      <c r="BBR58" s="179"/>
      <c r="BBS58" s="179"/>
      <c r="BBT58" s="179"/>
      <c r="BBU58" s="179"/>
      <c r="BBV58" s="179"/>
      <c r="BBW58" s="179"/>
      <c r="BBX58" s="179"/>
      <c r="BBY58" s="179"/>
      <c r="BBZ58" s="179"/>
      <c r="BCA58" s="179"/>
      <c r="BCB58" s="179"/>
      <c r="BCC58" s="179"/>
      <c r="BCD58" s="179"/>
      <c r="BCE58" s="179"/>
      <c r="BCF58" s="179"/>
      <c r="BCG58" s="179"/>
      <c r="BCH58" s="179"/>
      <c r="BCI58" s="179"/>
      <c r="BCJ58" s="179"/>
      <c r="BCK58" s="179"/>
      <c r="BCL58" s="179"/>
      <c r="BCM58" s="179"/>
      <c r="BCN58" s="179"/>
      <c r="BCO58" s="179"/>
      <c r="BCP58" s="179"/>
      <c r="BCQ58" s="179"/>
      <c r="BCR58" s="179"/>
      <c r="BCS58" s="179"/>
      <c r="BCT58" s="179"/>
      <c r="BCU58" s="179"/>
      <c r="BCV58" s="179"/>
      <c r="BCW58" s="179"/>
      <c r="BCX58" s="179"/>
      <c r="BCY58" s="179"/>
      <c r="BCZ58" s="179"/>
      <c r="BDA58" s="179"/>
      <c r="BDB58" s="179"/>
      <c r="BDC58" s="179"/>
      <c r="BDD58" s="179"/>
      <c r="BDE58" s="179"/>
      <c r="BDF58" s="179"/>
      <c r="BDG58" s="179"/>
      <c r="BDH58" s="179"/>
      <c r="BDI58" s="179"/>
      <c r="BDJ58" s="179"/>
      <c r="BDK58" s="179"/>
      <c r="BDL58" s="179"/>
      <c r="BDM58" s="179"/>
      <c r="BDN58" s="179"/>
      <c r="BDO58" s="179"/>
      <c r="BDP58" s="179"/>
      <c r="BDQ58" s="179"/>
      <c r="BDR58" s="179"/>
      <c r="BDS58" s="179"/>
      <c r="BDT58" s="179"/>
      <c r="BDU58" s="179"/>
      <c r="BDV58" s="179"/>
      <c r="BDW58" s="179"/>
      <c r="BDX58" s="179"/>
      <c r="BDY58" s="179"/>
      <c r="BDZ58" s="179"/>
      <c r="BEA58" s="179"/>
      <c r="BEB58" s="179"/>
      <c r="BEC58" s="179"/>
      <c r="BED58" s="179"/>
      <c r="BEE58" s="179"/>
      <c r="BEF58" s="179"/>
      <c r="BEG58" s="179"/>
      <c r="BEH58" s="179"/>
      <c r="BEI58" s="179"/>
      <c r="BEJ58" s="179"/>
      <c r="BEK58" s="179"/>
      <c r="BEL58" s="179"/>
      <c r="BEM58" s="179"/>
      <c r="BEN58" s="179"/>
      <c r="BEO58" s="179"/>
      <c r="BEP58" s="179"/>
      <c r="BEQ58" s="179"/>
      <c r="BER58" s="179"/>
      <c r="BES58" s="179"/>
      <c r="BET58" s="179"/>
      <c r="BEU58" s="179"/>
      <c r="BEV58" s="179"/>
      <c r="BEW58" s="179"/>
      <c r="BEX58" s="179"/>
      <c r="BEY58" s="179"/>
      <c r="BEZ58" s="179"/>
      <c r="BFA58" s="179"/>
      <c r="BFB58" s="179"/>
      <c r="BFC58" s="179"/>
      <c r="BFD58" s="179"/>
      <c r="BFE58" s="179"/>
      <c r="BFF58" s="179"/>
      <c r="BFG58" s="179"/>
      <c r="BFH58" s="179"/>
      <c r="BFI58" s="179"/>
      <c r="BFJ58" s="179"/>
      <c r="BFK58" s="179"/>
      <c r="BFL58" s="179"/>
      <c r="BFM58" s="179"/>
      <c r="BFN58" s="179"/>
      <c r="BFO58" s="179"/>
      <c r="BFP58" s="179"/>
      <c r="BFQ58" s="179"/>
      <c r="BFR58" s="179"/>
      <c r="BFS58" s="179"/>
      <c r="BFT58" s="179"/>
      <c r="BFU58" s="179"/>
      <c r="BFV58" s="179"/>
      <c r="BFW58" s="179"/>
      <c r="BFX58" s="179"/>
      <c r="BFY58" s="179"/>
      <c r="BFZ58" s="179"/>
      <c r="BGA58" s="179"/>
      <c r="BGB58" s="179"/>
      <c r="BGC58" s="179"/>
      <c r="BGD58" s="179"/>
      <c r="BGE58" s="179"/>
      <c r="BGF58" s="179"/>
      <c r="BGG58" s="179"/>
      <c r="BGH58" s="179"/>
      <c r="BGI58" s="179"/>
      <c r="BGJ58" s="179"/>
      <c r="BGK58" s="179"/>
      <c r="BGL58" s="179"/>
      <c r="BGM58" s="179"/>
      <c r="BGN58" s="179"/>
      <c r="BGO58" s="179"/>
      <c r="BGP58" s="179"/>
      <c r="BGQ58" s="179"/>
      <c r="BGR58" s="179"/>
      <c r="BGS58" s="179"/>
      <c r="BGT58" s="179"/>
      <c r="BGU58" s="179"/>
      <c r="BGV58" s="179"/>
      <c r="BGW58" s="179"/>
      <c r="BGX58" s="179"/>
      <c r="BGY58" s="179"/>
      <c r="BGZ58" s="179"/>
      <c r="BHA58" s="179"/>
      <c r="BHB58" s="179"/>
      <c r="BHC58" s="179"/>
      <c r="BHD58" s="179"/>
      <c r="BHE58" s="179"/>
      <c r="BHF58" s="179"/>
      <c r="BHG58" s="179"/>
      <c r="BHH58" s="179"/>
      <c r="BHI58" s="179"/>
      <c r="BHJ58" s="179"/>
      <c r="BHK58" s="179"/>
      <c r="BHL58" s="179"/>
      <c r="BHM58" s="179"/>
      <c r="BHN58" s="179"/>
      <c r="BHO58" s="179"/>
      <c r="BHP58" s="179"/>
      <c r="BHQ58" s="179"/>
      <c r="BHR58" s="179"/>
      <c r="BHS58" s="179"/>
      <c r="BHT58" s="179"/>
      <c r="BHU58" s="179"/>
      <c r="BHV58" s="179"/>
      <c r="BHW58" s="179"/>
      <c r="BHX58" s="179"/>
      <c r="BHY58" s="179"/>
      <c r="BHZ58" s="179"/>
      <c r="BIA58" s="179"/>
      <c r="BIB58" s="179"/>
      <c r="BIC58" s="179"/>
      <c r="BID58" s="179"/>
      <c r="BIE58" s="179"/>
      <c r="BIF58" s="179"/>
      <c r="BIG58" s="179"/>
      <c r="BIH58" s="179"/>
      <c r="BII58" s="179"/>
      <c r="BIJ58" s="179"/>
      <c r="BIK58" s="179"/>
      <c r="BIL58" s="179"/>
      <c r="BIM58" s="179"/>
      <c r="BIN58" s="179"/>
      <c r="BIO58" s="179"/>
      <c r="BIP58" s="179"/>
      <c r="BIQ58" s="179"/>
      <c r="BIR58" s="179"/>
      <c r="BIS58" s="179"/>
      <c r="BIT58" s="179"/>
      <c r="BIU58" s="179"/>
      <c r="BIV58" s="179"/>
      <c r="BIW58" s="179"/>
      <c r="BIX58" s="179"/>
      <c r="BIY58" s="179"/>
      <c r="BIZ58" s="179"/>
      <c r="BJA58" s="179"/>
      <c r="BJB58" s="179"/>
      <c r="BJC58" s="179"/>
      <c r="BJD58" s="179"/>
      <c r="BJE58" s="179"/>
      <c r="BJF58" s="179"/>
      <c r="BJG58" s="179"/>
      <c r="BJH58" s="179"/>
      <c r="BJI58" s="179"/>
      <c r="BJJ58" s="179"/>
      <c r="BJK58" s="179"/>
      <c r="BJL58" s="179"/>
      <c r="BJM58" s="179"/>
      <c r="BJN58" s="179"/>
      <c r="BJO58" s="179"/>
      <c r="BJP58" s="179"/>
      <c r="BJQ58" s="179"/>
      <c r="BJR58" s="179"/>
      <c r="BJS58" s="179"/>
      <c r="BJT58" s="179"/>
      <c r="BJU58" s="179"/>
      <c r="BJV58" s="179"/>
      <c r="BJW58" s="179"/>
      <c r="BJX58" s="179"/>
      <c r="BJY58" s="179"/>
      <c r="BJZ58" s="179"/>
      <c r="BKA58" s="179"/>
      <c r="BKB58" s="179"/>
      <c r="BKC58" s="179"/>
      <c r="BKD58" s="179"/>
      <c r="BKE58" s="179"/>
      <c r="BKF58" s="179"/>
      <c r="BKG58" s="179"/>
      <c r="BKH58" s="179"/>
      <c r="BKI58" s="179"/>
      <c r="BKJ58" s="179"/>
      <c r="BKK58" s="179"/>
      <c r="BKL58" s="179"/>
      <c r="BKM58" s="179"/>
      <c r="BKN58" s="179"/>
      <c r="BKO58" s="179"/>
      <c r="BKP58" s="179"/>
      <c r="BKQ58" s="179"/>
      <c r="BKR58" s="179"/>
      <c r="BKS58" s="179"/>
      <c r="BKT58" s="179"/>
      <c r="BKU58" s="179"/>
      <c r="BKV58" s="179"/>
      <c r="BKW58" s="179"/>
      <c r="BKX58" s="179"/>
      <c r="BKY58" s="179"/>
      <c r="BKZ58" s="179"/>
      <c r="BLA58" s="179"/>
      <c r="BLB58" s="179"/>
      <c r="BLC58" s="179"/>
      <c r="BLD58" s="179"/>
      <c r="BLE58" s="179"/>
      <c r="BLF58" s="179"/>
      <c r="BLG58" s="179"/>
      <c r="BLH58" s="179"/>
      <c r="BLI58" s="179"/>
      <c r="BLJ58" s="179"/>
      <c r="BLK58" s="179"/>
      <c r="BLL58" s="179"/>
      <c r="BLM58" s="179"/>
      <c r="BLN58" s="179"/>
      <c r="BLO58" s="179"/>
      <c r="BLP58" s="179"/>
      <c r="BLQ58" s="179"/>
      <c r="BLR58" s="179"/>
      <c r="BLS58" s="179"/>
      <c r="BLT58" s="179"/>
      <c r="BLU58" s="179"/>
      <c r="BLV58" s="179"/>
      <c r="BLW58" s="179"/>
      <c r="BLX58" s="179"/>
      <c r="BLY58" s="179"/>
      <c r="BLZ58" s="179"/>
      <c r="BMA58" s="179"/>
      <c r="BMB58" s="179"/>
      <c r="BMC58" s="179"/>
      <c r="BMD58" s="179"/>
      <c r="BME58" s="179"/>
      <c r="BMF58" s="179"/>
      <c r="BMG58" s="179"/>
      <c r="BMH58" s="179"/>
      <c r="BMI58" s="179"/>
      <c r="BMJ58" s="179"/>
      <c r="BMK58" s="179"/>
      <c r="BML58" s="179"/>
      <c r="BMM58" s="179"/>
      <c r="BMN58" s="179"/>
      <c r="BMO58" s="179"/>
      <c r="BMP58" s="179"/>
      <c r="BMQ58" s="179"/>
      <c r="BMR58" s="179"/>
      <c r="BMS58" s="179"/>
      <c r="BMT58" s="179"/>
      <c r="BMU58" s="179"/>
      <c r="BMV58" s="179"/>
      <c r="BMW58" s="179"/>
      <c r="BMX58" s="179"/>
      <c r="BMY58" s="179"/>
      <c r="BMZ58" s="179"/>
      <c r="BNA58" s="179"/>
      <c r="BNB58" s="179"/>
      <c r="BNC58" s="179"/>
      <c r="BND58" s="179"/>
      <c r="BNE58" s="179"/>
      <c r="BNF58" s="179"/>
      <c r="BNG58" s="179"/>
      <c r="BNH58" s="179"/>
      <c r="BNI58" s="179"/>
      <c r="BNJ58" s="179"/>
      <c r="BNK58" s="179"/>
      <c r="BNL58" s="179"/>
      <c r="BNM58" s="179"/>
      <c r="BNN58" s="179"/>
      <c r="BNO58" s="179"/>
      <c r="BNP58" s="179"/>
      <c r="BNQ58" s="179"/>
      <c r="BNR58" s="179"/>
      <c r="BNS58" s="179"/>
      <c r="BNT58" s="179"/>
      <c r="BNU58" s="179"/>
      <c r="BNV58" s="179"/>
      <c r="BNW58" s="179"/>
      <c r="BNX58" s="179"/>
      <c r="BNY58" s="179"/>
      <c r="BNZ58" s="179"/>
      <c r="BOA58" s="179"/>
      <c r="BOB58" s="179"/>
      <c r="BOC58" s="179"/>
      <c r="BOD58" s="179"/>
      <c r="BOE58" s="179"/>
      <c r="BOF58" s="179"/>
      <c r="BOG58" s="179"/>
      <c r="BOH58" s="179"/>
      <c r="BOI58" s="179"/>
      <c r="BOJ58" s="179"/>
      <c r="BOK58" s="179"/>
      <c r="BOL58" s="179"/>
      <c r="BOM58" s="179"/>
      <c r="BON58" s="179"/>
      <c r="BOO58" s="179"/>
      <c r="BOP58" s="179"/>
      <c r="BOQ58" s="179"/>
      <c r="BOR58" s="179"/>
      <c r="BOS58" s="179"/>
      <c r="BOT58" s="179"/>
      <c r="BOU58" s="179"/>
      <c r="BOV58" s="179"/>
      <c r="BOW58" s="179"/>
      <c r="BOX58" s="179"/>
      <c r="BOY58" s="179"/>
      <c r="BOZ58" s="179"/>
      <c r="BPA58" s="179"/>
      <c r="BPB58" s="179"/>
      <c r="BPC58" s="179"/>
      <c r="BPD58" s="179"/>
      <c r="BPE58" s="179"/>
      <c r="BPF58" s="179"/>
      <c r="BPG58" s="179"/>
      <c r="BPH58" s="179"/>
      <c r="BPI58" s="179"/>
      <c r="BPJ58" s="179"/>
      <c r="BPK58" s="179"/>
      <c r="BPL58" s="179"/>
      <c r="BPM58" s="179"/>
      <c r="BPN58" s="179"/>
      <c r="BPO58" s="179"/>
      <c r="BPP58" s="179"/>
      <c r="BPQ58" s="179"/>
      <c r="BPR58" s="179"/>
      <c r="BPS58" s="179"/>
      <c r="BPT58" s="179"/>
      <c r="BPU58" s="179"/>
      <c r="BPV58" s="179"/>
      <c r="BPW58" s="179"/>
      <c r="BPX58" s="179"/>
      <c r="BPY58" s="179"/>
      <c r="BPZ58" s="179"/>
      <c r="BQA58" s="179"/>
      <c r="BQB58" s="179"/>
      <c r="BQC58" s="179"/>
      <c r="BQD58" s="179"/>
      <c r="BQE58" s="179"/>
      <c r="BQF58" s="179"/>
      <c r="BQG58" s="179"/>
      <c r="BQH58" s="179"/>
      <c r="BQI58" s="179"/>
      <c r="BQJ58" s="179"/>
      <c r="BQK58" s="179"/>
      <c r="BQL58" s="179"/>
      <c r="BQM58" s="179"/>
      <c r="BQN58" s="179"/>
      <c r="BQO58" s="179"/>
      <c r="BQP58" s="179"/>
      <c r="BQQ58" s="179"/>
      <c r="BQR58" s="179"/>
      <c r="BQS58" s="179"/>
      <c r="BQT58" s="179"/>
      <c r="BQU58" s="179"/>
      <c r="BQV58" s="179"/>
      <c r="BQW58" s="179"/>
      <c r="BQX58" s="179"/>
      <c r="BQY58" s="179"/>
      <c r="BQZ58" s="179"/>
      <c r="BRA58" s="179"/>
      <c r="BRB58" s="179"/>
      <c r="BRC58" s="179"/>
      <c r="BRD58" s="179"/>
      <c r="BRE58" s="179"/>
      <c r="BRF58" s="179"/>
      <c r="BRG58" s="179"/>
      <c r="BRH58" s="179"/>
      <c r="BRI58" s="179"/>
      <c r="BRJ58" s="179"/>
      <c r="BRK58" s="179"/>
      <c r="BRL58" s="179"/>
      <c r="BRM58" s="179"/>
      <c r="BRN58" s="179"/>
      <c r="BRO58" s="179"/>
      <c r="BRP58" s="179"/>
      <c r="BRQ58" s="179"/>
      <c r="BRR58" s="179"/>
      <c r="BRS58" s="179"/>
      <c r="BRT58" s="179"/>
      <c r="BRU58" s="179"/>
      <c r="BRV58" s="179"/>
      <c r="BRW58" s="179"/>
      <c r="BRX58" s="179"/>
      <c r="BRY58" s="179"/>
      <c r="BRZ58" s="179"/>
      <c r="BSA58" s="179"/>
      <c r="BSB58" s="179"/>
      <c r="BSC58" s="179"/>
      <c r="BSD58" s="179"/>
      <c r="BSE58" s="179"/>
      <c r="BSF58" s="179"/>
      <c r="BSG58" s="179"/>
      <c r="BSH58" s="179"/>
      <c r="BSI58" s="179"/>
      <c r="BSJ58" s="179"/>
      <c r="BSK58" s="179"/>
      <c r="BSL58" s="179"/>
      <c r="BSM58" s="179"/>
      <c r="BSN58" s="179"/>
      <c r="BSO58" s="179"/>
      <c r="BSP58" s="179"/>
      <c r="BSQ58" s="179"/>
      <c r="BSR58" s="179"/>
      <c r="BSS58" s="179"/>
      <c r="BST58" s="179"/>
      <c r="BSU58" s="179"/>
      <c r="BSV58" s="179"/>
      <c r="BSW58" s="179"/>
      <c r="BSX58" s="179"/>
      <c r="BSY58" s="179"/>
      <c r="BSZ58" s="179"/>
      <c r="BTA58" s="179"/>
      <c r="BTB58" s="179"/>
      <c r="BTC58" s="179"/>
      <c r="BTD58" s="179"/>
      <c r="BTE58" s="179"/>
      <c r="BTF58" s="179"/>
      <c r="BTG58" s="179"/>
      <c r="BTH58" s="179"/>
      <c r="BTI58" s="179"/>
      <c r="BTJ58" s="179"/>
      <c r="BTK58" s="179"/>
      <c r="BTL58" s="179"/>
      <c r="BTM58" s="179"/>
      <c r="BTN58" s="179"/>
      <c r="BTO58" s="179"/>
      <c r="BTP58" s="179"/>
      <c r="BTQ58" s="179"/>
      <c r="BTR58" s="179"/>
      <c r="BTS58" s="179"/>
      <c r="BTT58" s="179"/>
      <c r="BTU58" s="179"/>
      <c r="BTV58" s="179"/>
      <c r="BTW58" s="179"/>
      <c r="BTX58" s="179"/>
      <c r="BTY58" s="179"/>
      <c r="BTZ58" s="179"/>
      <c r="BUA58" s="179"/>
      <c r="BUB58" s="179"/>
      <c r="BUC58" s="179"/>
      <c r="BUD58" s="179"/>
      <c r="BUE58" s="179"/>
      <c r="BUF58" s="179"/>
      <c r="BUG58" s="179"/>
      <c r="BUH58" s="179"/>
      <c r="BUI58" s="179"/>
      <c r="BUJ58" s="179"/>
      <c r="BUK58" s="179"/>
      <c r="BUL58" s="179"/>
      <c r="BUM58" s="179"/>
      <c r="BUN58" s="179"/>
      <c r="BUO58" s="179"/>
      <c r="BUP58" s="179"/>
      <c r="BUQ58" s="179"/>
      <c r="BUR58" s="179"/>
      <c r="BUS58" s="179"/>
      <c r="BUT58" s="179"/>
      <c r="BUU58" s="179"/>
      <c r="BUV58" s="179"/>
      <c r="BUW58" s="179"/>
      <c r="BUX58" s="179"/>
      <c r="BUY58" s="179"/>
      <c r="BUZ58" s="179"/>
      <c r="BVA58" s="179"/>
      <c r="BVB58" s="179"/>
      <c r="BVC58" s="179"/>
      <c r="BVD58" s="179"/>
      <c r="BVE58" s="179"/>
      <c r="BVF58" s="179"/>
      <c r="BVG58" s="179"/>
      <c r="BVH58" s="179"/>
      <c r="BVI58" s="179"/>
      <c r="BVJ58" s="179"/>
      <c r="BVK58" s="179"/>
      <c r="BVL58" s="179"/>
      <c r="BVM58" s="179"/>
      <c r="BVN58" s="179"/>
      <c r="BVO58" s="179"/>
      <c r="BVP58" s="179"/>
      <c r="BVQ58" s="179"/>
      <c r="BVR58" s="179"/>
      <c r="BVS58" s="179"/>
      <c r="BVT58" s="179"/>
      <c r="BVU58" s="179"/>
      <c r="BVV58" s="179"/>
      <c r="BVW58" s="179"/>
      <c r="BVX58" s="179"/>
      <c r="BVY58" s="179"/>
      <c r="BVZ58" s="179"/>
      <c r="BWA58" s="179"/>
      <c r="BWB58" s="179"/>
      <c r="BWC58" s="179"/>
      <c r="BWD58" s="179"/>
      <c r="BWE58" s="179"/>
      <c r="BWF58" s="179"/>
      <c r="BWG58" s="179"/>
      <c r="BWH58" s="179"/>
      <c r="BWI58" s="179"/>
      <c r="BWJ58" s="179"/>
      <c r="BWK58" s="179"/>
      <c r="BWL58" s="179"/>
      <c r="BWM58" s="179"/>
      <c r="BWN58" s="179"/>
      <c r="BWO58" s="179"/>
      <c r="BWP58" s="179"/>
      <c r="BWQ58" s="179"/>
      <c r="BWR58" s="179"/>
      <c r="BWS58" s="179"/>
      <c r="BWT58" s="179"/>
      <c r="BWU58" s="179"/>
      <c r="BWV58" s="179"/>
      <c r="BWW58" s="179"/>
      <c r="BWX58" s="179"/>
      <c r="BWY58" s="179"/>
      <c r="BWZ58" s="179"/>
      <c r="BXA58" s="179"/>
      <c r="BXB58" s="179"/>
      <c r="BXC58" s="179"/>
      <c r="BXD58" s="179"/>
      <c r="BXE58" s="179"/>
      <c r="BXF58" s="179"/>
      <c r="BXG58" s="179"/>
      <c r="BXH58" s="179"/>
      <c r="BXI58" s="179"/>
      <c r="BXJ58" s="179"/>
      <c r="BXK58" s="179"/>
      <c r="BXL58" s="179"/>
      <c r="BXM58" s="179"/>
      <c r="BXN58" s="179"/>
      <c r="BXO58" s="179"/>
      <c r="BXP58" s="179"/>
      <c r="BXQ58" s="179"/>
      <c r="BXR58" s="179"/>
      <c r="BXS58" s="179"/>
      <c r="BXT58" s="179"/>
      <c r="BXU58" s="179"/>
      <c r="BXV58" s="179"/>
      <c r="BXW58" s="179"/>
      <c r="BXX58" s="179"/>
      <c r="BXY58" s="179"/>
      <c r="BXZ58" s="179"/>
      <c r="BYA58" s="179"/>
      <c r="BYB58" s="179"/>
      <c r="BYC58" s="179"/>
      <c r="BYD58" s="179"/>
      <c r="BYE58" s="179"/>
      <c r="BYF58" s="179"/>
      <c r="BYG58" s="179"/>
      <c r="BYH58" s="179"/>
      <c r="BYI58" s="179"/>
      <c r="BYJ58" s="179"/>
      <c r="BYK58" s="179"/>
      <c r="BYL58" s="179"/>
      <c r="BYM58" s="179"/>
      <c r="BYN58" s="179"/>
      <c r="BYO58" s="179"/>
      <c r="BYP58" s="179"/>
      <c r="BYQ58" s="179"/>
      <c r="BYR58" s="179"/>
      <c r="BYS58" s="179"/>
      <c r="BYT58" s="179"/>
      <c r="BYU58" s="179"/>
      <c r="BYV58" s="179"/>
      <c r="BYW58" s="179"/>
      <c r="BYX58" s="179"/>
      <c r="BYY58" s="179"/>
      <c r="BYZ58" s="179"/>
      <c r="BZA58" s="179"/>
      <c r="BZB58" s="179"/>
      <c r="BZC58" s="179"/>
      <c r="BZD58" s="179"/>
      <c r="BZE58" s="179"/>
      <c r="BZF58" s="179"/>
      <c r="BZG58" s="179"/>
      <c r="BZH58" s="179"/>
      <c r="BZI58" s="179"/>
      <c r="BZJ58" s="179"/>
      <c r="BZK58" s="179"/>
      <c r="BZL58" s="179"/>
      <c r="BZM58" s="179"/>
      <c r="BZN58" s="179"/>
      <c r="BZO58" s="179"/>
      <c r="BZP58" s="179"/>
      <c r="BZQ58" s="179"/>
      <c r="BZR58" s="179"/>
      <c r="BZS58" s="179"/>
      <c r="BZT58" s="179"/>
      <c r="BZU58" s="179"/>
      <c r="BZV58" s="179"/>
      <c r="BZW58" s="179"/>
      <c r="BZX58" s="179"/>
      <c r="BZY58" s="179"/>
      <c r="BZZ58" s="179"/>
      <c r="CAA58" s="179"/>
      <c r="CAB58" s="179"/>
      <c r="CAC58" s="179"/>
      <c r="CAD58" s="179"/>
      <c r="CAE58" s="179"/>
      <c r="CAF58" s="179"/>
      <c r="CAG58" s="179"/>
      <c r="CAH58" s="179"/>
      <c r="CAI58" s="179"/>
      <c r="CAJ58" s="179"/>
      <c r="CAK58" s="179"/>
      <c r="CAL58" s="179"/>
      <c r="CAM58" s="179"/>
      <c r="CAN58" s="179"/>
      <c r="CAO58" s="179"/>
      <c r="CAP58" s="179"/>
      <c r="CAQ58" s="179"/>
      <c r="CAR58" s="179"/>
      <c r="CAS58" s="179"/>
      <c r="CAT58" s="179"/>
      <c r="CAU58" s="179"/>
      <c r="CAV58" s="179"/>
      <c r="CAW58" s="179"/>
      <c r="CAX58" s="179"/>
      <c r="CAY58" s="179"/>
      <c r="CAZ58" s="179"/>
      <c r="CBA58" s="179"/>
      <c r="CBB58" s="179"/>
      <c r="CBC58" s="179"/>
      <c r="CBD58" s="179"/>
      <c r="CBE58" s="179"/>
      <c r="CBF58" s="179"/>
      <c r="CBG58" s="179"/>
      <c r="CBH58" s="179"/>
      <c r="CBI58" s="179"/>
      <c r="CBJ58" s="179"/>
      <c r="CBK58" s="179"/>
      <c r="CBL58" s="179"/>
      <c r="CBM58" s="179"/>
      <c r="CBN58" s="179"/>
      <c r="CBO58" s="179"/>
      <c r="CBP58" s="179"/>
      <c r="CBQ58" s="179"/>
      <c r="CBR58" s="179"/>
      <c r="CBS58" s="179"/>
      <c r="CBT58" s="179"/>
      <c r="CBU58" s="179"/>
      <c r="CBV58" s="179"/>
      <c r="CBW58" s="179"/>
      <c r="CBX58" s="179"/>
      <c r="CBY58" s="179"/>
      <c r="CBZ58" s="179"/>
      <c r="CCA58" s="179"/>
      <c r="CCB58" s="179"/>
      <c r="CCC58" s="179"/>
      <c r="CCD58" s="179"/>
      <c r="CCE58" s="179"/>
      <c r="CCF58" s="179"/>
      <c r="CCG58" s="179"/>
      <c r="CCH58" s="179"/>
      <c r="CCI58" s="179"/>
      <c r="CCJ58" s="179"/>
      <c r="CCK58" s="179"/>
      <c r="CCL58" s="179"/>
      <c r="CCM58" s="179"/>
      <c r="CCN58" s="179"/>
      <c r="CCO58" s="179"/>
      <c r="CCP58" s="179"/>
      <c r="CCQ58" s="179"/>
      <c r="CCR58" s="179"/>
      <c r="CCS58" s="179"/>
      <c r="CCT58" s="179"/>
      <c r="CCU58" s="179"/>
      <c r="CCV58" s="179"/>
      <c r="CCW58" s="179"/>
      <c r="CCX58" s="179"/>
      <c r="CCY58" s="179"/>
      <c r="CCZ58" s="179"/>
      <c r="CDA58" s="179"/>
      <c r="CDB58" s="179"/>
      <c r="CDC58" s="179"/>
      <c r="CDD58" s="179"/>
      <c r="CDE58" s="179"/>
      <c r="CDF58" s="179"/>
      <c r="CDG58" s="179"/>
      <c r="CDH58" s="179"/>
      <c r="CDI58" s="179"/>
      <c r="CDJ58" s="179"/>
      <c r="CDK58" s="179"/>
      <c r="CDL58" s="179"/>
      <c r="CDM58" s="179"/>
      <c r="CDN58" s="179"/>
      <c r="CDO58" s="179"/>
      <c r="CDP58" s="179"/>
      <c r="CDQ58" s="179"/>
      <c r="CDR58" s="179"/>
      <c r="CDS58" s="179"/>
      <c r="CDT58" s="179"/>
      <c r="CDU58" s="179"/>
      <c r="CDV58" s="179"/>
      <c r="CDW58" s="179"/>
      <c r="CDX58" s="179"/>
      <c r="CDY58" s="179"/>
      <c r="CDZ58" s="179"/>
      <c r="CEA58" s="179"/>
      <c r="CEB58" s="179"/>
      <c r="CEC58" s="179"/>
      <c r="CED58" s="179"/>
      <c r="CEE58" s="179"/>
      <c r="CEF58" s="179"/>
      <c r="CEG58" s="179"/>
      <c r="CEH58" s="179"/>
      <c r="CEI58" s="179"/>
      <c r="CEJ58" s="179"/>
      <c r="CEK58" s="179"/>
      <c r="CEL58" s="179"/>
      <c r="CEM58" s="179"/>
      <c r="CEN58" s="179"/>
      <c r="CEO58" s="179"/>
      <c r="CEP58" s="179"/>
      <c r="CEQ58" s="179"/>
      <c r="CER58" s="179"/>
      <c r="CES58" s="179"/>
      <c r="CET58" s="179"/>
      <c r="CEU58" s="179"/>
      <c r="CEV58" s="179"/>
      <c r="CEW58" s="179"/>
      <c r="CEX58" s="179"/>
      <c r="CEY58" s="179"/>
      <c r="CEZ58" s="179"/>
      <c r="CFA58" s="179"/>
      <c r="CFB58" s="179"/>
      <c r="CFC58" s="179"/>
      <c r="CFD58" s="179"/>
      <c r="CFE58" s="179"/>
      <c r="CFF58" s="179"/>
      <c r="CFG58" s="179"/>
      <c r="CFH58" s="179"/>
      <c r="CFI58" s="179"/>
      <c r="CFJ58" s="179"/>
      <c r="CFK58" s="179"/>
      <c r="CFL58" s="179"/>
      <c r="CFM58" s="179"/>
      <c r="CFN58" s="179"/>
      <c r="CFO58" s="179"/>
      <c r="CFP58" s="179"/>
      <c r="CFQ58" s="179"/>
      <c r="CFR58" s="179"/>
      <c r="CFS58" s="179"/>
      <c r="CFT58" s="179"/>
      <c r="CFU58" s="179"/>
      <c r="CFV58" s="179"/>
      <c r="CFW58" s="179"/>
      <c r="CFX58" s="179"/>
      <c r="CFY58" s="179"/>
      <c r="CFZ58" s="179"/>
      <c r="CGA58" s="179"/>
      <c r="CGB58" s="179"/>
      <c r="CGC58" s="179"/>
      <c r="CGD58" s="179"/>
      <c r="CGE58" s="179"/>
      <c r="CGF58" s="179"/>
      <c r="CGG58" s="179"/>
      <c r="CGH58" s="179"/>
      <c r="CGI58" s="179"/>
      <c r="CGJ58" s="179"/>
      <c r="CGK58" s="179"/>
      <c r="CGL58" s="179"/>
      <c r="CGM58" s="179"/>
      <c r="CGN58" s="179"/>
      <c r="CGO58" s="179"/>
      <c r="CGP58" s="179"/>
      <c r="CGQ58" s="179"/>
      <c r="CGR58" s="179"/>
      <c r="CGS58" s="179"/>
      <c r="CGT58" s="179"/>
      <c r="CGU58" s="179"/>
      <c r="CGV58" s="179"/>
      <c r="CGW58" s="179"/>
      <c r="CGX58" s="179"/>
      <c r="CGY58" s="179"/>
      <c r="CGZ58" s="179"/>
      <c r="CHA58" s="179"/>
      <c r="CHB58" s="179"/>
      <c r="CHC58" s="179"/>
      <c r="CHD58" s="179"/>
      <c r="CHE58" s="179"/>
      <c r="CHF58" s="179"/>
      <c r="CHG58" s="179"/>
      <c r="CHH58" s="179"/>
      <c r="CHI58" s="179"/>
      <c r="CHJ58" s="179"/>
      <c r="CHK58" s="179"/>
      <c r="CHL58" s="179"/>
      <c r="CHM58" s="179"/>
      <c r="CHN58" s="179"/>
      <c r="CHO58" s="179"/>
      <c r="CHP58" s="179"/>
      <c r="CHQ58" s="179"/>
      <c r="CHR58" s="179"/>
      <c r="CHS58" s="179"/>
      <c r="CHT58" s="179"/>
      <c r="CHU58" s="179"/>
      <c r="CHV58" s="179"/>
      <c r="CHW58" s="179"/>
      <c r="CHX58" s="179"/>
      <c r="CHY58" s="179"/>
      <c r="CHZ58" s="179"/>
      <c r="CIA58" s="179"/>
      <c r="CIB58" s="179"/>
      <c r="CIC58" s="179"/>
      <c r="CID58" s="179"/>
      <c r="CIE58" s="179"/>
      <c r="CIF58" s="179"/>
      <c r="CIG58" s="179"/>
      <c r="CIH58" s="179"/>
      <c r="CII58" s="179"/>
      <c r="CIJ58" s="179"/>
      <c r="CIK58" s="179"/>
      <c r="CIL58" s="179"/>
      <c r="CIM58" s="179"/>
      <c r="CIN58" s="179"/>
      <c r="CIO58" s="179"/>
      <c r="CIP58" s="179"/>
      <c r="CIQ58" s="179"/>
      <c r="CIR58" s="179"/>
      <c r="CIS58" s="179"/>
      <c r="CIT58" s="179"/>
      <c r="CIU58" s="179"/>
      <c r="CIV58" s="179"/>
      <c r="CIW58" s="179"/>
      <c r="CIX58" s="179"/>
      <c r="CIY58" s="179"/>
      <c r="CIZ58" s="179"/>
      <c r="CJA58" s="179"/>
      <c r="CJB58" s="179"/>
      <c r="CJC58" s="179"/>
      <c r="CJD58" s="179"/>
      <c r="CJE58" s="179"/>
      <c r="CJF58" s="179"/>
      <c r="CJG58" s="179"/>
      <c r="CJH58" s="179"/>
      <c r="CJI58" s="179"/>
      <c r="CJJ58" s="179"/>
      <c r="CJK58" s="179"/>
      <c r="CJL58" s="179"/>
      <c r="CJM58" s="179"/>
      <c r="CJN58" s="179"/>
      <c r="CJO58" s="179"/>
      <c r="CJP58" s="179"/>
      <c r="CJQ58" s="179"/>
      <c r="CJR58" s="179"/>
      <c r="CJS58" s="179"/>
      <c r="CJT58" s="179"/>
      <c r="CJU58" s="179"/>
      <c r="CJV58" s="179"/>
      <c r="CJW58" s="179"/>
      <c r="CJX58" s="179"/>
      <c r="CJY58" s="179"/>
      <c r="CJZ58" s="179"/>
      <c r="CKA58" s="179"/>
      <c r="CKB58" s="179"/>
      <c r="CKC58" s="179"/>
      <c r="CKD58" s="179"/>
      <c r="CKE58" s="179"/>
      <c r="CKF58" s="179"/>
      <c r="CKG58" s="179"/>
      <c r="CKH58" s="179"/>
      <c r="CKI58" s="179"/>
      <c r="CKJ58" s="179"/>
      <c r="CKK58" s="179"/>
      <c r="CKL58" s="179"/>
      <c r="CKM58" s="179"/>
      <c r="CKN58" s="179"/>
      <c r="CKO58" s="179"/>
      <c r="CKP58" s="179"/>
      <c r="CKQ58" s="179"/>
      <c r="CKR58" s="179"/>
      <c r="CKS58" s="179"/>
      <c r="CKT58" s="179"/>
      <c r="CKU58" s="179"/>
      <c r="CKV58" s="179"/>
      <c r="CKW58" s="179"/>
      <c r="CKX58" s="179"/>
      <c r="CKY58" s="179"/>
      <c r="CKZ58" s="179"/>
      <c r="CLA58" s="179"/>
      <c r="CLB58" s="179"/>
      <c r="CLC58" s="179"/>
      <c r="CLD58" s="179"/>
      <c r="CLE58" s="179"/>
      <c r="CLF58" s="179"/>
      <c r="CLG58" s="179"/>
      <c r="CLH58" s="179"/>
      <c r="CLI58" s="179"/>
      <c r="CLJ58" s="179"/>
      <c r="CLK58" s="179"/>
      <c r="CLL58" s="179"/>
      <c r="CLM58" s="179"/>
      <c r="CLN58" s="179"/>
      <c r="CLO58" s="179"/>
      <c r="CLP58" s="179"/>
      <c r="CLQ58" s="179"/>
      <c r="CLR58" s="179"/>
      <c r="CLS58" s="179"/>
      <c r="CLT58" s="179"/>
      <c r="CLU58" s="179"/>
      <c r="CLV58" s="179"/>
      <c r="CLW58" s="179"/>
      <c r="CLX58" s="179"/>
      <c r="CLY58" s="179"/>
      <c r="CLZ58" s="179"/>
      <c r="CMA58" s="179"/>
      <c r="CMB58" s="179"/>
      <c r="CMC58" s="179"/>
      <c r="CMD58" s="179"/>
      <c r="CME58" s="179"/>
      <c r="CMF58" s="179"/>
      <c r="CMG58" s="179"/>
      <c r="CMH58" s="179"/>
      <c r="CMI58" s="179"/>
      <c r="CMJ58" s="179"/>
      <c r="CMK58" s="179"/>
      <c r="CML58" s="179"/>
      <c r="CMM58" s="179"/>
      <c r="CMN58" s="179"/>
      <c r="CMO58" s="179"/>
      <c r="CMP58" s="179"/>
      <c r="CMQ58" s="179"/>
      <c r="CMR58" s="179"/>
      <c r="CMS58" s="179"/>
      <c r="CMT58" s="179"/>
      <c r="CMU58" s="179"/>
      <c r="CMV58" s="179"/>
      <c r="CMW58" s="179"/>
      <c r="CMX58" s="179"/>
      <c r="CMY58" s="179"/>
      <c r="CMZ58" s="179"/>
      <c r="CNA58" s="179"/>
      <c r="CNB58" s="179"/>
      <c r="CNC58" s="179"/>
      <c r="CND58" s="179"/>
      <c r="CNE58" s="179"/>
      <c r="CNF58" s="179"/>
      <c r="CNG58" s="179"/>
      <c r="CNH58" s="179"/>
      <c r="CNI58" s="179"/>
      <c r="CNJ58" s="179"/>
      <c r="CNK58" s="179"/>
      <c r="CNL58" s="179"/>
      <c r="CNM58" s="179"/>
      <c r="CNN58" s="179"/>
      <c r="CNO58" s="179"/>
      <c r="CNP58" s="179"/>
      <c r="CNQ58" s="179"/>
      <c r="CNR58" s="179"/>
      <c r="CNS58" s="179"/>
      <c r="CNT58" s="179"/>
      <c r="CNU58" s="179"/>
      <c r="CNV58" s="179"/>
      <c r="CNW58" s="179"/>
      <c r="CNX58" s="179"/>
      <c r="CNY58" s="179"/>
      <c r="CNZ58" s="179"/>
      <c r="COA58" s="179"/>
      <c r="COB58" s="179"/>
      <c r="COC58" s="179"/>
      <c r="COD58" s="179"/>
      <c r="COE58" s="179"/>
      <c r="COF58" s="179"/>
      <c r="COG58" s="179"/>
      <c r="COH58" s="179"/>
      <c r="COI58" s="179"/>
      <c r="COJ58" s="179"/>
      <c r="COK58" s="179"/>
      <c r="COL58" s="179"/>
      <c r="COM58" s="179"/>
      <c r="CON58" s="179"/>
      <c r="COO58" s="179"/>
      <c r="COP58" s="179"/>
      <c r="COQ58" s="179"/>
      <c r="COR58" s="179"/>
      <c r="COS58" s="179"/>
      <c r="COT58" s="179"/>
      <c r="COU58" s="179"/>
      <c r="COV58" s="179"/>
      <c r="COW58" s="179"/>
      <c r="COX58" s="179"/>
      <c r="COY58" s="179"/>
      <c r="COZ58" s="179"/>
      <c r="CPA58" s="179"/>
      <c r="CPB58" s="179"/>
      <c r="CPC58" s="179"/>
      <c r="CPD58" s="179"/>
      <c r="CPE58" s="179"/>
      <c r="CPF58" s="179"/>
      <c r="CPG58" s="179"/>
      <c r="CPH58" s="179"/>
      <c r="CPI58" s="179"/>
      <c r="CPJ58" s="179"/>
      <c r="CPK58" s="179"/>
      <c r="CPL58" s="179"/>
      <c r="CPM58" s="179"/>
      <c r="CPN58" s="179"/>
      <c r="CPO58" s="179"/>
      <c r="CPP58" s="179"/>
      <c r="CPQ58" s="179"/>
      <c r="CPR58" s="179"/>
      <c r="CPS58" s="179"/>
      <c r="CPT58" s="179"/>
      <c r="CPU58" s="179"/>
      <c r="CPV58" s="179"/>
      <c r="CPW58" s="179"/>
      <c r="CPX58" s="179"/>
      <c r="CPY58" s="179"/>
      <c r="CPZ58" s="179"/>
      <c r="CQA58" s="179"/>
      <c r="CQB58" s="179"/>
      <c r="CQC58" s="179"/>
      <c r="CQD58" s="179"/>
      <c r="CQE58" s="179"/>
      <c r="CQF58" s="179"/>
      <c r="CQG58" s="179"/>
      <c r="CQH58" s="179"/>
      <c r="CQI58" s="179"/>
      <c r="CQJ58" s="179"/>
      <c r="CQK58" s="179"/>
      <c r="CQL58" s="179"/>
      <c r="CQM58" s="179"/>
      <c r="CQN58" s="179"/>
      <c r="CQO58" s="179"/>
      <c r="CQP58" s="179"/>
      <c r="CQQ58" s="179"/>
      <c r="CQR58" s="179"/>
      <c r="CQS58" s="179"/>
      <c r="CQT58" s="179"/>
      <c r="CQU58" s="179"/>
      <c r="CQV58" s="179"/>
      <c r="CQW58" s="179"/>
      <c r="CQX58" s="179"/>
      <c r="CQY58" s="179"/>
      <c r="CQZ58" s="179"/>
      <c r="CRA58" s="179"/>
      <c r="CRB58" s="179"/>
      <c r="CRC58" s="179"/>
      <c r="CRD58" s="179"/>
      <c r="CRE58" s="179"/>
      <c r="CRF58" s="179"/>
      <c r="CRG58" s="179"/>
      <c r="CRH58" s="179"/>
      <c r="CRI58" s="179"/>
      <c r="CRJ58" s="179"/>
      <c r="CRK58" s="179"/>
      <c r="CRL58" s="179"/>
      <c r="CRM58" s="179"/>
      <c r="CRN58" s="179"/>
      <c r="CRO58" s="179"/>
      <c r="CRP58" s="179"/>
      <c r="CRQ58" s="179"/>
      <c r="CRR58" s="179"/>
      <c r="CRS58" s="179"/>
      <c r="CRT58" s="179"/>
      <c r="CRU58" s="179"/>
      <c r="CRV58" s="179"/>
      <c r="CRW58" s="179"/>
      <c r="CRX58" s="179"/>
      <c r="CRY58" s="179"/>
      <c r="CRZ58" s="179"/>
      <c r="CSA58" s="179"/>
      <c r="CSB58" s="179"/>
      <c r="CSC58" s="179"/>
      <c r="CSD58" s="179"/>
      <c r="CSE58" s="179"/>
      <c r="CSF58" s="179"/>
      <c r="CSG58" s="179"/>
      <c r="CSH58" s="179"/>
      <c r="CSI58" s="179"/>
      <c r="CSJ58" s="179"/>
      <c r="CSK58" s="179"/>
      <c r="CSL58" s="179"/>
      <c r="CSM58" s="179"/>
      <c r="CSN58" s="179"/>
      <c r="CSO58" s="179"/>
      <c r="CSP58" s="179"/>
      <c r="CSQ58" s="179"/>
      <c r="CSR58" s="179"/>
      <c r="CSS58" s="179"/>
      <c r="CST58" s="179"/>
      <c r="CSU58" s="179"/>
      <c r="CSV58" s="179"/>
      <c r="CSW58" s="179"/>
      <c r="CSX58" s="179"/>
      <c r="CSY58" s="179"/>
      <c r="CSZ58" s="179"/>
      <c r="CTA58" s="179"/>
      <c r="CTB58" s="179"/>
      <c r="CTC58" s="179"/>
      <c r="CTD58" s="179"/>
      <c r="CTE58" s="179"/>
      <c r="CTF58" s="179"/>
      <c r="CTG58" s="179"/>
      <c r="CTH58" s="179"/>
      <c r="CTI58" s="179"/>
      <c r="CTJ58" s="179"/>
      <c r="CTK58" s="179"/>
      <c r="CTL58" s="179"/>
      <c r="CTM58" s="179"/>
      <c r="CTN58" s="179"/>
      <c r="CTO58" s="179"/>
      <c r="CTP58" s="179"/>
      <c r="CTQ58" s="179"/>
      <c r="CTR58" s="179"/>
      <c r="CTS58" s="179"/>
      <c r="CTT58" s="179"/>
      <c r="CTU58" s="179"/>
      <c r="CTV58" s="179"/>
      <c r="CTW58" s="179"/>
      <c r="CTX58" s="179"/>
      <c r="CTY58" s="179"/>
      <c r="CTZ58" s="179"/>
      <c r="CUA58" s="179"/>
      <c r="CUB58" s="179"/>
      <c r="CUC58" s="179"/>
      <c r="CUD58" s="179"/>
      <c r="CUE58" s="179"/>
      <c r="CUF58" s="179"/>
      <c r="CUG58" s="179"/>
      <c r="CUH58" s="179"/>
      <c r="CUI58" s="179"/>
      <c r="CUJ58" s="179"/>
      <c r="CUK58" s="179"/>
      <c r="CUL58" s="179"/>
      <c r="CUM58" s="179"/>
      <c r="CUN58" s="179"/>
      <c r="CUO58" s="179"/>
      <c r="CUP58" s="179"/>
      <c r="CUQ58" s="179"/>
      <c r="CUR58" s="179"/>
      <c r="CUS58" s="179"/>
      <c r="CUT58" s="179"/>
      <c r="CUU58" s="179"/>
      <c r="CUV58" s="179"/>
      <c r="CUW58" s="179"/>
      <c r="CUX58" s="179"/>
      <c r="CUY58" s="179"/>
      <c r="CUZ58" s="179"/>
      <c r="CVA58" s="179"/>
      <c r="CVB58" s="179"/>
      <c r="CVC58" s="179"/>
      <c r="CVD58" s="179"/>
      <c r="CVE58" s="179"/>
      <c r="CVF58" s="179"/>
      <c r="CVG58" s="179"/>
      <c r="CVH58" s="179"/>
      <c r="CVI58" s="179"/>
      <c r="CVJ58" s="179"/>
      <c r="CVK58" s="179"/>
      <c r="CVL58" s="179"/>
      <c r="CVM58" s="179"/>
      <c r="CVN58" s="179"/>
      <c r="CVO58" s="179"/>
      <c r="CVP58" s="179"/>
      <c r="CVQ58" s="179"/>
      <c r="CVR58" s="179"/>
      <c r="CVS58" s="179"/>
      <c r="CVT58" s="179"/>
      <c r="CVU58" s="179"/>
      <c r="CVV58" s="179"/>
      <c r="CVW58" s="179"/>
      <c r="CVX58" s="179"/>
      <c r="CVY58" s="179"/>
      <c r="CVZ58" s="179"/>
      <c r="CWA58" s="179"/>
      <c r="CWB58" s="179"/>
      <c r="CWC58" s="179"/>
      <c r="CWD58" s="179"/>
      <c r="CWE58" s="179"/>
      <c r="CWF58" s="179"/>
      <c r="CWG58" s="179"/>
      <c r="CWH58" s="179"/>
      <c r="CWI58" s="179"/>
      <c r="CWJ58" s="179"/>
      <c r="CWK58" s="179"/>
      <c r="CWL58" s="179"/>
      <c r="CWM58" s="179"/>
      <c r="CWN58" s="179"/>
      <c r="CWO58" s="179"/>
      <c r="CWP58" s="179"/>
      <c r="CWQ58" s="179"/>
      <c r="CWR58" s="179"/>
      <c r="CWS58" s="179"/>
      <c r="CWT58" s="179"/>
      <c r="CWU58" s="179"/>
      <c r="CWV58" s="179"/>
      <c r="CWW58" s="179"/>
      <c r="CWX58" s="179"/>
      <c r="CWY58" s="179"/>
      <c r="CWZ58" s="179"/>
      <c r="CXA58" s="179"/>
      <c r="CXB58" s="179"/>
      <c r="CXC58" s="179"/>
      <c r="CXD58" s="179"/>
      <c r="CXE58" s="179"/>
      <c r="CXF58" s="179"/>
      <c r="CXG58" s="179"/>
      <c r="CXH58" s="179"/>
      <c r="CXI58" s="179"/>
      <c r="CXJ58" s="179"/>
      <c r="CXK58" s="179"/>
      <c r="CXL58" s="179"/>
      <c r="CXM58" s="179"/>
      <c r="CXN58" s="179"/>
      <c r="CXO58" s="179"/>
      <c r="CXP58" s="179"/>
      <c r="CXQ58" s="179"/>
      <c r="CXR58" s="179"/>
      <c r="CXS58" s="179"/>
      <c r="CXT58" s="179"/>
      <c r="CXU58" s="179"/>
      <c r="CXV58" s="179"/>
      <c r="CXW58" s="179"/>
      <c r="CXX58" s="179"/>
      <c r="CXY58" s="179"/>
      <c r="CXZ58" s="179"/>
      <c r="CYA58" s="179"/>
      <c r="CYB58" s="179"/>
      <c r="CYC58" s="179"/>
      <c r="CYD58" s="179"/>
      <c r="CYE58" s="179"/>
      <c r="CYF58" s="179"/>
      <c r="CYG58" s="179"/>
      <c r="CYH58" s="179"/>
      <c r="CYI58" s="179"/>
      <c r="CYJ58" s="179"/>
      <c r="CYK58" s="179"/>
      <c r="CYL58" s="179"/>
      <c r="CYM58" s="179"/>
      <c r="CYN58" s="179"/>
      <c r="CYO58" s="179"/>
      <c r="CYP58" s="179"/>
      <c r="CYQ58" s="179"/>
      <c r="CYR58" s="179"/>
      <c r="CYS58" s="179"/>
      <c r="CYT58" s="179"/>
      <c r="CYU58" s="179"/>
      <c r="CYV58" s="179"/>
      <c r="CYW58" s="179"/>
      <c r="CYX58" s="179"/>
      <c r="CYY58" s="179"/>
      <c r="CYZ58" s="179"/>
      <c r="CZA58" s="179"/>
      <c r="CZB58" s="179"/>
      <c r="CZC58" s="179"/>
      <c r="CZD58" s="179"/>
      <c r="CZE58" s="179"/>
      <c r="CZF58" s="179"/>
      <c r="CZG58" s="179"/>
      <c r="CZH58" s="179"/>
      <c r="CZI58" s="179"/>
      <c r="CZJ58" s="179"/>
      <c r="CZK58" s="179"/>
      <c r="CZL58" s="179"/>
      <c r="CZM58" s="179"/>
      <c r="CZN58" s="179"/>
      <c r="CZO58" s="179"/>
      <c r="CZP58" s="179"/>
      <c r="CZQ58" s="179"/>
      <c r="CZR58" s="179"/>
      <c r="CZS58" s="179"/>
      <c r="CZT58" s="179"/>
      <c r="CZU58" s="179"/>
      <c r="CZV58" s="179"/>
      <c r="CZW58" s="179"/>
      <c r="CZX58" s="179"/>
      <c r="CZY58" s="179"/>
      <c r="CZZ58" s="179"/>
      <c r="DAA58" s="179"/>
      <c r="DAB58" s="179"/>
      <c r="DAC58" s="179"/>
      <c r="DAD58" s="179"/>
      <c r="DAE58" s="179"/>
      <c r="DAF58" s="179"/>
      <c r="DAG58" s="179"/>
      <c r="DAH58" s="179"/>
      <c r="DAI58" s="179"/>
      <c r="DAJ58" s="179"/>
      <c r="DAK58" s="179"/>
      <c r="DAL58" s="179"/>
      <c r="DAM58" s="179"/>
      <c r="DAN58" s="179"/>
      <c r="DAO58" s="179"/>
      <c r="DAP58" s="179"/>
      <c r="DAQ58" s="179"/>
      <c r="DAR58" s="179"/>
      <c r="DAS58" s="179"/>
      <c r="DAT58" s="179"/>
      <c r="DAU58" s="179"/>
      <c r="DAV58" s="179"/>
      <c r="DAW58" s="179"/>
      <c r="DAX58" s="179"/>
      <c r="DAY58" s="179"/>
      <c r="DAZ58" s="179"/>
      <c r="DBA58" s="179"/>
      <c r="DBB58" s="179"/>
      <c r="DBC58" s="179"/>
      <c r="DBD58" s="179"/>
      <c r="DBE58" s="179"/>
      <c r="DBF58" s="179"/>
      <c r="DBG58" s="179"/>
      <c r="DBH58" s="179"/>
      <c r="DBI58" s="179"/>
      <c r="DBJ58" s="179"/>
      <c r="DBK58" s="179"/>
      <c r="DBL58" s="179"/>
      <c r="DBM58" s="179"/>
      <c r="DBN58" s="179"/>
      <c r="DBO58" s="179"/>
      <c r="DBP58" s="179"/>
      <c r="DBQ58" s="179"/>
      <c r="DBR58" s="179"/>
      <c r="DBS58" s="179"/>
      <c r="DBT58" s="179"/>
      <c r="DBU58" s="179"/>
      <c r="DBV58" s="179"/>
      <c r="DBW58" s="179"/>
      <c r="DBX58" s="179"/>
      <c r="DBY58" s="179"/>
      <c r="DBZ58" s="179"/>
      <c r="DCA58" s="179"/>
      <c r="DCB58" s="179"/>
      <c r="DCC58" s="179"/>
      <c r="DCD58" s="179"/>
      <c r="DCE58" s="179"/>
      <c r="DCF58" s="179"/>
      <c r="DCG58" s="179"/>
      <c r="DCH58" s="179"/>
      <c r="DCI58" s="179"/>
      <c r="DCJ58" s="179"/>
      <c r="DCK58" s="179"/>
      <c r="DCL58" s="179"/>
      <c r="DCM58" s="179"/>
      <c r="DCN58" s="179"/>
      <c r="DCO58" s="179"/>
      <c r="DCP58" s="179"/>
      <c r="DCQ58" s="179"/>
      <c r="DCR58" s="179"/>
      <c r="DCS58" s="179"/>
      <c r="DCT58" s="179"/>
      <c r="DCU58" s="179"/>
      <c r="DCV58" s="179"/>
      <c r="DCW58" s="179"/>
      <c r="DCX58" s="179"/>
      <c r="DCY58" s="179"/>
      <c r="DCZ58" s="179"/>
      <c r="DDA58" s="179"/>
      <c r="DDB58" s="179"/>
      <c r="DDC58" s="179"/>
      <c r="DDD58" s="179"/>
      <c r="DDE58" s="179"/>
      <c r="DDF58" s="179"/>
      <c r="DDG58" s="179"/>
      <c r="DDH58" s="179"/>
      <c r="DDI58" s="179"/>
      <c r="DDJ58" s="179"/>
      <c r="DDK58" s="179"/>
      <c r="DDL58" s="179"/>
      <c r="DDM58" s="179"/>
      <c r="DDN58" s="179"/>
      <c r="DDO58" s="179"/>
      <c r="DDP58" s="179"/>
      <c r="DDQ58" s="179"/>
      <c r="DDR58" s="179"/>
      <c r="DDS58" s="179"/>
      <c r="DDT58" s="179"/>
      <c r="DDU58" s="179"/>
      <c r="DDV58" s="179"/>
      <c r="DDW58" s="179"/>
      <c r="DDX58" s="179"/>
      <c r="DDY58" s="179"/>
      <c r="DDZ58" s="179"/>
      <c r="DEA58" s="179"/>
      <c r="DEB58" s="179"/>
      <c r="DEC58" s="179"/>
      <c r="DED58" s="179"/>
      <c r="DEE58" s="179"/>
      <c r="DEF58" s="179"/>
      <c r="DEG58" s="179"/>
      <c r="DEH58" s="179"/>
      <c r="DEI58" s="179"/>
      <c r="DEJ58" s="179"/>
      <c r="DEK58" s="179"/>
      <c r="DEL58" s="179"/>
      <c r="DEM58" s="179"/>
      <c r="DEN58" s="179"/>
      <c r="DEO58" s="179"/>
      <c r="DEP58" s="179"/>
      <c r="DEQ58" s="179"/>
      <c r="DER58" s="179"/>
      <c r="DES58" s="179"/>
      <c r="DET58" s="179"/>
      <c r="DEU58" s="179"/>
      <c r="DEV58" s="179"/>
      <c r="DEW58" s="179"/>
      <c r="DEX58" s="179"/>
      <c r="DEY58" s="179"/>
      <c r="DEZ58" s="179"/>
      <c r="DFA58" s="179"/>
      <c r="DFB58" s="179"/>
      <c r="DFC58" s="179"/>
      <c r="DFD58" s="179"/>
      <c r="DFE58" s="179"/>
      <c r="DFF58" s="179"/>
      <c r="DFG58" s="179"/>
      <c r="DFH58" s="179"/>
      <c r="DFI58" s="179"/>
      <c r="DFJ58" s="179"/>
      <c r="DFK58" s="179"/>
      <c r="DFL58" s="179"/>
      <c r="DFM58" s="179"/>
      <c r="DFN58" s="179"/>
      <c r="DFO58" s="179"/>
      <c r="DFP58" s="179"/>
      <c r="DFQ58" s="179"/>
      <c r="DFR58" s="179"/>
      <c r="DFS58" s="179"/>
      <c r="DFT58" s="179"/>
      <c r="DFU58" s="179"/>
      <c r="DFV58" s="179"/>
      <c r="DFW58" s="179"/>
      <c r="DFX58" s="179"/>
      <c r="DFY58" s="179"/>
      <c r="DFZ58" s="179"/>
      <c r="DGA58" s="179"/>
      <c r="DGB58" s="179"/>
      <c r="DGC58" s="179"/>
      <c r="DGD58" s="179"/>
      <c r="DGE58" s="179"/>
      <c r="DGF58" s="179"/>
      <c r="DGG58" s="179"/>
      <c r="DGH58" s="179"/>
      <c r="DGI58" s="179"/>
      <c r="DGJ58" s="179"/>
      <c r="DGK58" s="179"/>
      <c r="DGL58" s="179"/>
      <c r="DGM58" s="179"/>
      <c r="DGN58" s="179"/>
      <c r="DGO58" s="179"/>
      <c r="DGP58" s="179"/>
      <c r="DGQ58" s="179"/>
      <c r="DGR58" s="179"/>
      <c r="DGS58" s="179"/>
      <c r="DGT58" s="179"/>
      <c r="DGU58" s="179"/>
      <c r="DGV58" s="179"/>
      <c r="DGW58" s="179"/>
      <c r="DGX58" s="179"/>
      <c r="DGY58" s="179"/>
      <c r="DGZ58" s="179"/>
      <c r="DHA58" s="179"/>
      <c r="DHB58" s="179"/>
      <c r="DHC58" s="179"/>
      <c r="DHD58" s="179"/>
      <c r="DHE58" s="179"/>
      <c r="DHF58" s="179"/>
      <c r="DHG58" s="179"/>
      <c r="DHH58" s="179"/>
      <c r="DHI58" s="179"/>
      <c r="DHJ58" s="179"/>
      <c r="DHK58" s="179"/>
      <c r="DHL58" s="179"/>
      <c r="DHM58" s="179"/>
      <c r="DHN58" s="179"/>
      <c r="DHO58" s="179"/>
      <c r="DHP58" s="179"/>
      <c r="DHQ58" s="179"/>
      <c r="DHR58" s="179"/>
      <c r="DHS58" s="179"/>
      <c r="DHT58" s="179"/>
      <c r="DHU58" s="179"/>
      <c r="DHV58" s="179"/>
      <c r="DHW58" s="179"/>
      <c r="DHX58" s="179"/>
      <c r="DHY58" s="179"/>
      <c r="DHZ58" s="179"/>
      <c r="DIA58" s="179"/>
      <c r="DIB58" s="179"/>
      <c r="DIC58" s="179"/>
      <c r="DID58" s="179"/>
      <c r="DIE58" s="179"/>
      <c r="DIF58" s="179"/>
      <c r="DIG58" s="179"/>
      <c r="DIH58" s="179"/>
      <c r="DII58" s="179"/>
      <c r="DIJ58" s="179"/>
      <c r="DIK58" s="179"/>
      <c r="DIL58" s="179"/>
      <c r="DIM58" s="179"/>
      <c r="DIN58" s="179"/>
      <c r="DIO58" s="179"/>
      <c r="DIP58" s="179"/>
      <c r="DIQ58" s="179"/>
      <c r="DIR58" s="179"/>
      <c r="DIS58" s="179"/>
      <c r="DIT58" s="179"/>
      <c r="DIU58" s="179"/>
      <c r="DIV58" s="179"/>
      <c r="DIW58" s="179"/>
      <c r="DIX58" s="179"/>
      <c r="DIY58" s="179"/>
      <c r="DIZ58" s="179"/>
      <c r="DJA58" s="179"/>
      <c r="DJB58" s="179"/>
      <c r="DJC58" s="179"/>
      <c r="DJD58" s="179"/>
      <c r="DJE58" s="179"/>
      <c r="DJF58" s="179"/>
      <c r="DJG58" s="179"/>
      <c r="DJH58" s="179"/>
      <c r="DJI58" s="179"/>
      <c r="DJJ58" s="179"/>
      <c r="DJK58" s="179"/>
      <c r="DJL58" s="179"/>
      <c r="DJM58" s="179"/>
      <c r="DJN58" s="179"/>
      <c r="DJO58" s="179"/>
      <c r="DJP58" s="179"/>
      <c r="DJQ58" s="179"/>
      <c r="DJR58" s="179"/>
      <c r="DJS58" s="179"/>
      <c r="DJT58" s="179"/>
      <c r="DJU58" s="179"/>
      <c r="DJV58" s="179"/>
      <c r="DJW58" s="179"/>
      <c r="DJX58" s="179"/>
      <c r="DJY58" s="179"/>
      <c r="DJZ58" s="179"/>
      <c r="DKA58" s="179"/>
      <c r="DKB58" s="179"/>
      <c r="DKC58" s="179"/>
      <c r="DKD58" s="179"/>
      <c r="DKE58" s="179"/>
      <c r="DKF58" s="179"/>
      <c r="DKG58" s="179"/>
      <c r="DKH58" s="179"/>
      <c r="DKI58" s="179"/>
      <c r="DKJ58" s="179"/>
      <c r="DKK58" s="179"/>
      <c r="DKL58" s="179"/>
      <c r="DKM58" s="179"/>
      <c r="DKN58" s="179"/>
      <c r="DKO58" s="179"/>
      <c r="DKP58" s="179"/>
      <c r="DKQ58" s="179"/>
      <c r="DKR58" s="179"/>
      <c r="DKS58" s="179"/>
      <c r="DKT58" s="179"/>
      <c r="DKU58" s="179"/>
      <c r="DKV58" s="179"/>
      <c r="DKW58" s="179"/>
      <c r="DKX58" s="179"/>
      <c r="DKY58" s="179"/>
      <c r="DKZ58" s="179"/>
      <c r="DLA58" s="179"/>
      <c r="DLB58" s="179"/>
      <c r="DLC58" s="179"/>
      <c r="DLD58" s="179"/>
      <c r="DLE58" s="179"/>
      <c r="DLF58" s="179"/>
      <c r="DLG58" s="179"/>
      <c r="DLH58" s="179"/>
      <c r="DLI58" s="179"/>
      <c r="DLJ58" s="179"/>
      <c r="DLK58" s="179"/>
      <c r="DLL58" s="179"/>
      <c r="DLM58" s="179"/>
      <c r="DLN58" s="179"/>
      <c r="DLO58" s="179"/>
      <c r="DLP58" s="179"/>
      <c r="DLQ58" s="179"/>
      <c r="DLR58" s="179"/>
      <c r="DLS58" s="179"/>
      <c r="DLT58" s="179"/>
      <c r="DLU58" s="179"/>
      <c r="DLV58" s="179"/>
      <c r="DLW58" s="179"/>
      <c r="DLX58" s="179"/>
      <c r="DLY58" s="179"/>
      <c r="DLZ58" s="179"/>
      <c r="DMA58" s="179"/>
      <c r="DMB58" s="179"/>
      <c r="DMC58" s="179"/>
      <c r="DMD58" s="179"/>
      <c r="DME58" s="179"/>
      <c r="DMF58" s="179"/>
      <c r="DMG58" s="179"/>
      <c r="DMH58" s="179"/>
      <c r="DMI58" s="179"/>
      <c r="DMJ58" s="179"/>
      <c r="DMK58" s="179"/>
      <c r="DML58" s="179"/>
      <c r="DMM58" s="179"/>
      <c r="DMN58" s="179"/>
      <c r="DMO58" s="179"/>
      <c r="DMP58" s="179"/>
      <c r="DMQ58" s="179"/>
      <c r="DMR58" s="179"/>
      <c r="DMS58" s="179"/>
      <c r="DMT58" s="179"/>
      <c r="DMU58" s="179"/>
      <c r="DMV58" s="179"/>
      <c r="DMW58" s="179"/>
      <c r="DMX58" s="179"/>
      <c r="DMY58" s="179"/>
      <c r="DMZ58" s="179"/>
      <c r="DNA58" s="179"/>
      <c r="DNB58" s="179"/>
      <c r="DNC58" s="179"/>
      <c r="DND58" s="179"/>
      <c r="DNE58" s="179"/>
      <c r="DNF58" s="179"/>
      <c r="DNG58" s="179"/>
      <c r="DNH58" s="179"/>
      <c r="DNI58" s="179"/>
      <c r="DNJ58" s="179"/>
      <c r="DNK58" s="179"/>
      <c r="DNL58" s="179"/>
      <c r="DNM58" s="179"/>
      <c r="DNN58" s="179"/>
      <c r="DNO58" s="179"/>
      <c r="DNP58" s="179"/>
      <c r="DNQ58" s="179"/>
      <c r="DNR58" s="179"/>
      <c r="DNS58" s="179"/>
      <c r="DNT58" s="179"/>
      <c r="DNU58" s="179"/>
      <c r="DNV58" s="179"/>
      <c r="DNW58" s="179"/>
      <c r="DNX58" s="179"/>
      <c r="DNY58" s="179"/>
      <c r="DNZ58" s="179"/>
      <c r="DOA58" s="179"/>
      <c r="DOB58" s="179"/>
      <c r="DOC58" s="179"/>
      <c r="DOD58" s="179"/>
      <c r="DOE58" s="179"/>
      <c r="DOF58" s="179"/>
      <c r="DOG58" s="179"/>
      <c r="DOH58" s="179"/>
      <c r="DOI58" s="179"/>
      <c r="DOJ58" s="179"/>
      <c r="DOK58" s="179"/>
      <c r="DOL58" s="179"/>
      <c r="DOM58" s="179"/>
      <c r="DON58" s="179"/>
      <c r="DOO58" s="179"/>
      <c r="DOP58" s="179"/>
      <c r="DOQ58" s="179"/>
      <c r="DOR58" s="179"/>
      <c r="DOS58" s="179"/>
      <c r="DOT58" s="179"/>
      <c r="DOU58" s="179"/>
      <c r="DOV58" s="179"/>
      <c r="DOW58" s="179"/>
      <c r="DOX58" s="179"/>
      <c r="DOY58" s="179"/>
      <c r="DOZ58" s="179"/>
      <c r="DPA58" s="179"/>
      <c r="DPB58" s="179"/>
      <c r="DPC58" s="179"/>
      <c r="DPD58" s="179"/>
      <c r="DPE58" s="179"/>
      <c r="DPF58" s="179"/>
      <c r="DPG58" s="179"/>
      <c r="DPH58" s="179"/>
      <c r="DPI58" s="179"/>
      <c r="DPJ58" s="179"/>
      <c r="DPK58" s="179"/>
      <c r="DPL58" s="179"/>
      <c r="DPM58" s="179"/>
      <c r="DPN58" s="179"/>
      <c r="DPO58" s="179"/>
      <c r="DPP58" s="179"/>
      <c r="DPQ58" s="179"/>
      <c r="DPR58" s="179"/>
      <c r="DPS58" s="179"/>
      <c r="DPT58" s="179"/>
      <c r="DPU58" s="179"/>
      <c r="DPV58" s="179"/>
      <c r="DPW58" s="179"/>
      <c r="DPX58" s="179"/>
      <c r="DPY58" s="179"/>
      <c r="DPZ58" s="179"/>
      <c r="DQA58" s="179"/>
      <c r="DQB58" s="179"/>
      <c r="DQC58" s="179"/>
      <c r="DQD58" s="179"/>
      <c r="DQE58" s="179"/>
      <c r="DQF58" s="179"/>
      <c r="DQG58" s="179"/>
      <c r="DQH58" s="179"/>
      <c r="DQI58" s="179"/>
      <c r="DQJ58" s="179"/>
      <c r="DQK58" s="179"/>
      <c r="DQL58" s="179"/>
      <c r="DQM58" s="179"/>
      <c r="DQN58" s="179"/>
      <c r="DQO58" s="179"/>
      <c r="DQP58" s="179"/>
      <c r="DQQ58" s="179"/>
      <c r="DQR58" s="179"/>
      <c r="DQS58" s="179"/>
      <c r="DQT58" s="179"/>
      <c r="DQU58" s="179"/>
      <c r="DQV58" s="179"/>
      <c r="DQW58" s="179"/>
      <c r="DQX58" s="179"/>
      <c r="DQY58" s="179"/>
      <c r="DQZ58" s="179"/>
      <c r="DRA58" s="179"/>
      <c r="DRB58" s="179"/>
      <c r="DRC58" s="179"/>
      <c r="DRD58" s="179"/>
      <c r="DRE58" s="179"/>
      <c r="DRF58" s="179"/>
      <c r="DRG58" s="179"/>
      <c r="DRH58" s="179"/>
      <c r="DRI58" s="179"/>
      <c r="DRJ58" s="179"/>
      <c r="DRK58" s="179"/>
      <c r="DRL58" s="179"/>
      <c r="DRM58" s="179"/>
      <c r="DRN58" s="179"/>
      <c r="DRO58" s="179"/>
      <c r="DRP58" s="179"/>
      <c r="DRQ58" s="179"/>
      <c r="DRR58" s="179"/>
      <c r="DRS58" s="179"/>
      <c r="DRT58" s="179"/>
      <c r="DRU58" s="179"/>
      <c r="DRV58" s="179"/>
      <c r="DRW58" s="179"/>
      <c r="DRX58" s="179"/>
      <c r="DRY58" s="179"/>
      <c r="DRZ58" s="179"/>
      <c r="DSA58" s="179"/>
      <c r="DSB58" s="179"/>
      <c r="DSC58" s="179"/>
      <c r="DSD58" s="179"/>
      <c r="DSE58" s="179"/>
      <c r="DSF58" s="179"/>
      <c r="DSG58" s="179"/>
      <c r="DSH58" s="179"/>
      <c r="DSI58" s="179"/>
      <c r="DSJ58" s="179"/>
      <c r="DSK58" s="179"/>
      <c r="DSL58" s="179"/>
      <c r="DSM58" s="179"/>
      <c r="DSN58" s="179"/>
      <c r="DSO58" s="179"/>
      <c r="DSP58" s="179"/>
      <c r="DSQ58" s="179"/>
      <c r="DSR58" s="179"/>
      <c r="DSS58" s="179"/>
      <c r="DST58" s="179"/>
      <c r="DSU58" s="179"/>
      <c r="DSV58" s="179"/>
      <c r="DSW58" s="179"/>
      <c r="DSX58" s="179"/>
      <c r="DSY58" s="179"/>
      <c r="DSZ58" s="179"/>
      <c r="DTA58" s="179"/>
      <c r="DTB58" s="179"/>
      <c r="DTC58" s="179"/>
      <c r="DTD58" s="179"/>
      <c r="DTE58" s="179"/>
      <c r="DTF58" s="179"/>
      <c r="DTG58" s="179"/>
      <c r="DTH58" s="179"/>
      <c r="DTI58" s="179"/>
      <c r="DTJ58" s="179"/>
      <c r="DTK58" s="179"/>
      <c r="DTL58" s="179"/>
      <c r="DTM58" s="179"/>
      <c r="DTN58" s="179"/>
      <c r="DTO58" s="179"/>
      <c r="DTP58" s="179"/>
      <c r="DTQ58" s="179"/>
      <c r="DTR58" s="179"/>
      <c r="DTS58" s="179"/>
      <c r="DTT58" s="179"/>
      <c r="DTU58" s="179"/>
      <c r="DTV58" s="179"/>
      <c r="DTW58" s="179"/>
      <c r="DTX58" s="179"/>
      <c r="DTY58" s="179"/>
      <c r="DTZ58" s="179"/>
      <c r="DUA58" s="179"/>
      <c r="DUB58" s="179"/>
      <c r="DUC58" s="179"/>
      <c r="DUD58" s="179"/>
      <c r="DUE58" s="179"/>
      <c r="DUF58" s="179"/>
      <c r="DUG58" s="179"/>
      <c r="DUH58" s="179"/>
      <c r="DUI58" s="179"/>
      <c r="DUJ58" s="179"/>
      <c r="DUK58" s="179"/>
      <c r="DUL58" s="179"/>
      <c r="DUM58" s="179"/>
      <c r="DUN58" s="179"/>
      <c r="DUO58" s="179"/>
      <c r="DUP58" s="179"/>
      <c r="DUQ58" s="179"/>
      <c r="DUR58" s="179"/>
      <c r="DUS58" s="179"/>
      <c r="DUT58" s="179"/>
      <c r="DUU58" s="179"/>
      <c r="DUV58" s="179"/>
      <c r="DUW58" s="179"/>
      <c r="DUX58" s="179"/>
      <c r="DUY58" s="179"/>
      <c r="DUZ58" s="179"/>
      <c r="DVA58" s="179"/>
      <c r="DVB58" s="179"/>
      <c r="DVC58" s="179"/>
      <c r="DVD58" s="179"/>
      <c r="DVE58" s="179"/>
      <c r="DVF58" s="179"/>
      <c r="DVG58" s="179"/>
      <c r="DVH58" s="179"/>
      <c r="DVI58" s="179"/>
      <c r="DVJ58" s="179"/>
      <c r="DVK58" s="179"/>
      <c r="DVL58" s="179"/>
      <c r="DVM58" s="179"/>
      <c r="DVN58" s="179"/>
      <c r="DVO58" s="179"/>
      <c r="DVP58" s="179"/>
      <c r="DVQ58" s="179"/>
      <c r="DVR58" s="179"/>
      <c r="DVS58" s="179"/>
      <c r="DVT58" s="179"/>
      <c r="DVU58" s="179"/>
      <c r="DVV58" s="179"/>
      <c r="DVW58" s="179"/>
      <c r="DVX58" s="179"/>
      <c r="DVY58" s="179"/>
      <c r="DVZ58" s="179"/>
      <c r="DWA58" s="179"/>
      <c r="DWB58" s="179"/>
      <c r="DWC58" s="179"/>
      <c r="DWD58" s="179"/>
      <c r="DWE58" s="179"/>
      <c r="DWF58" s="179"/>
      <c r="DWG58" s="179"/>
      <c r="DWH58" s="179"/>
      <c r="DWI58" s="179"/>
      <c r="DWJ58" s="179"/>
      <c r="DWK58" s="179"/>
      <c r="DWL58" s="179"/>
      <c r="DWM58" s="179"/>
      <c r="DWN58" s="179"/>
      <c r="DWO58" s="179"/>
      <c r="DWP58" s="179"/>
      <c r="DWQ58" s="179"/>
      <c r="DWR58" s="179"/>
      <c r="DWS58" s="179"/>
      <c r="DWT58" s="179"/>
      <c r="DWU58" s="179"/>
      <c r="DWV58" s="179"/>
      <c r="DWW58" s="179"/>
      <c r="DWX58" s="179"/>
      <c r="DWY58" s="179"/>
      <c r="DWZ58" s="179"/>
      <c r="DXA58" s="179"/>
      <c r="DXB58" s="179"/>
      <c r="DXC58" s="179"/>
      <c r="DXD58" s="179"/>
      <c r="DXE58" s="179"/>
      <c r="DXF58" s="179"/>
      <c r="DXG58" s="179"/>
      <c r="DXH58" s="179"/>
      <c r="DXI58" s="179"/>
      <c r="DXJ58" s="179"/>
      <c r="DXK58" s="179"/>
      <c r="DXL58" s="179"/>
      <c r="DXM58" s="179"/>
      <c r="DXN58" s="179"/>
      <c r="DXO58" s="179"/>
      <c r="DXP58" s="179"/>
      <c r="DXQ58" s="179"/>
      <c r="DXR58" s="179"/>
      <c r="DXS58" s="179"/>
      <c r="DXT58" s="179"/>
      <c r="DXU58" s="179"/>
      <c r="DXV58" s="179"/>
      <c r="DXW58" s="179"/>
      <c r="DXX58" s="179"/>
      <c r="DXY58" s="179"/>
      <c r="DXZ58" s="179"/>
      <c r="DYA58" s="179"/>
      <c r="DYB58" s="179"/>
      <c r="DYC58" s="179"/>
      <c r="DYD58" s="179"/>
      <c r="DYE58" s="179"/>
      <c r="DYF58" s="179"/>
      <c r="DYG58" s="179"/>
      <c r="DYH58" s="179"/>
      <c r="DYI58" s="179"/>
      <c r="DYJ58" s="179"/>
      <c r="DYK58" s="179"/>
      <c r="DYL58" s="179"/>
      <c r="DYM58" s="179"/>
      <c r="DYN58" s="179"/>
      <c r="DYO58" s="179"/>
      <c r="DYP58" s="179"/>
      <c r="DYQ58" s="179"/>
      <c r="DYR58" s="179"/>
      <c r="DYS58" s="179"/>
      <c r="DYT58" s="179"/>
      <c r="DYU58" s="179"/>
      <c r="DYV58" s="179"/>
      <c r="DYW58" s="179"/>
      <c r="DYX58" s="179"/>
      <c r="DYY58" s="179"/>
      <c r="DYZ58" s="179"/>
      <c r="DZA58" s="179"/>
      <c r="DZB58" s="179"/>
      <c r="DZC58" s="179"/>
      <c r="DZD58" s="179"/>
      <c r="DZE58" s="179"/>
      <c r="DZF58" s="179"/>
      <c r="DZG58" s="179"/>
      <c r="DZH58" s="179"/>
      <c r="DZI58" s="179"/>
      <c r="DZJ58" s="179"/>
      <c r="DZK58" s="179"/>
      <c r="DZL58" s="179"/>
      <c r="DZM58" s="179"/>
      <c r="DZN58" s="179"/>
      <c r="DZO58" s="179"/>
      <c r="DZP58" s="179"/>
      <c r="DZQ58" s="179"/>
      <c r="DZR58" s="179"/>
      <c r="DZS58" s="179"/>
      <c r="DZT58" s="179"/>
      <c r="DZU58" s="179"/>
      <c r="DZV58" s="179"/>
      <c r="DZW58" s="179"/>
      <c r="DZX58" s="179"/>
      <c r="DZY58" s="179"/>
      <c r="DZZ58" s="179"/>
      <c r="EAA58" s="179"/>
      <c r="EAB58" s="179"/>
      <c r="EAC58" s="179"/>
      <c r="EAD58" s="179"/>
      <c r="EAE58" s="179"/>
      <c r="EAF58" s="179"/>
      <c r="EAG58" s="179"/>
      <c r="EAH58" s="179"/>
      <c r="EAI58" s="179"/>
      <c r="EAJ58" s="179"/>
      <c r="EAK58" s="179"/>
      <c r="EAL58" s="179"/>
      <c r="EAM58" s="179"/>
      <c r="EAN58" s="179"/>
      <c r="EAO58" s="179"/>
      <c r="EAP58" s="179"/>
      <c r="EAQ58" s="179"/>
      <c r="EAR58" s="179"/>
      <c r="EAS58" s="179"/>
      <c r="EAT58" s="179"/>
      <c r="EAU58" s="179"/>
      <c r="EAV58" s="179"/>
      <c r="EAW58" s="179"/>
      <c r="EAX58" s="179"/>
      <c r="EAY58" s="179"/>
      <c r="EAZ58" s="179"/>
      <c r="EBA58" s="179"/>
      <c r="EBB58" s="179"/>
      <c r="EBC58" s="179"/>
      <c r="EBD58" s="179"/>
      <c r="EBE58" s="179"/>
      <c r="EBF58" s="179"/>
      <c r="EBG58" s="179"/>
      <c r="EBH58" s="179"/>
      <c r="EBI58" s="179"/>
      <c r="EBJ58" s="179"/>
      <c r="EBK58" s="179"/>
      <c r="EBL58" s="179"/>
      <c r="EBM58" s="179"/>
      <c r="EBN58" s="179"/>
      <c r="EBO58" s="179"/>
      <c r="EBP58" s="179"/>
      <c r="EBQ58" s="179"/>
      <c r="EBR58" s="179"/>
      <c r="EBS58" s="179"/>
      <c r="EBT58" s="179"/>
      <c r="EBU58" s="179"/>
      <c r="EBV58" s="179"/>
      <c r="EBW58" s="179"/>
      <c r="EBX58" s="179"/>
      <c r="EBY58" s="179"/>
      <c r="EBZ58" s="179"/>
      <c r="ECA58" s="179"/>
      <c r="ECB58" s="179"/>
      <c r="ECC58" s="179"/>
      <c r="ECD58" s="179"/>
      <c r="ECE58" s="179"/>
      <c r="ECF58" s="179"/>
      <c r="ECG58" s="179"/>
      <c r="ECH58" s="179"/>
      <c r="ECI58" s="179"/>
      <c r="ECJ58" s="179"/>
      <c r="ECK58" s="179"/>
      <c r="ECL58" s="179"/>
      <c r="ECM58" s="179"/>
      <c r="ECN58" s="179"/>
      <c r="ECO58" s="179"/>
      <c r="ECP58" s="179"/>
      <c r="ECQ58" s="179"/>
      <c r="ECR58" s="179"/>
      <c r="ECS58" s="179"/>
      <c r="ECT58" s="179"/>
      <c r="ECU58" s="179"/>
      <c r="ECV58" s="179"/>
      <c r="ECW58" s="179"/>
      <c r="ECX58" s="179"/>
      <c r="ECY58" s="179"/>
      <c r="ECZ58" s="179"/>
      <c r="EDA58" s="179"/>
      <c r="EDB58" s="179"/>
      <c r="EDC58" s="179"/>
      <c r="EDD58" s="179"/>
      <c r="EDE58" s="179"/>
      <c r="EDF58" s="179"/>
      <c r="EDG58" s="179"/>
      <c r="EDH58" s="179"/>
      <c r="EDI58" s="179"/>
      <c r="EDJ58" s="179"/>
      <c r="EDK58" s="179"/>
      <c r="EDL58" s="179"/>
      <c r="EDM58" s="179"/>
      <c r="EDN58" s="179"/>
      <c r="EDO58" s="179"/>
      <c r="EDP58" s="179"/>
      <c r="EDQ58" s="179"/>
      <c r="EDR58" s="179"/>
      <c r="EDS58" s="179"/>
      <c r="EDT58" s="179"/>
      <c r="EDU58" s="179"/>
      <c r="EDV58" s="179"/>
      <c r="EDW58" s="179"/>
      <c r="EDX58" s="179"/>
      <c r="EDY58" s="179"/>
      <c r="EDZ58" s="179"/>
      <c r="EEA58" s="179"/>
      <c r="EEB58" s="179"/>
      <c r="EEC58" s="179"/>
      <c r="EED58" s="179"/>
      <c r="EEE58" s="179"/>
      <c r="EEF58" s="179"/>
      <c r="EEG58" s="179"/>
      <c r="EEH58" s="179"/>
      <c r="EEI58" s="179"/>
      <c r="EEJ58" s="179"/>
      <c r="EEK58" s="179"/>
      <c r="EEL58" s="179"/>
      <c r="EEM58" s="179"/>
      <c r="EEN58" s="179"/>
      <c r="EEO58" s="179"/>
      <c r="EEP58" s="179"/>
      <c r="EEQ58" s="179"/>
      <c r="EER58" s="179"/>
      <c r="EES58" s="179"/>
      <c r="EET58" s="179"/>
      <c r="EEU58" s="179"/>
      <c r="EEV58" s="179"/>
      <c r="EEW58" s="179"/>
      <c r="EEX58" s="179"/>
      <c r="EEY58" s="179"/>
      <c r="EEZ58" s="179"/>
      <c r="EFA58" s="179"/>
      <c r="EFB58" s="179"/>
      <c r="EFC58" s="179"/>
      <c r="EFD58" s="179"/>
      <c r="EFE58" s="179"/>
      <c r="EFF58" s="179"/>
      <c r="EFG58" s="179"/>
      <c r="EFH58" s="179"/>
      <c r="EFI58" s="179"/>
      <c r="EFJ58" s="179"/>
      <c r="EFK58" s="179"/>
      <c r="EFL58" s="179"/>
      <c r="EFM58" s="179"/>
      <c r="EFN58" s="179"/>
      <c r="EFO58" s="179"/>
      <c r="EFP58" s="179"/>
      <c r="EFQ58" s="179"/>
      <c r="EFR58" s="179"/>
      <c r="EFS58" s="179"/>
      <c r="EFT58" s="179"/>
      <c r="EFU58" s="179"/>
      <c r="EFV58" s="179"/>
      <c r="EFW58" s="179"/>
      <c r="EFX58" s="179"/>
      <c r="EFY58" s="179"/>
      <c r="EFZ58" s="179"/>
      <c r="EGA58" s="179"/>
      <c r="EGB58" s="179"/>
      <c r="EGC58" s="179"/>
      <c r="EGD58" s="179"/>
      <c r="EGE58" s="179"/>
      <c r="EGF58" s="179"/>
      <c r="EGG58" s="179"/>
      <c r="EGH58" s="179"/>
      <c r="EGI58" s="179"/>
      <c r="EGJ58" s="179"/>
      <c r="EGK58" s="179"/>
      <c r="EGL58" s="179"/>
      <c r="EGM58" s="179"/>
      <c r="EGN58" s="179"/>
      <c r="EGO58" s="179"/>
      <c r="EGP58" s="179"/>
      <c r="EGQ58" s="179"/>
      <c r="EGR58" s="179"/>
      <c r="EGS58" s="179"/>
      <c r="EGT58" s="179"/>
      <c r="EGU58" s="179"/>
      <c r="EGV58" s="179"/>
      <c r="EGW58" s="179"/>
      <c r="EGX58" s="179"/>
      <c r="EGY58" s="179"/>
      <c r="EGZ58" s="179"/>
      <c r="EHA58" s="179"/>
      <c r="EHB58" s="179"/>
      <c r="EHC58" s="179"/>
      <c r="EHD58" s="179"/>
      <c r="EHE58" s="179"/>
      <c r="EHF58" s="179"/>
      <c r="EHG58" s="179"/>
      <c r="EHH58" s="179"/>
      <c r="EHI58" s="179"/>
      <c r="EHJ58" s="179"/>
      <c r="EHK58" s="179"/>
      <c r="EHL58" s="179"/>
      <c r="EHM58" s="179"/>
      <c r="EHN58" s="179"/>
      <c r="EHO58" s="179"/>
      <c r="EHP58" s="179"/>
      <c r="EHQ58" s="179"/>
      <c r="EHR58" s="179"/>
      <c r="EHS58" s="179"/>
      <c r="EHT58" s="179"/>
      <c r="EHU58" s="179"/>
      <c r="EHV58" s="179"/>
      <c r="EHW58" s="179"/>
      <c r="EHX58" s="179"/>
      <c r="EHY58" s="179"/>
      <c r="EHZ58" s="179"/>
      <c r="EIA58" s="179"/>
      <c r="EIB58" s="179"/>
      <c r="EIC58" s="179"/>
      <c r="EID58" s="179"/>
      <c r="EIE58" s="179"/>
      <c r="EIF58" s="179"/>
      <c r="EIG58" s="179"/>
      <c r="EIH58" s="179"/>
      <c r="EII58" s="179"/>
      <c r="EIJ58" s="179"/>
      <c r="EIK58" s="179"/>
      <c r="EIL58" s="179"/>
      <c r="EIM58" s="179"/>
      <c r="EIN58" s="179"/>
      <c r="EIO58" s="179"/>
      <c r="EIP58" s="179"/>
      <c r="EIQ58" s="179"/>
      <c r="EIR58" s="179"/>
      <c r="EIS58" s="179"/>
      <c r="EIT58" s="179"/>
      <c r="EIU58" s="179"/>
      <c r="EIV58" s="179"/>
      <c r="EIW58" s="179"/>
      <c r="EIX58" s="179"/>
      <c r="EIY58" s="179"/>
      <c r="EIZ58" s="179"/>
      <c r="EJA58" s="179"/>
      <c r="EJB58" s="179"/>
      <c r="EJC58" s="179"/>
      <c r="EJD58" s="179"/>
      <c r="EJE58" s="179"/>
      <c r="EJF58" s="179"/>
      <c r="EJG58" s="179"/>
      <c r="EJH58" s="179"/>
      <c r="EJI58" s="179"/>
      <c r="EJJ58" s="179"/>
      <c r="EJK58" s="179"/>
      <c r="EJL58" s="179"/>
      <c r="EJM58" s="179"/>
      <c r="EJN58" s="179"/>
      <c r="EJO58" s="179"/>
      <c r="EJP58" s="179"/>
      <c r="EJQ58" s="179"/>
      <c r="EJR58" s="179"/>
      <c r="EJS58" s="179"/>
      <c r="EJT58" s="179"/>
      <c r="EJU58" s="179"/>
      <c r="EJV58" s="179"/>
      <c r="EJW58" s="179"/>
      <c r="EJX58" s="179"/>
      <c r="EJY58" s="179"/>
      <c r="EJZ58" s="179"/>
      <c r="EKA58" s="179"/>
      <c r="EKB58" s="179"/>
      <c r="EKC58" s="179"/>
      <c r="EKD58" s="179"/>
      <c r="EKE58" s="179"/>
      <c r="EKF58" s="179"/>
      <c r="EKG58" s="179"/>
      <c r="EKH58" s="179"/>
      <c r="EKI58" s="179"/>
      <c r="EKJ58" s="179"/>
      <c r="EKK58" s="179"/>
      <c r="EKL58" s="179"/>
      <c r="EKM58" s="179"/>
      <c r="EKN58" s="179"/>
      <c r="EKO58" s="179"/>
      <c r="EKP58" s="179"/>
      <c r="EKQ58" s="179"/>
      <c r="EKR58" s="179"/>
      <c r="EKS58" s="179"/>
      <c r="EKT58" s="179"/>
      <c r="EKU58" s="179"/>
      <c r="EKV58" s="179"/>
      <c r="EKW58" s="179"/>
      <c r="EKX58" s="179"/>
      <c r="EKY58" s="179"/>
      <c r="EKZ58" s="179"/>
      <c r="ELA58" s="179"/>
      <c r="ELB58" s="179"/>
      <c r="ELC58" s="179"/>
      <c r="ELD58" s="179"/>
      <c r="ELE58" s="179"/>
      <c r="ELF58" s="179"/>
      <c r="ELG58" s="179"/>
      <c r="ELH58" s="179"/>
      <c r="ELI58" s="179"/>
      <c r="ELJ58" s="179"/>
      <c r="ELK58" s="179"/>
      <c r="ELL58" s="179"/>
      <c r="ELM58" s="179"/>
      <c r="ELN58" s="179"/>
      <c r="ELO58" s="179"/>
      <c r="ELP58" s="179"/>
      <c r="ELQ58" s="179"/>
      <c r="ELR58" s="179"/>
      <c r="ELS58" s="179"/>
      <c r="ELT58" s="179"/>
      <c r="ELU58" s="179"/>
      <c r="ELV58" s="179"/>
      <c r="ELW58" s="179"/>
      <c r="ELX58" s="179"/>
      <c r="ELY58" s="179"/>
      <c r="ELZ58" s="179"/>
      <c r="EMA58" s="179"/>
      <c r="EMB58" s="179"/>
      <c r="EMC58" s="179"/>
      <c r="EMD58" s="179"/>
      <c r="EME58" s="179"/>
      <c r="EMF58" s="179"/>
      <c r="EMG58" s="179"/>
      <c r="EMH58" s="179"/>
      <c r="EMI58" s="179"/>
      <c r="EMJ58" s="179"/>
      <c r="EMK58" s="179"/>
      <c r="EML58" s="179"/>
      <c r="EMM58" s="179"/>
      <c r="EMN58" s="179"/>
      <c r="EMO58" s="179"/>
      <c r="EMP58" s="179"/>
      <c r="EMQ58" s="179"/>
      <c r="EMR58" s="179"/>
      <c r="EMS58" s="179"/>
      <c r="EMT58" s="179"/>
      <c r="EMU58" s="179"/>
      <c r="EMV58" s="179"/>
      <c r="EMW58" s="179"/>
      <c r="EMX58" s="179"/>
      <c r="EMY58" s="179"/>
      <c r="EMZ58" s="179"/>
      <c r="ENA58" s="179"/>
      <c r="ENB58" s="179"/>
      <c r="ENC58" s="179"/>
      <c r="END58" s="179"/>
      <c r="ENE58" s="179"/>
      <c r="ENF58" s="179"/>
      <c r="ENG58" s="179"/>
      <c r="ENH58" s="179"/>
      <c r="ENI58" s="179"/>
      <c r="ENJ58" s="179"/>
      <c r="ENK58" s="179"/>
      <c r="ENL58" s="179"/>
      <c r="ENM58" s="179"/>
      <c r="ENN58" s="179"/>
      <c r="ENO58" s="179"/>
      <c r="ENP58" s="179"/>
      <c r="ENQ58" s="179"/>
      <c r="ENR58" s="179"/>
      <c r="ENS58" s="179"/>
      <c r="ENT58" s="179"/>
      <c r="ENU58" s="179"/>
      <c r="ENV58" s="179"/>
      <c r="ENW58" s="179"/>
      <c r="ENX58" s="179"/>
      <c r="ENY58" s="179"/>
      <c r="ENZ58" s="179"/>
      <c r="EOA58" s="179"/>
      <c r="EOB58" s="179"/>
      <c r="EOC58" s="179"/>
      <c r="EOD58" s="179"/>
      <c r="EOE58" s="179"/>
      <c r="EOF58" s="179"/>
      <c r="EOG58" s="179"/>
      <c r="EOH58" s="179"/>
      <c r="EOI58" s="179"/>
      <c r="EOJ58" s="179"/>
      <c r="EOK58" s="179"/>
      <c r="EOL58" s="179"/>
      <c r="EOM58" s="179"/>
      <c r="EON58" s="179"/>
      <c r="EOO58" s="179"/>
      <c r="EOP58" s="179"/>
      <c r="EOQ58" s="179"/>
      <c r="EOR58" s="179"/>
      <c r="EOS58" s="179"/>
      <c r="EOT58" s="179"/>
      <c r="EOU58" s="179"/>
      <c r="EOV58" s="179"/>
      <c r="EOW58" s="179"/>
      <c r="EOX58" s="179"/>
      <c r="EOY58" s="179"/>
      <c r="EOZ58" s="179"/>
      <c r="EPA58" s="179"/>
      <c r="EPB58" s="179"/>
      <c r="EPC58" s="179"/>
      <c r="EPD58" s="179"/>
      <c r="EPE58" s="179"/>
      <c r="EPF58" s="179"/>
      <c r="EPG58" s="179"/>
      <c r="EPH58" s="179"/>
      <c r="EPI58" s="179"/>
      <c r="EPJ58" s="179"/>
      <c r="EPK58" s="179"/>
      <c r="EPL58" s="179"/>
      <c r="EPM58" s="179"/>
      <c r="EPN58" s="179"/>
      <c r="EPO58" s="179"/>
      <c r="EPP58" s="179"/>
      <c r="EPQ58" s="179"/>
      <c r="EPR58" s="179"/>
      <c r="EPS58" s="179"/>
      <c r="EPT58" s="179"/>
      <c r="EPU58" s="179"/>
      <c r="EPV58" s="179"/>
      <c r="EPW58" s="179"/>
      <c r="EPX58" s="179"/>
      <c r="EPY58" s="179"/>
      <c r="EPZ58" s="179"/>
      <c r="EQA58" s="179"/>
      <c r="EQB58" s="179"/>
      <c r="EQC58" s="179"/>
      <c r="EQD58" s="179"/>
      <c r="EQE58" s="179"/>
      <c r="EQF58" s="179"/>
      <c r="EQG58" s="179"/>
      <c r="EQH58" s="179"/>
      <c r="EQI58" s="179"/>
      <c r="EQJ58" s="179"/>
      <c r="EQK58" s="179"/>
      <c r="EQL58" s="179"/>
      <c r="EQM58" s="179"/>
      <c r="EQN58" s="179"/>
      <c r="EQO58" s="179"/>
      <c r="EQP58" s="179"/>
      <c r="EQQ58" s="179"/>
      <c r="EQR58" s="179"/>
      <c r="EQS58" s="179"/>
      <c r="EQT58" s="179"/>
      <c r="EQU58" s="179"/>
      <c r="EQV58" s="179"/>
      <c r="EQW58" s="179"/>
      <c r="EQX58" s="179"/>
      <c r="EQY58" s="179"/>
      <c r="EQZ58" s="179"/>
      <c r="ERA58" s="179"/>
      <c r="ERB58" s="179"/>
      <c r="ERC58" s="179"/>
      <c r="ERD58" s="179"/>
      <c r="ERE58" s="179"/>
      <c r="ERF58" s="179"/>
      <c r="ERG58" s="179"/>
      <c r="ERH58" s="179"/>
      <c r="ERI58" s="179"/>
      <c r="ERJ58" s="179"/>
      <c r="ERK58" s="179"/>
      <c r="ERL58" s="179"/>
      <c r="ERM58" s="179"/>
      <c r="ERN58" s="179"/>
      <c r="ERO58" s="179"/>
      <c r="ERP58" s="179"/>
      <c r="ERQ58" s="179"/>
      <c r="ERR58" s="179"/>
      <c r="ERS58" s="179"/>
      <c r="ERT58" s="179"/>
      <c r="ERU58" s="179"/>
      <c r="ERV58" s="179"/>
      <c r="ERW58" s="179"/>
      <c r="ERX58" s="179"/>
      <c r="ERY58" s="179"/>
      <c r="ERZ58" s="179"/>
      <c r="ESA58" s="179"/>
      <c r="ESB58" s="179"/>
      <c r="ESC58" s="179"/>
      <c r="ESD58" s="179"/>
      <c r="ESE58" s="179"/>
      <c r="ESF58" s="179"/>
      <c r="ESG58" s="179"/>
      <c r="ESH58" s="179"/>
      <c r="ESI58" s="179"/>
      <c r="ESJ58" s="179"/>
      <c r="ESK58" s="179"/>
      <c r="ESL58" s="179"/>
      <c r="ESM58" s="179"/>
      <c r="ESN58" s="179"/>
      <c r="ESO58" s="179"/>
      <c r="ESP58" s="179"/>
      <c r="ESQ58" s="179"/>
      <c r="ESR58" s="179"/>
      <c r="ESS58" s="179"/>
      <c r="EST58" s="179"/>
      <c r="ESU58" s="179"/>
      <c r="ESV58" s="179"/>
      <c r="ESW58" s="179"/>
      <c r="ESX58" s="179"/>
      <c r="ESY58" s="179"/>
      <c r="ESZ58" s="179"/>
      <c r="ETA58" s="179"/>
      <c r="ETB58" s="179"/>
      <c r="ETC58" s="179"/>
      <c r="ETD58" s="179"/>
      <c r="ETE58" s="179"/>
      <c r="ETF58" s="179"/>
      <c r="ETG58" s="179"/>
      <c r="ETH58" s="179"/>
      <c r="ETI58" s="179"/>
      <c r="ETJ58" s="179"/>
      <c r="ETK58" s="179"/>
      <c r="ETL58" s="179"/>
      <c r="ETM58" s="179"/>
      <c r="ETN58" s="179"/>
      <c r="ETO58" s="179"/>
      <c r="ETP58" s="179"/>
      <c r="ETQ58" s="179"/>
      <c r="ETR58" s="179"/>
      <c r="ETS58" s="179"/>
      <c r="ETT58" s="179"/>
      <c r="ETU58" s="179"/>
      <c r="ETV58" s="179"/>
      <c r="ETW58" s="179"/>
      <c r="ETX58" s="179"/>
      <c r="ETY58" s="179"/>
      <c r="ETZ58" s="179"/>
      <c r="EUA58" s="179"/>
      <c r="EUB58" s="179"/>
      <c r="EUC58" s="179"/>
      <c r="EUD58" s="179"/>
      <c r="EUE58" s="179"/>
      <c r="EUF58" s="179"/>
      <c r="EUG58" s="179"/>
      <c r="EUH58" s="179"/>
      <c r="EUI58" s="179"/>
      <c r="EUJ58" s="179"/>
      <c r="EUK58" s="179"/>
      <c r="EUL58" s="179"/>
      <c r="EUM58" s="179"/>
      <c r="EUN58" s="179"/>
      <c r="EUO58" s="179"/>
      <c r="EUP58" s="179"/>
      <c r="EUQ58" s="179"/>
      <c r="EUR58" s="179"/>
      <c r="EUS58" s="179"/>
      <c r="EUT58" s="179"/>
      <c r="EUU58" s="179"/>
      <c r="EUV58" s="179"/>
      <c r="EUW58" s="179"/>
      <c r="EUX58" s="179"/>
      <c r="EUY58" s="179"/>
      <c r="EUZ58" s="179"/>
      <c r="EVA58" s="179"/>
      <c r="EVB58" s="179"/>
      <c r="EVC58" s="179"/>
      <c r="EVD58" s="179"/>
      <c r="EVE58" s="179"/>
      <c r="EVF58" s="179"/>
      <c r="EVG58" s="179"/>
      <c r="EVH58" s="179"/>
      <c r="EVI58" s="179"/>
      <c r="EVJ58" s="179"/>
      <c r="EVK58" s="179"/>
      <c r="EVL58" s="179"/>
      <c r="EVM58" s="179"/>
      <c r="EVN58" s="179"/>
      <c r="EVO58" s="179"/>
      <c r="EVP58" s="179"/>
      <c r="EVQ58" s="179"/>
      <c r="EVR58" s="179"/>
      <c r="EVS58" s="179"/>
      <c r="EVT58" s="179"/>
      <c r="EVU58" s="179"/>
      <c r="EVV58" s="179"/>
      <c r="EVW58" s="179"/>
      <c r="EVX58" s="179"/>
      <c r="EVY58" s="179"/>
      <c r="EVZ58" s="179"/>
      <c r="EWA58" s="179"/>
      <c r="EWB58" s="179"/>
      <c r="EWC58" s="179"/>
      <c r="EWD58" s="179"/>
      <c r="EWE58" s="179"/>
      <c r="EWF58" s="179"/>
      <c r="EWG58" s="179"/>
      <c r="EWH58" s="179"/>
      <c r="EWI58" s="179"/>
      <c r="EWJ58" s="179"/>
      <c r="EWK58" s="179"/>
      <c r="EWL58" s="179"/>
      <c r="EWM58" s="179"/>
      <c r="EWN58" s="179"/>
      <c r="EWO58" s="179"/>
      <c r="EWP58" s="179"/>
      <c r="EWQ58" s="179"/>
      <c r="EWR58" s="179"/>
      <c r="EWS58" s="179"/>
      <c r="EWT58" s="179"/>
      <c r="EWU58" s="179"/>
      <c r="EWV58" s="179"/>
      <c r="EWW58" s="179"/>
      <c r="EWX58" s="179"/>
      <c r="EWY58" s="179"/>
      <c r="EWZ58" s="179"/>
      <c r="EXA58" s="179"/>
      <c r="EXB58" s="179"/>
      <c r="EXC58" s="179"/>
      <c r="EXD58" s="179"/>
      <c r="EXE58" s="179"/>
      <c r="EXF58" s="179"/>
      <c r="EXG58" s="179"/>
      <c r="EXH58" s="179"/>
      <c r="EXI58" s="179"/>
      <c r="EXJ58" s="179"/>
      <c r="EXK58" s="179"/>
      <c r="EXL58" s="179"/>
      <c r="EXM58" s="179"/>
      <c r="EXN58" s="179"/>
      <c r="EXO58" s="179"/>
      <c r="EXP58" s="179"/>
      <c r="EXQ58" s="179"/>
      <c r="EXR58" s="179"/>
      <c r="EXS58" s="179"/>
      <c r="EXT58" s="179"/>
      <c r="EXU58" s="179"/>
      <c r="EXV58" s="179"/>
      <c r="EXW58" s="179"/>
      <c r="EXX58" s="179"/>
      <c r="EXY58" s="179"/>
      <c r="EXZ58" s="179"/>
      <c r="EYA58" s="179"/>
      <c r="EYB58" s="179"/>
      <c r="EYC58" s="179"/>
      <c r="EYD58" s="179"/>
      <c r="EYE58" s="179"/>
      <c r="EYF58" s="179"/>
      <c r="EYG58" s="179"/>
      <c r="EYH58" s="179"/>
      <c r="EYI58" s="179"/>
      <c r="EYJ58" s="179"/>
      <c r="EYK58" s="179"/>
      <c r="EYL58" s="179"/>
      <c r="EYM58" s="179"/>
      <c r="EYN58" s="179"/>
      <c r="EYO58" s="179"/>
      <c r="EYP58" s="179"/>
      <c r="EYQ58" s="179"/>
      <c r="EYR58" s="179"/>
      <c r="EYS58" s="179"/>
      <c r="EYT58" s="179"/>
      <c r="EYU58" s="179"/>
      <c r="EYV58" s="179"/>
      <c r="EYW58" s="179"/>
      <c r="EYX58" s="179"/>
      <c r="EYY58" s="179"/>
      <c r="EYZ58" s="179"/>
      <c r="EZA58" s="179"/>
      <c r="EZB58" s="179"/>
      <c r="EZC58" s="179"/>
      <c r="EZD58" s="179"/>
      <c r="EZE58" s="179"/>
      <c r="EZF58" s="179"/>
      <c r="EZG58" s="179"/>
      <c r="EZH58" s="179"/>
      <c r="EZI58" s="179"/>
      <c r="EZJ58" s="179"/>
      <c r="EZK58" s="179"/>
      <c r="EZL58" s="179"/>
      <c r="EZM58" s="179"/>
      <c r="EZN58" s="179"/>
      <c r="EZO58" s="179"/>
      <c r="EZP58" s="179"/>
      <c r="EZQ58" s="179"/>
      <c r="EZR58" s="179"/>
      <c r="EZS58" s="179"/>
      <c r="EZT58" s="179"/>
      <c r="EZU58" s="179"/>
      <c r="EZV58" s="179"/>
      <c r="EZW58" s="179"/>
      <c r="EZX58" s="179"/>
      <c r="EZY58" s="179"/>
      <c r="EZZ58" s="179"/>
      <c r="FAA58" s="179"/>
      <c r="FAB58" s="179"/>
      <c r="FAC58" s="179"/>
      <c r="FAD58" s="179"/>
      <c r="FAE58" s="179"/>
      <c r="FAF58" s="179"/>
      <c r="FAG58" s="179"/>
      <c r="FAH58" s="179"/>
      <c r="FAI58" s="179"/>
      <c r="FAJ58" s="179"/>
      <c r="FAK58" s="179"/>
      <c r="FAL58" s="179"/>
      <c r="FAM58" s="179"/>
      <c r="FAN58" s="179"/>
      <c r="FAO58" s="179"/>
      <c r="FAP58" s="179"/>
      <c r="FAQ58" s="179"/>
      <c r="FAR58" s="179"/>
      <c r="FAS58" s="179"/>
      <c r="FAT58" s="179"/>
      <c r="FAU58" s="179"/>
      <c r="FAV58" s="179"/>
      <c r="FAW58" s="179"/>
      <c r="FAX58" s="179"/>
      <c r="FAY58" s="179"/>
      <c r="FAZ58" s="179"/>
      <c r="FBA58" s="179"/>
      <c r="FBB58" s="179"/>
      <c r="FBC58" s="179"/>
      <c r="FBD58" s="179"/>
      <c r="FBE58" s="179"/>
      <c r="FBF58" s="179"/>
      <c r="FBG58" s="179"/>
      <c r="FBH58" s="179"/>
      <c r="FBI58" s="179"/>
      <c r="FBJ58" s="179"/>
      <c r="FBK58" s="179"/>
      <c r="FBL58" s="179"/>
      <c r="FBM58" s="179"/>
      <c r="FBN58" s="179"/>
      <c r="FBO58" s="179"/>
      <c r="FBP58" s="179"/>
      <c r="FBQ58" s="179"/>
      <c r="FBR58" s="179"/>
      <c r="FBS58" s="179"/>
      <c r="FBT58" s="179"/>
      <c r="FBU58" s="179"/>
      <c r="FBV58" s="179"/>
      <c r="FBW58" s="179"/>
      <c r="FBX58" s="179"/>
      <c r="FBY58" s="179"/>
      <c r="FBZ58" s="179"/>
      <c r="FCA58" s="179"/>
      <c r="FCB58" s="179"/>
      <c r="FCC58" s="179"/>
      <c r="FCD58" s="179"/>
      <c r="FCE58" s="179"/>
      <c r="FCF58" s="179"/>
      <c r="FCG58" s="179"/>
      <c r="FCH58" s="179"/>
      <c r="FCI58" s="179"/>
      <c r="FCJ58" s="179"/>
      <c r="FCK58" s="179"/>
      <c r="FCL58" s="179"/>
      <c r="FCM58" s="179"/>
      <c r="FCN58" s="179"/>
      <c r="FCO58" s="179"/>
      <c r="FCP58" s="179"/>
      <c r="FCQ58" s="179"/>
      <c r="FCR58" s="179"/>
      <c r="FCS58" s="179"/>
      <c r="FCT58" s="179"/>
      <c r="FCU58" s="179"/>
      <c r="FCV58" s="179"/>
      <c r="FCW58" s="179"/>
      <c r="FCX58" s="179"/>
      <c r="FCY58" s="179"/>
      <c r="FCZ58" s="179"/>
      <c r="FDA58" s="179"/>
      <c r="FDB58" s="179"/>
      <c r="FDC58" s="179"/>
      <c r="FDD58" s="179"/>
      <c r="FDE58" s="179"/>
      <c r="FDF58" s="179"/>
      <c r="FDG58" s="179"/>
      <c r="FDH58" s="179"/>
      <c r="FDI58" s="179"/>
      <c r="FDJ58" s="179"/>
      <c r="FDK58" s="179"/>
      <c r="FDL58" s="179"/>
      <c r="FDM58" s="179"/>
      <c r="FDN58" s="179"/>
      <c r="FDO58" s="179"/>
      <c r="FDP58" s="179"/>
      <c r="FDQ58" s="179"/>
      <c r="FDR58" s="179"/>
      <c r="FDS58" s="179"/>
      <c r="FDT58" s="179"/>
      <c r="FDU58" s="179"/>
      <c r="FDV58" s="179"/>
      <c r="FDW58" s="179"/>
      <c r="FDX58" s="179"/>
      <c r="FDY58" s="179"/>
      <c r="FDZ58" s="179"/>
      <c r="FEA58" s="179"/>
      <c r="FEB58" s="179"/>
      <c r="FEC58" s="179"/>
      <c r="FED58" s="179"/>
      <c r="FEE58" s="179"/>
      <c r="FEF58" s="179"/>
      <c r="FEG58" s="179"/>
      <c r="FEH58" s="179"/>
      <c r="FEI58" s="179"/>
      <c r="FEJ58" s="179"/>
      <c r="FEK58" s="179"/>
      <c r="FEL58" s="179"/>
      <c r="FEM58" s="179"/>
      <c r="FEN58" s="179"/>
      <c r="FEO58" s="179"/>
      <c r="FEP58" s="179"/>
      <c r="FEQ58" s="179"/>
      <c r="FER58" s="179"/>
      <c r="FES58" s="179"/>
      <c r="FET58" s="179"/>
      <c r="FEU58" s="179"/>
      <c r="FEV58" s="179"/>
      <c r="FEW58" s="179"/>
      <c r="FEX58" s="179"/>
      <c r="FEY58" s="179"/>
      <c r="FEZ58" s="179"/>
      <c r="FFA58" s="179"/>
      <c r="FFB58" s="179"/>
      <c r="FFC58" s="179"/>
      <c r="FFD58" s="179"/>
      <c r="FFE58" s="179"/>
      <c r="FFF58" s="179"/>
      <c r="FFG58" s="179"/>
      <c r="FFH58" s="179"/>
      <c r="FFI58" s="179"/>
      <c r="FFJ58" s="179"/>
      <c r="FFK58" s="179"/>
      <c r="FFL58" s="179"/>
      <c r="FFM58" s="179"/>
      <c r="FFN58" s="179"/>
      <c r="FFO58" s="179"/>
      <c r="FFP58" s="179"/>
      <c r="FFQ58" s="179"/>
      <c r="FFR58" s="179"/>
      <c r="FFS58" s="179"/>
      <c r="FFT58" s="179"/>
      <c r="FFU58" s="179"/>
      <c r="FFV58" s="179"/>
      <c r="FFW58" s="179"/>
      <c r="FFX58" s="179"/>
      <c r="FFY58" s="179"/>
      <c r="FFZ58" s="179"/>
      <c r="FGA58" s="179"/>
      <c r="FGB58" s="179"/>
      <c r="FGC58" s="179"/>
      <c r="FGD58" s="179"/>
      <c r="FGE58" s="179"/>
      <c r="FGF58" s="179"/>
      <c r="FGG58" s="179"/>
      <c r="FGH58" s="179"/>
      <c r="FGI58" s="179"/>
      <c r="FGJ58" s="179"/>
      <c r="FGK58" s="179"/>
      <c r="FGL58" s="179"/>
      <c r="FGM58" s="179"/>
      <c r="FGN58" s="179"/>
      <c r="FGO58" s="179"/>
      <c r="FGP58" s="179"/>
      <c r="FGQ58" s="179"/>
      <c r="FGR58" s="179"/>
      <c r="FGS58" s="179"/>
      <c r="FGT58" s="179"/>
      <c r="FGU58" s="179"/>
      <c r="FGV58" s="179"/>
      <c r="FGW58" s="179"/>
      <c r="FGX58" s="179"/>
      <c r="FGY58" s="179"/>
      <c r="FGZ58" s="179"/>
      <c r="FHA58" s="179"/>
      <c r="FHB58" s="179"/>
      <c r="FHC58" s="179"/>
      <c r="FHD58" s="179"/>
      <c r="FHE58" s="179"/>
      <c r="FHF58" s="179"/>
      <c r="FHG58" s="179"/>
      <c r="FHH58" s="179"/>
      <c r="FHI58" s="179"/>
      <c r="FHJ58" s="179"/>
      <c r="FHK58" s="179"/>
      <c r="FHL58" s="179"/>
      <c r="FHM58" s="179"/>
      <c r="FHN58" s="179"/>
      <c r="FHO58" s="179"/>
      <c r="FHP58" s="179"/>
      <c r="FHQ58" s="179"/>
      <c r="FHR58" s="179"/>
      <c r="FHS58" s="179"/>
      <c r="FHT58" s="179"/>
      <c r="FHU58" s="179"/>
      <c r="FHV58" s="179"/>
      <c r="FHW58" s="179"/>
      <c r="FHX58" s="179"/>
      <c r="FHY58" s="179"/>
      <c r="FHZ58" s="179"/>
      <c r="FIA58" s="179"/>
      <c r="FIB58" s="179"/>
      <c r="FIC58" s="179"/>
      <c r="FID58" s="179"/>
      <c r="FIE58" s="179"/>
      <c r="FIF58" s="179"/>
      <c r="FIG58" s="179"/>
      <c r="FIH58" s="179"/>
      <c r="FII58" s="179"/>
      <c r="FIJ58" s="179"/>
      <c r="FIK58" s="179"/>
      <c r="FIL58" s="179"/>
      <c r="FIM58" s="179"/>
      <c r="FIN58" s="179"/>
      <c r="FIO58" s="179"/>
      <c r="FIP58" s="179"/>
      <c r="FIQ58" s="179"/>
      <c r="FIR58" s="179"/>
      <c r="FIS58" s="179"/>
      <c r="FIT58" s="179"/>
      <c r="FIU58" s="179"/>
      <c r="FIV58" s="179"/>
      <c r="FIW58" s="179"/>
      <c r="FIX58" s="179"/>
      <c r="FIY58" s="179"/>
      <c r="FIZ58" s="179"/>
      <c r="FJA58" s="179"/>
      <c r="FJB58" s="179"/>
      <c r="FJC58" s="179"/>
      <c r="FJD58" s="179"/>
      <c r="FJE58" s="179"/>
      <c r="FJF58" s="179"/>
      <c r="FJG58" s="179"/>
      <c r="FJH58" s="179"/>
      <c r="FJI58" s="179"/>
      <c r="FJJ58" s="179"/>
      <c r="FJK58" s="179"/>
      <c r="FJL58" s="179"/>
      <c r="FJM58" s="179"/>
      <c r="FJN58" s="179"/>
      <c r="FJO58" s="179"/>
      <c r="FJP58" s="179"/>
      <c r="FJQ58" s="179"/>
      <c r="FJR58" s="179"/>
      <c r="FJS58" s="179"/>
      <c r="FJT58" s="179"/>
      <c r="FJU58" s="179"/>
      <c r="FJV58" s="179"/>
      <c r="FJW58" s="179"/>
      <c r="FJX58" s="179"/>
      <c r="FJY58" s="179"/>
      <c r="FJZ58" s="179"/>
      <c r="FKA58" s="179"/>
      <c r="FKB58" s="179"/>
      <c r="FKC58" s="179"/>
      <c r="FKD58" s="179"/>
      <c r="FKE58" s="179"/>
      <c r="FKF58" s="179"/>
      <c r="FKG58" s="179"/>
      <c r="FKH58" s="179"/>
      <c r="FKI58" s="179"/>
      <c r="FKJ58" s="179"/>
      <c r="FKK58" s="179"/>
      <c r="FKL58" s="179"/>
      <c r="FKM58" s="179"/>
      <c r="FKN58" s="179"/>
      <c r="FKO58" s="179"/>
      <c r="FKP58" s="179"/>
      <c r="FKQ58" s="179"/>
      <c r="FKR58" s="179"/>
      <c r="FKS58" s="179"/>
      <c r="FKT58" s="179"/>
      <c r="FKU58" s="179"/>
      <c r="FKV58" s="179"/>
      <c r="FKW58" s="179"/>
      <c r="FKX58" s="179"/>
      <c r="FKY58" s="179"/>
      <c r="FKZ58" s="179"/>
      <c r="FLA58" s="179"/>
      <c r="FLB58" s="179"/>
      <c r="FLC58" s="179"/>
      <c r="FLD58" s="179"/>
      <c r="FLE58" s="179"/>
      <c r="FLF58" s="179"/>
      <c r="FLG58" s="179"/>
      <c r="FLH58" s="179"/>
      <c r="FLI58" s="179"/>
      <c r="FLJ58" s="179"/>
      <c r="FLK58" s="179"/>
      <c r="FLL58" s="179"/>
      <c r="FLM58" s="179"/>
      <c r="FLN58" s="179"/>
      <c r="FLO58" s="179"/>
      <c r="FLP58" s="179"/>
      <c r="FLQ58" s="179"/>
      <c r="FLR58" s="179"/>
      <c r="FLS58" s="179"/>
      <c r="FLT58" s="179"/>
      <c r="FLU58" s="179"/>
      <c r="FLV58" s="179"/>
      <c r="FLW58" s="179"/>
      <c r="FLX58" s="179"/>
      <c r="FLY58" s="179"/>
      <c r="FLZ58" s="179"/>
      <c r="FMA58" s="179"/>
      <c r="FMB58" s="179"/>
      <c r="FMC58" s="179"/>
      <c r="FMD58" s="179"/>
      <c r="FME58" s="179"/>
      <c r="FMF58" s="179"/>
      <c r="FMG58" s="179"/>
      <c r="FMH58" s="179"/>
      <c r="FMI58" s="179"/>
      <c r="FMJ58" s="179"/>
      <c r="FMK58" s="179"/>
      <c r="FML58" s="179"/>
      <c r="FMM58" s="179"/>
      <c r="FMN58" s="179"/>
      <c r="FMO58" s="179"/>
      <c r="FMP58" s="179"/>
      <c r="FMQ58" s="179"/>
      <c r="FMR58" s="179"/>
      <c r="FMS58" s="179"/>
      <c r="FMT58" s="179"/>
      <c r="FMU58" s="179"/>
      <c r="FMV58" s="179"/>
      <c r="FMW58" s="179"/>
      <c r="FMX58" s="179"/>
      <c r="FMY58" s="179"/>
      <c r="FMZ58" s="179"/>
      <c r="FNA58" s="179"/>
      <c r="FNB58" s="179"/>
      <c r="FNC58" s="179"/>
      <c r="FND58" s="179"/>
      <c r="FNE58" s="179"/>
      <c r="FNF58" s="179"/>
      <c r="FNG58" s="179"/>
      <c r="FNH58" s="179"/>
      <c r="FNI58" s="179"/>
      <c r="FNJ58" s="179"/>
      <c r="FNK58" s="179"/>
      <c r="FNL58" s="179"/>
      <c r="FNM58" s="179"/>
      <c r="FNN58" s="179"/>
      <c r="FNO58" s="179"/>
      <c r="FNP58" s="179"/>
      <c r="FNQ58" s="179"/>
      <c r="FNR58" s="179"/>
      <c r="FNS58" s="179"/>
      <c r="FNT58" s="179"/>
      <c r="FNU58" s="179"/>
      <c r="FNV58" s="179"/>
      <c r="FNW58" s="179"/>
      <c r="FNX58" s="179"/>
      <c r="FNY58" s="179"/>
      <c r="FNZ58" s="179"/>
      <c r="FOA58" s="179"/>
      <c r="FOB58" s="179"/>
      <c r="FOC58" s="179"/>
      <c r="FOD58" s="179"/>
      <c r="FOE58" s="179"/>
      <c r="FOF58" s="179"/>
      <c r="FOG58" s="179"/>
      <c r="FOH58" s="179"/>
      <c r="FOI58" s="179"/>
      <c r="FOJ58" s="179"/>
      <c r="FOK58" s="179"/>
      <c r="FOL58" s="179"/>
      <c r="FOM58" s="179"/>
      <c r="FON58" s="179"/>
      <c r="FOO58" s="179"/>
      <c r="FOP58" s="179"/>
      <c r="FOQ58" s="179"/>
      <c r="FOR58" s="179"/>
      <c r="FOS58" s="179"/>
      <c r="FOT58" s="179"/>
      <c r="FOU58" s="179"/>
      <c r="FOV58" s="179"/>
      <c r="FOW58" s="179"/>
      <c r="FOX58" s="179"/>
      <c r="FOY58" s="179"/>
      <c r="FOZ58" s="179"/>
      <c r="FPA58" s="179"/>
      <c r="FPB58" s="179"/>
      <c r="FPC58" s="179"/>
      <c r="FPD58" s="179"/>
      <c r="FPE58" s="179"/>
      <c r="FPF58" s="179"/>
      <c r="FPG58" s="179"/>
      <c r="FPH58" s="179"/>
      <c r="FPI58" s="179"/>
      <c r="FPJ58" s="179"/>
      <c r="FPK58" s="179"/>
      <c r="FPL58" s="179"/>
      <c r="FPM58" s="179"/>
      <c r="FPN58" s="179"/>
      <c r="FPO58" s="179"/>
      <c r="FPP58" s="179"/>
      <c r="FPQ58" s="179"/>
      <c r="FPR58" s="179"/>
      <c r="FPS58" s="179"/>
      <c r="FPT58" s="179"/>
      <c r="FPU58" s="179"/>
      <c r="FPV58" s="179"/>
      <c r="FPW58" s="179"/>
      <c r="FPX58" s="179"/>
      <c r="FPY58" s="179"/>
      <c r="FPZ58" s="179"/>
      <c r="FQA58" s="179"/>
      <c r="FQB58" s="179"/>
      <c r="FQC58" s="179"/>
      <c r="FQD58" s="179"/>
      <c r="FQE58" s="179"/>
      <c r="FQF58" s="179"/>
      <c r="FQG58" s="179"/>
      <c r="FQH58" s="179"/>
      <c r="FQI58" s="179"/>
      <c r="FQJ58" s="179"/>
      <c r="FQK58" s="179"/>
      <c r="FQL58" s="179"/>
      <c r="FQM58" s="179"/>
      <c r="FQN58" s="179"/>
      <c r="FQO58" s="179"/>
      <c r="FQP58" s="179"/>
      <c r="FQQ58" s="179"/>
      <c r="FQR58" s="179"/>
      <c r="FQS58" s="179"/>
      <c r="FQT58" s="179"/>
      <c r="FQU58" s="179"/>
      <c r="FQV58" s="179"/>
      <c r="FQW58" s="179"/>
      <c r="FQX58" s="179"/>
      <c r="FQY58" s="179"/>
      <c r="FQZ58" s="179"/>
      <c r="FRA58" s="179"/>
      <c r="FRB58" s="179"/>
      <c r="FRC58" s="179"/>
      <c r="FRD58" s="179"/>
      <c r="FRE58" s="179"/>
      <c r="FRF58" s="179"/>
      <c r="FRG58" s="179"/>
      <c r="FRH58" s="179"/>
      <c r="FRI58" s="179"/>
      <c r="FRJ58" s="179"/>
      <c r="FRK58" s="179"/>
      <c r="FRL58" s="179"/>
      <c r="FRM58" s="179"/>
      <c r="FRN58" s="179"/>
      <c r="FRO58" s="179"/>
      <c r="FRP58" s="179"/>
      <c r="FRQ58" s="179"/>
      <c r="FRR58" s="179"/>
      <c r="FRS58" s="179"/>
      <c r="FRT58" s="179"/>
      <c r="FRU58" s="179"/>
      <c r="FRV58" s="179"/>
      <c r="FRW58" s="179"/>
      <c r="FRX58" s="179"/>
      <c r="FRY58" s="179"/>
      <c r="FRZ58" s="179"/>
      <c r="FSA58" s="179"/>
      <c r="FSB58" s="179"/>
      <c r="FSC58" s="179"/>
      <c r="FSD58" s="179"/>
      <c r="FSE58" s="179"/>
      <c r="FSF58" s="179"/>
      <c r="FSG58" s="179"/>
      <c r="FSH58" s="179"/>
      <c r="FSI58" s="179"/>
      <c r="FSJ58" s="179"/>
      <c r="FSK58" s="179"/>
      <c r="FSL58" s="179"/>
      <c r="FSM58" s="179"/>
      <c r="FSN58" s="179"/>
      <c r="FSO58" s="179"/>
      <c r="FSP58" s="179"/>
      <c r="FSQ58" s="179"/>
      <c r="FSR58" s="179"/>
      <c r="FSS58" s="179"/>
      <c r="FST58" s="179"/>
      <c r="FSU58" s="179"/>
      <c r="FSV58" s="179"/>
      <c r="FSW58" s="179"/>
      <c r="FSX58" s="179"/>
      <c r="FSY58" s="179"/>
      <c r="FSZ58" s="179"/>
      <c r="FTA58" s="179"/>
      <c r="FTB58" s="179"/>
      <c r="FTC58" s="179"/>
      <c r="FTD58" s="179"/>
      <c r="FTE58" s="179"/>
      <c r="FTF58" s="179"/>
      <c r="FTG58" s="179"/>
      <c r="FTH58" s="179"/>
      <c r="FTI58" s="179"/>
      <c r="FTJ58" s="179"/>
      <c r="FTK58" s="179"/>
      <c r="FTL58" s="179"/>
      <c r="FTM58" s="179"/>
      <c r="FTN58" s="179"/>
      <c r="FTO58" s="179"/>
      <c r="FTP58" s="179"/>
      <c r="FTQ58" s="179"/>
      <c r="FTR58" s="179"/>
      <c r="FTS58" s="179"/>
      <c r="FTT58" s="179"/>
      <c r="FTU58" s="179"/>
      <c r="FTV58" s="179"/>
      <c r="FTW58" s="179"/>
      <c r="FTX58" s="179"/>
      <c r="FTY58" s="179"/>
      <c r="FTZ58" s="179"/>
      <c r="FUA58" s="179"/>
      <c r="FUB58" s="179"/>
      <c r="FUC58" s="179"/>
      <c r="FUD58" s="179"/>
      <c r="FUE58" s="179"/>
      <c r="FUF58" s="179"/>
      <c r="FUG58" s="179"/>
      <c r="FUH58" s="179"/>
      <c r="FUI58" s="179"/>
      <c r="FUJ58" s="179"/>
      <c r="FUK58" s="179"/>
      <c r="FUL58" s="179"/>
      <c r="FUM58" s="179"/>
      <c r="FUN58" s="179"/>
      <c r="FUO58" s="179"/>
      <c r="FUP58" s="179"/>
      <c r="FUQ58" s="179"/>
      <c r="FUR58" s="179"/>
      <c r="FUS58" s="179"/>
      <c r="FUT58" s="179"/>
      <c r="FUU58" s="179"/>
      <c r="FUV58" s="179"/>
      <c r="FUW58" s="179"/>
      <c r="FUX58" s="179"/>
      <c r="FUY58" s="179"/>
      <c r="FUZ58" s="179"/>
      <c r="FVA58" s="179"/>
      <c r="FVB58" s="179"/>
      <c r="FVC58" s="179"/>
      <c r="FVD58" s="179"/>
      <c r="FVE58" s="179"/>
      <c r="FVF58" s="179"/>
      <c r="FVG58" s="179"/>
      <c r="FVH58" s="179"/>
      <c r="FVI58" s="179"/>
      <c r="FVJ58" s="179"/>
      <c r="FVK58" s="179"/>
      <c r="FVL58" s="179"/>
      <c r="FVM58" s="179"/>
      <c r="FVN58" s="179"/>
      <c r="FVO58" s="179"/>
      <c r="FVP58" s="179"/>
      <c r="FVQ58" s="179"/>
      <c r="FVR58" s="179"/>
      <c r="FVS58" s="179"/>
      <c r="FVT58" s="179"/>
      <c r="FVU58" s="179"/>
      <c r="FVV58" s="179"/>
      <c r="FVW58" s="179"/>
      <c r="FVX58" s="179"/>
      <c r="FVY58" s="179"/>
      <c r="FVZ58" s="179"/>
      <c r="FWA58" s="179"/>
      <c r="FWB58" s="179"/>
      <c r="FWC58" s="179"/>
      <c r="FWD58" s="179"/>
      <c r="FWE58" s="179"/>
      <c r="FWF58" s="179"/>
      <c r="FWG58" s="179"/>
      <c r="FWH58" s="179"/>
      <c r="FWI58" s="179"/>
      <c r="FWJ58" s="179"/>
      <c r="FWK58" s="179"/>
      <c r="FWL58" s="179"/>
      <c r="FWM58" s="179"/>
      <c r="FWN58" s="179"/>
      <c r="FWO58" s="179"/>
      <c r="FWP58" s="179"/>
      <c r="FWQ58" s="179"/>
      <c r="FWR58" s="179"/>
      <c r="FWS58" s="179"/>
      <c r="FWT58" s="179"/>
      <c r="FWU58" s="179"/>
      <c r="FWV58" s="179"/>
      <c r="FWW58" s="179"/>
      <c r="FWX58" s="179"/>
      <c r="FWY58" s="179"/>
      <c r="FWZ58" s="179"/>
      <c r="FXA58" s="179"/>
      <c r="FXB58" s="179"/>
      <c r="FXC58" s="179"/>
      <c r="FXD58" s="179"/>
      <c r="FXE58" s="179"/>
      <c r="FXF58" s="179"/>
      <c r="FXG58" s="179"/>
      <c r="FXH58" s="179"/>
      <c r="FXI58" s="179"/>
      <c r="FXJ58" s="179"/>
      <c r="FXK58" s="179"/>
      <c r="FXL58" s="179"/>
      <c r="FXM58" s="179"/>
      <c r="FXN58" s="179"/>
      <c r="FXO58" s="179"/>
      <c r="FXP58" s="179"/>
      <c r="FXQ58" s="179"/>
      <c r="FXR58" s="179"/>
      <c r="FXS58" s="179"/>
      <c r="FXT58" s="179"/>
      <c r="FXU58" s="179"/>
      <c r="FXV58" s="179"/>
      <c r="FXW58" s="179"/>
      <c r="FXX58" s="179"/>
      <c r="FXY58" s="179"/>
      <c r="FXZ58" s="179"/>
      <c r="FYA58" s="179"/>
      <c r="FYB58" s="179"/>
      <c r="FYC58" s="179"/>
      <c r="FYD58" s="179"/>
      <c r="FYE58" s="179"/>
      <c r="FYF58" s="179"/>
      <c r="FYG58" s="179"/>
      <c r="FYH58" s="179"/>
      <c r="FYI58" s="179"/>
      <c r="FYJ58" s="179"/>
      <c r="FYK58" s="179"/>
      <c r="FYL58" s="179"/>
      <c r="FYM58" s="179"/>
      <c r="FYN58" s="179"/>
      <c r="FYO58" s="179"/>
      <c r="FYP58" s="179"/>
      <c r="FYQ58" s="179"/>
      <c r="FYR58" s="179"/>
      <c r="FYS58" s="179"/>
      <c r="FYT58" s="179"/>
      <c r="FYU58" s="179"/>
      <c r="FYV58" s="179"/>
      <c r="FYW58" s="179"/>
      <c r="FYX58" s="179"/>
      <c r="FYY58" s="179"/>
      <c r="FYZ58" s="179"/>
      <c r="FZA58" s="179"/>
      <c r="FZB58" s="179"/>
      <c r="FZC58" s="179"/>
      <c r="FZD58" s="179"/>
      <c r="FZE58" s="179"/>
      <c r="FZF58" s="179"/>
      <c r="FZG58" s="179"/>
      <c r="FZH58" s="179"/>
      <c r="FZI58" s="179"/>
      <c r="FZJ58" s="179"/>
      <c r="FZK58" s="179"/>
      <c r="FZL58" s="179"/>
      <c r="FZM58" s="179"/>
      <c r="FZN58" s="179"/>
      <c r="FZO58" s="179"/>
      <c r="FZP58" s="179"/>
      <c r="FZQ58" s="179"/>
      <c r="FZR58" s="179"/>
      <c r="FZS58" s="179"/>
      <c r="FZT58" s="179"/>
      <c r="FZU58" s="179"/>
      <c r="FZV58" s="179"/>
      <c r="FZW58" s="179"/>
      <c r="FZX58" s="179"/>
      <c r="FZY58" s="179"/>
      <c r="FZZ58" s="179"/>
      <c r="GAA58" s="179"/>
      <c r="GAB58" s="179"/>
      <c r="GAC58" s="179"/>
      <c r="GAD58" s="179"/>
      <c r="GAE58" s="179"/>
      <c r="GAF58" s="179"/>
      <c r="GAG58" s="179"/>
      <c r="GAH58" s="179"/>
      <c r="GAI58" s="179"/>
      <c r="GAJ58" s="179"/>
      <c r="GAK58" s="179"/>
      <c r="GAL58" s="179"/>
      <c r="GAM58" s="179"/>
      <c r="GAN58" s="179"/>
      <c r="GAO58" s="179"/>
      <c r="GAP58" s="179"/>
      <c r="GAQ58" s="179"/>
      <c r="GAR58" s="179"/>
      <c r="GAS58" s="179"/>
      <c r="GAT58" s="179"/>
      <c r="GAU58" s="179"/>
      <c r="GAV58" s="179"/>
      <c r="GAW58" s="179"/>
      <c r="GAX58" s="179"/>
      <c r="GAY58" s="179"/>
      <c r="GAZ58" s="179"/>
      <c r="GBA58" s="179"/>
      <c r="GBB58" s="179"/>
      <c r="GBC58" s="179"/>
      <c r="GBD58" s="179"/>
      <c r="GBE58" s="179"/>
      <c r="GBF58" s="179"/>
      <c r="GBG58" s="179"/>
      <c r="GBH58" s="179"/>
      <c r="GBI58" s="179"/>
      <c r="GBJ58" s="179"/>
      <c r="GBK58" s="179"/>
      <c r="GBL58" s="179"/>
      <c r="GBM58" s="179"/>
      <c r="GBN58" s="179"/>
      <c r="GBO58" s="179"/>
      <c r="GBP58" s="179"/>
      <c r="GBQ58" s="179"/>
      <c r="GBR58" s="179"/>
      <c r="GBS58" s="179"/>
      <c r="GBT58" s="179"/>
      <c r="GBU58" s="179"/>
      <c r="GBV58" s="179"/>
      <c r="GBW58" s="179"/>
      <c r="GBX58" s="179"/>
      <c r="GBY58" s="179"/>
      <c r="GBZ58" s="179"/>
      <c r="GCA58" s="179"/>
      <c r="GCB58" s="179"/>
      <c r="GCC58" s="179"/>
      <c r="GCD58" s="179"/>
      <c r="GCE58" s="179"/>
      <c r="GCF58" s="179"/>
      <c r="GCG58" s="179"/>
      <c r="GCH58" s="179"/>
      <c r="GCI58" s="179"/>
      <c r="GCJ58" s="179"/>
      <c r="GCK58" s="179"/>
      <c r="GCL58" s="179"/>
      <c r="GCM58" s="179"/>
      <c r="GCN58" s="179"/>
      <c r="GCO58" s="179"/>
      <c r="GCP58" s="179"/>
      <c r="GCQ58" s="179"/>
      <c r="GCR58" s="179"/>
      <c r="GCS58" s="179"/>
      <c r="GCT58" s="179"/>
      <c r="GCU58" s="179"/>
      <c r="GCV58" s="179"/>
      <c r="GCW58" s="179"/>
      <c r="GCX58" s="179"/>
      <c r="GCY58" s="179"/>
      <c r="GCZ58" s="179"/>
      <c r="GDA58" s="179"/>
      <c r="GDB58" s="179"/>
      <c r="GDC58" s="179"/>
      <c r="GDD58" s="179"/>
      <c r="GDE58" s="179"/>
      <c r="GDF58" s="179"/>
      <c r="GDG58" s="179"/>
      <c r="GDH58" s="179"/>
      <c r="GDI58" s="179"/>
      <c r="GDJ58" s="179"/>
      <c r="GDK58" s="179"/>
      <c r="GDL58" s="179"/>
      <c r="GDM58" s="179"/>
      <c r="GDN58" s="179"/>
      <c r="GDO58" s="179"/>
      <c r="GDP58" s="179"/>
      <c r="GDQ58" s="179"/>
      <c r="GDR58" s="179"/>
      <c r="GDS58" s="179"/>
      <c r="GDT58" s="179"/>
      <c r="GDU58" s="179"/>
      <c r="GDV58" s="179"/>
      <c r="GDW58" s="179"/>
      <c r="GDX58" s="179"/>
      <c r="GDY58" s="179"/>
      <c r="GDZ58" s="179"/>
      <c r="GEA58" s="179"/>
      <c r="GEB58" s="179"/>
      <c r="GEC58" s="179"/>
      <c r="GED58" s="179"/>
      <c r="GEE58" s="179"/>
      <c r="GEF58" s="179"/>
      <c r="GEG58" s="179"/>
      <c r="GEH58" s="179"/>
      <c r="GEI58" s="179"/>
      <c r="GEJ58" s="179"/>
      <c r="GEK58" s="179"/>
      <c r="GEL58" s="179"/>
      <c r="GEM58" s="179"/>
      <c r="GEN58" s="179"/>
      <c r="GEO58" s="179"/>
      <c r="GEP58" s="179"/>
      <c r="GEQ58" s="179"/>
      <c r="GER58" s="179"/>
      <c r="GES58" s="179"/>
      <c r="GET58" s="179"/>
      <c r="GEU58" s="179"/>
      <c r="GEV58" s="179"/>
      <c r="GEW58" s="179"/>
      <c r="GEX58" s="179"/>
      <c r="GEY58" s="179"/>
      <c r="GEZ58" s="179"/>
      <c r="GFA58" s="179"/>
      <c r="GFB58" s="179"/>
      <c r="GFC58" s="179"/>
      <c r="GFD58" s="179"/>
      <c r="GFE58" s="179"/>
      <c r="GFF58" s="179"/>
      <c r="GFG58" s="179"/>
      <c r="GFH58" s="179"/>
      <c r="GFI58" s="179"/>
      <c r="GFJ58" s="179"/>
      <c r="GFK58" s="179"/>
      <c r="GFL58" s="179"/>
      <c r="GFM58" s="179"/>
      <c r="GFN58" s="179"/>
      <c r="GFO58" s="179"/>
      <c r="GFP58" s="179"/>
      <c r="GFQ58" s="179"/>
      <c r="GFR58" s="179"/>
      <c r="GFS58" s="179"/>
      <c r="GFT58" s="179"/>
      <c r="GFU58" s="179"/>
      <c r="GFV58" s="179"/>
      <c r="GFW58" s="179"/>
      <c r="GFX58" s="179"/>
      <c r="GFY58" s="179"/>
      <c r="GFZ58" s="179"/>
      <c r="GGA58" s="179"/>
      <c r="GGB58" s="179"/>
      <c r="GGC58" s="179"/>
      <c r="GGD58" s="179"/>
      <c r="GGE58" s="179"/>
      <c r="GGF58" s="179"/>
      <c r="GGG58" s="179"/>
      <c r="GGH58" s="179"/>
      <c r="GGI58" s="179"/>
      <c r="GGJ58" s="179"/>
      <c r="GGK58" s="179"/>
      <c r="GGL58" s="179"/>
      <c r="GGM58" s="179"/>
      <c r="GGN58" s="179"/>
      <c r="GGO58" s="179"/>
      <c r="GGP58" s="179"/>
      <c r="GGQ58" s="179"/>
      <c r="GGR58" s="179"/>
      <c r="GGS58" s="179"/>
      <c r="GGT58" s="179"/>
      <c r="GGU58" s="179"/>
      <c r="GGV58" s="179"/>
      <c r="GGW58" s="179"/>
      <c r="GGX58" s="179"/>
      <c r="GGY58" s="179"/>
      <c r="GGZ58" s="179"/>
      <c r="GHA58" s="179"/>
      <c r="GHB58" s="179"/>
      <c r="GHC58" s="179"/>
      <c r="GHD58" s="179"/>
      <c r="GHE58" s="179"/>
      <c r="GHF58" s="179"/>
      <c r="GHG58" s="179"/>
      <c r="GHH58" s="179"/>
      <c r="GHI58" s="179"/>
      <c r="GHJ58" s="179"/>
      <c r="GHK58" s="179"/>
      <c r="GHL58" s="179"/>
      <c r="GHM58" s="179"/>
      <c r="GHN58" s="179"/>
      <c r="GHO58" s="179"/>
      <c r="GHP58" s="179"/>
      <c r="GHQ58" s="179"/>
      <c r="GHR58" s="179"/>
      <c r="GHS58" s="179"/>
      <c r="GHT58" s="179"/>
      <c r="GHU58" s="179"/>
      <c r="GHV58" s="179"/>
      <c r="GHW58" s="179"/>
      <c r="GHX58" s="179"/>
      <c r="GHY58" s="179"/>
      <c r="GHZ58" s="179"/>
      <c r="GIA58" s="179"/>
      <c r="GIB58" s="179"/>
      <c r="GIC58" s="179"/>
      <c r="GID58" s="179"/>
      <c r="GIE58" s="179"/>
      <c r="GIF58" s="179"/>
      <c r="GIG58" s="179"/>
      <c r="GIH58" s="179"/>
      <c r="GII58" s="179"/>
      <c r="GIJ58" s="179"/>
      <c r="GIK58" s="179"/>
      <c r="GIL58" s="179"/>
      <c r="GIM58" s="179"/>
      <c r="GIN58" s="179"/>
      <c r="GIO58" s="179"/>
      <c r="GIP58" s="179"/>
      <c r="GIQ58" s="179"/>
      <c r="GIR58" s="179"/>
      <c r="GIS58" s="179"/>
      <c r="GIT58" s="179"/>
      <c r="GIU58" s="179"/>
      <c r="GIV58" s="179"/>
      <c r="GIW58" s="179"/>
      <c r="GIX58" s="179"/>
      <c r="GIY58" s="179"/>
      <c r="GIZ58" s="179"/>
      <c r="GJA58" s="179"/>
      <c r="GJB58" s="179"/>
      <c r="GJC58" s="179"/>
      <c r="GJD58" s="179"/>
      <c r="GJE58" s="179"/>
      <c r="GJF58" s="179"/>
      <c r="GJG58" s="179"/>
      <c r="GJH58" s="179"/>
      <c r="GJI58" s="179"/>
      <c r="GJJ58" s="179"/>
      <c r="GJK58" s="179"/>
      <c r="GJL58" s="179"/>
      <c r="GJM58" s="179"/>
      <c r="GJN58" s="179"/>
      <c r="GJO58" s="179"/>
      <c r="GJP58" s="179"/>
      <c r="GJQ58" s="179"/>
      <c r="GJR58" s="179"/>
      <c r="GJS58" s="179"/>
      <c r="GJT58" s="179"/>
      <c r="GJU58" s="179"/>
      <c r="GJV58" s="179"/>
      <c r="GJW58" s="179"/>
      <c r="GJX58" s="179"/>
      <c r="GJY58" s="179"/>
      <c r="GJZ58" s="179"/>
      <c r="GKA58" s="179"/>
      <c r="GKB58" s="179"/>
      <c r="GKC58" s="179"/>
      <c r="GKD58" s="179"/>
      <c r="GKE58" s="179"/>
      <c r="GKF58" s="179"/>
      <c r="GKG58" s="179"/>
      <c r="GKH58" s="179"/>
      <c r="GKI58" s="179"/>
      <c r="GKJ58" s="179"/>
      <c r="GKK58" s="179"/>
      <c r="GKL58" s="179"/>
      <c r="GKM58" s="179"/>
      <c r="GKN58" s="179"/>
      <c r="GKO58" s="179"/>
      <c r="GKP58" s="179"/>
      <c r="GKQ58" s="179"/>
      <c r="GKR58" s="179"/>
      <c r="GKS58" s="179"/>
      <c r="GKT58" s="179"/>
      <c r="GKU58" s="179"/>
      <c r="GKV58" s="179"/>
      <c r="GKW58" s="179"/>
      <c r="GKX58" s="179"/>
      <c r="GKY58" s="179"/>
      <c r="GKZ58" s="179"/>
      <c r="GLA58" s="179"/>
      <c r="GLB58" s="179"/>
      <c r="GLC58" s="179"/>
      <c r="GLD58" s="179"/>
      <c r="GLE58" s="179"/>
      <c r="GLF58" s="179"/>
      <c r="GLG58" s="179"/>
      <c r="GLH58" s="179"/>
      <c r="GLI58" s="179"/>
      <c r="GLJ58" s="179"/>
      <c r="GLK58" s="179"/>
      <c r="GLL58" s="179"/>
      <c r="GLM58" s="179"/>
      <c r="GLN58" s="179"/>
      <c r="GLO58" s="179"/>
      <c r="GLP58" s="179"/>
      <c r="GLQ58" s="179"/>
      <c r="GLR58" s="179"/>
      <c r="GLS58" s="179"/>
      <c r="GLT58" s="179"/>
      <c r="GLU58" s="179"/>
      <c r="GLV58" s="179"/>
      <c r="GLW58" s="179"/>
      <c r="GLX58" s="179"/>
      <c r="GLY58" s="179"/>
      <c r="GLZ58" s="179"/>
      <c r="GMA58" s="179"/>
      <c r="GMB58" s="179"/>
      <c r="GMC58" s="179"/>
      <c r="GMD58" s="179"/>
      <c r="GME58" s="179"/>
      <c r="GMF58" s="179"/>
      <c r="GMG58" s="179"/>
      <c r="GMH58" s="179"/>
      <c r="GMI58" s="179"/>
      <c r="GMJ58" s="179"/>
      <c r="GMK58" s="179"/>
      <c r="GML58" s="179"/>
      <c r="GMM58" s="179"/>
      <c r="GMN58" s="179"/>
      <c r="GMO58" s="179"/>
      <c r="GMP58" s="179"/>
      <c r="GMQ58" s="179"/>
      <c r="GMR58" s="179"/>
      <c r="GMS58" s="179"/>
      <c r="GMT58" s="179"/>
      <c r="GMU58" s="179"/>
      <c r="GMV58" s="179"/>
      <c r="GMW58" s="179"/>
      <c r="GMX58" s="179"/>
      <c r="GMY58" s="179"/>
      <c r="GMZ58" s="179"/>
      <c r="GNA58" s="179"/>
      <c r="GNB58" s="179"/>
      <c r="GNC58" s="179"/>
      <c r="GND58" s="179"/>
      <c r="GNE58" s="179"/>
      <c r="GNF58" s="179"/>
      <c r="GNG58" s="179"/>
      <c r="GNH58" s="179"/>
      <c r="GNI58" s="179"/>
      <c r="GNJ58" s="179"/>
      <c r="GNK58" s="179"/>
      <c r="GNL58" s="179"/>
      <c r="GNM58" s="179"/>
      <c r="GNN58" s="179"/>
      <c r="GNO58" s="179"/>
      <c r="GNP58" s="179"/>
      <c r="GNQ58" s="179"/>
      <c r="GNR58" s="179"/>
      <c r="GNS58" s="179"/>
      <c r="GNT58" s="179"/>
      <c r="GNU58" s="179"/>
      <c r="GNV58" s="179"/>
      <c r="GNW58" s="179"/>
      <c r="GNX58" s="179"/>
      <c r="GNY58" s="179"/>
      <c r="GNZ58" s="179"/>
      <c r="GOA58" s="179"/>
      <c r="GOB58" s="179"/>
      <c r="GOC58" s="179"/>
      <c r="GOD58" s="179"/>
      <c r="GOE58" s="179"/>
      <c r="GOF58" s="179"/>
      <c r="GOG58" s="179"/>
      <c r="GOH58" s="179"/>
      <c r="GOI58" s="179"/>
      <c r="GOJ58" s="179"/>
      <c r="GOK58" s="179"/>
      <c r="GOL58" s="179"/>
      <c r="GOM58" s="179"/>
      <c r="GON58" s="179"/>
      <c r="GOO58" s="179"/>
      <c r="GOP58" s="179"/>
      <c r="GOQ58" s="179"/>
      <c r="GOR58" s="179"/>
      <c r="GOS58" s="179"/>
      <c r="GOT58" s="179"/>
      <c r="GOU58" s="179"/>
      <c r="GOV58" s="179"/>
      <c r="GOW58" s="179"/>
      <c r="GOX58" s="179"/>
      <c r="GOY58" s="179"/>
      <c r="GOZ58" s="179"/>
      <c r="GPA58" s="179"/>
      <c r="GPB58" s="179"/>
      <c r="GPC58" s="179"/>
      <c r="GPD58" s="179"/>
      <c r="GPE58" s="179"/>
      <c r="GPF58" s="179"/>
      <c r="GPG58" s="179"/>
      <c r="GPH58" s="179"/>
      <c r="GPI58" s="179"/>
      <c r="GPJ58" s="179"/>
      <c r="GPK58" s="179"/>
      <c r="GPL58" s="179"/>
      <c r="GPM58" s="179"/>
      <c r="GPN58" s="179"/>
      <c r="GPO58" s="179"/>
      <c r="GPP58" s="179"/>
      <c r="GPQ58" s="179"/>
      <c r="GPR58" s="179"/>
      <c r="GPS58" s="179"/>
      <c r="GPT58" s="179"/>
      <c r="GPU58" s="179"/>
      <c r="GPV58" s="179"/>
      <c r="GPW58" s="179"/>
      <c r="GPX58" s="179"/>
      <c r="GPY58" s="179"/>
      <c r="GPZ58" s="179"/>
      <c r="GQA58" s="179"/>
      <c r="GQB58" s="179"/>
      <c r="GQC58" s="179"/>
      <c r="GQD58" s="179"/>
      <c r="GQE58" s="179"/>
      <c r="GQF58" s="179"/>
      <c r="GQG58" s="179"/>
      <c r="GQH58" s="179"/>
      <c r="GQI58" s="179"/>
      <c r="GQJ58" s="179"/>
      <c r="GQK58" s="179"/>
      <c r="GQL58" s="179"/>
      <c r="GQM58" s="179"/>
      <c r="GQN58" s="179"/>
      <c r="GQO58" s="179"/>
      <c r="GQP58" s="179"/>
      <c r="GQQ58" s="179"/>
      <c r="GQR58" s="179"/>
      <c r="GQS58" s="179"/>
      <c r="GQT58" s="179"/>
      <c r="GQU58" s="179"/>
      <c r="GQV58" s="179"/>
      <c r="GQW58" s="179"/>
      <c r="GQX58" s="179"/>
      <c r="GQY58" s="179"/>
      <c r="GQZ58" s="179"/>
      <c r="GRA58" s="179"/>
      <c r="GRB58" s="179"/>
      <c r="GRC58" s="179"/>
      <c r="GRD58" s="179"/>
      <c r="GRE58" s="179"/>
      <c r="GRF58" s="179"/>
      <c r="GRG58" s="179"/>
      <c r="GRH58" s="179"/>
      <c r="GRI58" s="179"/>
      <c r="GRJ58" s="179"/>
      <c r="GRK58" s="179"/>
      <c r="GRL58" s="179"/>
      <c r="GRM58" s="179"/>
      <c r="GRN58" s="179"/>
      <c r="GRO58" s="179"/>
      <c r="GRP58" s="179"/>
      <c r="GRQ58" s="179"/>
      <c r="GRR58" s="179"/>
      <c r="GRS58" s="179"/>
      <c r="GRT58" s="179"/>
      <c r="GRU58" s="179"/>
      <c r="GRV58" s="179"/>
      <c r="GRW58" s="179"/>
      <c r="GRX58" s="179"/>
      <c r="GRY58" s="179"/>
      <c r="GRZ58" s="179"/>
      <c r="GSA58" s="179"/>
      <c r="GSB58" s="179"/>
      <c r="GSC58" s="179"/>
      <c r="GSD58" s="179"/>
      <c r="GSE58" s="179"/>
      <c r="GSF58" s="179"/>
      <c r="GSG58" s="179"/>
      <c r="GSH58" s="179"/>
      <c r="GSI58" s="179"/>
      <c r="GSJ58" s="179"/>
      <c r="GSK58" s="179"/>
      <c r="GSL58" s="179"/>
      <c r="GSM58" s="179"/>
      <c r="GSN58" s="179"/>
      <c r="GSO58" s="179"/>
      <c r="GSP58" s="179"/>
      <c r="GSQ58" s="179"/>
      <c r="GSR58" s="179"/>
      <c r="GSS58" s="179"/>
      <c r="GST58" s="179"/>
      <c r="GSU58" s="179"/>
      <c r="GSV58" s="179"/>
      <c r="GSW58" s="179"/>
      <c r="GSX58" s="179"/>
      <c r="GSY58" s="179"/>
      <c r="GSZ58" s="179"/>
      <c r="GTA58" s="179"/>
      <c r="GTB58" s="179"/>
      <c r="GTC58" s="179"/>
      <c r="GTD58" s="179"/>
      <c r="GTE58" s="179"/>
      <c r="GTF58" s="179"/>
      <c r="GTG58" s="179"/>
      <c r="GTH58" s="179"/>
      <c r="GTI58" s="179"/>
      <c r="GTJ58" s="179"/>
      <c r="GTK58" s="179"/>
      <c r="GTL58" s="179"/>
      <c r="GTM58" s="179"/>
      <c r="GTN58" s="179"/>
      <c r="GTO58" s="179"/>
      <c r="GTP58" s="179"/>
      <c r="GTQ58" s="179"/>
      <c r="GTR58" s="179"/>
      <c r="GTS58" s="179"/>
      <c r="GTT58" s="179"/>
      <c r="GTU58" s="179"/>
      <c r="GTV58" s="179"/>
      <c r="GTW58" s="179"/>
      <c r="GTX58" s="179"/>
      <c r="GTY58" s="179"/>
      <c r="GTZ58" s="179"/>
      <c r="GUA58" s="179"/>
      <c r="GUB58" s="179"/>
      <c r="GUC58" s="179"/>
      <c r="GUD58" s="179"/>
      <c r="GUE58" s="179"/>
      <c r="GUF58" s="179"/>
      <c r="GUG58" s="179"/>
      <c r="GUH58" s="179"/>
      <c r="GUI58" s="179"/>
      <c r="GUJ58" s="179"/>
      <c r="GUK58" s="179"/>
      <c r="GUL58" s="179"/>
      <c r="GUM58" s="179"/>
      <c r="GUN58" s="179"/>
      <c r="GUO58" s="179"/>
      <c r="GUP58" s="179"/>
      <c r="GUQ58" s="179"/>
      <c r="GUR58" s="179"/>
      <c r="GUS58" s="179"/>
      <c r="GUT58" s="179"/>
      <c r="GUU58" s="179"/>
      <c r="GUV58" s="179"/>
      <c r="GUW58" s="179"/>
      <c r="GUX58" s="179"/>
      <c r="GUY58" s="179"/>
      <c r="GUZ58" s="179"/>
      <c r="GVA58" s="179"/>
      <c r="GVB58" s="179"/>
      <c r="GVC58" s="179"/>
      <c r="GVD58" s="179"/>
      <c r="GVE58" s="179"/>
      <c r="GVF58" s="179"/>
      <c r="GVG58" s="179"/>
      <c r="GVH58" s="179"/>
      <c r="GVI58" s="179"/>
      <c r="GVJ58" s="179"/>
      <c r="GVK58" s="179"/>
      <c r="GVL58" s="179"/>
      <c r="GVM58" s="179"/>
      <c r="GVN58" s="179"/>
      <c r="GVO58" s="179"/>
      <c r="GVP58" s="179"/>
      <c r="GVQ58" s="179"/>
      <c r="GVR58" s="179"/>
      <c r="GVS58" s="179"/>
      <c r="GVT58" s="179"/>
      <c r="GVU58" s="179"/>
      <c r="GVV58" s="179"/>
      <c r="GVW58" s="179"/>
      <c r="GVX58" s="179"/>
      <c r="GVY58" s="179"/>
      <c r="GVZ58" s="179"/>
      <c r="GWA58" s="179"/>
      <c r="GWB58" s="179"/>
      <c r="GWC58" s="179"/>
      <c r="GWD58" s="179"/>
      <c r="GWE58" s="179"/>
      <c r="GWF58" s="179"/>
      <c r="GWG58" s="179"/>
      <c r="GWH58" s="179"/>
      <c r="GWI58" s="179"/>
      <c r="GWJ58" s="179"/>
      <c r="GWK58" s="179"/>
      <c r="GWL58" s="179"/>
      <c r="GWM58" s="179"/>
      <c r="GWN58" s="179"/>
      <c r="GWO58" s="179"/>
      <c r="GWP58" s="179"/>
      <c r="GWQ58" s="179"/>
      <c r="GWR58" s="179"/>
      <c r="GWS58" s="179"/>
      <c r="GWT58" s="179"/>
      <c r="GWU58" s="179"/>
      <c r="GWV58" s="179"/>
      <c r="GWW58" s="179"/>
      <c r="GWX58" s="179"/>
      <c r="GWY58" s="179"/>
      <c r="GWZ58" s="179"/>
      <c r="GXA58" s="179"/>
      <c r="GXB58" s="179"/>
      <c r="GXC58" s="179"/>
      <c r="GXD58" s="179"/>
      <c r="GXE58" s="179"/>
      <c r="GXF58" s="179"/>
      <c r="GXG58" s="179"/>
      <c r="GXH58" s="179"/>
      <c r="GXI58" s="179"/>
      <c r="GXJ58" s="179"/>
      <c r="GXK58" s="179"/>
      <c r="GXL58" s="179"/>
      <c r="GXM58" s="179"/>
      <c r="GXN58" s="179"/>
      <c r="GXO58" s="179"/>
      <c r="GXP58" s="179"/>
      <c r="GXQ58" s="179"/>
      <c r="GXR58" s="179"/>
      <c r="GXS58" s="179"/>
      <c r="GXT58" s="179"/>
      <c r="GXU58" s="179"/>
      <c r="GXV58" s="179"/>
      <c r="GXW58" s="179"/>
      <c r="GXX58" s="179"/>
      <c r="GXY58" s="179"/>
      <c r="GXZ58" s="179"/>
      <c r="GYA58" s="179"/>
      <c r="GYB58" s="179"/>
      <c r="GYC58" s="179"/>
      <c r="GYD58" s="179"/>
      <c r="GYE58" s="179"/>
      <c r="GYF58" s="179"/>
      <c r="GYG58" s="179"/>
      <c r="GYH58" s="179"/>
      <c r="GYI58" s="179"/>
      <c r="GYJ58" s="179"/>
      <c r="GYK58" s="179"/>
      <c r="GYL58" s="179"/>
      <c r="GYM58" s="179"/>
      <c r="GYN58" s="179"/>
      <c r="GYO58" s="179"/>
      <c r="GYP58" s="179"/>
      <c r="GYQ58" s="179"/>
      <c r="GYR58" s="179"/>
      <c r="GYS58" s="179"/>
      <c r="GYT58" s="179"/>
      <c r="GYU58" s="179"/>
      <c r="GYV58" s="179"/>
      <c r="GYW58" s="179"/>
      <c r="GYX58" s="179"/>
      <c r="GYY58" s="179"/>
      <c r="GYZ58" s="179"/>
      <c r="GZA58" s="179"/>
      <c r="GZB58" s="179"/>
      <c r="GZC58" s="179"/>
      <c r="GZD58" s="179"/>
      <c r="GZE58" s="179"/>
      <c r="GZF58" s="179"/>
      <c r="GZG58" s="179"/>
      <c r="GZH58" s="179"/>
      <c r="GZI58" s="179"/>
      <c r="GZJ58" s="179"/>
      <c r="GZK58" s="179"/>
      <c r="GZL58" s="179"/>
      <c r="GZM58" s="179"/>
      <c r="GZN58" s="179"/>
      <c r="GZO58" s="179"/>
      <c r="GZP58" s="179"/>
      <c r="GZQ58" s="179"/>
      <c r="GZR58" s="179"/>
      <c r="GZS58" s="179"/>
      <c r="GZT58" s="179"/>
      <c r="GZU58" s="179"/>
      <c r="GZV58" s="179"/>
      <c r="GZW58" s="179"/>
      <c r="GZX58" s="179"/>
      <c r="GZY58" s="179"/>
      <c r="GZZ58" s="179"/>
      <c r="HAA58" s="179"/>
      <c r="HAB58" s="179"/>
      <c r="HAC58" s="179"/>
      <c r="HAD58" s="179"/>
      <c r="HAE58" s="179"/>
      <c r="HAF58" s="179"/>
      <c r="HAG58" s="179"/>
      <c r="HAH58" s="179"/>
      <c r="HAI58" s="179"/>
      <c r="HAJ58" s="179"/>
      <c r="HAK58" s="179"/>
      <c r="HAL58" s="179"/>
      <c r="HAM58" s="179"/>
      <c r="HAN58" s="179"/>
      <c r="HAO58" s="179"/>
      <c r="HAP58" s="179"/>
      <c r="HAQ58" s="179"/>
      <c r="HAR58" s="179"/>
      <c r="HAS58" s="179"/>
      <c r="HAT58" s="179"/>
      <c r="HAU58" s="179"/>
      <c r="HAV58" s="179"/>
      <c r="HAW58" s="179"/>
      <c r="HAX58" s="179"/>
      <c r="HAY58" s="179"/>
      <c r="HAZ58" s="179"/>
      <c r="HBA58" s="179"/>
      <c r="HBB58" s="179"/>
      <c r="HBC58" s="179"/>
      <c r="HBD58" s="179"/>
      <c r="HBE58" s="179"/>
      <c r="HBF58" s="179"/>
      <c r="HBG58" s="179"/>
      <c r="HBH58" s="179"/>
      <c r="HBI58" s="179"/>
      <c r="HBJ58" s="179"/>
      <c r="HBK58" s="179"/>
      <c r="HBL58" s="179"/>
      <c r="HBM58" s="179"/>
      <c r="HBN58" s="179"/>
      <c r="HBO58" s="179"/>
      <c r="HBP58" s="179"/>
      <c r="HBQ58" s="179"/>
      <c r="HBR58" s="179"/>
      <c r="HBS58" s="179"/>
      <c r="HBT58" s="179"/>
      <c r="HBU58" s="179"/>
      <c r="HBV58" s="179"/>
      <c r="HBW58" s="179"/>
      <c r="HBX58" s="179"/>
      <c r="HBY58" s="179"/>
      <c r="HBZ58" s="179"/>
      <c r="HCA58" s="179"/>
      <c r="HCB58" s="179"/>
      <c r="HCC58" s="179"/>
      <c r="HCD58" s="179"/>
      <c r="HCE58" s="179"/>
      <c r="HCF58" s="179"/>
      <c r="HCG58" s="179"/>
      <c r="HCH58" s="179"/>
      <c r="HCI58" s="179"/>
      <c r="HCJ58" s="179"/>
      <c r="HCK58" s="179"/>
      <c r="HCL58" s="179"/>
      <c r="HCM58" s="179"/>
      <c r="HCN58" s="179"/>
      <c r="HCO58" s="179"/>
      <c r="HCP58" s="179"/>
      <c r="HCQ58" s="179"/>
      <c r="HCR58" s="179"/>
      <c r="HCS58" s="179"/>
      <c r="HCT58" s="179"/>
      <c r="HCU58" s="179"/>
      <c r="HCV58" s="179"/>
      <c r="HCW58" s="179"/>
      <c r="HCX58" s="179"/>
      <c r="HCY58" s="179"/>
      <c r="HCZ58" s="179"/>
      <c r="HDA58" s="179"/>
      <c r="HDB58" s="179"/>
      <c r="HDC58" s="179"/>
      <c r="HDD58" s="179"/>
      <c r="HDE58" s="179"/>
      <c r="HDF58" s="179"/>
      <c r="HDG58" s="179"/>
      <c r="HDH58" s="179"/>
      <c r="HDI58" s="179"/>
      <c r="HDJ58" s="179"/>
      <c r="HDK58" s="179"/>
      <c r="HDL58" s="179"/>
      <c r="HDM58" s="179"/>
      <c r="HDN58" s="179"/>
      <c r="HDO58" s="179"/>
      <c r="HDP58" s="179"/>
      <c r="HDQ58" s="179"/>
      <c r="HDR58" s="179"/>
      <c r="HDS58" s="179"/>
      <c r="HDT58" s="179"/>
      <c r="HDU58" s="179"/>
      <c r="HDV58" s="179"/>
      <c r="HDW58" s="179"/>
      <c r="HDX58" s="179"/>
      <c r="HDY58" s="179"/>
      <c r="HDZ58" s="179"/>
      <c r="HEA58" s="179"/>
      <c r="HEB58" s="179"/>
      <c r="HEC58" s="179"/>
      <c r="HED58" s="179"/>
      <c r="HEE58" s="179"/>
      <c r="HEF58" s="179"/>
      <c r="HEG58" s="179"/>
      <c r="HEH58" s="179"/>
      <c r="HEI58" s="179"/>
      <c r="HEJ58" s="179"/>
      <c r="HEK58" s="179"/>
      <c r="HEL58" s="179"/>
      <c r="HEM58" s="179"/>
      <c r="HEN58" s="179"/>
      <c r="HEO58" s="179"/>
      <c r="HEP58" s="179"/>
      <c r="HEQ58" s="179"/>
      <c r="HER58" s="179"/>
      <c r="HES58" s="179"/>
      <c r="HET58" s="179"/>
      <c r="HEU58" s="179"/>
      <c r="HEV58" s="179"/>
      <c r="HEW58" s="179"/>
      <c r="HEX58" s="179"/>
      <c r="HEY58" s="179"/>
      <c r="HEZ58" s="179"/>
      <c r="HFA58" s="179"/>
      <c r="HFB58" s="179"/>
      <c r="HFC58" s="179"/>
      <c r="HFD58" s="179"/>
      <c r="HFE58" s="179"/>
      <c r="HFF58" s="179"/>
      <c r="HFG58" s="179"/>
      <c r="HFH58" s="179"/>
      <c r="HFI58" s="179"/>
      <c r="HFJ58" s="179"/>
      <c r="HFK58" s="179"/>
      <c r="HFL58" s="179"/>
      <c r="HFM58" s="179"/>
      <c r="HFN58" s="179"/>
      <c r="HFO58" s="179"/>
      <c r="HFP58" s="179"/>
      <c r="HFQ58" s="179"/>
      <c r="HFR58" s="179"/>
      <c r="HFS58" s="179"/>
      <c r="HFT58" s="179"/>
      <c r="HFU58" s="179"/>
      <c r="HFV58" s="179"/>
      <c r="HFW58" s="179"/>
      <c r="HFX58" s="179"/>
      <c r="HFY58" s="179"/>
      <c r="HFZ58" s="179"/>
      <c r="HGA58" s="179"/>
      <c r="HGB58" s="179"/>
      <c r="HGC58" s="179"/>
      <c r="HGD58" s="179"/>
      <c r="HGE58" s="179"/>
      <c r="HGF58" s="179"/>
      <c r="HGG58" s="179"/>
      <c r="HGH58" s="179"/>
      <c r="HGI58" s="179"/>
      <c r="HGJ58" s="179"/>
      <c r="HGK58" s="179"/>
      <c r="HGL58" s="179"/>
      <c r="HGM58" s="179"/>
      <c r="HGN58" s="179"/>
      <c r="HGO58" s="179"/>
      <c r="HGP58" s="179"/>
      <c r="HGQ58" s="179"/>
      <c r="HGR58" s="179"/>
      <c r="HGS58" s="179"/>
      <c r="HGT58" s="179"/>
      <c r="HGU58" s="179"/>
      <c r="HGV58" s="179"/>
      <c r="HGW58" s="179"/>
      <c r="HGX58" s="179"/>
      <c r="HGY58" s="179"/>
      <c r="HGZ58" s="179"/>
      <c r="HHA58" s="179"/>
      <c r="HHB58" s="179"/>
      <c r="HHC58" s="179"/>
      <c r="HHD58" s="179"/>
      <c r="HHE58" s="179"/>
      <c r="HHF58" s="179"/>
      <c r="HHG58" s="179"/>
      <c r="HHH58" s="179"/>
      <c r="HHI58" s="179"/>
      <c r="HHJ58" s="179"/>
      <c r="HHK58" s="179"/>
      <c r="HHL58" s="179"/>
      <c r="HHM58" s="179"/>
      <c r="HHN58" s="179"/>
      <c r="HHO58" s="179"/>
      <c r="HHP58" s="179"/>
      <c r="HHQ58" s="179"/>
      <c r="HHR58" s="179"/>
      <c r="HHS58" s="179"/>
      <c r="HHT58" s="179"/>
      <c r="HHU58" s="179"/>
      <c r="HHV58" s="179"/>
      <c r="HHW58" s="179"/>
      <c r="HHX58" s="179"/>
      <c r="HHY58" s="179"/>
      <c r="HHZ58" s="179"/>
      <c r="HIA58" s="179"/>
      <c r="HIB58" s="179"/>
      <c r="HIC58" s="179"/>
      <c r="HID58" s="179"/>
      <c r="HIE58" s="179"/>
      <c r="HIF58" s="179"/>
      <c r="HIG58" s="179"/>
      <c r="HIH58" s="179"/>
      <c r="HII58" s="179"/>
      <c r="HIJ58" s="179"/>
      <c r="HIK58" s="179"/>
      <c r="HIL58" s="179"/>
      <c r="HIM58" s="179"/>
      <c r="HIN58" s="179"/>
      <c r="HIO58" s="179"/>
      <c r="HIP58" s="179"/>
      <c r="HIQ58" s="179"/>
      <c r="HIR58" s="179"/>
      <c r="HIS58" s="179"/>
      <c r="HIT58" s="179"/>
      <c r="HIU58" s="179"/>
      <c r="HIV58" s="179"/>
      <c r="HIW58" s="179"/>
      <c r="HIX58" s="179"/>
      <c r="HIY58" s="179"/>
      <c r="HIZ58" s="179"/>
      <c r="HJA58" s="179"/>
      <c r="HJB58" s="179"/>
      <c r="HJC58" s="179"/>
      <c r="HJD58" s="179"/>
      <c r="HJE58" s="179"/>
      <c r="HJF58" s="179"/>
      <c r="HJG58" s="179"/>
      <c r="HJH58" s="179"/>
      <c r="HJI58" s="179"/>
      <c r="HJJ58" s="179"/>
      <c r="HJK58" s="179"/>
      <c r="HJL58" s="179"/>
      <c r="HJM58" s="179"/>
      <c r="HJN58" s="179"/>
      <c r="HJO58" s="179"/>
      <c r="HJP58" s="179"/>
      <c r="HJQ58" s="179"/>
      <c r="HJR58" s="179"/>
      <c r="HJS58" s="179"/>
      <c r="HJT58" s="179"/>
      <c r="HJU58" s="179"/>
      <c r="HJV58" s="179"/>
      <c r="HJW58" s="179"/>
      <c r="HJX58" s="179"/>
      <c r="HJY58" s="179"/>
      <c r="HJZ58" s="179"/>
      <c r="HKA58" s="179"/>
      <c r="HKB58" s="179"/>
      <c r="HKC58" s="179"/>
      <c r="HKD58" s="179"/>
      <c r="HKE58" s="179"/>
      <c r="HKF58" s="179"/>
      <c r="HKG58" s="179"/>
      <c r="HKH58" s="179"/>
      <c r="HKI58" s="179"/>
      <c r="HKJ58" s="179"/>
      <c r="HKK58" s="179"/>
      <c r="HKL58" s="179"/>
      <c r="HKM58" s="179"/>
      <c r="HKN58" s="179"/>
      <c r="HKO58" s="179"/>
      <c r="HKP58" s="179"/>
      <c r="HKQ58" s="179"/>
      <c r="HKR58" s="179"/>
      <c r="HKS58" s="179"/>
      <c r="HKT58" s="179"/>
      <c r="HKU58" s="179"/>
      <c r="HKV58" s="179"/>
      <c r="HKW58" s="179"/>
      <c r="HKX58" s="179"/>
      <c r="HKY58" s="179"/>
      <c r="HKZ58" s="179"/>
      <c r="HLA58" s="179"/>
      <c r="HLB58" s="179"/>
      <c r="HLC58" s="179"/>
      <c r="HLD58" s="179"/>
      <c r="HLE58" s="179"/>
      <c r="HLF58" s="179"/>
      <c r="HLG58" s="179"/>
      <c r="HLH58" s="179"/>
      <c r="HLI58" s="179"/>
      <c r="HLJ58" s="179"/>
      <c r="HLK58" s="179"/>
      <c r="HLL58" s="179"/>
      <c r="HLM58" s="179"/>
      <c r="HLN58" s="179"/>
      <c r="HLO58" s="179"/>
      <c r="HLP58" s="179"/>
      <c r="HLQ58" s="179"/>
      <c r="HLR58" s="179"/>
      <c r="HLS58" s="179"/>
      <c r="HLT58" s="179"/>
      <c r="HLU58" s="179"/>
      <c r="HLV58" s="179"/>
      <c r="HLW58" s="179"/>
      <c r="HLX58" s="179"/>
      <c r="HLY58" s="179"/>
      <c r="HLZ58" s="179"/>
      <c r="HMA58" s="179"/>
      <c r="HMB58" s="179"/>
      <c r="HMC58" s="179"/>
      <c r="HMD58" s="179"/>
      <c r="HME58" s="179"/>
      <c r="HMF58" s="179"/>
      <c r="HMG58" s="179"/>
      <c r="HMH58" s="179"/>
      <c r="HMI58" s="179"/>
      <c r="HMJ58" s="179"/>
      <c r="HMK58" s="179"/>
      <c r="HML58" s="179"/>
      <c r="HMM58" s="179"/>
      <c r="HMN58" s="179"/>
      <c r="HMO58" s="179"/>
      <c r="HMP58" s="179"/>
      <c r="HMQ58" s="179"/>
      <c r="HMR58" s="179"/>
      <c r="HMS58" s="179"/>
      <c r="HMT58" s="179"/>
      <c r="HMU58" s="179"/>
      <c r="HMV58" s="179"/>
      <c r="HMW58" s="179"/>
      <c r="HMX58" s="179"/>
      <c r="HMY58" s="179"/>
      <c r="HMZ58" s="179"/>
      <c r="HNA58" s="179"/>
      <c r="HNB58" s="179"/>
      <c r="HNC58" s="179"/>
      <c r="HND58" s="179"/>
      <c r="HNE58" s="179"/>
      <c r="HNF58" s="179"/>
      <c r="HNG58" s="179"/>
      <c r="HNH58" s="179"/>
      <c r="HNI58" s="179"/>
      <c r="HNJ58" s="179"/>
      <c r="HNK58" s="179"/>
      <c r="HNL58" s="179"/>
      <c r="HNM58" s="179"/>
      <c r="HNN58" s="179"/>
      <c r="HNO58" s="179"/>
      <c r="HNP58" s="179"/>
      <c r="HNQ58" s="179"/>
      <c r="HNR58" s="179"/>
      <c r="HNS58" s="179"/>
      <c r="HNT58" s="179"/>
      <c r="HNU58" s="179"/>
      <c r="HNV58" s="179"/>
      <c r="HNW58" s="179"/>
      <c r="HNX58" s="179"/>
      <c r="HNY58" s="179"/>
      <c r="HNZ58" s="179"/>
      <c r="HOA58" s="179"/>
      <c r="HOB58" s="179"/>
      <c r="HOC58" s="179"/>
      <c r="HOD58" s="179"/>
      <c r="HOE58" s="179"/>
      <c r="HOF58" s="179"/>
      <c r="HOG58" s="179"/>
      <c r="HOH58" s="179"/>
      <c r="HOI58" s="179"/>
      <c r="HOJ58" s="179"/>
      <c r="HOK58" s="179"/>
      <c r="HOL58" s="179"/>
      <c r="HOM58" s="179"/>
      <c r="HON58" s="179"/>
      <c r="HOO58" s="179"/>
      <c r="HOP58" s="179"/>
      <c r="HOQ58" s="179"/>
      <c r="HOR58" s="179"/>
      <c r="HOS58" s="179"/>
      <c r="HOT58" s="179"/>
      <c r="HOU58" s="179"/>
      <c r="HOV58" s="179"/>
      <c r="HOW58" s="179"/>
      <c r="HOX58" s="179"/>
      <c r="HOY58" s="179"/>
      <c r="HOZ58" s="179"/>
      <c r="HPA58" s="179"/>
      <c r="HPB58" s="179"/>
      <c r="HPC58" s="179"/>
      <c r="HPD58" s="179"/>
      <c r="HPE58" s="179"/>
      <c r="HPF58" s="179"/>
      <c r="HPG58" s="179"/>
      <c r="HPH58" s="179"/>
      <c r="HPI58" s="179"/>
      <c r="HPJ58" s="179"/>
      <c r="HPK58" s="179"/>
      <c r="HPL58" s="179"/>
      <c r="HPM58" s="179"/>
      <c r="HPN58" s="179"/>
      <c r="HPO58" s="179"/>
      <c r="HPP58" s="179"/>
      <c r="HPQ58" s="179"/>
      <c r="HPR58" s="179"/>
      <c r="HPS58" s="179"/>
      <c r="HPT58" s="179"/>
      <c r="HPU58" s="179"/>
      <c r="HPV58" s="179"/>
      <c r="HPW58" s="179"/>
      <c r="HPX58" s="179"/>
      <c r="HPY58" s="179"/>
      <c r="HPZ58" s="179"/>
      <c r="HQA58" s="179"/>
      <c r="HQB58" s="179"/>
      <c r="HQC58" s="179"/>
      <c r="HQD58" s="179"/>
      <c r="HQE58" s="179"/>
      <c r="HQF58" s="179"/>
      <c r="HQG58" s="179"/>
      <c r="HQH58" s="179"/>
      <c r="HQI58" s="179"/>
      <c r="HQJ58" s="179"/>
      <c r="HQK58" s="179"/>
      <c r="HQL58" s="179"/>
      <c r="HQM58" s="179"/>
      <c r="HQN58" s="179"/>
      <c r="HQO58" s="179"/>
      <c r="HQP58" s="179"/>
      <c r="HQQ58" s="179"/>
      <c r="HQR58" s="179"/>
      <c r="HQS58" s="179"/>
      <c r="HQT58" s="179"/>
      <c r="HQU58" s="179"/>
      <c r="HQV58" s="179"/>
      <c r="HQW58" s="179"/>
      <c r="HQX58" s="179"/>
      <c r="HQY58" s="179"/>
      <c r="HQZ58" s="179"/>
      <c r="HRA58" s="179"/>
      <c r="HRB58" s="179"/>
      <c r="HRC58" s="179"/>
      <c r="HRD58" s="179"/>
      <c r="HRE58" s="179"/>
      <c r="HRF58" s="179"/>
      <c r="HRG58" s="179"/>
      <c r="HRH58" s="179"/>
      <c r="HRI58" s="179"/>
      <c r="HRJ58" s="179"/>
      <c r="HRK58" s="179"/>
      <c r="HRL58" s="179"/>
      <c r="HRM58" s="179"/>
      <c r="HRN58" s="179"/>
      <c r="HRO58" s="179"/>
      <c r="HRP58" s="179"/>
      <c r="HRQ58" s="179"/>
      <c r="HRR58" s="179"/>
      <c r="HRS58" s="179"/>
      <c r="HRT58" s="179"/>
      <c r="HRU58" s="179"/>
      <c r="HRV58" s="179"/>
      <c r="HRW58" s="179"/>
      <c r="HRX58" s="179"/>
      <c r="HRY58" s="179"/>
      <c r="HRZ58" s="179"/>
      <c r="HSA58" s="179"/>
      <c r="HSB58" s="179"/>
      <c r="HSC58" s="179"/>
      <c r="HSD58" s="179"/>
      <c r="HSE58" s="179"/>
      <c r="HSF58" s="179"/>
      <c r="HSG58" s="179"/>
      <c r="HSH58" s="179"/>
      <c r="HSI58" s="179"/>
      <c r="HSJ58" s="179"/>
      <c r="HSK58" s="179"/>
      <c r="HSL58" s="179"/>
      <c r="HSM58" s="179"/>
      <c r="HSN58" s="179"/>
      <c r="HSO58" s="179"/>
      <c r="HSP58" s="179"/>
      <c r="HSQ58" s="179"/>
      <c r="HSR58" s="179"/>
      <c r="HSS58" s="179"/>
      <c r="HST58" s="179"/>
      <c r="HSU58" s="179"/>
      <c r="HSV58" s="179"/>
      <c r="HSW58" s="179"/>
      <c r="HSX58" s="179"/>
      <c r="HSY58" s="179"/>
      <c r="HSZ58" s="179"/>
      <c r="HTA58" s="179"/>
      <c r="HTB58" s="179"/>
      <c r="HTC58" s="179"/>
      <c r="HTD58" s="179"/>
      <c r="HTE58" s="179"/>
      <c r="HTF58" s="179"/>
      <c r="HTG58" s="179"/>
      <c r="HTH58" s="179"/>
      <c r="HTI58" s="179"/>
      <c r="HTJ58" s="179"/>
      <c r="HTK58" s="179"/>
      <c r="HTL58" s="179"/>
      <c r="HTM58" s="179"/>
      <c r="HTN58" s="179"/>
      <c r="HTO58" s="179"/>
      <c r="HTP58" s="179"/>
      <c r="HTQ58" s="179"/>
      <c r="HTR58" s="179"/>
      <c r="HTS58" s="179"/>
      <c r="HTT58" s="179"/>
      <c r="HTU58" s="179"/>
      <c r="HTV58" s="179"/>
      <c r="HTW58" s="179"/>
      <c r="HTX58" s="179"/>
      <c r="HTY58" s="179"/>
      <c r="HTZ58" s="179"/>
      <c r="HUA58" s="179"/>
      <c r="HUB58" s="179"/>
      <c r="HUC58" s="179"/>
      <c r="HUD58" s="179"/>
      <c r="HUE58" s="179"/>
      <c r="HUF58" s="179"/>
      <c r="HUG58" s="179"/>
      <c r="HUH58" s="179"/>
      <c r="HUI58" s="179"/>
      <c r="HUJ58" s="179"/>
      <c r="HUK58" s="179"/>
      <c r="HUL58" s="179"/>
      <c r="HUM58" s="179"/>
      <c r="HUN58" s="179"/>
      <c r="HUO58" s="179"/>
      <c r="HUP58" s="179"/>
      <c r="HUQ58" s="179"/>
      <c r="HUR58" s="179"/>
      <c r="HUS58" s="179"/>
      <c r="HUT58" s="179"/>
      <c r="HUU58" s="179"/>
      <c r="HUV58" s="179"/>
      <c r="HUW58" s="179"/>
      <c r="HUX58" s="179"/>
      <c r="HUY58" s="179"/>
      <c r="HUZ58" s="179"/>
      <c r="HVA58" s="179"/>
      <c r="HVB58" s="179"/>
      <c r="HVC58" s="179"/>
      <c r="HVD58" s="179"/>
      <c r="HVE58" s="179"/>
      <c r="HVF58" s="179"/>
      <c r="HVG58" s="179"/>
      <c r="HVH58" s="179"/>
      <c r="HVI58" s="179"/>
      <c r="HVJ58" s="179"/>
      <c r="HVK58" s="179"/>
      <c r="HVL58" s="179"/>
      <c r="HVM58" s="179"/>
      <c r="HVN58" s="179"/>
      <c r="HVO58" s="179"/>
      <c r="HVP58" s="179"/>
      <c r="HVQ58" s="179"/>
      <c r="HVR58" s="179"/>
      <c r="HVS58" s="179"/>
      <c r="HVT58" s="179"/>
      <c r="HVU58" s="179"/>
      <c r="HVV58" s="179"/>
      <c r="HVW58" s="179"/>
      <c r="HVX58" s="179"/>
      <c r="HVY58" s="179"/>
      <c r="HVZ58" s="179"/>
      <c r="HWA58" s="179"/>
      <c r="HWB58" s="179"/>
      <c r="HWC58" s="179"/>
      <c r="HWD58" s="179"/>
      <c r="HWE58" s="179"/>
      <c r="HWF58" s="179"/>
      <c r="HWG58" s="179"/>
      <c r="HWH58" s="179"/>
      <c r="HWI58" s="179"/>
      <c r="HWJ58" s="179"/>
      <c r="HWK58" s="179"/>
      <c r="HWL58" s="179"/>
      <c r="HWM58" s="179"/>
      <c r="HWN58" s="179"/>
      <c r="HWO58" s="179"/>
      <c r="HWP58" s="179"/>
      <c r="HWQ58" s="179"/>
      <c r="HWR58" s="179"/>
      <c r="HWS58" s="179"/>
      <c r="HWT58" s="179"/>
      <c r="HWU58" s="179"/>
      <c r="HWV58" s="179"/>
      <c r="HWW58" s="179"/>
      <c r="HWX58" s="179"/>
      <c r="HWY58" s="179"/>
      <c r="HWZ58" s="179"/>
      <c r="HXA58" s="179"/>
      <c r="HXB58" s="179"/>
      <c r="HXC58" s="179"/>
      <c r="HXD58" s="179"/>
      <c r="HXE58" s="179"/>
      <c r="HXF58" s="179"/>
      <c r="HXG58" s="179"/>
      <c r="HXH58" s="179"/>
      <c r="HXI58" s="179"/>
      <c r="HXJ58" s="179"/>
      <c r="HXK58" s="179"/>
      <c r="HXL58" s="179"/>
      <c r="HXM58" s="179"/>
      <c r="HXN58" s="179"/>
      <c r="HXO58" s="179"/>
      <c r="HXP58" s="179"/>
      <c r="HXQ58" s="179"/>
      <c r="HXR58" s="179"/>
      <c r="HXS58" s="179"/>
      <c r="HXT58" s="179"/>
      <c r="HXU58" s="179"/>
      <c r="HXV58" s="179"/>
      <c r="HXW58" s="179"/>
      <c r="HXX58" s="179"/>
      <c r="HXY58" s="179"/>
      <c r="HXZ58" s="179"/>
      <c r="HYA58" s="179"/>
      <c r="HYB58" s="179"/>
      <c r="HYC58" s="179"/>
      <c r="HYD58" s="179"/>
      <c r="HYE58" s="179"/>
      <c r="HYF58" s="179"/>
      <c r="HYG58" s="179"/>
      <c r="HYH58" s="179"/>
      <c r="HYI58" s="179"/>
      <c r="HYJ58" s="179"/>
      <c r="HYK58" s="179"/>
      <c r="HYL58" s="179"/>
      <c r="HYM58" s="179"/>
      <c r="HYN58" s="179"/>
      <c r="HYO58" s="179"/>
      <c r="HYP58" s="179"/>
      <c r="HYQ58" s="179"/>
      <c r="HYR58" s="179"/>
      <c r="HYS58" s="179"/>
      <c r="HYT58" s="179"/>
      <c r="HYU58" s="179"/>
      <c r="HYV58" s="179"/>
      <c r="HYW58" s="179"/>
      <c r="HYX58" s="179"/>
      <c r="HYY58" s="179"/>
      <c r="HYZ58" s="179"/>
      <c r="HZA58" s="179"/>
      <c r="HZB58" s="179"/>
      <c r="HZC58" s="179"/>
      <c r="HZD58" s="179"/>
      <c r="HZE58" s="179"/>
      <c r="HZF58" s="179"/>
      <c r="HZG58" s="179"/>
      <c r="HZH58" s="179"/>
      <c r="HZI58" s="179"/>
      <c r="HZJ58" s="179"/>
      <c r="HZK58" s="179"/>
      <c r="HZL58" s="179"/>
      <c r="HZM58" s="179"/>
      <c r="HZN58" s="179"/>
      <c r="HZO58" s="179"/>
      <c r="HZP58" s="179"/>
      <c r="HZQ58" s="179"/>
      <c r="HZR58" s="179"/>
      <c r="HZS58" s="179"/>
      <c r="HZT58" s="179"/>
      <c r="HZU58" s="179"/>
      <c r="HZV58" s="179"/>
      <c r="HZW58" s="179"/>
      <c r="HZX58" s="179"/>
      <c r="HZY58" s="179"/>
      <c r="HZZ58" s="179"/>
      <c r="IAA58" s="179"/>
      <c r="IAB58" s="179"/>
      <c r="IAC58" s="179"/>
      <c r="IAD58" s="179"/>
      <c r="IAE58" s="179"/>
      <c r="IAF58" s="179"/>
      <c r="IAG58" s="179"/>
      <c r="IAH58" s="179"/>
      <c r="IAI58" s="179"/>
      <c r="IAJ58" s="179"/>
      <c r="IAK58" s="179"/>
      <c r="IAL58" s="179"/>
      <c r="IAM58" s="179"/>
      <c r="IAN58" s="179"/>
      <c r="IAO58" s="179"/>
      <c r="IAP58" s="179"/>
      <c r="IAQ58" s="179"/>
      <c r="IAR58" s="179"/>
      <c r="IAS58" s="179"/>
      <c r="IAT58" s="179"/>
      <c r="IAU58" s="179"/>
      <c r="IAV58" s="179"/>
      <c r="IAW58" s="179"/>
      <c r="IAX58" s="179"/>
      <c r="IAY58" s="179"/>
      <c r="IAZ58" s="179"/>
      <c r="IBA58" s="179"/>
      <c r="IBB58" s="179"/>
      <c r="IBC58" s="179"/>
      <c r="IBD58" s="179"/>
      <c r="IBE58" s="179"/>
      <c r="IBF58" s="179"/>
      <c r="IBG58" s="179"/>
      <c r="IBH58" s="179"/>
      <c r="IBI58" s="179"/>
      <c r="IBJ58" s="179"/>
      <c r="IBK58" s="179"/>
      <c r="IBL58" s="179"/>
      <c r="IBM58" s="179"/>
      <c r="IBN58" s="179"/>
      <c r="IBO58" s="179"/>
      <c r="IBP58" s="179"/>
      <c r="IBQ58" s="179"/>
      <c r="IBR58" s="179"/>
      <c r="IBS58" s="179"/>
      <c r="IBT58" s="179"/>
      <c r="IBU58" s="179"/>
      <c r="IBV58" s="179"/>
      <c r="IBW58" s="179"/>
      <c r="IBX58" s="179"/>
      <c r="IBY58" s="179"/>
      <c r="IBZ58" s="179"/>
      <c r="ICA58" s="179"/>
      <c r="ICB58" s="179"/>
      <c r="ICC58" s="179"/>
      <c r="ICD58" s="179"/>
      <c r="ICE58" s="179"/>
      <c r="ICF58" s="179"/>
      <c r="ICG58" s="179"/>
      <c r="ICH58" s="179"/>
      <c r="ICI58" s="179"/>
      <c r="ICJ58" s="179"/>
      <c r="ICK58" s="179"/>
      <c r="ICL58" s="179"/>
      <c r="ICM58" s="179"/>
      <c r="ICN58" s="179"/>
      <c r="ICO58" s="179"/>
      <c r="ICP58" s="179"/>
      <c r="ICQ58" s="179"/>
      <c r="ICR58" s="179"/>
      <c r="ICS58" s="179"/>
      <c r="ICT58" s="179"/>
      <c r="ICU58" s="179"/>
      <c r="ICV58" s="179"/>
      <c r="ICW58" s="179"/>
      <c r="ICX58" s="179"/>
      <c r="ICY58" s="179"/>
      <c r="ICZ58" s="179"/>
      <c r="IDA58" s="179"/>
      <c r="IDB58" s="179"/>
      <c r="IDC58" s="179"/>
      <c r="IDD58" s="179"/>
      <c r="IDE58" s="179"/>
      <c r="IDF58" s="179"/>
      <c r="IDG58" s="179"/>
      <c r="IDH58" s="179"/>
      <c r="IDI58" s="179"/>
      <c r="IDJ58" s="179"/>
      <c r="IDK58" s="179"/>
      <c r="IDL58" s="179"/>
      <c r="IDM58" s="179"/>
      <c r="IDN58" s="179"/>
      <c r="IDO58" s="179"/>
      <c r="IDP58" s="179"/>
      <c r="IDQ58" s="179"/>
      <c r="IDR58" s="179"/>
      <c r="IDS58" s="179"/>
      <c r="IDT58" s="179"/>
      <c r="IDU58" s="179"/>
      <c r="IDV58" s="179"/>
      <c r="IDW58" s="179"/>
      <c r="IDX58" s="179"/>
      <c r="IDY58" s="179"/>
      <c r="IDZ58" s="179"/>
      <c r="IEA58" s="179"/>
      <c r="IEB58" s="179"/>
      <c r="IEC58" s="179"/>
      <c r="IED58" s="179"/>
      <c r="IEE58" s="179"/>
      <c r="IEF58" s="179"/>
      <c r="IEG58" s="179"/>
      <c r="IEH58" s="179"/>
      <c r="IEI58" s="179"/>
      <c r="IEJ58" s="179"/>
      <c r="IEK58" s="179"/>
      <c r="IEL58" s="179"/>
      <c r="IEM58" s="179"/>
      <c r="IEN58" s="179"/>
      <c r="IEO58" s="179"/>
      <c r="IEP58" s="179"/>
      <c r="IEQ58" s="179"/>
      <c r="IER58" s="179"/>
      <c r="IES58" s="179"/>
      <c r="IET58" s="179"/>
      <c r="IEU58" s="179"/>
      <c r="IEV58" s="179"/>
      <c r="IEW58" s="179"/>
      <c r="IEX58" s="179"/>
      <c r="IEY58" s="179"/>
      <c r="IEZ58" s="179"/>
      <c r="IFA58" s="179"/>
      <c r="IFB58" s="179"/>
      <c r="IFC58" s="179"/>
      <c r="IFD58" s="179"/>
      <c r="IFE58" s="179"/>
      <c r="IFF58" s="179"/>
      <c r="IFG58" s="179"/>
      <c r="IFH58" s="179"/>
      <c r="IFI58" s="179"/>
      <c r="IFJ58" s="179"/>
      <c r="IFK58" s="179"/>
      <c r="IFL58" s="179"/>
      <c r="IFM58" s="179"/>
      <c r="IFN58" s="179"/>
      <c r="IFO58" s="179"/>
      <c r="IFP58" s="179"/>
      <c r="IFQ58" s="179"/>
      <c r="IFR58" s="179"/>
      <c r="IFS58" s="179"/>
      <c r="IFT58" s="179"/>
      <c r="IFU58" s="179"/>
      <c r="IFV58" s="179"/>
      <c r="IFW58" s="179"/>
      <c r="IFX58" s="179"/>
      <c r="IFY58" s="179"/>
      <c r="IFZ58" s="179"/>
      <c r="IGA58" s="179"/>
      <c r="IGB58" s="179"/>
      <c r="IGC58" s="179"/>
      <c r="IGD58" s="179"/>
      <c r="IGE58" s="179"/>
      <c r="IGF58" s="179"/>
      <c r="IGG58" s="179"/>
      <c r="IGH58" s="179"/>
      <c r="IGI58" s="179"/>
      <c r="IGJ58" s="179"/>
      <c r="IGK58" s="179"/>
      <c r="IGL58" s="179"/>
      <c r="IGM58" s="179"/>
      <c r="IGN58" s="179"/>
      <c r="IGO58" s="179"/>
      <c r="IGP58" s="179"/>
      <c r="IGQ58" s="179"/>
      <c r="IGR58" s="179"/>
      <c r="IGS58" s="179"/>
      <c r="IGT58" s="179"/>
      <c r="IGU58" s="179"/>
      <c r="IGV58" s="179"/>
      <c r="IGW58" s="179"/>
      <c r="IGX58" s="179"/>
      <c r="IGY58" s="179"/>
      <c r="IGZ58" s="179"/>
      <c r="IHA58" s="179"/>
      <c r="IHB58" s="179"/>
      <c r="IHC58" s="179"/>
      <c r="IHD58" s="179"/>
      <c r="IHE58" s="179"/>
      <c r="IHF58" s="179"/>
      <c r="IHG58" s="179"/>
      <c r="IHH58" s="179"/>
      <c r="IHI58" s="179"/>
      <c r="IHJ58" s="179"/>
      <c r="IHK58" s="179"/>
      <c r="IHL58" s="179"/>
      <c r="IHM58" s="179"/>
      <c r="IHN58" s="179"/>
      <c r="IHO58" s="179"/>
      <c r="IHP58" s="179"/>
      <c r="IHQ58" s="179"/>
      <c r="IHR58" s="179"/>
      <c r="IHS58" s="179"/>
      <c r="IHT58" s="179"/>
      <c r="IHU58" s="179"/>
      <c r="IHV58" s="179"/>
      <c r="IHW58" s="179"/>
      <c r="IHX58" s="179"/>
      <c r="IHY58" s="179"/>
      <c r="IHZ58" s="179"/>
      <c r="IIA58" s="179"/>
      <c r="IIB58" s="179"/>
      <c r="IIC58" s="179"/>
      <c r="IID58" s="179"/>
      <c r="IIE58" s="179"/>
      <c r="IIF58" s="179"/>
      <c r="IIG58" s="179"/>
      <c r="IIH58" s="179"/>
      <c r="III58" s="179"/>
      <c r="IIJ58" s="179"/>
      <c r="IIK58" s="179"/>
      <c r="IIL58" s="179"/>
      <c r="IIM58" s="179"/>
      <c r="IIN58" s="179"/>
      <c r="IIO58" s="179"/>
      <c r="IIP58" s="179"/>
      <c r="IIQ58" s="179"/>
      <c r="IIR58" s="179"/>
      <c r="IIS58" s="179"/>
      <c r="IIT58" s="179"/>
      <c r="IIU58" s="179"/>
      <c r="IIV58" s="179"/>
      <c r="IIW58" s="179"/>
      <c r="IIX58" s="179"/>
      <c r="IIY58" s="179"/>
      <c r="IIZ58" s="179"/>
      <c r="IJA58" s="179"/>
      <c r="IJB58" s="179"/>
      <c r="IJC58" s="179"/>
      <c r="IJD58" s="179"/>
      <c r="IJE58" s="179"/>
      <c r="IJF58" s="179"/>
      <c r="IJG58" s="179"/>
      <c r="IJH58" s="179"/>
      <c r="IJI58" s="179"/>
      <c r="IJJ58" s="179"/>
      <c r="IJK58" s="179"/>
      <c r="IJL58" s="179"/>
      <c r="IJM58" s="179"/>
      <c r="IJN58" s="179"/>
      <c r="IJO58" s="179"/>
      <c r="IJP58" s="179"/>
      <c r="IJQ58" s="179"/>
      <c r="IJR58" s="179"/>
      <c r="IJS58" s="179"/>
      <c r="IJT58" s="179"/>
      <c r="IJU58" s="179"/>
      <c r="IJV58" s="179"/>
      <c r="IJW58" s="179"/>
      <c r="IJX58" s="179"/>
      <c r="IJY58" s="179"/>
      <c r="IJZ58" s="179"/>
      <c r="IKA58" s="179"/>
      <c r="IKB58" s="179"/>
      <c r="IKC58" s="179"/>
      <c r="IKD58" s="179"/>
      <c r="IKE58" s="179"/>
      <c r="IKF58" s="179"/>
      <c r="IKG58" s="179"/>
      <c r="IKH58" s="179"/>
      <c r="IKI58" s="179"/>
      <c r="IKJ58" s="179"/>
      <c r="IKK58" s="179"/>
      <c r="IKL58" s="179"/>
      <c r="IKM58" s="179"/>
      <c r="IKN58" s="179"/>
      <c r="IKO58" s="179"/>
      <c r="IKP58" s="179"/>
      <c r="IKQ58" s="179"/>
      <c r="IKR58" s="179"/>
      <c r="IKS58" s="179"/>
      <c r="IKT58" s="179"/>
      <c r="IKU58" s="179"/>
      <c r="IKV58" s="179"/>
      <c r="IKW58" s="179"/>
      <c r="IKX58" s="179"/>
      <c r="IKY58" s="179"/>
      <c r="IKZ58" s="179"/>
      <c r="ILA58" s="179"/>
      <c r="ILB58" s="179"/>
      <c r="ILC58" s="179"/>
      <c r="ILD58" s="179"/>
      <c r="ILE58" s="179"/>
      <c r="ILF58" s="179"/>
      <c r="ILG58" s="179"/>
      <c r="ILH58" s="179"/>
      <c r="ILI58" s="179"/>
      <c r="ILJ58" s="179"/>
      <c r="ILK58" s="179"/>
      <c r="ILL58" s="179"/>
      <c r="ILM58" s="179"/>
      <c r="ILN58" s="179"/>
      <c r="ILO58" s="179"/>
      <c r="ILP58" s="179"/>
      <c r="ILQ58" s="179"/>
      <c r="ILR58" s="179"/>
      <c r="ILS58" s="179"/>
      <c r="ILT58" s="179"/>
      <c r="ILU58" s="179"/>
      <c r="ILV58" s="179"/>
      <c r="ILW58" s="179"/>
      <c r="ILX58" s="179"/>
      <c r="ILY58" s="179"/>
      <c r="ILZ58" s="179"/>
      <c r="IMA58" s="179"/>
      <c r="IMB58" s="179"/>
      <c r="IMC58" s="179"/>
      <c r="IMD58" s="179"/>
      <c r="IME58" s="179"/>
      <c r="IMF58" s="179"/>
      <c r="IMG58" s="179"/>
      <c r="IMH58" s="179"/>
      <c r="IMI58" s="179"/>
      <c r="IMJ58" s="179"/>
      <c r="IMK58" s="179"/>
      <c r="IML58" s="179"/>
      <c r="IMM58" s="179"/>
      <c r="IMN58" s="179"/>
      <c r="IMO58" s="179"/>
      <c r="IMP58" s="179"/>
      <c r="IMQ58" s="179"/>
      <c r="IMR58" s="179"/>
      <c r="IMS58" s="179"/>
      <c r="IMT58" s="179"/>
      <c r="IMU58" s="179"/>
      <c r="IMV58" s="179"/>
      <c r="IMW58" s="179"/>
      <c r="IMX58" s="179"/>
      <c r="IMY58" s="179"/>
      <c r="IMZ58" s="179"/>
      <c r="INA58" s="179"/>
      <c r="INB58" s="179"/>
      <c r="INC58" s="179"/>
      <c r="IND58" s="179"/>
      <c r="INE58" s="179"/>
      <c r="INF58" s="179"/>
      <c r="ING58" s="179"/>
      <c r="INH58" s="179"/>
      <c r="INI58" s="179"/>
      <c r="INJ58" s="179"/>
      <c r="INK58" s="179"/>
      <c r="INL58" s="179"/>
      <c r="INM58" s="179"/>
      <c r="INN58" s="179"/>
      <c r="INO58" s="179"/>
      <c r="INP58" s="179"/>
      <c r="INQ58" s="179"/>
      <c r="INR58" s="179"/>
      <c r="INS58" s="179"/>
      <c r="INT58" s="179"/>
      <c r="INU58" s="179"/>
      <c r="INV58" s="179"/>
      <c r="INW58" s="179"/>
      <c r="INX58" s="179"/>
      <c r="INY58" s="179"/>
      <c r="INZ58" s="179"/>
      <c r="IOA58" s="179"/>
      <c r="IOB58" s="179"/>
      <c r="IOC58" s="179"/>
      <c r="IOD58" s="179"/>
      <c r="IOE58" s="179"/>
      <c r="IOF58" s="179"/>
      <c r="IOG58" s="179"/>
      <c r="IOH58" s="179"/>
      <c r="IOI58" s="179"/>
      <c r="IOJ58" s="179"/>
      <c r="IOK58" s="179"/>
      <c r="IOL58" s="179"/>
      <c r="IOM58" s="179"/>
      <c r="ION58" s="179"/>
      <c r="IOO58" s="179"/>
      <c r="IOP58" s="179"/>
      <c r="IOQ58" s="179"/>
      <c r="IOR58" s="179"/>
      <c r="IOS58" s="179"/>
      <c r="IOT58" s="179"/>
      <c r="IOU58" s="179"/>
      <c r="IOV58" s="179"/>
      <c r="IOW58" s="179"/>
      <c r="IOX58" s="179"/>
      <c r="IOY58" s="179"/>
      <c r="IOZ58" s="179"/>
      <c r="IPA58" s="179"/>
      <c r="IPB58" s="179"/>
      <c r="IPC58" s="179"/>
      <c r="IPD58" s="179"/>
      <c r="IPE58" s="179"/>
      <c r="IPF58" s="179"/>
      <c r="IPG58" s="179"/>
      <c r="IPH58" s="179"/>
      <c r="IPI58" s="179"/>
      <c r="IPJ58" s="179"/>
      <c r="IPK58" s="179"/>
      <c r="IPL58" s="179"/>
      <c r="IPM58" s="179"/>
      <c r="IPN58" s="179"/>
      <c r="IPO58" s="179"/>
      <c r="IPP58" s="179"/>
      <c r="IPQ58" s="179"/>
      <c r="IPR58" s="179"/>
      <c r="IPS58" s="179"/>
      <c r="IPT58" s="179"/>
      <c r="IPU58" s="179"/>
      <c r="IPV58" s="179"/>
      <c r="IPW58" s="179"/>
      <c r="IPX58" s="179"/>
      <c r="IPY58" s="179"/>
      <c r="IPZ58" s="179"/>
      <c r="IQA58" s="179"/>
      <c r="IQB58" s="179"/>
      <c r="IQC58" s="179"/>
      <c r="IQD58" s="179"/>
      <c r="IQE58" s="179"/>
      <c r="IQF58" s="179"/>
      <c r="IQG58" s="179"/>
      <c r="IQH58" s="179"/>
      <c r="IQI58" s="179"/>
      <c r="IQJ58" s="179"/>
      <c r="IQK58" s="179"/>
      <c r="IQL58" s="179"/>
      <c r="IQM58" s="179"/>
      <c r="IQN58" s="179"/>
      <c r="IQO58" s="179"/>
      <c r="IQP58" s="179"/>
      <c r="IQQ58" s="179"/>
      <c r="IQR58" s="179"/>
      <c r="IQS58" s="179"/>
      <c r="IQT58" s="179"/>
      <c r="IQU58" s="179"/>
      <c r="IQV58" s="179"/>
      <c r="IQW58" s="179"/>
      <c r="IQX58" s="179"/>
      <c r="IQY58" s="179"/>
      <c r="IQZ58" s="179"/>
      <c r="IRA58" s="179"/>
      <c r="IRB58" s="179"/>
      <c r="IRC58" s="179"/>
      <c r="IRD58" s="179"/>
      <c r="IRE58" s="179"/>
      <c r="IRF58" s="179"/>
      <c r="IRG58" s="179"/>
      <c r="IRH58" s="179"/>
      <c r="IRI58" s="179"/>
      <c r="IRJ58" s="179"/>
      <c r="IRK58" s="179"/>
      <c r="IRL58" s="179"/>
      <c r="IRM58" s="179"/>
      <c r="IRN58" s="179"/>
      <c r="IRO58" s="179"/>
      <c r="IRP58" s="179"/>
      <c r="IRQ58" s="179"/>
      <c r="IRR58" s="179"/>
      <c r="IRS58" s="179"/>
      <c r="IRT58" s="179"/>
      <c r="IRU58" s="179"/>
      <c r="IRV58" s="179"/>
      <c r="IRW58" s="179"/>
      <c r="IRX58" s="179"/>
      <c r="IRY58" s="179"/>
      <c r="IRZ58" s="179"/>
      <c r="ISA58" s="179"/>
      <c r="ISB58" s="179"/>
      <c r="ISC58" s="179"/>
      <c r="ISD58" s="179"/>
      <c r="ISE58" s="179"/>
      <c r="ISF58" s="179"/>
      <c r="ISG58" s="179"/>
      <c r="ISH58" s="179"/>
      <c r="ISI58" s="179"/>
      <c r="ISJ58" s="179"/>
      <c r="ISK58" s="179"/>
      <c r="ISL58" s="179"/>
      <c r="ISM58" s="179"/>
      <c r="ISN58" s="179"/>
      <c r="ISO58" s="179"/>
      <c r="ISP58" s="179"/>
      <c r="ISQ58" s="179"/>
      <c r="ISR58" s="179"/>
      <c r="ISS58" s="179"/>
      <c r="IST58" s="179"/>
      <c r="ISU58" s="179"/>
      <c r="ISV58" s="179"/>
      <c r="ISW58" s="179"/>
      <c r="ISX58" s="179"/>
      <c r="ISY58" s="179"/>
      <c r="ISZ58" s="179"/>
      <c r="ITA58" s="179"/>
      <c r="ITB58" s="179"/>
      <c r="ITC58" s="179"/>
      <c r="ITD58" s="179"/>
      <c r="ITE58" s="179"/>
      <c r="ITF58" s="179"/>
      <c r="ITG58" s="179"/>
      <c r="ITH58" s="179"/>
      <c r="ITI58" s="179"/>
      <c r="ITJ58" s="179"/>
      <c r="ITK58" s="179"/>
      <c r="ITL58" s="179"/>
      <c r="ITM58" s="179"/>
      <c r="ITN58" s="179"/>
      <c r="ITO58" s="179"/>
      <c r="ITP58" s="179"/>
      <c r="ITQ58" s="179"/>
      <c r="ITR58" s="179"/>
      <c r="ITS58" s="179"/>
      <c r="ITT58" s="179"/>
      <c r="ITU58" s="179"/>
      <c r="ITV58" s="179"/>
      <c r="ITW58" s="179"/>
      <c r="ITX58" s="179"/>
      <c r="ITY58" s="179"/>
      <c r="ITZ58" s="179"/>
      <c r="IUA58" s="179"/>
      <c r="IUB58" s="179"/>
      <c r="IUC58" s="179"/>
      <c r="IUD58" s="179"/>
      <c r="IUE58" s="179"/>
      <c r="IUF58" s="179"/>
      <c r="IUG58" s="179"/>
      <c r="IUH58" s="179"/>
      <c r="IUI58" s="179"/>
      <c r="IUJ58" s="179"/>
      <c r="IUK58" s="179"/>
      <c r="IUL58" s="179"/>
      <c r="IUM58" s="179"/>
      <c r="IUN58" s="179"/>
      <c r="IUO58" s="179"/>
      <c r="IUP58" s="179"/>
      <c r="IUQ58" s="179"/>
      <c r="IUR58" s="179"/>
      <c r="IUS58" s="179"/>
      <c r="IUT58" s="179"/>
      <c r="IUU58" s="179"/>
      <c r="IUV58" s="179"/>
      <c r="IUW58" s="179"/>
      <c r="IUX58" s="179"/>
      <c r="IUY58" s="179"/>
      <c r="IUZ58" s="179"/>
      <c r="IVA58" s="179"/>
      <c r="IVB58" s="179"/>
      <c r="IVC58" s="179"/>
      <c r="IVD58" s="179"/>
      <c r="IVE58" s="179"/>
      <c r="IVF58" s="179"/>
      <c r="IVG58" s="179"/>
      <c r="IVH58" s="179"/>
      <c r="IVI58" s="179"/>
      <c r="IVJ58" s="179"/>
      <c r="IVK58" s="179"/>
      <c r="IVL58" s="179"/>
      <c r="IVM58" s="179"/>
      <c r="IVN58" s="179"/>
      <c r="IVO58" s="179"/>
      <c r="IVP58" s="179"/>
      <c r="IVQ58" s="179"/>
      <c r="IVR58" s="179"/>
      <c r="IVS58" s="179"/>
      <c r="IVT58" s="179"/>
      <c r="IVU58" s="179"/>
      <c r="IVV58" s="179"/>
      <c r="IVW58" s="179"/>
      <c r="IVX58" s="179"/>
      <c r="IVY58" s="179"/>
      <c r="IVZ58" s="179"/>
      <c r="IWA58" s="179"/>
      <c r="IWB58" s="179"/>
      <c r="IWC58" s="179"/>
      <c r="IWD58" s="179"/>
      <c r="IWE58" s="179"/>
      <c r="IWF58" s="179"/>
      <c r="IWG58" s="179"/>
      <c r="IWH58" s="179"/>
      <c r="IWI58" s="179"/>
      <c r="IWJ58" s="179"/>
      <c r="IWK58" s="179"/>
      <c r="IWL58" s="179"/>
      <c r="IWM58" s="179"/>
      <c r="IWN58" s="179"/>
      <c r="IWO58" s="179"/>
      <c r="IWP58" s="179"/>
      <c r="IWQ58" s="179"/>
      <c r="IWR58" s="179"/>
      <c r="IWS58" s="179"/>
      <c r="IWT58" s="179"/>
      <c r="IWU58" s="179"/>
      <c r="IWV58" s="179"/>
      <c r="IWW58" s="179"/>
      <c r="IWX58" s="179"/>
      <c r="IWY58" s="179"/>
      <c r="IWZ58" s="179"/>
      <c r="IXA58" s="179"/>
      <c r="IXB58" s="179"/>
      <c r="IXC58" s="179"/>
      <c r="IXD58" s="179"/>
      <c r="IXE58" s="179"/>
      <c r="IXF58" s="179"/>
      <c r="IXG58" s="179"/>
      <c r="IXH58" s="179"/>
      <c r="IXI58" s="179"/>
      <c r="IXJ58" s="179"/>
      <c r="IXK58" s="179"/>
      <c r="IXL58" s="179"/>
      <c r="IXM58" s="179"/>
      <c r="IXN58" s="179"/>
      <c r="IXO58" s="179"/>
      <c r="IXP58" s="179"/>
      <c r="IXQ58" s="179"/>
      <c r="IXR58" s="179"/>
      <c r="IXS58" s="179"/>
      <c r="IXT58" s="179"/>
      <c r="IXU58" s="179"/>
      <c r="IXV58" s="179"/>
      <c r="IXW58" s="179"/>
      <c r="IXX58" s="179"/>
      <c r="IXY58" s="179"/>
      <c r="IXZ58" s="179"/>
      <c r="IYA58" s="179"/>
      <c r="IYB58" s="179"/>
      <c r="IYC58" s="179"/>
      <c r="IYD58" s="179"/>
      <c r="IYE58" s="179"/>
      <c r="IYF58" s="179"/>
      <c r="IYG58" s="179"/>
      <c r="IYH58" s="179"/>
      <c r="IYI58" s="179"/>
      <c r="IYJ58" s="179"/>
      <c r="IYK58" s="179"/>
      <c r="IYL58" s="179"/>
      <c r="IYM58" s="179"/>
      <c r="IYN58" s="179"/>
      <c r="IYO58" s="179"/>
      <c r="IYP58" s="179"/>
      <c r="IYQ58" s="179"/>
      <c r="IYR58" s="179"/>
      <c r="IYS58" s="179"/>
      <c r="IYT58" s="179"/>
      <c r="IYU58" s="179"/>
      <c r="IYV58" s="179"/>
      <c r="IYW58" s="179"/>
      <c r="IYX58" s="179"/>
      <c r="IYY58" s="179"/>
      <c r="IYZ58" s="179"/>
      <c r="IZA58" s="179"/>
      <c r="IZB58" s="179"/>
      <c r="IZC58" s="179"/>
      <c r="IZD58" s="179"/>
      <c r="IZE58" s="179"/>
      <c r="IZF58" s="179"/>
      <c r="IZG58" s="179"/>
      <c r="IZH58" s="179"/>
      <c r="IZI58" s="179"/>
      <c r="IZJ58" s="179"/>
      <c r="IZK58" s="179"/>
      <c r="IZL58" s="179"/>
      <c r="IZM58" s="179"/>
      <c r="IZN58" s="179"/>
      <c r="IZO58" s="179"/>
      <c r="IZP58" s="179"/>
      <c r="IZQ58" s="179"/>
      <c r="IZR58" s="179"/>
      <c r="IZS58" s="179"/>
      <c r="IZT58" s="179"/>
      <c r="IZU58" s="179"/>
      <c r="IZV58" s="179"/>
      <c r="IZW58" s="179"/>
      <c r="IZX58" s="179"/>
      <c r="IZY58" s="179"/>
      <c r="IZZ58" s="179"/>
      <c r="JAA58" s="179"/>
      <c r="JAB58" s="179"/>
      <c r="JAC58" s="179"/>
      <c r="JAD58" s="179"/>
      <c r="JAE58" s="179"/>
      <c r="JAF58" s="179"/>
      <c r="JAG58" s="179"/>
      <c r="JAH58" s="179"/>
      <c r="JAI58" s="179"/>
      <c r="JAJ58" s="179"/>
      <c r="JAK58" s="179"/>
      <c r="JAL58" s="179"/>
      <c r="JAM58" s="179"/>
      <c r="JAN58" s="179"/>
      <c r="JAO58" s="179"/>
      <c r="JAP58" s="179"/>
      <c r="JAQ58" s="179"/>
      <c r="JAR58" s="179"/>
      <c r="JAS58" s="179"/>
      <c r="JAT58" s="179"/>
      <c r="JAU58" s="179"/>
      <c r="JAV58" s="179"/>
      <c r="JAW58" s="179"/>
      <c r="JAX58" s="179"/>
      <c r="JAY58" s="179"/>
      <c r="JAZ58" s="179"/>
      <c r="JBA58" s="179"/>
      <c r="JBB58" s="179"/>
      <c r="JBC58" s="179"/>
      <c r="JBD58" s="179"/>
      <c r="JBE58" s="179"/>
      <c r="JBF58" s="179"/>
      <c r="JBG58" s="179"/>
      <c r="JBH58" s="179"/>
      <c r="JBI58" s="179"/>
      <c r="JBJ58" s="179"/>
      <c r="JBK58" s="179"/>
      <c r="JBL58" s="179"/>
      <c r="JBM58" s="179"/>
      <c r="JBN58" s="179"/>
      <c r="JBO58" s="179"/>
      <c r="JBP58" s="179"/>
      <c r="JBQ58" s="179"/>
      <c r="JBR58" s="179"/>
      <c r="JBS58" s="179"/>
      <c r="JBT58" s="179"/>
      <c r="JBU58" s="179"/>
      <c r="JBV58" s="179"/>
      <c r="JBW58" s="179"/>
      <c r="JBX58" s="179"/>
      <c r="JBY58" s="179"/>
      <c r="JBZ58" s="179"/>
      <c r="JCA58" s="179"/>
      <c r="JCB58" s="179"/>
      <c r="JCC58" s="179"/>
      <c r="JCD58" s="179"/>
      <c r="JCE58" s="179"/>
      <c r="JCF58" s="179"/>
      <c r="JCG58" s="179"/>
      <c r="JCH58" s="179"/>
      <c r="JCI58" s="179"/>
      <c r="JCJ58" s="179"/>
      <c r="JCK58" s="179"/>
      <c r="JCL58" s="179"/>
      <c r="JCM58" s="179"/>
      <c r="JCN58" s="179"/>
      <c r="JCO58" s="179"/>
      <c r="JCP58" s="179"/>
      <c r="JCQ58" s="179"/>
      <c r="JCR58" s="179"/>
      <c r="JCS58" s="179"/>
      <c r="JCT58" s="179"/>
      <c r="JCU58" s="179"/>
      <c r="JCV58" s="179"/>
      <c r="JCW58" s="179"/>
      <c r="JCX58" s="179"/>
      <c r="JCY58" s="179"/>
      <c r="JCZ58" s="179"/>
      <c r="JDA58" s="179"/>
      <c r="JDB58" s="179"/>
      <c r="JDC58" s="179"/>
      <c r="JDD58" s="179"/>
      <c r="JDE58" s="179"/>
      <c r="JDF58" s="179"/>
      <c r="JDG58" s="179"/>
      <c r="JDH58" s="179"/>
      <c r="JDI58" s="179"/>
      <c r="JDJ58" s="179"/>
      <c r="JDK58" s="179"/>
      <c r="JDL58" s="179"/>
      <c r="JDM58" s="179"/>
      <c r="JDN58" s="179"/>
      <c r="JDO58" s="179"/>
      <c r="JDP58" s="179"/>
      <c r="JDQ58" s="179"/>
      <c r="JDR58" s="179"/>
      <c r="JDS58" s="179"/>
      <c r="JDT58" s="179"/>
      <c r="JDU58" s="179"/>
      <c r="JDV58" s="179"/>
      <c r="JDW58" s="179"/>
      <c r="JDX58" s="179"/>
      <c r="JDY58" s="179"/>
      <c r="JDZ58" s="179"/>
      <c r="JEA58" s="179"/>
      <c r="JEB58" s="179"/>
      <c r="JEC58" s="179"/>
      <c r="JED58" s="179"/>
      <c r="JEE58" s="179"/>
      <c r="JEF58" s="179"/>
      <c r="JEG58" s="179"/>
      <c r="JEH58" s="179"/>
      <c r="JEI58" s="179"/>
      <c r="JEJ58" s="179"/>
      <c r="JEK58" s="179"/>
      <c r="JEL58" s="179"/>
      <c r="JEM58" s="179"/>
      <c r="JEN58" s="179"/>
      <c r="JEO58" s="179"/>
      <c r="JEP58" s="179"/>
      <c r="JEQ58" s="179"/>
      <c r="JER58" s="179"/>
      <c r="JES58" s="179"/>
      <c r="JET58" s="179"/>
      <c r="JEU58" s="179"/>
      <c r="JEV58" s="179"/>
      <c r="JEW58" s="179"/>
      <c r="JEX58" s="179"/>
      <c r="JEY58" s="179"/>
      <c r="JEZ58" s="179"/>
      <c r="JFA58" s="179"/>
      <c r="JFB58" s="179"/>
      <c r="JFC58" s="179"/>
      <c r="JFD58" s="179"/>
      <c r="JFE58" s="179"/>
      <c r="JFF58" s="179"/>
      <c r="JFG58" s="179"/>
      <c r="JFH58" s="179"/>
      <c r="JFI58" s="179"/>
      <c r="JFJ58" s="179"/>
      <c r="JFK58" s="179"/>
      <c r="JFL58" s="179"/>
      <c r="JFM58" s="179"/>
      <c r="JFN58" s="179"/>
      <c r="JFO58" s="179"/>
      <c r="JFP58" s="179"/>
      <c r="JFQ58" s="179"/>
      <c r="JFR58" s="179"/>
      <c r="JFS58" s="179"/>
      <c r="JFT58" s="179"/>
      <c r="JFU58" s="179"/>
      <c r="JFV58" s="179"/>
      <c r="JFW58" s="179"/>
      <c r="JFX58" s="179"/>
      <c r="JFY58" s="179"/>
      <c r="JFZ58" s="179"/>
      <c r="JGA58" s="179"/>
      <c r="JGB58" s="179"/>
      <c r="JGC58" s="179"/>
      <c r="JGD58" s="179"/>
      <c r="JGE58" s="179"/>
      <c r="JGF58" s="179"/>
      <c r="JGG58" s="179"/>
      <c r="JGH58" s="179"/>
      <c r="JGI58" s="179"/>
      <c r="JGJ58" s="179"/>
      <c r="JGK58" s="179"/>
      <c r="JGL58" s="179"/>
      <c r="JGM58" s="179"/>
      <c r="JGN58" s="179"/>
      <c r="JGO58" s="179"/>
      <c r="JGP58" s="179"/>
      <c r="JGQ58" s="179"/>
      <c r="JGR58" s="179"/>
      <c r="JGS58" s="179"/>
      <c r="JGT58" s="179"/>
      <c r="JGU58" s="179"/>
      <c r="JGV58" s="179"/>
      <c r="JGW58" s="179"/>
      <c r="JGX58" s="179"/>
      <c r="JGY58" s="179"/>
      <c r="JGZ58" s="179"/>
      <c r="JHA58" s="179"/>
      <c r="JHB58" s="179"/>
      <c r="JHC58" s="179"/>
      <c r="JHD58" s="179"/>
      <c r="JHE58" s="179"/>
      <c r="JHF58" s="179"/>
      <c r="JHG58" s="179"/>
      <c r="JHH58" s="179"/>
      <c r="JHI58" s="179"/>
      <c r="JHJ58" s="179"/>
      <c r="JHK58" s="179"/>
      <c r="JHL58" s="179"/>
      <c r="JHM58" s="179"/>
      <c r="JHN58" s="179"/>
      <c r="JHO58" s="179"/>
      <c r="JHP58" s="179"/>
      <c r="JHQ58" s="179"/>
      <c r="JHR58" s="179"/>
      <c r="JHS58" s="179"/>
      <c r="JHT58" s="179"/>
      <c r="JHU58" s="179"/>
      <c r="JHV58" s="179"/>
      <c r="JHW58" s="179"/>
      <c r="JHX58" s="179"/>
      <c r="JHY58" s="179"/>
      <c r="JHZ58" s="179"/>
      <c r="JIA58" s="179"/>
      <c r="JIB58" s="179"/>
      <c r="JIC58" s="179"/>
      <c r="JID58" s="179"/>
      <c r="JIE58" s="179"/>
      <c r="JIF58" s="179"/>
      <c r="JIG58" s="179"/>
      <c r="JIH58" s="179"/>
      <c r="JII58" s="179"/>
      <c r="JIJ58" s="179"/>
      <c r="JIK58" s="179"/>
      <c r="JIL58" s="179"/>
      <c r="JIM58" s="179"/>
      <c r="JIN58" s="179"/>
      <c r="JIO58" s="179"/>
      <c r="JIP58" s="179"/>
      <c r="JIQ58" s="179"/>
      <c r="JIR58" s="179"/>
      <c r="JIS58" s="179"/>
      <c r="JIT58" s="179"/>
      <c r="JIU58" s="179"/>
      <c r="JIV58" s="179"/>
      <c r="JIW58" s="179"/>
      <c r="JIX58" s="179"/>
      <c r="JIY58" s="179"/>
      <c r="JIZ58" s="179"/>
      <c r="JJA58" s="179"/>
      <c r="JJB58" s="179"/>
      <c r="JJC58" s="179"/>
      <c r="JJD58" s="179"/>
      <c r="JJE58" s="179"/>
      <c r="JJF58" s="179"/>
      <c r="JJG58" s="179"/>
      <c r="JJH58" s="179"/>
      <c r="JJI58" s="179"/>
      <c r="JJJ58" s="179"/>
      <c r="JJK58" s="179"/>
      <c r="JJL58" s="179"/>
      <c r="JJM58" s="179"/>
      <c r="JJN58" s="179"/>
      <c r="JJO58" s="179"/>
      <c r="JJP58" s="179"/>
      <c r="JJQ58" s="179"/>
      <c r="JJR58" s="179"/>
      <c r="JJS58" s="179"/>
      <c r="JJT58" s="179"/>
      <c r="JJU58" s="179"/>
      <c r="JJV58" s="179"/>
      <c r="JJW58" s="179"/>
      <c r="JJX58" s="179"/>
      <c r="JJY58" s="179"/>
      <c r="JJZ58" s="179"/>
      <c r="JKA58" s="179"/>
      <c r="JKB58" s="179"/>
      <c r="JKC58" s="179"/>
      <c r="JKD58" s="179"/>
      <c r="JKE58" s="179"/>
      <c r="JKF58" s="179"/>
      <c r="JKG58" s="179"/>
      <c r="JKH58" s="179"/>
      <c r="JKI58" s="179"/>
      <c r="JKJ58" s="179"/>
      <c r="JKK58" s="179"/>
      <c r="JKL58" s="179"/>
      <c r="JKM58" s="179"/>
      <c r="JKN58" s="179"/>
      <c r="JKO58" s="179"/>
      <c r="JKP58" s="179"/>
      <c r="JKQ58" s="179"/>
      <c r="JKR58" s="179"/>
      <c r="JKS58" s="179"/>
      <c r="JKT58" s="179"/>
      <c r="JKU58" s="179"/>
      <c r="JKV58" s="179"/>
      <c r="JKW58" s="179"/>
      <c r="JKX58" s="179"/>
      <c r="JKY58" s="179"/>
      <c r="JKZ58" s="179"/>
      <c r="JLA58" s="179"/>
      <c r="JLB58" s="179"/>
      <c r="JLC58" s="179"/>
      <c r="JLD58" s="179"/>
      <c r="JLE58" s="179"/>
      <c r="JLF58" s="179"/>
      <c r="JLG58" s="179"/>
      <c r="JLH58" s="179"/>
      <c r="JLI58" s="179"/>
      <c r="JLJ58" s="179"/>
      <c r="JLK58" s="179"/>
      <c r="JLL58" s="179"/>
      <c r="JLM58" s="179"/>
      <c r="JLN58" s="179"/>
      <c r="JLO58" s="179"/>
      <c r="JLP58" s="179"/>
      <c r="JLQ58" s="179"/>
      <c r="JLR58" s="179"/>
      <c r="JLS58" s="179"/>
      <c r="JLT58" s="179"/>
      <c r="JLU58" s="179"/>
      <c r="JLV58" s="179"/>
      <c r="JLW58" s="179"/>
      <c r="JLX58" s="179"/>
      <c r="JLY58" s="179"/>
      <c r="JLZ58" s="179"/>
      <c r="JMA58" s="179"/>
      <c r="JMB58" s="179"/>
      <c r="JMC58" s="179"/>
      <c r="JMD58" s="179"/>
      <c r="JME58" s="179"/>
      <c r="JMF58" s="179"/>
      <c r="JMG58" s="179"/>
      <c r="JMH58" s="179"/>
      <c r="JMI58" s="179"/>
      <c r="JMJ58" s="179"/>
      <c r="JMK58" s="179"/>
      <c r="JML58" s="179"/>
      <c r="JMM58" s="179"/>
      <c r="JMN58" s="179"/>
      <c r="JMO58" s="179"/>
      <c r="JMP58" s="179"/>
      <c r="JMQ58" s="179"/>
      <c r="JMR58" s="179"/>
      <c r="JMS58" s="179"/>
      <c r="JMT58" s="179"/>
      <c r="JMU58" s="179"/>
      <c r="JMV58" s="179"/>
      <c r="JMW58" s="179"/>
      <c r="JMX58" s="179"/>
      <c r="JMY58" s="179"/>
      <c r="JMZ58" s="179"/>
      <c r="JNA58" s="179"/>
      <c r="JNB58" s="179"/>
      <c r="JNC58" s="179"/>
      <c r="JND58" s="179"/>
      <c r="JNE58" s="179"/>
      <c r="JNF58" s="179"/>
      <c r="JNG58" s="179"/>
      <c r="JNH58" s="179"/>
      <c r="JNI58" s="179"/>
      <c r="JNJ58" s="179"/>
      <c r="JNK58" s="179"/>
      <c r="JNL58" s="179"/>
      <c r="JNM58" s="179"/>
      <c r="JNN58" s="179"/>
      <c r="JNO58" s="179"/>
      <c r="JNP58" s="179"/>
      <c r="JNQ58" s="179"/>
      <c r="JNR58" s="179"/>
      <c r="JNS58" s="179"/>
      <c r="JNT58" s="179"/>
      <c r="JNU58" s="179"/>
      <c r="JNV58" s="179"/>
      <c r="JNW58" s="179"/>
      <c r="JNX58" s="179"/>
      <c r="JNY58" s="179"/>
      <c r="JNZ58" s="179"/>
      <c r="JOA58" s="179"/>
      <c r="JOB58" s="179"/>
      <c r="JOC58" s="179"/>
      <c r="JOD58" s="179"/>
      <c r="JOE58" s="179"/>
      <c r="JOF58" s="179"/>
      <c r="JOG58" s="179"/>
      <c r="JOH58" s="179"/>
      <c r="JOI58" s="179"/>
      <c r="JOJ58" s="179"/>
      <c r="JOK58" s="179"/>
      <c r="JOL58" s="179"/>
      <c r="JOM58" s="179"/>
      <c r="JON58" s="179"/>
      <c r="JOO58" s="179"/>
      <c r="JOP58" s="179"/>
      <c r="JOQ58" s="179"/>
      <c r="JOR58" s="179"/>
      <c r="JOS58" s="179"/>
      <c r="JOT58" s="179"/>
      <c r="JOU58" s="179"/>
      <c r="JOV58" s="179"/>
      <c r="JOW58" s="179"/>
      <c r="JOX58" s="179"/>
      <c r="JOY58" s="179"/>
      <c r="JOZ58" s="179"/>
      <c r="JPA58" s="179"/>
      <c r="JPB58" s="179"/>
      <c r="JPC58" s="179"/>
      <c r="JPD58" s="179"/>
      <c r="JPE58" s="179"/>
      <c r="JPF58" s="179"/>
      <c r="JPG58" s="179"/>
      <c r="JPH58" s="179"/>
      <c r="JPI58" s="179"/>
      <c r="JPJ58" s="179"/>
      <c r="JPK58" s="179"/>
      <c r="JPL58" s="179"/>
      <c r="JPM58" s="179"/>
      <c r="JPN58" s="179"/>
      <c r="JPO58" s="179"/>
      <c r="JPP58" s="179"/>
      <c r="JPQ58" s="179"/>
      <c r="JPR58" s="179"/>
      <c r="JPS58" s="179"/>
      <c r="JPT58" s="179"/>
      <c r="JPU58" s="179"/>
      <c r="JPV58" s="179"/>
      <c r="JPW58" s="179"/>
      <c r="JPX58" s="179"/>
      <c r="JPY58" s="179"/>
      <c r="JPZ58" s="179"/>
      <c r="JQA58" s="179"/>
      <c r="JQB58" s="179"/>
      <c r="JQC58" s="179"/>
      <c r="JQD58" s="179"/>
      <c r="JQE58" s="179"/>
      <c r="JQF58" s="179"/>
      <c r="JQG58" s="179"/>
      <c r="JQH58" s="179"/>
      <c r="JQI58" s="179"/>
      <c r="JQJ58" s="179"/>
      <c r="JQK58" s="179"/>
      <c r="JQL58" s="179"/>
      <c r="JQM58" s="179"/>
      <c r="JQN58" s="179"/>
      <c r="JQO58" s="179"/>
      <c r="JQP58" s="179"/>
      <c r="JQQ58" s="179"/>
      <c r="JQR58" s="179"/>
      <c r="JQS58" s="179"/>
      <c r="JQT58" s="179"/>
      <c r="JQU58" s="179"/>
      <c r="JQV58" s="179"/>
      <c r="JQW58" s="179"/>
      <c r="JQX58" s="179"/>
      <c r="JQY58" s="179"/>
      <c r="JQZ58" s="179"/>
      <c r="JRA58" s="179"/>
      <c r="JRB58" s="179"/>
      <c r="JRC58" s="179"/>
      <c r="JRD58" s="179"/>
      <c r="JRE58" s="179"/>
      <c r="JRF58" s="179"/>
      <c r="JRG58" s="179"/>
      <c r="JRH58" s="179"/>
      <c r="JRI58" s="179"/>
      <c r="JRJ58" s="179"/>
      <c r="JRK58" s="179"/>
      <c r="JRL58" s="179"/>
      <c r="JRM58" s="179"/>
      <c r="JRN58" s="179"/>
      <c r="JRO58" s="179"/>
      <c r="JRP58" s="179"/>
      <c r="JRQ58" s="179"/>
      <c r="JRR58" s="179"/>
      <c r="JRS58" s="179"/>
      <c r="JRT58" s="179"/>
      <c r="JRU58" s="179"/>
      <c r="JRV58" s="179"/>
      <c r="JRW58" s="179"/>
      <c r="JRX58" s="179"/>
      <c r="JRY58" s="179"/>
      <c r="JRZ58" s="179"/>
      <c r="JSA58" s="179"/>
      <c r="JSB58" s="179"/>
      <c r="JSC58" s="179"/>
      <c r="JSD58" s="179"/>
      <c r="JSE58" s="179"/>
      <c r="JSF58" s="179"/>
      <c r="JSG58" s="179"/>
      <c r="JSH58" s="179"/>
      <c r="JSI58" s="179"/>
      <c r="JSJ58" s="179"/>
      <c r="JSK58" s="179"/>
      <c r="JSL58" s="179"/>
      <c r="JSM58" s="179"/>
      <c r="JSN58" s="179"/>
      <c r="JSO58" s="179"/>
      <c r="JSP58" s="179"/>
      <c r="JSQ58" s="179"/>
      <c r="JSR58" s="179"/>
      <c r="JSS58" s="179"/>
      <c r="JST58" s="179"/>
      <c r="JSU58" s="179"/>
      <c r="JSV58" s="179"/>
      <c r="JSW58" s="179"/>
      <c r="JSX58" s="179"/>
      <c r="JSY58" s="179"/>
      <c r="JSZ58" s="179"/>
      <c r="JTA58" s="179"/>
      <c r="JTB58" s="179"/>
      <c r="JTC58" s="179"/>
      <c r="JTD58" s="179"/>
      <c r="JTE58" s="179"/>
      <c r="JTF58" s="179"/>
      <c r="JTG58" s="179"/>
      <c r="JTH58" s="179"/>
      <c r="JTI58" s="179"/>
      <c r="JTJ58" s="179"/>
      <c r="JTK58" s="179"/>
      <c r="JTL58" s="179"/>
      <c r="JTM58" s="179"/>
      <c r="JTN58" s="179"/>
      <c r="JTO58" s="179"/>
      <c r="JTP58" s="179"/>
      <c r="JTQ58" s="179"/>
      <c r="JTR58" s="179"/>
      <c r="JTS58" s="179"/>
      <c r="JTT58" s="179"/>
      <c r="JTU58" s="179"/>
      <c r="JTV58" s="179"/>
      <c r="JTW58" s="179"/>
      <c r="JTX58" s="179"/>
      <c r="JTY58" s="179"/>
      <c r="JTZ58" s="179"/>
      <c r="JUA58" s="179"/>
      <c r="JUB58" s="179"/>
      <c r="JUC58" s="179"/>
      <c r="JUD58" s="179"/>
      <c r="JUE58" s="179"/>
      <c r="JUF58" s="179"/>
      <c r="JUG58" s="179"/>
      <c r="JUH58" s="179"/>
      <c r="JUI58" s="179"/>
      <c r="JUJ58" s="179"/>
      <c r="JUK58" s="179"/>
      <c r="JUL58" s="179"/>
      <c r="JUM58" s="179"/>
      <c r="JUN58" s="179"/>
      <c r="JUO58" s="179"/>
      <c r="JUP58" s="179"/>
      <c r="JUQ58" s="179"/>
      <c r="JUR58" s="179"/>
      <c r="JUS58" s="179"/>
      <c r="JUT58" s="179"/>
      <c r="JUU58" s="179"/>
      <c r="JUV58" s="179"/>
      <c r="JUW58" s="179"/>
      <c r="JUX58" s="179"/>
      <c r="JUY58" s="179"/>
      <c r="JUZ58" s="179"/>
      <c r="JVA58" s="179"/>
      <c r="JVB58" s="179"/>
      <c r="JVC58" s="179"/>
      <c r="JVD58" s="179"/>
      <c r="JVE58" s="179"/>
      <c r="JVF58" s="179"/>
      <c r="JVG58" s="179"/>
      <c r="JVH58" s="179"/>
      <c r="JVI58" s="179"/>
      <c r="JVJ58" s="179"/>
      <c r="JVK58" s="179"/>
      <c r="JVL58" s="179"/>
      <c r="JVM58" s="179"/>
      <c r="JVN58" s="179"/>
      <c r="JVO58" s="179"/>
      <c r="JVP58" s="179"/>
      <c r="JVQ58" s="179"/>
      <c r="JVR58" s="179"/>
      <c r="JVS58" s="179"/>
      <c r="JVT58" s="179"/>
      <c r="JVU58" s="179"/>
      <c r="JVV58" s="179"/>
      <c r="JVW58" s="179"/>
      <c r="JVX58" s="179"/>
      <c r="JVY58" s="179"/>
      <c r="JVZ58" s="179"/>
      <c r="JWA58" s="179"/>
      <c r="JWB58" s="179"/>
      <c r="JWC58" s="179"/>
      <c r="JWD58" s="179"/>
      <c r="JWE58" s="179"/>
      <c r="JWF58" s="179"/>
      <c r="JWG58" s="179"/>
      <c r="JWH58" s="179"/>
      <c r="JWI58" s="179"/>
      <c r="JWJ58" s="179"/>
      <c r="JWK58" s="179"/>
      <c r="JWL58" s="179"/>
      <c r="JWM58" s="179"/>
      <c r="JWN58" s="179"/>
      <c r="JWO58" s="179"/>
      <c r="JWP58" s="179"/>
      <c r="JWQ58" s="179"/>
      <c r="JWR58" s="179"/>
      <c r="JWS58" s="179"/>
      <c r="JWT58" s="179"/>
      <c r="JWU58" s="179"/>
      <c r="JWV58" s="179"/>
      <c r="JWW58" s="179"/>
      <c r="JWX58" s="179"/>
      <c r="JWY58" s="179"/>
      <c r="JWZ58" s="179"/>
      <c r="JXA58" s="179"/>
      <c r="JXB58" s="179"/>
      <c r="JXC58" s="179"/>
      <c r="JXD58" s="179"/>
      <c r="JXE58" s="179"/>
      <c r="JXF58" s="179"/>
      <c r="JXG58" s="179"/>
      <c r="JXH58" s="179"/>
      <c r="JXI58" s="179"/>
      <c r="JXJ58" s="179"/>
      <c r="JXK58" s="179"/>
      <c r="JXL58" s="179"/>
      <c r="JXM58" s="179"/>
      <c r="JXN58" s="179"/>
      <c r="JXO58" s="179"/>
      <c r="JXP58" s="179"/>
      <c r="JXQ58" s="179"/>
      <c r="JXR58" s="179"/>
      <c r="JXS58" s="179"/>
      <c r="JXT58" s="179"/>
      <c r="JXU58" s="179"/>
      <c r="JXV58" s="179"/>
      <c r="JXW58" s="179"/>
      <c r="JXX58" s="179"/>
      <c r="JXY58" s="179"/>
      <c r="JXZ58" s="179"/>
      <c r="JYA58" s="179"/>
      <c r="JYB58" s="179"/>
      <c r="JYC58" s="179"/>
      <c r="JYD58" s="179"/>
      <c r="JYE58" s="179"/>
      <c r="JYF58" s="179"/>
      <c r="JYG58" s="179"/>
      <c r="JYH58" s="179"/>
      <c r="JYI58" s="179"/>
      <c r="JYJ58" s="179"/>
      <c r="JYK58" s="179"/>
      <c r="JYL58" s="179"/>
      <c r="JYM58" s="179"/>
      <c r="JYN58" s="179"/>
      <c r="JYO58" s="179"/>
      <c r="JYP58" s="179"/>
      <c r="JYQ58" s="179"/>
      <c r="JYR58" s="179"/>
      <c r="JYS58" s="179"/>
      <c r="JYT58" s="179"/>
      <c r="JYU58" s="179"/>
      <c r="JYV58" s="179"/>
      <c r="JYW58" s="179"/>
      <c r="JYX58" s="179"/>
      <c r="JYY58" s="179"/>
      <c r="JYZ58" s="179"/>
      <c r="JZA58" s="179"/>
      <c r="JZB58" s="179"/>
      <c r="JZC58" s="179"/>
      <c r="JZD58" s="179"/>
      <c r="JZE58" s="179"/>
      <c r="JZF58" s="179"/>
      <c r="JZG58" s="179"/>
      <c r="JZH58" s="179"/>
      <c r="JZI58" s="179"/>
      <c r="JZJ58" s="179"/>
      <c r="JZK58" s="179"/>
      <c r="JZL58" s="179"/>
      <c r="JZM58" s="179"/>
      <c r="JZN58" s="179"/>
      <c r="JZO58" s="179"/>
      <c r="JZP58" s="179"/>
      <c r="JZQ58" s="179"/>
      <c r="JZR58" s="179"/>
      <c r="JZS58" s="179"/>
      <c r="JZT58" s="179"/>
      <c r="JZU58" s="179"/>
      <c r="JZV58" s="179"/>
      <c r="JZW58" s="179"/>
      <c r="JZX58" s="179"/>
      <c r="JZY58" s="179"/>
      <c r="JZZ58" s="179"/>
      <c r="KAA58" s="179"/>
      <c r="KAB58" s="179"/>
      <c r="KAC58" s="179"/>
      <c r="KAD58" s="179"/>
      <c r="KAE58" s="179"/>
      <c r="KAF58" s="179"/>
      <c r="KAG58" s="179"/>
      <c r="KAH58" s="179"/>
      <c r="KAI58" s="179"/>
      <c r="KAJ58" s="179"/>
      <c r="KAK58" s="179"/>
      <c r="KAL58" s="179"/>
      <c r="KAM58" s="179"/>
      <c r="KAN58" s="179"/>
      <c r="KAO58" s="179"/>
      <c r="KAP58" s="179"/>
      <c r="KAQ58" s="179"/>
      <c r="KAR58" s="179"/>
      <c r="KAS58" s="179"/>
      <c r="KAT58" s="179"/>
      <c r="KAU58" s="179"/>
      <c r="KAV58" s="179"/>
      <c r="KAW58" s="179"/>
      <c r="KAX58" s="179"/>
      <c r="KAY58" s="179"/>
      <c r="KAZ58" s="179"/>
      <c r="KBA58" s="179"/>
      <c r="KBB58" s="179"/>
      <c r="KBC58" s="179"/>
      <c r="KBD58" s="179"/>
      <c r="KBE58" s="179"/>
      <c r="KBF58" s="179"/>
      <c r="KBG58" s="179"/>
      <c r="KBH58" s="179"/>
      <c r="KBI58" s="179"/>
      <c r="KBJ58" s="179"/>
      <c r="KBK58" s="179"/>
      <c r="KBL58" s="179"/>
      <c r="KBM58" s="179"/>
      <c r="KBN58" s="179"/>
      <c r="KBO58" s="179"/>
      <c r="KBP58" s="179"/>
      <c r="KBQ58" s="179"/>
      <c r="KBR58" s="179"/>
      <c r="KBS58" s="179"/>
      <c r="KBT58" s="179"/>
      <c r="KBU58" s="179"/>
      <c r="KBV58" s="179"/>
      <c r="KBW58" s="179"/>
      <c r="KBX58" s="179"/>
      <c r="KBY58" s="179"/>
      <c r="KBZ58" s="179"/>
      <c r="KCA58" s="179"/>
      <c r="KCB58" s="179"/>
      <c r="KCC58" s="179"/>
      <c r="KCD58" s="179"/>
      <c r="KCE58" s="179"/>
      <c r="KCF58" s="179"/>
      <c r="KCG58" s="179"/>
      <c r="KCH58" s="179"/>
      <c r="KCI58" s="179"/>
      <c r="KCJ58" s="179"/>
      <c r="KCK58" s="179"/>
      <c r="KCL58" s="179"/>
      <c r="KCM58" s="179"/>
      <c r="KCN58" s="179"/>
      <c r="KCO58" s="179"/>
      <c r="KCP58" s="179"/>
      <c r="KCQ58" s="179"/>
      <c r="KCR58" s="179"/>
      <c r="KCS58" s="179"/>
      <c r="KCT58" s="179"/>
      <c r="KCU58" s="179"/>
      <c r="KCV58" s="179"/>
      <c r="KCW58" s="179"/>
      <c r="KCX58" s="179"/>
      <c r="KCY58" s="179"/>
      <c r="KCZ58" s="179"/>
      <c r="KDA58" s="179"/>
      <c r="KDB58" s="179"/>
      <c r="KDC58" s="179"/>
      <c r="KDD58" s="179"/>
      <c r="KDE58" s="179"/>
      <c r="KDF58" s="179"/>
      <c r="KDG58" s="179"/>
      <c r="KDH58" s="179"/>
      <c r="KDI58" s="179"/>
      <c r="KDJ58" s="179"/>
      <c r="KDK58" s="179"/>
      <c r="KDL58" s="179"/>
      <c r="KDM58" s="179"/>
      <c r="KDN58" s="179"/>
      <c r="KDO58" s="179"/>
      <c r="KDP58" s="179"/>
      <c r="KDQ58" s="179"/>
      <c r="KDR58" s="179"/>
      <c r="KDS58" s="179"/>
      <c r="KDT58" s="179"/>
      <c r="KDU58" s="179"/>
      <c r="KDV58" s="179"/>
      <c r="KDW58" s="179"/>
      <c r="KDX58" s="179"/>
      <c r="KDY58" s="179"/>
      <c r="KDZ58" s="179"/>
      <c r="KEA58" s="179"/>
      <c r="KEB58" s="179"/>
      <c r="KEC58" s="179"/>
      <c r="KED58" s="179"/>
      <c r="KEE58" s="179"/>
      <c r="KEF58" s="179"/>
      <c r="KEG58" s="179"/>
      <c r="KEH58" s="179"/>
      <c r="KEI58" s="179"/>
      <c r="KEJ58" s="179"/>
      <c r="KEK58" s="179"/>
      <c r="KEL58" s="179"/>
      <c r="KEM58" s="179"/>
      <c r="KEN58" s="179"/>
      <c r="KEO58" s="179"/>
      <c r="KEP58" s="179"/>
      <c r="KEQ58" s="179"/>
      <c r="KER58" s="179"/>
      <c r="KES58" s="179"/>
      <c r="KET58" s="179"/>
      <c r="KEU58" s="179"/>
      <c r="KEV58" s="179"/>
      <c r="KEW58" s="179"/>
      <c r="KEX58" s="179"/>
      <c r="KEY58" s="179"/>
      <c r="KEZ58" s="179"/>
      <c r="KFA58" s="179"/>
      <c r="KFB58" s="179"/>
      <c r="KFC58" s="179"/>
      <c r="KFD58" s="179"/>
      <c r="KFE58" s="179"/>
      <c r="KFF58" s="179"/>
      <c r="KFG58" s="179"/>
      <c r="KFH58" s="179"/>
      <c r="KFI58" s="179"/>
      <c r="KFJ58" s="179"/>
      <c r="KFK58" s="179"/>
      <c r="KFL58" s="179"/>
      <c r="KFM58" s="179"/>
      <c r="KFN58" s="179"/>
      <c r="KFO58" s="179"/>
      <c r="KFP58" s="179"/>
      <c r="KFQ58" s="179"/>
      <c r="KFR58" s="179"/>
      <c r="KFS58" s="179"/>
      <c r="KFT58" s="179"/>
      <c r="KFU58" s="179"/>
      <c r="KFV58" s="179"/>
      <c r="KFW58" s="179"/>
      <c r="KFX58" s="179"/>
      <c r="KFY58" s="179"/>
      <c r="KFZ58" s="179"/>
      <c r="KGA58" s="179"/>
      <c r="KGB58" s="179"/>
      <c r="KGC58" s="179"/>
      <c r="KGD58" s="179"/>
      <c r="KGE58" s="179"/>
      <c r="KGF58" s="179"/>
      <c r="KGG58" s="179"/>
      <c r="KGH58" s="179"/>
      <c r="KGI58" s="179"/>
      <c r="KGJ58" s="179"/>
      <c r="KGK58" s="179"/>
      <c r="KGL58" s="179"/>
      <c r="KGM58" s="179"/>
      <c r="KGN58" s="179"/>
      <c r="KGO58" s="179"/>
      <c r="KGP58" s="179"/>
      <c r="KGQ58" s="179"/>
      <c r="KGR58" s="179"/>
      <c r="KGS58" s="179"/>
      <c r="KGT58" s="179"/>
      <c r="KGU58" s="179"/>
      <c r="KGV58" s="179"/>
      <c r="KGW58" s="179"/>
      <c r="KGX58" s="179"/>
      <c r="KGY58" s="179"/>
      <c r="KGZ58" s="179"/>
      <c r="KHA58" s="179"/>
      <c r="KHB58" s="179"/>
      <c r="KHC58" s="179"/>
      <c r="KHD58" s="179"/>
      <c r="KHE58" s="179"/>
      <c r="KHF58" s="179"/>
      <c r="KHG58" s="179"/>
      <c r="KHH58" s="179"/>
      <c r="KHI58" s="179"/>
      <c r="KHJ58" s="179"/>
      <c r="KHK58" s="179"/>
      <c r="KHL58" s="179"/>
      <c r="KHM58" s="179"/>
      <c r="KHN58" s="179"/>
      <c r="KHO58" s="179"/>
      <c r="KHP58" s="179"/>
      <c r="KHQ58" s="179"/>
      <c r="KHR58" s="179"/>
      <c r="KHS58" s="179"/>
      <c r="KHT58" s="179"/>
      <c r="KHU58" s="179"/>
      <c r="KHV58" s="179"/>
      <c r="KHW58" s="179"/>
      <c r="KHX58" s="179"/>
      <c r="KHY58" s="179"/>
      <c r="KHZ58" s="179"/>
      <c r="KIA58" s="179"/>
      <c r="KIB58" s="179"/>
      <c r="KIC58" s="179"/>
      <c r="KID58" s="179"/>
      <c r="KIE58" s="179"/>
      <c r="KIF58" s="179"/>
      <c r="KIG58" s="179"/>
      <c r="KIH58" s="179"/>
      <c r="KII58" s="179"/>
      <c r="KIJ58" s="179"/>
      <c r="KIK58" s="179"/>
      <c r="KIL58" s="179"/>
      <c r="KIM58" s="179"/>
      <c r="KIN58" s="179"/>
      <c r="KIO58" s="179"/>
      <c r="KIP58" s="179"/>
      <c r="KIQ58" s="179"/>
      <c r="KIR58" s="179"/>
      <c r="KIS58" s="179"/>
      <c r="KIT58" s="179"/>
      <c r="KIU58" s="179"/>
      <c r="KIV58" s="179"/>
      <c r="KIW58" s="179"/>
      <c r="KIX58" s="179"/>
      <c r="KIY58" s="179"/>
      <c r="KIZ58" s="179"/>
      <c r="KJA58" s="179"/>
      <c r="KJB58" s="179"/>
      <c r="KJC58" s="179"/>
      <c r="KJD58" s="179"/>
      <c r="KJE58" s="179"/>
      <c r="KJF58" s="179"/>
      <c r="KJG58" s="179"/>
      <c r="KJH58" s="179"/>
      <c r="KJI58" s="179"/>
      <c r="KJJ58" s="179"/>
      <c r="KJK58" s="179"/>
      <c r="KJL58" s="179"/>
      <c r="KJM58" s="179"/>
      <c r="KJN58" s="179"/>
      <c r="KJO58" s="179"/>
      <c r="KJP58" s="179"/>
      <c r="KJQ58" s="179"/>
      <c r="KJR58" s="179"/>
      <c r="KJS58" s="179"/>
      <c r="KJT58" s="179"/>
      <c r="KJU58" s="179"/>
      <c r="KJV58" s="179"/>
      <c r="KJW58" s="179"/>
      <c r="KJX58" s="179"/>
      <c r="KJY58" s="179"/>
      <c r="KJZ58" s="179"/>
      <c r="KKA58" s="179"/>
      <c r="KKB58" s="179"/>
      <c r="KKC58" s="179"/>
      <c r="KKD58" s="179"/>
      <c r="KKE58" s="179"/>
      <c r="KKF58" s="179"/>
      <c r="KKG58" s="179"/>
      <c r="KKH58" s="179"/>
      <c r="KKI58" s="179"/>
      <c r="KKJ58" s="179"/>
      <c r="KKK58" s="179"/>
      <c r="KKL58" s="179"/>
      <c r="KKM58" s="179"/>
      <c r="KKN58" s="179"/>
      <c r="KKO58" s="179"/>
      <c r="KKP58" s="179"/>
      <c r="KKQ58" s="179"/>
      <c r="KKR58" s="179"/>
      <c r="KKS58" s="179"/>
      <c r="KKT58" s="179"/>
      <c r="KKU58" s="179"/>
      <c r="KKV58" s="179"/>
      <c r="KKW58" s="179"/>
      <c r="KKX58" s="179"/>
      <c r="KKY58" s="179"/>
      <c r="KKZ58" s="179"/>
      <c r="KLA58" s="179"/>
      <c r="KLB58" s="179"/>
      <c r="KLC58" s="179"/>
      <c r="KLD58" s="179"/>
      <c r="KLE58" s="179"/>
      <c r="KLF58" s="179"/>
      <c r="KLG58" s="179"/>
      <c r="KLH58" s="179"/>
      <c r="KLI58" s="179"/>
      <c r="KLJ58" s="179"/>
      <c r="KLK58" s="179"/>
      <c r="KLL58" s="179"/>
      <c r="KLM58" s="179"/>
      <c r="KLN58" s="179"/>
      <c r="KLO58" s="179"/>
      <c r="KLP58" s="179"/>
      <c r="KLQ58" s="179"/>
      <c r="KLR58" s="179"/>
      <c r="KLS58" s="179"/>
      <c r="KLT58" s="179"/>
      <c r="KLU58" s="179"/>
      <c r="KLV58" s="179"/>
      <c r="KLW58" s="179"/>
      <c r="KLX58" s="179"/>
      <c r="KLY58" s="179"/>
      <c r="KLZ58" s="179"/>
      <c r="KMA58" s="179"/>
      <c r="KMB58" s="179"/>
      <c r="KMC58" s="179"/>
      <c r="KMD58" s="179"/>
      <c r="KME58" s="179"/>
      <c r="KMF58" s="179"/>
      <c r="KMG58" s="179"/>
      <c r="KMH58" s="179"/>
      <c r="KMI58" s="179"/>
      <c r="KMJ58" s="179"/>
      <c r="KMK58" s="179"/>
      <c r="KML58" s="179"/>
      <c r="KMM58" s="179"/>
      <c r="KMN58" s="179"/>
      <c r="KMO58" s="179"/>
      <c r="KMP58" s="179"/>
      <c r="KMQ58" s="179"/>
      <c r="KMR58" s="179"/>
      <c r="KMS58" s="179"/>
      <c r="KMT58" s="179"/>
      <c r="KMU58" s="179"/>
      <c r="KMV58" s="179"/>
      <c r="KMW58" s="179"/>
      <c r="KMX58" s="179"/>
      <c r="KMY58" s="179"/>
      <c r="KMZ58" s="179"/>
      <c r="KNA58" s="179"/>
      <c r="KNB58" s="179"/>
      <c r="KNC58" s="179"/>
      <c r="KND58" s="179"/>
      <c r="KNE58" s="179"/>
      <c r="KNF58" s="179"/>
      <c r="KNG58" s="179"/>
      <c r="KNH58" s="179"/>
      <c r="KNI58" s="179"/>
      <c r="KNJ58" s="179"/>
      <c r="KNK58" s="179"/>
      <c r="KNL58" s="179"/>
      <c r="KNM58" s="179"/>
      <c r="KNN58" s="179"/>
      <c r="KNO58" s="179"/>
      <c r="KNP58" s="179"/>
      <c r="KNQ58" s="179"/>
      <c r="KNR58" s="179"/>
      <c r="KNS58" s="179"/>
      <c r="KNT58" s="179"/>
      <c r="KNU58" s="179"/>
      <c r="KNV58" s="179"/>
      <c r="KNW58" s="179"/>
      <c r="KNX58" s="179"/>
      <c r="KNY58" s="179"/>
      <c r="KNZ58" s="179"/>
      <c r="KOA58" s="179"/>
      <c r="KOB58" s="179"/>
      <c r="KOC58" s="179"/>
      <c r="KOD58" s="179"/>
      <c r="KOE58" s="179"/>
      <c r="KOF58" s="179"/>
      <c r="KOG58" s="179"/>
      <c r="KOH58" s="179"/>
      <c r="KOI58" s="179"/>
      <c r="KOJ58" s="179"/>
      <c r="KOK58" s="179"/>
      <c r="KOL58" s="179"/>
      <c r="KOM58" s="179"/>
      <c r="KON58" s="179"/>
      <c r="KOO58" s="179"/>
      <c r="KOP58" s="179"/>
      <c r="KOQ58" s="179"/>
      <c r="KOR58" s="179"/>
      <c r="KOS58" s="179"/>
      <c r="KOT58" s="179"/>
      <c r="KOU58" s="179"/>
      <c r="KOV58" s="179"/>
      <c r="KOW58" s="179"/>
      <c r="KOX58" s="179"/>
      <c r="KOY58" s="179"/>
      <c r="KOZ58" s="179"/>
      <c r="KPA58" s="179"/>
      <c r="KPB58" s="179"/>
      <c r="KPC58" s="179"/>
      <c r="KPD58" s="179"/>
      <c r="KPE58" s="179"/>
      <c r="KPF58" s="179"/>
      <c r="KPG58" s="179"/>
      <c r="KPH58" s="179"/>
      <c r="KPI58" s="179"/>
      <c r="KPJ58" s="179"/>
      <c r="KPK58" s="179"/>
      <c r="KPL58" s="179"/>
      <c r="KPM58" s="179"/>
      <c r="KPN58" s="179"/>
      <c r="KPO58" s="179"/>
      <c r="KPP58" s="179"/>
      <c r="KPQ58" s="179"/>
      <c r="KPR58" s="179"/>
      <c r="KPS58" s="179"/>
      <c r="KPT58" s="179"/>
      <c r="KPU58" s="179"/>
      <c r="KPV58" s="179"/>
      <c r="KPW58" s="179"/>
      <c r="KPX58" s="179"/>
      <c r="KPY58" s="179"/>
      <c r="KPZ58" s="179"/>
      <c r="KQA58" s="179"/>
      <c r="KQB58" s="179"/>
      <c r="KQC58" s="179"/>
      <c r="KQD58" s="179"/>
      <c r="KQE58" s="179"/>
      <c r="KQF58" s="179"/>
      <c r="KQG58" s="179"/>
      <c r="KQH58" s="179"/>
      <c r="KQI58" s="179"/>
      <c r="KQJ58" s="179"/>
      <c r="KQK58" s="179"/>
      <c r="KQL58" s="179"/>
      <c r="KQM58" s="179"/>
      <c r="KQN58" s="179"/>
      <c r="KQO58" s="179"/>
      <c r="KQP58" s="179"/>
      <c r="KQQ58" s="179"/>
      <c r="KQR58" s="179"/>
      <c r="KQS58" s="179"/>
      <c r="KQT58" s="179"/>
      <c r="KQU58" s="179"/>
      <c r="KQV58" s="179"/>
      <c r="KQW58" s="179"/>
      <c r="KQX58" s="179"/>
      <c r="KQY58" s="179"/>
      <c r="KQZ58" s="179"/>
      <c r="KRA58" s="179"/>
      <c r="KRB58" s="179"/>
      <c r="KRC58" s="179"/>
      <c r="KRD58" s="179"/>
      <c r="KRE58" s="179"/>
      <c r="KRF58" s="179"/>
      <c r="KRG58" s="179"/>
      <c r="KRH58" s="179"/>
      <c r="KRI58" s="179"/>
      <c r="KRJ58" s="179"/>
      <c r="KRK58" s="179"/>
      <c r="KRL58" s="179"/>
      <c r="KRM58" s="179"/>
      <c r="KRN58" s="179"/>
      <c r="KRO58" s="179"/>
      <c r="KRP58" s="179"/>
      <c r="KRQ58" s="179"/>
      <c r="KRR58" s="179"/>
      <c r="KRS58" s="179"/>
      <c r="KRT58" s="179"/>
      <c r="KRU58" s="179"/>
      <c r="KRV58" s="179"/>
      <c r="KRW58" s="179"/>
      <c r="KRX58" s="179"/>
      <c r="KRY58" s="179"/>
      <c r="KRZ58" s="179"/>
      <c r="KSA58" s="179"/>
      <c r="KSB58" s="179"/>
      <c r="KSC58" s="179"/>
      <c r="KSD58" s="179"/>
      <c r="KSE58" s="179"/>
      <c r="KSF58" s="179"/>
      <c r="KSG58" s="179"/>
      <c r="KSH58" s="179"/>
      <c r="KSI58" s="179"/>
      <c r="KSJ58" s="179"/>
      <c r="KSK58" s="179"/>
      <c r="KSL58" s="179"/>
      <c r="KSM58" s="179"/>
      <c r="KSN58" s="179"/>
      <c r="KSO58" s="179"/>
      <c r="KSP58" s="179"/>
      <c r="KSQ58" s="179"/>
      <c r="KSR58" s="179"/>
      <c r="KSS58" s="179"/>
      <c r="KST58" s="179"/>
      <c r="KSU58" s="179"/>
      <c r="KSV58" s="179"/>
      <c r="KSW58" s="179"/>
      <c r="KSX58" s="179"/>
      <c r="KSY58" s="179"/>
      <c r="KSZ58" s="179"/>
      <c r="KTA58" s="179"/>
      <c r="KTB58" s="179"/>
      <c r="KTC58" s="179"/>
      <c r="KTD58" s="179"/>
      <c r="KTE58" s="179"/>
      <c r="KTF58" s="179"/>
      <c r="KTG58" s="179"/>
      <c r="KTH58" s="179"/>
      <c r="KTI58" s="179"/>
      <c r="KTJ58" s="179"/>
      <c r="KTK58" s="179"/>
      <c r="KTL58" s="179"/>
      <c r="KTM58" s="179"/>
      <c r="KTN58" s="179"/>
      <c r="KTO58" s="179"/>
      <c r="KTP58" s="179"/>
      <c r="KTQ58" s="179"/>
      <c r="KTR58" s="179"/>
      <c r="KTS58" s="179"/>
      <c r="KTT58" s="179"/>
      <c r="KTU58" s="179"/>
      <c r="KTV58" s="179"/>
      <c r="KTW58" s="179"/>
      <c r="KTX58" s="179"/>
      <c r="KTY58" s="179"/>
      <c r="KTZ58" s="179"/>
      <c r="KUA58" s="179"/>
      <c r="KUB58" s="179"/>
      <c r="KUC58" s="179"/>
      <c r="KUD58" s="179"/>
      <c r="KUE58" s="179"/>
      <c r="KUF58" s="179"/>
      <c r="KUG58" s="179"/>
      <c r="KUH58" s="179"/>
      <c r="KUI58" s="179"/>
      <c r="KUJ58" s="179"/>
      <c r="KUK58" s="179"/>
      <c r="KUL58" s="179"/>
      <c r="KUM58" s="179"/>
      <c r="KUN58" s="179"/>
      <c r="KUO58" s="179"/>
      <c r="KUP58" s="179"/>
      <c r="KUQ58" s="179"/>
      <c r="KUR58" s="179"/>
      <c r="KUS58" s="179"/>
      <c r="KUT58" s="179"/>
      <c r="KUU58" s="179"/>
      <c r="KUV58" s="179"/>
      <c r="KUW58" s="179"/>
      <c r="KUX58" s="179"/>
      <c r="KUY58" s="179"/>
      <c r="KUZ58" s="179"/>
      <c r="KVA58" s="179"/>
      <c r="KVB58" s="179"/>
      <c r="KVC58" s="179"/>
      <c r="KVD58" s="179"/>
      <c r="KVE58" s="179"/>
      <c r="KVF58" s="179"/>
      <c r="KVG58" s="179"/>
      <c r="KVH58" s="179"/>
      <c r="KVI58" s="179"/>
      <c r="KVJ58" s="179"/>
      <c r="KVK58" s="179"/>
      <c r="KVL58" s="179"/>
      <c r="KVM58" s="179"/>
      <c r="KVN58" s="179"/>
      <c r="KVO58" s="179"/>
      <c r="KVP58" s="179"/>
      <c r="KVQ58" s="179"/>
      <c r="KVR58" s="179"/>
      <c r="KVS58" s="179"/>
      <c r="KVT58" s="179"/>
      <c r="KVU58" s="179"/>
      <c r="KVV58" s="179"/>
      <c r="KVW58" s="179"/>
      <c r="KVX58" s="179"/>
      <c r="KVY58" s="179"/>
      <c r="KVZ58" s="179"/>
      <c r="KWA58" s="179"/>
      <c r="KWB58" s="179"/>
      <c r="KWC58" s="179"/>
      <c r="KWD58" s="179"/>
      <c r="KWE58" s="179"/>
      <c r="KWF58" s="179"/>
      <c r="KWG58" s="179"/>
      <c r="KWH58" s="179"/>
      <c r="KWI58" s="179"/>
      <c r="KWJ58" s="179"/>
      <c r="KWK58" s="179"/>
      <c r="KWL58" s="179"/>
      <c r="KWM58" s="179"/>
      <c r="KWN58" s="179"/>
      <c r="KWO58" s="179"/>
      <c r="KWP58" s="179"/>
      <c r="KWQ58" s="179"/>
      <c r="KWR58" s="179"/>
      <c r="KWS58" s="179"/>
      <c r="KWT58" s="179"/>
      <c r="KWU58" s="179"/>
      <c r="KWV58" s="179"/>
      <c r="KWW58" s="179"/>
      <c r="KWX58" s="179"/>
      <c r="KWY58" s="179"/>
      <c r="KWZ58" s="179"/>
      <c r="KXA58" s="179"/>
      <c r="KXB58" s="179"/>
      <c r="KXC58" s="179"/>
      <c r="KXD58" s="179"/>
      <c r="KXE58" s="179"/>
      <c r="KXF58" s="179"/>
      <c r="KXG58" s="179"/>
      <c r="KXH58" s="179"/>
      <c r="KXI58" s="179"/>
      <c r="KXJ58" s="179"/>
      <c r="KXK58" s="179"/>
      <c r="KXL58" s="179"/>
      <c r="KXM58" s="179"/>
      <c r="KXN58" s="179"/>
      <c r="KXO58" s="179"/>
      <c r="KXP58" s="179"/>
      <c r="KXQ58" s="179"/>
      <c r="KXR58" s="179"/>
      <c r="KXS58" s="179"/>
      <c r="KXT58" s="179"/>
      <c r="KXU58" s="179"/>
      <c r="KXV58" s="179"/>
      <c r="KXW58" s="179"/>
      <c r="KXX58" s="179"/>
      <c r="KXY58" s="179"/>
      <c r="KXZ58" s="179"/>
      <c r="KYA58" s="179"/>
      <c r="KYB58" s="179"/>
      <c r="KYC58" s="179"/>
      <c r="KYD58" s="179"/>
      <c r="KYE58" s="179"/>
      <c r="KYF58" s="179"/>
      <c r="KYG58" s="179"/>
      <c r="KYH58" s="179"/>
      <c r="KYI58" s="179"/>
      <c r="KYJ58" s="179"/>
      <c r="KYK58" s="179"/>
      <c r="KYL58" s="179"/>
      <c r="KYM58" s="179"/>
      <c r="KYN58" s="179"/>
      <c r="KYO58" s="179"/>
      <c r="KYP58" s="179"/>
      <c r="KYQ58" s="179"/>
      <c r="KYR58" s="179"/>
      <c r="KYS58" s="179"/>
      <c r="KYT58" s="179"/>
      <c r="KYU58" s="179"/>
      <c r="KYV58" s="179"/>
      <c r="KYW58" s="179"/>
      <c r="KYX58" s="179"/>
      <c r="KYY58" s="179"/>
      <c r="KYZ58" s="179"/>
      <c r="KZA58" s="179"/>
      <c r="KZB58" s="179"/>
      <c r="KZC58" s="179"/>
      <c r="KZD58" s="179"/>
      <c r="KZE58" s="179"/>
      <c r="KZF58" s="179"/>
      <c r="KZG58" s="179"/>
      <c r="KZH58" s="179"/>
      <c r="KZI58" s="179"/>
      <c r="KZJ58" s="179"/>
      <c r="KZK58" s="179"/>
      <c r="KZL58" s="179"/>
      <c r="KZM58" s="179"/>
      <c r="KZN58" s="179"/>
      <c r="KZO58" s="179"/>
      <c r="KZP58" s="179"/>
      <c r="KZQ58" s="179"/>
      <c r="KZR58" s="179"/>
      <c r="KZS58" s="179"/>
      <c r="KZT58" s="179"/>
      <c r="KZU58" s="179"/>
      <c r="KZV58" s="179"/>
      <c r="KZW58" s="179"/>
      <c r="KZX58" s="179"/>
      <c r="KZY58" s="179"/>
      <c r="KZZ58" s="179"/>
      <c r="LAA58" s="179"/>
      <c r="LAB58" s="179"/>
      <c r="LAC58" s="179"/>
      <c r="LAD58" s="179"/>
      <c r="LAE58" s="179"/>
      <c r="LAF58" s="179"/>
      <c r="LAG58" s="179"/>
      <c r="LAH58" s="179"/>
      <c r="LAI58" s="179"/>
      <c r="LAJ58" s="179"/>
      <c r="LAK58" s="179"/>
      <c r="LAL58" s="179"/>
      <c r="LAM58" s="179"/>
      <c r="LAN58" s="179"/>
      <c r="LAO58" s="179"/>
      <c r="LAP58" s="179"/>
      <c r="LAQ58" s="179"/>
      <c r="LAR58" s="179"/>
      <c r="LAS58" s="179"/>
      <c r="LAT58" s="179"/>
      <c r="LAU58" s="179"/>
      <c r="LAV58" s="179"/>
      <c r="LAW58" s="179"/>
      <c r="LAX58" s="179"/>
      <c r="LAY58" s="179"/>
      <c r="LAZ58" s="179"/>
      <c r="LBA58" s="179"/>
      <c r="LBB58" s="179"/>
      <c r="LBC58" s="179"/>
      <c r="LBD58" s="179"/>
      <c r="LBE58" s="179"/>
      <c r="LBF58" s="179"/>
      <c r="LBG58" s="179"/>
      <c r="LBH58" s="179"/>
      <c r="LBI58" s="179"/>
      <c r="LBJ58" s="179"/>
      <c r="LBK58" s="179"/>
      <c r="LBL58" s="179"/>
      <c r="LBM58" s="179"/>
      <c r="LBN58" s="179"/>
      <c r="LBO58" s="179"/>
      <c r="LBP58" s="179"/>
      <c r="LBQ58" s="179"/>
      <c r="LBR58" s="179"/>
      <c r="LBS58" s="179"/>
      <c r="LBT58" s="179"/>
      <c r="LBU58" s="179"/>
      <c r="LBV58" s="179"/>
      <c r="LBW58" s="179"/>
      <c r="LBX58" s="179"/>
      <c r="LBY58" s="179"/>
      <c r="LBZ58" s="179"/>
      <c r="LCA58" s="179"/>
      <c r="LCB58" s="179"/>
      <c r="LCC58" s="179"/>
      <c r="LCD58" s="179"/>
      <c r="LCE58" s="179"/>
      <c r="LCF58" s="179"/>
      <c r="LCG58" s="179"/>
      <c r="LCH58" s="179"/>
      <c r="LCI58" s="179"/>
      <c r="LCJ58" s="179"/>
      <c r="LCK58" s="179"/>
      <c r="LCL58" s="179"/>
      <c r="LCM58" s="179"/>
      <c r="LCN58" s="179"/>
      <c r="LCO58" s="179"/>
      <c r="LCP58" s="179"/>
      <c r="LCQ58" s="179"/>
      <c r="LCR58" s="179"/>
      <c r="LCS58" s="179"/>
      <c r="LCT58" s="179"/>
      <c r="LCU58" s="179"/>
      <c r="LCV58" s="179"/>
      <c r="LCW58" s="179"/>
      <c r="LCX58" s="179"/>
      <c r="LCY58" s="179"/>
      <c r="LCZ58" s="179"/>
      <c r="LDA58" s="179"/>
      <c r="LDB58" s="179"/>
      <c r="LDC58" s="179"/>
      <c r="LDD58" s="179"/>
      <c r="LDE58" s="179"/>
      <c r="LDF58" s="179"/>
      <c r="LDG58" s="179"/>
      <c r="LDH58" s="179"/>
      <c r="LDI58" s="179"/>
      <c r="LDJ58" s="179"/>
      <c r="LDK58" s="179"/>
      <c r="LDL58" s="179"/>
      <c r="LDM58" s="179"/>
      <c r="LDN58" s="179"/>
      <c r="LDO58" s="179"/>
      <c r="LDP58" s="179"/>
      <c r="LDQ58" s="179"/>
      <c r="LDR58" s="179"/>
      <c r="LDS58" s="179"/>
      <c r="LDT58" s="179"/>
      <c r="LDU58" s="179"/>
      <c r="LDV58" s="179"/>
      <c r="LDW58" s="179"/>
      <c r="LDX58" s="179"/>
      <c r="LDY58" s="179"/>
      <c r="LDZ58" s="179"/>
      <c r="LEA58" s="179"/>
      <c r="LEB58" s="179"/>
      <c r="LEC58" s="179"/>
      <c r="LED58" s="179"/>
      <c r="LEE58" s="179"/>
      <c r="LEF58" s="179"/>
      <c r="LEG58" s="179"/>
      <c r="LEH58" s="179"/>
      <c r="LEI58" s="179"/>
      <c r="LEJ58" s="179"/>
      <c r="LEK58" s="179"/>
      <c r="LEL58" s="179"/>
      <c r="LEM58" s="179"/>
      <c r="LEN58" s="179"/>
      <c r="LEO58" s="179"/>
      <c r="LEP58" s="179"/>
      <c r="LEQ58" s="179"/>
      <c r="LER58" s="179"/>
      <c r="LES58" s="179"/>
      <c r="LET58" s="179"/>
      <c r="LEU58" s="179"/>
      <c r="LEV58" s="179"/>
      <c r="LEW58" s="179"/>
      <c r="LEX58" s="179"/>
      <c r="LEY58" s="179"/>
      <c r="LEZ58" s="179"/>
      <c r="LFA58" s="179"/>
      <c r="LFB58" s="179"/>
      <c r="LFC58" s="179"/>
      <c r="LFD58" s="179"/>
      <c r="LFE58" s="179"/>
      <c r="LFF58" s="179"/>
      <c r="LFG58" s="179"/>
      <c r="LFH58" s="179"/>
      <c r="LFI58" s="179"/>
      <c r="LFJ58" s="179"/>
      <c r="LFK58" s="179"/>
      <c r="LFL58" s="179"/>
      <c r="LFM58" s="179"/>
      <c r="LFN58" s="179"/>
      <c r="LFO58" s="179"/>
      <c r="LFP58" s="179"/>
      <c r="LFQ58" s="179"/>
      <c r="LFR58" s="179"/>
      <c r="LFS58" s="179"/>
      <c r="LFT58" s="179"/>
      <c r="LFU58" s="179"/>
      <c r="LFV58" s="179"/>
      <c r="LFW58" s="179"/>
      <c r="LFX58" s="179"/>
      <c r="LFY58" s="179"/>
      <c r="LFZ58" s="179"/>
      <c r="LGA58" s="179"/>
      <c r="LGB58" s="179"/>
      <c r="LGC58" s="179"/>
      <c r="LGD58" s="179"/>
      <c r="LGE58" s="179"/>
      <c r="LGF58" s="179"/>
      <c r="LGG58" s="179"/>
      <c r="LGH58" s="179"/>
      <c r="LGI58" s="179"/>
      <c r="LGJ58" s="179"/>
      <c r="LGK58" s="179"/>
      <c r="LGL58" s="179"/>
      <c r="LGM58" s="179"/>
      <c r="LGN58" s="179"/>
      <c r="LGO58" s="179"/>
      <c r="LGP58" s="179"/>
      <c r="LGQ58" s="179"/>
      <c r="LGR58" s="179"/>
      <c r="LGS58" s="179"/>
      <c r="LGT58" s="179"/>
      <c r="LGU58" s="179"/>
      <c r="LGV58" s="179"/>
      <c r="LGW58" s="179"/>
      <c r="LGX58" s="179"/>
      <c r="LGY58" s="179"/>
      <c r="LGZ58" s="179"/>
      <c r="LHA58" s="179"/>
      <c r="LHB58" s="179"/>
      <c r="LHC58" s="179"/>
      <c r="LHD58" s="179"/>
      <c r="LHE58" s="179"/>
      <c r="LHF58" s="179"/>
      <c r="LHG58" s="179"/>
      <c r="LHH58" s="179"/>
      <c r="LHI58" s="179"/>
      <c r="LHJ58" s="179"/>
      <c r="LHK58" s="179"/>
      <c r="LHL58" s="179"/>
      <c r="LHM58" s="179"/>
      <c r="LHN58" s="179"/>
      <c r="LHO58" s="179"/>
      <c r="LHP58" s="179"/>
      <c r="LHQ58" s="179"/>
      <c r="LHR58" s="179"/>
      <c r="LHS58" s="179"/>
      <c r="LHT58" s="179"/>
      <c r="LHU58" s="179"/>
      <c r="LHV58" s="179"/>
      <c r="LHW58" s="179"/>
      <c r="LHX58" s="179"/>
      <c r="LHY58" s="179"/>
      <c r="LHZ58" s="179"/>
      <c r="LIA58" s="179"/>
      <c r="LIB58" s="179"/>
      <c r="LIC58" s="179"/>
      <c r="LID58" s="179"/>
      <c r="LIE58" s="179"/>
      <c r="LIF58" s="179"/>
      <c r="LIG58" s="179"/>
      <c r="LIH58" s="179"/>
      <c r="LII58" s="179"/>
      <c r="LIJ58" s="179"/>
      <c r="LIK58" s="179"/>
      <c r="LIL58" s="179"/>
      <c r="LIM58" s="179"/>
      <c r="LIN58" s="179"/>
      <c r="LIO58" s="179"/>
      <c r="LIP58" s="179"/>
      <c r="LIQ58" s="179"/>
      <c r="LIR58" s="179"/>
      <c r="LIS58" s="179"/>
      <c r="LIT58" s="179"/>
      <c r="LIU58" s="179"/>
      <c r="LIV58" s="179"/>
      <c r="LIW58" s="179"/>
      <c r="LIX58" s="179"/>
      <c r="LIY58" s="179"/>
      <c r="LIZ58" s="179"/>
      <c r="LJA58" s="179"/>
      <c r="LJB58" s="179"/>
      <c r="LJC58" s="179"/>
      <c r="LJD58" s="179"/>
      <c r="LJE58" s="179"/>
      <c r="LJF58" s="179"/>
      <c r="LJG58" s="179"/>
      <c r="LJH58" s="179"/>
      <c r="LJI58" s="179"/>
      <c r="LJJ58" s="179"/>
      <c r="LJK58" s="179"/>
      <c r="LJL58" s="179"/>
      <c r="LJM58" s="179"/>
      <c r="LJN58" s="179"/>
      <c r="LJO58" s="179"/>
      <c r="LJP58" s="179"/>
      <c r="LJQ58" s="179"/>
      <c r="LJR58" s="179"/>
      <c r="LJS58" s="179"/>
      <c r="LJT58" s="179"/>
      <c r="LJU58" s="179"/>
      <c r="LJV58" s="179"/>
      <c r="LJW58" s="179"/>
      <c r="LJX58" s="179"/>
      <c r="LJY58" s="179"/>
      <c r="LJZ58" s="179"/>
      <c r="LKA58" s="179"/>
      <c r="LKB58" s="179"/>
      <c r="LKC58" s="179"/>
      <c r="LKD58" s="179"/>
      <c r="LKE58" s="179"/>
      <c r="LKF58" s="179"/>
      <c r="LKG58" s="179"/>
      <c r="LKH58" s="179"/>
      <c r="LKI58" s="179"/>
      <c r="LKJ58" s="179"/>
      <c r="LKK58" s="179"/>
      <c r="LKL58" s="179"/>
      <c r="LKM58" s="179"/>
      <c r="LKN58" s="179"/>
      <c r="LKO58" s="179"/>
      <c r="LKP58" s="179"/>
      <c r="LKQ58" s="179"/>
      <c r="LKR58" s="179"/>
      <c r="LKS58" s="179"/>
      <c r="LKT58" s="179"/>
      <c r="LKU58" s="179"/>
      <c r="LKV58" s="179"/>
      <c r="LKW58" s="179"/>
      <c r="LKX58" s="179"/>
      <c r="LKY58" s="179"/>
      <c r="LKZ58" s="179"/>
      <c r="LLA58" s="179"/>
      <c r="LLB58" s="179"/>
      <c r="LLC58" s="179"/>
      <c r="LLD58" s="179"/>
      <c r="LLE58" s="179"/>
      <c r="LLF58" s="179"/>
      <c r="LLG58" s="179"/>
      <c r="LLH58" s="179"/>
      <c r="LLI58" s="179"/>
      <c r="LLJ58" s="179"/>
      <c r="LLK58" s="179"/>
      <c r="LLL58" s="179"/>
      <c r="LLM58" s="179"/>
      <c r="LLN58" s="179"/>
      <c r="LLO58" s="179"/>
      <c r="LLP58" s="179"/>
      <c r="LLQ58" s="179"/>
      <c r="LLR58" s="179"/>
      <c r="LLS58" s="179"/>
      <c r="LLT58" s="179"/>
      <c r="LLU58" s="179"/>
      <c r="LLV58" s="179"/>
      <c r="LLW58" s="179"/>
      <c r="LLX58" s="179"/>
      <c r="LLY58" s="179"/>
      <c r="LLZ58" s="179"/>
      <c r="LMA58" s="179"/>
      <c r="LMB58" s="179"/>
      <c r="LMC58" s="179"/>
      <c r="LMD58" s="179"/>
      <c r="LME58" s="179"/>
      <c r="LMF58" s="179"/>
      <c r="LMG58" s="179"/>
      <c r="LMH58" s="179"/>
      <c r="LMI58" s="179"/>
      <c r="LMJ58" s="179"/>
      <c r="LMK58" s="179"/>
      <c r="LML58" s="179"/>
      <c r="LMM58" s="179"/>
      <c r="LMN58" s="179"/>
      <c r="LMO58" s="179"/>
      <c r="LMP58" s="179"/>
      <c r="LMQ58" s="179"/>
      <c r="LMR58" s="179"/>
      <c r="LMS58" s="179"/>
      <c r="LMT58" s="179"/>
      <c r="LMU58" s="179"/>
      <c r="LMV58" s="179"/>
      <c r="LMW58" s="179"/>
      <c r="LMX58" s="179"/>
      <c r="LMY58" s="179"/>
      <c r="LMZ58" s="179"/>
      <c r="LNA58" s="179"/>
      <c r="LNB58" s="179"/>
      <c r="LNC58" s="179"/>
      <c r="LND58" s="179"/>
      <c r="LNE58" s="179"/>
      <c r="LNF58" s="179"/>
      <c r="LNG58" s="179"/>
      <c r="LNH58" s="179"/>
      <c r="LNI58" s="179"/>
      <c r="LNJ58" s="179"/>
      <c r="LNK58" s="179"/>
      <c r="LNL58" s="179"/>
      <c r="LNM58" s="179"/>
      <c r="LNN58" s="179"/>
      <c r="LNO58" s="179"/>
      <c r="LNP58" s="179"/>
      <c r="LNQ58" s="179"/>
      <c r="LNR58" s="179"/>
      <c r="LNS58" s="179"/>
      <c r="LNT58" s="179"/>
      <c r="LNU58" s="179"/>
      <c r="LNV58" s="179"/>
      <c r="LNW58" s="179"/>
      <c r="LNX58" s="179"/>
      <c r="LNY58" s="179"/>
      <c r="LNZ58" s="179"/>
      <c r="LOA58" s="179"/>
      <c r="LOB58" s="179"/>
      <c r="LOC58" s="179"/>
      <c r="LOD58" s="179"/>
      <c r="LOE58" s="179"/>
      <c r="LOF58" s="179"/>
      <c r="LOG58" s="179"/>
      <c r="LOH58" s="179"/>
      <c r="LOI58" s="179"/>
      <c r="LOJ58" s="179"/>
      <c r="LOK58" s="179"/>
      <c r="LOL58" s="179"/>
      <c r="LOM58" s="179"/>
      <c r="LON58" s="179"/>
      <c r="LOO58" s="179"/>
      <c r="LOP58" s="179"/>
      <c r="LOQ58" s="179"/>
      <c r="LOR58" s="179"/>
      <c r="LOS58" s="179"/>
      <c r="LOT58" s="179"/>
      <c r="LOU58" s="179"/>
      <c r="LOV58" s="179"/>
      <c r="LOW58" s="179"/>
      <c r="LOX58" s="179"/>
      <c r="LOY58" s="179"/>
      <c r="LOZ58" s="179"/>
      <c r="LPA58" s="179"/>
      <c r="LPB58" s="179"/>
      <c r="LPC58" s="179"/>
      <c r="LPD58" s="179"/>
      <c r="LPE58" s="179"/>
      <c r="LPF58" s="179"/>
      <c r="LPG58" s="179"/>
      <c r="LPH58" s="179"/>
      <c r="LPI58" s="179"/>
      <c r="LPJ58" s="179"/>
      <c r="LPK58" s="179"/>
      <c r="LPL58" s="179"/>
      <c r="LPM58" s="179"/>
      <c r="LPN58" s="179"/>
      <c r="LPO58" s="179"/>
      <c r="LPP58" s="179"/>
      <c r="LPQ58" s="179"/>
      <c r="LPR58" s="179"/>
      <c r="LPS58" s="179"/>
      <c r="LPT58" s="179"/>
      <c r="LPU58" s="179"/>
      <c r="LPV58" s="179"/>
      <c r="LPW58" s="179"/>
      <c r="LPX58" s="179"/>
      <c r="LPY58" s="179"/>
      <c r="LPZ58" s="179"/>
      <c r="LQA58" s="179"/>
      <c r="LQB58" s="179"/>
      <c r="LQC58" s="179"/>
      <c r="LQD58" s="179"/>
      <c r="LQE58" s="179"/>
      <c r="LQF58" s="179"/>
      <c r="LQG58" s="179"/>
      <c r="LQH58" s="179"/>
      <c r="LQI58" s="179"/>
      <c r="LQJ58" s="179"/>
      <c r="LQK58" s="179"/>
      <c r="LQL58" s="179"/>
      <c r="LQM58" s="179"/>
      <c r="LQN58" s="179"/>
      <c r="LQO58" s="179"/>
      <c r="LQP58" s="179"/>
      <c r="LQQ58" s="179"/>
      <c r="LQR58" s="179"/>
      <c r="LQS58" s="179"/>
      <c r="LQT58" s="179"/>
      <c r="LQU58" s="179"/>
      <c r="LQV58" s="179"/>
      <c r="LQW58" s="179"/>
      <c r="LQX58" s="179"/>
      <c r="LQY58" s="179"/>
      <c r="LQZ58" s="179"/>
      <c r="LRA58" s="179"/>
      <c r="LRB58" s="179"/>
      <c r="LRC58" s="179"/>
      <c r="LRD58" s="179"/>
      <c r="LRE58" s="179"/>
      <c r="LRF58" s="179"/>
      <c r="LRG58" s="179"/>
      <c r="LRH58" s="179"/>
      <c r="LRI58" s="179"/>
      <c r="LRJ58" s="179"/>
      <c r="LRK58" s="179"/>
      <c r="LRL58" s="179"/>
      <c r="LRM58" s="179"/>
      <c r="LRN58" s="179"/>
      <c r="LRO58" s="179"/>
      <c r="LRP58" s="179"/>
      <c r="LRQ58" s="179"/>
      <c r="LRR58" s="179"/>
      <c r="LRS58" s="179"/>
      <c r="LRT58" s="179"/>
      <c r="LRU58" s="179"/>
      <c r="LRV58" s="179"/>
      <c r="LRW58" s="179"/>
      <c r="LRX58" s="179"/>
      <c r="LRY58" s="179"/>
      <c r="LRZ58" s="179"/>
      <c r="LSA58" s="179"/>
      <c r="LSB58" s="179"/>
      <c r="LSC58" s="179"/>
      <c r="LSD58" s="179"/>
      <c r="LSE58" s="179"/>
      <c r="LSF58" s="179"/>
      <c r="LSG58" s="179"/>
      <c r="LSH58" s="179"/>
      <c r="LSI58" s="179"/>
      <c r="LSJ58" s="179"/>
      <c r="LSK58" s="179"/>
      <c r="LSL58" s="179"/>
      <c r="LSM58" s="179"/>
      <c r="LSN58" s="179"/>
      <c r="LSO58" s="179"/>
      <c r="LSP58" s="179"/>
      <c r="LSQ58" s="179"/>
      <c r="LSR58" s="179"/>
      <c r="LSS58" s="179"/>
      <c r="LST58" s="179"/>
      <c r="LSU58" s="179"/>
      <c r="LSV58" s="179"/>
      <c r="LSW58" s="179"/>
      <c r="LSX58" s="179"/>
      <c r="LSY58" s="179"/>
      <c r="LSZ58" s="179"/>
      <c r="LTA58" s="179"/>
      <c r="LTB58" s="179"/>
      <c r="LTC58" s="179"/>
      <c r="LTD58" s="179"/>
      <c r="LTE58" s="179"/>
      <c r="LTF58" s="179"/>
      <c r="LTG58" s="179"/>
      <c r="LTH58" s="179"/>
      <c r="LTI58" s="179"/>
      <c r="LTJ58" s="179"/>
      <c r="LTK58" s="179"/>
      <c r="LTL58" s="179"/>
      <c r="LTM58" s="179"/>
      <c r="LTN58" s="179"/>
      <c r="LTO58" s="179"/>
      <c r="LTP58" s="179"/>
      <c r="LTQ58" s="179"/>
      <c r="LTR58" s="179"/>
      <c r="LTS58" s="179"/>
      <c r="LTT58" s="179"/>
      <c r="LTU58" s="179"/>
      <c r="LTV58" s="179"/>
      <c r="LTW58" s="179"/>
      <c r="LTX58" s="179"/>
      <c r="LTY58" s="179"/>
      <c r="LTZ58" s="179"/>
      <c r="LUA58" s="179"/>
      <c r="LUB58" s="179"/>
      <c r="LUC58" s="179"/>
      <c r="LUD58" s="179"/>
      <c r="LUE58" s="179"/>
      <c r="LUF58" s="179"/>
      <c r="LUG58" s="179"/>
      <c r="LUH58" s="179"/>
      <c r="LUI58" s="179"/>
      <c r="LUJ58" s="179"/>
      <c r="LUK58" s="179"/>
      <c r="LUL58" s="179"/>
      <c r="LUM58" s="179"/>
      <c r="LUN58" s="179"/>
      <c r="LUO58" s="179"/>
      <c r="LUP58" s="179"/>
      <c r="LUQ58" s="179"/>
      <c r="LUR58" s="179"/>
      <c r="LUS58" s="179"/>
      <c r="LUT58" s="179"/>
      <c r="LUU58" s="179"/>
      <c r="LUV58" s="179"/>
      <c r="LUW58" s="179"/>
      <c r="LUX58" s="179"/>
      <c r="LUY58" s="179"/>
      <c r="LUZ58" s="179"/>
      <c r="LVA58" s="179"/>
      <c r="LVB58" s="179"/>
      <c r="LVC58" s="179"/>
      <c r="LVD58" s="179"/>
      <c r="LVE58" s="179"/>
      <c r="LVF58" s="179"/>
      <c r="LVG58" s="179"/>
      <c r="LVH58" s="179"/>
      <c r="LVI58" s="179"/>
      <c r="LVJ58" s="179"/>
      <c r="LVK58" s="179"/>
      <c r="LVL58" s="179"/>
      <c r="LVM58" s="179"/>
      <c r="LVN58" s="179"/>
      <c r="LVO58" s="179"/>
      <c r="LVP58" s="179"/>
      <c r="LVQ58" s="179"/>
      <c r="LVR58" s="179"/>
      <c r="LVS58" s="179"/>
      <c r="LVT58" s="179"/>
      <c r="LVU58" s="179"/>
      <c r="LVV58" s="179"/>
      <c r="LVW58" s="179"/>
      <c r="LVX58" s="179"/>
      <c r="LVY58" s="179"/>
      <c r="LVZ58" s="179"/>
      <c r="LWA58" s="179"/>
      <c r="LWB58" s="179"/>
      <c r="LWC58" s="179"/>
      <c r="LWD58" s="179"/>
      <c r="LWE58" s="179"/>
      <c r="LWF58" s="179"/>
      <c r="LWG58" s="179"/>
      <c r="LWH58" s="179"/>
      <c r="LWI58" s="179"/>
      <c r="LWJ58" s="179"/>
      <c r="LWK58" s="179"/>
      <c r="LWL58" s="179"/>
      <c r="LWM58" s="179"/>
      <c r="LWN58" s="179"/>
      <c r="LWO58" s="179"/>
      <c r="LWP58" s="179"/>
      <c r="LWQ58" s="179"/>
      <c r="LWR58" s="179"/>
      <c r="LWS58" s="179"/>
      <c r="LWT58" s="179"/>
      <c r="LWU58" s="179"/>
      <c r="LWV58" s="179"/>
      <c r="LWW58" s="179"/>
      <c r="LWX58" s="179"/>
      <c r="LWY58" s="179"/>
      <c r="LWZ58" s="179"/>
      <c r="LXA58" s="179"/>
      <c r="LXB58" s="179"/>
      <c r="LXC58" s="179"/>
      <c r="LXD58" s="179"/>
      <c r="LXE58" s="179"/>
      <c r="LXF58" s="179"/>
      <c r="LXG58" s="179"/>
      <c r="LXH58" s="179"/>
      <c r="LXI58" s="179"/>
      <c r="LXJ58" s="179"/>
      <c r="LXK58" s="179"/>
      <c r="LXL58" s="179"/>
      <c r="LXM58" s="179"/>
      <c r="LXN58" s="179"/>
      <c r="LXO58" s="179"/>
      <c r="LXP58" s="179"/>
      <c r="LXQ58" s="179"/>
      <c r="LXR58" s="179"/>
      <c r="LXS58" s="179"/>
      <c r="LXT58" s="179"/>
      <c r="LXU58" s="179"/>
      <c r="LXV58" s="179"/>
      <c r="LXW58" s="179"/>
      <c r="LXX58" s="179"/>
      <c r="LXY58" s="179"/>
      <c r="LXZ58" s="179"/>
      <c r="LYA58" s="179"/>
      <c r="LYB58" s="179"/>
      <c r="LYC58" s="179"/>
      <c r="LYD58" s="179"/>
      <c r="LYE58" s="179"/>
      <c r="LYF58" s="179"/>
      <c r="LYG58" s="179"/>
      <c r="LYH58" s="179"/>
      <c r="LYI58" s="179"/>
      <c r="LYJ58" s="179"/>
      <c r="LYK58" s="179"/>
      <c r="LYL58" s="179"/>
      <c r="LYM58" s="179"/>
      <c r="LYN58" s="179"/>
      <c r="LYO58" s="179"/>
      <c r="LYP58" s="179"/>
      <c r="LYQ58" s="179"/>
      <c r="LYR58" s="179"/>
      <c r="LYS58" s="179"/>
      <c r="LYT58" s="179"/>
      <c r="LYU58" s="179"/>
      <c r="LYV58" s="179"/>
      <c r="LYW58" s="179"/>
      <c r="LYX58" s="179"/>
      <c r="LYY58" s="179"/>
      <c r="LYZ58" s="179"/>
      <c r="LZA58" s="179"/>
      <c r="LZB58" s="179"/>
      <c r="LZC58" s="179"/>
      <c r="LZD58" s="179"/>
      <c r="LZE58" s="179"/>
      <c r="LZF58" s="179"/>
      <c r="LZG58" s="179"/>
      <c r="LZH58" s="179"/>
      <c r="LZI58" s="179"/>
      <c r="LZJ58" s="179"/>
      <c r="LZK58" s="179"/>
      <c r="LZL58" s="179"/>
      <c r="LZM58" s="179"/>
      <c r="LZN58" s="179"/>
      <c r="LZO58" s="179"/>
      <c r="LZP58" s="179"/>
      <c r="LZQ58" s="179"/>
      <c r="LZR58" s="179"/>
      <c r="LZS58" s="179"/>
      <c r="LZT58" s="179"/>
      <c r="LZU58" s="179"/>
      <c r="LZV58" s="179"/>
      <c r="LZW58" s="179"/>
      <c r="LZX58" s="179"/>
      <c r="LZY58" s="179"/>
      <c r="LZZ58" s="179"/>
      <c r="MAA58" s="179"/>
      <c r="MAB58" s="179"/>
      <c r="MAC58" s="179"/>
      <c r="MAD58" s="179"/>
      <c r="MAE58" s="179"/>
      <c r="MAF58" s="179"/>
      <c r="MAG58" s="179"/>
      <c r="MAH58" s="179"/>
      <c r="MAI58" s="179"/>
      <c r="MAJ58" s="179"/>
      <c r="MAK58" s="179"/>
      <c r="MAL58" s="179"/>
      <c r="MAM58" s="179"/>
      <c r="MAN58" s="179"/>
      <c r="MAO58" s="179"/>
      <c r="MAP58" s="179"/>
      <c r="MAQ58" s="179"/>
      <c r="MAR58" s="179"/>
      <c r="MAS58" s="179"/>
      <c r="MAT58" s="179"/>
      <c r="MAU58" s="179"/>
      <c r="MAV58" s="179"/>
      <c r="MAW58" s="179"/>
      <c r="MAX58" s="179"/>
      <c r="MAY58" s="179"/>
      <c r="MAZ58" s="179"/>
      <c r="MBA58" s="179"/>
      <c r="MBB58" s="179"/>
      <c r="MBC58" s="179"/>
      <c r="MBD58" s="179"/>
      <c r="MBE58" s="179"/>
      <c r="MBF58" s="179"/>
      <c r="MBG58" s="179"/>
      <c r="MBH58" s="179"/>
      <c r="MBI58" s="179"/>
      <c r="MBJ58" s="179"/>
      <c r="MBK58" s="179"/>
      <c r="MBL58" s="179"/>
      <c r="MBM58" s="179"/>
      <c r="MBN58" s="179"/>
      <c r="MBO58" s="179"/>
      <c r="MBP58" s="179"/>
      <c r="MBQ58" s="179"/>
      <c r="MBR58" s="179"/>
      <c r="MBS58" s="179"/>
      <c r="MBT58" s="179"/>
      <c r="MBU58" s="179"/>
      <c r="MBV58" s="179"/>
      <c r="MBW58" s="179"/>
      <c r="MBX58" s="179"/>
      <c r="MBY58" s="179"/>
      <c r="MBZ58" s="179"/>
      <c r="MCA58" s="179"/>
      <c r="MCB58" s="179"/>
      <c r="MCC58" s="179"/>
      <c r="MCD58" s="179"/>
      <c r="MCE58" s="179"/>
      <c r="MCF58" s="179"/>
      <c r="MCG58" s="179"/>
      <c r="MCH58" s="179"/>
      <c r="MCI58" s="179"/>
      <c r="MCJ58" s="179"/>
      <c r="MCK58" s="179"/>
      <c r="MCL58" s="179"/>
      <c r="MCM58" s="179"/>
      <c r="MCN58" s="179"/>
      <c r="MCO58" s="179"/>
      <c r="MCP58" s="179"/>
      <c r="MCQ58" s="179"/>
      <c r="MCR58" s="179"/>
      <c r="MCS58" s="179"/>
      <c r="MCT58" s="179"/>
      <c r="MCU58" s="179"/>
      <c r="MCV58" s="179"/>
      <c r="MCW58" s="179"/>
      <c r="MCX58" s="179"/>
      <c r="MCY58" s="179"/>
      <c r="MCZ58" s="179"/>
      <c r="MDA58" s="179"/>
      <c r="MDB58" s="179"/>
      <c r="MDC58" s="179"/>
      <c r="MDD58" s="179"/>
      <c r="MDE58" s="179"/>
      <c r="MDF58" s="179"/>
      <c r="MDG58" s="179"/>
      <c r="MDH58" s="179"/>
      <c r="MDI58" s="179"/>
      <c r="MDJ58" s="179"/>
      <c r="MDK58" s="179"/>
      <c r="MDL58" s="179"/>
      <c r="MDM58" s="179"/>
      <c r="MDN58" s="179"/>
      <c r="MDO58" s="179"/>
      <c r="MDP58" s="179"/>
      <c r="MDQ58" s="179"/>
      <c r="MDR58" s="179"/>
      <c r="MDS58" s="179"/>
      <c r="MDT58" s="179"/>
      <c r="MDU58" s="179"/>
      <c r="MDV58" s="179"/>
      <c r="MDW58" s="179"/>
      <c r="MDX58" s="179"/>
      <c r="MDY58" s="179"/>
      <c r="MDZ58" s="179"/>
      <c r="MEA58" s="179"/>
      <c r="MEB58" s="179"/>
      <c r="MEC58" s="179"/>
      <c r="MED58" s="179"/>
      <c r="MEE58" s="179"/>
      <c r="MEF58" s="179"/>
      <c r="MEG58" s="179"/>
      <c r="MEH58" s="179"/>
      <c r="MEI58" s="179"/>
      <c r="MEJ58" s="179"/>
      <c r="MEK58" s="179"/>
      <c r="MEL58" s="179"/>
      <c r="MEM58" s="179"/>
      <c r="MEN58" s="179"/>
      <c r="MEO58" s="179"/>
      <c r="MEP58" s="179"/>
      <c r="MEQ58" s="179"/>
      <c r="MER58" s="179"/>
      <c r="MES58" s="179"/>
      <c r="MET58" s="179"/>
      <c r="MEU58" s="179"/>
      <c r="MEV58" s="179"/>
      <c r="MEW58" s="179"/>
      <c r="MEX58" s="179"/>
      <c r="MEY58" s="179"/>
      <c r="MEZ58" s="179"/>
      <c r="MFA58" s="179"/>
      <c r="MFB58" s="179"/>
      <c r="MFC58" s="179"/>
      <c r="MFD58" s="179"/>
      <c r="MFE58" s="179"/>
      <c r="MFF58" s="179"/>
      <c r="MFG58" s="179"/>
      <c r="MFH58" s="179"/>
      <c r="MFI58" s="179"/>
      <c r="MFJ58" s="179"/>
      <c r="MFK58" s="179"/>
      <c r="MFL58" s="179"/>
      <c r="MFM58" s="179"/>
      <c r="MFN58" s="179"/>
      <c r="MFO58" s="179"/>
      <c r="MFP58" s="179"/>
      <c r="MFQ58" s="179"/>
      <c r="MFR58" s="179"/>
      <c r="MFS58" s="179"/>
      <c r="MFT58" s="179"/>
      <c r="MFU58" s="179"/>
      <c r="MFV58" s="179"/>
      <c r="MFW58" s="179"/>
      <c r="MFX58" s="179"/>
      <c r="MFY58" s="179"/>
      <c r="MFZ58" s="179"/>
      <c r="MGA58" s="179"/>
      <c r="MGB58" s="179"/>
      <c r="MGC58" s="179"/>
      <c r="MGD58" s="179"/>
      <c r="MGE58" s="179"/>
      <c r="MGF58" s="179"/>
      <c r="MGG58" s="179"/>
      <c r="MGH58" s="179"/>
      <c r="MGI58" s="179"/>
      <c r="MGJ58" s="179"/>
      <c r="MGK58" s="179"/>
      <c r="MGL58" s="179"/>
      <c r="MGM58" s="179"/>
      <c r="MGN58" s="179"/>
      <c r="MGO58" s="179"/>
      <c r="MGP58" s="179"/>
      <c r="MGQ58" s="179"/>
      <c r="MGR58" s="179"/>
      <c r="MGS58" s="179"/>
      <c r="MGT58" s="179"/>
      <c r="MGU58" s="179"/>
      <c r="MGV58" s="179"/>
      <c r="MGW58" s="179"/>
      <c r="MGX58" s="179"/>
      <c r="MGY58" s="179"/>
      <c r="MGZ58" s="179"/>
      <c r="MHA58" s="179"/>
      <c r="MHB58" s="179"/>
      <c r="MHC58" s="179"/>
      <c r="MHD58" s="179"/>
      <c r="MHE58" s="179"/>
      <c r="MHF58" s="179"/>
      <c r="MHG58" s="179"/>
      <c r="MHH58" s="179"/>
      <c r="MHI58" s="179"/>
      <c r="MHJ58" s="179"/>
      <c r="MHK58" s="179"/>
      <c r="MHL58" s="179"/>
      <c r="MHM58" s="179"/>
      <c r="MHN58" s="179"/>
      <c r="MHO58" s="179"/>
      <c r="MHP58" s="179"/>
      <c r="MHQ58" s="179"/>
      <c r="MHR58" s="179"/>
      <c r="MHS58" s="179"/>
      <c r="MHT58" s="179"/>
      <c r="MHU58" s="179"/>
      <c r="MHV58" s="179"/>
      <c r="MHW58" s="179"/>
      <c r="MHX58" s="179"/>
      <c r="MHY58" s="179"/>
      <c r="MHZ58" s="179"/>
      <c r="MIA58" s="179"/>
      <c r="MIB58" s="179"/>
      <c r="MIC58" s="179"/>
      <c r="MID58" s="179"/>
      <c r="MIE58" s="179"/>
      <c r="MIF58" s="179"/>
      <c r="MIG58" s="179"/>
      <c r="MIH58" s="179"/>
      <c r="MII58" s="179"/>
      <c r="MIJ58" s="179"/>
      <c r="MIK58" s="179"/>
      <c r="MIL58" s="179"/>
      <c r="MIM58" s="179"/>
      <c r="MIN58" s="179"/>
      <c r="MIO58" s="179"/>
      <c r="MIP58" s="179"/>
      <c r="MIQ58" s="179"/>
      <c r="MIR58" s="179"/>
      <c r="MIS58" s="179"/>
      <c r="MIT58" s="179"/>
      <c r="MIU58" s="179"/>
      <c r="MIV58" s="179"/>
      <c r="MIW58" s="179"/>
      <c r="MIX58" s="179"/>
      <c r="MIY58" s="179"/>
      <c r="MIZ58" s="179"/>
      <c r="MJA58" s="179"/>
      <c r="MJB58" s="179"/>
      <c r="MJC58" s="179"/>
      <c r="MJD58" s="179"/>
      <c r="MJE58" s="179"/>
      <c r="MJF58" s="179"/>
      <c r="MJG58" s="179"/>
      <c r="MJH58" s="179"/>
      <c r="MJI58" s="179"/>
      <c r="MJJ58" s="179"/>
      <c r="MJK58" s="179"/>
      <c r="MJL58" s="179"/>
      <c r="MJM58" s="179"/>
      <c r="MJN58" s="179"/>
      <c r="MJO58" s="179"/>
      <c r="MJP58" s="179"/>
      <c r="MJQ58" s="179"/>
      <c r="MJR58" s="179"/>
      <c r="MJS58" s="179"/>
      <c r="MJT58" s="179"/>
      <c r="MJU58" s="179"/>
      <c r="MJV58" s="179"/>
      <c r="MJW58" s="179"/>
      <c r="MJX58" s="179"/>
      <c r="MJY58" s="179"/>
      <c r="MJZ58" s="179"/>
      <c r="MKA58" s="179"/>
      <c r="MKB58" s="179"/>
      <c r="MKC58" s="179"/>
      <c r="MKD58" s="179"/>
      <c r="MKE58" s="179"/>
      <c r="MKF58" s="179"/>
      <c r="MKG58" s="179"/>
      <c r="MKH58" s="179"/>
      <c r="MKI58" s="179"/>
      <c r="MKJ58" s="179"/>
      <c r="MKK58" s="179"/>
      <c r="MKL58" s="179"/>
      <c r="MKM58" s="179"/>
      <c r="MKN58" s="179"/>
      <c r="MKO58" s="179"/>
      <c r="MKP58" s="179"/>
      <c r="MKQ58" s="179"/>
      <c r="MKR58" s="179"/>
      <c r="MKS58" s="179"/>
      <c r="MKT58" s="179"/>
      <c r="MKU58" s="179"/>
      <c r="MKV58" s="179"/>
      <c r="MKW58" s="179"/>
      <c r="MKX58" s="179"/>
      <c r="MKY58" s="179"/>
      <c r="MKZ58" s="179"/>
      <c r="MLA58" s="179"/>
      <c r="MLB58" s="179"/>
      <c r="MLC58" s="179"/>
      <c r="MLD58" s="179"/>
      <c r="MLE58" s="179"/>
      <c r="MLF58" s="179"/>
      <c r="MLG58" s="179"/>
      <c r="MLH58" s="179"/>
      <c r="MLI58" s="179"/>
      <c r="MLJ58" s="179"/>
      <c r="MLK58" s="179"/>
      <c r="MLL58" s="179"/>
      <c r="MLM58" s="179"/>
      <c r="MLN58" s="179"/>
      <c r="MLO58" s="179"/>
      <c r="MLP58" s="179"/>
      <c r="MLQ58" s="179"/>
      <c r="MLR58" s="179"/>
      <c r="MLS58" s="179"/>
      <c r="MLT58" s="179"/>
      <c r="MLU58" s="179"/>
      <c r="MLV58" s="179"/>
      <c r="MLW58" s="179"/>
      <c r="MLX58" s="179"/>
      <c r="MLY58" s="179"/>
      <c r="MLZ58" s="179"/>
      <c r="MMA58" s="179"/>
      <c r="MMB58" s="179"/>
      <c r="MMC58" s="179"/>
      <c r="MMD58" s="179"/>
      <c r="MME58" s="179"/>
      <c r="MMF58" s="179"/>
      <c r="MMG58" s="179"/>
      <c r="MMH58" s="179"/>
      <c r="MMI58" s="179"/>
      <c r="MMJ58" s="179"/>
      <c r="MMK58" s="179"/>
      <c r="MML58" s="179"/>
      <c r="MMM58" s="179"/>
      <c r="MMN58" s="179"/>
      <c r="MMO58" s="179"/>
      <c r="MMP58" s="179"/>
      <c r="MMQ58" s="179"/>
      <c r="MMR58" s="179"/>
      <c r="MMS58" s="179"/>
      <c r="MMT58" s="179"/>
      <c r="MMU58" s="179"/>
      <c r="MMV58" s="179"/>
      <c r="MMW58" s="179"/>
      <c r="MMX58" s="179"/>
      <c r="MMY58" s="179"/>
      <c r="MMZ58" s="179"/>
      <c r="MNA58" s="179"/>
      <c r="MNB58" s="179"/>
      <c r="MNC58" s="179"/>
      <c r="MND58" s="179"/>
      <c r="MNE58" s="179"/>
      <c r="MNF58" s="179"/>
      <c r="MNG58" s="179"/>
      <c r="MNH58" s="179"/>
      <c r="MNI58" s="179"/>
      <c r="MNJ58" s="179"/>
      <c r="MNK58" s="179"/>
      <c r="MNL58" s="179"/>
      <c r="MNM58" s="179"/>
      <c r="MNN58" s="179"/>
      <c r="MNO58" s="179"/>
      <c r="MNP58" s="179"/>
      <c r="MNQ58" s="179"/>
      <c r="MNR58" s="179"/>
      <c r="MNS58" s="179"/>
      <c r="MNT58" s="179"/>
      <c r="MNU58" s="179"/>
      <c r="MNV58" s="179"/>
      <c r="MNW58" s="179"/>
      <c r="MNX58" s="179"/>
      <c r="MNY58" s="179"/>
      <c r="MNZ58" s="179"/>
      <c r="MOA58" s="179"/>
      <c r="MOB58" s="179"/>
      <c r="MOC58" s="179"/>
      <c r="MOD58" s="179"/>
      <c r="MOE58" s="179"/>
      <c r="MOF58" s="179"/>
      <c r="MOG58" s="179"/>
      <c r="MOH58" s="179"/>
      <c r="MOI58" s="179"/>
      <c r="MOJ58" s="179"/>
      <c r="MOK58" s="179"/>
      <c r="MOL58" s="179"/>
      <c r="MOM58" s="179"/>
      <c r="MON58" s="179"/>
      <c r="MOO58" s="179"/>
      <c r="MOP58" s="179"/>
      <c r="MOQ58" s="179"/>
      <c r="MOR58" s="179"/>
      <c r="MOS58" s="179"/>
      <c r="MOT58" s="179"/>
      <c r="MOU58" s="179"/>
      <c r="MOV58" s="179"/>
      <c r="MOW58" s="179"/>
      <c r="MOX58" s="179"/>
      <c r="MOY58" s="179"/>
      <c r="MOZ58" s="179"/>
      <c r="MPA58" s="179"/>
      <c r="MPB58" s="179"/>
      <c r="MPC58" s="179"/>
      <c r="MPD58" s="179"/>
      <c r="MPE58" s="179"/>
      <c r="MPF58" s="179"/>
      <c r="MPG58" s="179"/>
      <c r="MPH58" s="179"/>
      <c r="MPI58" s="179"/>
      <c r="MPJ58" s="179"/>
      <c r="MPK58" s="179"/>
      <c r="MPL58" s="179"/>
      <c r="MPM58" s="179"/>
      <c r="MPN58" s="179"/>
      <c r="MPO58" s="179"/>
      <c r="MPP58" s="179"/>
      <c r="MPQ58" s="179"/>
      <c r="MPR58" s="179"/>
      <c r="MPS58" s="179"/>
      <c r="MPT58" s="179"/>
      <c r="MPU58" s="179"/>
      <c r="MPV58" s="179"/>
      <c r="MPW58" s="179"/>
      <c r="MPX58" s="179"/>
      <c r="MPY58" s="179"/>
      <c r="MPZ58" s="179"/>
      <c r="MQA58" s="179"/>
      <c r="MQB58" s="179"/>
      <c r="MQC58" s="179"/>
      <c r="MQD58" s="179"/>
      <c r="MQE58" s="179"/>
      <c r="MQF58" s="179"/>
      <c r="MQG58" s="179"/>
      <c r="MQH58" s="179"/>
      <c r="MQI58" s="179"/>
      <c r="MQJ58" s="179"/>
      <c r="MQK58" s="179"/>
      <c r="MQL58" s="179"/>
      <c r="MQM58" s="179"/>
      <c r="MQN58" s="179"/>
      <c r="MQO58" s="179"/>
      <c r="MQP58" s="179"/>
      <c r="MQQ58" s="179"/>
      <c r="MQR58" s="179"/>
      <c r="MQS58" s="179"/>
      <c r="MQT58" s="179"/>
      <c r="MQU58" s="179"/>
      <c r="MQV58" s="179"/>
      <c r="MQW58" s="179"/>
      <c r="MQX58" s="179"/>
      <c r="MQY58" s="179"/>
      <c r="MQZ58" s="179"/>
      <c r="MRA58" s="179"/>
      <c r="MRB58" s="179"/>
      <c r="MRC58" s="179"/>
      <c r="MRD58" s="179"/>
      <c r="MRE58" s="179"/>
      <c r="MRF58" s="179"/>
      <c r="MRG58" s="179"/>
      <c r="MRH58" s="179"/>
      <c r="MRI58" s="179"/>
      <c r="MRJ58" s="179"/>
      <c r="MRK58" s="179"/>
      <c r="MRL58" s="179"/>
      <c r="MRM58" s="179"/>
      <c r="MRN58" s="179"/>
      <c r="MRO58" s="179"/>
      <c r="MRP58" s="179"/>
      <c r="MRQ58" s="179"/>
      <c r="MRR58" s="179"/>
      <c r="MRS58" s="179"/>
      <c r="MRT58" s="179"/>
      <c r="MRU58" s="179"/>
      <c r="MRV58" s="179"/>
      <c r="MRW58" s="179"/>
      <c r="MRX58" s="179"/>
      <c r="MRY58" s="179"/>
      <c r="MRZ58" s="179"/>
      <c r="MSA58" s="179"/>
      <c r="MSB58" s="179"/>
      <c r="MSC58" s="179"/>
      <c r="MSD58" s="179"/>
      <c r="MSE58" s="179"/>
      <c r="MSF58" s="179"/>
      <c r="MSG58" s="179"/>
      <c r="MSH58" s="179"/>
      <c r="MSI58" s="179"/>
      <c r="MSJ58" s="179"/>
      <c r="MSK58" s="179"/>
      <c r="MSL58" s="179"/>
      <c r="MSM58" s="179"/>
      <c r="MSN58" s="179"/>
      <c r="MSO58" s="179"/>
      <c r="MSP58" s="179"/>
      <c r="MSQ58" s="179"/>
      <c r="MSR58" s="179"/>
      <c r="MSS58" s="179"/>
      <c r="MST58" s="179"/>
      <c r="MSU58" s="179"/>
      <c r="MSV58" s="179"/>
      <c r="MSW58" s="179"/>
      <c r="MSX58" s="179"/>
      <c r="MSY58" s="179"/>
      <c r="MSZ58" s="179"/>
      <c r="MTA58" s="179"/>
      <c r="MTB58" s="179"/>
      <c r="MTC58" s="179"/>
      <c r="MTD58" s="179"/>
      <c r="MTE58" s="179"/>
      <c r="MTF58" s="179"/>
      <c r="MTG58" s="179"/>
      <c r="MTH58" s="179"/>
      <c r="MTI58" s="179"/>
      <c r="MTJ58" s="179"/>
      <c r="MTK58" s="179"/>
      <c r="MTL58" s="179"/>
      <c r="MTM58" s="179"/>
      <c r="MTN58" s="179"/>
      <c r="MTO58" s="179"/>
      <c r="MTP58" s="179"/>
      <c r="MTQ58" s="179"/>
      <c r="MTR58" s="179"/>
      <c r="MTS58" s="179"/>
      <c r="MTT58" s="179"/>
      <c r="MTU58" s="179"/>
      <c r="MTV58" s="179"/>
      <c r="MTW58" s="179"/>
      <c r="MTX58" s="179"/>
      <c r="MTY58" s="179"/>
      <c r="MTZ58" s="179"/>
      <c r="MUA58" s="179"/>
      <c r="MUB58" s="179"/>
      <c r="MUC58" s="179"/>
      <c r="MUD58" s="179"/>
      <c r="MUE58" s="179"/>
      <c r="MUF58" s="179"/>
      <c r="MUG58" s="179"/>
      <c r="MUH58" s="179"/>
      <c r="MUI58" s="179"/>
      <c r="MUJ58" s="179"/>
      <c r="MUK58" s="179"/>
      <c r="MUL58" s="179"/>
      <c r="MUM58" s="179"/>
      <c r="MUN58" s="179"/>
      <c r="MUO58" s="179"/>
      <c r="MUP58" s="179"/>
      <c r="MUQ58" s="179"/>
      <c r="MUR58" s="179"/>
      <c r="MUS58" s="179"/>
      <c r="MUT58" s="179"/>
      <c r="MUU58" s="179"/>
      <c r="MUV58" s="179"/>
      <c r="MUW58" s="179"/>
      <c r="MUX58" s="179"/>
      <c r="MUY58" s="179"/>
      <c r="MUZ58" s="179"/>
      <c r="MVA58" s="179"/>
      <c r="MVB58" s="179"/>
      <c r="MVC58" s="179"/>
      <c r="MVD58" s="179"/>
      <c r="MVE58" s="179"/>
      <c r="MVF58" s="179"/>
      <c r="MVG58" s="179"/>
      <c r="MVH58" s="179"/>
      <c r="MVI58" s="179"/>
      <c r="MVJ58" s="179"/>
      <c r="MVK58" s="179"/>
      <c r="MVL58" s="179"/>
      <c r="MVM58" s="179"/>
      <c r="MVN58" s="179"/>
      <c r="MVO58" s="179"/>
      <c r="MVP58" s="179"/>
      <c r="MVQ58" s="179"/>
      <c r="MVR58" s="179"/>
      <c r="MVS58" s="179"/>
      <c r="MVT58" s="179"/>
      <c r="MVU58" s="179"/>
      <c r="MVV58" s="179"/>
      <c r="MVW58" s="179"/>
      <c r="MVX58" s="179"/>
      <c r="MVY58" s="179"/>
      <c r="MVZ58" s="179"/>
      <c r="MWA58" s="179"/>
      <c r="MWB58" s="179"/>
      <c r="MWC58" s="179"/>
      <c r="MWD58" s="179"/>
      <c r="MWE58" s="179"/>
      <c r="MWF58" s="179"/>
      <c r="MWG58" s="179"/>
      <c r="MWH58" s="179"/>
      <c r="MWI58" s="179"/>
      <c r="MWJ58" s="179"/>
      <c r="MWK58" s="179"/>
      <c r="MWL58" s="179"/>
      <c r="MWM58" s="179"/>
      <c r="MWN58" s="179"/>
      <c r="MWO58" s="179"/>
      <c r="MWP58" s="179"/>
      <c r="MWQ58" s="179"/>
      <c r="MWR58" s="179"/>
      <c r="MWS58" s="179"/>
      <c r="MWT58" s="179"/>
      <c r="MWU58" s="179"/>
      <c r="MWV58" s="179"/>
      <c r="MWW58" s="179"/>
      <c r="MWX58" s="179"/>
      <c r="MWY58" s="179"/>
      <c r="MWZ58" s="179"/>
      <c r="MXA58" s="179"/>
      <c r="MXB58" s="179"/>
      <c r="MXC58" s="179"/>
      <c r="MXD58" s="179"/>
      <c r="MXE58" s="179"/>
      <c r="MXF58" s="179"/>
      <c r="MXG58" s="179"/>
      <c r="MXH58" s="179"/>
      <c r="MXI58" s="179"/>
      <c r="MXJ58" s="179"/>
      <c r="MXK58" s="179"/>
      <c r="MXL58" s="179"/>
      <c r="MXM58" s="179"/>
      <c r="MXN58" s="179"/>
      <c r="MXO58" s="179"/>
      <c r="MXP58" s="179"/>
      <c r="MXQ58" s="179"/>
      <c r="MXR58" s="179"/>
      <c r="MXS58" s="179"/>
      <c r="MXT58" s="179"/>
      <c r="MXU58" s="179"/>
      <c r="MXV58" s="179"/>
      <c r="MXW58" s="179"/>
      <c r="MXX58" s="179"/>
      <c r="MXY58" s="179"/>
      <c r="MXZ58" s="179"/>
      <c r="MYA58" s="179"/>
      <c r="MYB58" s="179"/>
      <c r="MYC58" s="179"/>
      <c r="MYD58" s="179"/>
      <c r="MYE58" s="179"/>
      <c r="MYF58" s="179"/>
      <c r="MYG58" s="179"/>
      <c r="MYH58" s="179"/>
      <c r="MYI58" s="179"/>
      <c r="MYJ58" s="179"/>
      <c r="MYK58" s="179"/>
      <c r="MYL58" s="179"/>
      <c r="MYM58" s="179"/>
      <c r="MYN58" s="179"/>
      <c r="MYO58" s="179"/>
      <c r="MYP58" s="179"/>
      <c r="MYQ58" s="179"/>
      <c r="MYR58" s="179"/>
      <c r="MYS58" s="179"/>
      <c r="MYT58" s="179"/>
      <c r="MYU58" s="179"/>
      <c r="MYV58" s="179"/>
      <c r="MYW58" s="179"/>
      <c r="MYX58" s="179"/>
      <c r="MYY58" s="179"/>
      <c r="MYZ58" s="179"/>
      <c r="MZA58" s="179"/>
      <c r="MZB58" s="179"/>
      <c r="MZC58" s="179"/>
      <c r="MZD58" s="179"/>
      <c r="MZE58" s="179"/>
      <c r="MZF58" s="179"/>
      <c r="MZG58" s="179"/>
      <c r="MZH58" s="179"/>
      <c r="MZI58" s="179"/>
      <c r="MZJ58" s="179"/>
      <c r="MZK58" s="179"/>
      <c r="MZL58" s="179"/>
      <c r="MZM58" s="179"/>
      <c r="MZN58" s="179"/>
      <c r="MZO58" s="179"/>
      <c r="MZP58" s="179"/>
      <c r="MZQ58" s="179"/>
      <c r="MZR58" s="179"/>
      <c r="MZS58" s="179"/>
      <c r="MZT58" s="179"/>
      <c r="MZU58" s="179"/>
      <c r="MZV58" s="179"/>
      <c r="MZW58" s="179"/>
      <c r="MZX58" s="179"/>
      <c r="MZY58" s="179"/>
      <c r="MZZ58" s="179"/>
      <c r="NAA58" s="179"/>
      <c r="NAB58" s="179"/>
      <c r="NAC58" s="179"/>
      <c r="NAD58" s="179"/>
      <c r="NAE58" s="179"/>
      <c r="NAF58" s="179"/>
      <c r="NAG58" s="179"/>
      <c r="NAH58" s="179"/>
      <c r="NAI58" s="179"/>
      <c r="NAJ58" s="179"/>
      <c r="NAK58" s="179"/>
      <c r="NAL58" s="179"/>
      <c r="NAM58" s="179"/>
      <c r="NAN58" s="179"/>
      <c r="NAO58" s="179"/>
      <c r="NAP58" s="179"/>
      <c r="NAQ58" s="179"/>
      <c r="NAR58" s="179"/>
      <c r="NAS58" s="179"/>
      <c r="NAT58" s="179"/>
      <c r="NAU58" s="179"/>
      <c r="NAV58" s="179"/>
      <c r="NAW58" s="179"/>
      <c r="NAX58" s="179"/>
      <c r="NAY58" s="179"/>
      <c r="NAZ58" s="179"/>
      <c r="NBA58" s="179"/>
      <c r="NBB58" s="179"/>
      <c r="NBC58" s="179"/>
      <c r="NBD58" s="179"/>
      <c r="NBE58" s="179"/>
      <c r="NBF58" s="179"/>
      <c r="NBG58" s="179"/>
      <c r="NBH58" s="179"/>
      <c r="NBI58" s="179"/>
      <c r="NBJ58" s="179"/>
      <c r="NBK58" s="179"/>
      <c r="NBL58" s="179"/>
      <c r="NBM58" s="179"/>
      <c r="NBN58" s="179"/>
      <c r="NBO58" s="179"/>
      <c r="NBP58" s="179"/>
      <c r="NBQ58" s="179"/>
      <c r="NBR58" s="179"/>
      <c r="NBS58" s="179"/>
      <c r="NBT58" s="179"/>
      <c r="NBU58" s="179"/>
      <c r="NBV58" s="179"/>
      <c r="NBW58" s="179"/>
      <c r="NBX58" s="179"/>
      <c r="NBY58" s="179"/>
      <c r="NBZ58" s="179"/>
      <c r="NCA58" s="179"/>
      <c r="NCB58" s="179"/>
      <c r="NCC58" s="179"/>
      <c r="NCD58" s="179"/>
      <c r="NCE58" s="179"/>
      <c r="NCF58" s="179"/>
      <c r="NCG58" s="179"/>
      <c r="NCH58" s="179"/>
      <c r="NCI58" s="179"/>
      <c r="NCJ58" s="179"/>
      <c r="NCK58" s="179"/>
      <c r="NCL58" s="179"/>
      <c r="NCM58" s="179"/>
      <c r="NCN58" s="179"/>
      <c r="NCO58" s="179"/>
      <c r="NCP58" s="179"/>
      <c r="NCQ58" s="179"/>
      <c r="NCR58" s="179"/>
      <c r="NCS58" s="179"/>
      <c r="NCT58" s="179"/>
      <c r="NCU58" s="179"/>
      <c r="NCV58" s="179"/>
      <c r="NCW58" s="179"/>
      <c r="NCX58" s="179"/>
      <c r="NCY58" s="179"/>
      <c r="NCZ58" s="179"/>
      <c r="NDA58" s="179"/>
      <c r="NDB58" s="179"/>
      <c r="NDC58" s="179"/>
      <c r="NDD58" s="179"/>
      <c r="NDE58" s="179"/>
      <c r="NDF58" s="179"/>
      <c r="NDG58" s="179"/>
      <c r="NDH58" s="179"/>
      <c r="NDI58" s="179"/>
      <c r="NDJ58" s="179"/>
      <c r="NDK58" s="179"/>
      <c r="NDL58" s="179"/>
      <c r="NDM58" s="179"/>
      <c r="NDN58" s="179"/>
      <c r="NDO58" s="179"/>
      <c r="NDP58" s="179"/>
      <c r="NDQ58" s="179"/>
      <c r="NDR58" s="179"/>
      <c r="NDS58" s="179"/>
      <c r="NDT58" s="179"/>
      <c r="NDU58" s="179"/>
      <c r="NDV58" s="179"/>
      <c r="NDW58" s="179"/>
      <c r="NDX58" s="179"/>
      <c r="NDY58" s="179"/>
      <c r="NDZ58" s="179"/>
      <c r="NEA58" s="179"/>
      <c r="NEB58" s="179"/>
      <c r="NEC58" s="179"/>
      <c r="NED58" s="179"/>
      <c r="NEE58" s="179"/>
      <c r="NEF58" s="179"/>
      <c r="NEG58" s="179"/>
      <c r="NEH58" s="179"/>
      <c r="NEI58" s="179"/>
      <c r="NEJ58" s="179"/>
      <c r="NEK58" s="179"/>
      <c r="NEL58" s="179"/>
      <c r="NEM58" s="179"/>
      <c r="NEN58" s="179"/>
      <c r="NEO58" s="179"/>
      <c r="NEP58" s="179"/>
      <c r="NEQ58" s="179"/>
      <c r="NER58" s="179"/>
      <c r="NES58" s="179"/>
      <c r="NET58" s="179"/>
      <c r="NEU58" s="179"/>
      <c r="NEV58" s="179"/>
      <c r="NEW58" s="179"/>
      <c r="NEX58" s="179"/>
      <c r="NEY58" s="179"/>
      <c r="NEZ58" s="179"/>
      <c r="NFA58" s="179"/>
      <c r="NFB58" s="179"/>
      <c r="NFC58" s="179"/>
      <c r="NFD58" s="179"/>
      <c r="NFE58" s="179"/>
      <c r="NFF58" s="179"/>
      <c r="NFG58" s="179"/>
      <c r="NFH58" s="179"/>
      <c r="NFI58" s="179"/>
      <c r="NFJ58" s="179"/>
      <c r="NFK58" s="179"/>
      <c r="NFL58" s="179"/>
      <c r="NFM58" s="179"/>
      <c r="NFN58" s="179"/>
      <c r="NFO58" s="179"/>
      <c r="NFP58" s="179"/>
      <c r="NFQ58" s="179"/>
      <c r="NFR58" s="179"/>
      <c r="NFS58" s="179"/>
      <c r="NFT58" s="179"/>
      <c r="NFU58" s="179"/>
      <c r="NFV58" s="179"/>
      <c r="NFW58" s="179"/>
      <c r="NFX58" s="179"/>
      <c r="NFY58" s="179"/>
      <c r="NFZ58" s="179"/>
      <c r="NGA58" s="179"/>
      <c r="NGB58" s="179"/>
      <c r="NGC58" s="179"/>
      <c r="NGD58" s="179"/>
      <c r="NGE58" s="179"/>
      <c r="NGF58" s="179"/>
      <c r="NGG58" s="179"/>
      <c r="NGH58" s="179"/>
      <c r="NGI58" s="179"/>
      <c r="NGJ58" s="179"/>
      <c r="NGK58" s="179"/>
      <c r="NGL58" s="179"/>
      <c r="NGM58" s="179"/>
      <c r="NGN58" s="179"/>
      <c r="NGO58" s="179"/>
      <c r="NGP58" s="179"/>
      <c r="NGQ58" s="179"/>
      <c r="NGR58" s="179"/>
      <c r="NGS58" s="179"/>
      <c r="NGT58" s="179"/>
      <c r="NGU58" s="179"/>
      <c r="NGV58" s="179"/>
      <c r="NGW58" s="179"/>
      <c r="NGX58" s="179"/>
      <c r="NGY58" s="179"/>
      <c r="NGZ58" s="179"/>
      <c r="NHA58" s="179"/>
      <c r="NHB58" s="179"/>
      <c r="NHC58" s="179"/>
      <c r="NHD58" s="179"/>
      <c r="NHE58" s="179"/>
      <c r="NHF58" s="179"/>
      <c r="NHG58" s="179"/>
      <c r="NHH58" s="179"/>
      <c r="NHI58" s="179"/>
      <c r="NHJ58" s="179"/>
      <c r="NHK58" s="179"/>
      <c r="NHL58" s="179"/>
      <c r="NHM58" s="179"/>
      <c r="NHN58" s="179"/>
      <c r="NHO58" s="179"/>
      <c r="NHP58" s="179"/>
      <c r="NHQ58" s="179"/>
      <c r="NHR58" s="179"/>
      <c r="NHS58" s="179"/>
      <c r="NHT58" s="179"/>
      <c r="NHU58" s="179"/>
      <c r="NHV58" s="179"/>
      <c r="NHW58" s="179"/>
      <c r="NHX58" s="179"/>
      <c r="NHY58" s="179"/>
      <c r="NHZ58" s="179"/>
      <c r="NIA58" s="179"/>
      <c r="NIB58" s="179"/>
      <c r="NIC58" s="179"/>
      <c r="NID58" s="179"/>
      <c r="NIE58" s="179"/>
      <c r="NIF58" s="179"/>
      <c r="NIG58" s="179"/>
      <c r="NIH58" s="179"/>
      <c r="NII58" s="179"/>
      <c r="NIJ58" s="179"/>
      <c r="NIK58" s="179"/>
      <c r="NIL58" s="179"/>
      <c r="NIM58" s="179"/>
      <c r="NIN58" s="179"/>
      <c r="NIO58" s="179"/>
      <c r="NIP58" s="179"/>
      <c r="NIQ58" s="179"/>
      <c r="NIR58" s="179"/>
      <c r="NIS58" s="179"/>
      <c r="NIT58" s="179"/>
      <c r="NIU58" s="179"/>
      <c r="NIV58" s="179"/>
      <c r="NIW58" s="179"/>
      <c r="NIX58" s="179"/>
      <c r="NIY58" s="179"/>
      <c r="NIZ58" s="179"/>
      <c r="NJA58" s="179"/>
      <c r="NJB58" s="179"/>
      <c r="NJC58" s="179"/>
      <c r="NJD58" s="179"/>
      <c r="NJE58" s="179"/>
      <c r="NJF58" s="179"/>
      <c r="NJG58" s="179"/>
      <c r="NJH58" s="179"/>
      <c r="NJI58" s="179"/>
      <c r="NJJ58" s="179"/>
      <c r="NJK58" s="179"/>
      <c r="NJL58" s="179"/>
      <c r="NJM58" s="179"/>
      <c r="NJN58" s="179"/>
      <c r="NJO58" s="179"/>
      <c r="NJP58" s="179"/>
      <c r="NJQ58" s="179"/>
      <c r="NJR58" s="179"/>
      <c r="NJS58" s="179"/>
      <c r="NJT58" s="179"/>
      <c r="NJU58" s="179"/>
      <c r="NJV58" s="179"/>
      <c r="NJW58" s="179"/>
      <c r="NJX58" s="179"/>
      <c r="NJY58" s="179"/>
      <c r="NJZ58" s="179"/>
      <c r="NKA58" s="179"/>
      <c r="NKB58" s="179"/>
      <c r="NKC58" s="179"/>
      <c r="NKD58" s="179"/>
      <c r="NKE58" s="179"/>
      <c r="NKF58" s="179"/>
      <c r="NKG58" s="179"/>
      <c r="NKH58" s="179"/>
      <c r="NKI58" s="179"/>
      <c r="NKJ58" s="179"/>
      <c r="NKK58" s="179"/>
      <c r="NKL58" s="179"/>
      <c r="NKM58" s="179"/>
      <c r="NKN58" s="179"/>
      <c r="NKO58" s="179"/>
      <c r="NKP58" s="179"/>
      <c r="NKQ58" s="179"/>
      <c r="NKR58" s="179"/>
      <c r="NKS58" s="179"/>
      <c r="NKT58" s="179"/>
      <c r="NKU58" s="179"/>
      <c r="NKV58" s="179"/>
      <c r="NKW58" s="179"/>
      <c r="NKX58" s="179"/>
      <c r="NKY58" s="179"/>
      <c r="NKZ58" s="179"/>
      <c r="NLA58" s="179"/>
      <c r="NLB58" s="179"/>
      <c r="NLC58" s="179"/>
      <c r="NLD58" s="179"/>
      <c r="NLE58" s="179"/>
      <c r="NLF58" s="179"/>
      <c r="NLG58" s="179"/>
      <c r="NLH58" s="179"/>
      <c r="NLI58" s="179"/>
      <c r="NLJ58" s="179"/>
      <c r="NLK58" s="179"/>
      <c r="NLL58" s="179"/>
      <c r="NLM58" s="179"/>
      <c r="NLN58" s="179"/>
      <c r="NLO58" s="179"/>
      <c r="NLP58" s="179"/>
      <c r="NLQ58" s="179"/>
      <c r="NLR58" s="179"/>
      <c r="NLS58" s="179"/>
      <c r="NLT58" s="179"/>
      <c r="NLU58" s="179"/>
      <c r="NLV58" s="179"/>
      <c r="NLW58" s="179"/>
      <c r="NLX58" s="179"/>
      <c r="NLY58" s="179"/>
      <c r="NLZ58" s="179"/>
      <c r="NMA58" s="179"/>
      <c r="NMB58" s="179"/>
      <c r="NMC58" s="179"/>
      <c r="NMD58" s="179"/>
      <c r="NME58" s="179"/>
      <c r="NMF58" s="179"/>
      <c r="NMG58" s="179"/>
      <c r="NMH58" s="179"/>
      <c r="NMI58" s="179"/>
      <c r="NMJ58" s="179"/>
      <c r="NMK58" s="179"/>
      <c r="NML58" s="179"/>
      <c r="NMM58" s="179"/>
      <c r="NMN58" s="179"/>
      <c r="NMO58" s="179"/>
      <c r="NMP58" s="179"/>
      <c r="NMQ58" s="179"/>
      <c r="NMR58" s="179"/>
      <c r="NMS58" s="179"/>
      <c r="NMT58" s="179"/>
      <c r="NMU58" s="179"/>
      <c r="NMV58" s="179"/>
      <c r="NMW58" s="179"/>
      <c r="NMX58" s="179"/>
      <c r="NMY58" s="179"/>
      <c r="NMZ58" s="179"/>
      <c r="NNA58" s="179"/>
      <c r="NNB58" s="179"/>
      <c r="NNC58" s="179"/>
      <c r="NND58" s="179"/>
      <c r="NNE58" s="179"/>
      <c r="NNF58" s="179"/>
      <c r="NNG58" s="179"/>
      <c r="NNH58" s="179"/>
      <c r="NNI58" s="179"/>
      <c r="NNJ58" s="179"/>
      <c r="NNK58" s="179"/>
      <c r="NNL58" s="179"/>
      <c r="NNM58" s="179"/>
      <c r="NNN58" s="179"/>
      <c r="NNO58" s="179"/>
      <c r="NNP58" s="179"/>
      <c r="NNQ58" s="179"/>
      <c r="NNR58" s="179"/>
      <c r="NNS58" s="179"/>
      <c r="NNT58" s="179"/>
      <c r="NNU58" s="179"/>
      <c r="NNV58" s="179"/>
      <c r="NNW58" s="179"/>
      <c r="NNX58" s="179"/>
      <c r="NNY58" s="179"/>
      <c r="NNZ58" s="179"/>
      <c r="NOA58" s="179"/>
      <c r="NOB58" s="179"/>
      <c r="NOC58" s="179"/>
      <c r="NOD58" s="179"/>
      <c r="NOE58" s="179"/>
      <c r="NOF58" s="179"/>
      <c r="NOG58" s="179"/>
      <c r="NOH58" s="179"/>
      <c r="NOI58" s="179"/>
      <c r="NOJ58" s="179"/>
      <c r="NOK58" s="179"/>
      <c r="NOL58" s="179"/>
      <c r="NOM58" s="179"/>
      <c r="NON58" s="179"/>
      <c r="NOO58" s="179"/>
      <c r="NOP58" s="179"/>
      <c r="NOQ58" s="179"/>
      <c r="NOR58" s="179"/>
      <c r="NOS58" s="179"/>
      <c r="NOT58" s="179"/>
      <c r="NOU58" s="179"/>
      <c r="NOV58" s="179"/>
      <c r="NOW58" s="179"/>
      <c r="NOX58" s="179"/>
      <c r="NOY58" s="179"/>
      <c r="NOZ58" s="179"/>
      <c r="NPA58" s="179"/>
      <c r="NPB58" s="179"/>
      <c r="NPC58" s="179"/>
      <c r="NPD58" s="179"/>
      <c r="NPE58" s="179"/>
      <c r="NPF58" s="179"/>
      <c r="NPG58" s="179"/>
      <c r="NPH58" s="179"/>
      <c r="NPI58" s="179"/>
      <c r="NPJ58" s="179"/>
      <c r="NPK58" s="179"/>
      <c r="NPL58" s="179"/>
      <c r="NPM58" s="179"/>
      <c r="NPN58" s="179"/>
      <c r="NPO58" s="179"/>
      <c r="NPP58" s="179"/>
      <c r="NPQ58" s="179"/>
      <c r="NPR58" s="179"/>
      <c r="NPS58" s="179"/>
      <c r="NPT58" s="179"/>
      <c r="NPU58" s="179"/>
      <c r="NPV58" s="179"/>
      <c r="NPW58" s="179"/>
      <c r="NPX58" s="179"/>
      <c r="NPY58" s="179"/>
      <c r="NPZ58" s="179"/>
      <c r="NQA58" s="179"/>
      <c r="NQB58" s="179"/>
      <c r="NQC58" s="179"/>
      <c r="NQD58" s="179"/>
      <c r="NQE58" s="179"/>
      <c r="NQF58" s="179"/>
      <c r="NQG58" s="179"/>
      <c r="NQH58" s="179"/>
      <c r="NQI58" s="179"/>
      <c r="NQJ58" s="179"/>
      <c r="NQK58" s="179"/>
      <c r="NQL58" s="179"/>
      <c r="NQM58" s="179"/>
      <c r="NQN58" s="179"/>
      <c r="NQO58" s="179"/>
      <c r="NQP58" s="179"/>
      <c r="NQQ58" s="179"/>
      <c r="NQR58" s="179"/>
      <c r="NQS58" s="179"/>
      <c r="NQT58" s="179"/>
      <c r="NQU58" s="179"/>
      <c r="NQV58" s="179"/>
      <c r="NQW58" s="179"/>
      <c r="NQX58" s="179"/>
      <c r="NQY58" s="179"/>
      <c r="NQZ58" s="179"/>
      <c r="NRA58" s="179"/>
      <c r="NRB58" s="179"/>
      <c r="NRC58" s="179"/>
      <c r="NRD58" s="179"/>
      <c r="NRE58" s="179"/>
      <c r="NRF58" s="179"/>
      <c r="NRG58" s="179"/>
      <c r="NRH58" s="179"/>
      <c r="NRI58" s="179"/>
      <c r="NRJ58" s="179"/>
      <c r="NRK58" s="179"/>
      <c r="NRL58" s="179"/>
      <c r="NRM58" s="179"/>
      <c r="NRN58" s="179"/>
      <c r="NRO58" s="179"/>
      <c r="NRP58" s="179"/>
      <c r="NRQ58" s="179"/>
      <c r="NRR58" s="179"/>
      <c r="NRS58" s="179"/>
      <c r="NRT58" s="179"/>
      <c r="NRU58" s="179"/>
      <c r="NRV58" s="179"/>
      <c r="NRW58" s="179"/>
      <c r="NRX58" s="179"/>
      <c r="NRY58" s="179"/>
      <c r="NRZ58" s="179"/>
      <c r="NSA58" s="179"/>
      <c r="NSB58" s="179"/>
      <c r="NSC58" s="179"/>
      <c r="NSD58" s="179"/>
      <c r="NSE58" s="179"/>
      <c r="NSF58" s="179"/>
      <c r="NSG58" s="179"/>
      <c r="NSH58" s="179"/>
      <c r="NSI58" s="179"/>
      <c r="NSJ58" s="179"/>
      <c r="NSK58" s="179"/>
      <c r="NSL58" s="179"/>
      <c r="NSM58" s="179"/>
      <c r="NSN58" s="179"/>
      <c r="NSO58" s="179"/>
      <c r="NSP58" s="179"/>
      <c r="NSQ58" s="179"/>
      <c r="NSR58" s="179"/>
      <c r="NSS58" s="179"/>
      <c r="NST58" s="179"/>
      <c r="NSU58" s="179"/>
      <c r="NSV58" s="179"/>
      <c r="NSW58" s="179"/>
      <c r="NSX58" s="179"/>
      <c r="NSY58" s="179"/>
      <c r="NSZ58" s="179"/>
      <c r="NTA58" s="179"/>
      <c r="NTB58" s="179"/>
      <c r="NTC58" s="179"/>
      <c r="NTD58" s="179"/>
      <c r="NTE58" s="179"/>
      <c r="NTF58" s="179"/>
      <c r="NTG58" s="179"/>
      <c r="NTH58" s="179"/>
      <c r="NTI58" s="179"/>
      <c r="NTJ58" s="179"/>
      <c r="NTK58" s="179"/>
      <c r="NTL58" s="179"/>
      <c r="NTM58" s="179"/>
      <c r="NTN58" s="179"/>
      <c r="NTO58" s="179"/>
      <c r="NTP58" s="179"/>
      <c r="NTQ58" s="179"/>
      <c r="NTR58" s="179"/>
      <c r="NTS58" s="179"/>
      <c r="NTT58" s="179"/>
      <c r="NTU58" s="179"/>
      <c r="NTV58" s="179"/>
      <c r="NTW58" s="179"/>
      <c r="NTX58" s="179"/>
      <c r="NTY58" s="179"/>
      <c r="NTZ58" s="179"/>
      <c r="NUA58" s="179"/>
      <c r="NUB58" s="179"/>
      <c r="NUC58" s="179"/>
      <c r="NUD58" s="179"/>
      <c r="NUE58" s="179"/>
      <c r="NUF58" s="179"/>
      <c r="NUG58" s="179"/>
      <c r="NUH58" s="179"/>
      <c r="NUI58" s="179"/>
      <c r="NUJ58" s="179"/>
      <c r="NUK58" s="179"/>
      <c r="NUL58" s="179"/>
      <c r="NUM58" s="179"/>
      <c r="NUN58" s="179"/>
      <c r="NUO58" s="179"/>
      <c r="NUP58" s="179"/>
      <c r="NUQ58" s="179"/>
      <c r="NUR58" s="179"/>
      <c r="NUS58" s="179"/>
      <c r="NUT58" s="179"/>
      <c r="NUU58" s="179"/>
      <c r="NUV58" s="179"/>
      <c r="NUW58" s="179"/>
      <c r="NUX58" s="179"/>
      <c r="NUY58" s="179"/>
      <c r="NUZ58" s="179"/>
      <c r="NVA58" s="179"/>
      <c r="NVB58" s="179"/>
      <c r="NVC58" s="179"/>
      <c r="NVD58" s="179"/>
      <c r="NVE58" s="179"/>
      <c r="NVF58" s="179"/>
      <c r="NVG58" s="179"/>
      <c r="NVH58" s="179"/>
      <c r="NVI58" s="179"/>
      <c r="NVJ58" s="179"/>
      <c r="NVK58" s="179"/>
      <c r="NVL58" s="179"/>
      <c r="NVM58" s="179"/>
      <c r="NVN58" s="179"/>
      <c r="NVO58" s="179"/>
      <c r="NVP58" s="179"/>
      <c r="NVQ58" s="179"/>
      <c r="NVR58" s="179"/>
      <c r="NVS58" s="179"/>
      <c r="NVT58" s="179"/>
      <c r="NVU58" s="179"/>
      <c r="NVV58" s="179"/>
      <c r="NVW58" s="179"/>
      <c r="NVX58" s="179"/>
      <c r="NVY58" s="179"/>
      <c r="NVZ58" s="179"/>
      <c r="NWA58" s="179"/>
      <c r="NWB58" s="179"/>
      <c r="NWC58" s="179"/>
      <c r="NWD58" s="179"/>
      <c r="NWE58" s="179"/>
      <c r="NWF58" s="179"/>
      <c r="NWG58" s="179"/>
      <c r="NWH58" s="179"/>
      <c r="NWI58" s="179"/>
      <c r="NWJ58" s="179"/>
      <c r="NWK58" s="179"/>
      <c r="NWL58" s="179"/>
      <c r="NWM58" s="179"/>
      <c r="NWN58" s="179"/>
      <c r="NWO58" s="179"/>
      <c r="NWP58" s="179"/>
      <c r="NWQ58" s="179"/>
      <c r="NWR58" s="179"/>
      <c r="NWS58" s="179"/>
      <c r="NWT58" s="179"/>
      <c r="NWU58" s="179"/>
      <c r="NWV58" s="179"/>
      <c r="NWW58" s="179"/>
      <c r="NWX58" s="179"/>
      <c r="NWY58" s="179"/>
      <c r="NWZ58" s="179"/>
      <c r="NXA58" s="179"/>
      <c r="NXB58" s="179"/>
      <c r="NXC58" s="179"/>
      <c r="NXD58" s="179"/>
      <c r="NXE58" s="179"/>
      <c r="NXF58" s="179"/>
      <c r="NXG58" s="179"/>
      <c r="NXH58" s="179"/>
      <c r="NXI58" s="179"/>
      <c r="NXJ58" s="179"/>
      <c r="NXK58" s="179"/>
      <c r="NXL58" s="179"/>
      <c r="NXM58" s="179"/>
      <c r="NXN58" s="179"/>
      <c r="NXO58" s="179"/>
      <c r="NXP58" s="179"/>
      <c r="NXQ58" s="179"/>
      <c r="NXR58" s="179"/>
      <c r="NXS58" s="179"/>
      <c r="NXT58" s="179"/>
      <c r="NXU58" s="179"/>
      <c r="NXV58" s="179"/>
      <c r="NXW58" s="179"/>
      <c r="NXX58" s="179"/>
      <c r="NXY58" s="179"/>
      <c r="NXZ58" s="179"/>
      <c r="NYA58" s="179"/>
      <c r="NYB58" s="179"/>
      <c r="NYC58" s="179"/>
      <c r="NYD58" s="179"/>
      <c r="NYE58" s="179"/>
      <c r="NYF58" s="179"/>
      <c r="NYG58" s="179"/>
      <c r="NYH58" s="179"/>
      <c r="NYI58" s="179"/>
      <c r="NYJ58" s="179"/>
      <c r="NYK58" s="179"/>
      <c r="NYL58" s="179"/>
      <c r="NYM58" s="179"/>
      <c r="NYN58" s="179"/>
      <c r="NYO58" s="179"/>
      <c r="NYP58" s="179"/>
      <c r="NYQ58" s="179"/>
      <c r="NYR58" s="179"/>
      <c r="NYS58" s="179"/>
      <c r="NYT58" s="179"/>
      <c r="NYU58" s="179"/>
      <c r="NYV58" s="179"/>
      <c r="NYW58" s="179"/>
      <c r="NYX58" s="179"/>
      <c r="NYY58" s="179"/>
      <c r="NYZ58" s="179"/>
      <c r="NZA58" s="179"/>
      <c r="NZB58" s="179"/>
      <c r="NZC58" s="179"/>
      <c r="NZD58" s="179"/>
      <c r="NZE58" s="179"/>
      <c r="NZF58" s="179"/>
      <c r="NZG58" s="179"/>
      <c r="NZH58" s="179"/>
      <c r="NZI58" s="179"/>
      <c r="NZJ58" s="179"/>
      <c r="NZK58" s="179"/>
      <c r="NZL58" s="179"/>
      <c r="NZM58" s="179"/>
      <c r="NZN58" s="179"/>
      <c r="NZO58" s="179"/>
      <c r="NZP58" s="179"/>
      <c r="NZQ58" s="179"/>
      <c r="NZR58" s="179"/>
      <c r="NZS58" s="179"/>
      <c r="NZT58" s="179"/>
      <c r="NZU58" s="179"/>
      <c r="NZV58" s="179"/>
      <c r="NZW58" s="179"/>
      <c r="NZX58" s="179"/>
      <c r="NZY58" s="179"/>
      <c r="NZZ58" s="179"/>
      <c r="OAA58" s="179"/>
      <c r="OAB58" s="179"/>
      <c r="OAC58" s="179"/>
      <c r="OAD58" s="179"/>
      <c r="OAE58" s="179"/>
      <c r="OAF58" s="179"/>
      <c r="OAG58" s="179"/>
      <c r="OAH58" s="179"/>
      <c r="OAI58" s="179"/>
      <c r="OAJ58" s="179"/>
      <c r="OAK58" s="179"/>
      <c r="OAL58" s="179"/>
      <c r="OAM58" s="179"/>
      <c r="OAN58" s="179"/>
      <c r="OAO58" s="179"/>
      <c r="OAP58" s="179"/>
      <c r="OAQ58" s="179"/>
      <c r="OAR58" s="179"/>
      <c r="OAS58" s="179"/>
      <c r="OAT58" s="179"/>
      <c r="OAU58" s="179"/>
      <c r="OAV58" s="179"/>
      <c r="OAW58" s="179"/>
      <c r="OAX58" s="179"/>
      <c r="OAY58" s="179"/>
      <c r="OAZ58" s="179"/>
      <c r="OBA58" s="179"/>
      <c r="OBB58" s="179"/>
      <c r="OBC58" s="179"/>
      <c r="OBD58" s="179"/>
      <c r="OBE58" s="179"/>
      <c r="OBF58" s="179"/>
      <c r="OBG58" s="179"/>
      <c r="OBH58" s="179"/>
      <c r="OBI58" s="179"/>
      <c r="OBJ58" s="179"/>
      <c r="OBK58" s="179"/>
      <c r="OBL58" s="179"/>
      <c r="OBM58" s="179"/>
      <c r="OBN58" s="179"/>
      <c r="OBO58" s="179"/>
      <c r="OBP58" s="179"/>
      <c r="OBQ58" s="179"/>
      <c r="OBR58" s="179"/>
      <c r="OBS58" s="179"/>
      <c r="OBT58" s="179"/>
      <c r="OBU58" s="179"/>
      <c r="OBV58" s="179"/>
      <c r="OBW58" s="179"/>
      <c r="OBX58" s="179"/>
      <c r="OBY58" s="179"/>
      <c r="OBZ58" s="179"/>
      <c r="OCA58" s="179"/>
      <c r="OCB58" s="179"/>
      <c r="OCC58" s="179"/>
      <c r="OCD58" s="179"/>
      <c r="OCE58" s="179"/>
      <c r="OCF58" s="179"/>
      <c r="OCG58" s="179"/>
      <c r="OCH58" s="179"/>
      <c r="OCI58" s="179"/>
      <c r="OCJ58" s="179"/>
      <c r="OCK58" s="179"/>
      <c r="OCL58" s="179"/>
      <c r="OCM58" s="179"/>
      <c r="OCN58" s="179"/>
      <c r="OCO58" s="179"/>
      <c r="OCP58" s="179"/>
      <c r="OCQ58" s="179"/>
      <c r="OCR58" s="179"/>
      <c r="OCS58" s="179"/>
      <c r="OCT58" s="179"/>
      <c r="OCU58" s="179"/>
      <c r="OCV58" s="179"/>
      <c r="OCW58" s="179"/>
      <c r="OCX58" s="179"/>
      <c r="OCY58" s="179"/>
      <c r="OCZ58" s="179"/>
      <c r="ODA58" s="179"/>
      <c r="ODB58" s="179"/>
      <c r="ODC58" s="179"/>
      <c r="ODD58" s="179"/>
      <c r="ODE58" s="179"/>
      <c r="ODF58" s="179"/>
      <c r="ODG58" s="179"/>
      <c r="ODH58" s="179"/>
      <c r="ODI58" s="179"/>
      <c r="ODJ58" s="179"/>
      <c r="ODK58" s="179"/>
      <c r="ODL58" s="179"/>
      <c r="ODM58" s="179"/>
      <c r="ODN58" s="179"/>
      <c r="ODO58" s="179"/>
      <c r="ODP58" s="179"/>
      <c r="ODQ58" s="179"/>
      <c r="ODR58" s="179"/>
      <c r="ODS58" s="179"/>
      <c r="ODT58" s="179"/>
      <c r="ODU58" s="179"/>
      <c r="ODV58" s="179"/>
      <c r="ODW58" s="179"/>
      <c r="ODX58" s="179"/>
      <c r="ODY58" s="179"/>
      <c r="ODZ58" s="179"/>
      <c r="OEA58" s="179"/>
      <c r="OEB58" s="179"/>
      <c r="OEC58" s="179"/>
      <c r="OED58" s="179"/>
      <c r="OEE58" s="179"/>
      <c r="OEF58" s="179"/>
      <c r="OEG58" s="179"/>
      <c r="OEH58" s="179"/>
      <c r="OEI58" s="179"/>
      <c r="OEJ58" s="179"/>
      <c r="OEK58" s="179"/>
      <c r="OEL58" s="179"/>
      <c r="OEM58" s="179"/>
      <c r="OEN58" s="179"/>
      <c r="OEO58" s="179"/>
      <c r="OEP58" s="179"/>
      <c r="OEQ58" s="179"/>
      <c r="OER58" s="179"/>
      <c r="OES58" s="179"/>
      <c r="OET58" s="179"/>
      <c r="OEU58" s="179"/>
      <c r="OEV58" s="179"/>
      <c r="OEW58" s="179"/>
      <c r="OEX58" s="179"/>
      <c r="OEY58" s="179"/>
      <c r="OEZ58" s="179"/>
      <c r="OFA58" s="179"/>
      <c r="OFB58" s="179"/>
      <c r="OFC58" s="179"/>
      <c r="OFD58" s="179"/>
      <c r="OFE58" s="179"/>
      <c r="OFF58" s="179"/>
      <c r="OFG58" s="179"/>
      <c r="OFH58" s="179"/>
      <c r="OFI58" s="179"/>
      <c r="OFJ58" s="179"/>
      <c r="OFK58" s="179"/>
      <c r="OFL58" s="179"/>
      <c r="OFM58" s="179"/>
      <c r="OFN58" s="179"/>
      <c r="OFO58" s="179"/>
      <c r="OFP58" s="179"/>
      <c r="OFQ58" s="179"/>
      <c r="OFR58" s="179"/>
      <c r="OFS58" s="179"/>
      <c r="OFT58" s="179"/>
      <c r="OFU58" s="179"/>
      <c r="OFV58" s="179"/>
      <c r="OFW58" s="179"/>
      <c r="OFX58" s="179"/>
      <c r="OFY58" s="179"/>
      <c r="OFZ58" s="179"/>
      <c r="OGA58" s="179"/>
      <c r="OGB58" s="179"/>
      <c r="OGC58" s="179"/>
      <c r="OGD58" s="179"/>
      <c r="OGE58" s="179"/>
      <c r="OGF58" s="179"/>
      <c r="OGG58" s="179"/>
      <c r="OGH58" s="179"/>
      <c r="OGI58" s="179"/>
      <c r="OGJ58" s="179"/>
      <c r="OGK58" s="179"/>
      <c r="OGL58" s="179"/>
      <c r="OGM58" s="179"/>
      <c r="OGN58" s="179"/>
      <c r="OGO58" s="179"/>
      <c r="OGP58" s="179"/>
      <c r="OGQ58" s="179"/>
      <c r="OGR58" s="179"/>
      <c r="OGS58" s="179"/>
      <c r="OGT58" s="179"/>
      <c r="OGU58" s="179"/>
      <c r="OGV58" s="179"/>
      <c r="OGW58" s="179"/>
      <c r="OGX58" s="179"/>
      <c r="OGY58" s="179"/>
      <c r="OGZ58" s="179"/>
      <c r="OHA58" s="179"/>
      <c r="OHB58" s="179"/>
      <c r="OHC58" s="179"/>
      <c r="OHD58" s="179"/>
      <c r="OHE58" s="179"/>
      <c r="OHF58" s="179"/>
      <c r="OHG58" s="179"/>
      <c r="OHH58" s="179"/>
      <c r="OHI58" s="179"/>
      <c r="OHJ58" s="179"/>
      <c r="OHK58" s="179"/>
      <c r="OHL58" s="179"/>
      <c r="OHM58" s="179"/>
      <c r="OHN58" s="179"/>
      <c r="OHO58" s="179"/>
      <c r="OHP58" s="179"/>
      <c r="OHQ58" s="179"/>
      <c r="OHR58" s="179"/>
      <c r="OHS58" s="179"/>
      <c r="OHT58" s="179"/>
      <c r="OHU58" s="179"/>
      <c r="OHV58" s="179"/>
      <c r="OHW58" s="179"/>
      <c r="OHX58" s="179"/>
      <c r="OHY58" s="179"/>
      <c r="OHZ58" s="179"/>
      <c r="OIA58" s="179"/>
      <c r="OIB58" s="179"/>
      <c r="OIC58" s="179"/>
      <c r="OID58" s="179"/>
      <c r="OIE58" s="179"/>
      <c r="OIF58" s="179"/>
      <c r="OIG58" s="179"/>
      <c r="OIH58" s="179"/>
      <c r="OII58" s="179"/>
      <c r="OIJ58" s="179"/>
      <c r="OIK58" s="179"/>
      <c r="OIL58" s="179"/>
      <c r="OIM58" s="179"/>
      <c r="OIN58" s="179"/>
      <c r="OIO58" s="179"/>
      <c r="OIP58" s="179"/>
      <c r="OIQ58" s="179"/>
      <c r="OIR58" s="179"/>
      <c r="OIS58" s="179"/>
      <c r="OIT58" s="179"/>
      <c r="OIU58" s="179"/>
      <c r="OIV58" s="179"/>
      <c r="OIW58" s="179"/>
      <c r="OIX58" s="179"/>
      <c r="OIY58" s="179"/>
      <c r="OIZ58" s="179"/>
      <c r="OJA58" s="179"/>
      <c r="OJB58" s="179"/>
      <c r="OJC58" s="179"/>
      <c r="OJD58" s="179"/>
      <c r="OJE58" s="179"/>
      <c r="OJF58" s="179"/>
      <c r="OJG58" s="179"/>
      <c r="OJH58" s="179"/>
      <c r="OJI58" s="179"/>
      <c r="OJJ58" s="179"/>
      <c r="OJK58" s="179"/>
      <c r="OJL58" s="179"/>
      <c r="OJM58" s="179"/>
      <c r="OJN58" s="179"/>
      <c r="OJO58" s="179"/>
      <c r="OJP58" s="179"/>
      <c r="OJQ58" s="179"/>
      <c r="OJR58" s="179"/>
      <c r="OJS58" s="179"/>
      <c r="OJT58" s="179"/>
      <c r="OJU58" s="179"/>
      <c r="OJV58" s="179"/>
      <c r="OJW58" s="179"/>
      <c r="OJX58" s="179"/>
      <c r="OJY58" s="179"/>
      <c r="OJZ58" s="179"/>
      <c r="OKA58" s="179"/>
      <c r="OKB58" s="179"/>
      <c r="OKC58" s="179"/>
      <c r="OKD58" s="179"/>
      <c r="OKE58" s="179"/>
      <c r="OKF58" s="179"/>
      <c r="OKG58" s="179"/>
      <c r="OKH58" s="179"/>
      <c r="OKI58" s="179"/>
      <c r="OKJ58" s="179"/>
      <c r="OKK58" s="179"/>
      <c r="OKL58" s="179"/>
      <c r="OKM58" s="179"/>
      <c r="OKN58" s="179"/>
      <c r="OKO58" s="179"/>
      <c r="OKP58" s="179"/>
      <c r="OKQ58" s="179"/>
      <c r="OKR58" s="179"/>
      <c r="OKS58" s="179"/>
      <c r="OKT58" s="179"/>
      <c r="OKU58" s="179"/>
      <c r="OKV58" s="179"/>
      <c r="OKW58" s="179"/>
      <c r="OKX58" s="179"/>
      <c r="OKY58" s="179"/>
      <c r="OKZ58" s="179"/>
      <c r="OLA58" s="179"/>
      <c r="OLB58" s="179"/>
      <c r="OLC58" s="179"/>
      <c r="OLD58" s="179"/>
      <c r="OLE58" s="179"/>
      <c r="OLF58" s="179"/>
      <c r="OLG58" s="179"/>
      <c r="OLH58" s="179"/>
      <c r="OLI58" s="179"/>
      <c r="OLJ58" s="179"/>
      <c r="OLK58" s="179"/>
      <c r="OLL58" s="179"/>
      <c r="OLM58" s="179"/>
      <c r="OLN58" s="179"/>
      <c r="OLO58" s="179"/>
      <c r="OLP58" s="179"/>
      <c r="OLQ58" s="179"/>
      <c r="OLR58" s="179"/>
      <c r="OLS58" s="179"/>
      <c r="OLT58" s="179"/>
      <c r="OLU58" s="179"/>
      <c r="OLV58" s="179"/>
      <c r="OLW58" s="179"/>
      <c r="OLX58" s="179"/>
      <c r="OLY58" s="179"/>
      <c r="OLZ58" s="179"/>
      <c r="OMA58" s="179"/>
      <c r="OMB58" s="179"/>
      <c r="OMC58" s="179"/>
      <c r="OMD58" s="179"/>
      <c r="OME58" s="179"/>
      <c r="OMF58" s="179"/>
      <c r="OMG58" s="179"/>
      <c r="OMH58" s="179"/>
      <c r="OMI58" s="179"/>
      <c r="OMJ58" s="179"/>
      <c r="OMK58" s="179"/>
      <c r="OML58" s="179"/>
      <c r="OMM58" s="179"/>
      <c r="OMN58" s="179"/>
      <c r="OMO58" s="179"/>
      <c r="OMP58" s="179"/>
      <c r="OMQ58" s="179"/>
      <c r="OMR58" s="179"/>
      <c r="OMS58" s="179"/>
      <c r="OMT58" s="179"/>
      <c r="OMU58" s="179"/>
      <c r="OMV58" s="179"/>
      <c r="OMW58" s="179"/>
      <c r="OMX58" s="179"/>
      <c r="OMY58" s="179"/>
      <c r="OMZ58" s="179"/>
      <c r="ONA58" s="179"/>
      <c r="ONB58" s="179"/>
      <c r="ONC58" s="179"/>
      <c r="OND58" s="179"/>
      <c r="ONE58" s="179"/>
      <c r="ONF58" s="179"/>
      <c r="ONG58" s="179"/>
      <c r="ONH58" s="179"/>
      <c r="ONI58" s="179"/>
      <c r="ONJ58" s="179"/>
      <c r="ONK58" s="179"/>
      <c r="ONL58" s="179"/>
      <c r="ONM58" s="179"/>
      <c r="ONN58" s="179"/>
      <c r="ONO58" s="179"/>
      <c r="ONP58" s="179"/>
      <c r="ONQ58" s="179"/>
      <c r="ONR58" s="179"/>
      <c r="ONS58" s="179"/>
      <c r="ONT58" s="179"/>
      <c r="ONU58" s="179"/>
      <c r="ONV58" s="179"/>
      <c r="ONW58" s="179"/>
      <c r="ONX58" s="179"/>
      <c r="ONY58" s="179"/>
      <c r="ONZ58" s="179"/>
      <c r="OOA58" s="179"/>
      <c r="OOB58" s="179"/>
      <c r="OOC58" s="179"/>
      <c r="OOD58" s="179"/>
      <c r="OOE58" s="179"/>
      <c r="OOF58" s="179"/>
      <c r="OOG58" s="179"/>
      <c r="OOH58" s="179"/>
      <c r="OOI58" s="179"/>
      <c r="OOJ58" s="179"/>
      <c r="OOK58" s="179"/>
      <c r="OOL58" s="179"/>
      <c r="OOM58" s="179"/>
      <c r="OON58" s="179"/>
      <c r="OOO58" s="179"/>
      <c r="OOP58" s="179"/>
      <c r="OOQ58" s="179"/>
      <c r="OOR58" s="179"/>
      <c r="OOS58" s="179"/>
      <c r="OOT58" s="179"/>
      <c r="OOU58" s="179"/>
      <c r="OOV58" s="179"/>
      <c r="OOW58" s="179"/>
      <c r="OOX58" s="179"/>
      <c r="OOY58" s="179"/>
      <c r="OOZ58" s="179"/>
      <c r="OPA58" s="179"/>
      <c r="OPB58" s="179"/>
      <c r="OPC58" s="179"/>
      <c r="OPD58" s="179"/>
      <c r="OPE58" s="179"/>
      <c r="OPF58" s="179"/>
      <c r="OPG58" s="179"/>
      <c r="OPH58" s="179"/>
      <c r="OPI58" s="179"/>
      <c r="OPJ58" s="179"/>
      <c r="OPK58" s="179"/>
      <c r="OPL58" s="179"/>
      <c r="OPM58" s="179"/>
      <c r="OPN58" s="179"/>
      <c r="OPO58" s="179"/>
      <c r="OPP58" s="179"/>
      <c r="OPQ58" s="179"/>
      <c r="OPR58" s="179"/>
      <c r="OPS58" s="179"/>
      <c r="OPT58" s="179"/>
      <c r="OPU58" s="179"/>
      <c r="OPV58" s="179"/>
      <c r="OPW58" s="179"/>
      <c r="OPX58" s="179"/>
      <c r="OPY58" s="179"/>
      <c r="OPZ58" s="179"/>
      <c r="OQA58" s="179"/>
      <c r="OQB58" s="179"/>
      <c r="OQC58" s="179"/>
      <c r="OQD58" s="179"/>
      <c r="OQE58" s="179"/>
      <c r="OQF58" s="179"/>
      <c r="OQG58" s="179"/>
      <c r="OQH58" s="179"/>
      <c r="OQI58" s="179"/>
      <c r="OQJ58" s="179"/>
      <c r="OQK58" s="179"/>
      <c r="OQL58" s="179"/>
      <c r="OQM58" s="179"/>
      <c r="OQN58" s="179"/>
      <c r="OQO58" s="179"/>
      <c r="OQP58" s="179"/>
      <c r="OQQ58" s="179"/>
      <c r="OQR58" s="179"/>
      <c r="OQS58" s="179"/>
      <c r="OQT58" s="179"/>
      <c r="OQU58" s="179"/>
      <c r="OQV58" s="179"/>
      <c r="OQW58" s="179"/>
      <c r="OQX58" s="179"/>
      <c r="OQY58" s="179"/>
      <c r="OQZ58" s="179"/>
      <c r="ORA58" s="179"/>
      <c r="ORB58" s="179"/>
      <c r="ORC58" s="179"/>
      <c r="ORD58" s="179"/>
      <c r="ORE58" s="179"/>
      <c r="ORF58" s="179"/>
      <c r="ORG58" s="179"/>
      <c r="ORH58" s="179"/>
      <c r="ORI58" s="179"/>
      <c r="ORJ58" s="179"/>
      <c r="ORK58" s="179"/>
      <c r="ORL58" s="179"/>
      <c r="ORM58" s="179"/>
      <c r="ORN58" s="179"/>
      <c r="ORO58" s="179"/>
      <c r="ORP58" s="179"/>
      <c r="ORQ58" s="179"/>
      <c r="ORR58" s="179"/>
      <c r="ORS58" s="179"/>
      <c r="ORT58" s="179"/>
      <c r="ORU58" s="179"/>
      <c r="ORV58" s="179"/>
      <c r="ORW58" s="179"/>
      <c r="ORX58" s="179"/>
      <c r="ORY58" s="179"/>
      <c r="ORZ58" s="179"/>
      <c r="OSA58" s="179"/>
      <c r="OSB58" s="179"/>
      <c r="OSC58" s="179"/>
      <c r="OSD58" s="179"/>
      <c r="OSE58" s="179"/>
      <c r="OSF58" s="179"/>
      <c r="OSG58" s="179"/>
      <c r="OSH58" s="179"/>
      <c r="OSI58" s="179"/>
      <c r="OSJ58" s="179"/>
      <c r="OSK58" s="179"/>
      <c r="OSL58" s="179"/>
      <c r="OSM58" s="179"/>
      <c r="OSN58" s="179"/>
      <c r="OSO58" s="179"/>
      <c r="OSP58" s="179"/>
      <c r="OSQ58" s="179"/>
      <c r="OSR58" s="179"/>
      <c r="OSS58" s="179"/>
      <c r="OST58" s="179"/>
      <c r="OSU58" s="179"/>
      <c r="OSV58" s="179"/>
      <c r="OSW58" s="179"/>
      <c r="OSX58" s="179"/>
      <c r="OSY58" s="179"/>
      <c r="OSZ58" s="179"/>
      <c r="OTA58" s="179"/>
      <c r="OTB58" s="179"/>
      <c r="OTC58" s="179"/>
      <c r="OTD58" s="179"/>
      <c r="OTE58" s="179"/>
      <c r="OTF58" s="179"/>
      <c r="OTG58" s="179"/>
      <c r="OTH58" s="179"/>
      <c r="OTI58" s="179"/>
      <c r="OTJ58" s="179"/>
      <c r="OTK58" s="179"/>
      <c r="OTL58" s="179"/>
      <c r="OTM58" s="179"/>
      <c r="OTN58" s="179"/>
      <c r="OTO58" s="179"/>
      <c r="OTP58" s="179"/>
      <c r="OTQ58" s="179"/>
      <c r="OTR58" s="179"/>
      <c r="OTS58" s="179"/>
      <c r="OTT58" s="179"/>
      <c r="OTU58" s="179"/>
      <c r="OTV58" s="179"/>
      <c r="OTW58" s="179"/>
      <c r="OTX58" s="179"/>
      <c r="OTY58" s="179"/>
      <c r="OTZ58" s="179"/>
      <c r="OUA58" s="179"/>
      <c r="OUB58" s="179"/>
      <c r="OUC58" s="179"/>
      <c r="OUD58" s="179"/>
      <c r="OUE58" s="179"/>
      <c r="OUF58" s="179"/>
      <c r="OUG58" s="179"/>
      <c r="OUH58" s="179"/>
      <c r="OUI58" s="179"/>
      <c r="OUJ58" s="179"/>
      <c r="OUK58" s="179"/>
      <c r="OUL58" s="179"/>
      <c r="OUM58" s="179"/>
      <c r="OUN58" s="179"/>
      <c r="OUO58" s="179"/>
      <c r="OUP58" s="179"/>
      <c r="OUQ58" s="179"/>
      <c r="OUR58" s="179"/>
      <c r="OUS58" s="179"/>
      <c r="OUT58" s="179"/>
      <c r="OUU58" s="179"/>
      <c r="OUV58" s="179"/>
      <c r="OUW58" s="179"/>
      <c r="OUX58" s="179"/>
      <c r="OUY58" s="179"/>
      <c r="OUZ58" s="179"/>
      <c r="OVA58" s="179"/>
      <c r="OVB58" s="179"/>
      <c r="OVC58" s="179"/>
      <c r="OVD58" s="179"/>
      <c r="OVE58" s="179"/>
      <c r="OVF58" s="179"/>
      <c r="OVG58" s="179"/>
      <c r="OVH58" s="179"/>
      <c r="OVI58" s="179"/>
      <c r="OVJ58" s="179"/>
      <c r="OVK58" s="179"/>
      <c r="OVL58" s="179"/>
      <c r="OVM58" s="179"/>
      <c r="OVN58" s="179"/>
      <c r="OVO58" s="179"/>
      <c r="OVP58" s="179"/>
      <c r="OVQ58" s="179"/>
      <c r="OVR58" s="179"/>
      <c r="OVS58" s="179"/>
      <c r="OVT58" s="179"/>
      <c r="OVU58" s="179"/>
      <c r="OVV58" s="179"/>
      <c r="OVW58" s="179"/>
      <c r="OVX58" s="179"/>
      <c r="OVY58" s="179"/>
      <c r="OVZ58" s="179"/>
      <c r="OWA58" s="179"/>
      <c r="OWB58" s="179"/>
      <c r="OWC58" s="179"/>
      <c r="OWD58" s="179"/>
      <c r="OWE58" s="179"/>
      <c r="OWF58" s="179"/>
      <c r="OWG58" s="179"/>
      <c r="OWH58" s="179"/>
      <c r="OWI58" s="179"/>
      <c r="OWJ58" s="179"/>
      <c r="OWK58" s="179"/>
      <c r="OWL58" s="179"/>
      <c r="OWM58" s="179"/>
      <c r="OWN58" s="179"/>
      <c r="OWO58" s="179"/>
      <c r="OWP58" s="179"/>
      <c r="OWQ58" s="179"/>
      <c r="OWR58" s="179"/>
      <c r="OWS58" s="179"/>
      <c r="OWT58" s="179"/>
      <c r="OWU58" s="179"/>
      <c r="OWV58" s="179"/>
      <c r="OWW58" s="179"/>
      <c r="OWX58" s="179"/>
      <c r="OWY58" s="179"/>
      <c r="OWZ58" s="179"/>
      <c r="OXA58" s="179"/>
      <c r="OXB58" s="179"/>
      <c r="OXC58" s="179"/>
      <c r="OXD58" s="179"/>
      <c r="OXE58" s="179"/>
      <c r="OXF58" s="179"/>
      <c r="OXG58" s="179"/>
      <c r="OXH58" s="179"/>
      <c r="OXI58" s="179"/>
      <c r="OXJ58" s="179"/>
      <c r="OXK58" s="179"/>
      <c r="OXL58" s="179"/>
      <c r="OXM58" s="179"/>
      <c r="OXN58" s="179"/>
      <c r="OXO58" s="179"/>
      <c r="OXP58" s="179"/>
      <c r="OXQ58" s="179"/>
      <c r="OXR58" s="179"/>
      <c r="OXS58" s="179"/>
      <c r="OXT58" s="179"/>
      <c r="OXU58" s="179"/>
      <c r="OXV58" s="179"/>
      <c r="OXW58" s="179"/>
      <c r="OXX58" s="179"/>
      <c r="OXY58" s="179"/>
      <c r="OXZ58" s="179"/>
      <c r="OYA58" s="179"/>
      <c r="OYB58" s="179"/>
      <c r="OYC58" s="179"/>
      <c r="OYD58" s="179"/>
      <c r="OYE58" s="179"/>
      <c r="OYF58" s="179"/>
      <c r="OYG58" s="179"/>
      <c r="OYH58" s="179"/>
      <c r="OYI58" s="179"/>
      <c r="OYJ58" s="179"/>
      <c r="OYK58" s="179"/>
      <c r="OYL58" s="179"/>
      <c r="OYM58" s="179"/>
      <c r="OYN58" s="179"/>
      <c r="OYO58" s="179"/>
      <c r="OYP58" s="179"/>
      <c r="OYQ58" s="179"/>
      <c r="OYR58" s="179"/>
      <c r="OYS58" s="179"/>
      <c r="OYT58" s="179"/>
      <c r="OYU58" s="179"/>
      <c r="OYV58" s="179"/>
      <c r="OYW58" s="179"/>
      <c r="OYX58" s="179"/>
      <c r="OYY58" s="179"/>
      <c r="OYZ58" s="179"/>
      <c r="OZA58" s="179"/>
      <c r="OZB58" s="179"/>
      <c r="OZC58" s="179"/>
      <c r="OZD58" s="179"/>
      <c r="OZE58" s="179"/>
      <c r="OZF58" s="179"/>
      <c r="OZG58" s="179"/>
      <c r="OZH58" s="179"/>
      <c r="OZI58" s="179"/>
      <c r="OZJ58" s="179"/>
      <c r="OZK58" s="179"/>
      <c r="OZL58" s="179"/>
      <c r="OZM58" s="179"/>
      <c r="OZN58" s="179"/>
      <c r="OZO58" s="179"/>
      <c r="OZP58" s="179"/>
      <c r="OZQ58" s="179"/>
      <c r="OZR58" s="179"/>
      <c r="OZS58" s="179"/>
      <c r="OZT58" s="179"/>
      <c r="OZU58" s="179"/>
      <c r="OZV58" s="179"/>
      <c r="OZW58" s="179"/>
      <c r="OZX58" s="179"/>
      <c r="OZY58" s="179"/>
      <c r="OZZ58" s="179"/>
      <c r="PAA58" s="179"/>
      <c r="PAB58" s="179"/>
      <c r="PAC58" s="179"/>
      <c r="PAD58" s="179"/>
      <c r="PAE58" s="179"/>
      <c r="PAF58" s="179"/>
      <c r="PAG58" s="179"/>
      <c r="PAH58" s="179"/>
      <c r="PAI58" s="179"/>
      <c r="PAJ58" s="179"/>
      <c r="PAK58" s="179"/>
      <c r="PAL58" s="179"/>
      <c r="PAM58" s="179"/>
      <c r="PAN58" s="179"/>
      <c r="PAO58" s="179"/>
      <c r="PAP58" s="179"/>
      <c r="PAQ58" s="179"/>
      <c r="PAR58" s="179"/>
      <c r="PAS58" s="179"/>
      <c r="PAT58" s="179"/>
      <c r="PAU58" s="179"/>
      <c r="PAV58" s="179"/>
      <c r="PAW58" s="179"/>
      <c r="PAX58" s="179"/>
      <c r="PAY58" s="179"/>
      <c r="PAZ58" s="179"/>
      <c r="PBA58" s="179"/>
      <c r="PBB58" s="179"/>
      <c r="PBC58" s="179"/>
      <c r="PBD58" s="179"/>
      <c r="PBE58" s="179"/>
      <c r="PBF58" s="179"/>
      <c r="PBG58" s="179"/>
      <c r="PBH58" s="179"/>
      <c r="PBI58" s="179"/>
      <c r="PBJ58" s="179"/>
      <c r="PBK58" s="179"/>
      <c r="PBL58" s="179"/>
      <c r="PBM58" s="179"/>
      <c r="PBN58" s="179"/>
      <c r="PBO58" s="179"/>
      <c r="PBP58" s="179"/>
      <c r="PBQ58" s="179"/>
      <c r="PBR58" s="179"/>
      <c r="PBS58" s="179"/>
      <c r="PBT58" s="179"/>
      <c r="PBU58" s="179"/>
      <c r="PBV58" s="179"/>
      <c r="PBW58" s="179"/>
      <c r="PBX58" s="179"/>
      <c r="PBY58" s="179"/>
      <c r="PBZ58" s="179"/>
      <c r="PCA58" s="179"/>
      <c r="PCB58" s="179"/>
      <c r="PCC58" s="179"/>
      <c r="PCD58" s="179"/>
      <c r="PCE58" s="179"/>
      <c r="PCF58" s="179"/>
      <c r="PCG58" s="179"/>
      <c r="PCH58" s="179"/>
      <c r="PCI58" s="179"/>
      <c r="PCJ58" s="179"/>
      <c r="PCK58" s="179"/>
      <c r="PCL58" s="179"/>
      <c r="PCM58" s="179"/>
      <c r="PCN58" s="179"/>
      <c r="PCO58" s="179"/>
      <c r="PCP58" s="179"/>
      <c r="PCQ58" s="179"/>
      <c r="PCR58" s="179"/>
      <c r="PCS58" s="179"/>
      <c r="PCT58" s="179"/>
      <c r="PCU58" s="179"/>
      <c r="PCV58" s="179"/>
      <c r="PCW58" s="179"/>
      <c r="PCX58" s="179"/>
      <c r="PCY58" s="179"/>
      <c r="PCZ58" s="179"/>
      <c r="PDA58" s="179"/>
      <c r="PDB58" s="179"/>
      <c r="PDC58" s="179"/>
      <c r="PDD58" s="179"/>
      <c r="PDE58" s="179"/>
      <c r="PDF58" s="179"/>
      <c r="PDG58" s="179"/>
      <c r="PDH58" s="179"/>
      <c r="PDI58" s="179"/>
      <c r="PDJ58" s="179"/>
      <c r="PDK58" s="179"/>
      <c r="PDL58" s="179"/>
      <c r="PDM58" s="179"/>
      <c r="PDN58" s="179"/>
      <c r="PDO58" s="179"/>
      <c r="PDP58" s="179"/>
      <c r="PDQ58" s="179"/>
      <c r="PDR58" s="179"/>
      <c r="PDS58" s="179"/>
      <c r="PDT58" s="179"/>
      <c r="PDU58" s="179"/>
      <c r="PDV58" s="179"/>
      <c r="PDW58" s="179"/>
      <c r="PDX58" s="179"/>
      <c r="PDY58" s="179"/>
      <c r="PDZ58" s="179"/>
      <c r="PEA58" s="179"/>
      <c r="PEB58" s="179"/>
      <c r="PEC58" s="179"/>
      <c r="PED58" s="179"/>
      <c r="PEE58" s="179"/>
      <c r="PEF58" s="179"/>
      <c r="PEG58" s="179"/>
      <c r="PEH58" s="179"/>
      <c r="PEI58" s="179"/>
      <c r="PEJ58" s="179"/>
      <c r="PEK58" s="179"/>
      <c r="PEL58" s="179"/>
      <c r="PEM58" s="179"/>
      <c r="PEN58" s="179"/>
      <c r="PEO58" s="179"/>
      <c r="PEP58" s="179"/>
      <c r="PEQ58" s="179"/>
      <c r="PER58" s="179"/>
      <c r="PES58" s="179"/>
      <c r="PET58" s="179"/>
      <c r="PEU58" s="179"/>
      <c r="PEV58" s="179"/>
      <c r="PEW58" s="179"/>
      <c r="PEX58" s="179"/>
      <c r="PEY58" s="179"/>
      <c r="PEZ58" s="179"/>
      <c r="PFA58" s="179"/>
      <c r="PFB58" s="179"/>
      <c r="PFC58" s="179"/>
      <c r="PFD58" s="179"/>
      <c r="PFE58" s="179"/>
      <c r="PFF58" s="179"/>
      <c r="PFG58" s="179"/>
      <c r="PFH58" s="179"/>
      <c r="PFI58" s="179"/>
      <c r="PFJ58" s="179"/>
      <c r="PFK58" s="179"/>
      <c r="PFL58" s="179"/>
      <c r="PFM58" s="179"/>
      <c r="PFN58" s="179"/>
      <c r="PFO58" s="179"/>
      <c r="PFP58" s="179"/>
      <c r="PFQ58" s="179"/>
      <c r="PFR58" s="179"/>
      <c r="PFS58" s="179"/>
      <c r="PFT58" s="179"/>
      <c r="PFU58" s="179"/>
      <c r="PFV58" s="179"/>
      <c r="PFW58" s="179"/>
      <c r="PFX58" s="179"/>
      <c r="PFY58" s="179"/>
      <c r="PFZ58" s="179"/>
      <c r="PGA58" s="179"/>
      <c r="PGB58" s="179"/>
      <c r="PGC58" s="179"/>
      <c r="PGD58" s="179"/>
      <c r="PGE58" s="179"/>
      <c r="PGF58" s="179"/>
      <c r="PGG58" s="179"/>
      <c r="PGH58" s="179"/>
      <c r="PGI58" s="179"/>
      <c r="PGJ58" s="179"/>
      <c r="PGK58" s="179"/>
      <c r="PGL58" s="179"/>
      <c r="PGM58" s="179"/>
      <c r="PGN58" s="179"/>
      <c r="PGO58" s="179"/>
      <c r="PGP58" s="179"/>
      <c r="PGQ58" s="179"/>
      <c r="PGR58" s="179"/>
      <c r="PGS58" s="179"/>
      <c r="PGT58" s="179"/>
      <c r="PGU58" s="179"/>
      <c r="PGV58" s="179"/>
      <c r="PGW58" s="179"/>
      <c r="PGX58" s="179"/>
      <c r="PGY58" s="179"/>
      <c r="PGZ58" s="179"/>
      <c r="PHA58" s="179"/>
      <c r="PHB58" s="179"/>
      <c r="PHC58" s="179"/>
      <c r="PHD58" s="179"/>
      <c r="PHE58" s="179"/>
      <c r="PHF58" s="179"/>
      <c r="PHG58" s="179"/>
      <c r="PHH58" s="179"/>
      <c r="PHI58" s="179"/>
      <c r="PHJ58" s="179"/>
      <c r="PHK58" s="179"/>
      <c r="PHL58" s="179"/>
      <c r="PHM58" s="179"/>
      <c r="PHN58" s="179"/>
      <c r="PHO58" s="179"/>
      <c r="PHP58" s="179"/>
      <c r="PHQ58" s="179"/>
      <c r="PHR58" s="179"/>
      <c r="PHS58" s="179"/>
      <c r="PHT58" s="179"/>
      <c r="PHU58" s="179"/>
      <c r="PHV58" s="179"/>
      <c r="PHW58" s="179"/>
      <c r="PHX58" s="179"/>
      <c r="PHY58" s="179"/>
      <c r="PHZ58" s="179"/>
      <c r="PIA58" s="179"/>
      <c r="PIB58" s="179"/>
      <c r="PIC58" s="179"/>
      <c r="PID58" s="179"/>
      <c r="PIE58" s="179"/>
      <c r="PIF58" s="179"/>
      <c r="PIG58" s="179"/>
      <c r="PIH58" s="179"/>
      <c r="PII58" s="179"/>
      <c r="PIJ58" s="179"/>
      <c r="PIK58" s="179"/>
      <c r="PIL58" s="179"/>
      <c r="PIM58" s="179"/>
      <c r="PIN58" s="179"/>
      <c r="PIO58" s="179"/>
      <c r="PIP58" s="179"/>
      <c r="PIQ58" s="179"/>
      <c r="PIR58" s="179"/>
      <c r="PIS58" s="179"/>
      <c r="PIT58" s="179"/>
      <c r="PIU58" s="179"/>
      <c r="PIV58" s="179"/>
      <c r="PIW58" s="179"/>
      <c r="PIX58" s="179"/>
      <c r="PIY58" s="179"/>
      <c r="PIZ58" s="179"/>
      <c r="PJA58" s="179"/>
      <c r="PJB58" s="179"/>
      <c r="PJC58" s="179"/>
      <c r="PJD58" s="179"/>
      <c r="PJE58" s="179"/>
      <c r="PJF58" s="179"/>
      <c r="PJG58" s="179"/>
      <c r="PJH58" s="179"/>
      <c r="PJI58" s="179"/>
      <c r="PJJ58" s="179"/>
      <c r="PJK58" s="179"/>
      <c r="PJL58" s="179"/>
      <c r="PJM58" s="179"/>
      <c r="PJN58" s="179"/>
      <c r="PJO58" s="179"/>
      <c r="PJP58" s="179"/>
      <c r="PJQ58" s="179"/>
      <c r="PJR58" s="179"/>
      <c r="PJS58" s="179"/>
      <c r="PJT58" s="179"/>
      <c r="PJU58" s="179"/>
      <c r="PJV58" s="179"/>
      <c r="PJW58" s="179"/>
      <c r="PJX58" s="179"/>
      <c r="PJY58" s="179"/>
      <c r="PJZ58" s="179"/>
      <c r="PKA58" s="179"/>
      <c r="PKB58" s="179"/>
      <c r="PKC58" s="179"/>
      <c r="PKD58" s="179"/>
      <c r="PKE58" s="179"/>
      <c r="PKF58" s="179"/>
      <c r="PKG58" s="179"/>
      <c r="PKH58" s="179"/>
      <c r="PKI58" s="179"/>
      <c r="PKJ58" s="179"/>
      <c r="PKK58" s="179"/>
      <c r="PKL58" s="179"/>
      <c r="PKM58" s="179"/>
      <c r="PKN58" s="179"/>
      <c r="PKO58" s="179"/>
      <c r="PKP58" s="179"/>
      <c r="PKQ58" s="179"/>
      <c r="PKR58" s="179"/>
      <c r="PKS58" s="179"/>
      <c r="PKT58" s="179"/>
      <c r="PKU58" s="179"/>
      <c r="PKV58" s="179"/>
      <c r="PKW58" s="179"/>
      <c r="PKX58" s="179"/>
      <c r="PKY58" s="179"/>
      <c r="PKZ58" s="179"/>
      <c r="PLA58" s="179"/>
      <c r="PLB58" s="179"/>
      <c r="PLC58" s="179"/>
      <c r="PLD58" s="179"/>
      <c r="PLE58" s="179"/>
      <c r="PLF58" s="179"/>
      <c r="PLG58" s="179"/>
      <c r="PLH58" s="179"/>
      <c r="PLI58" s="179"/>
      <c r="PLJ58" s="179"/>
      <c r="PLK58" s="179"/>
      <c r="PLL58" s="179"/>
      <c r="PLM58" s="179"/>
      <c r="PLN58" s="179"/>
      <c r="PLO58" s="179"/>
      <c r="PLP58" s="179"/>
      <c r="PLQ58" s="179"/>
      <c r="PLR58" s="179"/>
      <c r="PLS58" s="179"/>
      <c r="PLT58" s="179"/>
      <c r="PLU58" s="179"/>
      <c r="PLV58" s="179"/>
      <c r="PLW58" s="179"/>
      <c r="PLX58" s="179"/>
      <c r="PLY58" s="179"/>
      <c r="PLZ58" s="179"/>
      <c r="PMA58" s="179"/>
      <c r="PMB58" s="179"/>
      <c r="PMC58" s="179"/>
      <c r="PMD58" s="179"/>
      <c r="PME58" s="179"/>
      <c r="PMF58" s="179"/>
      <c r="PMG58" s="179"/>
      <c r="PMH58" s="179"/>
      <c r="PMI58" s="179"/>
      <c r="PMJ58" s="179"/>
      <c r="PMK58" s="179"/>
      <c r="PML58" s="179"/>
      <c r="PMM58" s="179"/>
      <c r="PMN58" s="179"/>
      <c r="PMO58" s="179"/>
      <c r="PMP58" s="179"/>
      <c r="PMQ58" s="179"/>
      <c r="PMR58" s="179"/>
      <c r="PMS58" s="179"/>
      <c r="PMT58" s="179"/>
      <c r="PMU58" s="179"/>
      <c r="PMV58" s="179"/>
      <c r="PMW58" s="179"/>
      <c r="PMX58" s="179"/>
      <c r="PMY58" s="179"/>
      <c r="PMZ58" s="179"/>
      <c r="PNA58" s="179"/>
      <c r="PNB58" s="179"/>
      <c r="PNC58" s="179"/>
      <c r="PND58" s="179"/>
      <c r="PNE58" s="179"/>
      <c r="PNF58" s="179"/>
      <c r="PNG58" s="179"/>
      <c r="PNH58" s="179"/>
      <c r="PNI58" s="179"/>
      <c r="PNJ58" s="179"/>
      <c r="PNK58" s="179"/>
      <c r="PNL58" s="179"/>
      <c r="PNM58" s="179"/>
      <c r="PNN58" s="179"/>
      <c r="PNO58" s="179"/>
      <c r="PNP58" s="179"/>
      <c r="PNQ58" s="179"/>
      <c r="PNR58" s="179"/>
      <c r="PNS58" s="179"/>
      <c r="PNT58" s="179"/>
      <c r="PNU58" s="179"/>
      <c r="PNV58" s="179"/>
      <c r="PNW58" s="179"/>
      <c r="PNX58" s="179"/>
      <c r="PNY58" s="179"/>
      <c r="PNZ58" s="179"/>
      <c r="POA58" s="179"/>
      <c r="POB58" s="179"/>
      <c r="POC58" s="179"/>
      <c r="POD58" s="179"/>
      <c r="POE58" s="179"/>
      <c r="POF58" s="179"/>
      <c r="POG58" s="179"/>
      <c r="POH58" s="179"/>
      <c r="POI58" s="179"/>
      <c r="POJ58" s="179"/>
      <c r="POK58" s="179"/>
      <c r="POL58" s="179"/>
      <c r="POM58" s="179"/>
      <c r="PON58" s="179"/>
      <c r="POO58" s="179"/>
      <c r="POP58" s="179"/>
      <c r="POQ58" s="179"/>
      <c r="POR58" s="179"/>
      <c r="POS58" s="179"/>
      <c r="POT58" s="179"/>
      <c r="POU58" s="179"/>
      <c r="POV58" s="179"/>
      <c r="POW58" s="179"/>
      <c r="POX58" s="179"/>
      <c r="POY58" s="179"/>
      <c r="POZ58" s="179"/>
      <c r="PPA58" s="179"/>
      <c r="PPB58" s="179"/>
      <c r="PPC58" s="179"/>
      <c r="PPD58" s="179"/>
      <c r="PPE58" s="179"/>
      <c r="PPF58" s="179"/>
      <c r="PPG58" s="179"/>
      <c r="PPH58" s="179"/>
      <c r="PPI58" s="179"/>
      <c r="PPJ58" s="179"/>
      <c r="PPK58" s="179"/>
      <c r="PPL58" s="179"/>
      <c r="PPM58" s="179"/>
      <c r="PPN58" s="179"/>
      <c r="PPO58" s="179"/>
      <c r="PPP58" s="179"/>
      <c r="PPQ58" s="179"/>
      <c r="PPR58" s="179"/>
      <c r="PPS58" s="179"/>
      <c r="PPT58" s="179"/>
      <c r="PPU58" s="179"/>
      <c r="PPV58" s="179"/>
      <c r="PPW58" s="179"/>
      <c r="PPX58" s="179"/>
      <c r="PPY58" s="179"/>
      <c r="PPZ58" s="179"/>
      <c r="PQA58" s="179"/>
      <c r="PQB58" s="179"/>
      <c r="PQC58" s="179"/>
      <c r="PQD58" s="179"/>
      <c r="PQE58" s="179"/>
      <c r="PQF58" s="179"/>
      <c r="PQG58" s="179"/>
      <c r="PQH58" s="179"/>
      <c r="PQI58" s="179"/>
      <c r="PQJ58" s="179"/>
      <c r="PQK58" s="179"/>
      <c r="PQL58" s="179"/>
      <c r="PQM58" s="179"/>
      <c r="PQN58" s="179"/>
      <c r="PQO58" s="179"/>
      <c r="PQP58" s="179"/>
      <c r="PQQ58" s="179"/>
      <c r="PQR58" s="179"/>
      <c r="PQS58" s="179"/>
      <c r="PQT58" s="179"/>
      <c r="PQU58" s="179"/>
      <c r="PQV58" s="179"/>
      <c r="PQW58" s="179"/>
      <c r="PQX58" s="179"/>
      <c r="PQY58" s="179"/>
      <c r="PQZ58" s="179"/>
      <c r="PRA58" s="179"/>
      <c r="PRB58" s="179"/>
      <c r="PRC58" s="179"/>
      <c r="PRD58" s="179"/>
      <c r="PRE58" s="179"/>
      <c r="PRF58" s="179"/>
      <c r="PRG58" s="179"/>
      <c r="PRH58" s="179"/>
      <c r="PRI58" s="179"/>
      <c r="PRJ58" s="179"/>
      <c r="PRK58" s="179"/>
      <c r="PRL58" s="179"/>
      <c r="PRM58" s="179"/>
      <c r="PRN58" s="179"/>
      <c r="PRO58" s="179"/>
      <c r="PRP58" s="179"/>
      <c r="PRQ58" s="179"/>
      <c r="PRR58" s="179"/>
      <c r="PRS58" s="179"/>
      <c r="PRT58" s="179"/>
      <c r="PRU58" s="179"/>
      <c r="PRV58" s="179"/>
      <c r="PRW58" s="179"/>
      <c r="PRX58" s="179"/>
      <c r="PRY58" s="179"/>
      <c r="PRZ58" s="179"/>
      <c r="PSA58" s="179"/>
      <c r="PSB58" s="179"/>
      <c r="PSC58" s="179"/>
      <c r="PSD58" s="179"/>
      <c r="PSE58" s="179"/>
      <c r="PSF58" s="179"/>
      <c r="PSG58" s="179"/>
      <c r="PSH58" s="179"/>
      <c r="PSI58" s="179"/>
      <c r="PSJ58" s="179"/>
      <c r="PSK58" s="179"/>
      <c r="PSL58" s="179"/>
      <c r="PSM58" s="179"/>
      <c r="PSN58" s="179"/>
      <c r="PSO58" s="179"/>
      <c r="PSP58" s="179"/>
      <c r="PSQ58" s="179"/>
      <c r="PSR58" s="179"/>
      <c r="PSS58" s="179"/>
      <c r="PST58" s="179"/>
      <c r="PSU58" s="179"/>
      <c r="PSV58" s="179"/>
      <c r="PSW58" s="179"/>
      <c r="PSX58" s="179"/>
      <c r="PSY58" s="179"/>
      <c r="PSZ58" s="179"/>
      <c r="PTA58" s="179"/>
      <c r="PTB58" s="179"/>
      <c r="PTC58" s="179"/>
      <c r="PTD58" s="179"/>
      <c r="PTE58" s="179"/>
      <c r="PTF58" s="179"/>
      <c r="PTG58" s="179"/>
      <c r="PTH58" s="179"/>
      <c r="PTI58" s="179"/>
      <c r="PTJ58" s="179"/>
      <c r="PTK58" s="179"/>
      <c r="PTL58" s="179"/>
      <c r="PTM58" s="179"/>
      <c r="PTN58" s="179"/>
      <c r="PTO58" s="179"/>
      <c r="PTP58" s="179"/>
      <c r="PTQ58" s="179"/>
      <c r="PTR58" s="179"/>
      <c r="PTS58" s="179"/>
      <c r="PTT58" s="179"/>
      <c r="PTU58" s="179"/>
      <c r="PTV58" s="179"/>
      <c r="PTW58" s="179"/>
      <c r="PTX58" s="179"/>
      <c r="PTY58" s="179"/>
      <c r="PTZ58" s="179"/>
      <c r="PUA58" s="179"/>
      <c r="PUB58" s="179"/>
      <c r="PUC58" s="179"/>
      <c r="PUD58" s="179"/>
      <c r="PUE58" s="179"/>
      <c r="PUF58" s="179"/>
      <c r="PUG58" s="179"/>
      <c r="PUH58" s="179"/>
      <c r="PUI58" s="179"/>
      <c r="PUJ58" s="179"/>
      <c r="PUK58" s="179"/>
      <c r="PUL58" s="179"/>
      <c r="PUM58" s="179"/>
      <c r="PUN58" s="179"/>
      <c r="PUO58" s="179"/>
      <c r="PUP58" s="179"/>
      <c r="PUQ58" s="179"/>
      <c r="PUR58" s="179"/>
      <c r="PUS58" s="179"/>
      <c r="PUT58" s="179"/>
      <c r="PUU58" s="179"/>
      <c r="PUV58" s="179"/>
      <c r="PUW58" s="179"/>
      <c r="PUX58" s="179"/>
      <c r="PUY58" s="179"/>
      <c r="PUZ58" s="179"/>
      <c r="PVA58" s="179"/>
      <c r="PVB58" s="179"/>
      <c r="PVC58" s="179"/>
      <c r="PVD58" s="179"/>
      <c r="PVE58" s="179"/>
      <c r="PVF58" s="179"/>
      <c r="PVG58" s="179"/>
      <c r="PVH58" s="179"/>
      <c r="PVI58" s="179"/>
      <c r="PVJ58" s="179"/>
      <c r="PVK58" s="179"/>
      <c r="PVL58" s="179"/>
      <c r="PVM58" s="179"/>
      <c r="PVN58" s="179"/>
      <c r="PVO58" s="179"/>
      <c r="PVP58" s="179"/>
      <c r="PVQ58" s="179"/>
      <c r="PVR58" s="179"/>
      <c r="PVS58" s="179"/>
      <c r="PVT58" s="179"/>
      <c r="PVU58" s="179"/>
      <c r="PVV58" s="179"/>
      <c r="PVW58" s="179"/>
      <c r="PVX58" s="179"/>
      <c r="PVY58" s="179"/>
      <c r="PVZ58" s="179"/>
      <c r="PWA58" s="179"/>
      <c r="PWB58" s="179"/>
      <c r="PWC58" s="179"/>
      <c r="PWD58" s="179"/>
      <c r="PWE58" s="179"/>
      <c r="PWF58" s="179"/>
      <c r="PWG58" s="179"/>
      <c r="PWH58" s="179"/>
      <c r="PWI58" s="179"/>
      <c r="PWJ58" s="179"/>
      <c r="PWK58" s="179"/>
      <c r="PWL58" s="179"/>
      <c r="PWM58" s="179"/>
      <c r="PWN58" s="179"/>
      <c r="PWO58" s="179"/>
      <c r="PWP58" s="179"/>
      <c r="PWQ58" s="179"/>
      <c r="PWR58" s="179"/>
      <c r="PWS58" s="179"/>
      <c r="PWT58" s="179"/>
      <c r="PWU58" s="179"/>
      <c r="PWV58" s="179"/>
      <c r="PWW58" s="179"/>
      <c r="PWX58" s="179"/>
      <c r="PWY58" s="179"/>
      <c r="PWZ58" s="179"/>
      <c r="PXA58" s="179"/>
      <c r="PXB58" s="179"/>
      <c r="PXC58" s="179"/>
      <c r="PXD58" s="179"/>
      <c r="PXE58" s="179"/>
      <c r="PXF58" s="179"/>
      <c r="PXG58" s="179"/>
      <c r="PXH58" s="179"/>
      <c r="PXI58" s="179"/>
      <c r="PXJ58" s="179"/>
      <c r="PXK58" s="179"/>
      <c r="PXL58" s="179"/>
      <c r="PXM58" s="179"/>
      <c r="PXN58" s="179"/>
      <c r="PXO58" s="179"/>
      <c r="PXP58" s="179"/>
      <c r="PXQ58" s="179"/>
      <c r="PXR58" s="179"/>
      <c r="PXS58" s="179"/>
      <c r="PXT58" s="179"/>
      <c r="PXU58" s="179"/>
      <c r="PXV58" s="179"/>
      <c r="PXW58" s="179"/>
      <c r="PXX58" s="179"/>
      <c r="PXY58" s="179"/>
      <c r="PXZ58" s="179"/>
      <c r="PYA58" s="179"/>
      <c r="PYB58" s="179"/>
      <c r="PYC58" s="179"/>
      <c r="PYD58" s="179"/>
      <c r="PYE58" s="179"/>
      <c r="PYF58" s="179"/>
      <c r="PYG58" s="179"/>
      <c r="PYH58" s="179"/>
      <c r="PYI58" s="179"/>
      <c r="PYJ58" s="179"/>
      <c r="PYK58" s="179"/>
      <c r="PYL58" s="179"/>
      <c r="PYM58" s="179"/>
      <c r="PYN58" s="179"/>
      <c r="PYO58" s="179"/>
      <c r="PYP58" s="179"/>
      <c r="PYQ58" s="179"/>
      <c r="PYR58" s="179"/>
      <c r="PYS58" s="179"/>
      <c r="PYT58" s="179"/>
      <c r="PYU58" s="179"/>
      <c r="PYV58" s="179"/>
      <c r="PYW58" s="179"/>
      <c r="PYX58" s="179"/>
      <c r="PYY58" s="179"/>
      <c r="PYZ58" s="179"/>
      <c r="PZA58" s="179"/>
      <c r="PZB58" s="179"/>
      <c r="PZC58" s="179"/>
      <c r="PZD58" s="179"/>
      <c r="PZE58" s="179"/>
      <c r="PZF58" s="179"/>
      <c r="PZG58" s="179"/>
      <c r="PZH58" s="179"/>
      <c r="PZI58" s="179"/>
      <c r="PZJ58" s="179"/>
      <c r="PZK58" s="179"/>
      <c r="PZL58" s="179"/>
      <c r="PZM58" s="179"/>
      <c r="PZN58" s="179"/>
      <c r="PZO58" s="179"/>
      <c r="PZP58" s="179"/>
      <c r="PZQ58" s="179"/>
      <c r="PZR58" s="179"/>
      <c r="PZS58" s="179"/>
      <c r="PZT58" s="179"/>
      <c r="PZU58" s="179"/>
      <c r="PZV58" s="179"/>
      <c r="PZW58" s="179"/>
      <c r="PZX58" s="179"/>
      <c r="PZY58" s="179"/>
      <c r="PZZ58" s="179"/>
      <c r="QAA58" s="179"/>
      <c r="QAB58" s="179"/>
      <c r="QAC58" s="179"/>
      <c r="QAD58" s="179"/>
      <c r="QAE58" s="179"/>
      <c r="QAF58" s="179"/>
      <c r="QAG58" s="179"/>
      <c r="QAH58" s="179"/>
      <c r="QAI58" s="179"/>
      <c r="QAJ58" s="179"/>
      <c r="QAK58" s="179"/>
      <c r="QAL58" s="179"/>
      <c r="QAM58" s="179"/>
      <c r="QAN58" s="179"/>
      <c r="QAO58" s="179"/>
      <c r="QAP58" s="179"/>
      <c r="QAQ58" s="179"/>
      <c r="QAR58" s="179"/>
      <c r="QAS58" s="179"/>
      <c r="QAT58" s="179"/>
      <c r="QAU58" s="179"/>
      <c r="QAV58" s="179"/>
      <c r="QAW58" s="179"/>
      <c r="QAX58" s="179"/>
      <c r="QAY58" s="179"/>
      <c r="QAZ58" s="179"/>
      <c r="QBA58" s="179"/>
      <c r="QBB58" s="179"/>
      <c r="QBC58" s="179"/>
      <c r="QBD58" s="179"/>
      <c r="QBE58" s="179"/>
      <c r="QBF58" s="179"/>
      <c r="QBG58" s="179"/>
      <c r="QBH58" s="179"/>
      <c r="QBI58" s="179"/>
      <c r="QBJ58" s="179"/>
      <c r="QBK58" s="179"/>
      <c r="QBL58" s="179"/>
      <c r="QBM58" s="179"/>
      <c r="QBN58" s="179"/>
      <c r="QBO58" s="179"/>
      <c r="QBP58" s="179"/>
      <c r="QBQ58" s="179"/>
      <c r="QBR58" s="179"/>
      <c r="QBS58" s="179"/>
      <c r="QBT58" s="179"/>
      <c r="QBU58" s="179"/>
      <c r="QBV58" s="179"/>
      <c r="QBW58" s="179"/>
      <c r="QBX58" s="179"/>
      <c r="QBY58" s="179"/>
      <c r="QBZ58" s="179"/>
      <c r="QCA58" s="179"/>
      <c r="QCB58" s="179"/>
      <c r="QCC58" s="179"/>
      <c r="QCD58" s="179"/>
      <c r="QCE58" s="179"/>
      <c r="QCF58" s="179"/>
      <c r="QCG58" s="179"/>
      <c r="QCH58" s="179"/>
      <c r="QCI58" s="179"/>
      <c r="QCJ58" s="179"/>
      <c r="QCK58" s="179"/>
      <c r="QCL58" s="179"/>
      <c r="QCM58" s="179"/>
      <c r="QCN58" s="179"/>
      <c r="QCO58" s="179"/>
      <c r="QCP58" s="179"/>
      <c r="QCQ58" s="179"/>
      <c r="QCR58" s="179"/>
      <c r="QCS58" s="179"/>
      <c r="QCT58" s="179"/>
      <c r="QCU58" s="179"/>
      <c r="QCV58" s="179"/>
      <c r="QCW58" s="179"/>
      <c r="QCX58" s="179"/>
      <c r="QCY58" s="179"/>
      <c r="QCZ58" s="179"/>
      <c r="QDA58" s="179"/>
      <c r="QDB58" s="179"/>
      <c r="QDC58" s="179"/>
      <c r="QDD58" s="179"/>
      <c r="QDE58" s="179"/>
      <c r="QDF58" s="179"/>
      <c r="QDG58" s="179"/>
      <c r="QDH58" s="179"/>
      <c r="QDI58" s="179"/>
      <c r="QDJ58" s="179"/>
      <c r="QDK58" s="179"/>
      <c r="QDL58" s="179"/>
      <c r="QDM58" s="179"/>
      <c r="QDN58" s="179"/>
      <c r="QDO58" s="179"/>
      <c r="QDP58" s="179"/>
      <c r="QDQ58" s="179"/>
      <c r="QDR58" s="179"/>
      <c r="QDS58" s="179"/>
      <c r="QDT58" s="179"/>
      <c r="QDU58" s="179"/>
      <c r="QDV58" s="179"/>
      <c r="QDW58" s="179"/>
      <c r="QDX58" s="179"/>
      <c r="QDY58" s="179"/>
      <c r="QDZ58" s="179"/>
      <c r="QEA58" s="179"/>
      <c r="QEB58" s="179"/>
      <c r="QEC58" s="179"/>
      <c r="QED58" s="179"/>
      <c r="QEE58" s="179"/>
      <c r="QEF58" s="179"/>
      <c r="QEG58" s="179"/>
      <c r="QEH58" s="179"/>
      <c r="QEI58" s="179"/>
      <c r="QEJ58" s="179"/>
      <c r="QEK58" s="179"/>
      <c r="QEL58" s="179"/>
      <c r="QEM58" s="179"/>
      <c r="QEN58" s="179"/>
      <c r="QEO58" s="179"/>
      <c r="QEP58" s="179"/>
      <c r="QEQ58" s="179"/>
      <c r="QER58" s="179"/>
      <c r="QES58" s="179"/>
      <c r="QET58" s="179"/>
      <c r="QEU58" s="179"/>
      <c r="QEV58" s="179"/>
      <c r="QEW58" s="179"/>
      <c r="QEX58" s="179"/>
      <c r="QEY58" s="179"/>
      <c r="QEZ58" s="179"/>
      <c r="QFA58" s="179"/>
      <c r="QFB58" s="179"/>
      <c r="QFC58" s="179"/>
      <c r="QFD58" s="179"/>
      <c r="QFE58" s="179"/>
      <c r="QFF58" s="179"/>
      <c r="QFG58" s="179"/>
      <c r="QFH58" s="179"/>
      <c r="QFI58" s="179"/>
      <c r="QFJ58" s="179"/>
      <c r="QFK58" s="179"/>
      <c r="QFL58" s="179"/>
      <c r="QFM58" s="179"/>
      <c r="QFN58" s="179"/>
      <c r="QFO58" s="179"/>
      <c r="QFP58" s="179"/>
      <c r="QFQ58" s="179"/>
      <c r="QFR58" s="179"/>
      <c r="QFS58" s="179"/>
      <c r="QFT58" s="179"/>
      <c r="QFU58" s="179"/>
      <c r="QFV58" s="179"/>
      <c r="QFW58" s="179"/>
      <c r="QFX58" s="179"/>
      <c r="QFY58" s="179"/>
      <c r="QFZ58" s="179"/>
      <c r="QGA58" s="179"/>
      <c r="QGB58" s="179"/>
      <c r="QGC58" s="179"/>
      <c r="QGD58" s="179"/>
      <c r="QGE58" s="179"/>
      <c r="QGF58" s="179"/>
      <c r="QGG58" s="179"/>
      <c r="QGH58" s="179"/>
      <c r="QGI58" s="179"/>
      <c r="QGJ58" s="179"/>
      <c r="QGK58" s="179"/>
      <c r="QGL58" s="179"/>
      <c r="QGM58" s="179"/>
      <c r="QGN58" s="179"/>
      <c r="QGO58" s="179"/>
      <c r="QGP58" s="179"/>
      <c r="QGQ58" s="179"/>
      <c r="QGR58" s="179"/>
      <c r="QGS58" s="179"/>
      <c r="QGT58" s="179"/>
      <c r="QGU58" s="179"/>
      <c r="QGV58" s="179"/>
      <c r="QGW58" s="179"/>
      <c r="QGX58" s="179"/>
      <c r="QGY58" s="179"/>
      <c r="QGZ58" s="179"/>
      <c r="QHA58" s="179"/>
      <c r="QHB58" s="179"/>
      <c r="QHC58" s="179"/>
      <c r="QHD58" s="179"/>
      <c r="QHE58" s="179"/>
      <c r="QHF58" s="179"/>
      <c r="QHG58" s="179"/>
      <c r="QHH58" s="179"/>
      <c r="QHI58" s="179"/>
      <c r="QHJ58" s="179"/>
      <c r="QHK58" s="179"/>
      <c r="QHL58" s="179"/>
      <c r="QHM58" s="179"/>
      <c r="QHN58" s="179"/>
      <c r="QHO58" s="179"/>
      <c r="QHP58" s="179"/>
      <c r="QHQ58" s="179"/>
      <c r="QHR58" s="179"/>
      <c r="QHS58" s="179"/>
      <c r="QHT58" s="179"/>
      <c r="QHU58" s="179"/>
      <c r="QHV58" s="179"/>
      <c r="QHW58" s="179"/>
      <c r="QHX58" s="179"/>
      <c r="QHY58" s="179"/>
      <c r="QHZ58" s="179"/>
      <c r="QIA58" s="179"/>
      <c r="QIB58" s="179"/>
      <c r="QIC58" s="179"/>
      <c r="QID58" s="179"/>
      <c r="QIE58" s="179"/>
      <c r="QIF58" s="179"/>
      <c r="QIG58" s="179"/>
      <c r="QIH58" s="179"/>
      <c r="QII58" s="179"/>
      <c r="QIJ58" s="179"/>
      <c r="QIK58" s="179"/>
      <c r="QIL58" s="179"/>
      <c r="QIM58" s="179"/>
      <c r="QIN58" s="179"/>
      <c r="QIO58" s="179"/>
      <c r="QIP58" s="179"/>
      <c r="QIQ58" s="179"/>
      <c r="QIR58" s="179"/>
      <c r="QIS58" s="179"/>
      <c r="QIT58" s="179"/>
      <c r="QIU58" s="179"/>
      <c r="QIV58" s="179"/>
      <c r="QIW58" s="179"/>
      <c r="QIX58" s="179"/>
      <c r="QIY58" s="179"/>
      <c r="QIZ58" s="179"/>
      <c r="QJA58" s="179"/>
      <c r="QJB58" s="179"/>
      <c r="QJC58" s="179"/>
      <c r="QJD58" s="179"/>
      <c r="QJE58" s="179"/>
      <c r="QJF58" s="179"/>
      <c r="QJG58" s="179"/>
      <c r="QJH58" s="179"/>
      <c r="QJI58" s="179"/>
      <c r="QJJ58" s="179"/>
      <c r="QJK58" s="179"/>
      <c r="QJL58" s="179"/>
      <c r="QJM58" s="179"/>
      <c r="QJN58" s="179"/>
      <c r="QJO58" s="179"/>
      <c r="QJP58" s="179"/>
      <c r="QJQ58" s="179"/>
      <c r="QJR58" s="179"/>
      <c r="QJS58" s="179"/>
      <c r="QJT58" s="179"/>
      <c r="QJU58" s="179"/>
      <c r="QJV58" s="179"/>
      <c r="QJW58" s="179"/>
      <c r="QJX58" s="179"/>
      <c r="QJY58" s="179"/>
      <c r="QJZ58" s="179"/>
      <c r="QKA58" s="179"/>
      <c r="QKB58" s="179"/>
      <c r="QKC58" s="179"/>
      <c r="QKD58" s="179"/>
      <c r="QKE58" s="179"/>
      <c r="QKF58" s="179"/>
      <c r="QKG58" s="179"/>
      <c r="QKH58" s="179"/>
      <c r="QKI58" s="179"/>
      <c r="QKJ58" s="179"/>
      <c r="QKK58" s="179"/>
      <c r="QKL58" s="179"/>
      <c r="QKM58" s="179"/>
      <c r="QKN58" s="179"/>
      <c r="QKO58" s="179"/>
      <c r="QKP58" s="179"/>
      <c r="QKQ58" s="179"/>
      <c r="QKR58" s="179"/>
      <c r="QKS58" s="179"/>
      <c r="QKT58" s="179"/>
      <c r="QKU58" s="179"/>
      <c r="QKV58" s="179"/>
      <c r="QKW58" s="179"/>
      <c r="QKX58" s="179"/>
      <c r="QKY58" s="179"/>
      <c r="QKZ58" s="179"/>
      <c r="QLA58" s="179"/>
      <c r="QLB58" s="179"/>
      <c r="QLC58" s="179"/>
      <c r="QLD58" s="179"/>
      <c r="QLE58" s="179"/>
      <c r="QLF58" s="179"/>
      <c r="QLG58" s="179"/>
      <c r="QLH58" s="179"/>
      <c r="QLI58" s="179"/>
      <c r="QLJ58" s="179"/>
      <c r="QLK58" s="179"/>
      <c r="QLL58" s="179"/>
      <c r="QLM58" s="179"/>
      <c r="QLN58" s="179"/>
      <c r="QLO58" s="179"/>
      <c r="QLP58" s="179"/>
      <c r="QLQ58" s="179"/>
      <c r="QLR58" s="179"/>
      <c r="QLS58" s="179"/>
      <c r="QLT58" s="179"/>
      <c r="QLU58" s="179"/>
      <c r="QLV58" s="179"/>
      <c r="QLW58" s="179"/>
      <c r="QLX58" s="179"/>
      <c r="QLY58" s="179"/>
      <c r="QLZ58" s="179"/>
      <c r="QMA58" s="179"/>
      <c r="QMB58" s="179"/>
      <c r="QMC58" s="179"/>
      <c r="QMD58" s="179"/>
      <c r="QME58" s="179"/>
      <c r="QMF58" s="179"/>
      <c r="QMG58" s="179"/>
      <c r="QMH58" s="179"/>
      <c r="QMI58" s="179"/>
      <c r="QMJ58" s="179"/>
      <c r="QMK58" s="179"/>
      <c r="QML58" s="179"/>
      <c r="QMM58" s="179"/>
      <c r="QMN58" s="179"/>
      <c r="QMO58" s="179"/>
      <c r="QMP58" s="179"/>
      <c r="QMQ58" s="179"/>
      <c r="QMR58" s="179"/>
      <c r="QMS58" s="179"/>
      <c r="QMT58" s="179"/>
      <c r="QMU58" s="179"/>
      <c r="QMV58" s="179"/>
      <c r="QMW58" s="179"/>
      <c r="QMX58" s="179"/>
      <c r="QMY58" s="179"/>
      <c r="QMZ58" s="179"/>
      <c r="QNA58" s="179"/>
      <c r="QNB58" s="179"/>
      <c r="QNC58" s="179"/>
      <c r="QND58" s="179"/>
      <c r="QNE58" s="179"/>
      <c r="QNF58" s="179"/>
      <c r="QNG58" s="179"/>
      <c r="QNH58" s="179"/>
      <c r="QNI58" s="179"/>
      <c r="QNJ58" s="179"/>
      <c r="QNK58" s="179"/>
      <c r="QNL58" s="179"/>
      <c r="QNM58" s="179"/>
      <c r="QNN58" s="179"/>
      <c r="QNO58" s="179"/>
      <c r="QNP58" s="179"/>
      <c r="QNQ58" s="179"/>
      <c r="QNR58" s="179"/>
      <c r="QNS58" s="179"/>
      <c r="QNT58" s="179"/>
      <c r="QNU58" s="179"/>
      <c r="QNV58" s="179"/>
      <c r="QNW58" s="179"/>
      <c r="QNX58" s="179"/>
      <c r="QNY58" s="179"/>
      <c r="QNZ58" s="179"/>
      <c r="QOA58" s="179"/>
      <c r="QOB58" s="179"/>
      <c r="QOC58" s="179"/>
      <c r="QOD58" s="179"/>
      <c r="QOE58" s="179"/>
      <c r="QOF58" s="179"/>
      <c r="QOG58" s="179"/>
      <c r="QOH58" s="179"/>
      <c r="QOI58" s="179"/>
      <c r="QOJ58" s="179"/>
      <c r="QOK58" s="179"/>
      <c r="QOL58" s="179"/>
      <c r="QOM58" s="179"/>
      <c r="QON58" s="179"/>
      <c r="QOO58" s="179"/>
      <c r="QOP58" s="179"/>
      <c r="QOQ58" s="179"/>
      <c r="QOR58" s="179"/>
      <c r="QOS58" s="179"/>
      <c r="QOT58" s="179"/>
      <c r="QOU58" s="179"/>
      <c r="QOV58" s="179"/>
      <c r="QOW58" s="179"/>
      <c r="QOX58" s="179"/>
      <c r="QOY58" s="179"/>
      <c r="QOZ58" s="179"/>
      <c r="QPA58" s="179"/>
      <c r="QPB58" s="179"/>
      <c r="QPC58" s="179"/>
      <c r="QPD58" s="179"/>
      <c r="QPE58" s="179"/>
      <c r="QPF58" s="179"/>
      <c r="QPG58" s="179"/>
      <c r="QPH58" s="179"/>
      <c r="QPI58" s="179"/>
      <c r="QPJ58" s="179"/>
      <c r="QPK58" s="179"/>
      <c r="QPL58" s="179"/>
      <c r="QPM58" s="179"/>
      <c r="QPN58" s="179"/>
      <c r="QPO58" s="179"/>
      <c r="QPP58" s="179"/>
      <c r="QPQ58" s="179"/>
      <c r="QPR58" s="179"/>
      <c r="QPS58" s="179"/>
      <c r="QPT58" s="179"/>
      <c r="QPU58" s="179"/>
      <c r="QPV58" s="179"/>
      <c r="QPW58" s="179"/>
      <c r="QPX58" s="179"/>
      <c r="QPY58" s="179"/>
      <c r="QPZ58" s="179"/>
      <c r="QQA58" s="179"/>
      <c r="QQB58" s="179"/>
      <c r="QQC58" s="179"/>
      <c r="QQD58" s="179"/>
      <c r="QQE58" s="179"/>
      <c r="QQF58" s="179"/>
      <c r="QQG58" s="179"/>
      <c r="QQH58" s="179"/>
      <c r="QQI58" s="179"/>
      <c r="QQJ58" s="179"/>
      <c r="QQK58" s="179"/>
      <c r="QQL58" s="179"/>
      <c r="QQM58" s="179"/>
      <c r="QQN58" s="179"/>
      <c r="QQO58" s="179"/>
      <c r="QQP58" s="179"/>
      <c r="QQQ58" s="179"/>
      <c r="QQR58" s="179"/>
      <c r="QQS58" s="179"/>
      <c r="QQT58" s="179"/>
      <c r="QQU58" s="179"/>
      <c r="QQV58" s="179"/>
      <c r="QQW58" s="179"/>
      <c r="QQX58" s="179"/>
      <c r="QQY58" s="179"/>
      <c r="QQZ58" s="179"/>
      <c r="QRA58" s="179"/>
      <c r="QRB58" s="179"/>
      <c r="QRC58" s="179"/>
      <c r="QRD58" s="179"/>
      <c r="QRE58" s="179"/>
      <c r="QRF58" s="179"/>
      <c r="QRG58" s="179"/>
      <c r="QRH58" s="179"/>
      <c r="QRI58" s="179"/>
      <c r="QRJ58" s="179"/>
      <c r="QRK58" s="179"/>
      <c r="QRL58" s="179"/>
      <c r="QRM58" s="179"/>
      <c r="QRN58" s="179"/>
      <c r="QRO58" s="179"/>
      <c r="QRP58" s="179"/>
      <c r="QRQ58" s="179"/>
      <c r="QRR58" s="179"/>
      <c r="QRS58" s="179"/>
      <c r="QRT58" s="179"/>
      <c r="QRU58" s="179"/>
      <c r="QRV58" s="179"/>
      <c r="QRW58" s="179"/>
      <c r="QRX58" s="179"/>
      <c r="QRY58" s="179"/>
      <c r="QRZ58" s="179"/>
      <c r="QSA58" s="179"/>
      <c r="QSB58" s="179"/>
      <c r="QSC58" s="179"/>
      <c r="QSD58" s="179"/>
      <c r="QSE58" s="179"/>
      <c r="QSF58" s="179"/>
      <c r="QSG58" s="179"/>
      <c r="QSH58" s="179"/>
      <c r="QSI58" s="179"/>
      <c r="QSJ58" s="179"/>
      <c r="QSK58" s="179"/>
      <c r="QSL58" s="179"/>
      <c r="QSM58" s="179"/>
      <c r="QSN58" s="179"/>
      <c r="QSO58" s="179"/>
      <c r="QSP58" s="179"/>
      <c r="QSQ58" s="179"/>
      <c r="QSR58" s="179"/>
      <c r="QSS58" s="179"/>
      <c r="QST58" s="179"/>
      <c r="QSU58" s="179"/>
      <c r="QSV58" s="179"/>
      <c r="QSW58" s="179"/>
      <c r="QSX58" s="179"/>
      <c r="QSY58" s="179"/>
      <c r="QSZ58" s="179"/>
      <c r="QTA58" s="179"/>
      <c r="QTB58" s="179"/>
      <c r="QTC58" s="179"/>
      <c r="QTD58" s="179"/>
      <c r="QTE58" s="179"/>
      <c r="QTF58" s="179"/>
      <c r="QTG58" s="179"/>
      <c r="QTH58" s="179"/>
      <c r="QTI58" s="179"/>
      <c r="QTJ58" s="179"/>
      <c r="QTK58" s="179"/>
      <c r="QTL58" s="179"/>
      <c r="QTM58" s="179"/>
      <c r="QTN58" s="179"/>
      <c r="QTO58" s="179"/>
      <c r="QTP58" s="179"/>
      <c r="QTQ58" s="179"/>
      <c r="QTR58" s="179"/>
      <c r="QTS58" s="179"/>
      <c r="QTT58" s="179"/>
      <c r="QTU58" s="179"/>
      <c r="QTV58" s="179"/>
      <c r="QTW58" s="179"/>
      <c r="QTX58" s="179"/>
      <c r="QTY58" s="179"/>
      <c r="QTZ58" s="179"/>
      <c r="QUA58" s="179"/>
      <c r="QUB58" s="179"/>
      <c r="QUC58" s="179"/>
      <c r="QUD58" s="179"/>
      <c r="QUE58" s="179"/>
      <c r="QUF58" s="179"/>
      <c r="QUG58" s="179"/>
      <c r="QUH58" s="179"/>
      <c r="QUI58" s="179"/>
      <c r="QUJ58" s="179"/>
      <c r="QUK58" s="179"/>
      <c r="QUL58" s="179"/>
      <c r="QUM58" s="179"/>
      <c r="QUN58" s="179"/>
      <c r="QUO58" s="179"/>
      <c r="QUP58" s="179"/>
      <c r="QUQ58" s="179"/>
      <c r="QUR58" s="179"/>
      <c r="QUS58" s="179"/>
      <c r="QUT58" s="179"/>
      <c r="QUU58" s="179"/>
      <c r="QUV58" s="179"/>
      <c r="QUW58" s="179"/>
      <c r="QUX58" s="179"/>
      <c r="QUY58" s="179"/>
      <c r="QUZ58" s="179"/>
      <c r="QVA58" s="179"/>
      <c r="QVB58" s="179"/>
      <c r="QVC58" s="179"/>
      <c r="QVD58" s="179"/>
      <c r="QVE58" s="179"/>
      <c r="QVF58" s="179"/>
      <c r="QVG58" s="179"/>
      <c r="QVH58" s="179"/>
      <c r="QVI58" s="179"/>
      <c r="QVJ58" s="179"/>
      <c r="QVK58" s="179"/>
      <c r="QVL58" s="179"/>
      <c r="QVM58" s="179"/>
      <c r="QVN58" s="179"/>
      <c r="QVO58" s="179"/>
      <c r="QVP58" s="179"/>
      <c r="QVQ58" s="179"/>
      <c r="QVR58" s="179"/>
      <c r="QVS58" s="179"/>
      <c r="QVT58" s="179"/>
      <c r="QVU58" s="179"/>
      <c r="QVV58" s="179"/>
      <c r="QVW58" s="179"/>
      <c r="QVX58" s="179"/>
      <c r="QVY58" s="179"/>
      <c r="QVZ58" s="179"/>
      <c r="QWA58" s="179"/>
      <c r="QWB58" s="179"/>
      <c r="QWC58" s="179"/>
      <c r="QWD58" s="179"/>
      <c r="QWE58" s="179"/>
      <c r="QWF58" s="179"/>
      <c r="QWG58" s="179"/>
      <c r="QWH58" s="179"/>
      <c r="QWI58" s="179"/>
      <c r="QWJ58" s="179"/>
      <c r="QWK58" s="179"/>
      <c r="QWL58" s="179"/>
      <c r="QWM58" s="179"/>
      <c r="QWN58" s="179"/>
      <c r="QWO58" s="179"/>
      <c r="QWP58" s="179"/>
      <c r="QWQ58" s="179"/>
      <c r="QWR58" s="179"/>
      <c r="QWS58" s="179"/>
      <c r="QWT58" s="179"/>
      <c r="QWU58" s="179"/>
      <c r="QWV58" s="179"/>
      <c r="QWW58" s="179"/>
      <c r="QWX58" s="179"/>
      <c r="QWY58" s="179"/>
      <c r="QWZ58" s="179"/>
      <c r="QXA58" s="179"/>
      <c r="QXB58" s="179"/>
      <c r="QXC58" s="179"/>
      <c r="QXD58" s="179"/>
      <c r="QXE58" s="179"/>
      <c r="QXF58" s="179"/>
      <c r="QXG58" s="179"/>
      <c r="QXH58" s="179"/>
      <c r="QXI58" s="179"/>
      <c r="QXJ58" s="179"/>
      <c r="QXK58" s="179"/>
      <c r="QXL58" s="179"/>
      <c r="QXM58" s="179"/>
      <c r="QXN58" s="179"/>
      <c r="QXO58" s="179"/>
      <c r="QXP58" s="179"/>
      <c r="QXQ58" s="179"/>
      <c r="QXR58" s="179"/>
      <c r="QXS58" s="179"/>
      <c r="QXT58" s="179"/>
      <c r="QXU58" s="179"/>
      <c r="QXV58" s="179"/>
      <c r="QXW58" s="179"/>
      <c r="QXX58" s="179"/>
      <c r="QXY58" s="179"/>
      <c r="QXZ58" s="179"/>
      <c r="QYA58" s="179"/>
      <c r="QYB58" s="179"/>
      <c r="QYC58" s="179"/>
      <c r="QYD58" s="179"/>
      <c r="QYE58" s="179"/>
      <c r="QYF58" s="179"/>
      <c r="QYG58" s="179"/>
      <c r="QYH58" s="179"/>
      <c r="QYI58" s="179"/>
      <c r="QYJ58" s="179"/>
      <c r="QYK58" s="179"/>
      <c r="QYL58" s="179"/>
      <c r="QYM58" s="179"/>
      <c r="QYN58" s="179"/>
      <c r="QYO58" s="179"/>
      <c r="QYP58" s="179"/>
      <c r="QYQ58" s="179"/>
      <c r="QYR58" s="179"/>
      <c r="QYS58" s="179"/>
      <c r="QYT58" s="179"/>
      <c r="QYU58" s="179"/>
      <c r="QYV58" s="179"/>
      <c r="QYW58" s="179"/>
      <c r="QYX58" s="179"/>
      <c r="QYY58" s="179"/>
      <c r="QYZ58" s="179"/>
      <c r="QZA58" s="179"/>
      <c r="QZB58" s="179"/>
      <c r="QZC58" s="179"/>
      <c r="QZD58" s="179"/>
      <c r="QZE58" s="179"/>
      <c r="QZF58" s="179"/>
      <c r="QZG58" s="179"/>
      <c r="QZH58" s="179"/>
      <c r="QZI58" s="179"/>
      <c r="QZJ58" s="179"/>
      <c r="QZK58" s="179"/>
      <c r="QZL58" s="179"/>
      <c r="QZM58" s="179"/>
      <c r="QZN58" s="179"/>
      <c r="QZO58" s="179"/>
      <c r="QZP58" s="179"/>
      <c r="QZQ58" s="179"/>
      <c r="QZR58" s="179"/>
      <c r="QZS58" s="179"/>
      <c r="QZT58" s="179"/>
      <c r="QZU58" s="179"/>
      <c r="QZV58" s="179"/>
      <c r="QZW58" s="179"/>
      <c r="QZX58" s="179"/>
      <c r="QZY58" s="179"/>
      <c r="QZZ58" s="179"/>
      <c r="RAA58" s="179"/>
      <c r="RAB58" s="179"/>
      <c r="RAC58" s="179"/>
      <c r="RAD58" s="179"/>
      <c r="RAE58" s="179"/>
      <c r="RAF58" s="179"/>
      <c r="RAG58" s="179"/>
      <c r="RAH58" s="179"/>
      <c r="RAI58" s="179"/>
      <c r="RAJ58" s="179"/>
      <c r="RAK58" s="179"/>
      <c r="RAL58" s="179"/>
      <c r="RAM58" s="179"/>
      <c r="RAN58" s="179"/>
      <c r="RAO58" s="179"/>
      <c r="RAP58" s="179"/>
      <c r="RAQ58" s="179"/>
      <c r="RAR58" s="179"/>
      <c r="RAS58" s="179"/>
      <c r="RAT58" s="179"/>
      <c r="RAU58" s="179"/>
      <c r="RAV58" s="179"/>
      <c r="RAW58" s="179"/>
      <c r="RAX58" s="179"/>
      <c r="RAY58" s="179"/>
      <c r="RAZ58" s="179"/>
      <c r="RBA58" s="179"/>
      <c r="RBB58" s="179"/>
      <c r="RBC58" s="179"/>
      <c r="RBD58" s="179"/>
      <c r="RBE58" s="179"/>
      <c r="RBF58" s="179"/>
      <c r="RBG58" s="179"/>
      <c r="RBH58" s="179"/>
      <c r="RBI58" s="179"/>
      <c r="RBJ58" s="179"/>
      <c r="RBK58" s="179"/>
      <c r="RBL58" s="179"/>
      <c r="RBM58" s="179"/>
      <c r="RBN58" s="179"/>
      <c r="RBO58" s="179"/>
      <c r="RBP58" s="179"/>
      <c r="RBQ58" s="179"/>
      <c r="RBR58" s="179"/>
      <c r="RBS58" s="179"/>
      <c r="RBT58" s="179"/>
      <c r="RBU58" s="179"/>
      <c r="RBV58" s="179"/>
      <c r="RBW58" s="179"/>
      <c r="RBX58" s="179"/>
      <c r="RBY58" s="179"/>
      <c r="RBZ58" s="179"/>
      <c r="RCA58" s="179"/>
      <c r="RCB58" s="179"/>
      <c r="RCC58" s="179"/>
      <c r="RCD58" s="179"/>
      <c r="RCE58" s="179"/>
      <c r="RCF58" s="179"/>
      <c r="RCG58" s="179"/>
      <c r="RCH58" s="179"/>
      <c r="RCI58" s="179"/>
      <c r="RCJ58" s="179"/>
      <c r="RCK58" s="179"/>
      <c r="RCL58" s="179"/>
      <c r="RCM58" s="179"/>
      <c r="RCN58" s="179"/>
      <c r="RCO58" s="179"/>
      <c r="RCP58" s="179"/>
      <c r="RCQ58" s="179"/>
      <c r="RCR58" s="179"/>
      <c r="RCS58" s="179"/>
      <c r="RCT58" s="179"/>
      <c r="RCU58" s="179"/>
      <c r="RCV58" s="179"/>
      <c r="RCW58" s="179"/>
      <c r="RCX58" s="179"/>
      <c r="RCY58" s="179"/>
      <c r="RCZ58" s="179"/>
      <c r="RDA58" s="179"/>
      <c r="RDB58" s="179"/>
      <c r="RDC58" s="179"/>
      <c r="RDD58" s="179"/>
      <c r="RDE58" s="179"/>
      <c r="RDF58" s="179"/>
      <c r="RDG58" s="179"/>
      <c r="RDH58" s="179"/>
      <c r="RDI58" s="179"/>
      <c r="RDJ58" s="179"/>
      <c r="RDK58" s="179"/>
      <c r="RDL58" s="179"/>
      <c r="RDM58" s="179"/>
      <c r="RDN58" s="179"/>
      <c r="RDO58" s="179"/>
      <c r="RDP58" s="179"/>
      <c r="RDQ58" s="179"/>
      <c r="RDR58" s="179"/>
      <c r="RDS58" s="179"/>
      <c r="RDT58" s="179"/>
      <c r="RDU58" s="179"/>
      <c r="RDV58" s="179"/>
      <c r="RDW58" s="179"/>
      <c r="RDX58" s="179"/>
      <c r="RDY58" s="179"/>
      <c r="RDZ58" s="179"/>
      <c r="REA58" s="179"/>
      <c r="REB58" s="179"/>
      <c r="REC58" s="179"/>
      <c r="RED58" s="179"/>
      <c r="REE58" s="179"/>
      <c r="REF58" s="179"/>
      <c r="REG58" s="179"/>
      <c r="REH58" s="179"/>
      <c r="REI58" s="179"/>
      <c r="REJ58" s="179"/>
      <c r="REK58" s="179"/>
      <c r="REL58" s="179"/>
      <c r="REM58" s="179"/>
      <c r="REN58" s="179"/>
      <c r="REO58" s="179"/>
      <c r="REP58" s="179"/>
      <c r="REQ58" s="179"/>
      <c r="RER58" s="179"/>
      <c r="RES58" s="179"/>
      <c r="RET58" s="179"/>
      <c r="REU58" s="179"/>
      <c r="REV58" s="179"/>
      <c r="REW58" s="179"/>
      <c r="REX58" s="179"/>
      <c r="REY58" s="179"/>
      <c r="REZ58" s="179"/>
      <c r="RFA58" s="179"/>
      <c r="RFB58" s="179"/>
      <c r="RFC58" s="179"/>
      <c r="RFD58" s="179"/>
      <c r="RFE58" s="179"/>
      <c r="RFF58" s="179"/>
      <c r="RFG58" s="179"/>
      <c r="RFH58" s="179"/>
      <c r="RFI58" s="179"/>
      <c r="RFJ58" s="179"/>
      <c r="RFK58" s="179"/>
      <c r="RFL58" s="179"/>
      <c r="RFM58" s="179"/>
      <c r="RFN58" s="179"/>
      <c r="RFO58" s="179"/>
      <c r="RFP58" s="179"/>
      <c r="RFQ58" s="179"/>
      <c r="RFR58" s="179"/>
      <c r="RFS58" s="179"/>
      <c r="RFT58" s="179"/>
      <c r="RFU58" s="179"/>
      <c r="RFV58" s="179"/>
      <c r="RFW58" s="179"/>
      <c r="RFX58" s="179"/>
      <c r="RFY58" s="179"/>
      <c r="RFZ58" s="179"/>
      <c r="RGA58" s="179"/>
      <c r="RGB58" s="179"/>
      <c r="RGC58" s="179"/>
      <c r="RGD58" s="179"/>
      <c r="RGE58" s="179"/>
      <c r="RGF58" s="179"/>
      <c r="RGG58" s="179"/>
      <c r="RGH58" s="179"/>
      <c r="RGI58" s="179"/>
      <c r="RGJ58" s="179"/>
      <c r="RGK58" s="179"/>
      <c r="RGL58" s="179"/>
      <c r="RGM58" s="179"/>
      <c r="RGN58" s="179"/>
      <c r="RGO58" s="179"/>
      <c r="RGP58" s="179"/>
      <c r="RGQ58" s="179"/>
      <c r="RGR58" s="179"/>
      <c r="RGS58" s="179"/>
      <c r="RGT58" s="179"/>
      <c r="RGU58" s="179"/>
      <c r="RGV58" s="179"/>
      <c r="RGW58" s="179"/>
      <c r="RGX58" s="179"/>
      <c r="RGY58" s="179"/>
      <c r="RGZ58" s="179"/>
      <c r="RHA58" s="179"/>
      <c r="RHB58" s="179"/>
      <c r="RHC58" s="179"/>
      <c r="RHD58" s="179"/>
      <c r="RHE58" s="179"/>
      <c r="RHF58" s="179"/>
      <c r="RHG58" s="179"/>
      <c r="RHH58" s="179"/>
      <c r="RHI58" s="179"/>
      <c r="RHJ58" s="179"/>
      <c r="RHK58" s="179"/>
      <c r="RHL58" s="179"/>
      <c r="RHM58" s="179"/>
      <c r="RHN58" s="179"/>
      <c r="RHO58" s="179"/>
      <c r="RHP58" s="179"/>
      <c r="RHQ58" s="179"/>
      <c r="RHR58" s="179"/>
      <c r="RHS58" s="179"/>
      <c r="RHT58" s="179"/>
      <c r="RHU58" s="179"/>
      <c r="RHV58" s="179"/>
      <c r="RHW58" s="179"/>
      <c r="RHX58" s="179"/>
      <c r="RHY58" s="179"/>
      <c r="RHZ58" s="179"/>
      <c r="RIA58" s="179"/>
      <c r="RIB58" s="179"/>
      <c r="RIC58" s="179"/>
      <c r="RID58" s="179"/>
      <c r="RIE58" s="179"/>
      <c r="RIF58" s="179"/>
      <c r="RIG58" s="179"/>
      <c r="RIH58" s="179"/>
      <c r="RII58" s="179"/>
      <c r="RIJ58" s="179"/>
      <c r="RIK58" s="179"/>
      <c r="RIL58" s="179"/>
      <c r="RIM58" s="179"/>
      <c r="RIN58" s="179"/>
      <c r="RIO58" s="179"/>
      <c r="RIP58" s="179"/>
      <c r="RIQ58" s="179"/>
      <c r="RIR58" s="179"/>
      <c r="RIS58" s="179"/>
      <c r="RIT58" s="179"/>
      <c r="RIU58" s="179"/>
      <c r="RIV58" s="179"/>
      <c r="RIW58" s="179"/>
      <c r="RIX58" s="179"/>
      <c r="RIY58" s="179"/>
      <c r="RIZ58" s="179"/>
      <c r="RJA58" s="179"/>
      <c r="RJB58" s="179"/>
      <c r="RJC58" s="179"/>
      <c r="RJD58" s="179"/>
      <c r="RJE58" s="179"/>
      <c r="RJF58" s="179"/>
      <c r="RJG58" s="179"/>
      <c r="RJH58" s="179"/>
      <c r="RJI58" s="179"/>
      <c r="RJJ58" s="179"/>
      <c r="RJK58" s="179"/>
      <c r="RJL58" s="179"/>
      <c r="RJM58" s="179"/>
      <c r="RJN58" s="179"/>
      <c r="RJO58" s="179"/>
      <c r="RJP58" s="179"/>
      <c r="RJQ58" s="179"/>
      <c r="RJR58" s="179"/>
      <c r="RJS58" s="179"/>
      <c r="RJT58" s="179"/>
      <c r="RJU58" s="179"/>
      <c r="RJV58" s="179"/>
      <c r="RJW58" s="179"/>
      <c r="RJX58" s="179"/>
      <c r="RJY58" s="179"/>
      <c r="RJZ58" s="179"/>
      <c r="RKA58" s="179"/>
      <c r="RKB58" s="179"/>
      <c r="RKC58" s="179"/>
      <c r="RKD58" s="179"/>
      <c r="RKE58" s="179"/>
      <c r="RKF58" s="179"/>
      <c r="RKG58" s="179"/>
      <c r="RKH58" s="179"/>
      <c r="RKI58" s="179"/>
      <c r="RKJ58" s="179"/>
      <c r="RKK58" s="179"/>
      <c r="RKL58" s="179"/>
      <c r="RKM58" s="179"/>
      <c r="RKN58" s="179"/>
      <c r="RKO58" s="179"/>
      <c r="RKP58" s="179"/>
      <c r="RKQ58" s="179"/>
      <c r="RKR58" s="179"/>
      <c r="RKS58" s="179"/>
      <c r="RKT58" s="179"/>
      <c r="RKU58" s="179"/>
      <c r="RKV58" s="179"/>
      <c r="RKW58" s="179"/>
      <c r="RKX58" s="179"/>
      <c r="RKY58" s="179"/>
      <c r="RKZ58" s="179"/>
      <c r="RLA58" s="179"/>
      <c r="RLB58" s="179"/>
      <c r="RLC58" s="179"/>
      <c r="RLD58" s="179"/>
      <c r="RLE58" s="179"/>
      <c r="RLF58" s="179"/>
      <c r="RLG58" s="179"/>
      <c r="RLH58" s="179"/>
      <c r="RLI58" s="179"/>
      <c r="RLJ58" s="179"/>
      <c r="RLK58" s="179"/>
      <c r="RLL58" s="179"/>
      <c r="RLM58" s="179"/>
      <c r="RLN58" s="179"/>
      <c r="RLO58" s="179"/>
      <c r="RLP58" s="179"/>
      <c r="RLQ58" s="179"/>
      <c r="RLR58" s="179"/>
      <c r="RLS58" s="179"/>
      <c r="RLT58" s="179"/>
      <c r="RLU58" s="179"/>
      <c r="RLV58" s="179"/>
      <c r="RLW58" s="179"/>
      <c r="RLX58" s="179"/>
      <c r="RLY58" s="179"/>
      <c r="RLZ58" s="179"/>
      <c r="RMA58" s="179"/>
      <c r="RMB58" s="179"/>
      <c r="RMC58" s="179"/>
      <c r="RMD58" s="179"/>
      <c r="RME58" s="179"/>
      <c r="RMF58" s="179"/>
      <c r="RMG58" s="179"/>
      <c r="RMH58" s="179"/>
      <c r="RMI58" s="179"/>
      <c r="RMJ58" s="179"/>
      <c r="RMK58" s="179"/>
      <c r="RML58" s="179"/>
      <c r="RMM58" s="179"/>
      <c r="RMN58" s="179"/>
      <c r="RMO58" s="179"/>
      <c r="RMP58" s="179"/>
      <c r="RMQ58" s="179"/>
      <c r="RMR58" s="179"/>
      <c r="RMS58" s="179"/>
      <c r="RMT58" s="179"/>
      <c r="RMU58" s="179"/>
      <c r="RMV58" s="179"/>
      <c r="RMW58" s="179"/>
      <c r="RMX58" s="179"/>
      <c r="RMY58" s="179"/>
      <c r="RMZ58" s="179"/>
      <c r="RNA58" s="179"/>
      <c r="RNB58" s="179"/>
      <c r="RNC58" s="179"/>
      <c r="RND58" s="179"/>
      <c r="RNE58" s="179"/>
      <c r="RNF58" s="179"/>
      <c r="RNG58" s="179"/>
      <c r="RNH58" s="179"/>
      <c r="RNI58" s="179"/>
      <c r="RNJ58" s="179"/>
      <c r="RNK58" s="179"/>
      <c r="RNL58" s="179"/>
      <c r="RNM58" s="179"/>
      <c r="RNN58" s="179"/>
      <c r="RNO58" s="179"/>
      <c r="RNP58" s="179"/>
      <c r="RNQ58" s="179"/>
      <c r="RNR58" s="179"/>
      <c r="RNS58" s="179"/>
      <c r="RNT58" s="179"/>
      <c r="RNU58" s="179"/>
      <c r="RNV58" s="179"/>
      <c r="RNW58" s="179"/>
      <c r="RNX58" s="179"/>
      <c r="RNY58" s="179"/>
      <c r="RNZ58" s="179"/>
      <c r="ROA58" s="179"/>
      <c r="ROB58" s="179"/>
      <c r="ROC58" s="179"/>
      <c r="ROD58" s="179"/>
      <c r="ROE58" s="179"/>
      <c r="ROF58" s="179"/>
      <c r="ROG58" s="179"/>
      <c r="ROH58" s="179"/>
      <c r="ROI58" s="179"/>
      <c r="ROJ58" s="179"/>
      <c r="ROK58" s="179"/>
      <c r="ROL58" s="179"/>
      <c r="ROM58" s="179"/>
      <c r="RON58" s="179"/>
      <c r="ROO58" s="179"/>
      <c r="ROP58" s="179"/>
      <c r="ROQ58" s="179"/>
      <c r="ROR58" s="179"/>
      <c r="ROS58" s="179"/>
      <c r="ROT58" s="179"/>
      <c r="ROU58" s="179"/>
      <c r="ROV58" s="179"/>
      <c r="ROW58" s="179"/>
      <c r="ROX58" s="179"/>
      <c r="ROY58" s="179"/>
      <c r="ROZ58" s="179"/>
      <c r="RPA58" s="179"/>
      <c r="RPB58" s="179"/>
      <c r="RPC58" s="179"/>
      <c r="RPD58" s="179"/>
      <c r="RPE58" s="179"/>
      <c r="RPF58" s="179"/>
      <c r="RPG58" s="179"/>
      <c r="RPH58" s="179"/>
      <c r="RPI58" s="179"/>
      <c r="RPJ58" s="179"/>
      <c r="RPK58" s="179"/>
      <c r="RPL58" s="179"/>
      <c r="RPM58" s="179"/>
      <c r="RPN58" s="179"/>
      <c r="RPO58" s="179"/>
      <c r="RPP58" s="179"/>
      <c r="RPQ58" s="179"/>
      <c r="RPR58" s="179"/>
      <c r="RPS58" s="179"/>
      <c r="RPT58" s="179"/>
      <c r="RPU58" s="179"/>
      <c r="RPV58" s="179"/>
      <c r="RPW58" s="179"/>
      <c r="RPX58" s="179"/>
      <c r="RPY58" s="179"/>
      <c r="RPZ58" s="179"/>
      <c r="RQA58" s="179"/>
      <c r="RQB58" s="179"/>
      <c r="RQC58" s="179"/>
      <c r="RQD58" s="179"/>
      <c r="RQE58" s="179"/>
      <c r="RQF58" s="179"/>
      <c r="RQG58" s="179"/>
      <c r="RQH58" s="179"/>
      <c r="RQI58" s="179"/>
      <c r="RQJ58" s="179"/>
      <c r="RQK58" s="179"/>
      <c r="RQL58" s="179"/>
      <c r="RQM58" s="179"/>
      <c r="RQN58" s="179"/>
      <c r="RQO58" s="179"/>
      <c r="RQP58" s="179"/>
      <c r="RQQ58" s="179"/>
      <c r="RQR58" s="179"/>
      <c r="RQS58" s="179"/>
      <c r="RQT58" s="179"/>
      <c r="RQU58" s="179"/>
      <c r="RQV58" s="179"/>
      <c r="RQW58" s="179"/>
      <c r="RQX58" s="179"/>
      <c r="RQY58" s="179"/>
      <c r="RQZ58" s="179"/>
      <c r="RRA58" s="179"/>
      <c r="RRB58" s="179"/>
      <c r="RRC58" s="179"/>
      <c r="RRD58" s="179"/>
      <c r="RRE58" s="179"/>
      <c r="RRF58" s="179"/>
      <c r="RRG58" s="179"/>
      <c r="RRH58" s="179"/>
      <c r="RRI58" s="179"/>
      <c r="RRJ58" s="179"/>
      <c r="RRK58" s="179"/>
      <c r="RRL58" s="179"/>
      <c r="RRM58" s="179"/>
      <c r="RRN58" s="179"/>
      <c r="RRO58" s="179"/>
      <c r="RRP58" s="179"/>
      <c r="RRQ58" s="179"/>
      <c r="RRR58" s="179"/>
      <c r="RRS58" s="179"/>
      <c r="RRT58" s="179"/>
      <c r="RRU58" s="179"/>
      <c r="RRV58" s="179"/>
      <c r="RRW58" s="179"/>
      <c r="RRX58" s="179"/>
      <c r="RRY58" s="179"/>
      <c r="RRZ58" s="179"/>
      <c r="RSA58" s="179"/>
      <c r="RSB58" s="179"/>
      <c r="RSC58" s="179"/>
      <c r="RSD58" s="179"/>
      <c r="RSE58" s="179"/>
      <c r="RSF58" s="179"/>
      <c r="RSG58" s="179"/>
      <c r="RSH58" s="179"/>
      <c r="RSI58" s="179"/>
      <c r="RSJ58" s="179"/>
      <c r="RSK58" s="179"/>
      <c r="RSL58" s="179"/>
      <c r="RSM58" s="179"/>
      <c r="RSN58" s="179"/>
      <c r="RSO58" s="179"/>
      <c r="RSP58" s="179"/>
      <c r="RSQ58" s="179"/>
      <c r="RSR58" s="179"/>
      <c r="RSS58" s="179"/>
      <c r="RST58" s="179"/>
      <c r="RSU58" s="179"/>
      <c r="RSV58" s="179"/>
      <c r="RSW58" s="179"/>
      <c r="RSX58" s="179"/>
      <c r="RSY58" s="179"/>
      <c r="RSZ58" s="179"/>
      <c r="RTA58" s="179"/>
      <c r="RTB58" s="179"/>
      <c r="RTC58" s="179"/>
      <c r="RTD58" s="179"/>
      <c r="RTE58" s="179"/>
      <c r="RTF58" s="179"/>
      <c r="RTG58" s="179"/>
      <c r="RTH58" s="179"/>
      <c r="RTI58" s="179"/>
      <c r="RTJ58" s="179"/>
      <c r="RTK58" s="179"/>
      <c r="RTL58" s="179"/>
      <c r="RTM58" s="179"/>
      <c r="RTN58" s="179"/>
      <c r="RTO58" s="179"/>
      <c r="RTP58" s="179"/>
      <c r="RTQ58" s="179"/>
      <c r="RTR58" s="179"/>
      <c r="RTS58" s="179"/>
      <c r="RTT58" s="179"/>
      <c r="RTU58" s="179"/>
      <c r="RTV58" s="179"/>
      <c r="RTW58" s="179"/>
      <c r="RTX58" s="179"/>
      <c r="RTY58" s="179"/>
      <c r="RTZ58" s="179"/>
      <c r="RUA58" s="179"/>
      <c r="RUB58" s="179"/>
      <c r="RUC58" s="179"/>
      <c r="RUD58" s="179"/>
      <c r="RUE58" s="179"/>
      <c r="RUF58" s="179"/>
      <c r="RUG58" s="179"/>
      <c r="RUH58" s="179"/>
      <c r="RUI58" s="179"/>
      <c r="RUJ58" s="179"/>
      <c r="RUK58" s="179"/>
      <c r="RUL58" s="179"/>
      <c r="RUM58" s="179"/>
      <c r="RUN58" s="179"/>
      <c r="RUO58" s="179"/>
      <c r="RUP58" s="179"/>
      <c r="RUQ58" s="179"/>
      <c r="RUR58" s="179"/>
      <c r="RUS58" s="179"/>
      <c r="RUT58" s="179"/>
      <c r="RUU58" s="179"/>
      <c r="RUV58" s="179"/>
      <c r="RUW58" s="179"/>
      <c r="RUX58" s="179"/>
      <c r="RUY58" s="179"/>
      <c r="RUZ58" s="179"/>
      <c r="RVA58" s="179"/>
      <c r="RVB58" s="179"/>
      <c r="RVC58" s="179"/>
      <c r="RVD58" s="179"/>
      <c r="RVE58" s="179"/>
      <c r="RVF58" s="179"/>
      <c r="RVG58" s="179"/>
      <c r="RVH58" s="179"/>
      <c r="RVI58" s="179"/>
      <c r="RVJ58" s="179"/>
      <c r="RVK58" s="179"/>
      <c r="RVL58" s="179"/>
      <c r="RVM58" s="179"/>
      <c r="RVN58" s="179"/>
      <c r="RVO58" s="179"/>
      <c r="RVP58" s="179"/>
      <c r="RVQ58" s="179"/>
      <c r="RVR58" s="179"/>
      <c r="RVS58" s="179"/>
      <c r="RVT58" s="179"/>
      <c r="RVU58" s="179"/>
      <c r="RVV58" s="179"/>
      <c r="RVW58" s="179"/>
      <c r="RVX58" s="179"/>
      <c r="RVY58" s="179"/>
      <c r="RVZ58" s="179"/>
      <c r="RWA58" s="179"/>
      <c r="RWB58" s="179"/>
      <c r="RWC58" s="179"/>
      <c r="RWD58" s="179"/>
      <c r="RWE58" s="179"/>
      <c r="RWF58" s="179"/>
      <c r="RWG58" s="179"/>
      <c r="RWH58" s="179"/>
      <c r="RWI58" s="179"/>
      <c r="RWJ58" s="179"/>
      <c r="RWK58" s="179"/>
      <c r="RWL58" s="179"/>
      <c r="RWM58" s="179"/>
      <c r="RWN58" s="179"/>
      <c r="RWO58" s="179"/>
      <c r="RWP58" s="179"/>
      <c r="RWQ58" s="179"/>
      <c r="RWR58" s="179"/>
      <c r="RWS58" s="179"/>
      <c r="RWT58" s="179"/>
      <c r="RWU58" s="179"/>
      <c r="RWV58" s="179"/>
      <c r="RWW58" s="179"/>
      <c r="RWX58" s="179"/>
      <c r="RWY58" s="179"/>
      <c r="RWZ58" s="179"/>
      <c r="RXA58" s="179"/>
      <c r="RXB58" s="179"/>
      <c r="RXC58" s="179"/>
      <c r="RXD58" s="179"/>
      <c r="RXE58" s="179"/>
      <c r="RXF58" s="179"/>
      <c r="RXG58" s="179"/>
      <c r="RXH58" s="179"/>
      <c r="RXI58" s="179"/>
      <c r="RXJ58" s="179"/>
      <c r="RXK58" s="179"/>
      <c r="RXL58" s="179"/>
      <c r="RXM58" s="179"/>
      <c r="RXN58" s="179"/>
      <c r="RXO58" s="179"/>
      <c r="RXP58" s="179"/>
      <c r="RXQ58" s="179"/>
      <c r="RXR58" s="179"/>
      <c r="RXS58" s="179"/>
      <c r="RXT58" s="179"/>
      <c r="RXU58" s="179"/>
      <c r="RXV58" s="179"/>
      <c r="RXW58" s="179"/>
      <c r="RXX58" s="179"/>
      <c r="RXY58" s="179"/>
      <c r="RXZ58" s="179"/>
      <c r="RYA58" s="179"/>
      <c r="RYB58" s="179"/>
      <c r="RYC58" s="179"/>
      <c r="RYD58" s="179"/>
      <c r="RYE58" s="179"/>
      <c r="RYF58" s="179"/>
      <c r="RYG58" s="179"/>
      <c r="RYH58" s="179"/>
      <c r="RYI58" s="179"/>
      <c r="RYJ58" s="179"/>
      <c r="RYK58" s="179"/>
      <c r="RYL58" s="179"/>
      <c r="RYM58" s="179"/>
      <c r="RYN58" s="179"/>
      <c r="RYO58" s="179"/>
      <c r="RYP58" s="179"/>
      <c r="RYQ58" s="179"/>
      <c r="RYR58" s="179"/>
      <c r="RYS58" s="179"/>
      <c r="RYT58" s="179"/>
      <c r="RYU58" s="179"/>
      <c r="RYV58" s="179"/>
      <c r="RYW58" s="179"/>
      <c r="RYX58" s="179"/>
      <c r="RYY58" s="179"/>
      <c r="RYZ58" s="179"/>
      <c r="RZA58" s="179"/>
      <c r="RZB58" s="179"/>
      <c r="RZC58" s="179"/>
      <c r="RZD58" s="179"/>
      <c r="RZE58" s="179"/>
      <c r="RZF58" s="179"/>
      <c r="RZG58" s="179"/>
      <c r="RZH58" s="179"/>
      <c r="RZI58" s="179"/>
      <c r="RZJ58" s="179"/>
      <c r="RZK58" s="179"/>
      <c r="RZL58" s="179"/>
      <c r="RZM58" s="179"/>
      <c r="RZN58" s="179"/>
      <c r="RZO58" s="179"/>
      <c r="RZP58" s="179"/>
      <c r="RZQ58" s="179"/>
      <c r="RZR58" s="179"/>
      <c r="RZS58" s="179"/>
      <c r="RZT58" s="179"/>
      <c r="RZU58" s="179"/>
      <c r="RZV58" s="179"/>
      <c r="RZW58" s="179"/>
      <c r="RZX58" s="179"/>
      <c r="RZY58" s="179"/>
      <c r="RZZ58" s="179"/>
      <c r="SAA58" s="179"/>
      <c r="SAB58" s="179"/>
      <c r="SAC58" s="179"/>
      <c r="SAD58" s="179"/>
      <c r="SAE58" s="179"/>
      <c r="SAF58" s="179"/>
      <c r="SAG58" s="179"/>
      <c r="SAH58" s="179"/>
      <c r="SAI58" s="179"/>
      <c r="SAJ58" s="179"/>
      <c r="SAK58" s="179"/>
      <c r="SAL58" s="179"/>
      <c r="SAM58" s="179"/>
      <c r="SAN58" s="179"/>
      <c r="SAO58" s="179"/>
      <c r="SAP58" s="179"/>
      <c r="SAQ58" s="179"/>
      <c r="SAR58" s="179"/>
      <c r="SAS58" s="179"/>
      <c r="SAT58" s="179"/>
      <c r="SAU58" s="179"/>
      <c r="SAV58" s="179"/>
      <c r="SAW58" s="179"/>
      <c r="SAX58" s="179"/>
      <c r="SAY58" s="179"/>
      <c r="SAZ58" s="179"/>
      <c r="SBA58" s="179"/>
      <c r="SBB58" s="179"/>
      <c r="SBC58" s="179"/>
      <c r="SBD58" s="179"/>
      <c r="SBE58" s="179"/>
      <c r="SBF58" s="179"/>
      <c r="SBG58" s="179"/>
      <c r="SBH58" s="179"/>
      <c r="SBI58" s="179"/>
      <c r="SBJ58" s="179"/>
      <c r="SBK58" s="179"/>
      <c r="SBL58" s="179"/>
      <c r="SBM58" s="179"/>
      <c r="SBN58" s="179"/>
      <c r="SBO58" s="179"/>
      <c r="SBP58" s="179"/>
      <c r="SBQ58" s="179"/>
      <c r="SBR58" s="179"/>
      <c r="SBS58" s="179"/>
      <c r="SBT58" s="179"/>
      <c r="SBU58" s="179"/>
      <c r="SBV58" s="179"/>
      <c r="SBW58" s="179"/>
      <c r="SBX58" s="179"/>
      <c r="SBY58" s="179"/>
      <c r="SBZ58" s="179"/>
      <c r="SCA58" s="179"/>
      <c r="SCB58" s="179"/>
      <c r="SCC58" s="179"/>
      <c r="SCD58" s="179"/>
      <c r="SCE58" s="179"/>
      <c r="SCF58" s="179"/>
      <c r="SCG58" s="179"/>
      <c r="SCH58" s="179"/>
      <c r="SCI58" s="179"/>
      <c r="SCJ58" s="179"/>
      <c r="SCK58" s="179"/>
      <c r="SCL58" s="179"/>
      <c r="SCM58" s="179"/>
      <c r="SCN58" s="179"/>
      <c r="SCO58" s="179"/>
      <c r="SCP58" s="179"/>
      <c r="SCQ58" s="179"/>
      <c r="SCR58" s="179"/>
      <c r="SCS58" s="179"/>
      <c r="SCT58" s="179"/>
      <c r="SCU58" s="179"/>
      <c r="SCV58" s="179"/>
      <c r="SCW58" s="179"/>
      <c r="SCX58" s="179"/>
      <c r="SCY58" s="179"/>
      <c r="SCZ58" s="179"/>
      <c r="SDA58" s="179"/>
      <c r="SDB58" s="179"/>
      <c r="SDC58" s="179"/>
      <c r="SDD58" s="179"/>
      <c r="SDE58" s="179"/>
      <c r="SDF58" s="179"/>
      <c r="SDG58" s="179"/>
      <c r="SDH58" s="179"/>
      <c r="SDI58" s="179"/>
      <c r="SDJ58" s="179"/>
      <c r="SDK58" s="179"/>
      <c r="SDL58" s="179"/>
      <c r="SDM58" s="179"/>
      <c r="SDN58" s="179"/>
      <c r="SDO58" s="179"/>
      <c r="SDP58" s="179"/>
      <c r="SDQ58" s="179"/>
      <c r="SDR58" s="179"/>
      <c r="SDS58" s="179"/>
      <c r="SDT58" s="179"/>
      <c r="SDU58" s="179"/>
      <c r="SDV58" s="179"/>
      <c r="SDW58" s="179"/>
      <c r="SDX58" s="179"/>
      <c r="SDY58" s="179"/>
      <c r="SDZ58" s="179"/>
      <c r="SEA58" s="179"/>
      <c r="SEB58" s="179"/>
      <c r="SEC58" s="179"/>
      <c r="SED58" s="179"/>
      <c r="SEE58" s="179"/>
      <c r="SEF58" s="179"/>
      <c r="SEG58" s="179"/>
      <c r="SEH58" s="179"/>
      <c r="SEI58" s="179"/>
      <c r="SEJ58" s="179"/>
      <c r="SEK58" s="179"/>
      <c r="SEL58" s="179"/>
      <c r="SEM58" s="179"/>
      <c r="SEN58" s="179"/>
      <c r="SEO58" s="179"/>
      <c r="SEP58" s="179"/>
      <c r="SEQ58" s="179"/>
      <c r="SER58" s="179"/>
      <c r="SES58" s="179"/>
      <c r="SET58" s="179"/>
      <c r="SEU58" s="179"/>
      <c r="SEV58" s="179"/>
      <c r="SEW58" s="179"/>
      <c r="SEX58" s="179"/>
      <c r="SEY58" s="179"/>
      <c r="SEZ58" s="179"/>
      <c r="SFA58" s="179"/>
      <c r="SFB58" s="179"/>
      <c r="SFC58" s="179"/>
      <c r="SFD58" s="179"/>
      <c r="SFE58" s="179"/>
      <c r="SFF58" s="179"/>
      <c r="SFG58" s="179"/>
      <c r="SFH58" s="179"/>
      <c r="SFI58" s="179"/>
      <c r="SFJ58" s="179"/>
      <c r="SFK58" s="179"/>
      <c r="SFL58" s="179"/>
      <c r="SFM58" s="179"/>
      <c r="SFN58" s="179"/>
      <c r="SFO58" s="179"/>
      <c r="SFP58" s="179"/>
      <c r="SFQ58" s="179"/>
      <c r="SFR58" s="179"/>
      <c r="SFS58" s="179"/>
      <c r="SFT58" s="179"/>
      <c r="SFU58" s="179"/>
      <c r="SFV58" s="179"/>
      <c r="SFW58" s="179"/>
      <c r="SFX58" s="179"/>
      <c r="SFY58" s="179"/>
      <c r="SFZ58" s="179"/>
      <c r="SGA58" s="179"/>
      <c r="SGB58" s="179"/>
      <c r="SGC58" s="179"/>
      <c r="SGD58" s="179"/>
      <c r="SGE58" s="179"/>
      <c r="SGF58" s="179"/>
      <c r="SGG58" s="179"/>
      <c r="SGH58" s="179"/>
      <c r="SGI58" s="179"/>
      <c r="SGJ58" s="179"/>
      <c r="SGK58" s="179"/>
      <c r="SGL58" s="179"/>
      <c r="SGM58" s="179"/>
      <c r="SGN58" s="179"/>
      <c r="SGO58" s="179"/>
      <c r="SGP58" s="179"/>
      <c r="SGQ58" s="179"/>
      <c r="SGR58" s="179"/>
      <c r="SGS58" s="179"/>
      <c r="SGT58" s="179"/>
      <c r="SGU58" s="179"/>
      <c r="SGV58" s="179"/>
      <c r="SGW58" s="179"/>
      <c r="SGX58" s="179"/>
      <c r="SGY58" s="179"/>
      <c r="SGZ58" s="179"/>
      <c r="SHA58" s="179"/>
      <c r="SHB58" s="179"/>
      <c r="SHC58" s="179"/>
      <c r="SHD58" s="179"/>
      <c r="SHE58" s="179"/>
      <c r="SHF58" s="179"/>
      <c r="SHG58" s="179"/>
      <c r="SHH58" s="179"/>
      <c r="SHI58" s="179"/>
      <c r="SHJ58" s="179"/>
      <c r="SHK58" s="179"/>
      <c r="SHL58" s="179"/>
      <c r="SHM58" s="179"/>
      <c r="SHN58" s="179"/>
      <c r="SHO58" s="179"/>
      <c r="SHP58" s="179"/>
      <c r="SHQ58" s="179"/>
      <c r="SHR58" s="179"/>
      <c r="SHS58" s="179"/>
      <c r="SHT58" s="179"/>
      <c r="SHU58" s="179"/>
      <c r="SHV58" s="179"/>
      <c r="SHW58" s="179"/>
      <c r="SHX58" s="179"/>
      <c r="SHY58" s="179"/>
      <c r="SHZ58" s="179"/>
      <c r="SIA58" s="179"/>
      <c r="SIB58" s="179"/>
      <c r="SIC58" s="179"/>
      <c r="SID58" s="179"/>
      <c r="SIE58" s="179"/>
      <c r="SIF58" s="179"/>
      <c r="SIG58" s="179"/>
      <c r="SIH58" s="179"/>
      <c r="SII58" s="179"/>
      <c r="SIJ58" s="179"/>
      <c r="SIK58" s="179"/>
      <c r="SIL58" s="179"/>
      <c r="SIM58" s="179"/>
      <c r="SIN58" s="179"/>
      <c r="SIO58" s="179"/>
      <c r="SIP58" s="179"/>
      <c r="SIQ58" s="179"/>
      <c r="SIR58" s="179"/>
      <c r="SIS58" s="179"/>
      <c r="SIT58" s="179"/>
      <c r="SIU58" s="179"/>
      <c r="SIV58" s="179"/>
      <c r="SIW58" s="179"/>
      <c r="SIX58" s="179"/>
      <c r="SIY58" s="179"/>
      <c r="SIZ58" s="179"/>
      <c r="SJA58" s="179"/>
      <c r="SJB58" s="179"/>
      <c r="SJC58" s="179"/>
      <c r="SJD58" s="179"/>
      <c r="SJE58" s="179"/>
      <c r="SJF58" s="179"/>
      <c r="SJG58" s="179"/>
      <c r="SJH58" s="179"/>
      <c r="SJI58" s="179"/>
      <c r="SJJ58" s="179"/>
      <c r="SJK58" s="179"/>
      <c r="SJL58" s="179"/>
      <c r="SJM58" s="179"/>
      <c r="SJN58" s="179"/>
      <c r="SJO58" s="179"/>
      <c r="SJP58" s="179"/>
      <c r="SJQ58" s="179"/>
      <c r="SJR58" s="179"/>
      <c r="SJS58" s="179"/>
      <c r="SJT58" s="179"/>
      <c r="SJU58" s="179"/>
      <c r="SJV58" s="179"/>
      <c r="SJW58" s="179"/>
      <c r="SJX58" s="179"/>
      <c r="SJY58" s="179"/>
      <c r="SJZ58" s="179"/>
      <c r="SKA58" s="179"/>
      <c r="SKB58" s="179"/>
      <c r="SKC58" s="179"/>
      <c r="SKD58" s="179"/>
      <c r="SKE58" s="179"/>
      <c r="SKF58" s="179"/>
      <c r="SKG58" s="179"/>
      <c r="SKH58" s="179"/>
      <c r="SKI58" s="179"/>
      <c r="SKJ58" s="179"/>
      <c r="SKK58" s="179"/>
      <c r="SKL58" s="179"/>
      <c r="SKM58" s="179"/>
      <c r="SKN58" s="179"/>
      <c r="SKO58" s="179"/>
      <c r="SKP58" s="179"/>
      <c r="SKQ58" s="179"/>
      <c r="SKR58" s="179"/>
      <c r="SKS58" s="179"/>
      <c r="SKT58" s="179"/>
      <c r="SKU58" s="179"/>
      <c r="SKV58" s="179"/>
      <c r="SKW58" s="179"/>
      <c r="SKX58" s="179"/>
      <c r="SKY58" s="179"/>
      <c r="SKZ58" s="179"/>
      <c r="SLA58" s="179"/>
      <c r="SLB58" s="179"/>
      <c r="SLC58" s="179"/>
      <c r="SLD58" s="179"/>
      <c r="SLE58" s="179"/>
      <c r="SLF58" s="179"/>
      <c r="SLG58" s="179"/>
      <c r="SLH58" s="179"/>
      <c r="SLI58" s="179"/>
      <c r="SLJ58" s="179"/>
      <c r="SLK58" s="179"/>
      <c r="SLL58" s="179"/>
      <c r="SLM58" s="179"/>
      <c r="SLN58" s="179"/>
      <c r="SLO58" s="179"/>
      <c r="SLP58" s="179"/>
      <c r="SLQ58" s="179"/>
      <c r="SLR58" s="179"/>
      <c r="SLS58" s="179"/>
      <c r="SLT58" s="179"/>
      <c r="SLU58" s="179"/>
      <c r="SLV58" s="179"/>
      <c r="SLW58" s="179"/>
      <c r="SLX58" s="179"/>
      <c r="SLY58" s="179"/>
      <c r="SLZ58" s="179"/>
      <c r="SMA58" s="179"/>
      <c r="SMB58" s="179"/>
      <c r="SMC58" s="179"/>
      <c r="SMD58" s="179"/>
      <c r="SME58" s="179"/>
      <c r="SMF58" s="179"/>
      <c r="SMG58" s="179"/>
      <c r="SMH58" s="179"/>
      <c r="SMI58" s="179"/>
      <c r="SMJ58" s="179"/>
      <c r="SMK58" s="179"/>
      <c r="SML58" s="179"/>
      <c r="SMM58" s="179"/>
      <c r="SMN58" s="179"/>
      <c r="SMO58" s="179"/>
      <c r="SMP58" s="179"/>
      <c r="SMQ58" s="179"/>
      <c r="SMR58" s="179"/>
      <c r="SMS58" s="179"/>
      <c r="SMT58" s="179"/>
      <c r="SMU58" s="179"/>
      <c r="SMV58" s="179"/>
      <c r="SMW58" s="179"/>
      <c r="SMX58" s="179"/>
      <c r="SMY58" s="179"/>
      <c r="SMZ58" s="179"/>
      <c r="SNA58" s="179"/>
      <c r="SNB58" s="179"/>
      <c r="SNC58" s="179"/>
      <c r="SND58" s="179"/>
      <c r="SNE58" s="179"/>
      <c r="SNF58" s="179"/>
      <c r="SNG58" s="179"/>
      <c r="SNH58" s="179"/>
      <c r="SNI58" s="179"/>
      <c r="SNJ58" s="179"/>
      <c r="SNK58" s="179"/>
      <c r="SNL58" s="179"/>
      <c r="SNM58" s="179"/>
      <c r="SNN58" s="179"/>
      <c r="SNO58" s="179"/>
      <c r="SNP58" s="179"/>
      <c r="SNQ58" s="179"/>
      <c r="SNR58" s="179"/>
      <c r="SNS58" s="179"/>
      <c r="SNT58" s="179"/>
      <c r="SNU58" s="179"/>
      <c r="SNV58" s="179"/>
      <c r="SNW58" s="179"/>
      <c r="SNX58" s="179"/>
      <c r="SNY58" s="179"/>
      <c r="SNZ58" s="179"/>
      <c r="SOA58" s="179"/>
      <c r="SOB58" s="179"/>
      <c r="SOC58" s="179"/>
      <c r="SOD58" s="179"/>
      <c r="SOE58" s="179"/>
      <c r="SOF58" s="179"/>
      <c r="SOG58" s="179"/>
      <c r="SOH58" s="179"/>
      <c r="SOI58" s="179"/>
      <c r="SOJ58" s="179"/>
      <c r="SOK58" s="179"/>
      <c r="SOL58" s="179"/>
      <c r="SOM58" s="179"/>
      <c r="SON58" s="179"/>
      <c r="SOO58" s="179"/>
      <c r="SOP58" s="179"/>
      <c r="SOQ58" s="179"/>
      <c r="SOR58" s="179"/>
      <c r="SOS58" s="179"/>
      <c r="SOT58" s="179"/>
      <c r="SOU58" s="179"/>
      <c r="SOV58" s="179"/>
      <c r="SOW58" s="179"/>
      <c r="SOX58" s="179"/>
      <c r="SOY58" s="179"/>
      <c r="SOZ58" s="179"/>
      <c r="SPA58" s="179"/>
      <c r="SPB58" s="179"/>
      <c r="SPC58" s="179"/>
      <c r="SPD58" s="179"/>
      <c r="SPE58" s="179"/>
      <c r="SPF58" s="179"/>
      <c r="SPG58" s="179"/>
      <c r="SPH58" s="179"/>
      <c r="SPI58" s="179"/>
      <c r="SPJ58" s="179"/>
      <c r="SPK58" s="179"/>
      <c r="SPL58" s="179"/>
      <c r="SPM58" s="179"/>
      <c r="SPN58" s="179"/>
      <c r="SPO58" s="179"/>
      <c r="SPP58" s="179"/>
      <c r="SPQ58" s="179"/>
      <c r="SPR58" s="179"/>
      <c r="SPS58" s="179"/>
      <c r="SPT58" s="179"/>
      <c r="SPU58" s="179"/>
      <c r="SPV58" s="179"/>
      <c r="SPW58" s="179"/>
      <c r="SPX58" s="179"/>
      <c r="SPY58" s="179"/>
      <c r="SPZ58" s="179"/>
      <c r="SQA58" s="179"/>
      <c r="SQB58" s="179"/>
      <c r="SQC58" s="179"/>
      <c r="SQD58" s="179"/>
      <c r="SQE58" s="179"/>
      <c r="SQF58" s="179"/>
      <c r="SQG58" s="179"/>
      <c r="SQH58" s="179"/>
      <c r="SQI58" s="179"/>
      <c r="SQJ58" s="179"/>
      <c r="SQK58" s="179"/>
      <c r="SQL58" s="179"/>
      <c r="SQM58" s="179"/>
      <c r="SQN58" s="179"/>
      <c r="SQO58" s="179"/>
      <c r="SQP58" s="179"/>
      <c r="SQQ58" s="179"/>
      <c r="SQR58" s="179"/>
      <c r="SQS58" s="179"/>
      <c r="SQT58" s="179"/>
      <c r="SQU58" s="179"/>
      <c r="SQV58" s="179"/>
      <c r="SQW58" s="179"/>
      <c r="SQX58" s="179"/>
      <c r="SQY58" s="179"/>
      <c r="SQZ58" s="179"/>
      <c r="SRA58" s="179"/>
      <c r="SRB58" s="179"/>
      <c r="SRC58" s="179"/>
      <c r="SRD58" s="179"/>
      <c r="SRE58" s="179"/>
      <c r="SRF58" s="179"/>
      <c r="SRG58" s="179"/>
      <c r="SRH58" s="179"/>
      <c r="SRI58" s="179"/>
      <c r="SRJ58" s="179"/>
      <c r="SRK58" s="179"/>
      <c r="SRL58" s="179"/>
      <c r="SRM58" s="179"/>
      <c r="SRN58" s="179"/>
      <c r="SRO58" s="179"/>
      <c r="SRP58" s="179"/>
      <c r="SRQ58" s="179"/>
      <c r="SRR58" s="179"/>
      <c r="SRS58" s="179"/>
      <c r="SRT58" s="179"/>
      <c r="SRU58" s="179"/>
      <c r="SRV58" s="179"/>
      <c r="SRW58" s="179"/>
      <c r="SRX58" s="179"/>
      <c r="SRY58" s="179"/>
      <c r="SRZ58" s="179"/>
      <c r="SSA58" s="179"/>
      <c r="SSB58" s="179"/>
      <c r="SSC58" s="179"/>
      <c r="SSD58" s="179"/>
      <c r="SSE58" s="179"/>
      <c r="SSF58" s="179"/>
      <c r="SSG58" s="179"/>
      <c r="SSH58" s="179"/>
      <c r="SSI58" s="179"/>
      <c r="SSJ58" s="179"/>
      <c r="SSK58" s="179"/>
      <c r="SSL58" s="179"/>
      <c r="SSM58" s="179"/>
      <c r="SSN58" s="179"/>
      <c r="SSO58" s="179"/>
      <c r="SSP58" s="179"/>
      <c r="SSQ58" s="179"/>
      <c r="SSR58" s="179"/>
      <c r="SSS58" s="179"/>
      <c r="SST58" s="179"/>
      <c r="SSU58" s="179"/>
      <c r="SSV58" s="179"/>
      <c r="SSW58" s="179"/>
      <c r="SSX58" s="179"/>
      <c r="SSY58" s="179"/>
      <c r="SSZ58" s="179"/>
      <c r="STA58" s="179"/>
      <c r="STB58" s="179"/>
      <c r="STC58" s="179"/>
      <c r="STD58" s="179"/>
      <c r="STE58" s="179"/>
      <c r="STF58" s="179"/>
      <c r="STG58" s="179"/>
      <c r="STH58" s="179"/>
      <c r="STI58" s="179"/>
      <c r="STJ58" s="179"/>
      <c r="STK58" s="179"/>
      <c r="STL58" s="179"/>
      <c r="STM58" s="179"/>
      <c r="STN58" s="179"/>
      <c r="STO58" s="179"/>
      <c r="STP58" s="179"/>
      <c r="STQ58" s="179"/>
      <c r="STR58" s="179"/>
      <c r="STS58" s="179"/>
      <c r="STT58" s="179"/>
      <c r="STU58" s="179"/>
      <c r="STV58" s="179"/>
      <c r="STW58" s="179"/>
      <c r="STX58" s="179"/>
      <c r="STY58" s="179"/>
      <c r="STZ58" s="179"/>
      <c r="SUA58" s="179"/>
      <c r="SUB58" s="179"/>
      <c r="SUC58" s="179"/>
      <c r="SUD58" s="179"/>
      <c r="SUE58" s="179"/>
      <c r="SUF58" s="179"/>
      <c r="SUG58" s="179"/>
      <c r="SUH58" s="179"/>
      <c r="SUI58" s="179"/>
      <c r="SUJ58" s="179"/>
      <c r="SUK58" s="179"/>
      <c r="SUL58" s="179"/>
      <c r="SUM58" s="179"/>
      <c r="SUN58" s="179"/>
      <c r="SUO58" s="179"/>
      <c r="SUP58" s="179"/>
      <c r="SUQ58" s="179"/>
      <c r="SUR58" s="179"/>
      <c r="SUS58" s="179"/>
      <c r="SUT58" s="179"/>
      <c r="SUU58" s="179"/>
      <c r="SUV58" s="179"/>
      <c r="SUW58" s="179"/>
      <c r="SUX58" s="179"/>
      <c r="SUY58" s="179"/>
      <c r="SUZ58" s="179"/>
      <c r="SVA58" s="179"/>
      <c r="SVB58" s="179"/>
      <c r="SVC58" s="179"/>
      <c r="SVD58" s="179"/>
      <c r="SVE58" s="179"/>
      <c r="SVF58" s="179"/>
      <c r="SVG58" s="179"/>
      <c r="SVH58" s="179"/>
      <c r="SVI58" s="179"/>
      <c r="SVJ58" s="179"/>
      <c r="SVK58" s="179"/>
      <c r="SVL58" s="179"/>
      <c r="SVM58" s="179"/>
      <c r="SVN58" s="179"/>
      <c r="SVO58" s="179"/>
      <c r="SVP58" s="179"/>
      <c r="SVQ58" s="179"/>
      <c r="SVR58" s="179"/>
      <c r="SVS58" s="179"/>
      <c r="SVT58" s="179"/>
      <c r="SVU58" s="179"/>
      <c r="SVV58" s="179"/>
      <c r="SVW58" s="179"/>
      <c r="SVX58" s="179"/>
      <c r="SVY58" s="179"/>
      <c r="SVZ58" s="179"/>
      <c r="SWA58" s="179"/>
      <c r="SWB58" s="179"/>
      <c r="SWC58" s="179"/>
      <c r="SWD58" s="179"/>
      <c r="SWE58" s="179"/>
      <c r="SWF58" s="179"/>
      <c r="SWG58" s="179"/>
      <c r="SWH58" s="179"/>
      <c r="SWI58" s="179"/>
      <c r="SWJ58" s="179"/>
      <c r="SWK58" s="179"/>
      <c r="SWL58" s="179"/>
      <c r="SWM58" s="179"/>
      <c r="SWN58" s="179"/>
      <c r="SWO58" s="179"/>
      <c r="SWP58" s="179"/>
      <c r="SWQ58" s="179"/>
      <c r="SWR58" s="179"/>
      <c r="SWS58" s="179"/>
      <c r="SWT58" s="179"/>
      <c r="SWU58" s="179"/>
      <c r="SWV58" s="179"/>
      <c r="SWW58" s="179"/>
      <c r="SWX58" s="179"/>
      <c r="SWY58" s="179"/>
      <c r="SWZ58" s="179"/>
      <c r="SXA58" s="179"/>
      <c r="SXB58" s="179"/>
      <c r="SXC58" s="179"/>
      <c r="SXD58" s="179"/>
      <c r="SXE58" s="179"/>
      <c r="SXF58" s="179"/>
      <c r="SXG58" s="179"/>
      <c r="SXH58" s="179"/>
      <c r="SXI58" s="179"/>
      <c r="SXJ58" s="179"/>
      <c r="SXK58" s="179"/>
      <c r="SXL58" s="179"/>
      <c r="SXM58" s="179"/>
      <c r="SXN58" s="179"/>
      <c r="SXO58" s="179"/>
      <c r="SXP58" s="179"/>
      <c r="SXQ58" s="179"/>
      <c r="SXR58" s="179"/>
      <c r="SXS58" s="179"/>
      <c r="SXT58" s="179"/>
      <c r="SXU58" s="179"/>
      <c r="SXV58" s="179"/>
      <c r="SXW58" s="179"/>
      <c r="SXX58" s="179"/>
      <c r="SXY58" s="179"/>
      <c r="SXZ58" s="179"/>
      <c r="SYA58" s="179"/>
      <c r="SYB58" s="179"/>
      <c r="SYC58" s="179"/>
      <c r="SYD58" s="179"/>
      <c r="SYE58" s="179"/>
      <c r="SYF58" s="179"/>
      <c r="SYG58" s="179"/>
      <c r="SYH58" s="179"/>
      <c r="SYI58" s="179"/>
      <c r="SYJ58" s="179"/>
      <c r="SYK58" s="179"/>
      <c r="SYL58" s="179"/>
      <c r="SYM58" s="179"/>
      <c r="SYN58" s="179"/>
      <c r="SYO58" s="179"/>
      <c r="SYP58" s="179"/>
      <c r="SYQ58" s="179"/>
      <c r="SYR58" s="179"/>
      <c r="SYS58" s="179"/>
      <c r="SYT58" s="179"/>
      <c r="SYU58" s="179"/>
      <c r="SYV58" s="179"/>
      <c r="SYW58" s="179"/>
      <c r="SYX58" s="179"/>
      <c r="SYY58" s="179"/>
      <c r="SYZ58" s="179"/>
      <c r="SZA58" s="179"/>
      <c r="SZB58" s="179"/>
      <c r="SZC58" s="179"/>
      <c r="SZD58" s="179"/>
      <c r="SZE58" s="179"/>
      <c r="SZF58" s="179"/>
      <c r="SZG58" s="179"/>
      <c r="SZH58" s="179"/>
      <c r="SZI58" s="179"/>
      <c r="SZJ58" s="179"/>
      <c r="SZK58" s="179"/>
      <c r="SZL58" s="179"/>
      <c r="SZM58" s="179"/>
      <c r="SZN58" s="179"/>
      <c r="SZO58" s="179"/>
      <c r="SZP58" s="179"/>
      <c r="SZQ58" s="179"/>
      <c r="SZR58" s="179"/>
      <c r="SZS58" s="179"/>
      <c r="SZT58" s="179"/>
      <c r="SZU58" s="179"/>
      <c r="SZV58" s="179"/>
      <c r="SZW58" s="179"/>
      <c r="SZX58" s="179"/>
      <c r="SZY58" s="179"/>
      <c r="SZZ58" s="179"/>
      <c r="TAA58" s="179"/>
      <c r="TAB58" s="179"/>
      <c r="TAC58" s="179"/>
      <c r="TAD58" s="179"/>
      <c r="TAE58" s="179"/>
      <c r="TAF58" s="179"/>
      <c r="TAG58" s="179"/>
      <c r="TAH58" s="179"/>
      <c r="TAI58" s="179"/>
      <c r="TAJ58" s="179"/>
      <c r="TAK58" s="179"/>
      <c r="TAL58" s="179"/>
      <c r="TAM58" s="179"/>
      <c r="TAN58" s="179"/>
      <c r="TAO58" s="179"/>
      <c r="TAP58" s="179"/>
      <c r="TAQ58" s="179"/>
      <c r="TAR58" s="179"/>
      <c r="TAS58" s="179"/>
      <c r="TAT58" s="179"/>
      <c r="TAU58" s="179"/>
      <c r="TAV58" s="179"/>
      <c r="TAW58" s="179"/>
      <c r="TAX58" s="179"/>
      <c r="TAY58" s="179"/>
      <c r="TAZ58" s="179"/>
      <c r="TBA58" s="179"/>
      <c r="TBB58" s="179"/>
      <c r="TBC58" s="179"/>
      <c r="TBD58" s="179"/>
      <c r="TBE58" s="179"/>
      <c r="TBF58" s="179"/>
      <c r="TBG58" s="179"/>
      <c r="TBH58" s="179"/>
      <c r="TBI58" s="179"/>
      <c r="TBJ58" s="179"/>
      <c r="TBK58" s="179"/>
      <c r="TBL58" s="179"/>
      <c r="TBM58" s="179"/>
      <c r="TBN58" s="179"/>
      <c r="TBO58" s="179"/>
      <c r="TBP58" s="179"/>
      <c r="TBQ58" s="179"/>
      <c r="TBR58" s="179"/>
      <c r="TBS58" s="179"/>
      <c r="TBT58" s="179"/>
      <c r="TBU58" s="179"/>
      <c r="TBV58" s="179"/>
      <c r="TBW58" s="179"/>
      <c r="TBX58" s="179"/>
      <c r="TBY58" s="179"/>
      <c r="TBZ58" s="179"/>
      <c r="TCA58" s="179"/>
      <c r="TCB58" s="179"/>
      <c r="TCC58" s="179"/>
      <c r="TCD58" s="179"/>
      <c r="TCE58" s="179"/>
      <c r="TCF58" s="179"/>
      <c r="TCG58" s="179"/>
      <c r="TCH58" s="179"/>
      <c r="TCI58" s="179"/>
      <c r="TCJ58" s="179"/>
      <c r="TCK58" s="179"/>
      <c r="TCL58" s="179"/>
      <c r="TCM58" s="179"/>
      <c r="TCN58" s="179"/>
      <c r="TCO58" s="179"/>
      <c r="TCP58" s="179"/>
      <c r="TCQ58" s="179"/>
      <c r="TCR58" s="179"/>
      <c r="TCS58" s="179"/>
      <c r="TCT58" s="179"/>
      <c r="TCU58" s="179"/>
      <c r="TCV58" s="179"/>
      <c r="TCW58" s="179"/>
      <c r="TCX58" s="179"/>
      <c r="TCY58" s="179"/>
      <c r="TCZ58" s="179"/>
      <c r="TDA58" s="179"/>
      <c r="TDB58" s="179"/>
      <c r="TDC58" s="179"/>
      <c r="TDD58" s="179"/>
      <c r="TDE58" s="179"/>
      <c r="TDF58" s="179"/>
      <c r="TDG58" s="179"/>
      <c r="TDH58" s="179"/>
      <c r="TDI58" s="179"/>
      <c r="TDJ58" s="179"/>
      <c r="TDK58" s="179"/>
      <c r="TDL58" s="179"/>
      <c r="TDM58" s="179"/>
      <c r="TDN58" s="179"/>
      <c r="TDO58" s="179"/>
      <c r="TDP58" s="179"/>
      <c r="TDQ58" s="179"/>
      <c r="TDR58" s="179"/>
      <c r="TDS58" s="179"/>
      <c r="TDT58" s="179"/>
      <c r="TDU58" s="179"/>
      <c r="TDV58" s="179"/>
      <c r="TDW58" s="179"/>
      <c r="TDX58" s="179"/>
      <c r="TDY58" s="179"/>
      <c r="TDZ58" s="179"/>
      <c r="TEA58" s="179"/>
      <c r="TEB58" s="179"/>
      <c r="TEC58" s="179"/>
      <c r="TED58" s="179"/>
      <c r="TEE58" s="179"/>
      <c r="TEF58" s="179"/>
      <c r="TEG58" s="179"/>
      <c r="TEH58" s="179"/>
      <c r="TEI58" s="179"/>
      <c r="TEJ58" s="179"/>
      <c r="TEK58" s="179"/>
      <c r="TEL58" s="179"/>
      <c r="TEM58" s="179"/>
      <c r="TEN58" s="179"/>
      <c r="TEO58" s="179"/>
      <c r="TEP58" s="179"/>
      <c r="TEQ58" s="179"/>
      <c r="TER58" s="179"/>
      <c r="TES58" s="179"/>
      <c r="TET58" s="179"/>
      <c r="TEU58" s="179"/>
      <c r="TEV58" s="179"/>
      <c r="TEW58" s="179"/>
      <c r="TEX58" s="179"/>
      <c r="TEY58" s="179"/>
      <c r="TEZ58" s="179"/>
      <c r="TFA58" s="179"/>
      <c r="TFB58" s="179"/>
      <c r="TFC58" s="179"/>
      <c r="TFD58" s="179"/>
      <c r="TFE58" s="179"/>
      <c r="TFF58" s="179"/>
      <c r="TFG58" s="179"/>
      <c r="TFH58" s="179"/>
      <c r="TFI58" s="179"/>
      <c r="TFJ58" s="179"/>
      <c r="TFK58" s="179"/>
      <c r="TFL58" s="179"/>
      <c r="TFM58" s="179"/>
      <c r="TFN58" s="179"/>
      <c r="TFO58" s="179"/>
      <c r="TFP58" s="179"/>
      <c r="TFQ58" s="179"/>
      <c r="TFR58" s="179"/>
      <c r="TFS58" s="179"/>
      <c r="TFT58" s="179"/>
      <c r="TFU58" s="179"/>
      <c r="TFV58" s="179"/>
      <c r="TFW58" s="179"/>
      <c r="TFX58" s="179"/>
      <c r="TFY58" s="179"/>
      <c r="TFZ58" s="179"/>
      <c r="TGA58" s="179"/>
      <c r="TGB58" s="179"/>
      <c r="TGC58" s="179"/>
      <c r="TGD58" s="179"/>
      <c r="TGE58" s="179"/>
      <c r="TGF58" s="179"/>
      <c r="TGG58" s="179"/>
      <c r="TGH58" s="179"/>
      <c r="TGI58" s="179"/>
      <c r="TGJ58" s="179"/>
      <c r="TGK58" s="179"/>
      <c r="TGL58" s="179"/>
      <c r="TGM58" s="179"/>
      <c r="TGN58" s="179"/>
      <c r="TGO58" s="179"/>
      <c r="TGP58" s="179"/>
      <c r="TGQ58" s="179"/>
      <c r="TGR58" s="179"/>
      <c r="TGS58" s="179"/>
      <c r="TGT58" s="179"/>
      <c r="TGU58" s="179"/>
      <c r="TGV58" s="179"/>
      <c r="TGW58" s="179"/>
      <c r="TGX58" s="179"/>
      <c r="TGY58" s="179"/>
      <c r="TGZ58" s="179"/>
      <c r="THA58" s="179"/>
      <c r="THB58" s="179"/>
      <c r="THC58" s="179"/>
      <c r="THD58" s="179"/>
      <c r="THE58" s="179"/>
      <c r="THF58" s="179"/>
      <c r="THG58" s="179"/>
      <c r="THH58" s="179"/>
      <c r="THI58" s="179"/>
      <c r="THJ58" s="179"/>
      <c r="THK58" s="179"/>
      <c r="THL58" s="179"/>
      <c r="THM58" s="179"/>
      <c r="THN58" s="179"/>
      <c r="THO58" s="179"/>
      <c r="THP58" s="179"/>
      <c r="THQ58" s="179"/>
      <c r="THR58" s="179"/>
      <c r="THS58" s="179"/>
      <c r="THT58" s="179"/>
      <c r="THU58" s="179"/>
      <c r="THV58" s="179"/>
      <c r="THW58" s="179"/>
      <c r="THX58" s="179"/>
      <c r="THY58" s="179"/>
      <c r="THZ58" s="179"/>
      <c r="TIA58" s="179"/>
      <c r="TIB58" s="179"/>
      <c r="TIC58" s="179"/>
      <c r="TID58" s="179"/>
      <c r="TIE58" s="179"/>
      <c r="TIF58" s="179"/>
      <c r="TIG58" s="179"/>
      <c r="TIH58" s="179"/>
      <c r="TII58" s="179"/>
      <c r="TIJ58" s="179"/>
      <c r="TIK58" s="179"/>
      <c r="TIL58" s="179"/>
      <c r="TIM58" s="179"/>
      <c r="TIN58" s="179"/>
      <c r="TIO58" s="179"/>
      <c r="TIP58" s="179"/>
      <c r="TIQ58" s="179"/>
      <c r="TIR58" s="179"/>
      <c r="TIS58" s="179"/>
      <c r="TIT58" s="179"/>
      <c r="TIU58" s="179"/>
      <c r="TIV58" s="179"/>
      <c r="TIW58" s="179"/>
      <c r="TIX58" s="179"/>
      <c r="TIY58" s="179"/>
      <c r="TIZ58" s="179"/>
      <c r="TJA58" s="179"/>
      <c r="TJB58" s="179"/>
      <c r="TJC58" s="179"/>
      <c r="TJD58" s="179"/>
      <c r="TJE58" s="179"/>
      <c r="TJF58" s="179"/>
      <c r="TJG58" s="179"/>
      <c r="TJH58" s="179"/>
      <c r="TJI58" s="179"/>
      <c r="TJJ58" s="179"/>
      <c r="TJK58" s="179"/>
      <c r="TJL58" s="179"/>
      <c r="TJM58" s="179"/>
      <c r="TJN58" s="179"/>
      <c r="TJO58" s="179"/>
      <c r="TJP58" s="179"/>
      <c r="TJQ58" s="179"/>
      <c r="TJR58" s="179"/>
      <c r="TJS58" s="179"/>
      <c r="TJT58" s="179"/>
      <c r="TJU58" s="179"/>
      <c r="TJV58" s="179"/>
      <c r="TJW58" s="179"/>
      <c r="TJX58" s="179"/>
      <c r="TJY58" s="179"/>
      <c r="TJZ58" s="179"/>
      <c r="TKA58" s="179"/>
      <c r="TKB58" s="179"/>
      <c r="TKC58" s="179"/>
      <c r="TKD58" s="179"/>
      <c r="TKE58" s="179"/>
      <c r="TKF58" s="179"/>
      <c r="TKG58" s="179"/>
      <c r="TKH58" s="179"/>
      <c r="TKI58" s="179"/>
      <c r="TKJ58" s="179"/>
      <c r="TKK58" s="179"/>
      <c r="TKL58" s="179"/>
      <c r="TKM58" s="179"/>
      <c r="TKN58" s="179"/>
      <c r="TKO58" s="179"/>
      <c r="TKP58" s="179"/>
      <c r="TKQ58" s="179"/>
      <c r="TKR58" s="179"/>
      <c r="TKS58" s="179"/>
      <c r="TKT58" s="179"/>
      <c r="TKU58" s="179"/>
      <c r="TKV58" s="179"/>
      <c r="TKW58" s="179"/>
      <c r="TKX58" s="179"/>
      <c r="TKY58" s="179"/>
      <c r="TKZ58" s="179"/>
      <c r="TLA58" s="179"/>
      <c r="TLB58" s="179"/>
      <c r="TLC58" s="179"/>
      <c r="TLD58" s="179"/>
      <c r="TLE58" s="179"/>
      <c r="TLF58" s="179"/>
      <c r="TLG58" s="179"/>
      <c r="TLH58" s="179"/>
      <c r="TLI58" s="179"/>
      <c r="TLJ58" s="179"/>
      <c r="TLK58" s="179"/>
      <c r="TLL58" s="179"/>
      <c r="TLM58" s="179"/>
      <c r="TLN58" s="179"/>
      <c r="TLO58" s="179"/>
      <c r="TLP58" s="179"/>
      <c r="TLQ58" s="179"/>
      <c r="TLR58" s="179"/>
      <c r="TLS58" s="179"/>
      <c r="TLT58" s="179"/>
      <c r="TLU58" s="179"/>
      <c r="TLV58" s="179"/>
      <c r="TLW58" s="179"/>
      <c r="TLX58" s="179"/>
      <c r="TLY58" s="179"/>
      <c r="TLZ58" s="179"/>
      <c r="TMA58" s="179"/>
      <c r="TMB58" s="179"/>
      <c r="TMC58" s="179"/>
      <c r="TMD58" s="179"/>
      <c r="TME58" s="179"/>
      <c r="TMF58" s="179"/>
      <c r="TMG58" s="179"/>
      <c r="TMH58" s="179"/>
      <c r="TMI58" s="179"/>
      <c r="TMJ58" s="179"/>
      <c r="TMK58" s="179"/>
      <c r="TML58" s="179"/>
      <c r="TMM58" s="179"/>
      <c r="TMN58" s="179"/>
      <c r="TMO58" s="179"/>
      <c r="TMP58" s="179"/>
      <c r="TMQ58" s="179"/>
      <c r="TMR58" s="179"/>
      <c r="TMS58" s="179"/>
      <c r="TMT58" s="179"/>
      <c r="TMU58" s="179"/>
      <c r="TMV58" s="179"/>
      <c r="TMW58" s="179"/>
      <c r="TMX58" s="179"/>
      <c r="TMY58" s="179"/>
      <c r="TMZ58" s="179"/>
      <c r="TNA58" s="179"/>
      <c r="TNB58" s="179"/>
      <c r="TNC58" s="179"/>
      <c r="TND58" s="179"/>
      <c r="TNE58" s="179"/>
      <c r="TNF58" s="179"/>
      <c r="TNG58" s="179"/>
      <c r="TNH58" s="179"/>
      <c r="TNI58" s="179"/>
      <c r="TNJ58" s="179"/>
      <c r="TNK58" s="179"/>
      <c r="TNL58" s="179"/>
      <c r="TNM58" s="179"/>
      <c r="TNN58" s="179"/>
      <c r="TNO58" s="179"/>
      <c r="TNP58" s="179"/>
      <c r="TNQ58" s="179"/>
      <c r="TNR58" s="179"/>
      <c r="TNS58" s="179"/>
      <c r="TNT58" s="179"/>
      <c r="TNU58" s="179"/>
      <c r="TNV58" s="179"/>
      <c r="TNW58" s="179"/>
      <c r="TNX58" s="179"/>
      <c r="TNY58" s="179"/>
      <c r="TNZ58" s="179"/>
      <c r="TOA58" s="179"/>
      <c r="TOB58" s="179"/>
      <c r="TOC58" s="179"/>
      <c r="TOD58" s="179"/>
      <c r="TOE58" s="179"/>
      <c r="TOF58" s="179"/>
      <c r="TOG58" s="179"/>
      <c r="TOH58" s="179"/>
      <c r="TOI58" s="179"/>
      <c r="TOJ58" s="179"/>
      <c r="TOK58" s="179"/>
      <c r="TOL58" s="179"/>
      <c r="TOM58" s="179"/>
      <c r="TON58" s="179"/>
      <c r="TOO58" s="179"/>
      <c r="TOP58" s="179"/>
      <c r="TOQ58" s="179"/>
      <c r="TOR58" s="179"/>
      <c r="TOS58" s="179"/>
      <c r="TOT58" s="179"/>
      <c r="TOU58" s="179"/>
      <c r="TOV58" s="179"/>
      <c r="TOW58" s="179"/>
      <c r="TOX58" s="179"/>
      <c r="TOY58" s="179"/>
      <c r="TOZ58" s="179"/>
      <c r="TPA58" s="179"/>
      <c r="TPB58" s="179"/>
      <c r="TPC58" s="179"/>
      <c r="TPD58" s="179"/>
      <c r="TPE58" s="179"/>
      <c r="TPF58" s="179"/>
      <c r="TPG58" s="179"/>
      <c r="TPH58" s="179"/>
      <c r="TPI58" s="179"/>
      <c r="TPJ58" s="179"/>
      <c r="TPK58" s="179"/>
      <c r="TPL58" s="179"/>
      <c r="TPM58" s="179"/>
      <c r="TPN58" s="179"/>
      <c r="TPO58" s="179"/>
      <c r="TPP58" s="179"/>
      <c r="TPQ58" s="179"/>
      <c r="TPR58" s="179"/>
      <c r="TPS58" s="179"/>
      <c r="TPT58" s="179"/>
      <c r="TPU58" s="179"/>
      <c r="TPV58" s="179"/>
      <c r="TPW58" s="179"/>
      <c r="TPX58" s="179"/>
      <c r="TPY58" s="179"/>
      <c r="TPZ58" s="179"/>
      <c r="TQA58" s="179"/>
      <c r="TQB58" s="179"/>
      <c r="TQC58" s="179"/>
      <c r="TQD58" s="179"/>
      <c r="TQE58" s="179"/>
      <c r="TQF58" s="179"/>
      <c r="TQG58" s="179"/>
      <c r="TQH58" s="179"/>
      <c r="TQI58" s="179"/>
      <c r="TQJ58" s="179"/>
      <c r="TQK58" s="179"/>
      <c r="TQL58" s="179"/>
      <c r="TQM58" s="179"/>
      <c r="TQN58" s="179"/>
      <c r="TQO58" s="179"/>
      <c r="TQP58" s="179"/>
      <c r="TQQ58" s="179"/>
      <c r="TQR58" s="179"/>
      <c r="TQS58" s="179"/>
      <c r="TQT58" s="179"/>
      <c r="TQU58" s="179"/>
      <c r="TQV58" s="179"/>
      <c r="TQW58" s="179"/>
      <c r="TQX58" s="179"/>
      <c r="TQY58" s="179"/>
      <c r="TQZ58" s="179"/>
      <c r="TRA58" s="179"/>
      <c r="TRB58" s="179"/>
      <c r="TRC58" s="179"/>
      <c r="TRD58" s="179"/>
      <c r="TRE58" s="179"/>
      <c r="TRF58" s="179"/>
      <c r="TRG58" s="179"/>
      <c r="TRH58" s="179"/>
      <c r="TRI58" s="179"/>
      <c r="TRJ58" s="179"/>
      <c r="TRK58" s="179"/>
      <c r="TRL58" s="179"/>
      <c r="TRM58" s="179"/>
      <c r="TRN58" s="179"/>
      <c r="TRO58" s="179"/>
      <c r="TRP58" s="179"/>
      <c r="TRQ58" s="179"/>
      <c r="TRR58" s="179"/>
      <c r="TRS58" s="179"/>
      <c r="TRT58" s="179"/>
      <c r="TRU58" s="179"/>
      <c r="TRV58" s="179"/>
      <c r="TRW58" s="179"/>
      <c r="TRX58" s="179"/>
      <c r="TRY58" s="179"/>
      <c r="TRZ58" s="179"/>
      <c r="TSA58" s="179"/>
      <c r="TSB58" s="179"/>
      <c r="TSC58" s="179"/>
      <c r="TSD58" s="179"/>
      <c r="TSE58" s="179"/>
      <c r="TSF58" s="179"/>
      <c r="TSG58" s="179"/>
      <c r="TSH58" s="179"/>
      <c r="TSI58" s="179"/>
      <c r="TSJ58" s="179"/>
      <c r="TSK58" s="179"/>
      <c r="TSL58" s="179"/>
      <c r="TSM58" s="179"/>
      <c r="TSN58" s="179"/>
      <c r="TSO58" s="179"/>
      <c r="TSP58" s="179"/>
      <c r="TSQ58" s="179"/>
      <c r="TSR58" s="179"/>
      <c r="TSS58" s="179"/>
      <c r="TST58" s="179"/>
      <c r="TSU58" s="179"/>
      <c r="TSV58" s="179"/>
      <c r="TSW58" s="179"/>
      <c r="TSX58" s="179"/>
      <c r="TSY58" s="179"/>
      <c r="TSZ58" s="179"/>
      <c r="TTA58" s="179"/>
      <c r="TTB58" s="179"/>
      <c r="TTC58" s="179"/>
      <c r="TTD58" s="179"/>
      <c r="TTE58" s="179"/>
      <c r="TTF58" s="179"/>
      <c r="TTG58" s="179"/>
      <c r="TTH58" s="179"/>
      <c r="TTI58" s="179"/>
      <c r="TTJ58" s="179"/>
      <c r="TTK58" s="179"/>
      <c r="TTL58" s="179"/>
      <c r="TTM58" s="179"/>
      <c r="TTN58" s="179"/>
      <c r="TTO58" s="179"/>
      <c r="TTP58" s="179"/>
      <c r="TTQ58" s="179"/>
      <c r="TTR58" s="179"/>
      <c r="TTS58" s="179"/>
      <c r="TTT58" s="179"/>
      <c r="TTU58" s="179"/>
      <c r="TTV58" s="179"/>
      <c r="TTW58" s="179"/>
      <c r="TTX58" s="179"/>
      <c r="TTY58" s="179"/>
      <c r="TTZ58" s="179"/>
      <c r="TUA58" s="179"/>
      <c r="TUB58" s="179"/>
      <c r="TUC58" s="179"/>
      <c r="TUD58" s="179"/>
      <c r="TUE58" s="179"/>
      <c r="TUF58" s="179"/>
      <c r="TUG58" s="179"/>
      <c r="TUH58" s="179"/>
      <c r="TUI58" s="179"/>
      <c r="TUJ58" s="179"/>
      <c r="TUK58" s="179"/>
      <c r="TUL58" s="179"/>
      <c r="TUM58" s="179"/>
      <c r="TUN58" s="179"/>
      <c r="TUO58" s="179"/>
      <c r="TUP58" s="179"/>
      <c r="TUQ58" s="179"/>
      <c r="TUR58" s="179"/>
      <c r="TUS58" s="179"/>
      <c r="TUT58" s="179"/>
      <c r="TUU58" s="179"/>
      <c r="TUV58" s="179"/>
      <c r="TUW58" s="179"/>
      <c r="TUX58" s="179"/>
      <c r="TUY58" s="179"/>
      <c r="TUZ58" s="179"/>
      <c r="TVA58" s="179"/>
      <c r="TVB58" s="179"/>
      <c r="TVC58" s="179"/>
      <c r="TVD58" s="179"/>
      <c r="TVE58" s="179"/>
      <c r="TVF58" s="179"/>
      <c r="TVG58" s="179"/>
      <c r="TVH58" s="179"/>
      <c r="TVI58" s="179"/>
      <c r="TVJ58" s="179"/>
      <c r="TVK58" s="179"/>
      <c r="TVL58" s="179"/>
      <c r="TVM58" s="179"/>
      <c r="TVN58" s="179"/>
      <c r="TVO58" s="179"/>
      <c r="TVP58" s="179"/>
      <c r="TVQ58" s="179"/>
      <c r="TVR58" s="179"/>
      <c r="TVS58" s="179"/>
      <c r="TVT58" s="179"/>
      <c r="TVU58" s="179"/>
      <c r="TVV58" s="179"/>
      <c r="TVW58" s="179"/>
      <c r="TVX58" s="179"/>
      <c r="TVY58" s="179"/>
      <c r="TVZ58" s="179"/>
      <c r="TWA58" s="179"/>
      <c r="TWB58" s="179"/>
      <c r="TWC58" s="179"/>
      <c r="TWD58" s="179"/>
      <c r="TWE58" s="179"/>
      <c r="TWF58" s="179"/>
      <c r="TWG58" s="179"/>
      <c r="TWH58" s="179"/>
      <c r="TWI58" s="179"/>
      <c r="TWJ58" s="179"/>
      <c r="TWK58" s="179"/>
      <c r="TWL58" s="179"/>
      <c r="TWM58" s="179"/>
      <c r="TWN58" s="179"/>
      <c r="TWO58" s="179"/>
      <c r="TWP58" s="179"/>
      <c r="TWQ58" s="179"/>
      <c r="TWR58" s="179"/>
      <c r="TWS58" s="179"/>
      <c r="TWT58" s="179"/>
      <c r="TWU58" s="179"/>
      <c r="TWV58" s="179"/>
      <c r="TWW58" s="179"/>
      <c r="TWX58" s="179"/>
      <c r="TWY58" s="179"/>
      <c r="TWZ58" s="179"/>
      <c r="TXA58" s="179"/>
      <c r="TXB58" s="179"/>
      <c r="TXC58" s="179"/>
      <c r="TXD58" s="179"/>
      <c r="TXE58" s="179"/>
      <c r="TXF58" s="179"/>
      <c r="TXG58" s="179"/>
      <c r="TXH58" s="179"/>
      <c r="TXI58" s="179"/>
      <c r="TXJ58" s="179"/>
      <c r="TXK58" s="179"/>
      <c r="TXL58" s="179"/>
      <c r="TXM58" s="179"/>
      <c r="TXN58" s="179"/>
      <c r="TXO58" s="179"/>
      <c r="TXP58" s="179"/>
      <c r="TXQ58" s="179"/>
      <c r="TXR58" s="179"/>
      <c r="TXS58" s="179"/>
      <c r="TXT58" s="179"/>
      <c r="TXU58" s="179"/>
      <c r="TXV58" s="179"/>
      <c r="TXW58" s="179"/>
      <c r="TXX58" s="179"/>
      <c r="TXY58" s="179"/>
      <c r="TXZ58" s="179"/>
      <c r="TYA58" s="179"/>
      <c r="TYB58" s="179"/>
      <c r="TYC58" s="179"/>
      <c r="TYD58" s="179"/>
      <c r="TYE58" s="179"/>
      <c r="TYF58" s="179"/>
      <c r="TYG58" s="179"/>
      <c r="TYH58" s="179"/>
      <c r="TYI58" s="179"/>
      <c r="TYJ58" s="179"/>
      <c r="TYK58" s="179"/>
      <c r="TYL58" s="179"/>
      <c r="TYM58" s="179"/>
      <c r="TYN58" s="179"/>
      <c r="TYO58" s="179"/>
      <c r="TYP58" s="179"/>
      <c r="TYQ58" s="179"/>
      <c r="TYR58" s="179"/>
      <c r="TYS58" s="179"/>
      <c r="TYT58" s="179"/>
      <c r="TYU58" s="179"/>
      <c r="TYV58" s="179"/>
      <c r="TYW58" s="179"/>
      <c r="TYX58" s="179"/>
      <c r="TYY58" s="179"/>
      <c r="TYZ58" s="179"/>
      <c r="TZA58" s="179"/>
      <c r="TZB58" s="179"/>
      <c r="TZC58" s="179"/>
      <c r="TZD58" s="179"/>
      <c r="TZE58" s="179"/>
      <c r="TZF58" s="179"/>
      <c r="TZG58" s="179"/>
      <c r="TZH58" s="179"/>
      <c r="TZI58" s="179"/>
      <c r="TZJ58" s="179"/>
      <c r="TZK58" s="179"/>
      <c r="TZL58" s="179"/>
      <c r="TZM58" s="179"/>
      <c r="TZN58" s="179"/>
      <c r="TZO58" s="179"/>
      <c r="TZP58" s="179"/>
      <c r="TZQ58" s="179"/>
      <c r="TZR58" s="179"/>
      <c r="TZS58" s="179"/>
      <c r="TZT58" s="179"/>
      <c r="TZU58" s="179"/>
      <c r="TZV58" s="179"/>
      <c r="TZW58" s="179"/>
      <c r="TZX58" s="179"/>
      <c r="TZY58" s="179"/>
      <c r="TZZ58" s="179"/>
      <c r="UAA58" s="179"/>
      <c r="UAB58" s="179"/>
      <c r="UAC58" s="179"/>
      <c r="UAD58" s="179"/>
      <c r="UAE58" s="179"/>
      <c r="UAF58" s="179"/>
      <c r="UAG58" s="179"/>
      <c r="UAH58" s="179"/>
      <c r="UAI58" s="179"/>
      <c r="UAJ58" s="179"/>
      <c r="UAK58" s="179"/>
      <c r="UAL58" s="179"/>
      <c r="UAM58" s="179"/>
      <c r="UAN58" s="179"/>
      <c r="UAO58" s="179"/>
      <c r="UAP58" s="179"/>
      <c r="UAQ58" s="179"/>
      <c r="UAR58" s="179"/>
      <c r="UAS58" s="179"/>
      <c r="UAT58" s="179"/>
      <c r="UAU58" s="179"/>
      <c r="UAV58" s="179"/>
      <c r="UAW58" s="179"/>
      <c r="UAX58" s="179"/>
      <c r="UAY58" s="179"/>
      <c r="UAZ58" s="179"/>
      <c r="UBA58" s="179"/>
      <c r="UBB58" s="179"/>
      <c r="UBC58" s="179"/>
      <c r="UBD58" s="179"/>
      <c r="UBE58" s="179"/>
      <c r="UBF58" s="179"/>
      <c r="UBG58" s="179"/>
      <c r="UBH58" s="179"/>
      <c r="UBI58" s="179"/>
      <c r="UBJ58" s="179"/>
      <c r="UBK58" s="179"/>
      <c r="UBL58" s="179"/>
      <c r="UBM58" s="179"/>
      <c r="UBN58" s="179"/>
      <c r="UBO58" s="179"/>
      <c r="UBP58" s="179"/>
      <c r="UBQ58" s="179"/>
      <c r="UBR58" s="179"/>
      <c r="UBS58" s="179"/>
      <c r="UBT58" s="179"/>
      <c r="UBU58" s="179"/>
      <c r="UBV58" s="179"/>
      <c r="UBW58" s="179"/>
      <c r="UBX58" s="179"/>
      <c r="UBY58" s="179"/>
      <c r="UBZ58" s="179"/>
      <c r="UCA58" s="179"/>
      <c r="UCB58" s="179"/>
      <c r="UCC58" s="179"/>
      <c r="UCD58" s="179"/>
      <c r="UCE58" s="179"/>
      <c r="UCF58" s="179"/>
      <c r="UCG58" s="179"/>
      <c r="UCH58" s="179"/>
      <c r="UCI58" s="179"/>
      <c r="UCJ58" s="179"/>
      <c r="UCK58" s="179"/>
      <c r="UCL58" s="179"/>
      <c r="UCM58" s="179"/>
      <c r="UCN58" s="179"/>
      <c r="UCO58" s="179"/>
      <c r="UCP58" s="179"/>
      <c r="UCQ58" s="179"/>
      <c r="UCR58" s="179"/>
      <c r="UCS58" s="179"/>
      <c r="UCT58" s="179"/>
      <c r="UCU58" s="179"/>
      <c r="UCV58" s="179"/>
      <c r="UCW58" s="179"/>
      <c r="UCX58" s="179"/>
      <c r="UCY58" s="179"/>
      <c r="UCZ58" s="179"/>
      <c r="UDA58" s="179"/>
      <c r="UDB58" s="179"/>
      <c r="UDC58" s="179"/>
      <c r="UDD58" s="179"/>
      <c r="UDE58" s="179"/>
      <c r="UDF58" s="179"/>
      <c r="UDG58" s="179"/>
      <c r="UDH58" s="179"/>
      <c r="UDI58" s="179"/>
      <c r="UDJ58" s="179"/>
      <c r="UDK58" s="179"/>
      <c r="UDL58" s="179"/>
      <c r="UDM58" s="179"/>
      <c r="UDN58" s="179"/>
      <c r="UDO58" s="179"/>
      <c r="UDP58" s="179"/>
      <c r="UDQ58" s="179"/>
      <c r="UDR58" s="179"/>
      <c r="UDS58" s="179"/>
      <c r="UDT58" s="179"/>
      <c r="UDU58" s="179"/>
      <c r="UDV58" s="179"/>
      <c r="UDW58" s="179"/>
      <c r="UDX58" s="179"/>
      <c r="UDY58" s="179"/>
      <c r="UDZ58" s="179"/>
      <c r="UEA58" s="179"/>
      <c r="UEB58" s="179"/>
      <c r="UEC58" s="179"/>
      <c r="UED58" s="179"/>
      <c r="UEE58" s="179"/>
      <c r="UEF58" s="179"/>
      <c r="UEG58" s="179"/>
      <c r="UEH58" s="179"/>
      <c r="UEI58" s="179"/>
      <c r="UEJ58" s="179"/>
      <c r="UEK58" s="179"/>
      <c r="UEL58" s="179"/>
      <c r="UEM58" s="179"/>
      <c r="UEN58" s="179"/>
      <c r="UEO58" s="179"/>
      <c r="UEP58" s="179"/>
      <c r="UEQ58" s="179"/>
      <c r="UER58" s="179"/>
      <c r="UES58" s="179"/>
      <c r="UET58" s="179"/>
      <c r="UEU58" s="179"/>
      <c r="UEV58" s="179"/>
      <c r="UEW58" s="179"/>
      <c r="UEX58" s="179"/>
      <c r="UEY58" s="179"/>
      <c r="UEZ58" s="179"/>
      <c r="UFA58" s="179"/>
      <c r="UFB58" s="179"/>
      <c r="UFC58" s="179"/>
      <c r="UFD58" s="179"/>
      <c r="UFE58" s="179"/>
      <c r="UFF58" s="179"/>
      <c r="UFG58" s="179"/>
      <c r="UFH58" s="179"/>
      <c r="UFI58" s="179"/>
      <c r="UFJ58" s="179"/>
      <c r="UFK58" s="179"/>
      <c r="UFL58" s="179"/>
      <c r="UFM58" s="179"/>
      <c r="UFN58" s="179"/>
      <c r="UFO58" s="179"/>
      <c r="UFP58" s="179"/>
      <c r="UFQ58" s="179"/>
      <c r="UFR58" s="179"/>
      <c r="UFS58" s="179"/>
      <c r="UFT58" s="179"/>
      <c r="UFU58" s="179"/>
      <c r="UFV58" s="179"/>
      <c r="UFW58" s="179"/>
      <c r="UFX58" s="179"/>
      <c r="UFY58" s="179"/>
      <c r="UFZ58" s="179"/>
      <c r="UGA58" s="179"/>
      <c r="UGB58" s="179"/>
      <c r="UGC58" s="179"/>
      <c r="UGD58" s="179"/>
      <c r="UGE58" s="179"/>
      <c r="UGF58" s="179"/>
      <c r="UGG58" s="179"/>
      <c r="UGH58" s="179"/>
      <c r="UGI58" s="179"/>
      <c r="UGJ58" s="179"/>
      <c r="UGK58" s="179"/>
      <c r="UGL58" s="179"/>
      <c r="UGM58" s="179"/>
      <c r="UGN58" s="179"/>
      <c r="UGO58" s="179"/>
      <c r="UGP58" s="179"/>
      <c r="UGQ58" s="179"/>
      <c r="UGR58" s="179"/>
      <c r="UGS58" s="179"/>
      <c r="UGT58" s="179"/>
      <c r="UGU58" s="179"/>
      <c r="UGV58" s="179"/>
      <c r="UGW58" s="179"/>
      <c r="UGX58" s="179"/>
      <c r="UGY58" s="179"/>
      <c r="UGZ58" s="179"/>
      <c r="UHA58" s="179"/>
      <c r="UHB58" s="179"/>
      <c r="UHC58" s="179"/>
      <c r="UHD58" s="179"/>
      <c r="UHE58" s="179"/>
      <c r="UHF58" s="179"/>
      <c r="UHG58" s="179"/>
      <c r="UHH58" s="179"/>
      <c r="UHI58" s="179"/>
      <c r="UHJ58" s="179"/>
      <c r="UHK58" s="179"/>
      <c r="UHL58" s="179"/>
      <c r="UHM58" s="179"/>
      <c r="UHN58" s="179"/>
      <c r="UHO58" s="179"/>
      <c r="UHP58" s="179"/>
      <c r="UHQ58" s="179"/>
      <c r="UHR58" s="179"/>
      <c r="UHS58" s="179"/>
      <c r="UHT58" s="179"/>
      <c r="UHU58" s="179"/>
      <c r="UHV58" s="179"/>
      <c r="UHW58" s="179"/>
      <c r="UHX58" s="179"/>
      <c r="UHY58" s="179"/>
      <c r="UHZ58" s="179"/>
      <c r="UIA58" s="179"/>
      <c r="UIB58" s="179"/>
      <c r="UIC58" s="179"/>
      <c r="UID58" s="179"/>
      <c r="UIE58" s="179"/>
      <c r="UIF58" s="179"/>
      <c r="UIG58" s="179"/>
      <c r="UIH58" s="179"/>
      <c r="UII58" s="179"/>
      <c r="UIJ58" s="179"/>
      <c r="UIK58" s="179"/>
      <c r="UIL58" s="179"/>
      <c r="UIM58" s="179"/>
      <c r="UIN58" s="179"/>
      <c r="UIO58" s="179"/>
      <c r="UIP58" s="179"/>
      <c r="UIQ58" s="179"/>
      <c r="UIR58" s="179"/>
      <c r="UIS58" s="179"/>
      <c r="UIT58" s="179"/>
      <c r="UIU58" s="179"/>
      <c r="UIV58" s="179"/>
      <c r="UIW58" s="179"/>
      <c r="UIX58" s="179"/>
      <c r="UIY58" s="179"/>
      <c r="UIZ58" s="179"/>
      <c r="UJA58" s="179"/>
      <c r="UJB58" s="179"/>
      <c r="UJC58" s="179"/>
      <c r="UJD58" s="179"/>
      <c r="UJE58" s="179"/>
      <c r="UJF58" s="179"/>
      <c r="UJG58" s="179"/>
      <c r="UJH58" s="179"/>
      <c r="UJI58" s="179"/>
      <c r="UJJ58" s="179"/>
      <c r="UJK58" s="179"/>
      <c r="UJL58" s="179"/>
      <c r="UJM58" s="179"/>
      <c r="UJN58" s="179"/>
      <c r="UJO58" s="179"/>
      <c r="UJP58" s="179"/>
      <c r="UJQ58" s="179"/>
      <c r="UJR58" s="179"/>
      <c r="UJS58" s="179"/>
      <c r="UJT58" s="179"/>
      <c r="UJU58" s="179"/>
      <c r="UJV58" s="179"/>
      <c r="UJW58" s="179"/>
      <c r="UJX58" s="179"/>
      <c r="UJY58" s="179"/>
      <c r="UJZ58" s="179"/>
      <c r="UKA58" s="179"/>
      <c r="UKB58" s="179"/>
      <c r="UKC58" s="179"/>
      <c r="UKD58" s="179"/>
      <c r="UKE58" s="179"/>
      <c r="UKF58" s="179"/>
      <c r="UKG58" s="179"/>
      <c r="UKH58" s="179"/>
      <c r="UKI58" s="179"/>
      <c r="UKJ58" s="179"/>
      <c r="UKK58" s="179"/>
      <c r="UKL58" s="179"/>
      <c r="UKM58" s="179"/>
      <c r="UKN58" s="179"/>
      <c r="UKO58" s="179"/>
      <c r="UKP58" s="179"/>
      <c r="UKQ58" s="179"/>
      <c r="UKR58" s="179"/>
      <c r="UKS58" s="179"/>
      <c r="UKT58" s="179"/>
      <c r="UKU58" s="179"/>
      <c r="UKV58" s="179"/>
      <c r="UKW58" s="179"/>
      <c r="UKX58" s="179"/>
      <c r="UKY58" s="179"/>
      <c r="UKZ58" s="179"/>
      <c r="ULA58" s="179"/>
      <c r="ULB58" s="179"/>
      <c r="ULC58" s="179"/>
      <c r="ULD58" s="179"/>
      <c r="ULE58" s="179"/>
      <c r="ULF58" s="179"/>
      <c r="ULG58" s="179"/>
      <c r="ULH58" s="179"/>
      <c r="ULI58" s="179"/>
      <c r="ULJ58" s="179"/>
      <c r="ULK58" s="179"/>
      <c r="ULL58" s="179"/>
      <c r="ULM58" s="179"/>
      <c r="ULN58" s="179"/>
      <c r="ULO58" s="179"/>
      <c r="ULP58" s="179"/>
      <c r="ULQ58" s="179"/>
      <c r="ULR58" s="179"/>
      <c r="ULS58" s="179"/>
      <c r="ULT58" s="179"/>
      <c r="ULU58" s="179"/>
      <c r="ULV58" s="179"/>
      <c r="ULW58" s="179"/>
      <c r="ULX58" s="179"/>
      <c r="ULY58" s="179"/>
      <c r="ULZ58" s="179"/>
      <c r="UMA58" s="179"/>
      <c r="UMB58" s="179"/>
      <c r="UMC58" s="179"/>
      <c r="UMD58" s="179"/>
      <c r="UME58" s="179"/>
      <c r="UMF58" s="179"/>
      <c r="UMG58" s="179"/>
      <c r="UMH58" s="179"/>
      <c r="UMI58" s="179"/>
      <c r="UMJ58" s="179"/>
      <c r="UMK58" s="179"/>
      <c r="UML58" s="179"/>
      <c r="UMM58" s="179"/>
      <c r="UMN58" s="179"/>
      <c r="UMO58" s="179"/>
      <c r="UMP58" s="179"/>
      <c r="UMQ58" s="179"/>
      <c r="UMR58" s="179"/>
      <c r="UMS58" s="179"/>
      <c r="UMT58" s="179"/>
      <c r="UMU58" s="179"/>
      <c r="UMV58" s="179"/>
      <c r="UMW58" s="179"/>
      <c r="UMX58" s="179"/>
      <c r="UMY58" s="179"/>
      <c r="UMZ58" s="179"/>
      <c r="UNA58" s="179"/>
      <c r="UNB58" s="179"/>
      <c r="UNC58" s="179"/>
      <c r="UND58" s="179"/>
      <c r="UNE58" s="179"/>
      <c r="UNF58" s="179"/>
      <c r="UNG58" s="179"/>
      <c r="UNH58" s="179"/>
      <c r="UNI58" s="179"/>
      <c r="UNJ58" s="179"/>
      <c r="UNK58" s="179"/>
      <c r="UNL58" s="179"/>
      <c r="UNM58" s="179"/>
      <c r="UNN58" s="179"/>
      <c r="UNO58" s="179"/>
      <c r="UNP58" s="179"/>
      <c r="UNQ58" s="179"/>
      <c r="UNR58" s="179"/>
      <c r="UNS58" s="179"/>
      <c r="UNT58" s="179"/>
      <c r="UNU58" s="179"/>
      <c r="UNV58" s="179"/>
      <c r="UNW58" s="179"/>
      <c r="UNX58" s="179"/>
      <c r="UNY58" s="179"/>
      <c r="UNZ58" s="179"/>
      <c r="UOA58" s="179"/>
      <c r="UOB58" s="179"/>
      <c r="UOC58" s="179"/>
      <c r="UOD58" s="179"/>
      <c r="UOE58" s="179"/>
      <c r="UOF58" s="179"/>
      <c r="UOG58" s="179"/>
      <c r="UOH58" s="179"/>
      <c r="UOI58" s="179"/>
      <c r="UOJ58" s="179"/>
      <c r="UOK58" s="179"/>
      <c r="UOL58" s="179"/>
      <c r="UOM58" s="179"/>
      <c r="UON58" s="179"/>
      <c r="UOO58" s="179"/>
      <c r="UOP58" s="179"/>
      <c r="UOQ58" s="179"/>
      <c r="UOR58" s="179"/>
      <c r="UOS58" s="179"/>
      <c r="UOT58" s="179"/>
      <c r="UOU58" s="179"/>
      <c r="UOV58" s="179"/>
      <c r="UOW58" s="179"/>
      <c r="UOX58" s="179"/>
      <c r="UOY58" s="179"/>
      <c r="UOZ58" s="179"/>
      <c r="UPA58" s="179"/>
      <c r="UPB58" s="179"/>
      <c r="UPC58" s="179"/>
      <c r="UPD58" s="179"/>
      <c r="UPE58" s="179"/>
      <c r="UPF58" s="179"/>
      <c r="UPG58" s="179"/>
      <c r="UPH58" s="179"/>
      <c r="UPI58" s="179"/>
      <c r="UPJ58" s="179"/>
      <c r="UPK58" s="179"/>
      <c r="UPL58" s="179"/>
      <c r="UPM58" s="179"/>
      <c r="UPN58" s="179"/>
      <c r="UPO58" s="179"/>
      <c r="UPP58" s="179"/>
      <c r="UPQ58" s="179"/>
      <c r="UPR58" s="179"/>
      <c r="UPS58" s="179"/>
      <c r="UPT58" s="179"/>
      <c r="UPU58" s="179"/>
      <c r="UPV58" s="179"/>
      <c r="UPW58" s="179"/>
      <c r="UPX58" s="179"/>
      <c r="UPY58" s="179"/>
      <c r="UPZ58" s="179"/>
      <c r="UQA58" s="179"/>
      <c r="UQB58" s="179"/>
      <c r="UQC58" s="179"/>
      <c r="UQD58" s="179"/>
      <c r="UQE58" s="179"/>
      <c r="UQF58" s="179"/>
      <c r="UQG58" s="179"/>
      <c r="UQH58" s="179"/>
      <c r="UQI58" s="179"/>
      <c r="UQJ58" s="179"/>
      <c r="UQK58" s="179"/>
      <c r="UQL58" s="179"/>
      <c r="UQM58" s="179"/>
      <c r="UQN58" s="179"/>
      <c r="UQO58" s="179"/>
      <c r="UQP58" s="179"/>
      <c r="UQQ58" s="179"/>
      <c r="UQR58" s="179"/>
      <c r="UQS58" s="179"/>
      <c r="UQT58" s="179"/>
      <c r="UQU58" s="179"/>
      <c r="UQV58" s="179"/>
      <c r="UQW58" s="179"/>
      <c r="UQX58" s="179"/>
      <c r="UQY58" s="179"/>
      <c r="UQZ58" s="179"/>
      <c r="URA58" s="179"/>
      <c r="URB58" s="179"/>
      <c r="URC58" s="179"/>
      <c r="URD58" s="179"/>
      <c r="URE58" s="179"/>
      <c r="URF58" s="179"/>
      <c r="URG58" s="179"/>
      <c r="URH58" s="179"/>
      <c r="URI58" s="179"/>
      <c r="URJ58" s="179"/>
      <c r="URK58" s="179"/>
      <c r="URL58" s="179"/>
      <c r="URM58" s="179"/>
      <c r="URN58" s="179"/>
      <c r="URO58" s="179"/>
      <c r="URP58" s="179"/>
      <c r="URQ58" s="179"/>
      <c r="URR58" s="179"/>
      <c r="URS58" s="179"/>
      <c r="URT58" s="179"/>
      <c r="URU58" s="179"/>
      <c r="URV58" s="179"/>
      <c r="URW58" s="179"/>
      <c r="URX58" s="179"/>
      <c r="URY58" s="179"/>
      <c r="URZ58" s="179"/>
      <c r="USA58" s="179"/>
      <c r="USB58" s="179"/>
      <c r="USC58" s="179"/>
      <c r="USD58" s="179"/>
      <c r="USE58" s="179"/>
      <c r="USF58" s="179"/>
      <c r="USG58" s="179"/>
      <c r="USH58" s="179"/>
      <c r="USI58" s="179"/>
      <c r="USJ58" s="179"/>
      <c r="USK58" s="179"/>
      <c r="USL58" s="179"/>
      <c r="USM58" s="179"/>
      <c r="USN58" s="179"/>
      <c r="USO58" s="179"/>
      <c r="USP58" s="179"/>
      <c r="USQ58" s="179"/>
      <c r="USR58" s="179"/>
      <c r="USS58" s="179"/>
      <c r="UST58" s="179"/>
      <c r="USU58" s="179"/>
      <c r="USV58" s="179"/>
      <c r="USW58" s="179"/>
      <c r="USX58" s="179"/>
      <c r="USY58" s="179"/>
      <c r="USZ58" s="179"/>
      <c r="UTA58" s="179"/>
      <c r="UTB58" s="179"/>
      <c r="UTC58" s="179"/>
      <c r="UTD58" s="179"/>
      <c r="UTE58" s="179"/>
      <c r="UTF58" s="179"/>
      <c r="UTG58" s="179"/>
      <c r="UTH58" s="179"/>
      <c r="UTI58" s="179"/>
      <c r="UTJ58" s="179"/>
      <c r="UTK58" s="179"/>
      <c r="UTL58" s="179"/>
      <c r="UTM58" s="179"/>
      <c r="UTN58" s="179"/>
      <c r="UTO58" s="179"/>
      <c r="UTP58" s="179"/>
      <c r="UTQ58" s="179"/>
      <c r="UTR58" s="179"/>
      <c r="UTS58" s="179"/>
      <c r="UTT58" s="179"/>
      <c r="UTU58" s="179"/>
      <c r="UTV58" s="179"/>
      <c r="UTW58" s="179"/>
      <c r="UTX58" s="179"/>
      <c r="UTY58" s="179"/>
      <c r="UTZ58" s="179"/>
      <c r="UUA58" s="179"/>
      <c r="UUB58" s="179"/>
      <c r="UUC58" s="179"/>
      <c r="UUD58" s="179"/>
      <c r="UUE58" s="179"/>
      <c r="UUF58" s="179"/>
      <c r="UUG58" s="179"/>
      <c r="UUH58" s="179"/>
      <c r="UUI58" s="179"/>
      <c r="UUJ58" s="179"/>
      <c r="UUK58" s="179"/>
      <c r="UUL58" s="179"/>
      <c r="UUM58" s="179"/>
      <c r="UUN58" s="179"/>
      <c r="UUO58" s="179"/>
      <c r="UUP58" s="179"/>
      <c r="UUQ58" s="179"/>
      <c r="UUR58" s="179"/>
      <c r="UUS58" s="179"/>
      <c r="UUT58" s="179"/>
      <c r="UUU58" s="179"/>
      <c r="UUV58" s="179"/>
      <c r="UUW58" s="179"/>
      <c r="UUX58" s="179"/>
      <c r="UUY58" s="179"/>
      <c r="UUZ58" s="179"/>
      <c r="UVA58" s="179"/>
      <c r="UVB58" s="179"/>
      <c r="UVC58" s="179"/>
      <c r="UVD58" s="179"/>
      <c r="UVE58" s="179"/>
      <c r="UVF58" s="179"/>
      <c r="UVG58" s="179"/>
      <c r="UVH58" s="179"/>
      <c r="UVI58" s="179"/>
      <c r="UVJ58" s="179"/>
      <c r="UVK58" s="179"/>
      <c r="UVL58" s="179"/>
      <c r="UVM58" s="179"/>
      <c r="UVN58" s="179"/>
      <c r="UVO58" s="179"/>
      <c r="UVP58" s="179"/>
      <c r="UVQ58" s="179"/>
      <c r="UVR58" s="179"/>
      <c r="UVS58" s="179"/>
      <c r="UVT58" s="179"/>
      <c r="UVU58" s="179"/>
      <c r="UVV58" s="179"/>
      <c r="UVW58" s="179"/>
      <c r="UVX58" s="179"/>
      <c r="UVY58" s="179"/>
      <c r="UVZ58" s="179"/>
      <c r="UWA58" s="179"/>
      <c r="UWB58" s="179"/>
      <c r="UWC58" s="179"/>
      <c r="UWD58" s="179"/>
      <c r="UWE58" s="179"/>
      <c r="UWF58" s="179"/>
      <c r="UWG58" s="179"/>
      <c r="UWH58" s="179"/>
      <c r="UWI58" s="179"/>
      <c r="UWJ58" s="179"/>
      <c r="UWK58" s="179"/>
      <c r="UWL58" s="179"/>
      <c r="UWM58" s="179"/>
      <c r="UWN58" s="179"/>
      <c r="UWO58" s="179"/>
      <c r="UWP58" s="179"/>
      <c r="UWQ58" s="179"/>
      <c r="UWR58" s="179"/>
      <c r="UWS58" s="179"/>
      <c r="UWT58" s="179"/>
      <c r="UWU58" s="179"/>
      <c r="UWV58" s="179"/>
      <c r="UWW58" s="179"/>
      <c r="UWX58" s="179"/>
      <c r="UWY58" s="179"/>
      <c r="UWZ58" s="179"/>
      <c r="UXA58" s="179"/>
      <c r="UXB58" s="179"/>
      <c r="UXC58" s="179"/>
      <c r="UXD58" s="179"/>
      <c r="UXE58" s="179"/>
      <c r="UXF58" s="179"/>
      <c r="UXG58" s="179"/>
      <c r="UXH58" s="179"/>
      <c r="UXI58" s="179"/>
      <c r="UXJ58" s="179"/>
      <c r="UXK58" s="179"/>
      <c r="UXL58" s="179"/>
      <c r="UXM58" s="179"/>
      <c r="UXN58" s="179"/>
      <c r="UXO58" s="179"/>
      <c r="UXP58" s="179"/>
      <c r="UXQ58" s="179"/>
      <c r="UXR58" s="179"/>
      <c r="UXS58" s="179"/>
      <c r="UXT58" s="179"/>
      <c r="UXU58" s="179"/>
      <c r="UXV58" s="179"/>
      <c r="UXW58" s="179"/>
      <c r="UXX58" s="179"/>
      <c r="UXY58" s="179"/>
      <c r="UXZ58" s="179"/>
      <c r="UYA58" s="179"/>
      <c r="UYB58" s="179"/>
      <c r="UYC58" s="179"/>
      <c r="UYD58" s="179"/>
      <c r="UYE58" s="179"/>
      <c r="UYF58" s="179"/>
      <c r="UYG58" s="179"/>
      <c r="UYH58" s="179"/>
      <c r="UYI58" s="179"/>
      <c r="UYJ58" s="179"/>
      <c r="UYK58" s="179"/>
      <c r="UYL58" s="179"/>
      <c r="UYM58" s="179"/>
      <c r="UYN58" s="179"/>
      <c r="UYO58" s="179"/>
      <c r="UYP58" s="179"/>
      <c r="UYQ58" s="179"/>
      <c r="UYR58" s="179"/>
      <c r="UYS58" s="179"/>
      <c r="UYT58" s="179"/>
      <c r="UYU58" s="179"/>
      <c r="UYV58" s="179"/>
      <c r="UYW58" s="179"/>
      <c r="UYX58" s="179"/>
      <c r="UYY58" s="179"/>
      <c r="UYZ58" s="179"/>
      <c r="UZA58" s="179"/>
      <c r="UZB58" s="179"/>
      <c r="UZC58" s="179"/>
      <c r="UZD58" s="179"/>
      <c r="UZE58" s="179"/>
      <c r="UZF58" s="179"/>
      <c r="UZG58" s="179"/>
      <c r="UZH58" s="179"/>
      <c r="UZI58" s="179"/>
      <c r="UZJ58" s="179"/>
      <c r="UZK58" s="179"/>
      <c r="UZL58" s="179"/>
      <c r="UZM58" s="179"/>
      <c r="UZN58" s="179"/>
      <c r="UZO58" s="179"/>
      <c r="UZP58" s="179"/>
      <c r="UZQ58" s="179"/>
      <c r="UZR58" s="179"/>
      <c r="UZS58" s="179"/>
      <c r="UZT58" s="179"/>
      <c r="UZU58" s="179"/>
      <c r="UZV58" s="179"/>
      <c r="UZW58" s="179"/>
      <c r="UZX58" s="179"/>
      <c r="UZY58" s="179"/>
      <c r="UZZ58" s="179"/>
      <c r="VAA58" s="179"/>
      <c r="VAB58" s="179"/>
      <c r="VAC58" s="179"/>
      <c r="VAD58" s="179"/>
      <c r="VAE58" s="179"/>
      <c r="VAF58" s="179"/>
      <c r="VAG58" s="179"/>
      <c r="VAH58" s="179"/>
      <c r="VAI58" s="179"/>
      <c r="VAJ58" s="179"/>
      <c r="VAK58" s="179"/>
      <c r="VAL58" s="179"/>
      <c r="VAM58" s="179"/>
      <c r="VAN58" s="179"/>
      <c r="VAO58" s="179"/>
      <c r="VAP58" s="179"/>
      <c r="VAQ58" s="179"/>
      <c r="VAR58" s="179"/>
      <c r="VAS58" s="179"/>
      <c r="VAT58" s="179"/>
      <c r="VAU58" s="179"/>
      <c r="VAV58" s="179"/>
      <c r="VAW58" s="179"/>
      <c r="VAX58" s="179"/>
      <c r="VAY58" s="179"/>
      <c r="VAZ58" s="179"/>
      <c r="VBA58" s="179"/>
      <c r="VBB58" s="179"/>
      <c r="VBC58" s="179"/>
      <c r="VBD58" s="179"/>
      <c r="VBE58" s="179"/>
      <c r="VBF58" s="179"/>
      <c r="VBG58" s="179"/>
      <c r="VBH58" s="179"/>
      <c r="VBI58" s="179"/>
      <c r="VBJ58" s="179"/>
      <c r="VBK58" s="179"/>
      <c r="VBL58" s="179"/>
      <c r="VBM58" s="179"/>
      <c r="VBN58" s="179"/>
      <c r="VBO58" s="179"/>
      <c r="VBP58" s="179"/>
      <c r="VBQ58" s="179"/>
      <c r="VBR58" s="179"/>
      <c r="VBS58" s="179"/>
      <c r="VBT58" s="179"/>
      <c r="VBU58" s="179"/>
      <c r="VBV58" s="179"/>
      <c r="VBW58" s="179"/>
      <c r="VBX58" s="179"/>
      <c r="VBY58" s="179"/>
      <c r="VBZ58" s="179"/>
      <c r="VCA58" s="179"/>
      <c r="VCB58" s="179"/>
      <c r="VCC58" s="179"/>
      <c r="VCD58" s="179"/>
      <c r="VCE58" s="179"/>
      <c r="VCF58" s="179"/>
      <c r="VCG58" s="179"/>
      <c r="VCH58" s="179"/>
      <c r="VCI58" s="179"/>
      <c r="VCJ58" s="179"/>
      <c r="VCK58" s="179"/>
      <c r="VCL58" s="179"/>
      <c r="VCM58" s="179"/>
      <c r="VCN58" s="179"/>
      <c r="VCO58" s="179"/>
      <c r="VCP58" s="179"/>
      <c r="VCQ58" s="179"/>
      <c r="VCR58" s="179"/>
      <c r="VCS58" s="179"/>
      <c r="VCT58" s="179"/>
      <c r="VCU58" s="179"/>
      <c r="VCV58" s="179"/>
      <c r="VCW58" s="179"/>
      <c r="VCX58" s="179"/>
      <c r="VCY58" s="179"/>
      <c r="VCZ58" s="179"/>
      <c r="VDA58" s="179"/>
      <c r="VDB58" s="179"/>
      <c r="VDC58" s="179"/>
      <c r="VDD58" s="179"/>
      <c r="VDE58" s="179"/>
      <c r="VDF58" s="179"/>
      <c r="VDG58" s="179"/>
      <c r="VDH58" s="179"/>
      <c r="VDI58" s="179"/>
      <c r="VDJ58" s="179"/>
      <c r="VDK58" s="179"/>
      <c r="VDL58" s="179"/>
      <c r="VDM58" s="179"/>
      <c r="VDN58" s="179"/>
      <c r="VDO58" s="179"/>
      <c r="VDP58" s="179"/>
      <c r="VDQ58" s="179"/>
      <c r="VDR58" s="179"/>
      <c r="VDS58" s="179"/>
      <c r="VDT58" s="179"/>
      <c r="VDU58" s="179"/>
      <c r="VDV58" s="179"/>
      <c r="VDW58" s="179"/>
      <c r="VDX58" s="179"/>
      <c r="VDY58" s="179"/>
      <c r="VDZ58" s="179"/>
      <c r="VEA58" s="179"/>
      <c r="VEB58" s="179"/>
      <c r="VEC58" s="179"/>
      <c r="VED58" s="179"/>
      <c r="VEE58" s="179"/>
      <c r="VEF58" s="179"/>
      <c r="VEG58" s="179"/>
      <c r="VEH58" s="179"/>
      <c r="VEI58" s="179"/>
      <c r="VEJ58" s="179"/>
      <c r="VEK58" s="179"/>
      <c r="VEL58" s="179"/>
      <c r="VEM58" s="179"/>
      <c r="VEN58" s="179"/>
      <c r="VEO58" s="179"/>
      <c r="VEP58" s="179"/>
      <c r="VEQ58" s="179"/>
      <c r="VER58" s="179"/>
      <c r="VES58" s="179"/>
      <c r="VET58" s="179"/>
      <c r="VEU58" s="179"/>
      <c r="VEV58" s="179"/>
      <c r="VEW58" s="179"/>
      <c r="VEX58" s="179"/>
      <c r="VEY58" s="179"/>
      <c r="VEZ58" s="179"/>
      <c r="VFA58" s="179"/>
      <c r="VFB58" s="179"/>
      <c r="VFC58" s="179"/>
      <c r="VFD58" s="179"/>
      <c r="VFE58" s="179"/>
      <c r="VFF58" s="179"/>
      <c r="VFG58" s="179"/>
      <c r="VFH58" s="179"/>
      <c r="VFI58" s="179"/>
      <c r="VFJ58" s="179"/>
      <c r="VFK58" s="179"/>
      <c r="VFL58" s="179"/>
      <c r="VFM58" s="179"/>
      <c r="VFN58" s="179"/>
      <c r="VFO58" s="179"/>
      <c r="VFP58" s="179"/>
      <c r="VFQ58" s="179"/>
      <c r="VFR58" s="179"/>
      <c r="VFS58" s="179"/>
      <c r="VFT58" s="179"/>
      <c r="VFU58" s="179"/>
      <c r="VFV58" s="179"/>
      <c r="VFW58" s="179"/>
      <c r="VFX58" s="179"/>
      <c r="VFY58" s="179"/>
      <c r="VFZ58" s="179"/>
      <c r="VGA58" s="179"/>
      <c r="VGB58" s="179"/>
      <c r="VGC58" s="179"/>
      <c r="VGD58" s="179"/>
      <c r="VGE58" s="179"/>
      <c r="VGF58" s="179"/>
      <c r="VGG58" s="179"/>
      <c r="VGH58" s="179"/>
      <c r="VGI58" s="179"/>
      <c r="VGJ58" s="179"/>
      <c r="VGK58" s="179"/>
      <c r="VGL58" s="179"/>
      <c r="VGM58" s="179"/>
      <c r="VGN58" s="179"/>
      <c r="VGO58" s="179"/>
      <c r="VGP58" s="179"/>
      <c r="VGQ58" s="179"/>
      <c r="VGR58" s="179"/>
      <c r="VGS58" s="179"/>
      <c r="VGT58" s="179"/>
      <c r="VGU58" s="179"/>
      <c r="VGV58" s="179"/>
      <c r="VGW58" s="179"/>
      <c r="VGX58" s="179"/>
      <c r="VGY58" s="179"/>
      <c r="VGZ58" s="179"/>
      <c r="VHA58" s="179"/>
      <c r="VHB58" s="179"/>
      <c r="VHC58" s="179"/>
      <c r="VHD58" s="179"/>
      <c r="VHE58" s="179"/>
      <c r="VHF58" s="179"/>
      <c r="VHG58" s="179"/>
      <c r="VHH58" s="179"/>
      <c r="VHI58" s="179"/>
      <c r="VHJ58" s="179"/>
      <c r="VHK58" s="179"/>
      <c r="VHL58" s="179"/>
      <c r="VHM58" s="179"/>
      <c r="VHN58" s="179"/>
      <c r="VHO58" s="179"/>
      <c r="VHP58" s="179"/>
      <c r="VHQ58" s="179"/>
      <c r="VHR58" s="179"/>
      <c r="VHS58" s="179"/>
      <c r="VHT58" s="179"/>
      <c r="VHU58" s="179"/>
      <c r="VHV58" s="179"/>
      <c r="VHW58" s="179"/>
      <c r="VHX58" s="179"/>
      <c r="VHY58" s="179"/>
      <c r="VHZ58" s="179"/>
      <c r="VIA58" s="179"/>
      <c r="VIB58" s="179"/>
      <c r="VIC58" s="179"/>
      <c r="VID58" s="179"/>
      <c r="VIE58" s="179"/>
      <c r="VIF58" s="179"/>
      <c r="VIG58" s="179"/>
      <c r="VIH58" s="179"/>
      <c r="VII58" s="179"/>
      <c r="VIJ58" s="179"/>
      <c r="VIK58" s="179"/>
      <c r="VIL58" s="179"/>
      <c r="VIM58" s="179"/>
      <c r="VIN58" s="179"/>
      <c r="VIO58" s="179"/>
      <c r="VIP58" s="179"/>
      <c r="VIQ58" s="179"/>
      <c r="VIR58" s="179"/>
      <c r="VIS58" s="179"/>
      <c r="VIT58" s="179"/>
      <c r="VIU58" s="179"/>
      <c r="VIV58" s="179"/>
      <c r="VIW58" s="179"/>
      <c r="VIX58" s="179"/>
      <c r="VIY58" s="179"/>
      <c r="VIZ58" s="179"/>
      <c r="VJA58" s="179"/>
      <c r="VJB58" s="179"/>
      <c r="VJC58" s="179"/>
      <c r="VJD58" s="179"/>
      <c r="VJE58" s="179"/>
      <c r="VJF58" s="179"/>
      <c r="VJG58" s="179"/>
      <c r="VJH58" s="179"/>
      <c r="VJI58" s="179"/>
      <c r="VJJ58" s="179"/>
      <c r="VJK58" s="179"/>
      <c r="VJL58" s="179"/>
      <c r="VJM58" s="179"/>
      <c r="VJN58" s="179"/>
      <c r="VJO58" s="179"/>
      <c r="VJP58" s="179"/>
      <c r="VJQ58" s="179"/>
      <c r="VJR58" s="179"/>
      <c r="VJS58" s="179"/>
      <c r="VJT58" s="179"/>
      <c r="VJU58" s="179"/>
      <c r="VJV58" s="179"/>
      <c r="VJW58" s="179"/>
      <c r="VJX58" s="179"/>
      <c r="VJY58" s="179"/>
      <c r="VJZ58" s="179"/>
      <c r="VKA58" s="179"/>
      <c r="VKB58" s="179"/>
      <c r="VKC58" s="179"/>
      <c r="VKD58" s="179"/>
      <c r="VKE58" s="179"/>
      <c r="VKF58" s="179"/>
      <c r="VKG58" s="179"/>
      <c r="VKH58" s="179"/>
      <c r="VKI58" s="179"/>
      <c r="VKJ58" s="179"/>
      <c r="VKK58" s="179"/>
      <c r="VKL58" s="179"/>
      <c r="VKM58" s="179"/>
      <c r="VKN58" s="179"/>
      <c r="VKO58" s="179"/>
      <c r="VKP58" s="179"/>
      <c r="VKQ58" s="179"/>
      <c r="VKR58" s="179"/>
      <c r="VKS58" s="179"/>
      <c r="VKT58" s="179"/>
      <c r="VKU58" s="179"/>
      <c r="VKV58" s="179"/>
      <c r="VKW58" s="179"/>
      <c r="VKX58" s="179"/>
      <c r="VKY58" s="179"/>
      <c r="VKZ58" s="179"/>
      <c r="VLA58" s="179"/>
      <c r="VLB58" s="179"/>
      <c r="VLC58" s="179"/>
      <c r="VLD58" s="179"/>
      <c r="VLE58" s="179"/>
      <c r="VLF58" s="179"/>
      <c r="VLG58" s="179"/>
      <c r="VLH58" s="179"/>
      <c r="VLI58" s="179"/>
      <c r="VLJ58" s="179"/>
      <c r="VLK58" s="179"/>
      <c r="VLL58" s="179"/>
      <c r="VLM58" s="179"/>
      <c r="VLN58" s="179"/>
      <c r="VLO58" s="179"/>
      <c r="VLP58" s="179"/>
      <c r="VLQ58" s="179"/>
      <c r="VLR58" s="179"/>
      <c r="VLS58" s="179"/>
      <c r="VLT58" s="179"/>
      <c r="VLU58" s="179"/>
      <c r="VLV58" s="179"/>
      <c r="VLW58" s="179"/>
      <c r="VLX58" s="179"/>
      <c r="VLY58" s="179"/>
      <c r="VLZ58" s="179"/>
      <c r="VMA58" s="179"/>
      <c r="VMB58" s="179"/>
      <c r="VMC58" s="179"/>
      <c r="VMD58" s="179"/>
      <c r="VME58" s="179"/>
      <c r="VMF58" s="179"/>
      <c r="VMG58" s="179"/>
      <c r="VMH58" s="179"/>
      <c r="VMI58" s="179"/>
      <c r="VMJ58" s="179"/>
      <c r="VMK58" s="179"/>
      <c r="VML58" s="179"/>
      <c r="VMM58" s="179"/>
      <c r="VMN58" s="179"/>
      <c r="VMO58" s="179"/>
      <c r="VMP58" s="179"/>
      <c r="VMQ58" s="179"/>
      <c r="VMR58" s="179"/>
      <c r="VMS58" s="179"/>
      <c r="VMT58" s="179"/>
      <c r="VMU58" s="179"/>
      <c r="VMV58" s="179"/>
      <c r="VMW58" s="179"/>
      <c r="VMX58" s="179"/>
      <c r="VMY58" s="179"/>
      <c r="VMZ58" s="179"/>
      <c r="VNA58" s="179"/>
      <c r="VNB58" s="179"/>
      <c r="VNC58" s="179"/>
      <c r="VND58" s="179"/>
      <c r="VNE58" s="179"/>
      <c r="VNF58" s="179"/>
      <c r="VNG58" s="179"/>
      <c r="VNH58" s="179"/>
      <c r="VNI58" s="179"/>
      <c r="VNJ58" s="179"/>
      <c r="VNK58" s="179"/>
      <c r="VNL58" s="179"/>
      <c r="VNM58" s="179"/>
      <c r="VNN58" s="179"/>
      <c r="VNO58" s="179"/>
      <c r="VNP58" s="179"/>
      <c r="VNQ58" s="179"/>
      <c r="VNR58" s="179"/>
      <c r="VNS58" s="179"/>
      <c r="VNT58" s="179"/>
      <c r="VNU58" s="179"/>
      <c r="VNV58" s="179"/>
      <c r="VNW58" s="179"/>
      <c r="VNX58" s="179"/>
      <c r="VNY58" s="179"/>
      <c r="VNZ58" s="179"/>
      <c r="VOA58" s="179"/>
      <c r="VOB58" s="179"/>
      <c r="VOC58" s="179"/>
      <c r="VOD58" s="179"/>
      <c r="VOE58" s="179"/>
      <c r="VOF58" s="179"/>
      <c r="VOG58" s="179"/>
      <c r="VOH58" s="179"/>
      <c r="VOI58" s="179"/>
      <c r="VOJ58" s="179"/>
      <c r="VOK58" s="179"/>
      <c r="VOL58" s="179"/>
      <c r="VOM58" s="179"/>
      <c r="VON58" s="179"/>
      <c r="VOO58" s="179"/>
      <c r="VOP58" s="179"/>
      <c r="VOQ58" s="179"/>
      <c r="VOR58" s="179"/>
      <c r="VOS58" s="179"/>
      <c r="VOT58" s="179"/>
      <c r="VOU58" s="179"/>
      <c r="VOV58" s="179"/>
      <c r="VOW58" s="179"/>
      <c r="VOX58" s="179"/>
      <c r="VOY58" s="179"/>
      <c r="VOZ58" s="179"/>
      <c r="VPA58" s="179"/>
      <c r="VPB58" s="179"/>
      <c r="VPC58" s="179"/>
      <c r="VPD58" s="179"/>
      <c r="VPE58" s="179"/>
      <c r="VPF58" s="179"/>
      <c r="VPG58" s="179"/>
      <c r="VPH58" s="179"/>
      <c r="VPI58" s="179"/>
      <c r="VPJ58" s="179"/>
      <c r="VPK58" s="179"/>
      <c r="VPL58" s="179"/>
      <c r="VPM58" s="179"/>
      <c r="VPN58" s="179"/>
      <c r="VPO58" s="179"/>
      <c r="VPP58" s="179"/>
      <c r="VPQ58" s="179"/>
      <c r="VPR58" s="179"/>
      <c r="VPS58" s="179"/>
      <c r="VPT58" s="179"/>
      <c r="VPU58" s="179"/>
      <c r="VPV58" s="179"/>
      <c r="VPW58" s="179"/>
      <c r="VPX58" s="179"/>
      <c r="VPY58" s="179"/>
      <c r="VPZ58" s="179"/>
      <c r="VQA58" s="179"/>
      <c r="VQB58" s="179"/>
      <c r="VQC58" s="179"/>
      <c r="VQD58" s="179"/>
      <c r="VQE58" s="179"/>
      <c r="VQF58" s="179"/>
      <c r="VQG58" s="179"/>
      <c r="VQH58" s="179"/>
      <c r="VQI58" s="179"/>
      <c r="VQJ58" s="179"/>
      <c r="VQK58" s="179"/>
      <c r="VQL58" s="179"/>
      <c r="VQM58" s="179"/>
      <c r="VQN58" s="179"/>
      <c r="VQO58" s="179"/>
      <c r="VQP58" s="179"/>
      <c r="VQQ58" s="179"/>
      <c r="VQR58" s="179"/>
      <c r="VQS58" s="179"/>
      <c r="VQT58" s="179"/>
      <c r="VQU58" s="179"/>
      <c r="VQV58" s="179"/>
      <c r="VQW58" s="179"/>
      <c r="VQX58" s="179"/>
      <c r="VQY58" s="179"/>
      <c r="VQZ58" s="179"/>
      <c r="VRA58" s="179"/>
      <c r="VRB58" s="179"/>
      <c r="VRC58" s="179"/>
      <c r="VRD58" s="179"/>
      <c r="VRE58" s="179"/>
      <c r="VRF58" s="179"/>
      <c r="VRG58" s="179"/>
      <c r="VRH58" s="179"/>
      <c r="VRI58" s="179"/>
      <c r="VRJ58" s="179"/>
      <c r="VRK58" s="179"/>
      <c r="VRL58" s="179"/>
      <c r="VRM58" s="179"/>
      <c r="VRN58" s="179"/>
      <c r="VRO58" s="179"/>
      <c r="VRP58" s="179"/>
      <c r="VRQ58" s="179"/>
      <c r="VRR58" s="179"/>
      <c r="VRS58" s="179"/>
      <c r="VRT58" s="179"/>
      <c r="VRU58" s="179"/>
      <c r="VRV58" s="179"/>
      <c r="VRW58" s="179"/>
      <c r="VRX58" s="179"/>
      <c r="VRY58" s="179"/>
      <c r="VRZ58" s="179"/>
      <c r="VSA58" s="179"/>
      <c r="VSB58" s="179"/>
      <c r="VSC58" s="179"/>
      <c r="VSD58" s="179"/>
      <c r="VSE58" s="179"/>
      <c r="VSF58" s="179"/>
      <c r="VSG58" s="179"/>
      <c r="VSH58" s="179"/>
      <c r="VSI58" s="179"/>
      <c r="VSJ58" s="179"/>
      <c r="VSK58" s="179"/>
      <c r="VSL58" s="179"/>
      <c r="VSM58" s="179"/>
      <c r="VSN58" s="179"/>
      <c r="VSO58" s="179"/>
      <c r="VSP58" s="179"/>
      <c r="VSQ58" s="179"/>
      <c r="VSR58" s="179"/>
      <c r="VSS58" s="179"/>
      <c r="VST58" s="179"/>
      <c r="VSU58" s="179"/>
      <c r="VSV58" s="179"/>
      <c r="VSW58" s="179"/>
      <c r="VSX58" s="179"/>
      <c r="VSY58" s="179"/>
      <c r="VSZ58" s="179"/>
      <c r="VTA58" s="179"/>
      <c r="VTB58" s="179"/>
      <c r="VTC58" s="179"/>
      <c r="VTD58" s="179"/>
      <c r="VTE58" s="179"/>
      <c r="VTF58" s="179"/>
      <c r="VTG58" s="179"/>
      <c r="VTH58" s="179"/>
      <c r="VTI58" s="179"/>
      <c r="VTJ58" s="179"/>
      <c r="VTK58" s="179"/>
      <c r="VTL58" s="179"/>
      <c r="VTM58" s="179"/>
      <c r="VTN58" s="179"/>
      <c r="VTO58" s="179"/>
      <c r="VTP58" s="179"/>
      <c r="VTQ58" s="179"/>
      <c r="VTR58" s="179"/>
      <c r="VTS58" s="179"/>
      <c r="VTT58" s="179"/>
      <c r="VTU58" s="179"/>
      <c r="VTV58" s="179"/>
      <c r="VTW58" s="179"/>
      <c r="VTX58" s="179"/>
      <c r="VTY58" s="179"/>
      <c r="VTZ58" s="179"/>
      <c r="VUA58" s="179"/>
      <c r="VUB58" s="179"/>
      <c r="VUC58" s="179"/>
      <c r="VUD58" s="179"/>
      <c r="VUE58" s="179"/>
      <c r="VUF58" s="179"/>
      <c r="VUG58" s="179"/>
      <c r="VUH58" s="179"/>
      <c r="VUI58" s="179"/>
      <c r="VUJ58" s="179"/>
      <c r="VUK58" s="179"/>
      <c r="VUL58" s="179"/>
      <c r="VUM58" s="179"/>
      <c r="VUN58" s="179"/>
      <c r="VUO58" s="179"/>
      <c r="VUP58" s="179"/>
      <c r="VUQ58" s="179"/>
      <c r="VUR58" s="179"/>
      <c r="VUS58" s="179"/>
      <c r="VUT58" s="179"/>
      <c r="VUU58" s="179"/>
      <c r="VUV58" s="179"/>
      <c r="VUW58" s="179"/>
      <c r="VUX58" s="179"/>
      <c r="VUY58" s="179"/>
      <c r="VUZ58" s="179"/>
      <c r="VVA58" s="179"/>
      <c r="VVB58" s="179"/>
      <c r="VVC58" s="179"/>
      <c r="VVD58" s="179"/>
      <c r="VVE58" s="179"/>
      <c r="VVF58" s="179"/>
      <c r="VVG58" s="179"/>
      <c r="VVH58" s="179"/>
      <c r="VVI58" s="179"/>
      <c r="VVJ58" s="179"/>
      <c r="VVK58" s="179"/>
      <c r="VVL58" s="179"/>
      <c r="VVM58" s="179"/>
      <c r="VVN58" s="179"/>
      <c r="VVO58" s="179"/>
      <c r="VVP58" s="179"/>
      <c r="VVQ58" s="179"/>
      <c r="VVR58" s="179"/>
      <c r="VVS58" s="179"/>
      <c r="VVT58" s="179"/>
      <c r="VVU58" s="179"/>
      <c r="VVV58" s="179"/>
      <c r="VVW58" s="179"/>
      <c r="VVX58" s="179"/>
      <c r="VVY58" s="179"/>
      <c r="VVZ58" s="179"/>
      <c r="VWA58" s="179"/>
      <c r="VWB58" s="179"/>
      <c r="VWC58" s="179"/>
      <c r="VWD58" s="179"/>
      <c r="VWE58" s="179"/>
      <c r="VWF58" s="179"/>
      <c r="VWG58" s="179"/>
      <c r="VWH58" s="179"/>
      <c r="VWI58" s="179"/>
      <c r="VWJ58" s="179"/>
      <c r="VWK58" s="179"/>
      <c r="VWL58" s="179"/>
      <c r="VWM58" s="179"/>
      <c r="VWN58" s="179"/>
      <c r="VWO58" s="179"/>
      <c r="VWP58" s="179"/>
      <c r="VWQ58" s="179"/>
      <c r="VWR58" s="179"/>
      <c r="VWS58" s="179"/>
      <c r="VWT58" s="179"/>
      <c r="VWU58" s="179"/>
      <c r="VWV58" s="179"/>
      <c r="VWW58" s="179"/>
      <c r="VWX58" s="179"/>
      <c r="VWY58" s="179"/>
      <c r="VWZ58" s="179"/>
      <c r="VXA58" s="179"/>
      <c r="VXB58" s="179"/>
      <c r="VXC58" s="179"/>
      <c r="VXD58" s="179"/>
      <c r="VXE58" s="179"/>
      <c r="VXF58" s="179"/>
      <c r="VXG58" s="179"/>
      <c r="VXH58" s="179"/>
      <c r="VXI58" s="179"/>
      <c r="VXJ58" s="179"/>
      <c r="VXK58" s="179"/>
      <c r="VXL58" s="179"/>
      <c r="VXM58" s="179"/>
      <c r="VXN58" s="179"/>
      <c r="VXO58" s="179"/>
      <c r="VXP58" s="179"/>
      <c r="VXQ58" s="179"/>
      <c r="VXR58" s="179"/>
      <c r="VXS58" s="179"/>
      <c r="VXT58" s="179"/>
      <c r="VXU58" s="179"/>
      <c r="VXV58" s="179"/>
      <c r="VXW58" s="179"/>
      <c r="VXX58" s="179"/>
      <c r="VXY58" s="179"/>
      <c r="VXZ58" s="179"/>
      <c r="VYA58" s="179"/>
      <c r="VYB58" s="179"/>
      <c r="VYC58" s="179"/>
      <c r="VYD58" s="179"/>
      <c r="VYE58" s="179"/>
      <c r="VYF58" s="179"/>
      <c r="VYG58" s="179"/>
      <c r="VYH58" s="179"/>
      <c r="VYI58" s="179"/>
      <c r="VYJ58" s="179"/>
      <c r="VYK58" s="179"/>
      <c r="VYL58" s="179"/>
      <c r="VYM58" s="179"/>
      <c r="VYN58" s="179"/>
      <c r="VYO58" s="179"/>
      <c r="VYP58" s="179"/>
      <c r="VYQ58" s="179"/>
      <c r="VYR58" s="179"/>
      <c r="VYS58" s="179"/>
      <c r="VYT58" s="179"/>
      <c r="VYU58" s="179"/>
      <c r="VYV58" s="179"/>
      <c r="VYW58" s="179"/>
      <c r="VYX58" s="179"/>
      <c r="VYY58" s="179"/>
      <c r="VYZ58" s="179"/>
      <c r="VZA58" s="179"/>
      <c r="VZB58" s="179"/>
      <c r="VZC58" s="179"/>
      <c r="VZD58" s="179"/>
      <c r="VZE58" s="179"/>
      <c r="VZF58" s="179"/>
      <c r="VZG58" s="179"/>
      <c r="VZH58" s="179"/>
      <c r="VZI58" s="179"/>
      <c r="VZJ58" s="179"/>
      <c r="VZK58" s="179"/>
      <c r="VZL58" s="179"/>
      <c r="VZM58" s="179"/>
      <c r="VZN58" s="179"/>
      <c r="VZO58" s="179"/>
      <c r="VZP58" s="179"/>
      <c r="VZQ58" s="179"/>
      <c r="VZR58" s="179"/>
      <c r="VZS58" s="179"/>
      <c r="VZT58" s="179"/>
      <c r="VZU58" s="179"/>
      <c r="VZV58" s="179"/>
      <c r="VZW58" s="179"/>
      <c r="VZX58" s="179"/>
      <c r="VZY58" s="179"/>
      <c r="VZZ58" s="179"/>
      <c r="WAA58" s="179"/>
      <c r="WAB58" s="179"/>
      <c r="WAC58" s="179"/>
      <c r="WAD58" s="179"/>
      <c r="WAE58" s="179"/>
      <c r="WAF58" s="179"/>
      <c r="WAG58" s="179"/>
      <c r="WAH58" s="179"/>
      <c r="WAI58" s="179"/>
      <c r="WAJ58" s="179"/>
      <c r="WAK58" s="179"/>
      <c r="WAL58" s="179"/>
      <c r="WAM58" s="179"/>
      <c r="WAN58" s="179"/>
      <c r="WAO58" s="179"/>
      <c r="WAP58" s="179"/>
      <c r="WAQ58" s="179"/>
      <c r="WAR58" s="179"/>
      <c r="WAS58" s="179"/>
      <c r="WAT58" s="179"/>
      <c r="WAU58" s="179"/>
      <c r="WAV58" s="179"/>
      <c r="WAW58" s="179"/>
      <c r="WAX58" s="179"/>
      <c r="WAY58" s="179"/>
      <c r="WAZ58" s="179"/>
      <c r="WBA58" s="179"/>
      <c r="WBB58" s="179"/>
      <c r="WBC58" s="179"/>
      <c r="WBD58" s="179"/>
      <c r="WBE58" s="179"/>
      <c r="WBF58" s="179"/>
      <c r="WBG58" s="179"/>
      <c r="WBH58" s="179"/>
      <c r="WBI58" s="179"/>
      <c r="WBJ58" s="179"/>
      <c r="WBK58" s="179"/>
      <c r="WBL58" s="179"/>
      <c r="WBM58" s="179"/>
      <c r="WBN58" s="179"/>
      <c r="WBO58" s="179"/>
      <c r="WBP58" s="179"/>
      <c r="WBQ58" s="179"/>
      <c r="WBR58" s="179"/>
      <c r="WBS58" s="179"/>
      <c r="WBT58" s="179"/>
      <c r="WBU58" s="179"/>
      <c r="WBV58" s="179"/>
      <c r="WBW58" s="179"/>
      <c r="WBX58" s="179"/>
      <c r="WBY58" s="179"/>
      <c r="WBZ58" s="179"/>
      <c r="WCA58" s="179"/>
      <c r="WCB58" s="179"/>
      <c r="WCC58" s="179"/>
      <c r="WCD58" s="179"/>
      <c r="WCE58" s="179"/>
      <c r="WCF58" s="179"/>
      <c r="WCG58" s="179"/>
      <c r="WCH58" s="179"/>
      <c r="WCI58" s="179"/>
      <c r="WCJ58" s="179"/>
      <c r="WCK58" s="179"/>
      <c r="WCL58" s="179"/>
      <c r="WCM58" s="179"/>
      <c r="WCN58" s="179"/>
      <c r="WCO58" s="179"/>
      <c r="WCP58" s="179"/>
      <c r="WCQ58" s="179"/>
      <c r="WCR58" s="179"/>
      <c r="WCS58" s="179"/>
      <c r="WCT58" s="179"/>
      <c r="WCU58" s="179"/>
      <c r="WCV58" s="179"/>
      <c r="WCW58" s="179"/>
      <c r="WCX58" s="179"/>
      <c r="WCY58" s="179"/>
      <c r="WCZ58" s="179"/>
      <c r="WDA58" s="179"/>
      <c r="WDB58" s="179"/>
      <c r="WDC58" s="179"/>
      <c r="WDD58" s="179"/>
      <c r="WDE58" s="179"/>
      <c r="WDF58" s="179"/>
      <c r="WDG58" s="179"/>
      <c r="WDH58" s="179"/>
      <c r="WDI58" s="179"/>
      <c r="WDJ58" s="179"/>
      <c r="WDK58" s="179"/>
      <c r="WDL58" s="179"/>
      <c r="WDM58" s="179"/>
      <c r="WDN58" s="179"/>
      <c r="WDO58" s="179"/>
      <c r="WDP58" s="179"/>
      <c r="WDQ58" s="179"/>
      <c r="WDR58" s="179"/>
      <c r="WDS58" s="179"/>
      <c r="WDT58" s="179"/>
      <c r="WDU58" s="179"/>
      <c r="WDV58" s="179"/>
      <c r="WDW58" s="179"/>
      <c r="WDX58" s="179"/>
      <c r="WDY58" s="179"/>
      <c r="WDZ58" s="179"/>
      <c r="WEA58" s="179"/>
      <c r="WEB58" s="179"/>
      <c r="WEC58" s="179"/>
      <c r="WED58" s="179"/>
      <c r="WEE58" s="179"/>
      <c r="WEF58" s="179"/>
      <c r="WEG58" s="179"/>
      <c r="WEH58" s="179"/>
      <c r="WEI58" s="179"/>
      <c r="WEJ58" s="179"/>
      <c r="WEK58" s="179"/>
      <c r="WEL58" s="179"/>
      <c r="WEM58" s="179"/>
      <c r="WEN58" s="179"/>
      <c r="WEO58" s="179"/>
      <c r="WEP58" s="179"/>
      <c r="WEQ58" s="179"/>
      <c r="WER58" s="179"/>
      <c r="WES58" s="179"/>
      <c r="WET58" s="179"/>
      <c r="WEU58" s="179"/>
      <c r="WEV58" s="179"/>
      <c r="WEW58" s="179"/>
      <c r="WEX58" s="179"/>
      <c r="WEY58" s="179"/>
      <c r="WEZ58" s="179"/>
      <c r="WFA58" s="179"/>
      <c r="WFB58" s="179"/>
      <c r="WFC58" s="179"/>
      <c r="WFD58" s="179"/>
      <c r="WFE58" s="179"/>
      <c r="WFF58" s="179"/>
      <c r="WFG58" s="179"/>
      <c r="WFH58" s="179"/>
      <c r="WFI58" s="179"/>
      <c r="WFJ58" s="179"/>
      <c r="WFK58" s="179"/>
      <c r="WFL58" s="179"/>
      <c r="WFM58" s="179"/>
      <c r="WFN58" s="179"/>
      <c r="WFO58" s="179"/>
      <c r="WFP58" s="179"/>
      <c r="WFQ58" s="179"/>
      <c r="WFR58" s="179"/>
      <c r="WFS58" s="179"/>
      <c r="WFT58" s="179"/>
      <c r="WFU58" s="179"/>
      <c r="WFV58" s="179"/>
      <c r="WFW58" s="179"/>
      <c r="WFX58" s="179"/>
      <c r="WFY58" s="179"/>
      <c r="WFZ58" s="179"/>
      <c r="WGA58" s="179"/>
      <c r="WGB58" s="179"/>
      <c r="WGC58" s="179"/>
      <c r="WGD58" s="179"/>
      <c r="WGE58" s="179"/>
      <c r="WGF58" s="179"/>
      <c r="WGG58" s="179"/>
      <c r="WGH58" s="179"/>
      <c r="WGI58" s="179"/>
      <c r="WGJ58" s="179"/>
      <c r="WGK58" s="179"/>
      <c r="WGL58" s="179"/>
      <c r="WGM58" s="179"/>
      <c r="WGN58" s="179"/>
      <c r="WGO58" s="179"/>
      <c r="WGP58" s="179"/>
      <c r="WGQ58" s="179"/>
      <c r="WGR58" s="179"/>
      <c r="WGS58" s="179"/>
      <c r="WGT58" s="179"/>
      <c r="WGU58" s="179"/>
      <c r="WGV58" s="179"/>
      <c r="WGW58" s="179"/>
      <c r="WGX58" s="179"/>
      <c r="WGY58" s="179"/>
      <c r="WGZ58" s="179"/>
      <c r="WHA58" s="179"/>
      <c r="WHB58" s="179"/>
      <c r="WHC58" s="179"/>
      <c r="WHD58" s="179"/>
      <c r="WHE58" s="179"/>
      <c r="WHF58" s="179"/>
      <c r="WHG58" s="179"/>
      <c r="WHH58" s="179"/>
      <c r="WHI58" s="179"/>
      <c r="WHJ58" s="179"/>
      <c r="WHK58" s="179"/>
      <c r="WHL58" s="179"/>
      <c r="WHM58" s="179"/>
      <c r="WHN58" s="179"/>
      <c r="WHO58" s="179"/>
      <c r="WHP58" s="179"/>
      <c r="WHQ58" s="179"/>
      <c r="WHR58" s="179"/>
      <c r="WHS58" s="179"/>
      <c r="WHT58" s="179"/>
      <c r="WHU58" s="179"/>
      <c r="WHV58" s="179"/>
      <c r="WHW58" s="179"/>
      <c r="WHX58" s="179"/>
      <c r="WHY58" s="179"/>
      <c r="WHZ58" s="179"/>
      <c r="WIA58" s="179"/>
      <c r="WIB58" s="179"/>
      <c r="WIC58" s="179"/>
      <c r="WID58" s="179"/>
      <c r="WIE58" s="179"/>
      <c r="WIF58" s="179"/>
      <c r="WIG58" s="179"/>
      <c r="WIH58" s="179"/>
      <c r="WII58" s="179"/>
      <c r="WIJ58" s="179"/>
      <c r="WIK58" s="179"/>
      <c r="WIL58" s="179"/>
      <c r="WIM58" s="179"/>
      <c r="WIN58" s="179"/>
      <c r="WIO58" s="179"/>
      <c r="WIP58" s="179"/>
      <c r="WIQ58" s="179"/>
      <c r="WIR58" s="179"/>
      <c r="WIS58" s="179"/>
      <c r="WIT58" s="179"/>
      <c r="WIU58" s="179"/>
      <c r="WIV58" s="179"/>
      <c r="WIW58" s="179"/>
      <c r="WIX58" s="179"/>
      <c r="WIY58" s="179"/>
      <c r="WIZ58" s="179"/>
      <c r="WJA58" s="179"/>
      <c r="WJB58" s="179"/>
      <c r="WJC58" s="179"/>
      <c r="WJD58" s="179"/>
      <c r="WJE58" s="179"/>
      <c r="WJF58" s="179"/>
      <c r="WJG58" s="179"/>
      <c r="WJH58" s="179"/>
      <c r="WJI58" s="179"/>
      <c r="WJJ58" s="179"/>
      <c r="WJK58" s="179"/>
      <c r="WJL58" s="179"/>
      <c r="WJM58" s="179"/>
      <c r="WJN58" s="179"/>
      <c r="WJO58" s="179"/>
      <c r="WJP58" s="179"/>
      <c r="WJQ58" s="179"/>
      <c r="WJR58" s="179"/>
      <c r="WJS58" s="179"/>
      <c r="WJT58" s="179"/>
      <c r="WJU58" s="179"/>
      <c r="WJV58" s="179"/>
      <c r="WJW58" s="179"/>
      <c r="WJX58" s="179"/>
      <c r="WJY58" s="179"/>
      <c r="WJZ58" s="179"/>
      <c r="WKA58" s="179"/>
      <c r="WKB58" s="179"/>
      <c r="WKC58" s="179"/>
      <c r="WKD58" s="179"/>
      <c r="WKE58" s="179"/>
      <c r="WKF58" s="179"/>
      <c r="WKG58" s="179"/>
      <c r="WKH58" s="179"/>
      <c r="WKI58" s="179"/>
      <c r="WKJ58" s="179"/>
      <c r="WKK58" s="179"/>
      <c r="WKL58" s="179"/>
      <c r="WKM58" s="179"/>
      <c r="WKN58" s="179"/>
      <c r="WKO58" s="179"/>
      <c r="WKP58" s="179"/>
      <c r="WKQ58" s="179"/>
      <c r="WKR58" s="179"/>
      <c r="WKS58" s="179"/>
      <c r="WKT58" s="179"/>
      <c r="WKU58" s="179"/>
      <c r="WKV58" s="179"/>
      <c r="WKW58" s="179"/>
      <c r="WKX58" s="179"/>
      <c r="WKY58" s="179"/>
      <c r="WKZ58" s="179"/>
      <c r="WLA58" s="179"/>
      <c r="WLB58" s="179"/>
      <c r="WLC58" s="179"/>
      <c r="WLD58" s="179"/>
      <c r="WLE58" s="179"/>
      <c r="WLF58" s="179"/>
      <c r="WLG58" s="179"/>
      <c r="WLH58" s="179"/>
      <c r="WLI58" s="179"/>
      <c r="WLJ58" s="179"/>
      <c r="WLK58" s="179"/>
      <c r="WLL58" s="179"/>
      <c r="WLM58" s="179"/>
      <c r="WLN58" s="179"/>
      <c r="WLO58" s="179"/>
      <c r="WLP58" s="179"/>
      <c r="WLQ58" s="179"/>
      <c r="WLR58" s="179"/>
      <c r="WLS58" s="179"/>
      <c r="WLT58" s="179"/>
      <c r="WLU58" s="179"/>
      <c r="WLV58" s="179"/>
      <c r="WLW58" s="179"/>
      <c r="WLX58" s="179"/>
      <c r="WLY58" s="179"/>
      <c r="WLZ58" s="179"/>
      <c r="WMA58" s="179"/>
      <c r="WMB58" s="179"/>
      <c r="WMC58" s="179"/>
      <c r="WMD58" s="179"/>
      <c r="WME58" s="179"/>
      <c r="WMF58" s="179"/>
      <c r="WMG58" s="179"/>
      <c r="WMH58" s="179"/>
      <c r="WMI58" s="179"/>
      <c r="WMJ58" s="179"/>
      <c r="WMK58" s="179"/>
      <c r="WML58" s="179"/>
      <c r="WMM58" s="179"/>
      <c r="WMN58" s="179"/>
      <c r="WMO58" s="179"/>
      <c r="WMP58" s="179"/>
      <c r="WMQ58" s="179"/>
      <c r="WMR58" s="179"/>
      <c r="WMS58" s="179"/>
      <c r="WMT58" s="179"/>
      <c r="WMU58" s="179"/>
      <c r="WMV58" s="179"/>
      <c r="WMW58" s="179"/>
      <c r="WMX58" s="179"/>
      <c r="WMY58" s="179"/>
      <c r="WMZ58" s="179"/>
      <c r="WNA58" s="179"/>
      <c r="WNB58" s="179"/>
      <c r="WNC58" s="179"/>
      <c r="WND58" s="179"/>
      <c r="WNE58" s="179"/>
      <c r="WNF58" s="179"/>
      <c r="WNG58" s="179"/>
      <c r="WNH58" s="179"/>
      <c r="WNI58" s="179"/>
      <c r="WNJ58" s="179"/>
      <c r="WNK58" s="179"/>
      <c r="WNL58" s="179"/>
      <c r="WNM58" s="179"/>
      <c r="WNN58" s="179"/>
      <c r="WNO58" s="179"/>
      <c r="WNP58" s="179"/>
      <c r="WNQ58" s="179"/>
      <c r="WNR58" s="179"/>
      <c r="WNS58" s="179"/>
      <c r="WNT58" s="179"/>
      <c r="WNU58" s="179"/>
      <c r="WNV58" s="179"/>
      <c r="WNW58" s="179"/>
      <c r="WNX58" s="179"/>
      <c r="WNY58" s="179"/>
      <c r="WNZ58" s="179"/>
      <c r="WOA58" s="179"/>
      <c r="WOB58" s="179"/>
      <c r="WOC58" s="179"/>
      <c r="WOD58" s="179"/>
      <c r="WOE58" s="179"/>
      <c r="WOF58" s="179"/>
      <c r="WOG58" s="179"/>
      <c r="WOH58" s="179"/>
      <c r="WOI58" s="179"/>
      <c r="WOJ58" s="179"/>
      <c r="WOK58" s="179"/>
      <c r="WOL58" s="179"/>
      <c r="WOM58" s="179"/>
      <c r="WON58" s="179"/>
      <c r="WOO58" s="179"/>
      <c r="WOP58" s="179"/>
      <c r="WOQ58" s="179"/>
      <c r="WOR58" s="179"/>
      <c r="WOS58" s="179"/>
      <c r="WOT58" s="179"/>
      <c r="WOU58" s="179"/>
      <c r="WOV58" s="179"/>
      <c r="WOW58" s="179"/>
      <c r="WOX58" s="179"/>
      <c r="WOY58" s="179"/>
      <c r="WOZ58" s="179"/>
      <c r="WPA58" s="179"/>
      <c r="WPB58" s="179"/>
      <c r="WPC58" s="179"/>
      <c r="WPD58" s="179"/>
      <c r="WPE58" s="179"/>
      <c r="WPF58" s="179"/>
      <c r="WPG58" s="179"/>
      <c r="WPH58" s="179"/>
      <c r="WPI58" s="179"/>
      <c r="WPJ58" s="179"/>
      <c r="WPK58" s="179"/>
      <c r="WPL58" s="179"/>
      <c r="WPM58" s="179"/>
      <c r="WPN58" s="179"/>
      <c r="WPO58" s="179"/>
      <c r="WPP58" s="179"/>
      <c r="WPQ58" s="179"/>
      <c r="WPR58" s="179"/>
      <c r="WPS58" s="179"/>
      <c r="WPT58" s="179"/>
      <c r="WPU58" s="179"/>
      <c r="WPV58" s="179"/>
      <c r="WPW58" s="179"/>
      <c r="WPX58" s="179"/>
      <c r="WPY58" s="179"/>
      <c r="WPZ58" s="179"/>
      <c r="WQA58" s="179"/>
      <c r="WQB58" s="179"/>
      <c r="WQC58" s="179"/>
      <c r="WQD58" s="179"/>
      <c r="WQE58" s="179"/>
      <c r="WQF58" s="179"/>
      <c r="WQG58" s="179"/>
      <c r="WQH58" s="179"/>
      <c r="WQI58" s="179"/>
      <c r="WQJ58" s="179"/>
      <c r="WQK58" s="179"/>
      <c r="WQL58" s="179"/>
      <c r="WQM58" s="179"/>
      <c r="WQN58" s="179"/>
      <c r="WQO58" s="179"/>
      <c r="WQP58" s="179"/>
      <c r="WQQ58" s="179"/>
      <c r="WQR58" s="179"/>
      <c r="WQS58" s="179"/>
      <c r="WQT58" s="179"/>
      <c r="WQU58" s="179"/>
      <c r="WQV58" s="179"/>
      <c r="WQW58" s="179"/>
      <c r="WQX58" s="179"/>
      <c r="WQY58" s="179"/>
      <c r="WQZ58" s="179"/>
      <c r="WRA58" s="179"/>
      <c r="WRB58" s="179"/>
      <c r="WRC58" s="179"/>
      <c r="WRD58" s="179"/>
      <c r="WRE58" s="179"/>
      <c r="WRF58" s="179"/>
      <c r="WRG58" s="179"/>
      <c r="WRH58" s="179"/>
      <c r="WRI58" s="179"/>
      <c r="WRJ58" s="179"/>
      <c r="WRK58" s="179"/>
      <c r="WRL58" s="179"/>
      <c r="WRM58" s="179"/>
      <c r="WRN58" s="179"/>
      <c r="WRO58" s="179"/>
      <c r="WRP58" s="179"/>
      <c r="WRQ58" s="179"/>
      <c r="WRR58" s="179"/>
      <c r="WRS58" s="179"/>
      <c r="WRT58" s="179"/>
      <c r="WRU58" s="179"/>
      <c r="WRV58" s="179"/>
      <c r="WRW58" s="179"/>
      <c r="WRX58" s="179"/>
      <c r="WRY58" s="179"/>
      <c r="WRZ58" s="179"/>
      <c r="WSA58" s="179"/>
      <c r="WSB58" s="179"/>
      <c r="WSC58" s="179"/>
      <c r="WSD58" s="179"/>
      <c r="WSE58" s="179"/>
      <c r="WSF58" s="179"/>
      <c r="WSG58" s="179"/>
      <c r="WSH58" s="179"/>
      <c r="WSI58" s="179"/>
      <c r="WSJ58" s="179"/>
      <c r="WSK58" s="179"/>
      <c r="WSL58" s="179"/>
      <c r="WSM58" s="179"/>
      <c r="WSN58" s="179"/>
      <c r="WSO58" s="179"/>
      <c r="WSP58" s="179"/>
      <c r="WSQ58" s="179"/>
      <c r="WSR58" s="179"/>
      <c r="WSS58" s="179"/>
      <c r="WST58" s="179"/>
      <c r="WSU58" s="179"/>
      <c r="WSV58" s="179"/>
      <c r="WSW58" s="179"/>
      <c r="WSX58" s="179"/>
      <c r="WSY58" s="179"/>
      <c r="WSZ58" s="179"/>
      <c r="WTA58" s="179"/>
      <c r="WTB58" s="179"/>
      <c r="WTC58" s="179"/>
      <c r="WTD58" s="179"/>
      <c r="WTE58" s="179"/>
      <c r="WTF58" s="179"/>
      <c r="WTG58" s="179"/>
      <c r="WTH58" s="179"/>
      <c r="WTI58" s="179"/>
      <c r="WTJ58" s="179"/>
      <c r="WTK58" s="179"/>
      <c r="WTL58" s="179"/>
      <c r="WTM58" s="179"/>
      <c r="WTN58" s="179"/>
      <c r="WTO58" s="179"/>
      <c r="WTP58" s="179"/>
      <c r="WTQ58" s="179"/>
      <c r="WTR58" s="179"/>
      <c r="WTS58" s="179"/>
      <c r="WTT58" s="179"/>
      <c r="WTU58" s="179"/>
      <c r="WTV58" s="179"/>
      <c r="WTW58" s="179"/>
      <c r="WTX58" s="179"/>
      <c r="WTY58" s="179"/>
      <c r="WTZ58" s="179"/>
      <c r="WUA58" s="179"/>
      <c r="WUB58" s="179"/>
      <c r="WUC58" s="179"/>
      <c r="WUD58" s="179"/>
      <c r="WUE58" s="179"/>
      <c r="WUF58" s="179"/>
      <c r="WUG58" s="179"/>
      <c r="WUH58" s="179"/>
      <c r="WUI58" s="179"/>
      <c r="WUJ58" s="179"/>
      <c r="WUK58" s="179"/>
      <c r="WUL58" s="179"/>
      <c r="WUM58" s="179"/>
      <c r="WUN58" s="179"/>
      <c r="WUO58" s="179"/>
      <c r="WUP58" s="179"/>
      <c r="WUQ58" s="179"/>
      <c r="WUR58" s="179"/>
      <c r="WUS58" s="179"/>
      <c r="WUT58" s="179"/>
      <c r="WUU58" s="179"/>
      <c r="WUV58" s="179"/>
      <c r="WUW58" s="179"/>
      <c r="WUX58" s="179"/>
      <c r="WUY58" s="179"/>
      <c r="WUZ58" s="179"/>
      <c r="WVA58" s="179"/>
      <c r="WVB58" s="179"/>
      <c r="WVC58" s="179"/>
      <c r="WVD58" s="179"/>
      <c r="WVE58" s="179"/>
      <c r="WVF58" s="179"/>
      <c r="WVG58" s="179"/>
      <c r="WVH58" s="179"/>
      <c r="WVI58" s="179"/>
      <c r="WVJ58" s="179"/>
      <c r="WVK58" s="179"/>
      <c r="WVL58" s="179"/>
      <c r="WVM58" s="179"/>
      <c r="WVN58" s="179"/>
      <c r="WVO58" s="179"/>
      <c r="WVP58" s="179"/>
      <c r="WVQ58" s="179"/>
      <c r="WVR58" s="179"/>
      <c r="WVS58" s="179"/>
      <c r="WVT58" s="179"/>
      <c r="WVU58" s="179"/>
      <c r="WVV58" s="179"/>
      <c r="WVW58" s="179"/>
      <c r="WVX58" s="179"/>
      <c r="WVY58" s="179"/>
      <c r="WVZ58" s="179"/>
      <c r="WWA58" s="179"/>
      <c r="WWB58" s="179"/>
      <c r="WWC58" s="179"/>
      <c r="WWD58" s="179"/>
      <c r="WWE58" s="179"/>
      <c r="WWF58" s="179"/>
      <c r="WWG58" s="179"/>
      <c r="WWH58" s="179"/>
      <c r="WWI58" s="179"/>
      <c r="WWJ58" s="179"/>
      <c r="WWK58" s="179"/>
      <c r="WWL58" s="179"/>
      <c r="WWM58" s="179"/>
      <c r="WWN58" s="179"/>
      <c r="WWO58" s="179"/>
      <c r="WWP58" s="179"/>
      <c r="WWQ58" s="179"/>
      <c r="WWR58" s="179"/>
      <c r="WWS58" s="179"/>
      <c r="WWT58" s="179"/>
      <c r="WWU58" s="179"/>
      <c r="WWV58" s="179"/>
      <c r="WWW58" s="179"/>
      <c r="WWX58" s="179"/>
      <c r="WWY58" s="179"/>
      <c r="WWZ58" s="179"/>
      <c r="WXA58" s="179"/>
      <c r="WXB58" s="179"/>
      <c r="WXC58" s="179"/>
      <c r="WXD58" s="179"/>
      <c r="WXE58" s="179"/>
      <c r="WXF58" s="179"/>
      <c r="WXG58" s="179"/>
      <c r="WXH58" s="179"/>
      <c r="WXI58" s="179"/>
      <c r="WXJ58" s="179"/>
      <c r="WXK58" s="179"/>
      <c r="WXL58" s="179"/>
      <c r="WXM58" s="179"/>
      <c r="WXN58" s="179"/>
      <c r="WXO58" s="179"/>
      <c r="WXP58" s="179"/>
      <c r="WXQ58" s="179"/>
      <c r="WXR58" s="179"/>
      <c r="WXS58" s="179"/>
      <c r="WXT58" s="179"/>
      <c r="WXU58" s="179"/>
      <c r="WXV58" s="179"/>
      <c r="WXW58" s="179"/>
      <c r="WXX58" s="179"/>
      <c r="WXY58" s="179"/>
      <c r="WXZ58" s="179"/>
      <c r="WYA58" s="179"/>
      <c r="WYB58" s="179"/>
      <c r="WYC58" s="179"/>
      <c r="WYD58" s="179"/>
      <c r="WYE58" s="179"/>
      <c r="WYF58" s="179"/>
      <c r="WYG58" s="179"/>
      <c r="WYH58" s="179"/>
      <c r="WYI58" s="179"/>
      <c r="WYJ58" s="179"/>
      <c r="WYK58" s="179"/>
      <c r="WYL58" s="179"/>
      <c r="WYM58" s="179"/>
      <c r="WYN58" s="179"/>
      <c r="WYO58" s="179"/>
      <c r="WYP58" s="179"/>
      <c r="WYQ58" s="179"/>
      <c r="WYR58" s="179"/>
      <c r="WYS58" s="179"/>
      <c r="WYT58" s="179"/>
      <c r="WYU58" s="179"/>
      <c r="WYV58" s="179"/>
      <c r="WYW58" s="179"/>
      <c r="WYX58" s="179"/>
      <c r="WYY58" s="179"/>
      <c r="WYZ58" s="179"/>
      <c r="WZA58" s="179"/>
      <c r="WZB58" s="179"/>
      <c r="WZC58" s="179"/>
      <c r="WZD58" s="179"/>
      <c r="WZE58" s="179"/>
      <c r="WZF58" s="179"/>
      <c r="WZG58" s="179"/>
      <c r="WZH58" s="179"/>
      <c r="WZI58" s="179"/>
      <c r="WZJ58" s="179"/>
      <c r="WZK58" s="179"/>
      <c r="WZL58" s="179"/>
      <c r="WZM58" s="179"/>
      <c r="WZN58" s="179"/>
      <c r="WZO58" s="179"/>
      <c r="WZP58" s="179"/>
      <c r="WZQ58" s="179"/>
      <c r="WZR58" s="179"/>
      <c r="WZS58" s="179"/>
      <c r="WZT58" s="179"/>
      <c r="WZU58" s="179"/>
      <c r="WZV58" s="179"/>
      <c r="WZW58" s="179"/>
      <c r="WZX58" s="179"/>
      <c r="WZY58" s="179"/>
      <c r="WZZ58" s="179"/>
      <c r="XAA58" s="179"/>
      <c r="XAB58" s="179"/>
      <c r="XAC58" s="179"/>
      <c r="XAD58" s="179"/>
      <c r="XAE58" s="179"/>
      <c r="XAF58" s="179"/>
      <c r="XAG58" s="179"/>
      <c r="XAH58" s="179"/>
      <c r="XAI58" s="179"/>
      <c r="XAJ58" s="179"/>
      <c r="XAK58" s="179"/>
      <c r="XAL58" s="179"/>
      <c r="XAM58" s="179"/>
      <c r="XAN58" s="179"/>
      <c r="XAO58" s="179"/>
      <c r="XAP58" s="179"/>
      <c r="XAQ58" s="179"/>
      <c r="XAR58" s="179"/>
      <c r="XAS58" s="179"/>
      <c r="XAT58" s="179"/>
      <c r="XAU58" s="179"/>
      <c r="XAV58" s="179"/>
      <c r="XAW58" s="179"/>
      <c r="XAX58" s="179"/>
      <c r="XAY58" s="179"/>
      <c r="XAZ58" s="179"/>
      <c r="XBA58" s="179"/>
      <c r="XBB58" s="179"/>
      <c r="XBC58" s="179"/>
      <c r="XBD58" s="179"/>
      <c r="XBE58" s="179"/>
      <c r="XBF58" s="179"/>
      <c r="XBG58" s="179"/>
      <c r="XBH58" s="179"/>
      <c r="XBI58" s="179"/>
      <c r="XBJ58" s="179"/>
      <c r="XBK58" s="179"/>
      <c r="XBL58" s="179"/>
      <c r="XBM58" s="179"/>
      <c r="XBN58" s="179"/>
      <c r="XBO58" s="179"/>
      <c r="XBP58" s="179"/>
      <c r="XBQ58" s="179"/>
      <c r="XBR58" s="179"/>
      <c r="XBS58" s="179"/>
      <c r="XBT58" s="179"/>
      <c r="XBU58" s="179"/>
      <c r="XBV58" s="179"/>
      <c r="XBW58" s="179"/>
      <c r="XBX58" s="179"/>
      <c r="XBY58" s="179"/>
      <c r="XBZ58" s="179"/>
      <c r="XCA58" s="179"/>
      <c r="XCB58" s="179"/>
      <c r="XCC58" s="179"/>
      <c r="XCD58" s="179"/>
      <c r="XCE58" s="179"/>
      <c r="XCF58" s="179"/>
      <c r="XCG58" s="179"/>
      <c r="XCH58" s="179"/>
      <c r="XCI58" s="179"/>
      <c r="XCJ58" s="179"/>
      <c r="XCK58" s="179"/>
      <c r="XCL58" s="179"/>
      <c r="XCM58" s="179"/>
      <c r="XCN58" s="179"/>
      <c r="XCO58" s="179"/>
      <c r="XCP58" s="179"/>
      <c r="XCQ58" s="179"/>
      <c r="XCR58" s="179"/>
      <c r="XCS58" s="179"/>
      <c r="XCT58" s="179"/>
      <c r="XCU58" s="179"/>
      <c r="XCV58" s="179"/>
      <c r="XCW58" s="179"/>
      <c r="XCX58" s="179"/>
      <c r="XCY58" s="179"/>
      <c r="XCZ58" s="179"/>
      <c r="XDA58" s="179"/>
      <c r="XDB58" s="179"/>
      <c r="XDC58" s="179"/>
      <c r="XDD58" s="179"/>
      <c r="XDE58" s="179"/>
      <c r="XDF58" s="179"/>
      <c r="XDG58" s="179"/>
      <c r="XDH58" s="179"/>
      <c r="XDI58" s="179"/>
      <c r="XDJ58" s="179"/>
      <c r="XDK58" s="179"/>
      <c r="XDL58" s="179"/>
      <c r="XDM58" s="179"/>
      <c r="XDN58" s="179"/>
      <c r="XDO58" s="179"/>
      <c r="XDP58" s="179"/>
      <c r="XDQ58" s="179"/>
      <c r="XDR58" s="179"/>
      <c r="XDS58" s="179"/>
      <c r="XDT58" s="179"/>
      <c r="XDU58" s="179"/>
      <c r="XDV58" s="179"/>
      <c r="XDW58" s="179"/>
      <c r="XDX58" s="179"/>
      <c r="XDY58" s="179"/>
      <c r="XDZ58" s="179"/>
      <c r="XEA58" s="179"/>
      <c r="XEB58" s="179"/>
      <c r="XEC58" s="179"/>
      <c r="XED58" s="179"/>
      <c r="XEE58" s="179"/>
      <c r="XEF58" s="179"/>
      <c r="XEG58" s="179"/>
      <c r="XEH58" s="179"/>
      <c r="XEI58" s="179"/>
      <c r="XEJ58" s="179"/>
      <c r="XEK58" s="179"/>
      <c r="XEL58" s="179"/>
      <c r="XEM58" s="179"/>
      <c r="XEN58" s="179"/>
      <c r="XEO58" s="179"/>
      <c r="XEP58" s="179"/>
      <c r="XEQ58" s="179"/>
      <c r="XER58" s="179"/>
      <c r="XES58" s="179"/>
      <c r="XET58" s="179"/>
      <c r="XEU58" s="179"/>
      <c r="XEV58" s="179"/>
      <c r="XEW58" s="179"/>
      <c r="XEX58" s="179"/>
      <c r="XEY58" s="179"/>
      <c r="XEZ58" s="179"/>
      <c r="XFA58" s="179"/>
      <c r="XFB58" s="179"/>
      <c r="XFC58" s="179"/>
      <c r="XFD58" s="179"/>
    </row>
    <row r="59" spans="1:16384" x14ac:dyDescent="0.2">
      <c r="A59" s="93" t="s">
        <v>44</v>
      </c>
      <c r="B59" s="83"/>
      <c r="C59" s="83">
        <f t="shared" ref="C59:AA59" si="43">IF(ISNUMBER(outYear),-C57,"")</f>
        <v>22911.625099999997</v>
      </c>
      <c r="D59" s="83">
        <f t="shared" si="43"/>
        <v>10646.941928</v>
      </c>
      <c r="E59" s="83">
        <f t="shared" si="43"/>
        <v>6519.8640561600005</v>
      </c>
      <c r="F59" s="83">
        <f t="shared" si="43"/>
        <v>4046.2513110431992</v>
      </c>
      <c r="G59" s="83">
        <f t="shared" si="43"/>
        <v>4052.7760508000642</v>
      </c>
      <c r="H59" s="83">
        <f t="shared" si="43"/>
        <v>2199.424123752065</v>
      </c>
      <c r="I59" s="83">
        <f t="shared" si="43"/>
        <v>346.20530139510663</v>
      </c>
      <c r="J59" s="83">
        <f t="shared" si="43"/>
        <v>353.12940742300873</v>
      </c>
      <c r="K59" s="83">
        <f t="shared" si="43"/>
        <v>360.19199557146885</v>
      </c>
      <c r="L59" s="83">
        <f t="shared" si="43"/>
        <v>6641.631820750029</v>
      </c>
      <c r="M59" s="83">
        <f t="shared" si="43"/>
        <v>374.74375219255626</v>
      </c>
      <c r="N59" s="83">
        <f t="shared" si="43"/>
        <v>382.23862723640735</v>
      </c>
      <c r="O59" s="83">
        <f t="shared" si="43"/>
        <v>389.88339978113549</v>
      </c>
      <c r="P59" s="83">
        <f t="shared" si="43"/>
        <v>397.6810677767582</v>
      </c>
      <c r="Q59" s="83">
        <f t="shared" si="43"/>
        <v>405.63468913229337</v>
      </c>
      <c r="R59" s="83">
        <f t="shared" si="43"/>
        <v>413.74738291493907</v>
      </c>
      <c r="S59" s="83">
        <f t="shared" si="43"/>
        <v>422.02233057323798</v>
      </c>
      <c r="T59" s="83">
        <f t="shared" si="43"/>
        <v>430.46277718470287</v>
      </c>
      <c r="U59" s="83">
        <f t="shared" si="43"/>
        <v>439.07203272839683</v>
      </c>
      <c r="V59" s="83">
        <f t="shared" si="43"/>
        <v>447.85347338296475</v>
      </c>
      <c r="W59" s="83">
        <f t="shared" si="43"/>
        <v>456.81054285062413</v>
      </c>
      <c r="X59" s="83">
        <f t="shared" si="43"/>
        <v>465.9467537076365</v>
      </c>
      <c r="Y59" s="83">
        <f t="shared" si="43"/>
        <v>475.26568878178927</v>
      </c>
      <c r="Z59" s="83">
        <f t="shared" si="43"/>
        <v>484.77100255742494</v>
      </c>
      <c r="AA59" s="83">
        <f t="shared" si="43"/>
        <v>494.46642260857357</v>
      </c>
      <c r="AB59" s="83" t="str">
        <f>IF(ISNUMBER(outYear),+#REF!-AB57,"")</f>
        <v/>
      </c>
      <c r="AC59" s="83" t="str">
        <f>IF(ISNUMBER(outYear),+#REF!-AC57,"")</f>
        <v/>
      </c>
      <c r="AD59" s="83" t="str">
        <f>IF(ISNUMBER(outYear),+#REF!-AD57,"")</f>
        <v/>
      </c>
      <c r="AE59" s="83" t="str">
        <f>IF(ISNUMBER(outYear),+#REF!-AE57,"")</f>
        <v/>
      </c>
      <c r="AF59" s="83" t="str">
        <f>IF(ISNUMBER(outYear),+#REF!-AF57,"")</f>
        <v/>
      </c>
      <c r="AG59" s="83" t="str">
        <f>IF(ISNUMBER(outYear),+#REF!-AG57,"")</f>
        <v/>
      </c>
      <c r="AH59" s="83" t="str">
        <f>IF(ISNUMBER(outYear),+#REF!-AH57,"")</f>
        <v/>
      </c>
      <c r="AI59" s="83" t="str">
        <f>IF(ISNUMBER(outYear),+#REF!-AI57,"")</f>
        <v/>
      </c>
      <c r="AJ59" s="83" t="str">
        <f>IF(ISNUMBER(outYear),+#REF!-AJ57,"")</f>
        <v/>
      </c>
      <c r="AK59" s="83" t="str">
        <f>IF(ISNUMBER(outYear),+#REF!-AK57,"")</f>
        <v/>
      </c>
      <c r="AL59" s="83" t="str">
        <f>IF(ISNUMBER(outYear),+#REF!-AL57,"")</f>
        <v/>
      </c>
      <c r="AM59" s="83" t="str">
        <f>IF(ISNUMBER(outYear),+#REF!-AM57,"")</f>
        <v/>
      </c>
      <c r="AN59" s="83" t="str">
        <f>IF(ISNUMBER(outYear),+#REF!-AN57,"")</f>
        <v/>
      </c>
      <c r="AO59" s="83" t="str">
        <f>IF(ISNUMBER(outYear),+#REF!-AO57,"")</f>
        <v/>
      </c>
      <c r="AP59" s="83" t="str">
        <f>IF(ISNUMBER(outYear),+#REF!-AP57,"")</f>
        <v/>
      </c>
      <c r="AQ59" s="83" t="str">
        <f>IF(ISNUMBER(outYear),+#REF!-AQ57,"")</f>
        <v/>
      </c>
      <c r="AR59" s="83" t="str">
        <f>IF(ISNUMBER(outYear),+#REF!-AR57,"")</f>
        <v/>
      </c>
      <c r="AS59" s="83" t="str">
        <f>IF(ISNUMBER(outYear),+#REF!-AS57,"")</f>
        <v/>
      </c>
      <c r="AT59" s="83" t="str">
        <f>IF(ISNUMBER(outYear),+#REF!-AT57,"")</f>
        <v/>
      </c>
      <c r="AU59" s="83" t="str">
        <f>IF(ISNUMBER(outYear),+#REF!-AU57,"")</f>
        <v/>
      </c>
      <c r="AV59" s="83" t="str">
        <f>IF(ISNUMBER(outYear),+#REF!-AV57,"")</f>
        <v/>
      </c>
      <c r="AW59" s="83" t="str">
        <f>IF(ISNUMBER(outYear),+#REF!-AW57,"")</f>
        <v/>
      </c>
      <c r="AX59" s="83" t="str">
        <f>IF(ISNUMBER(outYear),+#REF!-AX57,"")</f>
        <v/>
      </c>
      <c r="AY59" s="83" t="str">
        <f>IF(ISNUMBER(outYear),+#REF!-AY57,"")</f>
        <v/>
      </c>
      <c r="AZ59" s="83" t="str">
        <f>IF(ISNUMBER(outYear),+#REF!-AZ57,"")</f>
        <v/>
      </c>
      <c r="BA59" s="83" t="str">
        <f>IF(ISNUMBER(outYear),+#REF!-BA57,"")</f>
        <v/>
      </c>
      <c r="BB59" s="83" t="str">
        <f>IF(ISNUMBER(outYear),+#REF!-BB57,"")</f>
        <v/>
      </c>
      <c r="BC59" s="83" t="str">
        <f>IF(ISNUMBER(outYear),+#REF!-BC57,"")</f>
        <v/>
      </c>
      <c r="BD59" s="83" t="str">
        <f>IF(ISNUMBER(outYear),+#REF!-BD57,"")</f>
        <v/>
      </c>
      <c r="BE59" s="83" t="str">
        <f>IF(ISNUMBER(outYear),+#REF!-BE57,"")</f>
        <v/>
      </c>
      <c r="BF59" s="83" t="str">
        <f>IF(ISNUMBER(outYear),+#REF!-BF57,"")</f>
        <v/>
      </c>
      <c r="BG59" s="83" t="str">
        <f>IF(ISNUMBER(outYear),+#REF!-BG57,"")</f>
        <v/>
      </c>
      <c r="BH59" s="83" t="str">
        <f>IF(ISNUMBER(outYear),+#REF!-BH57,"")</f>
        <v/>
      </c>
      <c r="BI59" s="83" t="str">
        <f>IF(ISNUMBER(outYear),+#REF!-BI57,"")</f>
        <v/>
      </c>
      <c r="BJ59" s="83" t="str">
        <f>IF(ISNUMBER(outYear),+#REF!-BJ57,"")</f>
        <v/>
      </c>
      <c r="BK59" s="83" t="str">
        <f>IF(ISNUMBER(outYear),+#REF!-BK57,"")</f>
        <v/>
      </c>
      <c r="BL59" s="83" t="str">
        <f>IF(ISNUMBER(outYear),+#REF!-BL57,"")</f>
        <v/>
      </c>
      <c r="BM59" s="83" t="str">
        <f>IF(ISNUMBER(outYear),+#REF!-BM57,"")</f>
        <v/>
      </c>
      <c r="BN59" s="83" t="str">
        <f>IF(ISNUMBER(outYear),+#REF!-BN57,"")</f>
        <v/>
      </c>
      <c r="BO59" s="83" t="str">
        <f>IF(ISNUMBER(outYear),+#REF!-BO57,"")</f>
        <v/>
      </c>
      <c r="BP59" s="83" t="str">
        <f>IF(ISNUMBER(outYear),+#REF!-BP57,"")</f>
        <v/>
      </c>
      <c r="BQ59" s="83" t="str">
        <f>IF(ISNUMBER(outYear),+#REF!-BQ57,"")</f>
        <v/>
      </c>
      <c r="BR59" s="83" t="str">
        <f>IF(ISNUMBER(outYear),+#REF!-BR57,"")</f>
        <v/>
      </c>
      <c r="BS59" s="83" t="str">
        <f>IF(ISNUMBER(outYear),+#REF!-BS57,"")</f>
        <v/>
      </c>
      <c r="BT59" s="83" t="str">
        <f>IF(ISNUMBER(outYear),+#REF!-BT57,"")</f>
        <v/>
      </c>
      <c r="BU59" s="83" t="str">
        <f>IF(ISNUMBER(outYear),+#REF!-BU57,"")</f>
        <v/>
      </c>
      <c r="BV59" s="83" t="str">
        <f>IF(ISNUMBER(outYear),+#REF!-BV57,"")</f>
        <v/>
      </c>
      <c r="BW59" s="83" t="str">
        <f>IF(ISNUMBER(outYear),+#REF!-BW57,"")</f>
        <v/>
      </c>
      <c r="BX59" s="83" t="str">
        <f>IF(ISNUMBER(outYear),+#REF!-BX57,"")</f>
        <v/>
      </c>
      <c r="BY59" s="83" t="str">
        <f>IF(ISNUMBER(outYear),+#REF!-BY57,"")</f>
        <v/>
      </c>
      <c r="BZ59" s="83" t="str">
        <f>IF(ISNUMBER(outYear),+#REF!-BZ57,"")</f>
        <v/>
      </c>
      <c r="CA59" s="83" t="str">
        <f>IF(ISNUMBER(outYear),+#REF!-CA57,"")</f>
        <v/>
      </c>
      <c r="CB59" s="83" t="str">
        <f>IF(ISNUMBER(outYear),+#REF!-CB57,"")</f>
        <v/>
      </c>
      <c r="CC59" s="83" t="str">
        <f>IF(ISNUMBER(outYear),+#REF!-CC57,"")</f>
        <v/>
      </c>
      <c r="CD59" s="83" t="str">
        <f>IF(ISNUMBER(outYear),+#REF!-CD57,"")</f>
        <v/>
      </c>
      <c r="CE59" s="83" t="str">
        <f>IF(ISNUMBER(outYear),+#REF!-CE57,"")</f>
        <v/>
      </c>
      <c r="CF59" s="83" t="str">
        <f>IF(ISNUMBER(outYear),+#REF!-CF57,"")</f>
        <v/>
      </c>
      <c r="CG59" s="83" t="str">
        <f>IF(ISNUMBER(outYear),+#REF!-CG57,"")</f>
        <v/>
      </c>
      <c r="CH59" s="83" t="str">
        <f>IF(ISNUMBER(outYear),+#REF!-CH57,"")</f>
        <v/>
      </c>
      <c r="CI59" s="83" t="str">
        <f>IF(ISNUMBER(outYear),+#REF!-CI57,"")</f>
        <v/>
      </c>
      <c r="CJ59" s="83" t="str">
        <f>IF(ISNUMBER(outYear),+#REF!-CJ57,"")</f>
        <v/>
      </c>
      <c r="CK59" s="83" t="str">
        <f>IF(ISNUMBER(outYear),+#REF!-CK57,"")</f>
        <v/>
      </c>
      <c r="CL59" s="83" t="str">
        <f>IF(ISNUMBER(outYear),+#REF!-CL57,"")</f>
        <v/>
      </c>
      <c r="CM59" s="83" t="str">
        <f>IF(ISNUMBER(outYear),+#REF!-CM57,"")</f>
        <v/>
      </c>
      <c r="CN59" s="83" t="str">
        <f>IF(ISNUMBER(outYear),+#REF!-CN57,"")</f>
        <v/>
      </c>
      <c r="CO59" s="83" t="str">
        <f>IF(ISNUMBER(outYear),+#REF!-CO57,"")</f>
        <v/>
      </c>
      <c r="CP59" s="83" t="str">
        <f>IF(ISNUMBER(outYear),+#REF!-CP57,"")</f>
        <v/>
      </c>
      <c r="CQ59" s="83" t="str">
        <f>IF(ISNUMBER(outYear),+#REF!-CQ57,"")</f>
        <v/>
      </c>
      <c r="CR59" s="83" t="str">
        <f>IF(ISNUMBER(outYear),+#REF!-CR57,"")</f>
        <v/>
      </c>
      <c r="CS59" s="83" t="str">
        <f>IF(ISNUMBER(outYear),+#REF!-CS57,"")</f>
        <v/>
      </c>
      <c r="CT59" s="83" t="str">
        <f>IF(ISNUMBER(outYear),+#REF!-CT57,"")</f>
        <v/>
      </c>
      <c r="CU59" s="83" t="str">
        <f>IF(ISNUMBER(outYear),+#REF!-CU57,"")</f>
        <v/>
      </c>
      <c r="CV59" s="83" t="str">
        <f>IF(ISNUMBER(outYear),+#REF!-CV57,"")</f>
        <v/>
      </c>
      <c r="CW59" s="83" t="str">
        <f>IF(ISNUMBER(outYear),+#REF!-CW57,"")</f>
        <v/>
      </c>
      <c r="CX59" s="83" t="str">
        <f>IF(ISNUMBER(outYear),+#REF!-CX57,"")</f>
        <v/>
      </c>
    </row>
    <row r="60" spans="1:16384" x14ac:dyDescent="0.2">
      <c r="A60" s="14"/>
      <c r="B60" s="7"/>
    </row>
    <row r="61" spans="1:16384" x14ac:dyDescent="0.2">
      <c r="A61" s="66" t="s">
        <v>95</v>
      </c>
      <c r="B61" s="77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  <c r="BF61" s="78"/>
      <c r="BG61" s="78"/>
      <c r="BH61" s="78"/>
      <c r="BI61" s="78"/>
      <c r="BJ61" s="78"/>
      <c r="BK61" s="78"/>
      <c r="BL61" s="78"/>
      <c r="BM61" s="78"/>
      <c r="BN61" s="78"/>
      <c r="BO61" s="78"/>
      <c r="BP61" s="78"/>
      <c r="BQ61" s="78"/>
      <c r="BR61" s="78"/>
      <c r="BS61" s="78"/>
      <c r="BT61" s="78"/>
      <c r="BU61" s="78"/>
      <c r="BV61" s="78"/>
      <c r="BW61" s="78"/>
      <c r="BX61" s="78"/>
      <c r="BY61" s="78"/>
      <c r="BZ61" s="78"/>
      <c r="CA61" s="78"/>
      <c r="CB61" s="78"/>
      <c r="CC61" s="78"/>
      <c r="CD61" s="78"/>
      <c r="CE61" s="78"/>
      <c r="CF61" s="78"/>
      <c r="CG61" s="78"/>
      <c r="CH61" s="78"/>
      <c r="CI61" s="78"/>
      <c r="CJ61" s="78"/>
      <c r="CK61" s="78"/>
      <c r="CL61" s="78"/>
      <c r="CM61" s="78"/>
      <c r="CN61" s="78"/>
      <c r="CO61" s="78"/>
      <c r="CP61" s="78"/>
      <c r="CQ61" s="78"/>
      <c r="CR61" s="78"/>
      <c r="CS61" s="78"/>
      <c r="CT61" s="78"/>
      <c r="CU61" s="78"/>
      <c r="CV61" s="78"/>
      <c r="CW61" s="78"/>
      <c r="CX61" s="75"/>
    </row>
    <row r="62" spans="1:16384" s="88" customFormat="1" x14ac:dyDescent="0.2">
      <c r="A62" s="61" t="s">
        <v>35</v>
      </c>
      <c r="B62" s="86"/>
      <c r="C62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C39,0)+IF(cbi_sta_tax_fed="Yes",C40,0)+IF(cbi_uti_tax_fed="Yes",C41,0)+IF(pbi_combined_tax_fed="Yes",C44,0),"")</f>
        <v>0</v>
      </c>
      <c r="D62" s="87">
        <f t="shared" ref="D62:AI62" si="44">IF(ISNUMBER(outYear),IF(pbi_combined_tax_fed="Yes",D44,0),"")</f>
        <v>0</v>
      </c>
      <c r="E62" s="87">
        <f t="shared" si="44"/>
        <v>0</v>
      </c>
      <c r="F62" s="87">
        <f t="shared" si="44"/>
        <v>0</v>
      </c>
      <c r="G62" s="87">
        <f t="shared" si="44"/>
        <v>0</v>
      </c>
      <c r="H62" s="87">
        <f t="shared" si="44"/>
        <v>0</v>
      </c>
      <c r="I62" s="87">
        <f t="shared" si="44"/>
        <v>0</v>
      </c>
      <c r="J62" s="87">
        <f t="shared" si="44"/>
        <v>0</v>
      </c>
      <c r="K62" s="87">
        <f t="shared" si="44"/>
        <v>0</v>
      </c>
      <c r="L62" s="87">
        <f t="shared" si="44"/>
        <v>0</v>
      </c>
      <c r="M62" s="87">
        <f t="shared" si="44"/>
        <v>0</v>
      </c>
      <c r="N62" s="87">
        <f t="shared" si="44"/>
        <v>0</v>
      </c>
      <c r="O62" s="87">
        <f t="shared" si="44"/>
        <v>0</v>
      </c>
      <c r="P62" s="87">
        <f t="shared" si="44"/>
        <v>0</v>
      </c>
      <c r="Q62" s="87">
        <f t="shared" si="44"/>
        <v>0</v>
      </c>
      <c r="R62" s="87">
        <f t="shared" si="44"/>
        <v>0</v>
      </c>
      <c r="S62" s="87">
        <f t="shared" si="44"/>
        <v>0</v>
      </c>
      <c r="T62" s="87">
        <f t="shared" si="44"/>
        <v>0</v>
      </c>
      <c r="U62" s="87">
        <f t="shared" si="44"/>
        <v>0</v>
      </c>
      <c r="V62" s="87">
        <f t="shared" si="44"/>
        <v>0</v>
      </c>
      <c r="W62" s="87">
        <f t="shared" si="44"/>
        <v>0</v>
      </c>
      <c r="X62" s="87">
        <f t="shared" si="44"/>
        <v>0</v>
      </c>
      <c r="Y62" s="87">
        <f t="shared" si="44"/>
        <v>0</v>
      </c>
      <c r="Z62" s="87">
        <f t="shared" si="44"/>
        <v>0</v>
      </c>
      <c r="AA62" s="87">
        <f t="shared" si="44"/>
        <v>0</v>
      </c>
      <c r="AB62" s="87" t="str">
        <f t="shared" si="44"/>
        <v/>
      </c>
      <c r="AC62" s="87" t="str">
        <f t="shared" si="44"/>
        <v/>
      </c>
      <c r="AD62" s="87" t="str">
        <f t="shared" si="44"/>
        <v/>
      </c>
      <c r="AE62" s="87" t="str">
        <f t="shared" si="44"/>
        <v/>
      </c>
      <c r="AF62" s="87" t="str">
        <f t="shared" si="44"/>
        <v/>
      </c>
      <c r="AG62" s="87" t="str">
        <f t="shared" si="44"/>
        <v/>
      </c>
      <c r="AH62" s="87" t="str">
        <f t="shared" si="44"/>
        <v/>
      </c>
      <c r="AI62" s="87" t="str">
        <f t="shared" si="44"/>
        <v/>
      </c>
      <c r="AJ62" s="87" t="str">
        <f t="shared" ref="AJ62:BO62" si="45">IF(ISNUMBER(outYear),IF(pbi_combined_tax_fed="Yes",AJ44,0),"")</f>
        <v/>
      </c>
      <c r="AK62" s="87" t="str">
        <f t="shared" si="45"/>
        <v/>
      </c>
      <c r="AL62" s="87" t="str">
        <f t="shared" si="45"/>
        <v/>
      </c>
      <c r="AM62" s="87" t="str">
        <f t="shared" si="45"/>
        <v/>
      </c>
      <c r="AN62" s="87" t="str">
        <f t="shared" si="45"/>
        <v/>
      </c>
      <c r="AO62" s="87" t="str">
        <f t="shared" si="45"/>
        <v/>
      </c>
      <c r="AP62" s="87" t="str">
        <f t="shared" si="45"/>
        <v/>
      </c>
      <c r="AQ62" s="87" t="str">
        <f t="shared" si="45"/>
        <v/>
      </c>
      <c r="AR62" s="87" t="str">
        <f t="shared" si="45"/>
        <v/>
      </c>
      <c r="AS62" s="87" t="str">
        <f t="shared" si="45"/>
        <v/>
      </c>
      <c r="AT62" s="87" t="str">
        <f t="shared" si="45"/>
        <v/>
      </c>
      <c r="AU62" s="87" t="str">
        <f t="shared" si="45"/>
        <v/>
      </c>
      <c r="AV62" s="87" t="str">
        <f t="shared" si="45"/>
        <v/>
      </c>
      <c r="AW62" s="87" t="str">
        <f t="shared" si="45"/>
        <v/>
      </c>
      <c r="AX62" s="87" t="str">
        <f t="shared" si="45"/>
        <v/>
      </c>
      <c r="AY62" s="87" t="str">
        <f t="shared" si="45"/>
        <v/>
      </c>
      <c r="AZ62" s="87" t="str">
        <f t="shared" si="45"/>
        <v/>
      </c>
      <c r="BA62" s="87" t="str">
        <f t="shared" si="45"/>
        <v/>
      </c>
      <c r="BB62" s="87" t="str">
        <f t="shared" si="45"/>
        <v/>
      </c>
      <c r="BC62" s="87" t="str">
        <f t="shared" si="45"/>
        <v/>
      </c>
      <c r="BD62" s="87" t="str">
        <f t="shared" si="45"/>
        <v/>
      </c>
      <c r="BE62" s="87" t="str">
        <f t="shared" si="45"/>
        <v/>
      </c>
      <c r="BF62" s="87" t="str">
        <f t="shared" si="45"/>
        <v/>
      </c>
      <c r="BG62" s="87" t="str">
        <f t="shared" si="45"/>
        <v/>
      </c>
      <c r="BH62" s="87" t="str">
        <f t="shared" si="45"/>
        <v/>
      </c>
      <c r="BI62" s="87" t="str">
        <f t="shared" si="45"/>
        <v/>
      </c>
      <c r="BJ62" s="87" t="str">
        <f t="shared" si="45"/>
        <v/>
      </c>
      <c r="BK62" s="87" t="str">
        <f t="shared" si="45"/>
        <v/>
      </c>
      <c r="BL62" s="87" t="str">
        <f t="shared" si="45"/>
        <v/>
      </c>
      <c r="BM62" s="87" t="str">
        <f t="shared" si="45"/>
        <v/>
      </c>
      <c r="BN62" s="87" t="str">
        <f t="shared" si="45"/>
        <v/>
      </c>
      <c r="BO62" s="87" t="str">
        <f t="shared" si="45"/>
        <v/>
      </c>
      <c r="BP62" s="87" t="str">
        <f t="shared" ref="BP62:CX62" si="46">IF(ISNUMBER(outYear),IF(pbi_combined_tax_fed="Yes",BP44,0),"")</f>
        <v/>
      </c>
      <c r="BQ62" s="87" t="str">
        <f t="shared" si="46"/>
        <v/>
      </c>
      <c r="BR62" s="87" t="str">
        <f t="shared" si="46"/>
        <v/>
      </c>
      <c r="BS62" s="87" t="str">
        <f t="shared" si="46"/>
        <v/>
      </c>
      <c r="BT62" s="87" t="str">
        <f t="shared" si="46"/>
        <v/>
      </c>
      <c r="BU62" s="87" t="str">
        <f t="shared" si="46"/>
        <v/>
      </c>
      <c r="BV62" s="87" t="str">
        <f t="shared" si="46"/>
        <v/>
      </c>
      <c r="BW62" s="87" t="str">
        <f t="shared" si="46"/>
        <v/>
      </c>
      <c r="BX62" s="87" t="str">
        <f t="shared" si="46"/>
        <v/>
      </c>
      <c r="BY62" s="87" t="str">
        <f t="shared" si="46"/>
        <v/>
      </c>
      <c r="BZ62" s="87" t="str">
        <f t="shared" si="46"/>
        <v/>
      </c>
      <c r="CA62" s="87" t="str">
        <f t="shared" si="46"/>
        <v/>
      </c>
      <c r="CB62" s="87" t="str">
        <f t="shared" si="46"/>
        <v/>
      </c>
      <c r="CC62" s="87" t="str">
        <f t="shared" si="46"/>
        <v/>
      </c>
      <c r="CD62" s="87" t="str">
        <f t="shared" si="46"/>
        <v/>
      </c>
      <c r="CE62" s="87" t="str">
        <f t="shared" si="46"/>
        <v/>
      </c>
      <c r="CF62" s="87" t="str">
        <f t="shared" si="46"/>
        <v/>
      </c>
      <c r="CG62" s="87" t="str">
        <f t="shared" si="46"/>
        <v/>
      </c>
      <c r="CH62" s="87" t="str">
        <f t="shared" si="46"/>
        <v/>
      </c>
      <c r="CI62" s="87" t="str">
        <f t="shared" si="46"/>
        <v/>
      </c>
      <c r="CJ62" s="87" t="str">
        <f t="shared" si="46"/>
        <v/>
      </c>
      <c r="CK62" s="87" t="str">
        <f t="shared" si="46"/>
        <v/>
      </c>
      <c r="CL62" s="87" t="str">
        <f t="shared" si="46"/>
        <v/>
      </c>
      <c r="CM62" s="87" t="str">
        <f t="shared" si="46"/>
        <v/>
      </c>
      <c r="CN62" s="87" t="str">
        <f t="shared" si="46"/>
        <v/>
      </c>
      <c r="CO62" s="87" t="str">
        <f t="shared" si="46"/>
        <v/>
      </c>
      <c r="CP62" s="87" t="str">
        <f t="shared" si="46"/>
        <v/>
      </c>
      <c r="CQ62" s="87" t="str">
        <f t="shared" si="46"/>
        <v/>
      </c>
      <c r="CR62" s="87" t="str">
        <f t="shared" si="46"/>
        <v/>
      </c>
      <c r="CS62" s="87" t="str">
        <f t="shared" si="46"/>
        <v/>
      </c>
      <c r="CT62" s="87" t="str">
        <f t="shared" si="46"/>
        <v/>
      </c>
      <c r="CU62" s="87" t="str">
        <f t="shared" si="46"/>
        <v/>
      </c>
      <c r="CV62" s="87" t="str">
        <f t="shared" si="46"/>
        <v/>
      </c>
      <c r="CW62" s="87" t="str">
        <f t="shared" si="46"/>
        <v/>
      </c>
      <c r="CX62" s="87" t="str">
        <f t="shared" si="46"/>
        <v/>
      </c>
      <c r="CY62" s="87" t="str">
        <f>IF(ISNUMBER(outYear),CY37+CY42+#REF!+CY59,"")</f>
        <v/>
      </c>
      <c r="CZ62" s="87" t="str">
        <f>IF(ISNUMBER(outYear),CZ37+CZ42+#REF!+CZ59,"")</f>
        <v/>
      </c>
      <c r="DA62" s="87" t="str">
        <f>IF(ISNUMBER(outYear),DA37+DA42+#REF!+DA59,"")</f>
        <v/>
      </c>
      <c r="DB62" s="87" t="str">
        <f>IF(ISNUMBER(outYear),DB37+DB42+#REF!+DB59,"")</f>
        <v/>
      </c>
      <c r="DC62" s="87" t="str">
        <f>IF(ISNUMBER(outYear),DC37+DC42+#REF!+DC59,"")</f>
        <v/>
      </c>
      <c r="DD62" s="87" t="str">
        <f>IF(ISNUMBER(outYear),DD37+DD42+#REF!+DD59,"")</f>
        <v/>
      </c>
      <c r="DE62" s="87" t="str">
        <f>IF(ISNUMBER(outYear),DE37+DE42+#REF!+DE59,"")</f>
        <v/>
      </c>
      <c r="DF62" s="87" t="str">
        <f>IF(ISNUMBER(outYear),DF37+DF42+#REF!+DF59,"")</f>
        <v/>
      </c>
      <c r="DG62" s="87" t="str">
        <f>IF(ISNUMBER(outYear),DG37+DG42+#REF!+DG59,"")</f>
        <v/>
      </c>
      <c r="DH62" s="87" t="str">
        <f>IF(ISNUMBER(outYear),DH37+DH42+#REF!+DH59,"")</f>
        <v/>
      </c>
      <c r="DI62" s="87" t="str">
        <f>IF(ISNUMBER(outYear),DI37+DI42+#REF!+DI59,"")</f>
        <v/>
      </c>
      <c r="DJ62" s="87" t="str">
        <f>IF(ISNUMBER(outYear),DJ37+DJ42+#REF!+DJ59,"")</f>
        <v/>
      </c>
      <c r="DK62" s="87" t="str">
        <f>IF(ISNUMBER(outYear),DK37+DK42+#REF!+DK59,"")</f>
        <v/>
      </c>
      <c r="DL62" s="87" t="str">
        <f>IF(ISNUMBER(outYear),DL37+DL42+#REF!+DL59,"")</f>
        <v/>
      </c>
      <c r="DM62" s="87" t="str">
        <f>IF(ISNUMBER(outYear),DM37+DM42+#REF!+DM59,"")</f>
        <v/>
      </c>
      <c r="DN62" s="87" t="str">
        <f>IF(ISNUMBER(outYear),DN37+DN42+#REF!+DN59,"")</f>
        <v/>
      </c>
      <c r="DO62" s="87" t="str">
        <f>IF(ISNUMBER(outYear),DO37+DO42+#REF!+DO59,"")</f>
        <v/>
      </c>
      <c r="DP62" s="87" t="str">
        <f>IF(ISNUMBER(outYear),DP37+DP42+#REF!+DP59,"")</f>
        <v/>
      </c>
      <c r="DQ62" s="87" t="str">
        <f>IF(ISNUMBER(outYear),DQ37+DQ42+#REF!+DQ59,"")</f>
        <v/>
      </c>
      <c r="DR62" s="87" t="str">
        <f>IF(ISNUMBER(outYear),DR37+DR42+#REF!+DR59,"")</f>
        <v/>
      </c>
      <c r="DS62" s="87" t="str">
        <f>IF(ISNUMBER(outYear),DS37+DS42+#REF!+DS59,"")</f>
        <v/>
      </c>
      <c r="DT62" s="87" t="str">
        <f>IF(ISNUMBER(outYear),DT37+DT42+#REF!+DT59,"")</f>
        <v/>
      </c>
      <c r="DU62" s="87" t="str">
        <f>IF(ISNUMBER(outYear),DU37+DU42+#REF!+DU59,"")</f>
        <v/>
      </c>
      <c r="DV62" s="87" t="str">
        <f>IF(ISNUMBER(outYear),DV37+DV42+#REF!+DV59,"")</f>
        <v/>
      </c>
      <c r="DW62" s="87" t="str">
        <f>IF(ISNUMBER(outYear),DW37+DW42+#REF!+DW59,"")</f>
        <v/>
      </c>
      <c r="DX62" s="87" t="str">
        <f>IF(ISNUMBER(outYear),DX37+DX42+#REF!+DX59,"")</f>
        <v/>
      </c>
      <c r="DY62" s="87" t="str">
        <f>IF(ISNUMBER(outYear),DY37+DY42+#REF!+DY59,"")</f>
        <v/>
      </c>
      <c r="DZ62" s="87" t="str">
        <f>IF(ISNUMBER(outYear),DZ37+DZ42+#REF!+DZ59,"")</f>
        <v/>
      </c>
      <c r="EA62" s="87" t="str">
        <f>IF(ISNUMBER(outYear),EA37+EA42+#REF!+EA59,"")</f>
        <v/>
      </c>
      <c r="EB62" s="87" t="str">
        <f>IF(ISNUMBER(outYear),EB37+EB42+#REF!+EB59,"")</f>
        <v/>
      </c>
      <c r="EC62" s="87" t="str">
        <f>IF(ISNUMBER(outYear),EC37+EC42+#REF!+EC59,"")</f>
        <v/>
      </c>
      <c r="ED62" s="87" t="str">
        <f>IF(ISNUMBER(outYear),ED37+ED42+#REF!+ED59,"")</f>
        <v/>
      </c>
      <c r="EE62" s="87" t="str">
        <f>IF(ISNUMBER(outYear),EE37+EE42+#REF!+EE59,"")</f>
        <v/>
      </c>
      <c r="EF62" s="87" t="str">
        <f>IF(ISNUMBER(outYear),EF37+EF42+#REF!+EF59,"")</f>
        <v/>
      </c>
      <c r="EG62" s="87" t="str">
        <f>IF(ISNUMBER(outYear),EG37+EG42+#REF!+EG59,"")</f>
        <v/>
      </c>
      <c r="EH62" s="87" t="str">
        <f>IF(ISNUMBER(outYear),EH37+EH42+#REF!+EH59,"")</f>
        <v/>
      </c>
      <c r="EI62" s="87" t="str">
        <f>IF(ISNUMBER(outYear),EI37+EI42+#REF!+EI59,"")</f>
        <v/>
      </c>
      <c r="EJ62" s="87" t="str">
        <f>IF(ISNUMBER(outYear),EJ37+EJ42+#REF!+EJ59,"")</f>
        <v/>
      </c>
      <c r="EK62" s="87" t="str">
        <f>IF(ISNUMBER(outYear),EK37+EK42+#REF!+EK59,"")</f>
        <v/>
      </c>
      <c r="EL62" s="87" t="str">
        <f>IF(ISNUMBER(outYear),EL37+EL42+#REF!+EL59,"")</f>
        <v/>
      </c>
      <c r="EM62" s="87" t="str">
        <f>IF(ISNUMBER(outYear),EM37+EM42+#REF!+EM59,"")</f>
        <v/>
      </c>
      <c r="EN62" s="87" t="str">
        <f>IF(ISNUMBER(outYear),EN37+EN42+#REF!+EN59,"")</f>
        <v/>
      </c>
      <c r="EO62" s="87" t="str">
        <f>IF(ISNUMBER(outYear),EO37+EO42+#REF!+EO59,"")</f>
        <v/>
      </c>
      <c r="EP62" s="87" t="str">
        <f>IF(ISNUMBER(outYear),EP37+EP42+#REF!+EP59,"")</f>
        <v/>
      </c>
      <c r="EQ62" s="87" t="str">
        <f>IF(ISNUMBER(outYear),EQ37+EQ42+#REF!+EQ59,"")</f>
        <v/>
      </c>
      <c r="ER62" s="87" t="str">
        <f>IF(ISNUMBER(outYear),ER37+ER42+#REF!+ER59,"")</f>
        <v/>
      </c>
      <c r="ES62" s="87" t="str">
        <f>IF(ISNUMBER(outYear),ES37+ES42+#REF!+ES59,"")</f>
        <v/>
      </c>
      <c r="ET62" s="87" t="str">
        <f>IF(ISNUMBER(outYear),ET37+ET42+#REF!+ET59,"")</f>
        <v/>
      </c>
      <c r="EU62" s="87" t="str">
        <f>IF(ISNUMBER(outYear),EU37+EU42+#REF!+EU59,"")</f>
        <v/>
      </c>
      <c r="EV62" s="87" t="str">
        <f>IF(ISNUMBER(outYear),EV37+EV42+#REF!+EV59,"")</f>
        <v/>
      </c>
      <c r="EW62" s="87" t="str">
        <f>IF(ISNUMBER(outYear),EW37+EW42+#REF!+EW59,"")</f>
        <v/>
      </c>
      <c r="EX62" s="87" t="str">
        <f>IF(ISNUMBER(outYear),EX37+EX42+#REF!+EX59,"")</f>
        <v/>
      </c>
      <c r="EY62" s="87" t="str">
        <f>IF(ISNUMBER(outYear),EY37+EY42+#REF!+EY59,"")</f>
        <v/>
      </c>
      <c r="EZ62" s="87" t="str">
        <f>IF(ISNUMBER(outYear),EZ37+EZ42+#REF!+EZ59,"")</f>
        <v/>
      </c>
      <c r="FA62" s="87" t="str">
        <f>IF(ISNUMBER(outYear),FA37+FA42+#REF!+FA59,"")</f>
        <v/>
      </c>
      <c r="FB62" s="87" t="str">
        <f>IF(ISNUMBER(outYear),FB37+FB42+#REF!+FB59,"")</f>
        <v/>
      </c>
      <c r="FC62" s="87" t="str">
        <f>IF(ISNUMBER(outYear),FC37+FC42+#REF!+FC59,"")</f>
        <v/>
      </c>
      <c r="FD62" s="87" t="str">
        <f>IF(ISNUMBER(outYear),FD37+FD42+#REF!+FD59,"")</f>
        <v/>
      </c>
      <c r="FE62" s="87" t="str">
        <f>IF(ISNUMBER(outYear),FE37+FE42+#REF!+FE59,"")</f>
        <v/>
      </c>
      <c r="FF62" s="87" t="str">
        <f>IF(ISNUMBER(outYear),FF37+FF42+#REF!+FF59,"")</f>
        <v/>
      </c>
      <c r="FG62" s="87" t="str">
        <f>IF(ISNUMBER(outYear),FG37+FG42+#REF!+FG59,"")</f>
        <v/>
      </c>
      <c r="FH62" s="87" t="str">
        <f>IF(ISNUMBER(outYear),FH37+FH42+#REF!+FH59,"")</f>
        <v/>
      </c>
      <c r="FI62" s="87" t="str">
        <f>IF(ISNUMBER(outYear),FI37+FI42+#REF!+FI59,"")</f>
        <v/>
      </c>
      <c r="FJ62" s="87" t="str">
        <f>IF(ISNUMBER(outYear),FJ37+FJ42+#REF!+FJ59,"")</f>
        <v/>
      </c>
      <c r="FK62" s="87" t="str">
        <f>IF(ISNUMBER(outYear),FK37+FK42+#REF!+FK59,"")</f>
        <v/>
      </c>
      <c r="FL62" s="87" t="str">
        <f>IF(ISNUMBER(outYear),FL37+FL42+#REF!+FL59,"")</f>
        <v/>
      </c>
      <c r="FM62" s="87" t="str">
        <f>IF(ISNUMBER(outYear),FM37+FM42+#REF!+FM59,"")</f>
        <v/>
      </c>
      <c r="FN62" s="87" t="str">
        <f>IF(ISNUMBER(outYear),FN37+FN42+#REF!+FN59,"")</f>
        <v/>
      </c>
      <c r="FO62" s="87" t="str">
        <f>IF(ISNUMBER(outYear),FO37+FO42+#REF!+FO59,"")</f>
        <v/>
      </c>
      <c r="FP62" s="87" t="str">
        <f>IF(ISNUMBER(outYear),FP37+FP42+#REF!+FP59,"")</f>
        <v/>
      </c>
      <c r="FQ62" s="87" t="str">
        <f>IF(ISNUMBER(outYear),FQ37+FQ42+#REF!+FQ59,"")</f>
        <v/>
      </c>
      <c r="FR62" s="87" t="str">
        <f>IF(ISNUMBER(outYear),FR37+FR42+#REF!+FR59,"")</f>
        <v/>
      </c>
      <c r="FS62" s="87" t="str">
        <f>IF(ISNUMBER(outYear),FS37+FS42+#REF!+FS59,"")</f>
        <v/>
      </c>
      <c r="FT62" s="87" t="str">
        <f>IF(ISNUMBER(outYear),FT37+FT42+#REF!+FT59,"")</f>
        <v/>
      </c>
      <c r="FU62" s="87" t="str">
        <f>IF(ISNUMBER(outYear),FU37+FU42+#REF!+FU59,"")</f>
        <v/>
      </c>
      <c r="FV62" s="87" t="str">
        <f>IF(ISNUMBER(outYear),FV37+FV42+#REF!+FV59,"")</f>
        <v/>
      </c>
      <c r="FW62" s="87" t="str">
        <f>IF(ISNUMBER(outYear),FW37+FW42+#REF!+FW59,"")</f>
        <v/>
      </c>
      <c r="FX62" s="87" t="str">
        <f>IF(ISNUMBER(outYear),FX37+FX42+#REF!+FX59,"")</f>
        <v/>
      </c>
      <c r="FY62" s="87" t="str">
        <f>IF(ISNUMBER(outYear),FY37+FY42+#REF!+FY59,"")</f>
        <v/>
      </c>
      <c r="FZ62" s="87" t="str">
        <f>IF(ISNUMBER(outYear),FZ37+FZ42+#REF!+FZ59,"")</f>
        <v/>
      </c>
      <c r="GA62" s="87" t="str">
        <f>IF(ISNUMBER(outYear),GA37+GA42+#REF!+GA59,"")</f>
        <v/>
      </c>
      <c r="GB62" s="87" t="str">
        <f>IF(ISNUMBER(outYear),GB37+GB42+#REF!+GB59,"")</f>
        <v/>
      </c>
      <c r="GC62" s="87" t="str">
        <f>IF(ISNUMBER(outYear),GC37+GC42+#REF!+GC59,"")</f>
        <v/>
      </c>
      <c r="GD62" s="87" t="str">
        <f>IF(ISNUMBER(outYear),GD37+GD42+#REF!+GD59,"")</f>
        <v/>
      </c>
      <c r="GE62" s="87" t="str">
        <f>IF(ISNUMBER(outYear),GE37+GE42+#REF!+GE59,"")</f>
        <v/>
      </c>
      <c r="GF62" s="87" t="str">
        <f>IF(ISNUMBER(outYear),GF37+GF42+#REF!+GF59,"")</f>
        <v/>
      </c>
      <c r="GG62" s="87" t="str">
        <f>IF(ISNUMBER(outYear),GG37+GG42+#REF!+GG59,"")</f>
        <v/>
      </c>
      <c r="GH62" s="87" t="str">
        <f>IF(ISNUMBER(outYear),GH37+GH42+#REF!+GH59,"")</f>
        <v/>
      </c>
      <c r="GI62" s="87" t="str">
        <f>IF(ISNUMBER(outYear),GI37+GI42+#REF!+GI59,"")</f>
        <v/>
      </c>
      <c r="GJ62" s="87" t="str">
        <f>IF(ISNUMBER(outYear),GJ37+GJ42+#REF!+GJ59,"")</f>
        <v/>
      </c>
      <c r="GK62" s="87" t="str">
        <f>IF(ISNUMBER(outYear),GK37+GK42+#REF!+GK59,"")</f>
        <v/>
      </c>
      <c r="GL62" s="87" t="str">
        <f>IF(ISNUMBER(outYear),GL37+GL42+#REF!+GL59,"")</f>
        <v/>
      </c>
      <c r="GM62" s="87" t="str">
        <f>IF(ISNUMBER(outYear),GM37+GM42+#REF!+GM59,"")</f>
        <v/>
      </c>
      <c r="GN62" s="87" t="str">
        <f>IF(ISNUMBER(outYear),GN37+GN42+#REF!+GN59,"")</f>
        <v/>
      </c>
      <c r="GO62" s="87" t="str">
        <f>IF(ISNUMBER(outYear),GO37+GO42+#REF!+GO59,"")</f>
        <v/>
      </c>
      <c r="GP62" s="87" t="str">
        <f>IF(ISNUMBER(outYear),GP37+GP42+#REF!+GP59,"")</f>
        <v/>
      </c>
      <c r="GQ62" s="87" t="str">
        <f>IF(ISNUMBER(outYear),GQ37+GQ42+#REF!+GQ59,"")</f>
        <v/>
      </c>
      <c r="GR62" s="87" t="str">
        <f>IF(ISNUMBER(outYear),GR37+GR42+#REF!+GR59,"")</f>
        <v/>
      </c>
      <c r="GS62" s="87" t="str">
        <f>IF(ISNUMBER(outYear),GS37+GS42+#REF!+GS59,"")</f>
        <v/>
      </c>
      <c r="GT62" s="87" t="str">
        <f>IF(ISNUMBER(outYear),GT37+GT42+#REF!+GT59,"")</f>
        <v/>
      </c>
      <c r="GU62" s="87" t="str">
        <f>IF(ISNUMBER(outYear),GU37+GU42+#REF!+GU59,"")</f>
        <v/>
      </c>
      <c r="GV62" s="87" t="str">
        <f>IF(ISNUMBER(outYear),GV37+GV42+#REF!+GV59,"")</f>
        <v/>
      </c>
      <c r="GW62" s="87" t="str">
        <f>IF(ISNUMBER(outYear),GW37+GW42+#REF!+GW59,"")</f>
        <v/>
      </c>
      <c r="GX62" s="87" t="str">
        <f>IF(ISNUMBER(outYear),GX37+GX42+#REF!+GX59,"")</f>
        <v/>
      </c>
      <c r="GY62" s="87" t="str">
        <f>IF(ISNUMBER(outYear),GY37+GY42+#REF!+GY59,"")</f>
        <v/>
      </c>
      <c r="GZ62" s="87" t="str">
        <f>IF(ISNUMBER(outYear),GZ37+GZ42+#REF!+GZ59,"")</f>
        <v/>
      </c>
      <c r="HA62" s="87" t="str">
        <f>IF(ISNUMBER(outYear),HA37+HA42+#REF!+HA59,"")</f>
        <v/>
      </c>
      <c r="HB62" s="87" t="str">
        <f>IF(ISNUMBER(outYear),HB37+HB42+#REF!+HB59,"")</f>
        <v/>
      </c>
      <c r="HC62" s="87" t="str">
        <f>IF(ISNUMBER(outYear),HC37+HC42+#REF!+HC59,"")</f>
        <v/>
      </c>
      <c r="HD62" s="87" t="str">
        <f>IF(ISNUMBER(outYear),HD37+HD42+#REF!+HD59,"")</f>
        <v/>
      </c>
      <c r="HE62" s="87" t="str">
        <f>IF(ISNUMBER(outYear),HE37+HE42+#REF!+HE59,"")</f>
        <v/>
      </c>
      <c r="HF62" s="87" t="str">
        <f>IF(ISNUMBER(outYear),HF37+HF42+#REF!+HF59,"")</f>
        <v/>
      </c>
      <c r="HG62" s="87" t="str">
        <f>IF(ISNUMBER(outYear),HG37+HG42+#REF!+HG59,"")</f>
        <v/>
      </c>
      <c r="HH62" s="87" t="str">
        <f>IF(ISNUMBER(outYear),HH37+HH42+#REF!+HH59,"")</f>
        <v/>
      </c>
      <c r="HI62" s="87" t="str">
        <f>IF(ISNUMBER(outYear),HI37+HI42+#REF!+HI59,"")</f>
        <v/>
      </c>
      <c r="HJ62" s="87" t="str">
        <f>IF(ISNUMBER(outYear),HJ37+HJ42+#REF!+HJ59,"")</f>
        <v/>
      </c>
      <c r="HK62" s="87" t="str">
        <f>IF(ISNUMBER(outYear),HK37+HK42+#REF!+HK59,"")</f>
        <v/>
      </c>
      <c r="HL62" s="87" t="str">
        <f>IF(ISNUMBER(outYear),HL37+HL42+#REF!+HL59,"")</f>
        <v/>
      </c>
      <c r="HM62" s="87" t="str">
        <f>IF(ISNUMBER(outYear),HM37+HM42+#REF!+HM59,"")</f>
        <v/>
      </c>
      <c r="HN62" s="87" t="str">
        <f>IF(ISNUMBER(outYear),HN37+HN42+#REF!+HN59,"")</f>
        <v/>
      </c>
      <c r="HO62" s="87" t="str">
        <f>IF(ISNUMBER(outYear),HO37+HO42+#REF!+HO59,"")</f>
        <v/>
      </c>
      <c r="HP62" s="87" t="str">
        <f>IF(ISNUMBER(outYear),HP37+HP42+#REF!+HP59,"")</f>
        <v/>
      </c>
      <c r="HQ62" s="87" t="str">
        <f>IF(ISNUMBER(outYear),HQ37+HQ42+#REF!+HQ59,"")</f>
        <v/>
      </c>
      <c r="HR62" s="87" t="str">
        <f>IF(ISNUMBER(outYear),HR37+HR42+#REF!+HR59,"")</f>
        <v/>
      </c>
      <c r="HS62" s="87" t="str">
        <f>IF(ISNUMBER(outYear),HS37+HS42+#REF!+HS59,"")</f>
        <v/>
      </c>
      <c r="HT62" s="87" t="str">
        <f>IF(ISNUMBER(outYear),HT37+HT42+#REF!+HT59,"")</f>
        <v/>
      </c>
      <c r="HU62" s="87" t="str">
        <f>IF(ISNUMBER(outYear),HU37+HU42+#REF!+HU59,"")</f>
        <v/>
      </c>
      <c r="HV62" s="87" t="str">
        <f>IF(ISNUMBER(outYear),HV37+HV42+#REF!+HV59,"")</f>
        <v/>
      </c>
      <c r="HW62" s="87" t="str">
        <f>IF(ISNUMBER(outYear),HW37+HW42+#REF!+HW59,"")</f>
        <v/>
      </c>
      <c r="HX62" s="87" t="str">
        <f>IF(ISNUMBER(outYear),HX37+HX42+#REF!+HX59,"")</f>
        <v/>
      </c>
      <c r="HY62" s="87" t="str">
        <f>IF(ISNUMBER(outYear),HY37+HY42+#REF!+HY59,"")</f>
        <v/>
      </c>
      <c r="HZ62" s="87" t="str">
        <f>IF(ISNUMBER(outYear),HZ37+HZ42+#REF!+HZ59,"")</f>
        <v/>
      </c>
      <c r="IA62" s="87" t="str">
        <f>IF(ISNUMBER(outYear),IA37+IA42+#REF!+IA59,"")</f>
        <v/>
      </c>
      <c r="IB62" s="87" t="str">
        <f>IF(ISNUMBER(outYear),IB37+IB42+#REF!+IB59,"")</f>
        <v/>
      </c>
      <c r="IC62" s="87" t="str">
        <f>IF(ISNUMBER(outYear),IC37+IC42+#REF!+IC59,"")</f>
        <v/>
      </c>
      <c r="ID62" s="87" t="str">
        <f>IF(ISNUMBER(outYear),ID37+ID42+#REF!+ID59,"")</f>
        <v/>
      </c>
      <c r="IE62" s="87" t="str">
        <f>IF(ISNUMBER(outYear),IE37+IE42+#REF!+IE59,"")</f>
        <v/>
      </c>
      <c r="IF62" s="87" t="str">
        <f>IF(ISNUMBER(outYear),IF37+IF42+#REF!+IF59,"")</f>
        <v/>
      </c>
      <c r="IG62" s="87" t="str">
        <f>IF(ISNUMBER(outYear),IG37+IG42+#REF!+IG59,"")</f>
        <v/>
      </c>
      <c r="IH62" s="87" t="str">
        <f>IF(ISNUMBER(outYear),IH37+IH42+#REF!+IH59,"")</f>
        <v/>
      </c>
      <c r="II62" s="87" t="str">
        <f>IF(ISNUMBER(outYear),II37+II42+#REF!+II59,"")</f>
        <v/>
      </c>
      <c r="IJ62" s="87" t="str">
        <f>IF(ISNUMBER(outYear),IJ37+IJ42+#REF!+IJ59,"")</f>
        <v/>
      </c>
      <c r="IK62" s="87" t="str">
        <f>IF(ISNUMBER(outYear),IK37+IK42+#REF!+IK59,"")</f>
        <v/>
      </c>
      <c r="IL62" s="87" t="str">
        <f>IF(ISNUMBER(outYear),IL37+IL42+#REF!+IL59,"")</f>
        <v/>
      </c>
      <c r="IM62" s="87" t="str">
        <f>IF(ISNUMBER(outYear),IM37+IM42+#REF!+IM59,"")</f>
        <v/>
      </c>
      <c r="IN62" s="87" t="str">
        <f>IF(ISNUMBER(outYear),IN37+IN42+#REF!+IN59,"")</f>
        <v/>
      </c>
      <c r="IO62" s="87" t="str">
        <f>IF(ISNUMBER(outYear),IO37+IO42+#REF!+IO59,"")</f>
        <v/>
      </c>
      <c r="IP62" s="87" t="str">
        <f>IF(ISNUMBER(outYear),IP37+IP42+#REF!+IP59,"")</f>
        <v/>
      </c>
      <c r="IQ62" s="87" t="str">
        <f>IF(ISNUMBER(outYear),IQ37+IQ42+#REF!+IQ59,"")</f>
        <v/>
      </c>
      <c r="IR62" s="87" t="str">
        <f>IF(ISNUMBER(outYear),IR37+IR42+#REF!+IR59,"")</f>
        <v/>
      </c>
      <c r="IS62" s="87" t="str">
        <f>IF(ISNUMBER(outYear),IS37+IS42+#REF!+IS59,"")</f>
        <v/>
      </c>
      <c r="IT62" s="87" t="str">
        <f>IF(ISNUMBER(outYear),IT37+IT42+#REF!+IT59,"")</f>
        <v/>
      </c>
      <c r="IU62" s="87" t="str">
        <f>IF(ISNUMBER(outYear),IU37+IU42+#REF!+IU59,"")</f>
        <v/>
      </c>
      <c r="IV62" s="87" t="str">
        <f>IF(ISNUMBER(outYear),IV37+IV42+#REF!+IV59,"")</f>
        <v/>
      </c>
      <c r="IW62" s="87" t="str">
        <f>IF(ISNUMBER(outYear),IW37+IW42+#REF!+IW59,"")</f>
        <v/>
      </c>
      <c r="IX62" s="87" t="str">
        <f>IF(ISNUMBER(outYear),IX37+IX42+#REF!+IX59,"")</f>
        <v/>
      </c>
      <c r="IY62" s="87" t="str">
        <f>IF(ISNUMBER(outYear),IY37+IY42+#REF!+IY59,"")</f>
        <v/>
      </c>
      <c r="IZ62" s="87" t="str">
        <f>IF(ISNUMBER(outYear),IZ37+IZ42+#REF!+IZ59,"")</f>
        <v/>
      </c>
      <c r="JA62" s="87" t="str">
        <f>IF(ISNUMBER(outYear),JA37+JA42+#REF!+JA59,"")</f>
        <v/>
      </c>
      <c r="JB62" s="87" t="str">
        <f>IF(ISNUMBER(outYear),JB37+JB42+#REF!+JB59,"")</f>
        <v/>
      </c>
      <c r="JC62" s="87" t="str">
        <f>IF(ISNUMBER(outYear),JC37+JC42+#REF!+JC59,"")</f>
        <v/>
      </c>
      <c r="JD62" s="87" t="str">
        <f>IF(ISNUMBER(outYear),JD37+JD42+#REF!+JD59,"")</f>
        <v/>
      </c>
      <c r="JE62" s="87" t="str">
        <f>IF(ISNUMBER(outYear),JE37+JE42+#REF!+JE59,"")</f>
        <v/>
      </c>
      <c r="JF62" s="87" t="str">
        <f>IF(ISNUMBER(outYear),JF37+JF42+#REF!+JF59,"")</f>
        <v/>
      </c>
      <c r="JG62" s="87" t="str">
        <f>IF(ISNUMBER(outYear),JG37+JG42+#REF!+JG59,"")</f>
        <v/>
      </c>
      <c r="JH62" s="87" t="str">
        <f>IF(ISNUMBER(outYear),JH37+JH42+#REF!+JH59,"")</f>
        <v/>
      </c>
      <c r="JI62" s="87" t="str">
        <f>IF(ISNUMBER(outYear),JI37+JI42+#REF!+JI59,"")</f>
        <v/>
      </c>
      <c r="JJ62" s="87" t="str">
        <f>IF(ISNUMBER(outYear),JJ37+JJ42+#REF!+JJ59,"")</f>
        <v/>
      </c>
      <c r="JK62" s="87" t="str">
        <f>IF(ISNUMBER(outYear),JK37+JK42+#REF!+JK59,"")</f>
        <v/>
      </c>
      <c r="JL62" s="87" t="str">
        <f>IF(ISNUMBER(outYear),JL37+JL42+#REF!+JL59,"")</f>
        <v/>
      </c>
      <c r="JM62" s="87" t="str">
        <f>IF(ISNUMBER(outYear),JM37+JM42+#REF!+JM59,"")</f>
        <v/>
      </c>
      <c r="JN62" s="87" t="str">
        <f>IF(ISNUMBER(outYear),JN37+JN42+#REF!+JN59,"")</f>
        <v/>
      </c>
      <c r="JO62" s="87" t="str">
        <f>IF(ISNUMBER(outYear),JO37+JO42+#REF!+JO59,"")</f>
        <v/>
      </c>
      <c r="JP62" s="87" t="str">
        <f>IF(ISNUMBER(outYear),JP37+JP42+#REF!+JP59,"")</f>
        <v/>
      </c>
      <c r="JQ62" s="87" t="str">
        <f>IF(ISNUMBER(outYear),JQ37+JQ42+#REF!+JQ59,"")</f>
        <v/>
      </c>
      <c r="JR62" s="87" t="str">
        <f>IF(ISNUMBER(outYear),JR37+JR42+#REF!+JR59,"")</f>
        <v/>
      </c>
      <c r="JS62" s="87" t="str">
        <f>IF(ISNUMBER(outYear),JS37+JS42+#REF!+JS59,"")</f>
        <v/>
      </c>
      <c r="JT62" s="87" t="str">
        <f>IF(ISNUMBER(outYear),JT37+JT42+#REF!+JT59,"")</f>
        <v/>
      </c>
      <c r="JU62" s="87" t="str">
        <f>IF(ISNUMBER(outYear),JU37+JU42+#REF!+JU59,"")</f>
        <v/>
      </c>
      <c r="JV62" s="87" t="str">
        <f>IF(ISNUMBER(outYear),JV37+JV42+#REF!+JV59,"")</f>
        <v/>
      </c>
      <c r="JW62" s="87" t="str">
        <f>IF(ISNUMBER(outYear),JW37+JW42+#REF!+JW59,"")</f>
        <v/>
      </c>
      <c r="JX62" s="87" t="str">
        <f>IF(ISNUMBER(outYear),JX37+JX42+#REF!+JX59,"")</f>
        <v/>
      </c>
      <c r="JY62" s="87" t="str">
        <f>IF(ISNUMBER(outYear),JY37+JY42+#REF!+JY59,"")</f>
        <v/>
      </c>
      <c r="JZ62" s="87" t="str">
        <f>IF(ISNUMBER(outYear),JZ37+JZ42+#REF!+JZ59,"")</f>
        <v/>
      </c>
      <c r="KA62" s="87" t="str">
        <f>IF(ISNUMBER(outYear),KA37+KA42+#REF!+KA59,"")</f>
        <v/>
      </c>
      <c r="KB62" s="87" t="str">
        <f>IF(ISNUMBER(outYear),KB37+KB42+#REF!+KB59,"")</f>
        <v/>
      </c>
      <c r="KC62" s="87" t="str">
        <f>IF(ISNUMBER(outYear),KC37+KC42+#REF!+KC59,"")</f>
        <v/>
      </c>
      <c r="KD62" s="87" t="str">
        <f>IF(ISNUMBER(outYear),KD37+KD42+#REF!+KD59,"")</f>
        <v/>
      </c>
      <c r="KE62" s="87" t="str">
        <f>IF(ISNUMBER(outYear),KE37+KE42+#REF!+KE59,"")</f>
        <v/>
      </c>
      <c r="KF62" s="87" t="str">
        <f>IF(ISNUMBER(outYear),KF37+KF42+#REF!+KF59,"")</f>
        <v/>
      </c>
      <c r="KG62" s="87" t="str">
        <f>IF(ISNUMBER(outYear),KG37+KG42+#REF!+KG59,"")</f>
        <v/>
      </c>
      <c r="KH62" s="87" t="str">
        <f>IF(ISNUMBER(outYear),KH37+KH42+#REF!+KH59,"")</f>
        <v/>
      </c>
      <c r="KI62" s="87" t="str">
        <f>IF(ISNUMBER(outYear),KI37+KI42+#REF!+KI59,"")</f>
        <v/>
      </c>
      <c r="KJ62" s="87" t="str">
        <f>IF(ISNUMBER(outYear),KJ37+KJ42+#REF!+KJ59,"")</f>
        <v/>
      </c>
      <c r="KK62" s="87" t="str">
        <f>IF(ISNUMBER(outYear),KK37+KK42+#REF!+KK59,"")</f>
        <v/>
      </c>
      <c r="KL62" s="87" t="str">
        <f>IF(ISNUMBER(outYear),KL37+KL42+#REF!+KL59,"")</f>
        <v/>
      </c>
      <c r="KM62" s="87" t="str">
        <f>IF(ISNUMBER(outYear),KM37+KM42+#REF!+KM59,"")</f>
        <v/>
      </c>
      <c r="KN62" s="87" t="str">
        <f>IF(ISNUMBER(outYear),KN37+KN42+#REF!+KN59,"")</f>
        <v/>
      </c>
      <c r="KO62" s="87" t="str">
        <f>IF(ISNUMBER(outYear),KO37+KO42+#REF!+KO59,"")</f>
        <v/>
      </c>
      <c r="KP62" s="87" t="str">
        <f>IF(ISNUMBER(outYear),KP37+KP42+#REF!+KP59,"")</f>
        <v/>
      </c>
      <c r="KQ62" s="87" t="str">
        <f>IF(ISNUMBER(outYear),KQ37+KQ42+#REF!+KQ59,"")</f>
        <v/>
      </c>
      <c r="KR62" s="87" t="str">
        <f>IF(ISNUMBER(outYear),KR37+KR42+#REF!+KR59,"")</f>
        <v/>
      </c>
      <c r="KS62" s="87" t="str">
        <f>IF(ISNUMBER(outYear),KS37+KS42+#REF!+KS59,"")</f>
        <v/>
      </c>
      <c r="KT62" s="87" t="str">
        <f>IF(ISNUMBER(outYear),KT37+KT42+#REF!+KT59,"")</f>
        <v/>
      </c>
      <c r="KU62" s="87" t="str">
        <f>IF(ISNUMBER(outYear),KU37+KU42+#REF!+KU59,"")</f>
        <v/>
      </c>
      <c r="KV62" s="87" t="str">
        <f>IF(ISNUMBER(outYear),KV37+KV42+#REF!+KV59,"")</f>
        <v/>
      </c>
      <c r="KW62" s="87" t="str">
        <f>IF(ISNUMBER(outYear),KW37+KW42+#REF!+KW59,"")</f>
        <v/>
      </c>
      <c r="KX62" s="87" t="str">
        <f>IF(ISNUMBER(outYear),KX37+KX42+#REF!+KX59,"")</f>
        <v/>
      </c>
      <c r="KY62" s="87" t="str">
        <f>IF(ISNUMBER(outYear),KY37+KY42+#REF!+KY59,"")</f>
        <v/>
      </c>
      <c r="KZ62" s="87" t="str">
        <f>IF(ISNUMBER(outYear),KZ37+KZ42+#REF!+KZ59,"")</f>
        <v/>
      </c>
      <c r="LA62" s="87" t="str">
        <f>IF(ISNUMBER(outYear),LA37+LA42+#REF!+LA59,"")</f>
        <v/>
      </c>
      <c r="LB62" s="87" t="str">
        <f>IF(ISNUMBER(outYear),LB37+LB42+#REF!+LB59,"")</f>
        <v/>
      </c>
      <c r="LC62" s="87" t="str">
        <f>IF(ISNUMBER(outYear),LC37+LC42+#REF!+LC59,"")</f>
        <v/>
      </c>
      <c r="LD62" s="87" t="str">
        <f>IF(ISNUMBER(outYear),LD37+LD42+#REF!+LD59,"")</f>
        <v/>
      </c>
      <c r="LE62" s="87" t="str">
        <f>IF(ISNUMBER(outYear),LE37+LE42+#REF!+LE59,"")</f>
        <v/>
      </c>
      <c r="LF62" s="87" t="str">
        <f>IF(ISNUMBER(outYear),LF37+LF42+#REF!+LF59,"")</f>
        <v/>
      </c>
      <c r="LG62" s="87" t="str">
        <f>IF(ISNUMBER(outYear),LG37+LG42+#REF!+LG59,"")</f>
        <v/>
      </c>
      <c r="LH62" s="87" t="str">
        <f>IF(ISNUMBER(outYear),LH37+LH42+#REF!+LH59,"")</f>
        <v/>
      </c>
      <c r="LI62" s="87" t="str">
        <f>IF(ISNUMBER(outYear),LI37+LI42+#REF!+LI59,"")</f>
        <v/>
      </c>
      <c r="LJ62" s="87" t="str">
        <f>IF(ISNUMBER(outYear),LJ37+LJ42+#REF!+LJ59,"")</f>
        <v/>
      </c>
      <c r="LK62" s="87" t="str">
        <f>IF(ISNUMBER(outYear),LK37+LK42+#REF!+LK59,"")</f>
        <v/>
      </c>
      <c r="LL62" s="87" t="str">
        <f>IF(ISNUMBER(outYear),LL37+LL42+#REF!+LL59,"")</f>
        <v/>
      </c>
      <c r="LM62" s="87" t="str">
        <f>IF(ISNUMBER(outYear),LM37+LM42+#REF!+LM59,"")</f>
        <v/>
      </c>
      <c r="LN62" s="87" t="str">
        <f>IF(ISNUMBER(outYear),LN37+LN42+#REF!+LN59,"")</f>
        <v/>
      </c>
      <c r="LO62" s="87" t="str">
        <f>IF(ISNUMBER(outYear),LO37+LO42+#REF!+LO59,"")</f>
        <v/>
      </c>
      <c r="LP62" s="87" t="str">
        <f>IF(ISNUMBER(outYear),LP37+LP42+#REF!+LP59,"")</f>
        <v/>
      </c>
      <c r="LQ62" s="87" t="str">
        <f>IF(ISNUMBER(outYear),LQ37+LQ42+#REF!+LQ59,"")</f>
        <v/>
      </c>
      <c r="LR62" s="87" t="str">
        <f>IF(ISNUMBER(outYear),LR37+LR42+#REF!+LR59,"")</f>
        <v/>
      </c>
      <c r="LS62" s="87" t="str">
        <f>IF(ISNUMBER(outYear),LS37+LS42+#REF!+LS59,"")</f>
        <v/>
      </c>
      <c r="LT62" s="87" t="str">
        <f>IF(ISNUMBER(outYear),LT37+LT42+#REF!+LT59,"")</f>
        <v/>
      </c>
      <c r="LU62" s="87" t="str">
        <f>IF(ISNUMBER(outYear),LU37+LU42+#REF!+LU59,"")</f>
        <v/>
      </c>
      <c r="LV62" s="87" t="str">
        <f>IF(ISNUMBER(outYear),LV37+LV42+#REF!+LV59,"")</f>
        <v/>
      </c>
      <c r="LW62" s="87" t="str">
        <f>IF(ISNUMBER(outYear),LW37+LW42+#REF!+LW59,"")</f>
        <v/>
      </c>
      <c r="LX62" s="87" t="str">
        <f>IF(ISNUMBER(outYear),LX37+LX42+#REF!+LX59,"")</f>
        <v/>
      </c>
      <c r="LY62" s="87" t="str">
        <f>IF(ISNUMBER(outYear),LY37+LY42+#REF!+LY59,"")</f>
        <v/>
      </c>
      <c r="LZ62" s="87" t="str">
        <f>IF(ISNUMBER(outYear),LZ37+LZ42+#REF!+LZ59,"")</f>
        <v/>
      </c>
      <c r="MA62" s="87" t="str">
        <f>IF(ISNUMBER(outYear),MA37+MA42+#REF!+MA59,"")</f>
        <v/>
      </c>
      <c r="MB62" s="87" t="str">
        <f>IF(ISNUMBER(outYear),MB37+MB42+#REF!+MB59,"")</f>
        <v/>
      </c>
      <c r="MC62" s="87" t="str">
        <f>IF(ISNUMBER(outYear),MC37+MC42+#REF!+MC59,"")</f>
        <v/>
      </c>
      <c r="MD62" s="87" t="str">
        <f>IF(ISNUMBER(outYear),MD37+MD42+#REF!+MD59,"")</f>
        <v/>
      </c>
      <c r="ME62" s="87" t="str">
        <f>IF(ISNUMBER(outYear),ME37+ME42+#REF!+ME59,"")</f>
        <v/>
      </c>
      <c r="MF62" s="87" t="str">
        <f>IF(ISNUMBER(outYear),MF37+MF42+#REF!+MF59,"")</f>
        <v/>
      </c>
      <c r="MG62" s="87" t="str">
        <f>IF(ISNUMBER(outYear),MG37+MG42+#REF!+MG59,"")</f>
        <v/>
      </c>
      <c r="MH62" s="87" t="str">
        <f>IF(ISNUMBER(outYear),MH37+MH42+#REF!+MH59,"")</f>
        <v/>
      </c>
      <c r="MI62" s="87" t="str">
        <f>IF(ISNUMBER(outYear),MI37+MI42+#REF!+MI59,"")</f>
        <v/>
      </c>
      <c r="MJ62" s="87" t="str">
        <f>IF(ISNUMBER(outYear),MJ37+MJ42+#REF!+MJ59,"")</f>
        <v/>
      </c>
      <c r="MK62" s="87" t="str">
        <f>IF(ISNUMBER(outYear),MK37+MK42+#REF!+MK59,"")</f>
        <v/>
      </c>
      <c r="ML62" s="87" t="str">
        <f>IF(ISNUMBER(outYear),ML37+ML42+#REF!+ML59,"")</f>
        <v/>
      </c>
      <c r="MM62" s="87" t="str">
        <f>IF(ISNUMBER(outYear),MM37+MM42+#REF!+MM59,"")</f>
        <v/>
      </c>
      <c r="MN62" s="87" t="str">
        <f>IF(ISNUMBER(outYear),MN37+MN42+#REF!+MN59,"")</f>
        <v/>
      </c>
      <c r="MO62" s="87" t="str">
        <f>IF(ISNUMBER(outYear),MO37+MO42+#REF!+MO59,"")</f>
        <v/>
      </c>
      <c r="MP62" s="87" t="str">
        <f>IF(ISNUMBER(outYear),MP37+MP42+#REF!+MP59,"")</f>
        <v/>
      </c>
      <c r="MQ62" s="87" t="str">
        <f>IF(ISNUMBER(outYear),MQ37+MQ42+#REF!+MQ59,"")</f>
        <v/>
      </c>
      <c r="MR62" s="87" t="str">
        <f>IF(ISNUMBER(outYear),MR37+MR42+#REF!+MR59,"")</f>
        <v/>
      </c>
      <c r="MS62" s="87" t="str">
        <f>IF(ISNUMBER(outYear),MS37+MS42+#REF!+MS59,"")</f>
        <v/>
      </c>
      <c r="MT62" s="87" t="str">
        <f>IF(ISNUMBER(outYear),MT37+MT42+#REF!+MT59,"")</f>
        <v/>
      </c>
      <c r="MU62" s="87" t="str">
        <f>IF(ISNUMBER(outYear),MU37+MU42+#REF!+MU59,"")</f>
        <v/>
      </c>
      <c r="MV62" s="87" t="str">
        <f>IF(ISNUMBER(outYear),MV37+MV42+#REF!+MV59,"")</f>
        <v/>
      </c>
      <c r="MW62" s="87" t="str">
        <f>IF(ISNUMBER(outYear),MW37+MW42+#REF!+MW59,"")</f>
        <v/>
      </c>
      <c r="MX62" s="87" t="str">
        <f>IF(ISNUMBER(outYear),MX37+MX42+#REF!+MX59,"")</f>
        <v/>
      </c>
      <c r="MY62" s="87" t="str">
        <f>IF(ISNUMBER(outYear),MY37+MY42+#REF!+MY59,"")</f>
        <v/>
      </c>
      <c r="MZ62" s="87" t="str">
        <f>IF(ISNUMBER(outYear),MZ37+MZ42+#REF!+MZ59,"")</f>
        <v/>
      </c>
      <c r="NA62" s="87" t="str">
        <f>IF(ISNUMBER(outYear),NA37+NA42+#REF!+NA59,"")</f>
        <v/>
      </c>
      <c r="NB62" s="87" t="str">
        <f>IF(ISNUMBER(outYear),NB37+NB42+#REF!+NB59,"")</f>
        <v/>
      </c>
      <c r="NC62" s="87" t="str">
        <f>IF(ISNUMBER(outYear),NC37+NC42+#REF!+NC59,"")</f>
        <v/>
      </c>
      <c r="ND62" s="87" t="str">
        <f>IF(ISNUMBER(outYear),ND37+ND42+#REF!+ND59,"")</f>
        <v/>
      </c>
      <c r="NE62" s="87" t="str">
        <f>IF(ISNUMBER(outYear),NE37+NE42+#REF!+NE59,"")</f>
        <v/>
      </c>
      <c r="NF62" s="87" t="str">
        <f>IF(ISNUMBER(outYear),NF37+NF42+#REF!+NF59,"")</f>
        <v/>
      </c>
      <c r="NG62" s="87" t="str">
        <f>IF(ISNUMBER(outYear),NG37+NG42+#REF!+NG59,"")</f>
        <v/>
      </c>
      <c r="NH62" s="87" t="str">
        <f>IF(ISNUMBER(outYear),NH37+NH42+#REF!+NH59,"")</f>
        <v/>
      </c>
      <c r="NI62" s="87" t="str">
        <f>IF(ISNUMBER(outYear),NI37+NI42+#REF!+NI59,"")</f>
        <v/>
      </c>
      <c r="NJ62" s="87" t="str">
        <f>IF(ISNUMBER(outYear),NJ37+NJ42+#REF!+NJ59,"")</f>
        <v/>
      </c>
      <c r="NK62" s="87" t="str">
        <f>IF(ISNUMBER(outYear),NK37+NK42+#REF!+NK59,"")</f>
        <v/>
      </c>
      <c r="NL62" s="87" t="str">
        <f>IF(ISNUMBER(outYear),NL37+NL42+#REF!+NL59,"")</f>
        <v/>
      </c>
      <c r="NM62" s="87" t="str">
        <f>IF(ISNUMBER(outYear),NM37+NM42+#REF!+NM59,"")</f>
        <v/>
      </c>
      <c r="NN62" s="87" t="str">
        <f>IF(ISNUMBER(outYear),NN37+NN42+#REF!+NN59,"")</f>
        <v/>
      </c>
      <c r="NO62" s="87" t="str">
        <f>IF(ISNUMBER(outYear),NO37+NO42+#REF!+NO59,"")</f>
        <v/>
      </c>
      <c r="NP62" s="87" t="str">
        <f>IF(ISNUMBER(outYear),NP37+NP42+#REF!+NP59,"")</f>
        <v/>
      </c>
      <c r="NQ62" s="87" t="str">
        <f>IF(ISNUMBER(outYear),NQ37+NQ42+#REF!+NQ59,"")</f>
        <v/>
      </c>
      <c r="NR62" s="87" t="str">
        <f>IF(ISNUMBER(outYear),NR37+NR42+#REF!+NR59,"")</f>
        <v/>
      </c>
      <c r="NS62" s="87" t="str">
        <f>IF(ISNUMBER(outYear),NS37+NS42+#REF!+NS59,"")</f>
        <v/>
      </c>
      <c r="NT62" s="87" t="str">
        <f>IF(ISNUMBER(outYear),NT37+NT42+#REF!+NT59,"")</f>
        <v/>
      </c>
      <c r="NU62" s="87" t="str">
        <f>IF(ISNUMBER(outYear),NU37+NU42+#REF!+NU59,"")</f>
        <v/>
      </c>
      <c r="NV62" s="87" t="str">
        <f>IF(ISNUMBER(outYear),NV37+NV42+#REF!+NV59,"")</f>
        <v/>
      </c>
      <c r="NW62" s="87" t="str">
        <f>IF(ISNUMBER(outYear),NW37+NW42+#REF!+NW59,"")</f>
        <v/>
      </c>
      <c r="NX62" s="87" t="str">
        <f>IF(ISNUMBER(outYear),NX37+NX42+#REF!+NX59,"")</f>
        <v/>
      </c>
      <c r="NY62" s="87" t="str">
        <f>IF(ISNUMBER(outYear),NY37+NY42+#REF!+NY59,"")</f>
        <v/>
      </c>
      <c r="NZ62" s="87" t="str">
        <f>IF(ISNUMBER(outYear),NZ37+NZ42+#REF!+NZ59,"")</f>
        <v/>
      </c>
      <c r="OA62" s="87" t="str">
        <f>IF(ISNUMBER(outYear),OA37+OA42+#REF!+OA59,"")</f>
        <v/>
      </c>
      <c r="OB62" s="87" t="str">
        <f>IF(ISNUMBER(outYear),OB37+OB42+#REF!+OB59,"")</f>
        <v/>
      </c>
      <c r="OC62" s="87" t="str">
        <f>IF(ISNUMBER(outYear),OC37+OC42+#REF!+OC59,"")</f>
        <v/>
      </c>
      <c r="OD62" s="87" t="str">
        <f>IF(ISNUMBER(outYear),OD37+OD42+#REF!+OD59,"")</f>
        <v/>
      </c>
      <c r="OE62" s="87" t="str">
        <f>IF(ISNUMBER(outYear),OE37+OE42+#REF!+OE59,"")</f>
        <v/>
      </c>
      <c r="OF62" s="87" t="str">
        <f>IF(ISNUMBER(outYear),OF37+OF42+#REF!+OF59,"")</f>
        <v/>
      </c>
      <c r="OG62" s="87" t="str">
        <f>IF(ISNUMBER(outYear),OG37+OG42+#REF!+OG59,"")</f>
        <v/>
      </c>
      <c r="OH62" s="87" t="str">
        <f>IF(ISNUMBER(outYear),OH37+OH42+#REF!+OH59,"")</f>
        <v/>
      </c>
      <c r="OI62" s="87" t="str">
        <f>IF(ISNUMBER(outYear),OI37+OI42+#REF!+OI59,"")</f>
        <v/>
      </c>
      <c r="OJ62" s="87" t="str">
        <f>IF(ISNUMBER(outYear),OJ37+OJ42+#REF!+OJ59,"")</f>
        <v/>
      </c>
      <c r="OK62" s="87" t="str">
        <f>IF(ISNUMBER(outYear),OK37+OK42+#REF!+OK59,"")</f>
        <v/>
      </c>
      <c r="OL62" s="87" t="str">
        <f>IF(ISNUMBER(outYear),OL37+OL42+#REF!+OL59,"")</f>
        <v/>
      </c>
      <c r="OM62" s="87" t="str">
        <f>IF(ISNUMBER(outYear),OM37+OM42+#REF!+OM59,"")</f>
        <v/>
      </c>
      <c r="ON62" s="87" t="str">
        <f>IF(ISNUMBER(outYear),ON37+ON42+#REF!+ON59,"")</f>
        <v/>
      </c>
      <c r="OO62" s="87" t="str">
        <f>IF(ISNUMBER(outYear),OO37+OO42+#REF!+OO59,"")</f>
        <v/>
      </c>
      <c r="OP62" s="87" t="str">
        <f>IF(ISNUMBER(outYear),OP37+OP42+#REF!+OP59,"")</f>
        <v/>
      </c>
      <c r="OQ62" s="87" t="str">
        <f>IF(ISNUMBER(outYear),OQ37+OQ42+#REF!+OQ59,"")</f>
        <v/>
      </c>
      <c r="OR62" s="87" t="str">
        <f>IF(ISNUMBER(outYear),OR37+OR42+#REF!+OR59,"")</f>
        <v/>
      </c>
      <c r="OS62" s="87" t="str">
        <f>IF(ISNUMBER(outYear),OS37+OS42+#REF!+OS59,"")</f>
        <v/>
      </c>
      <c r="OT62" s="87" t="str">
        <f>IF(ISNUMBER(outYear),OT37+OT42+#REF!+OT59,"")</f>
        <v/>
      </c>
      <c r="OU62" s="87" t="str">
        <f>IF(ISNUMBER(outYear),OU37+OU42+#REF!+OU59,"")</f>
        <v/>
      </c>
      <c r="OV62" s="87" t="str">
        <f>IF(ISNUMBER(outYear),OV37+OV42+#REF!+OV59,"")</f>
        <v/>
      </c>
      <c r="OW62" s="87" t="str">
        <f>IF(ISNUMBER(outYear),OW37+OW42+#REF!+OW59,"")</f>
        <v/>
      </c>
      <c r="OX62" s="87" t="str">
        <f>IF(ISNUMBER(outYear),OX37+OX42+#REF!+OX59,"")</f>
        <v/>
      </c>
      <c r="OY62" s="87" t="str">
        <f>IF(ISNUMBER(outYear),OY37+OY42+#REF!+OY59,"")</f>
        <v/>
      </c>
      <c r="OZ62" s="87" t="str">
        <f>IF(ISNUMBER(outYear),OZ37+OZ42+#REF!+OZ59,"")</f>
        <v/>
      </c>
      <c r="PA62" s="87" t="str">
        <f>IF(ISNUMBER(outYear),PA37+PA42+#REF!+PA59,"")</f>
        <v/>
      </c>
      <c r="PB62" s="87" t="str">
        <f>IF(ISNUMBER(outYear),PB37+PB42+#REF!+PB59,"")</f>
        <v/>
      </c>
      <c r="PC62" s="87" t="str">
        <f>IF(ISNUMBER(outYear),PC37+PC42+#REF!+PC59,"")</f>
        <v/>
      </c>
      <c r="PD62" s="87" t="str">
        <f>IF(ISNUMBER(outYear),PD37+PD42+#REF!+PD59,"")</f>
        <v/>
      </c>
      <c r="PE62" s="87" t="str">
        <f>IF(ISNUMBER(outYear),PE37+PE42+#REF!+PE59,"")</f>
        <v/>
      </c>
      <c r="PF62" s="87" t="str">
        <f>IF(ISNUMBER(outYear),PF37+PF42+#REF!+PF59,"")</f>
        <v/>
      </c>
      <c r="PG62" s="87" t="str">
        <f>IF(ISNUMBER(outYear),PG37+PG42+#REF!+PG59,"")</f>
        <v/>
      </c>
      <c r="PH62" s="87" t="str">
        <f>IF(ISNUMBER(outYear),PH37+PH42+#REF!+PH59,"")</f>
        <v/>
      </c>
      <c r="PI62" s="87" t="str">
        <f>IF(ISNUMBER(outYear),PI37+PI42+#REF!+PI59,"")</f>
        <v/>
      </c>
      <c r="PJ62" s="87" t="str">
        <f>IF(ISNUMBER(outYear),PJ37+PJ42+#REF!+PJ59,"")</f>
        <v/>
      </c>
      <c r="PK62" s="87" t="str">
        <f>IF(ISNUMBER(outYear),PK37+PK42+#REF!+PK59,"")</f>
        <v/>
      </c>
      <c r="PL62" s="87" t="str">
        <f>IF(ISNUMBER(outYear),PL37+PL42+#REF!+PL59,"")</f>
        <v/>
      </c>
      <c r="PM62" s="87" t="str">
        <f>IF(ISNUMBER(outYear),PM37+PM42+#REF!+PM59,"")</f>
        <v/>
      </c>
      <c r="PN62" s="87" t="str">
        <f>IF(ISNUMBER(outYear),PN37+PN42+#REF!+PN59,"")</f>
        <v/>
      </c>
      <c r="PO62" s="87" t="str">
        <f>IF(ISNUMBER(outYear),PO37+PO42+#REF!+PO59,"")</f>
        <v/>
      </c>
      <c r="PP62" s="87" t="str">
        <f>IF(ISNUMBER(outYear),PP37+PP42+#REF!+PP59,"")</f>
        <v/>
      </c>
      <c r="PQ62" s="87" t="str">
        <f>IF(ISNUMBER(outYear),PQ37+PQ42+#REF!+PQ59,"")</f>
        <v/>
      </c>
      <c r="PR62" s="87" t="str">
        <f>IF(ISNUMBER(outYear),PR37+PR42+#REF!+PR59,"")</f>
        <v/>
      </c>
      <c r="PS62" s="87" t="str">
        <f>IF(ISNUMBER(outYear),PS37+PS42+#REF!+PS59,"")</f>
        <v/>
      </c>
      <c r="PT62" s="87" t="str">
        <f>IF(ISNUMBER(outYear),PT37+PT42+#REF!+PT59,"")</f>
        <v/>
      </c>
      <c r="PU62" s="87" t="str">
        <f>IF(ISNUMBER(outYear),PU37+PU42+#REF!+PU59,"")</f>
        <v/>
      </c>
      <c r="PV62" s="87" t="str">
        <f>IF(ISNUMBER(outYear),PV37+PV42+#REF!+PV59,"")</f>
        <v/>
      </c>
      <c r="PW62" s="87" t="str">
        <f>IF(ISNUMBER(outYear),PW37+PW42+#REF!+PW59,"")</f>
        <v/>
      </c>
      <c r="PX62" s="87" t="str">
        <f>IF(ISNUMBER(outYear),PX37+PX42+#REF!+PX59,"")</f>
        <v/>
      </c>
      <c r="PY62" s="87" t="str">
        <f>IF(ISNUMBER(outYear),PY37+PY42+#REF!+PY59,"")</f>
        <v/>
      </c>
      <c r="PZ62" s="87" t="str">
        <f>IF(ISNUMBER(outYear),PZ37+PZ42+#REF!+PZ59,"")</f>
        <v/>
      </c>
      <c r="QA62" s="87" t="str">
        <f>IF(ISNUMBER(outYear),QA37+QA42+#REF!+QA59,"")</f>
        <v/>
      </c>
      <c r="QB62" s="87" t="str">
        <f>IF(ISNUMBER(outYear),QB37+QB42+#REF!+QB59,"")</f>
        <v/>
      </c>
      <c r="QC62" s="87" t="str">
        <f>IF(ISNUMBER(outYear),QC37+QC42+#REF!+QC59,"")</f>
        <v/>
      </c>
      <c r="QD62" s="87" t="str">
        <f>IF(ISNUMBER(outYear),QD37+QD42+#REF!+QD59,"")</f>
        <v/>
      </c>
      <c r="QE62" s="87" t="str">
        <f>IF(ISNUMBER(outYear),QE37+QE42+#REF!+QE59,"")</f>
        <v/>
      </c>
      <c r="QF62" s="87" t="str">
        <f>IF(ISNUMBER(outYear),QF37+QF42+#REF!+QF59,"")</f>
        <v/>
      </c>
      <c r="QG62" s="87" t="str">
        <f>IF(ISNUMBER(outYear),QG37+QG42+#REF!+QG59,"")</f>
        <v/>
      </c>
      <c r="QH62" s="87" t="str">
        <f>IF(ISNUMBER(outYear),QH37+QH42+#REF!+QH59,"")</f>
        <v/>
      </c>
      <c r="QI62" s="87" t="str">
        <f>IF(ISNUMBER(outYear),QI37+QI42+#REF!+QI59,"")</f>
        <v/>
      </c>
      <c r="QJ62" s="87" t="str">
        <f>IF(ISNUMBER(outYear),QJ37+QJ42+#REF!+QJ59,"")</f>
        <v/>
      </c>
      <c r="QK62" s="87" t="str">
        <f>IF(ISNUMBER(outYear),QK37+QK42+#REF!+QK59,"")</f>
        <v/>
      </c>
      <c r="QL62" s="87" t="str">
        <f>IF(ISNUMBER(outYear),QL37+QL42+#REF!+QL59,"")</f>
        <v/>
      </c>
      <c r="QM62" s="87" t="str">
        <f>IF(ISNUMBER(outYear),QM37+QM42+#REF!+QM59,"")</f>
        <v/>
      </c>
      <c r="QN62" s="87" t="str">
        <f>IF(ISNUMBER(outYear),QN37+QN42+#REF!+QN59,"")</f>
        <v/>
      </c>
      <c r="QO62" s="87" t="str">
        <f>IF(ISNUMBER(outYear),QO37+QO42+#REF!+QO59,"")</f>
        <v/>
      </c>
      <c r="QP62" s="87" t="str">
        <f>IF(ISNUMBER(outYear),QP37+QP42+#REF!+QP59,"")</f>
        <v/>
      </c>
      <c r="QQ62" s="87" t="str">
        <f>IF(ISNUMBER(outYear),QQ37+QQ42+#REF!+QQ59,"")</f>
        <v/>
      </c>
      <c r="QR62" s="87" t="str">
        <f>IF(ISNUMBER(outYear),QR37+QR42+#REF!+QR59,"")</f>
        <v/>
      </c>
      <c r="QS62" s="87" t="str">
        <f>IF(ISNUMBER(outYear),QS37+QS42+#REF!+QS59,"")</f>
        <v/>
      </c>
      <c r="QT62" s="87" t="str">
        <f>IF(ISNUMBER(outYear),QT37+QT42+#REF!+QT59,"")</f>
        <v/>
      </c>
      <c r="QU62" s="87" t="str">
        <f>IF(ISNUMBER(outYear),QU37+QU42+#REF!+QU59,"")</f>
        <v/>
      </c>
      <c r="QV62" s="87" t="str">
        <f>IF(ISNUMBER(outYear),QV37+QV42+#REF!+QV59,"")</f>
        <v/>
      </c>
      <c r="QW62" s="87" t="str">
        <f>IF(ISNUMBER(outYear),QW37+QW42+#REF!+QW59,"")</f>
        <v/>
      </c>
      <c r="QX62" s="87" t="str">
        <f>IF(ISNUMBER(outYear),QX37+QX42+#REF!+QX59,"")</f>
        <v/>
      </c>
      <c r="QY62" s="87" t="str">
        <f>IF(ISNUMBER(outYear),QY37+QY42+#REF!+QY59,"")</f>
        <v/>
      </c>
      <c r="QZ62" s="87" t="str">
        <f>IF(ISNUMBER(outYear),QZ37+QZ42+#REF!+QZ59,"")</f>
        <v/>
      </c>
      <c r="RA62" s="87" t="str">
        <f>IF(ISNUMBER(outYear),RA37+RA42+#REF!+RA59,"")</f>
        <v/>
      </c>
      <c r="RB62" s="87" t="str">
        <f>IF(ISNUMBER(outYear),RB37+RB42+#REF!+RB59,"")</f>
        <v/>
      </c>
      <c r="RC62" s="87" t="str">
        <f>IF(ISNUMBER(outYear),RC37+RC42+#REF!+RC59,"")</f>
        <v/>
      </c>
      <c r="RD62" s="87" t="str">
        <f>IF(ISNUMBER(outYear),RD37+RD42+#REF!+RD59,"")</f>
        <v/>
      </c>
      <c r="RE62" s="87" t="str">
        <f>IF(ISNUMBER(outYear),RE37+RE42+#REF!+RE59,"")</f>
        <v/>
      </c>
      <c r="RF62" s="87" t="str">
        <f>IF(ISNUMBER(outYear),RF37+RF42+#REF!+RF59,"")</f>
        <v/>
      </c>
      <c r="RG62" s="87" t="str">
        <f>IF(ISNUMBER(outYear),RG37+RG42+#REF!+RG59,"")</f>
        <v/>
      </c>
      <c r="RH62" s="87" t="str">
        <f>IF(ISNUMBER(outYear),RH37+RH42+#REF!+RH59,"")</f>
        <v/>
      </c>
      <c r="RI62" s="87" t="str">
        <f>IF(ISNUMBER(outYear),RI37+RI42+#REF!+RI59,"")</f>
        <v/>
      </c>
      <c r="RJ62" s="87" t="str">
        <f>IF(ISNUMBER(outYear),RJ37+RJ42+#REF!+RJ59,"")</f>
        <v/>
      </c>
      <c r="RK62" s="87" t="str">
        <f>IF(ISNUMBER(outYear),RK37+RK42+#REF!+RK59,"")</f>
        <v/>
      </c>
      <c r="RL62" s="87" t="str">
        <f>IF(ISNUMBER(outYear),RL37+RL42+#REF!+RL59,"")</f>
        <v/>
      </c>
      <c r="RM62" s="87" t="str">
        <f>IF(ISNUMBER(outYear),RM37+RM42+#REF!+RM59,"")</f>
        <v/>
      </c>
      <c r="RN62" s="87" t="str">
        <f>IF(ISNUMBER(outYear),RN37+RN42+#REF!+RN59,"")</f>
        <v/>
      </c>
      <c r="RO62" s="87" t="str">
        <f>IF(ISNUMBER(outYear),RO37+RO42+#REF!+RO59,"")</f>
        <v/>
      </c>
      <c r="RP62" s="87" t="str">
        <f>IF(ISNUMBER(outYear),RP37+RP42+#REF!+RP59,"")</f>
        <v/>
      </c>
      <c r="RQ62" s="87" t="str">
        <f>IF(ISNUMBER(outYear),RQ37+RQ42+#REF!+RQ59,"")</f>
        <v/>
      </c>
      <c r="RR62" s="87" t="str">
        <f>IF(ISNUMBER(outYear),RR37+RR42+#REF!+RR59,"")</f>
        <v/>
      </c>
      <c r="RS62" s="87" t="str">
        <f>IF(ISNUMBER(outYear),RS37+RS42+#REF!+RS59,"")</f>
        <v/>
      </c>
      <c r="RT62" s="87" t="str">
        <f>IF(ISNUMBER(outYear),RT37+RT42+#REF!+RT59,"")</f>
        <v/>
      </c>
      <c r="RU62" s="87" t="str">
        <f>IF(ISNUMBER(outYear),RU37+RU42+#REF!+RU59,"")</f>
        <v/>
      </c>
      <c r="RV62" s="87" t="str">
        <f>IF(ISNUMBER(outYear),RV37+RV42+#REF!+RV59,"")</f>
        <v/>
      </c>
      <c r="RW62" s="87" t="str">
        <f>IF(ISNUMBER(outYear),RW37+RW42+#REF!+RW59,"")</f>
        <v/>
      </c>
      <c r="RX62" s="87" t="str">
        <f>IF(ISNUMBER(outYear),RX37+RX42+#REF!+RX59,"")</f>
        <v/>
      </c>
      <c r="RY62" s="87" t="str">
        <f>IF(ISNUMBER(outYear),RY37+RY42+#REF!+RY59,"")</f>
        <v/>
      </c>
      <c r="RZ62" s="87" t="str">
        <f>IF(ISNUMBER(outYear),RZ37+RZ42+#REF!+RZ59,"")</f>
        <v/>
      </c>
      <c r="SA62" s="87" t="str">
        <f>IF(ISNUMBER(outYear),SA37+SA42+#REF!+SA59,"")</f>
        <v/>
      </c>
      <c r="SB62" s="87" t="str">
        <f>IF(ISNUMBER(outYear),SB37+SB42+#REF!+SB59,"")</f>
        <v/>
      </c>
      <c r="SC62" s="87" t="str">
        <f>IF(ISNUMBER(outYear),SC37+SC42+#REF!+SC59,"")</f>
        <v/>
      </c>
      <c r="SD62" s="87" t="str">
        <f>IF(ISNUMBER(outYear),SD37+SD42+#REF!+SD59,"")</f>
        <v/>
      </c>
      <c r="SE62" s="87" t="str">
        <f>IF(ISNUMBER(outYear),SE37+SE42+#REF!+SE59,"")</f>
        <v/>
      </c>
      <c r="SF62" s="87" t="str">
        <f>IF(ISNUMBER(outYear),SF37+SF42+#REF!+SF59,"")</f>
        <v/>
      </c>
      <c r="SG62" s="87" t="str">
        <f>IF(ISNUMBER(outYear),SG37+SG42+#REF!+SG59,"")</f>
        <v/>
      </c>
      <c r="SH62" s="87" t="str">
        <f>IF(ISNUMBER(outYear),SH37+SH42+#REF!+SH59,"")</f>
        <v/>
      </c>
      <c r="SI62" s="87" t="str">
        <f>IF(ISNUMBER(outYear),SI37+SI42+#REF!+SI59,"")</f>
        <v/>
      </c>
      <c r="SJ62" s="87" t="str">
        <f>IF(ISNUMBER(outYear),SJ37+SJ42+#REF!+SJ59,"")</f>
        <v/>
      </c>
      <c r="SK62" s="87" t="str">
        <f>IF(ISNUMBER(outYear),SK37+SK42+#REF!+SK59,"")</f>
        <v/>
      </c>
      <c r="SL62" s="87" t="str">
        <f>IF(ISNUMBER(outYear),SL37+SL42+#REF!+SL59,"")</f>
        <v/>
      </c>
      <c r="SM62" s="87" t="str">
        <f>IF(ISNUMBER(outYear),SM37+SM42+#REF!+SM59,"")</f>
        <v/>
      </c>
      <c r="SN62" s="87" t="str">
        <f>IF(ISNUMBER(outYear),SN37+SN42+#REF!+SN59,"")</f>
        <v/>
      </c>
      <c r="SO62" s="87" t="str">
        <f>IF(ISNUMBER(outYear),SO37+SO42+#REF!+SO59,"")</f>
        <v/>
      </c>
      <c r="SP62" s="87" t="str">
        <f>IF(ISNUMBER(outYear),SP37+SP42+#REF!+SP59,"")</f>
        <v/>
      </c>
      <c r="SQ62" s="87" t="str">
        <f>IF(ISNUMBER(outYear),SQ37+SQ42+#REF!+SQ59,"")</f>
        <v/>
      </c>
      <c r="SR62" s="87" t="str">
        <f>IF(ISNUMBER(outYear),SR37+SR42+#REF!+SR59,"")</f>
        <v/>
      </c>
      <c r="SS62" s="87" t="str">
        <f>IF(ISNUMBER(outYear),SS37+SS42+#REF!+SS59,"")</f>
        <v/>
      </c>
      <c r="ST62" s="87" t="str">
        <f>IF(ISNUMBER(outYear),ST37+ST42+#REF!+ST59,"")</f>
        <v/>
      </c>
      <c r="SU62" s="87" t="str">
        <f>IF(ISNUMBER(outYear),SU37+SU42+#REF!+SU59,"")</f>
        <v/>
      </c>
      <c r="SV62" s="87" t="str">
        <f>IF(ISNUMBER(outYear),SV37+SV42+#REF!+SV59,"")</f>
        <v/>
      </c>
      <c r="SW62" s="87" t="str">
        <f>IF(ISNUMBER(outYear),SW37+SW42+#REF!+SW59,"")</f>
        <v/>
      </c>
      <c r="SX62" s="87" t="str">
        <f>IF(ISNUMBER(outYear),SX37+SX42+#REF!+SX59,"")</f>
        <v/>
      </c>
      <c r="SY62" s="87" t="str">
        <f>IF(ISNUMBER(outYear),SY37+SY42+#REF!+SY59,"")</f>
        <v/>
      </c>
      <c r="SZ62" s="87" t="str">
        <f>IF(ISNUMBER(outYear),SZ37+SZ42+#REF!+SZ59,"")</f>
        <v/>
      </c>
      <c r="TA62" s="87" t="str">
        <f>IF(ISNUMBER(outYear),TA37+TA42+#REF!+TA59,"")</f>
        <v/>
      </c>
      <c r="TB62" s="87" t="str">
        <f>IF(ISNUMBER(outYear),TB37+TB42+#REF!+TB59,"")</f>
        <v/>
      </c>
      <c r="TC62" s="87" t="str">
        <f>IF(ISNUMBER(outYear),TC37+TC42+#REF!+TC59,"")</f>
        <v/>
      </c>
      <c r="TD62" s="87" t="str">
        <f>IF(ISNUMBER(outYear),TD37+TD42+#REF!+TD59,"")</f>
        <v/>
      </c>
      <c r="TE62" s="87" t="str">
        <f>IF(ISNUMBER(outYear),TE37+TE42+#REF!+TE59,"")</f>
        <v/>
      </c>
      <c r="TF62" s="87" t="str">
        <f>IF(ISNUMBER(outYear),TF37+TF42+#REF!+TF59,"")</f>
        <v/>
      </c>
      <c r="TG62" s="87" t="str">
        <f>IF(ISNUMBER(outYear),TG37+TG42+#REF!+TG59,"")</f>
        <v/>
      </c>
      <c r="TH62" s="87" t="str">
        <f>IF(ISNUMBER(outYear),TH37+TH42+#REF!+TH59,"")</f>
        <v/>
      </c>
      <c r="TI62" s="87" t="str">
        <f>IF(ISNUMBER(outYear),TI37+TI42+#REF!+TI59,"")</f>
        <v/>
      </c>
      <c r="TJ62" s="87" t="str">
        <f>IF(ISNUMBER(outYear),TJ37+TJ42+#REF!+TJ59,"")</f>
        <v/>
      </c>
      <c r="TK62" s="87" t="str">
        <f>IF(ISNUMBER(outYear),TK37+TK42+#REF!+TK59,"")</f>
        <v/>
      </c>
      <c r="TL62" s="87" t="str">
        <f>IF(ISNUMBER(outYear),TL37+TL42+#REF!+TL59,"")</f>
        <v/>
      </c>
      <c r="TM62" s="87" t="str">
        <f>IF(ISNUMBER(outYear),TM37+TM42+#REF!+TM59,"")</f>
        <v/>
      </c>
      <c r="TN62" s="87" t="str">
        <f>IF(ISNUMBER(outYear),TN37+TN42+#REF!+TN59,"")</f>
        <v/>
      </c>
      <c r="TO62" s="87" t="str">
        <f>IF(ISNUMBER(outYear),TO37+TO42+#REF!+TO59,"")</f>
        <v/>
      </c>
      <c r="TP62" s="87" t="str">
        <f>IF(ISNUMBER(outYear),TP37+TP42+#REF!+TP59,"")</f>
        <v/>
      </c>
      <c r="TQ62" s="87" t="str">
        <f>IF(ISNUMBER(outYear),TQ37+TQ42+#REF!+TQ59,"")</f>
        <v/>
      </c>
      <c r="TR62" s="87" t="str">
        <f>IF(ISNUMBER(outYear),TR37+TR42+#REF!+TR59,"")</f>
        <v/>
      </c>
      <c r="TS62" s="87" t="str">
        <f>IF(ISNUMBER(outYear),TS37+TS42+#REF!+TS59,"")</f>
        <v/>
      </c>
      <c r="TT62" s="87" t="str">
        <f>IF(ISNUMBER(outYear),TT37+TT42+#REF!+TT59,"")</f>
        <v/>
      </c>
      <c r="TU62" s="87" t="str">
        <f>IF(ISNUMBER(outYear),TU37+TU42+#REF!+TU59,"")</f>
        <v/>
      </c>
      <c r="TV62" s="87" t="str">
        <f>IF(ISNUMBER(outYear),TV37+TV42+#REF!+TV59,"")</f>
        <v/>
      </c>
      <c r="TW62" s="87" t="str">
        <f>IF(ISNUMBER(outYear),TW37+TW42+#REF!+TW59,"")</f>
        <v/>
      </c>
      <c r="TX62" s="87" t="str">
        <f>IF(ISNUMBER(outYear),TX37+TX42+#REF!+TX59,"")</f>
        <v/>
      </c>
      <c r="TY62" s="87" t="str">
        <f>IF(ISNUMBER(outYear),TY37+TY42+#REF!+TY59,"")</f>
        <v/>
      </c>
      <c r="TZ62" s="87" t="str">
        <f>IF(ISNUMBER(outYear),TZ37+TZ42+#REF!+TZ59,"")</f>
        <v/>
      </c>
      <c r="UA62" s="87" t="str">
        <f>IF(ISNUMBER(outYear),UA37+UA42+#REF!+UA59,"")</f>
        <v/>
      </c>
      <c r="UB62" s="87" t="str">
        <f>IF(ISNUMBER(outYear),UB37+UB42+#REF!+UB59,"")</f>
        <v/>
      </c>
      <c r="UC62" s="87" t="str">
        <f>IF(ISNUMBER(outYear),UC37+UC42+#REF!+UC59,"")</f>
        <v/>
      </c>
      <c r="UD62" s="87" t="str">
        <f>IF(ISNUMBER(outYear),UD37+UD42+#REF!+UD59,"")</f>
        <v/>
      </c>
      <c r="UE62" s="87" t="str">
        <f>IF(ISNUMBER(outYear),UE37+UE42+#REF!+UE59,"")</f>
        <v/>
      </c>
      <c r="UF62" s="87" t="str">
        <f>IF(ISNUMBER(outYear),UF37+UF42+#REF!+UF59,"")</f>
        <v/>
      </c>
      <c r="UG62" s="87" t="str">
        <f>IF(ISNUMBER(outYear),UG37+UG42+#REF!+UG59,"")</f>
        <v/>
      </c>
      <c r="UH62" s="87" t="str">
        <f>IF(ISNUMBER(outYear),UH37+UH42+#REF!+UH59,"")</f>
        <v/>
      </c>
      <c r="UI62" s="87" t="str">
        <f>IF(ISNUMBER(outYear),UI37+UI42+#REF!+UI59,"")</f>
        <v/>
      </c>
      <c r="UJ62" s="87" t="str">
        <f>IF(ISNUMBER(outYear),UJ37+UJ42+#REF!+UJ59,"")</f>
        <v/>
      </c>
      <c r="UK62" s="87" t="str">
        <f>IF(ISNUMBER(outYear),UK37+UK42+#REF!+UK59,"")</f>
        <v/>
      </c>
      <c r="UL62" s="87" t="str">
        <f>IF(ISNUMBER(outYear),UL37+UL42+#REF!+UL59,"")</f>
        <v/>
      </c>
      <c r="UM62" s="87" t="str">
        <f>IF(ISNUMBER(outYear),UM37+UM42+#REF!+UM59,"")</f>
        <v/>
      </c>
      <c r="UN62" s="87" t="str">
        <f>IF(ISNUMBER(outYear),UN37+UN42+#REF!+UN59,"")</f>
        <v/>
      </c>
      <c r="UO62" s="87" t="str">
        <f>IF(ISNUMBER(outYear),UO37+UO42+#REF!+UO59,"")</f>
        <v/>
      </c>
      <c r="UP62" s="87" t="str">
        <f>IF(ISNUMBER(outYear),UP37+UP42+#REF!+UP59,"")</f>
        <v/>
      </c>
      <c r="UQ62" s="87" t="str">
        <f>IF(ISNUMBER(outYear),UQ37+UQ42+#REF!+UQ59,"")</f>
        <v/>
      </c>
      <c r="UR62" s="87" t="str">
        <f>IF(ISNUMBER(outYear),UR37+UR42+#REF!+UR59,"")</f>
        <v/>
      </c>
      <c r="US62" s="87" t="str">
        <f>IF(ISNUMBER(outYear),US37+US42+#REF!+US59,"")</f>
        <v/>
      </c>
      <c r="UT62" s="87" t="str">
        <f>IF(ISNUMBER(outYear),UT37+UT42+#REF!+UT59,"")</f>
        <v/>
      </c>
      <c r="UU62" s="87" t="str">
        <f>IF(ISNUMBER(outYear),UU37+UU42+#REF!+UU59,"")</f>
        <v/>
      </c>
      <c r="UV62" s="87" t="str">
        <f>IF(ISNUMBER(outYear),UV37+UV42+#REF!+UV59,"")</f>
        <v/>
      </c>
      <c r="UW62" s="87" t="str">
        <f>IF(ISNUMBER(outYear),UW37+UW42+#REF!+UW59,"")</f>
        <v/>
      </c>
      <c r="UX62" s="87" t="str">
        <f>IF(ISNUMBER(outYear),UX37+UX42+#REF!+UX59,"")</f>
        <v/>
      </c>
      <c r="UY62" s="87" t="str">
        <f>IF(ISNUMBER(outYear),UY37+UY42+#REF!+UY59,"")</f>
        <v/>
      </c>
      <c r="UZ62" s="87" t="str">
        <f>IF(ISNUMBER(outYear),UZ37+UZ42+#REF!+UZ59,"")</f>
        <v/>
      </c>
      <c r="VA62" s="87" t="str">
        <f>IF(ISNUMBER(outYear),VA37+VA42+#REF!+VA59,"")</f>
        <v/>
      </c>
      <c r="VB62" s="87" t="str">
        <f>IF(ISNUMBER(outYear),VB37+VB42+#REF!+VB59,"")</f>
        <v/>
      </c>
      <c r="VC62" s="87" t="str">
        <f>IF(ISNUMBER(outYear),VC37+VC42+#REF!+VC59,"")</f>
        <v/>
      </c>
      <c r="VD62" s="87" t="str">
        <f>IF(ISNUMBER(outYear),VD37+VD42+#REF!+VD59,"")</f>
        <v/>
      </c>
      <c r="VE62" s="87" t="str">
        <f>IF(ISNUMBER(outYear),VE37+VE42+#REF!+VE59,"")</f>
        <v/>
      </c>
      <c r="VF62" s="87" t="str">
        <f>IF(ISNUMBER(outYear),VF37+VF42+#REF!+VF59,"")</f>
        <v/>
      </c>
      <c r="VG62" s="87" t="str">
        <f>IF(ISNUMBER(outYear),VG37+VG42+#REF!+VG59,"")</f>
        <v/>
      </c>
      <c r="VH62" s="87" t="str">
        <f>IF(ISNUMBER(outYear),VH37+VH42+#REF!+VH59,"")</f>
        <v/>
      </c>
      <c r="VI62" s="87" t="str">
        <f>IF(ISNUMBER(outYear),VI37+VI42+#REF!+VI59,"")</f>
        <v/>
      </c>
      <c r="VJ62" s="87" t="str">
        <f>IF(ISNUMBER(outYear),VJ37+VJ42+#REF!+VJ59,"")</f>
        <v/>
      </c>
      <c r="VK62" s="87" t="str">
        <f>IF(ISNUMBER(outYear),VK37+VK42+#REF!+VK59,"")</f>
        <v/>
      </c>
      <c r="VL62" s="87" t="str">
        <f>IF(ISNUMBER(outYear),VL37+VL42+#REF!+VL59,"")</f>
        <v/>
      </c>
      <c r="VM62" s="87" t="str">
        <f>IF(ISNUMBER(outYear),VM37+VM42+#REF!+VM59,"")</f>
        <v/>
      </c>
      <c r="VN62" s="87" t="str">
        <f>IF(ISNUMBER(outYear),VN37+VN42+#REF!+VN59,"")</f>
        <v/>
      </c>
      <c r="VO62" s="87" t="str">
        <f>IF(ISNUMBER(outYear),VO37+VO42+#REF!+VO59,"")</f>
        <v/>
      </c>
      <c r="VP62" s="87" t="str">
        <f>IF(ISNUMBER(outYear),VP37+VP42+#REF!+VP59,"")</f>
        <v/>
      </c>
      <c r="VQ62" s="87" t="str">
        <f>IF(ISNUMBER(outYear),VQ37+VQ42+#REF!+VQ59,"")</f>
        <v/>
      </c>
      <c r="VR62" s="87" t="str">
        <f>IF(ISNUMBER(outYear),VR37+VR42+#REF!+VR59,"")</f>
        <v/>
      </c>
      <c r="VS62" s="87" t="str">
        <f>IF(ISNUMBER(outYear),VS37+VS42+#REF!+VS59,"")</f>
        <v/>
      </c>
      <c r="VT62" s="87" t="str">
        <f>IF(ISNUMBER(outYear),VT37+VT42+#REF!+VT59,"")</f>
        <v/>
      </c>
      <c r="VU62" s="87" t="str">
        <f>IF(ISNUMBER(outYear),VU37+VU42+#REF!+VU59,"")</f>
        <v/>
      </c>
      <c r="VV62" s="87" t="str">
        <f>IF(ISNUMBER(outYear),VV37+VV42+#REF!+VV59,"")</f>
        <v/>
      </c>
      <c r="VW62" s="87" t="str">
        <f>IF(ISNUMBER(outYear),VW37+VW42+#REF!+VW59,"")</f>
        <v/>
      </c>
      <c r="VX62" s="87" t="str">
        <f>IF(ISNUMBER(outYear),VX37+VX42+#REF!+VX59,"")</f>
        <v/>
      </c>
      <c r="VY62" s="87" t="str">
        <f>IF(ISNUMBER(outYear),VY37+VY42+#REF!+VY59,"")</f>
        <v/>
      </c>
      <c r="VZ62" s="87" t="str">
        <f>IF(ISNUMBER(outYear),VZ37+VZ42+#REF!+VZ59,"")</f>
        <v/>
      </c>
      <c r="WA62" s="87" t="str">
        <f>IF(ISNUMBER(outYear),WA37+WA42+#REF!+WA59,"")</f>
        <v/>
      </c>
      <c r="WB62" s="87" t="str">
        <f>IF(ISNUMBER(outYear),WB37+WB42+#REF!+WB59,"")</f>
        <v/>
      </c>
      <c r="WC62" s="87" t="str">
        <f>IF(ISNUMBER(outYear),WC37+WC42+#REF!+WC59,"")</f>
        <v/>
      </c>
      <c r="WD62" s="87" t="str">
        <f>IF(ISNUMBER(outYear),WD37+WD42+#REF!+WD59,"")</f>
        <v/>
      </c>
      <c r="WE62" s="87" t="str">
        <f>IF(ISNUMBER(outYear),WE37+WE42+#REF!+WE59,"")</f>
        <v/>
      </c>
      <c r="WF62" s="87" t="str">
        <f>IF(ISNUMBER(outYear),WF37+WF42+#REF!+WF59,"")</f>
        <v/>
      </c>
      <c r="WG62" s="87" t="str">
        <f>IF(ISNUMBER(outYear),WG37+WG42+#REF!+WG59,"")</f>
        <v/>
      </c>
      <c r="WH62" s="87" t="str">
        <f>IF(ISNUMBER(outYear),WH37+WH42+#REF!+WH59,"")</f>
        <v/>
      </c>
      <c r="WI62" s="87" t="str">
        <f>IF(ISNUMBER(outYear),WI37+WI42+#REF!+WI59,"")</f>
        <v/>
      </c>
      <c r="WJ62" s="87" t="str">
        <f>IF(ISNUMBER(outYear),WJ37+WJ42+#REF!+WJ59,"")</f>
        <v/>
      </c>
      <c r="WK62" s="87" t="str">
        <f>IF(ISNUMBER(outYear),WK37+WK42+#REF!+WK59,"")</f>
        <v/>
      </c>
      <c r="WL62" s="87" t="str">
        <f>IF(ISNUMBER(outYear),WL37+WL42+#REF!+WL59,"")</f>
        <v/>
      </c>
      <c r="WM62" s="87" t="str">
        <f>IF(ISNUMBER(outYear),WM37+WM42+#REF!+WM59,"")</f>
        <v/>
      </c>
      <c r="WN62" s="87" t="str">
        <f>IF(ISNUMBER(outYear),WN37+WN42+#REF!+WN59,"")</f>
        <v/>
      </c>
      <c r="WO62" s="87" t="str">
        <f>IF(ISNUMBER(outYear),WO37+WO42+#REF!+WO59,"")</f>
        <v/>
      </c>
      <c r="WP62" s="87" t="str">
        <f>IF(ISNUMBER(outYear),WP37+WP42+#REF!+WP59,"")</f>
        <v/>
      </c>
      <c r="WQ62" s="87" t="str">
        <f>IF(ISNUMBER(outYear),WQ37+WQ42+#REF!+WQ59,"")</f>
        <v/>
      </c>
      <c r="WR62" s="87" t="str">
        <f>IF(ISNUMBER(outYear),WR37+WR42+#REF!+WR59,"")</f>
        <v/>
      </c>
      <c r="WS62" s="87" t="str">
        <f>IF(ISNUMBER(outYear),WS37+WS42+#REF!+WS59,"")</f>
        <v/>
      </c>
      <c r="WT62" s="87" t="str">
        <f>IF(ISNUMBER(outYear),WT37+WT42+#REF!+WT59,"")</f>
        <v/>
      </c>
      <c r="WU62" s="87" t="str">
        <f>IF(ISNUMBER(outYear),WU37+WU42+#REF!+WU59,"")</f>
        <v/>
      </c>
      <c r="WV62" s="87" t="str">
        <f>IF(ISNUMBER(outYear),WV37+WV42+#REF!+WV59,"")</f>
        <v/>
      </c>
      <c r="WW62" s="87" t="str">
        <f>IF(ISNUMBER(outYear),WW37+WW42+#REF!+WW59,"")</f>
        <v/>
      </c>
      <c r="WX62" s="87" t="str">
        <f>IF(ISNUMBER(outYear),WX37+WX42+#REF!+WX59,"")</f>
        <v/>
      </c>
      <c r="WY62" s="87" t="str">
        <f>IF(ISNUMBER(outYear),WY37+WY42+#REF!+WY59,"")</f>
        <v/>
      </c>
      <c r="WZ62" s="87" t="str">
        <f>IF(ISNUMBER(outYear),WZ37+WZ42+#REF!+WZ59,"")</f>
        <v/>
      </c>
      <c r="XA62" s="87" t="str">
        <f>IF(ISNUMBER(outYear),XA37+XA42+#REF!+XA59,"")</f>
        <v/>
      </c>
      <c r="XB62" s="87" t="str">
        <f>IF(ISNUMBER(outYear),XB37+XB42+#REF!+XB59,"")</f>
        <v/>
      </c>
      <c r="XC62" s="87" t="str">
        <f>IF(ISNUMBER(outYear),XC37+XC42+#REF!+XC59,"")</f>
        <v/>
      </c>
      <c r="XD62" s="87" t="str">
        <f>IF(ISNUMBER(outYear),XD37+XD42+#REF!+XD59,"")</f>
        <v/>
      </c>
      <c r="XE62" s="87" t="str">
        <f>IF(ISNUMBER(outYear),XE37+XE42+#REF!+XE59,"")</f>
        <v/>
      </c>
      <c r="XF62" s="87" t="str">
        <f>IF(ISNUMBER(outYear),XF37+XF42+#REF!+XF59,"")</f>
        <v/>
      </c>
      <c r="XG62" s="87" t="str">
        <f>IF(ISNUMBER(outYear),XG37+XG42+#REF!+XG59,"")</f>
        <v/>
      </c>
      <c r="XH62" s="87" t="str">
        <f>IF(ISNUMBER(outYear),XH37+XH42+#REF!+XH59,"")</f>
        <v/>
      </c>
      <c r="XI62" s="87" t="str">
        <f>IF(ISNUMBER(outYear),XI37+XI42+#REF!+XI59,"")</f>
        <v/>
      </c>
      <c r="XJ62" s="87" t="str">
        <f>IF(ISNUMBER(outYear),XJ37+XJ42+#REF!+XJ59,"")</f>
        <v/>
      </c>
      <c r="XK62" s="87" t="str">
        <f>IF(ISNUMBER(outYear),XK37+XK42+#REF!+XK59,"")</f>
        <v/>
      </c>
      <c r="XL62" s="87" t="str">
        <f>IF(ISNUMBER(outYear),XL37+XL42+#REF!+XL59,"")</f>
        <v/>
      </c>
      <c r="XM62" s="87" t="str">
        <f>IF(ISNUMBER(outYear),XM37+XM42+#REF!+XM59,"")</f>
        <v/>
      </c>
      <c r="XN62" s="87" t="str">
        <f>IF(ISNUMBER(outYear),XN37+XN42+#REF!+XN59,"")</f>
        <v/>
      </c>
      <c r="XO62" s="87" t="str">
        <f>IF(ISNUMBER(outYear),XO37+XO42+#REF!+XO59,"")</f>
        <v/>
      </c>
      <c r="XP62" s="87" t="str">
        <f>IF(ISNUMBER(outYear),XP37+XP42+#REF!+XP59,"")</f>
        <v/>
      </c>
      <c r="XQ62" s="87" t="str">
        <f>IF(ISNUMBER(outYear),XQ37+XQ42+#REF!+XQ59,"")</f>
        <v/>
      </c>
      <c r="XR62" s="87" t="str">
        <f>IF(ISNUMBER(outYear),XR37+XR42+#REF!+XR59,"")</f>
        <v/>
      </c>
      <c r="XS62" s="87" t="str">
        <f>IF(ISNUMBER(outYear),XS37+XS42+#REF!+XS59,"")</f>
        <v/>
      </c>
      <c r="XT62" s="87" t="str">
        <f>IF(ISNUMBER(outYear),XT37+XT42+#REF!+XT59,"")</f>
        <v/>
      </c>
      <c r="XU62" s="87" t="str">
        <f>IF(ISNUMBER(outYear),XU37+XU42+#REF!+XU59,"")</f>
        <v/>
      </c>
      <c r="XV62" s="87" t="str">
        <f>IF(ISNUMBER(outYear),XV37+XV42+#REF!+XV59,"")</f>
        <v/>
      </c>
      <c r="XW62" s="87" t="str">
        <f>IF(ISNUMBER(outYear),XW37+XW42+#REF!+XW59,"")</f>
        <v/>
      </c>
      <c r="XX62" s="87" t="str">
        <f>IF(ISNUMBER(outYear),XX37+XX42+#REF!+XX59,"")</f>
        <v/>
      </c>
      <c r="XY62" s="87" t="str">
        <f>IF(ISNUMBER(outYear),XY37+XY42+#REF!+XY59,"")</f>
        <v/>
      </c>
      <c r="XZ62" s="87" t="str">
        <f>IF(ISNUMBER(outYear),XZ37+XZ42+#REF!+XZ59,"")</f>
        <v/>
      </c>
      <c r="YA62" s="87" t="str">
        <f>IF(ISNUMBER(outYear),YA37+YA42+#REF!+YA59,"")</f>
        <v/>
      </c>
      <c r="YB62" s="87" t="str">
        <f>IF(ISNUMBER(outYear),YB37+YB42+#REF!+YB59,"")</f>
        <v/>
      </c>
      <c r="YC62" s="87" t="str">
        <f>IF(ISNUMBER(outYear),YC37+YC42+#REF!+YC59,"")</f>
        <v/>
      </c>
      <c r="YD62" s="87" t="str">
        <f>IF(ISNUMBER(outYear),YD37+YD42+#REF!+YD59,"")</f>
        <v/>
      </c>
      <c r="YE62" s="87" t="str">
        <f>IF(ISNUMBER(outYear),YE37+YE42+#REF!+YE59,"")</f>
        <v/>
      </c>
      <c r="YF62" s="87" t="str">
        <f>IF(ISNUMBER(outYear),YF37+YF42+#REF!+YF59,"")</f>
        <v/>
      </c>
      <c r="YG62" s="87" t="str">
        <f>IF(ISNUMBER(outYear),YG37+YG42+#REF!+YG59,"")</f>
        <v/>
      </c>
      <c r="YH62" s="87" t="str">
        <f>IF(ISNUMBER(outYear),YH37+YH42+#REF!+YH59,"")</f>
        <v/>
      </c>
      <c r="YI62" s="87" t="str">
        <f>IF(ISNUMBER(outYear),YI37+YI42+#REF!+YI59,"")</f>
        <v/>
      </c>
      <c r="YJ62" s="87" t="str">
        <f>IF(ISNUMBER(outYear),YJ37+YJ42+#REF!+YJ59,"")</f>
        <v/>
      </c>
      <c r="YK62" s="87" t="str">
        <f>IF(ISNUMBER(outYear),YK37+YK42+#REF!+YK59,"")</f>
        <v/>
      </c>
      <c r="YL62" s="87" t="str">
        <f>IF(ISNUMBER(outYear),YL37+YL42+#REF!+YL59,"")</f>
        <v/>
      </c>
      <c r="YM62" s="87" t="str">
        <f>IF(ISNUMBER(outYear),YM37+YM42+#REF!+YM59,"")</f>
        <v/>
      </c>
      <c r="YN62" s="87" t="str">
        <f>IF(ISNUMBER(outYear),YN37+YN42+#REF!+YN59,"")</f>
        <v/>
      </c>
      <c r="YO62" s="87" t="str">
        <f>IF(ISNUMBER(outYear),YO37+YO42+#REF!+YO59,"")</f>
        <v/>
      </c>
      <c r="YP62" s="87" t="str">
        <f>IF(ISNUMBER(outYear),YP37+YP42+#REF!+YP59,"")</f>
        <v/>
      </c>
      <c r="YQ62" s="87" t="str">
        <f>IF(ISNUMBER(outYear),YQ37+YQ42+#REF!+YQ59,"")</f>
        <v/>
      </c>
      <c r="YR62" s="87" t="str">
        <f>IF(ISNUMBER(outYear),YR37+YR42+#REF!+YR59,"")</f>
        <v/>
      </c>
      <c r="YS62" s="87" t="str">
        <f>IF(ISNUMBER(outYear),YS37+YS42+#REF!+YS59,"")</f>
        <v/>
      </c>
      <c r="YT62" s="87" t="str">
        <f>IF(ISNUMBER(outYear),YT37+YT42+#REF!+YT59,"")</f>
        <v/>
      </c>
      <c r="YU62" s="87" t="str">
        <f>IF(ISNUMBER(outYear),YU37+YU42+#REF!+YU59,"")</f>
        <v/>
      </c>
      <c r="YV62" s="87" t="str">
        <f>IF(ISNUMBER(outYear),YV37+YV42+#REF!+YV59,"")</f>
        <v/>
      </c>
      <c r="YW62" s="87" t="str">
        <f>IF(ISNUMBER(outYear),YW37+YW42+#REF!+YW59,"")</f>
        <v/>
      </c>
      <c r="YX62" s="87" t="str">
        <f>IF(ISNUMBER(outYear),YX37+YX42+#REF!+YX59,"")</f>
        <v/>
      </c>
      <c r="YY62" s="87" t="str">
        <f>IF(ISNUMBER(outYear),YY37+YY42+#REF!+YY59,"")</f>
        <v/>
      </c>
      <c r="YZ62" s="87" t="str">
        <f>IF(ISNUMBER(outYear),YZ37+YZ42+#REF!+YZ59,"")</f>
        <v/>
      </c>
      <c r="ZA62" s="87" t="str">
        <f>IF(ISNUMBER(outYear),ZA37+ZA42+#REF!+ZA59,"")</f>
        <v/>
      </c>
      <c r="ZB62" s="87" t="str">
        <f>IF(ISNUMBER(outYear),ZB37+ZB42+#REF!+ZB59,"")</f>
        <v/>
      </c>
      <c r="ZC62" s="87" t="str">
        <f>IF(ISNUMBER(outYear),ZC37+ZC42+#REF!+ZC59,"")</f>
        <v/>
      </c>
      <c r="ZD62" s="87" t="str">
        <f>IF(ISNUMBER(outYear),ZD37+ZD42+#REF!+ZD59,"")</f>
        <v/>
      </c>
      <c r="ZE62" s="87" t="str">
        <f>IF(ISNUMBER(outYear),ZE37+ZE42+#REF!+ZE59,"")</f>
        <v/>
      </c>
      <c r="ZF62" s="87" t="str">
        <f>IF(ISNUMBER(outYear),ZF37+ZF42+#REF!+ZF59,"")</f>
        <v/>
      </c>
      <c r="ZG62" s="87" t="str">
        <f>IF(ISNUMBER(outYear),ZG37+ZG42+#REF!+ZG59,"")</f>
        <v/>
      </c>
      <c r="ZH62" s="87" t="str">
        <f>IF(ISNUMBER(outYear),ZH37+ZH42+#REF!+ZH59,"")</f>
        <v/>
      </c>
      <c r="ZI62" s="87" t="str">
        <f>IF(ISNUMBER(outYear),ZI37+ZI42+#REF!+ZI59,"")</f>
        <v/>
      </c>
      <c r="ZJ62" s="87" t="str">
        <f>IF(ISNUMBER(outYear),ZJ37+ZJ42+#REF!+ZJ59,"")</f>
        <v/>
      </c>
      <c r="ZK62" s="87" t="str">
        <f>IF(ISNUMBER(outYear),ZK37+ZK42+#REF!+ZK59,"")</f>
        <v/>
      </c>
      <c r="ZL62" s="87" t="str">
        <f>IF(ISNUMBER(outYear),ZL37+ZL42+#REF!+ZL59,"")</f>
        <v/>
      </c>
      <c r="ZM62" s="87" t="str">
        <f>IF(ISNUMBER(outYear),ZM37+ZM42+#REF!+ZM59,"")</f>
        <v/>
      </c>
      <c r="ZN62" s="87" t="str">
        <f>IF(ISNUMBER(outYear),ZN37+ZN42+#REF!+ZN59,"")</f>
        <v/>
      </c>
      <c r="ZO62" s="87" t="str">
        <f>IF(ISNUMBER(outYear),ZO37+ZO42+#REF!+ZO59,"")</f>
        <v/>
      </c>
      <c r="ZP62" s="87" t="str">
        <f>IF(ISNUMBER(outYear),ZP37+ZP42+#REF!+ZP59,"")</f>
        <v/>
      </c>
      <c r="ZQ62" s="87" t="str">
        <f>IF(ISNUMBER(outYear),ZQ37+ZQ42+#REF!+ZQ59,"")</f>
        <v/>
      </c>
      <c r="ZR62" s="87" t="str">
        <f>IF(ISNUMBER(outYear),ZR37+ZR42+#REF!+ZR59,"")</f>
        <v/>
      </c>
      <c r="ZS62" s="87" t="str">
        <f>IF(ISNUMBER(outYear),ZS37+ZS42+#REF!+ZS59,"")</f>
        <v/>
      </c>
      <c r="ZT62" s="87" t="str">
        <f>IF(ISNUMBER(outYear),ZT37+ZT42+#REF!+ZT59,"")</f>
        <v/>
      </c>
      <c r="ZU62" s="87" t="str">
        <f>IF(ISNUMBER(outYear),ZU37+ZU42+#REF!+ZU59,"")</f>
        <v/>
      </c>
      <c r="ZV62" s="87" t="str">
        <f>IF(ISNUMBER(outYear),ZV37+ZV42+#REF!+ZV59,"")</f>
        <v/>
      </c>
      <c r="ZW62" s="87" t="str">
        <f>IF(ISNUMBER(outYear),ZW37+ZW42+#REF!+ZW59,"")</f>
        <v/>
      </c>
      <c r="ZX62" s="87" t="str">
        <f>IF(ISNUMBER(outYear),ZX37+ZX42+#REF!+ZX59,"")</f>
        <v/>
      </c>
      <c r="ZY62" s="87" t="str">
        <f>IF(ISNUMBER(outYear),ZY37+ZY42+#REF!+ZY59,"")</f>
        <v/>
      </c>
      <c r="ZZ62" s="87" t="str">
        <f>IF(ISNUMBER(outYear),ZZ37+ZZ42+#REF!+ZZ59,"")</f>
        <v/>
      </c>
      <c r="AAA62" s="87" t="str">
        <f>IF(ISNUMBER(outYear),AAA37+AAA42+#REF!+AAA59,"")</f>
        <v/>
      </c>
      <c r="AAB62" s="87" t="str">
        <f>IF(ISNUMBER(outYear),AAB37+AAB42+#REF!+AAB59,"")</f>
        <v/>
      </c>
      <c r="AAC62" s="87" t="str">
        <f>IF(ISNUMBER(outYear),AAC37+AAC42+#REF!+AAC59,"")</f>
        <v/>
      </c>
      <c r="AAD62" s="87" t="str">
        <f>IF(ISNUMBER(outYear),AAD37+AAD42+#REF!+AAD59,"")</f>
        <v/>
      </c>
      <c r="AAE62" s="87" t="str">
        <f>IF(ISNUMBER(outYear),AAE37+AAE42+#REF!+AAE59,"")</f>
        <v/>
      </c>
      <c r="AAF62" s="87" t="str">
        <f>IF(ISNUMBER(outYear),AAF37+AAF42+#REF!+AAF59,"")</f>
        <v/>
      </c>
      <c r="AAG62" s="87" t="str">
        <f>IF(ISNUMBER(outYear),AAG37+AAG42+#REF!+AAG59,"")</f>
        <v/>
      </c>
      <c r="AAH62" s="87" t="str">
        <f>IF(ISNUMBER(outYear),AAH37+AAH42+#REF!+AAH59,"")</f>
        <v/>
      </c>
      <c r="AAI62" s="87" t="str">
        <f>IF(ISNUMBER(outYear),AAI37+AAI42+#REF!+AAI59,"")</f>
        <v/>
      </c>
      <c r="AAJ62" s="87" t="str">
        <f>IF(ISNUMBER(outYear),AAJ37+AAJ42+#REF!+AAJ59,"")</f>
        <v/>
      </c>
      <c r="AAK62" s="87" t="str">
        <f>IF(ISNUMBER(outYear),AAK37+AAK42+#REF!+AAK59,"")</f>
        <v/>
      </c>
      <c r="AAL62" s="87" t="str">
        <f>IF(ISNUMBER(outYear),AAL37+AAL42+#REF!+AAL59,"")</f>
        <v/>
      </c>
      <c r="AAM62" s="87" t="str">
        <f>IF(ISNUMBER(outYear),AAM37+AAM42+#REF!+AAM59,"")</f>
        <v/>
      </c>
      <c r="AAN62" s="87" t="str">
        <f>IF(ISNUMBER(outYear),AAN37+AAN42+#REF!+AAN59,"")</f>
        <v/>
      </c>
      <c r="AAO62" s="87" t="str">
        <f>IF(ISNUMBER(outYear),AAO37+AAO42+#REF!+AAO59,"")</f>
        <v/>
      </c>
      <c r="AAP62" s="87" t="str">
        <f>IF(ISNUMBER(outYear),AAP37+AAP42+#REF!+AAP59,"")</f>
        <v/>
      </c>
      <c r="AAQ62" s="87" t="str">
        <f>IF(ISNUMBER(outYear),AAQ37+AAQ42+#REF!+AAQ59,"")</f>
        <v/>
      </c>
      <c r="AAR62" s="87" t="str">
        <f>IF(ISNUMBER(outYear),AAR37+AAR42+#REF!+AAR59,"")</f>
        <v/>
      </c>
      <c r="AAS62" s="87" t="str">
        <f>IF(ISNUMBER(outYear),AAS37+AAS42+#REF!+AAS59,"")</f>
        <v/>
      </c>
      <c r="AAT62" s="87" t="str">
        <f>IF(ISNUMBER(outYear),AAT37+AAT42+#REF!+AAT59,"")</f>
        <v/>
      </c>
      <c r="AAU62" s="87" t="str">
        <f>IF(ISNUMBER(outYear),AAU37+AAU42+#REF!+AAU59,"")</f>
        <v/>
      </c>
      <c r="AAV62" s="87" t="str">
        <f>IF(ISNUMBER(outYear),AAV37+AAV42+#REF!+AAV59,"")</f>
        <v/>
      </c>
      <c r="AAW62" s="87" t="str">
        <f>IF(ISNUMBER(outYear),AAW37+AAW42+#REF!+AAW59,"")</f>
        <v/>
      </c>
      <c r="AAX62" s="87" t="str">
        <f>IF(ISNUMBER(outYear),AAX37+AAX42+#REF!+AAX59,"")</f>
        <v/>
      </c>
      <c r="AAY62" s="87" t="str">
        <f>IF(ISNUMBER(outYear),AAY37+AAY42+#REF!+AAY59,"")</f>
        <v/>
      </c>
      <c r="AAZ62" s="87" t="str">
        <f>IF(ISNUMBER(outYear),AAZ37+AAZ42+#REF!+AAZ59,"")</f>
        <v/>
      </c>
      <c r="ABA62" s="87" t="str">
        <f>IF(ISNUMBER(outYear),ABA37+ABA42+#REF!+ABA59,"")</f>
        <v/>
      </c>
      <c r="ABB62" s="87" t="str">
        <f>IF(ISNUMBER(outYear),ABB37+ABB42+#REF!+ABB59,"")</f>
        <v/>
      </c>
      <c r="ABC62" s="87" t="str">
        <f>IF(ISNUMBER(outYear),ABC37+ABC42+#REF!+ABC59,"")</f>
        <v/>
      </c>
      <c r="ABD62" s="87" t="str">
        <f>IF(ISNUMBER(outYear),ABD37+ABD42+#REF!+ABD59,"")</f>
        <v/>
      </c>
      <c r="ABE62" s="87" t="str">
        <f>IF(ISNUMBER(outYear),ABE37+ABE42+#REF!+ABE59,"")</f>
        <v/>
      </c>
      <c r="ABF62" s="87" t="str">
        <f>IF(ISNUMBER(outYear),ABF37+ABF42+#REF!+ABF59,"")</f>
        <v/>
      </c>
      <c r="ABG62" s="87" t="str">
        <f>IF(ISNUMBER(outYear),ABG37+ABG42+#REF!+ABG59,"")</f>
        <v/>
      </c>
      <c r="ABH62" s="87" t="str">
        <f>IF(ISNUMBER(outYear),ABH37+ABH42+#REF!+ABH59,"")</f>
        <v/>
      </c>
      <c r="ABI62" s="87" t="str">
        <f>IF(ISNUMBER(outYear),ABI37+ABI42+#REF!+ABI59,"")</f>
        <v/>
      </c>
      <c r="ABJ62" s="87" t="str">
        <f>IF(ISNUMBER(outYear),ABJ37+ABJ42+#REF!+ABJ59,"")</f>
        <v/>
      </c>
      <c r="ABK62" s="87" t="str">
        <f>IF(ISNUMBER(outYear),ABK37+ABK42+#REF!+ABK59,"")</f>
        <v/>
      </c>
      <c r="ABL62" s="87" t="str">
        <f>IF(ISNUMBER(outYear),ABL37+ABL42+#REF!+ABL59,"")</f>
        <v/>
      </c>
      <c r="ABM62" s="87" t="str">
        <f>IF(ISNUMBER(outYear),ABM37+ABM42+#REF!+ABM59,"")</f>
        <v/>
      </c>
      <c r="ABN62" s="87" t="str">
        <f>IF(ISNUMBER(outYear),ABN37+ABN42+#REF!+ABN59,"")</f>
        <v/>
      </c>
      <c r="ABO62" s="87" t="str">
        <f>IF(ISNUMBER(outYear),ABO37+ABO42+#REF!+ABO59,"")</f>
        <v/>
      </c>
      <c r="ABP62" s="87" t="str">
        <f>IF(ISNUMBER(outYear),ABP37+ABP42+#REF!+ABP59,"")</f>
        <v/>
      </c>
      <c r="ABQ62" s="87" t="str">
        <f>IF(ISNUMBER(outYear),ABQ37+ABQ42+#REF!+ABQ59,"")</f>
        <v/>
      </c>
      <c r="ABR62" s="87" t="str">
        <f>IF(ISNUMBER(outYear),ABR37+ABR42+#REF!+ABR59,"")</f>
        <v/>
      </c>
      <c r="ABS62" s="87" t="str">
        <f>IF(ISNUMBER(outYear),ABS37+ABS42+#REF!+ABS59,"")</f>
        <v/>
      </c>
      <c r="ABT62" s="87" t="str">
        <f>IF(ISNUMBER(outYear),ABT37+ABT42+#REF!+ABT59,"")</f>
        <v/>
      </c>
      <c r="ABU62" s="87" t="str">
        <f>IF(ISNUMBER(outYear),ABU37+ABU42+#REF!+ABU59,"")</f>
        <v/>
      </c>
      <c r="ABV62" s="87" t="str">
        <f>IF(ISNUMBER(outYear),ABV37+ABV42+#REF!+ABV59,"")</f>
        <v/>
      </c>
      <c r="ABW62" s="87" t="str">
        <f>IF(ISNUMBER(outYear),ABW37+ABW42+#REF!+ABW59,"")</f>
        <v/>
      </c>
      <c r="ABX62" s="87" t="str">
        <f>IF(ISNUMBER(outYear),ABX37+ABX42+#REF!+ABX59,"")</f>
        <v/>
      </c>
      <c r="ABY62" s="87" t="str">
        <f>IF(ISNUMBER(outYear),ABY37+ABY42+#REF!+ABY59,"")</f>
        <v/>
      </c>
      <c r="ABZ62" s="87" t="str">
        <f>IF(ISNUMBER(outYear),ABZ37+ABZ42+#REF!+ABZ59,"")</f>
        <v/>
      </c>
      <c r="ACA62" s="87" t="str">
        <f>IF(ISNUMBER(outYear),ACA37+ACA42+#REF!+ACA59,"")</f>
        <v/>
      </c>
      <c r="ACB62" s="87" t="str">
        <f>IF(ISNUMBER(outYear),ACB37+ACB42+#REF!+ACB59,"")</f>
        <v/>
      </c>
      <c r="ACC62" s="87" t="str">
        <f>IF(ISNUMBER(outYear),ACC37+ACC42+#REF!+ACC59,"")</f>
        <v/>
      </c>
      <c r="ACD62" s="87" t="str">
        <f>IF(ISNUMBER(outYear),ACD37+ACD42+#REF!+ACD59,"")</f>
        <v/>
      </c>
      <c r="ACE62" s="87" t="str">
        <f>IF(ISNUMBER(outYear),ACE37+ACE42+#REF!+ACE59,"")</f>
        <v/>
      </c>
      <c r="ACF62" s="87" t="str">
        <f>IF(ISNUMBER(outYear),ACF37+ACF42+#REF!+ACF59,"")</f>
        <v/>
      </c>
      <c r="ACG62" s="87" t="str">
        <f>IF(ISNUMBER(outYear),ACG37+ACG42+#REF!+ACG59,"")</f>
        <v/>
      </c>
      <c r="ACH62" s="87" t="str">
        <f>IF(ISNUMBER(outYear),ACH37+ACH42+#REF!+ACH59,"")</f>
        <v/>
      </c>
      <c r="ACI62" s="87" t="str">
        <f>IF(ISNUMBER(outYear),ACI37+ACI42+#REF!+ACI59,"")</f>
        <v/>
      </c>
      <c r="ACJ62" s="87" t="str">
        <f>IF(ISNUMBER(outYear),ACJ37+ACJ42+#REF!+ACJ59,"")</f>
        <v/>
      </c>
      <c r="ACK62" s="87" t="str">
        <f>IF(ISNUMBER(outYear),ACK37+ACK42+#REF!+ACK59,"")</f>
        <v/>
      </c>
      <c r="ACL62" s="87" t="str">
        <f>IF(ISNUMBER(outYear),ACL37+ACL42+#REF!+ACL59,"")</f>
        <v/>
      </c>
      <c r="ACM62" s="87" t="str">
        <f>IF(ISNUMBER(outYear),ACM37+ACM42+#REF!+ACM59,"")</f>
        <v/>
      </c>
      <c r="ACN62" s="87" t="str">
        <f>IF(ISNUMBER(outYear),ACN37+ACN42+#REF!+ACN59,"")</f>
        <v/>
      </c>
      <c r="ACO62" s="87" t="str">
        <f>IF(ISNUMBER(outYear),ACO37+ACO42+#REF!+ACO59,"")</f>
        <v/>
      </c>
      <c r="ACP62" s="87" t="str">
        <f>IF(ISNUMBER(outYear),ACP37+ACP42+#REF!+ACP59,"")</f>
        <v/>
      </c>
      <c r="ACQ62" s="87" t="str">
        <f>IF(ISNUMBER(outYear),ACQ37+ACQ42+#REF!+ACQ59,"")</f>
        <v/>
      </c>
      <c r="ACR62" s="87" t="str">
        <f>IF(ISNUMBER(outYear),ACR37+ACR42+#REF!+ACR59,"")</f>
        <v/>
      </c>
      <c r="ACS62" s="87" t="str">
        <f>IF(ISNUMBER(outYear),ACS37+ACS42+#REF!+ACS59,"")</f>
        <v/>
      </c>
      <c r="ACT62" s="87" t="str">
        <f>IF(ISNUMBER(outYear),ACT37+ACT42+#REF!+ACT59,"")</f>
        <v/>
      </c>
      <c r="ACU62" s="87" t="str">
        <f>IF(ISNUMBER(outYear),ACU37+ACU42+#REF!+ACU59,"")</f>
        <v/>
      </c>
      <c r="ACV62" s="87" t="str">
        <f>IF(ISNUMBER(outYear),ACV37+ACV42+#REF!+ACV59,"")</f>
        <v/>
      </c>
      <c r="ACW62" s="87" t="str">
        <f>IF(ISNUMBER(outYear),ACW37+ACW42+#REF!+ACW59,"")</f>
        <v/>
      </c>
      <c r="ACX62" s="87" t="str">
        <f>IF(ISNUMBER(outYear),ACX37+ACX42+#REF!+ACX59,"")</f>
        <v/>
      </c>
      <c r="ACY62" s="87" t="str">
        <f>IF(ISNUMBER(outYear),ACY37+ACY42+#REF!+ACY59,"")</f>
        <v/>
      </c>
      <c r="ACZ62" s="87" t="str">
        <f>IF(ISNUMBER(outYear),ACZ37+ACZ42+#REF!+ACZ59,"")</f>
        <v/>
      </c>
      <c r="ADA62" s="87" t="str">
        <f>IF(ISNUMBER(outYear),ADA37+ADA42+#REF!+ADA59,"")</f>
        <v/>
      </c>
      <c r="ADB62" s="87" t="str">
        <f>IF(ISNUMBER(outYear),ADB37+ADB42+#REF!+ADB59,"")</f>
        <v/>
      </c>
      <c r="ADC62" s="87" t="str">
        <f>IF(ISNUMBER(outYear),ADC37+ADC42+#REF!+ADC59,"")</f>
        <v/>
      </c>
      <c r="ADD62" s="87" t="str">
        <f>IF(ISNUMBER(outYear),ADD37+ADD42+#REF!+ADD59,"")</f>
        <v/>
      </c>
      <c r="ADE62" s="87" t="str">
        <f>IF(ISNUMBER(outYear),ADE37+ADE42+#REF!+ADE59,"")</f>
        <v/>
      </c>
      <c r="ADF62" s="87" t="str">
        <f>IF(ISNUMBER(outYear),ADF37+ADF42+#REF!+ADF59,"")</f>
        <v/>
      </c>
      <c r="ADG62" s="87" t="str">
        <f>IF(ISNUMBER(outYear),ADG37+ADG42+#REF!+ADG59,"")</f>
        <v/>
      </c>
      <c r="ADH62" s="87" t="str">
        <f>IF(ISNUMBER(outYear),ADH37+ADH42+#REF!+ADH59,"")</f>
        <v/>
      </c>
      <c r="ADI62" s="87" t="str">
        <f>IF(ISNUMBER(outYear),ADI37+ADI42+#REF!+ADI59,"")</f>
        <v/>
      </c>
      <c r="ADJ62" s="87" t="str">
        <f>IF(ISNUMBER(outYear),ADJ37+ADJ42+#REF!+ADJ59,"")</f>
        <v/>
      </c>
      <c r="ADK62" s="87" t="str">
        <f>IF(ISNUMBER(outYear),ADK37+ADK42+#REF!+ADK59,"")</f>
        <v/>
      </c>
      <c r="ADL62" s="87" t="str">
        <f>IF(ISNUMBER(outYear),ADL37+ADL42+#REF!+ADL59,"")</f>
        <v/>
      </c>
      <c r="ADM62" s="87" t="str">
        <f>IF(ISNUMBER(outYear),ADM37+ADM42+#REF!+ADM59,"")</f>
        <v/>
      </c>
      <c r="ADN62" s="87" t="str">
        <f>IF(ISNUMBER(outYear),ADN37+ADN42+#REF!+ADN59,"")</f>
        <v/>
      </c>
      <c r="ADO62" s="87" t="str">
        <f>IF(ISNUMBER(outYear),ADO37+ADO42+#REF!+ADO59,"")</f>
        <v/>
      </c>
      <c r="ADP62" s="87" t="str">
        <f>IF(ISNUMBER(outYear),ADP37+ADP42+#REF!+ADP59,"")</f>
        <v/>
      </c>
      <c r="ADQ62" s="87" t="str">
        <f>IF(ISNUMBER(outYear),ADQ37+ADQ42+#REF!+ADQ59,"")</f>
        <v/>
      </c>
      <c r="ADR62" s="87" t="str">
        <f>IF(ISNUMBER(outYear),ADR37+ADR42+#REF!+ADR59,"")</f>
        <v/>
      </c>
      <c r="ADS62" s="87" t="str">
        <f>IF(ISNUMBER(outYear),ADS37+ADS42+#REF!+ADS59,"")</f>
        <v/>
      </c>
      <c r="ADT62" s="87" t="str">
        <f>IF(ISNUMBER(outYear),ADT37+ADT42+#REF!+ADT59,"")</f>
        <v/>
      </c>
      <c r="ADU62" s="87" t="str">
        <f>IF(ISNUMBER(outYear),ADU37+ADU42+#REF!+ADU59,"")</f>
        <v/>
      </c>
      <c r="ADV62" s="87" t="str">
        <f>IF(ISNUMBER(outYear),ADV37+ADV42+#REF!+ADV59,"")</f>
        <v/>
      </c>
      <c r="ADW62" s="87" t="str">
        <f>IF(ISNUMBER(outYear),ADW37+ADW42+#REF!+ADW59,"")</f>
        <v/>
      </c>
      <c r="ADX62" s="87" t="str">
        <f>IF(ISNUMBER(outYear),ADX37+ADX42+#REF!+ADX59,"")</f>
        <v/>
      </c>
      <c r="ADY62" s="87" t="str">
        <f>IF(ISNUMBER(outYear),ADY37+ADY42+#REF!+ADY59,"")</f>
        <v/>
      </c>
      <c r="ADZ62" s="87" t="str">
        <f>IF(ISNUMBER(outYear),ADZ37+ADZ42+#REF!+ADZ59,"")</f>
        <v/>
      </c>
      <c r="AEA62" s="87" t="str">
        <f>IF(ISNUMBER(outYear),AEA37+AEA42+#REF!+AEA59,"")</f>
        <v/>
      </c>
      <c r="AEB62" s="87" t="str">
        <f>IF(ISNUMBER(outYear),AEB37+AEB42+#REF!+AEB59,"")</f>
        <v/>
      </c>
      <c r="AEC62" s="87" t="str">
        <f>IF(ISNUMBER(outYear),AEC37+AEC42+#REF!+AEC59,"")</f>
        <v/>
      </c>
      <c r="AED62" s="87" t="str">
        <f>IF(ISNUMBER(outYear),AED37+AED42+#REF!+AED59,"")</f>
        <v/>
      </c>
      <c r="AEE62" s="87" t="str">
        <f>IF(ISNUMBER(outYear),AEE37+AEE42+#REF!+AEE59,"")</f>
        <v/>
      </c>
      <c r="AEF62" s="87" t="str">
        <f>IF(ISNUMBER(outYear),AEF37+AEF42+#REF!+AEF59,"")</f>
        <v/>
      </c>
      <c r="AEG62" s="87" t="str">
        <f>IF(ISNUMBER(outYear),AEG37+AEG42+#REF!+AEG59,"")</f>
        <v/>
      </c>
      <c r="AEH62" s="87" t="str">
        <f>IF(ISNUMBER(outYear),AEH37+AEH42+#REF!+AEH59,"")</f>
        <v/>
      </c>
      <c r="AEI62" s="87" t="str">
        <f>IF(ISNUMBER(outYear),AEI37+AEI42+#REF!+AEI59,"")</f>
        <v/>
      </c>
      <c r="AEJ62" s="87" t="str">
        <f>IF(ISNUMBER(outYear),AEJ37+AEJ42+#REF!+AEJ59,"")</f>
        <v/>
      </c>
      <c r="AEK62" s="87" t="str">
        <f>IF(ISNUMBER(outYear),AEK37+AEK42+#REF!+AEK59,"")</f>
        <v/>
      </c>
      <c r="AEL62" s="87" t="str">
        <f>IF(ISNUMBER(outYear),AEL37+AEL42+#REF!+AEL59,"")</f>
        <v/>
      </c>
      <c r="AEM62" s="87" t="str">
        <f>IF(ISNUMBER(outYear),AEM37+AEM42+#REF!+AEM59,"")</f>
        <v/>
      </c>
      <c r="AEN62" s="87" t="str">
        <f>IF(ISNUMBER(outYear),AEN37+AEN42+#REF!+AEN59,"")</f>
        <v/>
      </c>
      <c r="AEO62" s="87" t="str">
        <f>IF(ISNUMBER(outYear),AEO37+AEO42+#REF!+AEO59,"")</f>
        <v/>
      </c>
      <c r="AEP62" s="87" t="str">
        <f>IF(ISNUMBER(outYear),AEP37+AEP42+#REF!+AEP59,"")</f>
        <v/>
      </c>
      <c r="AEQ62" s="87" t="str">
        <f>IF(ISNUMBER(outYear),AEQ37+AEQ42+#REF!+AEQ59,"")</f>
        <v/>
      </c>
      <c r="AER62" s="87" t="str">
        <f>IF(ISNUMBER(outYear),AER37+AER42+#REF!+AER59,"")</f>
        <v/>
      </c>
      <c r="AES62" s="87" t="str">
        <f>IF(ISNUMBER(outYear),AES37+AES42+#REF!+AES59,"")</f>
        <v/>
      </c>
      <c r="AET62" s="87" t="str">
        <f>IF(ISNUMBER(outYear),AET37+AET42+#REF!+AET59,"")</f>
        <v/>
      </c>
      <c r="AEU62" s="87" t="str">
        <f>IF(ISNUMBER(outYear),AEU37+AEU42+#REF!+AEU59,"")</f>
        <v/>
      </c>
      <c r="AEV62" s="87" t="str">
        <f>IF(ISNUMBER(outYear),AEV37+AEV42+#REF!+AEV59,"")</f>
        <v/>
      </c>
      <c r="AEW62" s="87" t="str">
        <f>IF(ISNUMBER(outYear),AEW37+AEW42+#REF!+AEW59,"")</f>
        <v/>
      </c>
      <c r="AEX62" s="87" t="str">
        <f>IF(ISNUMBER(outYear),AEX37+AEX42+#REF!+AEX59,"")</f>
        <v/>
      </c>
      <c r="AEY62" s="87" t="str">
        <f>IF(ISNUMBER(outYear),AEY37+AEY42+#REF!+AEY59,"")</f>
        <v/>
      </c>
      <c r="AEZ62" s="87" t="str">
        <f>IF(ISNUMBER(outYear),AEZ37+AEZ42+#REF!+AEZ59,"")</f>
        <v/>
      </c>
      <c r="AFA62" s="87" t="str">
        <f>IF(ISNUMBER(outYear),AFA37+AFA42+#REF!+AFA59,"")</f>
        <v/>
      </c>
      <c r="AFB62" s="87" t="str">
        <f>IF(ISNUMBER(outYear),AFB37+AFB42+#REF!+AFB59,"")</f>
        <v/>
      </c>
      <c r="AFC62" s="87" t="str">
        <f>IF(ISNUMBER(outYear),AFC37+AFC42+#REF!+AFC59,"")</f>
        <v/>
      </c>
      <c r="AFD62" s="87" t="str">
        <f>IF(ISNUMBER(outYear),AFD37+AFD42+#REF!+AFD59,"")</f>
        <v/>
      </c>
      <c r="AFE62" s="87" t="str">
        <f>IF(ISNUMBER(outYear),AFE37+AFE42+#REF!+AFE59,"")</f>
        <v/>
      </c>
      <c r="AFF62" s="87" t="str">
        <f>IF(ISNUMBER(outYear),AFF37+AFF42+#REF!+AFF59,"")</f>
        <v/>
      </c>
      <c r="AFG62" s="87" t="str">
        <f>IF(ISNUMBER(outYear),AFG37+AFG42+#REF!+AFG59,"")</f>
        <v/>
      </c>
      <c r="AFH62" s="87" t="str">
        <f>IF(ISNUMBER(outYear),AFH37+AFH42+#REF!+AFH59,"")</f>
        <v/>
      </c>
      <c r="AFI62" s="87" t="str">
        <f>IF(ISNUMBER(outYear),AFI37+AFI42+#REF!+AFI59,"")</f>
        <v/>
      </c>
      <c r="AFJ62" s="87" t="str">
        <f>IF(ISNUMBER(outYear),AFJ37+AFJ42+#REF!+AFJ59,"")</f>
        <v/>
      </c>
      <c r="AFK62" s="87" t="str">
        <f>IF(ISNUMBER(outYear),AFK37+AFK42+#REF!+AFK59,"")</f>
        <v/>
      </c>
      <c r="AFL62" s="87" t="str">
        <f>IF(ISNUMBER(outYear),AFL37+AFL42+#REF!+AFL59,"")</f>
        <v/>
      </c>
      <c r="AFM62" s="87" t="str">
        <f>IF(ISNUMBER(outYear),AFM37+AFM42+#REF!+AFM59,"")</f>
        <v/>
      </c>
      <c r="AFN62" s="87" t="str">
        <f>IF(ISNUMBER(outYear),AFN37+AFN42+#REF!+AFN59,"")</f>
        <v/>
      </c>
      <c r="AFO62" s="87" t="str">
        <f>IF(ISNUMBER(outYear),AFO37+AFO42+#REF!+AFO59,"")</f>
        <v/>
      </c>
      <c r="AFP62" s="87" t="str">
        <f>IF(ISNUMBER(outYear),AFP37+AFP42+#REF!+AFP59,"")</f>
        <v/>
      </c>
      <c r="AFQ62" s="87" t="str">
        <f>IF(ISNUMBER(outYear),AFQ37+AFQ42+#REF!+AFQ59,"")</f>
        <v/>
      </c>
      <c r="AFR62" s="87" t="str">
        <f>IF(ISNUMBER(outYear),AFR37+AFR42+#REF!+AFR59,"")</f>
        <v/>
      </c>
      <c r="AFS62" s="87" t="str">
        <f>IF(ISNUMBER(outYear),AFS37+AFS42+#REF!+AFS59,"")</f>
        <v/>
      </c>
      <c r="AFT62" s="87" t="str">
        <f>IF(ISNUMBER(outYear),AFT37+AFT42+#REF!+AFT59,"")</f>
        <v/>
      </c>
      <c r="AFU62" s="87" t="str">
        <f>IF(ISNUMBER(outYear),AFU37+AFU42+#REF!+AFU59,"")</f>
        <v/>
      </c>
      <c r="AFV62" s="87" t="str">
        <f>IF(ISNUMBER(outYear),AFV37+AFV42+#REF!+AFV59,"")</f>
        <v/>
      </c>
      <c r="AFW62" s="87" t="str">
        <f>IF(ISNUMBER(outYear),AFW37+AFW42+#REF!+AFW59,"")</f>
        <v/>
      </c>
      <c r="AFX62" s="87" t="str">
        <f>IF(ISNUMBER(outYear),AFX37+AFX42+#REF!+AFX59,"")</f>
        <v/>
      </c>
      <c r="AFY62" s="87" t="str">
        <f>IF(ISNUMBER(outYear),AFY37+AFY42+#REF!+AFY59,"")</f>
        <v/>
      </c>
      <c r="AFZ62" s="87" t="str">
        <f>IF(ISNUMBER(outYear),AFZ37+AFZ42+#REF!+AFZ59,"")</f>
        <v/>
      </c>
      <c r="AGA62" s="87" t="str">
        <f>IF(ISNUMBER(outYear),AGA37+AGA42+#REF!+AGA59,"")</f>
        <v/>
      </c>
      <c r="AGB62" s="87" t="str">
        <f>IF(ISNUMBER(outYear),AGB37+AGB42+#REF!+AGB59,"")</f>
        <v/>
      </c>
      <c r="AGC62" s="87" t="str">
        <f>IF(ISNUMBER(outYear),AGC37+AGC42+#REF!+AGC59,"")</f>
        <v/>
      </c>
      <c r="AGD62" s="87" t="str">
        <f>IF(ISNUMBER(outYear),AGD37+AGD42+#REF!+AGD59,"")</f>
        <v/>
      </c>
      <c r="AGE62" s="87" t="str">
        <f>IF(ISNUMBER(outYear),AGE37+AGE42+#REF!+AGE59,"")</f>
        <v/>
      </c>
      <c r="AGF62" s="87" t="str">
        <f>IF(ISNUMBER(outYear),AGF37+AGF42+#REF!+AGF59,"")</f>
        <v/>
      </c>
      <c r="AGG62" s="87" t="str">
        <f>IF(ISNUMBER(outYear),AGG37+AGG42+#REF!+AGG59,"")</f>
        <v/>
      </c>
      <c r="AGH62" s="87" t="str">
        <f>IF(ISNUMBER(outYear),AGH37+AGH42+#REF!+AGH59,"")</f>
        <v/>
      </c>
      <c r="AGI62" s="87" t="str">
        <f>IF(ISNUMBER(outYear),AGI37+AGI42+#REF!+AGI59,"")</f>
        <v/>
      </c>
      <c r="AGJ62" s="87" t="str">
        <f>IF(ISNUMBER(outYear),AGJ37+AGJ42+#REF!+AGJ59,"")</f>
        <v/>
      </c>
      <c r="AGK62" s="87" t="str">
        <f>IF(ISNUMBER(outYear),AGK37+AGK42+#REF!+AGK59,"")</f>
        <v/>
      </c>
      <c r="AGL62" s="87" t="str">
        <f>IF(ISNUMBER(outYear),AGL37+AGL42+#REF!+AGL59,"")</f>
        <v/>
      </c>
      <c r="AGM62" s="87" t="str">
        <f>IF(ISNUMBER(outYear),AGM37+AGM42+#REF!+AGM59,"")</f>
        <v/>
      </c>
      <c r="AGN62" s="87" t="str">
        <f>IF(ISNUMBER(outYear),AGN37+AGN42+#REF!+AGN59,"")</f>
        <v/>
      </c>
      <c r="AGO62" s="87" t="str">
        <f>IF(ISNUMBER(outYear),AGO37+AGO42+#REF!+AGO59,"")</f>
        <v/>
      </c>
      <c r="AGP62" s="87" t="str">
        <f>IF(ISNUMBER(outYear),AGP37+AGP42+#REF!+AGP59,"")</f>
        <v/>
      </c>
      <c r="AGQ62" s="87" t="str">
        <f>IF(ISNUMBER(outYear),AGQ37+AGQ42+#REF!+AGQ59,"")</f>
        <v/>
      </c>
      <c r="AGR62" s="87" t="str">
        <f>IF(ISNUMBER(outYear),AGR37+AGR42+#REF!+AGR59,"")</f>
        <v/>
      </c>
      <c r="AGS62" s="87" t="str">
        <f>IF(ISNUMBER(outYear),AGS37+AGS42+#REF!+AGS59,"")</f>
        <v/>
      </c>
      <c r="AGT62" s="87" t="str">
        <f>IF(ISNUMBER(outYear),AGT37+AGT42+#REF!+AGT59,"")</f>
        <v/>
      </c>
      <c r="AGU62" s="87" t="str">
        <f>IF(ISNUMBER(outYear),AGU37+AGU42+#REF!+AGU59,"")</f>
        <v/>
      </c>
      <c r="AGV62" s="87" t="str">
        <f>IF(ISNUMBER(outYear),AGV37+AGV42+#REF!+AGV59,"")</f>
        <v/>
      </c>
      <c r="AGW62" s="87" t="str">
        <f>IF(ISNUMBER(outYear),AGW37+AGW42+#REF!+AGW59,"")</f>
        <v/>
      </c>
      <c r="AGX62" s="87" t="str">
        <f>IF(ISNUMBER(outYear),AGX37+AGX42+#REF!+AGX59,"")</f>
        <v/>
      </c>
      <c r="AGY62" s="87" t="str">
        <f>IF(ISNUMBER(outYear),AGY37+AGY42+#REF!+AGY59,"")</f>
        <v/>
      </c>
      <c r="AGZ62" s="87" t="str">
        <f>IF(ISNUMBER(outYear),AGZ37+AGZ42+#REF!+AGZ59,"")</f>
        <v/>
      </c>
      <c r="AHA62" s="87" t="str">
        <f>IF(ISNUMBER(outYear),AHA37+AHA42+#REF!+AHA59,"")</f>
        <v/>
      </c>
      <c r="AHB62" s="87" t="str">
        <f>IF(ISNUMBER(outYear),AHB37+AHB42+#REF!+AHB59,"")</f>
        <v/>
      </c>
      <c r="AHC62" s="87" t="str">
        <f>IF(ISNUMBER(outYear),AHC37+AHC42+#REF!+AHC59,"")</f>
        <v/>
      </c>
      <c r="AHD62" s="87" t="str">
        <f>IF(ISNUMBER(outYear),AHD37+AHD42+#REF!+AHD59,"")</f>
        <v/>
      </c>
      <c r="AHE62" s="87" t="str">
        <f>IF(ISNUMBER(outYear),AHE37+AHE42+#REF!+AHE59,"")</f>
        <v/>
      </c>
      <c r="AHF62" s="87" t="str">
        <f>IF(ISNUMBER(outYear),AHF37+AHF42+#REF!+AHF59,"")</f>
        <v/>
      </c>
      <c r="AHG62" s="87" t="str">
        <f>IF(ISNUMBER(outYear),AHG37+AHG42+#REF!+AHG59,"")</f>
        <v/>
      </c>
      <c r="AHH62" s="87" t="str">
        <f>IF(ISNUMBER(outYear),AHH37+AHH42+#REF!+AHH59,"")</f>
        <v/>
      </c>
      <c r="AHI62" s="87" t="str">
        <f>IF(ISNUMBER(outYear),AHI37+AHI42+#REF!+AHI59,"")</f>
        <v/>
      </c>
      <c r="AHJ62" s="87" t="str">
        <f>IF(ISNUMBER(outYear),AHJ37+AHJ42+#REF!+AHJ59,"")</f>
        <v/>
      </c>
      <c r="AHK62" s="87" t="str">
        <f>IF(ISNUMBER(outYear),AHK37+AHK42+#REF!+AHK59,"")</f>
        <v/>
      </c>
      <c r="AHL62" s="87" t="str">
        <f>IF(ISNUMBER(outYear),AHL37+AHL42+#REF!+AHL59,"")</f>
        <v/>
      </c>
      <c r="AHM62" s="87" t="str">
        <f>IF(ISNUMBER(outYear),AHM37+AHM42+#REF!+AHM59,"")</f>
        <v/>
      </c>
      <c r="AHN62" s="87" t="str">
        <f>IF(ISNUMBER(outYear),AHN37+AHN42+#REF!+AHN59,"")</f>
        <v/>
      </c>
      <c r="AHO62" s="87" t="str">
        <f>IF(ISNUMBER(outYear),AHO37+AHO42+#REF!+AHO59,"")</f>
        <v/>
      </c>
      <c r="AHP62" s="87" t="str">
        <f>IF(ISNUMBER(outYear),AHP37+AHP42+#REF!+AHP59,"")</f>
        <v/>
      </c>
      <c r="AHQ62" s="87" t="str">
        <f>IF(ISNUMBER(outYear),AHQ37+AHQ42+#REF!+AHQ59,"")</f>
        <v/>
      </c>
      <c r="AHR62" s="87" t="str">
        <f>IF(ISNUMBER(outYear),AHR37+AHR42+#REF!+AHR59,"")</f>
        <v/>
      </c>
      <c r="AHS62" s="87" t="str">
        <f>IF(ISNUMBER(outYear),AHS37+AHS42+#REF!+AHS59,"")</f>
        <v/>
      </c>
      <c r="AHT62" s="87" t="str">
        <f>IF(ISNUMBER(outYear),AHT37+AHT42+#REF!+AHT59,"")</f>
        <v/>
      </c>
      <c r="AHU62" s="87" t="str">
        <f>IF(ISNUMBER(outYear),AHU37+AHU42+#REF!+AHU59,"")</f>
        <v/>
      </c>
      <c r="AHV62" s="87" t="str">
        <f>IF(ISNUMBER(outYear),AHV37+AHV42+#REF!+AHV59,"")</f>
        <v/>
      </c>
      <c r="AHW62" s="87" t="str">
        <f>IF(ISNUMBER(outYear),AHW37+AHW42+#REF!+AHW59,"")</f>
        <v/>
      </c>
      <c r="AHX62" s="87" t="str">
        <f>IF(ISNUMBER(outYear),AHX37+AHX42+#REF!+AHX59,"")</f>
        <v/>
      </c>
      <c r="AHY62" s="87" t="str">
        <f>IF(ISNUMBER(outYear),AHY37+AHY42+#REF!+AHY59,"")</f>
        <v/>
      </c>
      <c r="AHZ62" s="87" t="str">
        <f>IF(ISNUMBER(outYear),AHZ37+AHZ42+#REF!+AHZ59,"")</f>
        <v/>
      </c>
      <c r="AIA62" s="87" t="str">
        <f>IF(ISNUMBER(outYear),AIA37+AIA42+#REF!+AIA59,"")</f>
        <v/>
      </c>
      <c r="AIB62" s="87" t="str">
        <f>IF(ISNUMBER(outYear),AIB37+AIB42+#REF!+AIB59,"")</f>
        <v/>
      </c>
      <c r="AIC62" s="87" t="str">
        <f>IF(ISNUMBER(outYear),AIC37+AIC42+#REF!+AIC59,"")</f>
        <v/>
      </c>
      <c r="AID62" s="87" t="str">
        <f>IF(ISNUMBER(outYear),AID37+AID42+#REF!+AID59,"")</f>
        <v/>
      </c>
      <c r="AIE62" s="87" t="str">
        <f>IF(ISNUMBER(outYear),AIE37+AIE42+#REF!+AIE59,"")</f>
        <v/>
      </c>
      <c r="AIF62" s="87" t="str">
        <f>IF(ISNUMBER(outYear),AIF37+AIF42+#REF!+AIF59,"")</f>
        <v/>
      </c>
      <c r="AIG62" s="87" t="str">
        <f>IF(ISNUMBER(outYear),AIG37+AIG42+#REF!+AIG59,"")</f>
        <v/>
      </c>
      <c r="AIH62" s="87" t="str">
        <f>IF(ISNUMBER(outYear),AIH37+AIH42+#REF!+AIH59,"")</f>
        <v/>
      </c>
      <c r="AII62" s="87" t="str">
        <f>IF(ISNUMBER(outYear),AII37+AII42+#REF!+AII59,"")</f>
        <v/>
      </c>
      <c r="AIJ62" s="87" t="str">
        <f>IF(ISNUMBER(outYear),AIJ37+AIJ42+#REF!+AIJ59,"")</f>
        <v/>
      </c>
      <c r="AIK62" s="87" t="str">
        <f>IF(ISNUMBER(outYear),AIK37+AIK42+#REF!+AIK59,"")</f>
        <v/>
      </c>
      <c r="AIL62" s="87" t="str">
        <f>IF(ISNUMBER(outYear),AIL37+AIL42+#REF!+AIL59,"")</f>
        <v/>
      </c>
      <c r="AIM62" s="87" t="str">
        <f>IF(ISNUMBER(outYear),AIM37+AIM42+#REF!+AIM59,"")</f>
        <v/>
      </c>
      <c r="AIN62" s="87" t="str">
        <f>IF(ISNUMBER(outYear),AIN37+AIN42+#REF!+AIN59,"")</f>
        <v/>
      </c>
      <c r="AIO62" s="87" t="str">
        <f>IF(ISNUMBER(outYear),AIO37+AIO42+#REF!+AIO59,"")</f>
        <v/>
      </c>
      <c r="AIP62" s="87" t="str">
        <f>IF(ISNUMBER(outYear),AIP37+AIP42+#REF!+AIP59,"")</f>
        <v/>
      </c>
      <c r="AIQ62" s="87" t="str">
        <f>IF(ISNUMBER(outYear),AIQ37+AIQ42+#REF!+AIQ59,"")</f>
        <v/>
      </c>
      <c r="AIR62" s="87" t="str">
        <f>IF(ISNUMBER(outYear),AIR37+AIR42+#REF!+AIR59,"")</f>
        <v/>
      </c>
      <c r="AIS62" s="87" t="str">
        <f>IF(ISNUMBER(outYear),AIS37+AIS42+#REF!+AIS59,"")</f>
        <v/>
      </c>
      <c r="AIT62" s="87" t="str">
        <f>IF(ISNUMBER(outYear),AIT37+AIT42+#REF!+AIT59,"")</f>
        <v/>
      </c>
      <c r="AIU62" s="87" t="str">
        <f>IF(ISNUMBER(outYear),AIU37+AIU42+#REF!+AIU59,"")</f>
        <v/>
      </c>
      <c r="AIV62" s="87" t="str">
        <f>IF(ISNUMBER(outYear),AIV37+AIV42+#REF!+AIV59,"")</f>
        <v/>
      </c>
      <c r="AIW62" s="87" t="str">
        <f>IF(ISNUMBER(outYear),AIW37+AIW42+#REF!+AIW59,"")</f>
        <v/>
      </c>
      <c r="AIX62" s="87" t="str">
        <f>IF(ISNUMBER(outYear),AIX37+AIX42+#REF!+AIX59,"")</f>
        <v/>
      </c>
      <c r="AIY62" s="87" t="str">
        <f>IF(ISNUMBER(outYear),AIY37+AIY42+#REF!+AIY59,"")</f>
        <v/>
      </c>
      <c r="AIZ62" s="87" t="str">
        <f>IF(ISNUMBER(outYear),AIZ37+AIZ42+#REF!+AIZ59,"")</f>
        <v/>
      </c>
      <c r="AJA62" s="87" t="str">
        <f>IF(ISNUMBER(outYear),AJA37+AJA42+#REF!+AJA59,"")</f>
        <v/>
      </c>
      <c r="AJB62" s="87" t="str">
        <f>IF(ISNUMBER(outYear),AJB37+AJB42+#REF!+AJB59,"")</f>
        <v/>
      </c>
      <c r="AJC62" s="87" t="str">
        <f>IF(ISNUMBER(outYear),AJC37+AJC42+#REF!+AJC59,"")</f>
        <v/>
      </c>
      <c r="AJD62" s="87" t="str">
        <f>IF(ISNUMBER(outYear),AJD37+AJD42+#REF!+AJD59,"")</f>
        <v/>
      </c>
      <c r="AJE62" s="87" t="str">
        <f>IF(ISNUMBER(outYear),AJE37+AJE42+#REF!+AJE59,"")</f>
        <v/>
      </c>
      <c r="AJF62" s="87" t="str">
        <f>IF(ISNUMBER(outYear),AJF37+AJF42+#REF!+AJF59,"")</f>
        <v/>
      </c>
      <c r="AJG62" s="87" t="str">
        <f>IF(ISNUMBER(outYear),AJG37+AJG42+#REF!+AJG59,"")</f>
        <v/>
      </c>
      <c r="AJH62" s="87" t="str">
        <f>IF(ISNUMBER(outYear),AJH37+AJH42+#REF!+AJH59,"")</f>
        <v/>
      </c>
      <c r="AJI62" s="87" t="str">
        <f>IF(ISNUMBER(outYear),AJI37+AJI42+#REF!+AJI59,"")</f>
        <v/>
      </c>
      <c r="AJJ62" s="87" t="str">
        <f>IF(ISNUMBER(outYear),AJJ37+AJJ42+#REF!+AJJ59,"")</f>
        <v/>
      </c>
      <c r="AJK62" s="87" t="str">
        <f>IF(ISNUMBER(outYear),AJK37+AJK42+#REF!+AJK59,"")</f>
        <v/>
      </c>
      <c r="AJL62" s="87" t="str">
        <f>IF(ISNUMBER(outYear),AJL37+AJL42+#REF!+AJL59,"")</f>
        <v/>
      </c>
      <c r="AJM62" s="87" t="str">
        <f>IF(ISNUMBER(outYear),AJM37+AJM42+#REF!+AJM59,"")</f>
        <v/>
      </c>
      <c r="AJN62" s="87" t="str">
        <f>IF(ISNUMBER(outYear),AJN37+AJN42+#REF!+AJN59,"")</f>
        <v/>
      </c>
      <c r="AJO62" s="87" t="str">
        <f>IF(ISNUMBER(outYear),AJO37+AJO42+#REF!+AJO59,"")</f>
        <v/>
      </c>
      <c r="AJP62" s="87" t="str">
        <f>IF(ISNUMBER(outYear),AJP37+AJP42+#REF!+AJP59,"")</f>
        <v/>
      </c>
      <c r="AJQ62" s="87" t="str">
        <f>IF(ISNUMBER(outYear),AJQ37+AJQ42+#REF!+AJQ59,"")</f>
        <v/>
      </c>
      <c r="AJR62" s="87" t="str">
        <f>IF(ISNUMBER(outYear),AJR37+AJR42+#REF!+AJR59,"")</f>
        <v/>
      </c>
      <c r="AJS62" s="87" t="str">
        <f>IF(ISNUMBER(outYear),AJS37+AJS42+#REF!+AJS59,"")</f>
        <v/>
      </c>
      <c r="AJT62" s="87" t="str">
        <f>IF(ISNUMBER(outYear),AJT37+AJT42+#REF!+AJT59,"")</f>
        <v/>
      </c>
      <c r="AJU62" s="87" t="str">
        <f>IF(ISNUMBER(outYear),AJU37+AJU42+#REF!+AJU59,"")</f>
        <v/>
      </c>
      <c r="AJV62" s="87" t="str">
        <f>IF(ISNUMBER(outYear),AJV37+AJV42+#REF!+AJV59,"")</f>
        <v/>
      </c>
      <c r="AJW62" s="87" t="str">
        <f>IF(ISNUMBER(outYear),AJW37+AJW42+#REF!+AJW59,"")</f>
        <v/>
      </c>
      <c r="AJX62" s="87" t="str">
        <f>IF(ISNUMBER(outYear),AJX37+AJX42+#REF!+AJX59,"")</f>
        <v/>
      </c>
      <c r="AJY62" s="87" t="str">
        <f>IF(ISNUMBER(outYear),AJY37+AJY42+#REF!+AJY59,"")</f>
        <v/>
      </c>
      <c r="AJZ62" s="87" t="str">
        <f>IF(ISNUMBER(outYear),AJZ37+AJZ42+#REF!+AJZ59,"")</f>
        <v/>
      </c>
      <c r="AKA62" s="87" t="str">
        <f>IF(ISNUMBER(outYear),AKA37+AKA42+#REF!+AKA59,"")</f>
        <v/>
      </c>
      <c r="AKB62" s="87" t="str">
        <f>IF(ISNUMBER(outYear),AKB37+AKB42+#REF!+AKB59,"")</f>
        <v/>
      </c>
      <c r="AKC62" s="87" t="str">
        <f>IF(ISNUMBER(outYear),AKC37+AKC42+#REF!+AKC59,"")</f>
        <v/>
      </c>
      <c r="AKD62" s="87" t="str">
        <f>IF(ISNUMBER(outYear),AKD37+AKD42+#REF!+AKD59,"")</f>
        <v/>
      </c>
      <c r="AKE62" s="87" t="str">
        <f>IF(ISNUMBER(outYear),AKE37+AKE42+#REF!+AKE59,"")</f>
        <v/>
      </c>
      <c r="AKF62" s="87" t="str">
        <f>IF(ISNUMBER(outYear),AKF37+AKF42+#REF!+AKF59,"")</f>
        <v/>
      </c>
      <c r="AKG62" s="87" t="str">
        <f>IF(ISNUMBER(outYear),AKG37+AKG42+#REF!+AKG59,"")</f>
        <v/>
      </c>
      <c r="AKH62" s="87" t="str">
        <f>IF(ISNUMBER(outYear),AKH37+AKH42+#REF!+AKH59,"")</f>
        <v/>
      </c>
      <c r="AKI62" s="87" t="str">
        <f>IF(ISNUMBER(outYear),AKI37+AKI42+#REF!+AKI59,"")</f>
        <v/>
      </c>
      <c r="AKJ62" s="87" t="str">
        <f>IF(ISNUMBER(outYear),AKJ37+AKJ42+#REF!+AKJ59,"")</f>
        <v/>
      </c>
      <c r="AKK62" s="87" t="str">
        <f>IF(ISNUMBER(outYear),AKK37+AKK42+#REF!+AKK59,"")</f>
        <v/>
      </c>
      <c r="AKL62" s="87" t="str">
        <f>IF(ISNUMBER(outYear),AKL37+AKL42+#REF!+AKL59,"")</f>
        <v/>
      </c>
      <c r="AKM62" s="87" t="str">
        <f>IF(ISNUMBER(outYear),AKM37+AKM42+#REF!+AKM59,"")</f>
        <v/>
      </c>
      <c r="AKN62" s="87" t="str">
        <f>IF(ISNUMBER(outYear),AKN37+AKN42+#REF!+AKN59,"")</f>
        <v/>
      </c>
      <c r="AKO62" s="87" t="str">
        <f>IF(ISNUMBER(outYear),AKO37+AKO42+#REF!+AKO59,"")</f>
        <v/>
      </c>
      <c r="AKP62" s="87" t="str">
        <f>IF(ISNUMBER(outYear),AKP37+AKP42+#REF!+AKP59,"")</f>
        <v/>
      </c>
      <c r="AKQ62" s="87" t="str">
        <f>IF(ISNUMBER(outYear),AKQ37+AKQ42+#REF!+AKQ59,"")</f>
        <v/>
      </c>
      <c r="AKR62" s="87" t="str">
        <f>IF(ISNUMBER(outYear),AKR37+AKR42+#REF!+AKR59,"")</f>
        <v/>
      </c>
      <c r="AKS62" s="87" t="str">
        <f>IF(ISNUMBER(outYear),AKS37+AKS42+#REF!+AKS59,"")</f>
        <v/>
      </c>
      <c r="AKT62" s="87" t="str">
        <f>IF(ISNUMBER(outYear),AKT37+AKT42+#REF!+AKT59,"")</f>
        <v/>
      </c>
      <c r="AKU62" s="87" t="str">
        <f>IF(ISNUMBER(outYear),AKU37+AKU42+#REF!+AKU59,"")</f>
        <v/>
      </c>
      <c r="AKV62" s="87" t="str">
        <f>IF(ISNUMBER(outYear),AKV37+AKV42+#REF!+AKV59,"")</f>
        <v/>
      </c>
      <c r="AKW62" s="87" t="str">
        <f>IF(ISNUMBER(outYear),AKW37+AKW42+#REF!+AKW59,"")</f>
        <v/>
      </c>
      <c r="AKX62" s="87" t="str">
        <f>IF(ISNUMBER(outYear),AKX37+AKX42+#REF!+AKX59,"")</f>
        <v/>
      </c>
      <c r="AKY62" s="87" t="str">
        <f>IF(ISNUMBER(outYear),AKY37+AKY42+#REF!+AKY59,"")</f>
        <v/>
      </c>
      <c r="AKZ62" s="87" t="str">
        <f>IF(ISNUMBER(outYear),AKZ37+AKZ42+#REF!+AKZ59,"")</f>
        <v/>
      </c>
      <c r="ALA62" s="87" t="str">
        <f>IF(ISNUMBER(outYear),ALA37+ALA42+#REF!+ALA59,"")</f>
        <v/>
      </c>
      <c r="ALB62" s="87" t="str">
        <f>IF(ISNUMBER(outYear),ALB37+ALB42+#REF!+ALB59,"")</f>
        <v/>
      </c>
      <c r="ALC62" s="87" t="str">
        <f>IF(ISNUMBER(outYear),ALC37+ALC42+#REF!+ALC59,"")</f>
        <v/>
      </c>
      <c r="ALD62" s="87" t="str">
        <f>IF(ISNUMBER(outYear),ALD37+ALD42+#REF!+ALD59,"")</f>
        <v/>
      </c>
      <c r="ALE62" s="87" t="str">
        <f>IF(ISNUMBER(outYear),ALE37+ALE42+#REF!+ALE59,"")</f>
        <v/>
      </c>
      <c r="ALF62" s="87" t="str">
        <f>IF(ISNUMBER(outYear),ALF37+ALF42+#REF!+ALF59,"")</f>
        <v/>
      </c>
      <c r="ALG62" s="87" t="str">
        <f>IF(ISNUMBER(outYear),ALG37+ALG42+#REF!+ALG59,"")</f>
        <v/>
      </c>
      <c r="ALH62" s="87" t="str">
        <f>IF(ISNUMBER(outYear),ALH37+ALH42+#REF!+ALH59,"")</f>
        <v/>
      </c>
      <c r="ALI62" s="87" t="str">
        <f>IF(ISNUMBER(outYear),ALI37+ALI42+#REF!+ALI59,"")</f>
        <v/>
      </c>
      <c r="ALJ62" s="87" t="str">
        <f>IF(ISNUMBER(outYear),ALJ37+ALJ42+#REF!+ALJ59,"")</f>
        <v/>
      </c>
      <c r="ALK62" s="87" t="str">
        <f>IF(ISNUMBER(outYear),ALK37+ALK42+#REF!+ALK59,"")</f>
        <v/>
      </c>
      <c r="ALL62" s="87" t="str">
        <f>IF(ISNUMBER(outYear),ALL37+ALL42+#REF!+ALL59,"")</f>
        <v/>
      </c>
      <c r="ALM62" s="87" t="str">
        <f>IF(ISNUMBER(outYear),ALM37+ALM42+#REF!+ALM59,"")</f>
        <v/>
      </c>
      <c r="ALN62" s="87" t="str">
        <f>IF(ISNUMBER(outYear),ALN37+ALN42+#REF!+ALN59,"")</f>
        <v/>
      </c>
      <c r="ALO62" s="87" t="str">
        <f>IF(ISNUMBER(outYear),ALO37+ALO42+#REF!+ALO59,"")</f>
        <v/>
      </c>
      <c r="ALP62" s="87" t="str">
        <f>IF(ISNUMBER(outYear),ALP37+ALP42+#REF!+ALP59,"")</f>
        <v/>
      </c>
      <c r="ALQ62" s="87" t="str">
        <f>IF(ISNUMBER(outYear),ALQ37+ALQ42+#REF!+ALQ59,"")</f>
        <v/>
      </c>
      <c r="ALR62" s="87" t="str">
        <f>IF(ISNUMBER(outYear),ALR37+ALR42+#REF!+ALR59,"")</f>
        <v/>
      </c>
      <c r="ALS62" s="87" t="str">
        <f>IF(ISNUMBER(outYear),ALS37+ALS42+#REF!+ALS59,"")</f>
        <v/>
      </c>
      <c r="ALT62" s="87" t="str">
        <f>IF(ISNUMBER(outYear),ALT37+ALT42+#REF!+ALT59,"")</f>
        <v/>
      </c>
      <c r="ALU62" s="87" t="str">
        <f>IF(ISNUMBER(outYear),ALU37+ALU42+#REF!+ALU59,"")</f>
        <v/>
      </c>
      <c r="ALV62" s="87" t="str">
        <f>IF(ISNUMBER(outYear),ALV37+ALV42+#REF!+ALV59,"")</f>
        <v/>
      </c>
      <c r="ALW62" s="87" t="str">
        <f>IF(ISNUMBER(outYear),ALW37+ALW42+#REF!+ALW59,"")</f>
        <v/>
      </c>
      <c r="ALX62" s="87" t="str">
        <f>IF(ISNUMBER(outYear),ALX37+ALX42+#REF!+ALX59,"")</f>
        <v/>
      </c>
      <c r="ALY62" s="87" t="str">
        <f>IF(ISNUMBER(outYear),ALY37+ALY42+#REF!+ALY59,"")</f>
        <v/>
      </c>
      <c r="ALZ62" s="87" t="str">
        <f>IF(ISNUMBER(outYear),ALZ37+ALZ42+#REF!+ALZ59,"")</f>
        <v/>
      </c>
      <c r="AMA62" s="87" t="str">
        <f>IF(ISNUMBER(outYear),AMA37+AMA42+#REF!+AMA59,"")</f>
        <v/>
      </c>
      <c r="AMB62" s="87" t="str">
        <f>IF(ISNUMBER(outYear),AMB37+AMB42+#REF!+AMB59,"")</f>
        <v/>
      </c>
      <c r="AMC62" s="87" t="str">
        <f>IF(ISNUMBER(outYear),AMC37+AMC42+#REF!+AMC59,"")</f>
        <v/>
      </c>
      <c r="AMD62" s="87" t="str">
        <f>IF(ISNUMBER(outYear),AMD37+AMD42+#REF!+AMD59,"")</f>
        <v/>
      </c>
      <c r="AME62" s="87" t="str">
        <f>IF(ISNUMBER(outYear),AME37+AME42+#REF!+AME59,"")</f>
        <v/>
      </c>
      <c r="AMF62" s="87" t="str">
        <f>IF(ISNUMBER(outYear),AMF37+AMF42+#REF!+AMF59,"")</f>
        <v/>
      </c>
      <c r="AMG62" s="87" t="str">
        <f>IF(ISNUMBER(outYear),AMG37+AMG42+#REF!+AMG59,"")</f>
        <v/>
      </c>
      <c r="AMH62" s="87" t="str">
        <f>IF(ISNUMBER(outYear),AMH37+AMH42+#REF!+AMH59,"")</f>
        <v/>
      </c>
      <c r="AMI62" s="87" t="str">
        <f>IF(ISNUMBER(outYear),AMI37+AMI42+#REF!+AMI59,"")</f>
        <v/>
      </c>
      <c r="AMJ62" s="87" t="str">
        <f>IF(ISNUMBER(outYear),AMJ37+AMJ42+#REF!+AMJ59,"")</f>
        <v/>
      </c>
      <c r="AMK62" s="87" t="str">
        <f>IF(ISNUMBER(outYear),AMK37+AMK42+#REF!+AMK59,"")</f>
        <v/>
      </c>
      <c r="AML62" s="87" t="str">
        <f>IF(ISNUMBER(outYear),AML37+AML42+#REF!+AML59,"")</f>
        <v/>
      </c>
      <c r="AMM62" s="87" t="str">
        <f>IF(ISNUMBER(outYear),AMM37+AMM42+#REF!+AMM59,"")</f>
        <v/>
      </c>
      <c r="AMN62" s="87" t="str">
        <f>IF(ISNUMBER(outYear),AMN37+AMN42+#REF!+AMN59,"")</f>
        <v/>
      </c>
      <c r="AMO62" s="87" t="str">
        <f>IF(ISNUMBER(outYear),AMO37+AMO42+#REF!+AMO59,"")</f>
        <v/>
      </c>
      <c r="AMP62" s="87" t="str">
        <f>IF(ISNUMBER(outYear),AMP37+AMP42+#REF!+AMP59,"")</f>
        <v/>
      </c>
      <c r="AMQ62" s="87" t="str">
        <f>IF(ISNUMBER(outYear),AMQ37+AMQ42+#REF!+AMQ59,"")</f>
        <v/>
      </c>
      <c r="AMR62" s="87" t="str">
        <f>IF(ISNUMBER(outYear),AMR37+AMR42+#REF!+AMR59,"")</f>
        <v/>
      </c>
      <c r="AMS62" s="87" t="str">
        <f>IF(ISNUMBER(outYear),AMS37+AMS42+#REF!+AMS59,"")</f>
        <v/>
      </c>
      <c r="AMT62" s="87" t="str">
        <f>IF(ISNUMBER(outYear),AMT37+AMT42+#REF!+AMT59,"")</f>
        <v/>
      </c>
      <c r="AMU62" s="87" t="str">
        <f>IF(ISNUMBER(outYear),AMU37+AMU42+#REF!+AMU59,"")</f>
        <v/>
      </c>
      <c r="AMV62" s="87" t="str">
        <f>IF(ISNUMBER(outYear),AMV37+AMV42+#REF!+AMV59,"")</f>
        <v/>
      </c>
      <c r="AMW62" s="87" t="str">
        <f>IF(ISNUMBER(outYear),AMW37+AMW42+#REF!+AMW59,"")</f>
        <v/>
      </c>
      <c r="AMX62" s="87" t="str">
        <f>IF(ISNUMBER(outYear),AMX37+AMX42+#REF!+AMX59,"")</f>
        <v/>
      </c>
      <c r="AMY62" s="87" t="str">
        <f>IF(ISNUMBER(outYear),AMY37+AMY42+#REF!+AMY59,"")</f>
        <v/>
      </c>
      <c r="AMZ62" s="87" t="str">
        <f>IF(ISNUMBER(outYear),AMZ37+AMZ42+#REF!+AMZ59,"")</f>
        <v/>
      </c>
      <c r="ANA62" s="87" t="str">
        <f>IF(ISNUMBER(outYear),ANA37+ANA42+#REF!+ANA59,"")</f>
        <v/>
      </c>
      <c r="ANB62" s="87" t="str">
        <f>IF(ISNUMBER(outYear),ANB37+ANB42+#REF!+ANB59,"")</f>
        <v/>
      </c>
      <c r="ANC62" s="87" t="str">
        <f>IF(ISNUMBER(outYear),ANC37+ANC42+#REF!+ANC59,"")</f>
        <v/>
      </c>
      <c r="AND62" s="87" t="str">
        <f>IF(ISNUMBER(outYear),AND37+AND42+#REF!+AND59,"")</f>
        <v/>
      </c>
      <c r="ANE62" s="87" t="str">
        <f>IF(ISNUMBER(outYear),ANE37+ANE42+#REF!+ANE59,"")</f>
        <v/>
      </c>
      <c r="ANF62" s="87" t="str">
        <f>IF(ISNUMBER(outYear),ANF37+ANF42+#REF!+ANF59,"")</f>
        <v/>
      </c>
      <c r="ANG62" s="87" t="str">
        <f>IF(ISNUMBER(outYear),ANG37+ANG42+#REF!+ANG59,"")</f>
        <v/>
      </c>
      <c r="ANH62" s="87" t="str">
        <f>IF(ISNUMBER(outYear),ANH37+ANH42+#REF!+ANH59,"")</f>
        <v/>
      </c>
      <c r="ANI62" s="87" t="str">
        <f>IF(ISNUMBER(outYear),ANI37+ANI42+#REF!+ANI59,"")</f>
        <v/>
      </c>
      <c r="ANJ62" s="87" t="str">
        <f>IF(ISNUMBER(outYear),ANJ37+ANJ42+#REF!+ANJ59,"")</f>
        <v/>
      </c>
      <c r="ANK62" s="87" t="str">
        <f>IF(ISNUMBER(outYear),ANK37+ANK42+#REF!+ANK59,"")</f>
        <v/>
      </c>
      <c r="ANL62" s="87" t="str">
        <f>IF(ISNUMBER(outYear),ANL37+ANL42+#REF!+ANL59,"")</f>
        <v/>
      </c>
      <c r="ANM62" s="87" t="str">
        <f>IF(ISNUMBER(outYear),ANM37+ANM42+#REF!+ANM59,"")</f>
        <v/>
      </c>
      <c r="ANN62" s="87" t="str">
        <f>IF(ISNUMBER(outYear),ANN37+ANN42+#REF!+ANN59,"")</f>
        <v/>
      </c>
      <c r="ANO62" s="87" t="str">
        <f>IF(ISNUMBER(outYear),ANO37+ANO42+#REF!+ANO59,"")</f>
        <v/>
      </c>
      <c r="ANP62" s="87" t="str">
        <f>IF(ISNUMBER(outYear),ANP37+ANP42+#REF!+ANP59,"")</f>
        <v/>
      </c>
      <c r="ANQ62" s="87" t="str">
        <f>IF(ISNUMBER(outYear),ANQ37+ANQ42+#REF!+ANQ59,"")</f>
        <v/>
      </c>
      <c r="ANR62" s="87" t="str">
        <f>IF(ISNUMBER(outYear),ANR37+ANR42+#REF!+ANR59,"")</f>
        <v/>
      </c>
      <c r="ANS62" s="87" t="str">
        <f>IF(ISNUMBER(outYear),ANS37+ANS42+#REF!+ANS59,"")</f>
        <v/>
      </c>
      <c r="ANT62" s="87" t="str">
        <f>IF(ISNUMBER(outYear),ANT37+ANT42+#REF!+ANT59,"")</f>
        <v/>
      </c>
      <c r="ANU62" s="87" t="str">
        <f>IF(ISNUMBER(outYear),ANU37+ANU42+#REF!+ANU59,"")</f>
        <v/>
      </c>
      <c r="ANV62" s="87" t="str">
        <f>IF(ISNUMBER(outYear),ANV37+ANV42+#REF!+ANV59,"")</f>
        <v/>
      </c>
      <c r="ANW62" s="87" t="str">
        <f>IF(ISNUMBER(outYear),ANW37+ANW42+#REF!+ANW59,"")</f>
        <v/>
      </c>
      <c r="ANX62" s="87" t="str">
        <f>IF(ISNUMBER(outYear),ANX37+ANX42+#REF!+ANX59,"")</f>
        <v/>
      </c>
      <c r="ANY62" s="87" t="str">
        <f>IF(ISNUMBER(outYear),ANY37+ANY42+#REF!+ANY59,"")</f>
        <v/>
      </c>
      <c r="ANZ62" s="87" t="str">
        <f>IF(ISNUMBER(outYear),ANZ37+ANZ42+#REF!+ANZ59,"")</f>
        <v/>
      </c>
      <c r="AOA62" s="87" t="str">
        <f>IF(ISNUMBER(outYear),AOA37+AOA42+#REF!+AOA59,"")</f>
        <v/>
      </c>
      <c r="AOB62" s="87" t="str">
        <f>IF(ISNUMBER(outYear),AOB37+AOB42+#REF!+AOB59,"")</f>
        <v/>
      </c>
      <c r="AOC62" s="87" t="str">
        <f>IF(ISNUMBER(outYear),AOC37+AOC42+#REF!+AOC59,"")</f>
        <v/>
      </c>
      <c r="AOD62" s="87" t="str">
        <f>IF(ISNUMBER(outYear),AOD37+AOD42+#REF!+AOD59,"")</f>
        <v/>
      </c>
      <c r="AOE62" s="87" t="str">
        <f>IF(ISNUMBER(outYear),AOE37+AOE42+#REF!+AOE59,"")</f>
        <v/>
      </c>
      <c r="AOF62" s="87" t="str">
        <f>IF(ISNUMBER(outYear),AOF37+AOF42+#REF!+AOF59,"")</f>
        <v/>
      </c>
      <c r="AOG62" s="87" t="str">
        <f>IF(ISNUMBER(outYear),AOG37+AOG42+#REF!+AOG59,"")</f>
        <v/>
      </c>
      <c r="AOH62" s="87" t="str">
        <f>IF(ISNUMBER(outYear),AOH37+AOH42+#REF!+AOH59,"")</f>
        <v/>
      </c>
      <c r="AOI62" s="87" t="str">
        <f>IF(ISNUMBER(outYear),AOI37+AOI42+#REF!+AOI59,"")</f>
        <v/>
      </c>
      <c r="AOJ62" s="87" t="str">
        <f>IF(ISNUMBER(outYear),AOJ37+AOJ42+#REF!+AOJ59,"")</f>
        <v/>
      </c>
      <c r="AOK62" s="87" t="str">
        <f>IF(ISNUMBER(outYear),AOK37+AOK42+#REF!+AOK59,"")</f>
        <v/>
      </c>
      <c r="AOL62" s="87" t="str">
        <f>IF(ISNUMBER(outYear),AOL37+AOL42+#REF!+AOL59,"")</f>
        <v/>
      </c>
      <c r="AOM62" s="87" t="str">
        <f>IF(ISNUMBER(outYear),AOM37+AOM42+#REF!+AOM59,"")</f>
        <v/>
      </c>
      <c r="AON62" s="87" t="str">
        <f>IF(ISNUMBER(outYear),AON37+AON42+#REF!+AON59,"")</f>
        <v/>
      </c>
      <c r="AOO62" s="87" t="str">
        <f>IF(ISNUMBER(outYear),AOO37+AOO42+#REF!+AOO59,"")</f>
        <v/>
      </c>
      <c r="AOP62" s="87" t="str">
        <f>IF(ISNUMBER(outYear),AOP37+AOP42+#REF!+AOP59,"")</f>
        <v/>
      </c>
      <c r="AOQ62" s="87" t="str">
        <f>IF(ISNUMBER(outYear),AOQ37+AOQ42+#REF!+AOQ59,"")</f>
        <v/>
      </c>
      <c r="AOR62" s="87" t="str">
        <f>IF(ISNUMBER(outYear),AOR37+AOR42+#REF!+AOR59,"")</f>
        <v/>
      </c>
      <c r="AOS62" s="87" t="str">
        <f>IF(ISNUMBER(outYear),AOS37+AOS42+#REF!+AOS59,"")</f>
        <v/>
      </c>
      <c r="AOT62" s="87" t="str">
        <f>IF(ISNUMBER(outYear),AOT37+AOT42+#REF!+AOT59,"")</f>
        <v/>
      </c>
      <c r="AOU62" s="87" t="str">
        <f>IF(ISNUMBER(outYear),AOU37+AOU42+#REF!+AOU59,"")</f>
        <v/>
      </c>
      <c r="AOV62" s="87" t="str">
        <f>IF(ISNUMBER(outYear),AOV37+AOV42+#REF!+AOV59,"")</f>
        <v/>
      </c>
      <c r="AOW62" s="87" t="str">
        <f>IF(ISNUMBER(outYear),AOW37+AOW42+#REF!+AOW59,"")</f>
        <v/>
      </c>
      <c r="AOX62" s="87" t="str">
        <f>IF(ISNUMBER(outYear),AOX37+AOX42+#REF!+AOX59,"")</f>
        <v/>
      </c>
      <c r="AOY62" s="87" t="str">
        <f>IF(ISNUMBER(outYear),AOY37+AOY42+#REF!+AOY59,"")</f>
        <v/>
      </c>
      <c r="AOZ62" s="87" t="str">
        <f>IF(ISNUMBER(outYear),AOZ37+AOZ42+#REF!+AOZ59,"")</f>
        <v/>
      </c>
      <c r="APA62" s="87" t="str">
        <f>IF(ISNUMBER(outYear),APA37+APA42+#REF!+APA59,"")</f>
        <v/>
      </c>
      <c r="APB62" s="87" t="str">
        <f>IF(ISNUMBER(outYear),APB37+APB42+#REF!+APB59,"")</f>
        <v/>
      </c>
      <c r="APC62" s="87" t="str">
        <f>IF(ISNUMBER(outYear),APC37+APC42+#REF!+APC59,"")</f>
        <v/>
      </c>
      <c r="APD62" s="87" t="str">
        <f>IF(ISNUMBER(outYear),APD37+APD42+#REF!+APD59,"")</f>
        <v/>
      </c>
      <c r="APE62" s="87" t="str">
        <f>IF(ISNUMBER(outYear),APE37+APE42+#REF!+APE59,"")</f>
        <v/>
      </c>
      <c r="APF62" s="87" t="str">
        <f>IF(ISNUMBER(outYear),APF37+APF42+#REF!+APF59,"")</f>
        <v/>
      </c>
      <c r="APG62" s="87" t="str">
        <f>IF(ISNUMBER(outYear),APG37+APG42+#REF!+APG59,"")</f>
        <v/>
      </c>
      <c r="APH62" s="87" t="str">
        <f>IF(ISNUMBER(outYear),APH37+APH42+#REF!+APH59,"")</f>
        <v/>
      </c>
      <c r="API62" s="87" t="str">
        <f>IF(ISNUMBER(outYear),API37+API42+#REF!+API59,"")</f>
        <v/>
      </c>
      <c r="APJ62" s="87" t="str">
        <f>IF(ISNUMBER(outYear),APJ37+APJ42+#REF!+APJ59,"")</f>
        <v/>
      </c>
      <c r="APK62" s="87" t="str">
        <f>IF(ISNUMBER(outYear),APK37+APK42+#REF!+APK59,"")</f>
        <v/>
      </c>
      <c r="APL62" s="87" t="str">
        <f>IF(ISNUMBER(outYear),APL37+APL42+#REF!+APL59,"")</f>
        <v/>
      </c>
      <c r="APM62" s="87" t="str">
        <f>IF(ISNUMBER(outYear),APM37+APM42+#REF!+APM59,"")</f>
        <v/>
      </c>
      <c r="APN62" s="87" t="str">
        <f>IF(ISNUMBER(outYear),APN37+APN42+#REF!+APN59,"")</f>
        <v/>
      </c>
      <c r="APO62" s="87" t="str">
        <f>IF(ISNUMBER(outYear),APO37+APO42+#REF!+APO59,"")</f>
        <v/>
      </c>
      <c r="APP62" s="87" t="str">
        <f>IF(ISNUMBER(outYear),APP37+APP42+#REF!+APP59,"")</f>
        <v/>
      </c>
      <c r="APQ62" s="87" t="str">
        <f>IF(ISNUMBER(outYear),APQ37+APQ42+#REF!+APQ59,"")</f>
        <v/>
      </c>
      <c r="APR62" s="87" t="str">
        <f>IF(ISNUMBER(outYear),APR37+APR42+#REF!+APR59,"")</f>
        <v/>
      </c>
      <c r="APS62" s="87" t="str">
        <f>IF(ISNUMBER(outYear),APS37+APS42+#REF!+APS59,"")</f>
        <v/>
      </c>
      <c r="APT62" s="87" t="str">
        <f>IF(ISNUMBER(outYear),APT37+APT42+#REF!+APT59,"")</f>
        <v/>
      </c>
      <c r="APU62" s="87" t="str">
        <f>IF(ISNUMBER(outYear),APU37+APU42+#REF!+APU59,"")</f>
        <v/>
      </c>
      <c r="APV62" s="87" t="str">
        <f>IF(ISNUMBER(outYear),APV37+APV42+#REF!+APV59,"")</f>
        <v/>
      </c>
      <c r="APW62" s="87" t="str">
        <f>IF(ISNUMBER(outYear),APW37+APW42+#REF!+APW59,"")</f>
        <v/>
      </c>
      <c r="APX62" s="87" t="str">
        <f>IF(ISNUMBER(outYear),APX37+APX42+#REF!+APX59,"")</f>
        <v/>
      </c>
      <c r="APY62" s="87" t="str">
        <f>IF(ISNUMBER(outYear),APY37+APY42+#REF!+APY59,"")</f>
        <v/>
      </c>
      <c r="APZ62" s="87" t="str">
        <f>IF(ISNUMBER(outYear),APZ37+APZ42+#REF!+APZ59,"")</f>
        <v/>
      </c>
      <c r="AQA62" s="87" t="str">
        <f>IF(ISNUMBER(outYear),AQA37+AQA42+#REF!+AQA59,"")</f>
        <v/>
      </c>
      <c r="AQB62" s="87" t="str">
        <f>IF(ISNUMBER(outYear),AQB37+AQB42+#REF!+AQB59,"")</f>
        <v/>
      </c>
      <c r="AQC62" s="87" t="str">
        <f>IF(ISNUMBER(outYear),AQC37+AQC42+#REF!+AQC59,"")</f>
        <v/>
      </c>
      <c r="AQD62" s="87" t="str">
        <f>IF(ISNUMBER(outYear),AQD37+AQD42+#REF!+AQD59,"")</f>
        <v/>
      </c>
      <c r="AQE62" s="87" t="str">
        <f>IF(ISNUMBER(outYear),AQE37+AQE42+#REF!+AQE59,"")</f>
        <v/>
      </c>
      <c r="AQF62" s="87" t="str">
        <f>IF(ISNUMBER(outYear),AQF37+AQF42+#REF!+AQF59,"")</f>
        <v/>
      </c>
      <c r="AQG62" s="87" t="str">
        <f>IF(ISNUMBER(outYear),AQG37+AQG42+#REF!+AQG59,"")</f>
        <v/>
      </c>
      <c r="AQH62" s="87" t="str">
        <f>IF(ISNUMBER(outYear),AQH37+AQH42+#REF!+AQH59,"")</f>
        <v/>
      </c>
      <c r="AQI62" s="87" t="str">
        <f>IF(ISNUMBER(outYear),AQI37+AQI42+#REF!+AQI59,"")</f>
        <v/>
      </c>
      <c r="AQJ62" s="87" t="str">
        <f>IF(ISNUMBER(outYear),AQJ37+AQJ42+#REF!+AQJ59,"")</f>
        <v/>
      </c>
      <c r="AQK62" s="87" t="str">
        <f>IF(ISNUMBER(outYear),AQK37+AQK42+#REF!+AQK59,"")</f>
        <v/>
      </c>
      <c r="AQL62" s="87" t="str">
        <f>IF(ISNUMBER(outYear),AQL37+AQL42+#REF!+AQL59,"")</f>
        <v/>
      </c>
      <c r="AQM62" s="87" t="str">
        <f>IF(ISNUMBER(outYear),AQM37+AQM42+#REF!+AQM59,"")</f>
        <v/>
      </c>
      <c r="AQN62" s="87" t="str">
        <f>IF(ISNUMBER(outYear),AQN37+AQN42+#REF!+AQN59,"")</f>
        <v/>
      </c>
      <c r="AQO62" s="87" t="str">
        <f>IF(ISNUMBER(outYear),AQO37+AQO42+#REF!+AQO59,"")</f>
        <v/>
      </c>
      <c r="AQP62" s="87" t="str">
        <f>IF(ISNUMBER(outYear),AQP37+AQP42+#REF!+AQP59,"")</f>
        <v/>
      </c>
      <c r="AQQ62" s="87" t="str">
        <f>IF(ISNUMBER(outYear),AQQ37+AQQ42+#REF!+AQQ59,"")</f>
        <v/>
      </c>
      <c r="AQR62" s="87" t="str">
        <f>IF(ISNUMBER(outYear),AQR37+AQR42+#REF!+AQR59,"")</f>
        <v/>
      </c>
      <c r="AQS62" s="87" t="str">
        <f>IF(ISNUMBER(outYear),AQS37+AQS42+#REF!+AQS59,"")</f>
        <v/>
      </c>
      <c r="AQT62" s="87" t="str">
        <f>IF(ISNUMBER(outYear),AQT37+AQT42+#REF!+AQT59,"")</f>
        <v/>
      </c>
      <c r="AQU62" s="87" t="str">
        <f>IF(ISNUMBER(outYear),AQU37+AQU42+#REF!+AQU59,"")</f>
        <v/>
      </c>
      <c r="AQV62" s="87" t="str">
        <f>IF(ISNUMBER(outYear),AQV37+AQV42+#REF!+AQV59,"")</f>
        <v/>
      </c>
      <c r="AQW62" s="87" t="str">
        <f>IF(ISNUMBER(outYear),AQW37+AQW42+#REF!+AQW59,"")</f>
        <v/>
      </c>
      <c r="AQX62" s="87" t="str">
        <f>IF(ISNUMBER(outYear),AQX37+AQX42+#REF!+AQX59,"")</f>
        <v/>
      </c>
      <c r="AQY62" s="87" t="str">
        <f>IF(ISNUMBER(outYear),AQY37+AQY42+#REF!+AQY59,"")</f>
        <v/>
      </c>
      <c r="AQZ62" s="87" t="str">
        <f>IF(ISNUMBER(outYear),AQZ37+AQZ42+#REF!+AQZ59,"")</f>
        <v/>
      </c>
      <c r="ARA62" s="87" t="str">
        <f>IF(ISNUMBER(outYear),ARA37+ARA42+#REF!+ARA59,"")</f>
        <v/>
      </c>
      <c r="ARB62" s="87" t="str">
        <f>IF(ISNUMBER(outYear),ARB37+ARB42+#REF!+ARB59,"")</f>
        <v/>
      </c>
      <c r="ARC62" s="87" t="str">
        <f>IF(ISNUMBER(outYear),ARC37+ARC42+#REF!+ARC59,"")</f>
        <v/>
      </c>
      <c r="ARD62" s="87" t="str">
        <f>IF(ISNUMBER(outYear),ARD37+ARD42+#REF!+ARD59,"")</f>
        <v/>
      </c>
      <c r="ARE62" s="87" t="str">
        <f>IF(ISNUMBER(outYear),ARE37+ARE42+#REF!+ARE59,"")</f>
        <v/>
      </c>
      <c r="ARF62" s="87" t="str">
        <f>IF(ISNUMBER(outYear),ARF37+ARF42+#REF!+ARF59,"")</f>
        <v/>
      </c>
      <c r="ARG62" s="87" t="str">
        <f>IF(ISNUMBER(outYear),ARG37+ARG42+#REF!+ARG59,"")</f>
        <v/>
      </c>
      <c r="ARH62" s="87" t="str">
        <f>IF(ISNUMBER(outYear),ARH37+ARH42+#REF!+ARH59,"")</f>
        <v/>
      </c>
      <c r="ARI62" s="87" t="str">
        <f>IF(ISNUMBER(outYear),ARI37+ARI42+#REF!+ARI59,"")</f>
        <v/>
      </c>
      <c r="ARJ62" s="87" t="str">
        <f>IF(ISNUMBER(outYear),ARJ37+ARJ42+#REF!+ARJ59,"")</f>
        <v/>
      </c>
      <c r="ARK62" s="87" t="str">
        <f>IF(ISNUMBER(outYear),ARK37+ARK42+#REF!+ARK59,"")</f>
        <v/>
      </c>
      <c r="ARL62" s="87" t="str">
        <f>IF(ISNUMBER(outYear),ARL37+ARL42+#REF!+ARL59,"")</f>
        <v/>
      </c>
      <c r="ARM62" s="87" t="str">
        <f>IF(ISNUMBER(outYear),ARM37+ARM42+#REF!+ARM59,"")</f>
        <v/>
      </c>
      <c r="ARN62" s="87" t="str">
        <f>IF(ISNUMBER(outYear),ARN37+ARN42+#REF!+ARN59,"")</f>
        <v/>
      </c>
      <c r="ARO62" s="87" t="str">
        <f>IF(ISNUMBER(outYear),ARO37+ARO42+#REF!+ARO59,"")</f>
        <v/>
      </c>
      <c r="ARP62" s="87" t="str">
        <f>IF(ISNUMBER(outYear),ARP37+ARP42+#REF!+ARP59,"")</f>
        <v/>
      </c>
      <c r="ARQ62" s="87" t="str">
        <f>IF(ISNUMBER(outYear),ARQ37+ARQ42+#REF!+ARQ59,"")</f>
        <v/>
      </c>
      <c r="ARR62" s="87" t="str">
        <f>IF(ISNUMBER(outYear),ARR37+ARR42+#REF!+ARR59,"")</f>
        <v/>
      </c>
      <c r="ARS62" s="87" t="str">
        <f>IF(ISNUMBER(outYear),ARS37+ARS42+#REF!+ARS59,"")</f>
        <v/>
      </c>
      <c r="ART62" s="87" t="str">
        <f>IF(ISNUMBER(outYear),ART37+ART42+#REF!+ART59,"")</f>
        <v/>
      </c>
      <c r="ARU62" s="87" t="str">
        <f>IF(ISNUMBER(outYear),ARU37+ARU42+#REF!+ARU59,"")</f>
        <v/>
      </c>
      <c r="ARV62" s="87" t="str">
        <f>IF(ISNUMBER(outYear),ARV37+ARV42+#REF!+ARV59,"")</f>
        <v/>
      </c>
      <c r="ARW62" s="87" t="str">
        <f>IF(ISNUMBER(outYear),ARW37+ARW42+#REF!+ARW59,"")</f>
        <v/>
      </c>
      <c r="ARX62" s="87" t="str">
        <f>IF(ISNUMBER(outYear),ARX37+ARX42+#REF!+ARX59,"")</f>
        <v/>
      </c>
      <c r="ARY62" s="87" t="str">
        <f>IF(ISNUMBER(outYear),ARY37+ARY42+#REF!+ARY59,"")</f>
        <v/>
      </c>
      <c r="ARZ62" s="87" t="str">
        <f>IF(ISNUMBER(outYear),ARZ37+ARZ42+#REF!+ARZ59,"")</f>
        <v/>
      </c>
      <c r="ASA62" s="87" t="str">
        <f>IF(ISNUMBER(outYear),ASA37+ASA42+#REF!+ASA59,"")</f>
        <v/>
      </c>
      <c r="ASB62" s="87" t="str">
        <f>IF(ISNUMBER(outYear),ASB37+ASB42+#REF!+ASB59,"")</f>
        <v/>
      </c>
      <c r="ASC62" s="87" t="str">
        <f>IF(ISNUMBER(outYear),ASC37+ASC42+#REF!+ASC59,"")</f>
        <v/>
      </c>
      <c r="ASD62" s="87" t="str">
        <f>IF(ISNUMBER(outYear),ASD37+ASD42+#REF!+ASD59,"")</f>
        <v/>
      </c>
      <c r="ASE62" s="87" t="str">
        <f>IF(ISNUMBER(outYear),ASE37+ASE42+#REF!+ASE59,"")</f>
        <v/>
      </c>
      <c r="ASF62" s="87" t="str">
        <f>IF(ISNUMBER(outYear),ASF37+ASF42+#REF!+ASF59,"")</f>
        <v/>
      </c>
      <c r="ASG62" s="87" t="str">
        <f>IF(ISNUMBER(outYear),ASG37+ASG42+#REF!+ASG59,"")</f>
        <v/>
      </c>
      <c r="ASH62" s="87" t="str">
        <f>IF(ISNUMBER(outYear),ASH37+ASH42+#REF!+ASH59,"")</f>
        <v/>
      </c>
      <c r="ASI62" s="87" t="str">
        <f>IF(ISNUMBER(outYear),ASI37+ASI42+#REF!+ASI59,"")</f>
        <v/>
      </c>
      <c r="ASJ62" s="87" t="str">
        <f>IF(ISNUMBER(outYear),ASJ37+ASJ42+#REF!+ASJ59,"")</f>
        <v/>
      </c>
      <c r="ASK62" s="87" t="str">
        <f>IF(ISNUMBER(outYear),ASK37+ASK42+#REF!+ASK59,"")</f>
        <v/>
      </c>
      <c r="ASL62" s="87" t="str">
        <f>IF(ISNUMBER(outYear),ASL37+ASL42+#REF!+ASL59,"")</f>
        <v/>
      </c>
      <c r="ASM62" s="87" t="str">
        <f>IF(ISNUMBER(outYear),ASM37+ASM42+#REF!+ASM59,"")</f>
        <v/>
      </c>
      <c r="ASN62" s="87" t="str">
        <f>IF(ISNUMBER(outYear),ASN37+ASN42+#REF!+ASN59,"")</f>
        <v/>
      </c>
      <c r="ASO62" s="87" t="str">
        <f>IF(ISNUMBER(outYear),ASO37+ASO42+#REF!+ASO59,"")</f>
        <v/>
      </c>
      <c r="ASP62" s="87" t="str">
        <f>IF(ISNUMBER(outYear),ASP37+ASP42+#REF!+ASP59,"")</f>
        <v/>
      </c>
      <c r="ASQ62" s="87" t="str">
        <f>IF(ISNUMBER(outYear),ASQ37+ASQ42+#REF!+ASQ59,"")</f>
        <v/>
      </c>
      <c r="ASR62" s="87" t="str">
        <f>IF(ISNUMBER(outYear),ASR37+ASR42+#REF!+ASR59,"")</f>
        <v/>
      </c>
      <c r="ASS62" s="87" t="str">
        <f>IF(ISNUMBER(outYear),ASS37+ASS42+#REF!+ASS59,"")</f>
        <v/>
      </c>
      <c r="AST62" s="87" t="str">
        <f>IF(ISNUMBER(outYear),AST37+AST42+#REF!+AST59,"")</f>
        <v/>
      </c>
      <c r="ASU62" s="87" t="str">
        <f>IF(ISNUMBER(outYear),ASU37+ASU42+#REF!+ASU59,"")</f>
        <v/>
      </c>
      <c r="ASV62" s="87" t="str">
        <f>IF(ISNUMBER(outYear),ASV37+ASV42+#REF!+ASV59,"")</f>
        <v/>
      </c>
      <c r="ASW62" s="87" t="str">
        <f>IF(ISNUMBER(outYear),ASW37+ASW42+#REF!+ASW59,"")</f>
        <v/>
      </c>
      <c r="ASX62" s="87" t="str">
        <f>IF(ISNUMBER(outYear),ASX37+ASX42+#REF!+ASX59,"")</f>
        <v/>
      </c>
      <c r="ASY62" s="87" t="str">
        <f>IF(ISNUMBER(outYear),ASY37+ASY42+#REF!+ASY59,"")</f>
        <v/>
      </c>
      <c r="ASZ62" s="87" t="str">
        <f>IF(ISNUMBER(outYear),ASZ37+ASZ42+#REF!+ASZ59,"")</f>
        <v/>
      </c>
      <c r="ATA62" s="87" t="str">
        <f>IF(ISNUMBER(outYear),ATA37+ATA42+#REF!+ATA59,"")</f>
        <v/>
      </c>
      <c r="ATB62" s="87" t="str">
        <f>IF(ISNUMBER(outYear),ATB37+ATB42+#REF!+ATB59,"")</f>
        <v/>
      </c>
      <c r="ATC62" s="87" t="str">
        <f>IF(ISNUMBER(outYear),ATC37+ATC42+#REF!+ATC59,"")</f>
        <v/>
      </c>
      <c r="ATD62" s="87" t="str">
        <f>IF(ISNUMBER(outYear),ATD37+ATD42+#REF!+ATD59,"")</f>
        <v/>
      </c>
      <c r="ATE62" s="87" t="str">
        <f>IF(ISNUMBER(outYear),ATE37+ATE42+#REF!+ATE59,"")</f>
        <v/>
      </c>
      <c r="ATF62" s="87" t="str">
        <f>IF(ISNUMBER(outYear),ATF37+ATF42+#REF!+ATF59,"")</f>
        <v/>
      </c>
      <c r="ATG62" s="87" t="str">
        <f>IF(ISNUMBER(outYear),ATG37+ATG42+#REF!+ATG59,"")</f>
        <v/>
      </c>
      <c r="ATH62" s="87" t="str">
        <f>IF(ISNUMBER(outYear),ATH37+ATH42+#REF!+ATH59,"")</f>
        <v/>
      </c>
      <c r="ATI62" s="87" t="str">
        <f>IF(ISNUMBER(outYear),ATI37+ATI42+#REF!+ATI59,"")</f>
        <v/>
      </c>
      <c r="ATJ62" s="87" t="str">
        <f>IF(ISNUMBER(outYear),ATJ37+ATJ42+#REF!+ATJ59,"")</f>
        <v/>
      </c>
      <c r="ATK62" s="87" t="str">
        <f>IF(ISNUMBER(outYear),ATK37+ATK42+#REF!+ATK59,"")</f>
        <v/>
      </c>
      <c r="ATL62" s="87" t="str">
        <f>IF(ISNUMBER(outYear),ATL37+ATL42+#REF!+ATL59,"")</f>
        <v/>
      </c>
      <c r="ATM62" s="87" t="str">
        <f>IF(ISNUMBER(outYear),ATM37+ATM42+#REF!+ATM59,"")</f>
        <v/>
      </c>
      <c r="ATN62" s="87" t="str">
        <f>IF(ISNUMBER(outYear),ATN37+ATN42+#REF!+ATN59,"")</f>
        <v/>
      </c>
      <c r="ATO62" s="87" t="str">
        <f>IF(ISNUMBER(outYear),ATO37+ATO42+#REF!+ATO59,"")</f>
        <v/>
      </c>
      <c r="ATP62" s="87" t="str">
        <f>IF(ISNUMBER(outYear),ATP37+ATP42+#REF!+ATP59,"")</f>
        <v/>
      </c>
      <c r="ATQ62" s="87" t="str">
        <f>IF(ISNUMBER(outYear),ATQ37+ATQ42+#REF!+ATQ59,"")</f>
        <v/>
      </c>
      <c r="ATR62" s="87" t="str">
        <f>IF(ISNUMBER(outYear),ATR37+ATR42+#REF!+ATR59,"")</f>
        <v/>
      </c>
      <c r="ATS62" s="87" t="str">
        <f>IF(ISNUMBER(outYear),ATS37+ATS42+#REF!+ATS59,"")</f>
        <v/>
      </c>
      <c r="ATT62" s="87" t="str">
        <f>IF(ISNUMBER(outYear),ATT37+ATT42+#REF!+ATT59,"")</f>
        <v/>
      </c>
      <c r="ATU62" s="87" t="str">
        <f>IF(ISNUMBER(outYear),ATU37+ATU42+#REF!+ATU59,"")</f>
        <v/>
      </c>
      <c r="ATV62" s="87" t="str">
        <f>IF(ISNUMBER(outYear),ATV37+ATV42+#REF!+ATV59,"")</f>
        <v/>
      </c>
      <c r="ATW62" s="87" t="str">
        <f>IF(ISNUMBER(outYear),ATW37+ATW42+#REF!+ATW59,"")</f>
        <v/>
      </c>
      <c r="ATX62" s="87" t="str">
        <f>IF(ISNUMBER(outYear),ATX37+ATX42+#REF!+ATX59,"")</f>
        <v/>
      </c>
      <c r="ATY62" s="87" t="str">
        <f>IF(ISNUMBER(outYear),ATY37+ATY42+#REF!+ATY59,"")</f>
        <v/>
      </c>
      <c r="ATZ62" s="87" t="str">
        <f>IF(ISNUMBER(outYear),ATZ37+ATZ42+#REF!+ATZ59,"")</f>
        <v/>
      </c>
      <c r="AUA62" s="87" t="str">
        <f>IF(ISNUMBER(outYear),AUA37+AUA42+#REF!+AUA59,"")</f>
        <v/>
      </c>
      <c r="AUB62" s="87" t="str">
        <f>IF(ISNUMBER(outYear),AUB37+AUB42+#REF!+AUB59,"")</f>
        <v/>
      </c>
      <c r="AUC62" s="87" t="str">
        <f>IF(ISNUMBER(outYear),AUC37+AUC42+#REF!+AUC59,"")</f>
        <v/>
      </c>
      <c r="AUD62" s="87" t="str">
        <f>IF(ISNUMBER(outYear),AUD37+AUD42+#REF!+AUD59,"")</f>
        <v/>
      </c>
      <c r="AUE62" s="87" t="str">
        <f>IF(ISNUMBER(outYear),AUE37+AUE42+#REF!+AUE59,"")</f>
        <v/>
      </c>
      <c r="AUF62" s="87" t="str">
        <f>IF(ISNUMBER(outYear),AUF37+AUF42+#REF!+AUF59,"")</f>
        <v/>
      </c>
      <c r="AUG62" s="87" t="str">
        <f>IF(ISNUMBER(outYear),AUG37+AUG42+#REF!+AUG59,"")</f>
        <v/>
      </c>
      <c r="AUH62" s="87" t="str">
        <f>IF(ISNUMBER(outYear),AUH37+AUH42+#REF!+AUH59,"")</f>
        <v/>
      </c>
      <c r="AUI62" s="87" t="str">
        <f>IF(ISNUMBER(outYear),AUI37+AUI42+#REF!+AUI59,"")</f>
        <v/>
      </c>
      <c r="AUJ62" s="87" t="str">
        <f>IF(ISNUMBER(outYear),AUJ37+AUJ42+#REF!+AUJ59,"")</f>
        <v/>
      </c>
      <c r="AUK62" s="87" t="str">
        <f>IF(ISNUMBER(outYear),AUK37+AUK42+#REF!+AUK59,"")</f>
        <v/>
      </c>
      <c r="AUL62" s="87" t="str">
        <f>IF(ISNUMBER(outYear),AUL37+AUL42+#REF!+AUL59,"")</f>
        <v/>
      </c>
      <c r="AUM62" s="87" t="str">
        <f>IF(ISNUMBER(outYear),AUM37+AUM42+#REF!+AUM59,"")</f>
        <v/>
      </c>
      <c r="AUN62" s="87" t="str">
        <f>IF(ISNUMBER(outYear),AUN37+AUN42+#REF!+AUN59,"")</f>
        <v/>
      </c>
      <c r="AUO62" s="87" t="str">
        <f>IF(ISNUMBER(outYear),AUO37+AUO42+#REF!+AUO59,"")</f>
        <v/>
      </c>
      <c r="AUP62" s="87" t="str">
        <f>IF(ISNUMBER(outYear),AUP37+AUP42+#REF!+AUP59,"")</f>
        <v/>
      </c>
      <c r="AUQ62" s="87" t="str">
        <f>IF(ISNUMBER(outYear),AUQ37+AUQ42+#REF!+AUQ59,"")</f>
        <v/>
      </c>
      <c r="AUR62" s="87" t="str">
        <f>IF(ISNUMBER(outYear),AUR37+AUR42+#REF!+AUR59,"")</f>
        <v/>
      </c>
      <c r="AUS62" s="87" t="str">
        <f>IF(ISNUMBER(outYear),AUS37+AUS42+#REF!+AUS59,"")</f>
        <v/>
      </c>
      <c r="AUT62" s="87" t="str">
        <f>IF(ISNUMBER(outYear),AUT37+AUT42+#REF!+AUT59,"")</f>
        <v/>
      </c>
      <c r="AUU62" s="87" t="str">
        <f>IF(ISNUMBER(outYear),AUU37+AUU42+#REF!+AUU59,"")</f>
        <v/>
      </c>
      <c r="AUV62" s="87" t="str">
        <f>IF(ISNUMBER(outYear),AUV37+AUV42+#REF!+AUV59,"")</f>
        <v/>
      </c>
      <c r="AUW62" s="87" t="str">
        <f>IF(ISNUMBER(outYear),AUW37+AUW42+#REF!+AUW59,"")</f>
        <v/>
      </c>
      <c r="AUX62" s="87" t="str">
        <f>IF(ISNUMBER(outYear),AUX37+AUX42+#REF!+AUX59,"")</f>
        <v/>
      </c>
      <c r="AUY62" s="87" t="str">
        <f>IF(ISNUMBER(outYear),AUY37+AUY42+#REF!+AUY59,"")</f>
        <v/>
      </c>
      <c r="AUZ62" s="87" t="str">
        <f>IF(ISNUMBER(outYear),AUZ37+AUZ42+#REF!+AUZ59,"")</f>
        <v/>
      </c>
      <c r="AVA62" s="87" t="str">
        <f>IF(ISNUMBER(outYear),AVA37+AVA42+#REF!+AVA59,"")</f>
        <v/>
      </c>
      <c r="AVB62" s="87" t="str">
        <f>IF(ISNUMBER(outYear),AVB37+AVB42+#REF!+AVB59,"")</f>
        <v/>
      </c>
      <c r="AVC62" s="87" t="str">
        <f>IF(ISNUMBER(outYear),AVC37+AVC42+#REF!+AVC59,"")</f>
        <v/>
      </c>
      <c r="AVD62" s="87" t="str">
        <f>IF(ISNUMBER(outYear),AVD37+AVD42+#REF!+AVD59,"")</f>
        <v/>
      </c>
      <c r="AVE62" s="87" t="str">
        <f>IF(ISNUMBER(outYear),AVE37+AVE42+#REF!+AVE59,"")</f>
        <v/>
      </c>
      <c r="AVF62" s="87" t="str">
        <f>IF(ISNUMBER(outYear),AVF37+AVF42+#REF!+AVF59,"")</f>
        <v/>
      </c>
      <c r="AVG62" s="87" t="str">
        <f>IF(ISNUMBER(outYear),AVG37+AVG42+#REF!+AVG59,"")</f>
        <v/>
      </c>
      <c r="AVH62" s="87" t="str">
        <f>IF(ISNUMBER(outYear),AVH37+AVH42+#REF!+AVH59,"")</f>
        <v/>
      </c>
      <c r="AVI62" s="87" t="str">
        <f>IF(ISNUMBER(outYear),AVI37+AVI42+#REF!+AVI59,"")</f>
        <v/>
      </c>
      <c r="AVJ62" s="87" t="str">
        <f>IF(ISNUMBER(outYear),AVJ37+AVJ42+#REF!+AVJ59,"")</f>
        <v/>
      </c>
      <c r="AVK62" s="87" t="str">
        <f>IF(ISNUMBER(outYear),AVK37+AVK42+#REF!+AVK59,"")</f>
        <v/>
      </c>
      <c r="AVL62" s="87" t="str">
        <f>IF(ISNUMBER(outYear),AVL37+AVL42+#REF!+AVL59,"")</f>
        <v/>
      </c>
      <c r="AVM62" s="87" t="str">
        <f>IF(ISNUMBER(outYear),AVM37+AVM42+#REF!+AVM59,"")</f>
        <v/>
      </c>
      <c r="AVN62" s="87" t="str">
        <f>IF(ISNUMBER(outYear),AVN37+AVN42+#REF!+AVN59,"")</f>
        <v/>
      </c>
      <c r="AVO62" s="87" t="str">
        <f>IF(ISNUMBER(outYear),AVO37+AVO42+#REF!+AVO59,"")</f>
        <v/>
      </c>
      <c r="AVP62" s="87" t="str">
        <f>IF(ISNUMBER(outYear),AVP37+AVP42+#REF!+AVP59,"")</f>
        <v/>
      </c>
      <c r="AVQ62" s="87" t="str">
        <f>IF(ISNUMBER(outYear),AVQ37+AVQ42+#REF!+AVQ59,"")</f>
        <v/>
      </c>
      <c r="AVR62" s="87" t="str">
        <f>IF(ISNUMBER(outYear),AVR37+AVR42+#REF!+AVR59,"")</f>
        <v/>
      </c>
      <c r="AVS62" s="87" t="str">
        <f>IF(ISNUMBER(outYear),AVS37+AVS42+#REF!+AVS59,"")</f>
        <v/>
      </c>
      <c r="AVT62" s="87" t="str">
        <f>IF(ISNUMBER(outYear),AVT37+AVT42+#REF!+AVT59,"")</f>
        <v/>
      </c>
      <c r="AVU62" s="87" t="str">
        <f>IF(ISNUMBER(outYear),AVU37+AVU42+#REF!+AVU59,"")</f>
        <v/>
      </c>
      <c r="AVV62" s="87" t="str">
        <f>IF(ISNUMBER(outYear),AVV37+AVV42+#REF!+AVV59,"")</f>
        <v/>
      </c>
      <c r="AVW62" s="87" t="str">
        <f>IF(ISNUMBER(outYear),AVW37+AVW42+#REF!+AVW59,"")</f>
        <v/>
      </c>
      <c r="AVX62" s="87" t="str">
        <f>IF(ISNUMBER(outYear),AVX37+AVX42+#REF!+AVX59,"")</f>
        <v/>
      </c>
      <c r="AVY62" s="87" t="str">
        <f>IF(ISNUMBER(outYear),AVY37+AVY42+#REF!+AVY59,"")</f>
        <v/>
      </c>
      <c r="AVZ62" s="87" t="str">
        <f>IF(ISNUMBER(outYear),AVZ37+AVZ42+#REF!+AVZ59,"")</f>
        <v/>
      </c>
      <c r="AWA62" s="87" t="str">
        <f>IF(ISNUMBER(outYear),AWA37+AWA42+#REF!+AWA59,"")</f>
        <v/>
      </c>
      <c r="AWB62" s="87" t="str">
        <f>IF(ISNUMBER(outYear),AWB37+AWB42+#REF!+AWB59,"")</f>
        <v/>
      </c>
      <c r="AWC62" s="87" t="str">
        <f>IF(ISNUMBER(outYear),AWC37+AWC42+#REF!+AWC59,"")</f>
        <v/>
      </c>
      <c r="AWD62" s="87" t="str">
        <f>IF(ISNUMBER(outYear),AWD37+AWD42+#REF!+AWD59,"")</f>
        <v/>
      </c>
      <c r="AWE62" s="87" t="str">
        <f>IF(ISNUMBER(outYear),AWE37+AWE42+#REF!+AWE59,"")</f>
        <v/>
      </c>
      <c r="AWF62" s="87" t="str">
        <f>IF(ISNUMBER(outYear),AWF37+AWF42+#REF!+AWF59,"")</f>
        <v/>
      </c>
      <c r="AWG62" s="87" t="str">
        <f>IF(ISNUMBER(outYear),AWG37+AWG42+#REF!+AWG59,"")</f>
        <v/>
      </c>
      <c r="AWH62" s="87" t="str">
        <f>IF(ISNUMBER(outYear),AWH37+AWH42+#REF!+AWH59,"")</f>
        <v/>
      </c>
      <c r="AWI62" s="87" t="str">
        <f>IF(ISNUMBER(outYear),AWI37+AWI42+#REF!+AWI59,"")</f>
        <v/>
      </c>
      <c r="AWJ62" s="87" t="str">
        <f>IF(ISNUMBER(outYear),AWJ37+AWJ42+#REF!+AWJ59,"")</f>
        <v/>
      </c>
      <c r="AWK62" s="87" t="str">
        <f>IF(ISNUMBER(outYear),AWK37+AWK42+#REF!+AWK59,"")</f>
        <v/>
      </c>
      <c r="AWL62" s="87" t="str">
        <f>IF(ISNUMBER(outYear),AWL37+AWL42+#REF!+AWL59,"")</f>
        <v/>
      </c>
      <c r="AWM62" s="87" t="str">
        <f>IF(ISNUMBER(outYear),AWM37+AWM42+#REF!+AWM59,"")</f>
        <v/>
      </c>
      <c r="AWN62" s="87" t="str">
        <f>IF(ISNUMBER(outYear),AWN37+AWN42+#REF!+AWN59,"")</f>
        <v/>
      </c>
      <c r="AWO62" s="87" t="str">
        <f>IF(ISNUMBER(outYear),AWO37+AWO42+#REF!+AWO59,"")</f>
        <v/>
      </c>
      <c r="AWP62" s="87" t="str">
        <f>IF(ISNUMBER(outYear),AWP37+AWP42+#REF!+AWP59,"")</f>
        <v/>
      </c>
      <c r="AWQ62" s="87" t="str">
        <f>IF(ISNUMBER(outYear),AWQ37+AWQ42+#REF!+AWQ59,"")</f>
        <v/>
      </c>
      <c r="AWR62" s="87" t="str">
        <f>IF(ISNUMBER(outYear),AWR37+AWR42+#REF!+AWR59,"")</f>
        <v/>
      </c>
      <c r="AWS62" s="87" t="str">
        <f>IF(ISNUMBER(outYear),AWS37+AWS42+#REF!+AWS59,"")</f>
        <v/>
      </c>
      <c r="AWT62" s="87" t="str">
        <f>IF(ISNUMBER(outYear),AWT37+AWT42+#REF!+AWT59,"")</f>
        <v/>
      </c>
      <c r="AWU62" s="87" t="str">
        <f>IF(ISNUMBER(outYear),AWU37+AWU42+#REF!+AWU59,"")</f>
        <v/>
      </c>
      <c r="AWV62" s="87" t="str">
        <f>IF(ISNUMBER(outYear),AWV37+AWV42+#REF!+AWV59,"")</f>
        <v/>
      </c>
      <c r="AWW62" s="87" t="str">
        <f>IF(ISNUMBER(outYear),AWW37+AWW42+#REF!+AWW59,"")</f>
        <v/>
      </c>
      <c r="AWX62" s="87" t="str">
        <f>IF(ISNUMBER(outYear),AWX37+AWX42+#REF!+AWX59,"")</f>
        <v/>
      </c>
      <c r="AWY62" s="87" t="str">
        <f>IF(ISNUMBER(outYear),AWY37+AWY42+#REF!+AWY59,"")</f>
        <v/>
      </c>
      <c r="AWZ62" s="87" t="str">
        <f>IF(ISNUMBER(outYear),AWZ37+AWZ42+#REF!+AWZ59,"")</f>
        <v/>
      </c>
      <c r="AXA62" s="87" t="str">
        <f>IF(ISNUMBER(outYear),AXA37+AXA42+#REF!+AXA59,"")</f>
        <v/>
      </c>
      <c r="AXB62" s="87" t="str">
        <f>IF(ISNUMBER(outYear),AXB37+AXB42+#REF!+AXB59,"")</f>
        <v/>
      </c>
      <c r="AXC62" s="87" t="str">
        <f>IF(ISNUMBER(outYear),AXC37+AXC42+#REF!+AXC59,"")</f>
        <v/>
      </c>
      <c r="AXD62" s="87" t="str">
        <f>IF(ISNUMBER(outYear),AXD37+AXD42+#REF!+AXD59,"")</f>
        <v/>
      </c>
      <c r="AXE62" s="87" t="str">
        <f>IF(ISNUMBER(outYear),AXE37+AXE42+#REF!+AXE59,"")</f>
        <v/>
      </c>
      <c r="AXF62" s="87" t="str">
        <f>IF(ISNUMBER(outYear),AXF37+AXF42+#REF!+AXF59,"")</f>
        <v/>
      </c>
      <c r="AXG62" s="87" t="str">
        <f>IF(ISNUMBER(outYear),AXG37+AXG42+#REF!+AXG59,"")</f>
        <v/>
      </c>
      <c r="AXH62" s="87" t="str">
        <f>IF(ISNUMBER(outYear),AXH37+AXH42+#REF!+AXH59,"")</f>
        <v/>
      </c>
      <c r="AXI62" s="87" t="str">
        <f>IF(ISNUMBER(outYear),AXI37+AXI42+#REF!+AXI59,"")</f>
        <v/>
      </c>
      <c r="AXJ62" s="87" t="str">
        <f>IF(ISNUMBER(outYear),AXJ37+AXJ42+#REF!+AXJ59,"")</f>
        <v/>
      </c>
      <c r="AXK62" s="87" t="str">
        <f>IF(ISNUMBER(outYear),AXK37+AXK42+#REF!+AXK59,"")</f>
        <v/>
      </c>
      <c r="AXL62" s="87" t="str">
        <f>IF(ISNUMBER(outYear),AXL37+AXL42+#REF!+AXL59,"")</f>
        <v/>
      </c>
      <c r="AXM62" s="87" t="str">
        <f>IF(ISNUMBER(outYear),AXM37+AXM42+#REF!+AXM59,"")</f>
        <v/>
      </c>
      <c r="AXN62" s="87" t="str">
        <f>IF(ISNUMBER(outYear),AXN37+AXN42+#REF!+AXN59,"")</f>
        <v/>
      </c>
      <c r="AXO62" s="87" t="str">
        <f>IF(ISNUMBER(outYear),AXO37+AXO42+#REF!+AXO59,"")</f>
        <v/>
      </c>
      <c r="AXP62" s="87" t="str">
        <f>IF(ISNUMBER(outYear),AXP37+AXP42+#REF!+AXP59,"")</f>
        <v/>
      </c>
      <c r="AXQ62" s="87" t="str">
        <f>IF(ISNUMBER(outYear),AXQ37+AXQ42+#REF!+AXQ59,"")</f>
        <v/>
      </c>
      <c r="AXR62" s="87" t="str">
        <f>IF(ISNUMBER(outYear),AXR37+AXR42+#REF!+AXR59,"")</f>
        <v/>
      </c>
      <c r="AXS62" s="87" t="str">
        <f>IF(ISNUMBER(outYear),AXS37+AXS42+#REF!+AXS59,"")</f>
        <v/>
      </c>
      <c r="AXT62" s="87" t="str">
        <f>IF(ISNUMBER(outYear),AXT37+AXT42+#REF!+AXT59,"")</f>
        <v/>
      </c>
      <c r="AXU62" s="87" t="str">
        <f>IF(ISNUMBER(outYear),AXU37+AXU42+#REF!+AXU59,"")</f>
        <v/>
      </c>
      <c r="AXV62" s="87" t="str">
        <f>IF(ISNUMBER(outYear),AXV37+AXV42+#REF!+AXV59,"")</f>
        <v/>
      </c>
      <c r="AXW62" s="87" t="str">
        <f>IF(ISNUMBER(outYear),AXW37+AXW42+#REF!+AXW59,"")</f>
        <v/>
      </c>
      <c r="AXX62" s="87" t="str">
        <f>IF(ISNUMBER(outYear),AXX37+AXX42+#REF!+AXX59,"")</f>
        <v/>
      </c>
      <c r="AXY62" s="87" t="str">
        <f>IF(ISNUMBER(outYear),AXY37+AXY42+#REF!+AXY59,"")</f>
        <v/>
      </c>
      <c r="AXZ62" s="87" t="str">
        <f>IF(ISNUMBER(outYear),AXZ37+AXZ42+#REF!+AXZ59,"")</f>
        <v/>
      </c>
      <c r="AYA62" s="87" t="str">
        <f>IF(ISNUMBER(outYear),AYA37+AYA42+#REF!+AYA59,"")</f>
        <v/>
      </c>
      <c r="AYB62" s="87" t="str">
        <f>IF(ISNUMBER(outYear),AYB37+AYB42+#REF!+AYB59,"")</f>
        <v/>
      </c>
      <c r="AYC62" s="87" t="str">
        <f>IF(ISNUMBER(outYear),AYC37+AYC42+#REF!+AYC59,"")</f>
        <v/>
      </c>
      <c r="AYD62" s="87" t="str">
        <f>IF(ISNUMBER(outYear),AYD37+AYD42+#REF!+AYD59,"")</f>
        <v/>
      </c>
      <c r="AYE62" s="87" t="str">
        <f>IF(ISNUMBER(outYear),AYE37+AYE42+#REF!+AYE59,"")</f>
        <v/>
      </c>
      <c r="AYF62" s="87" t="str">
        <f>IF(ISNUMBER(outYear),AYF37+AYF42+#REF!+AYF59,"")</f>
        <v/>
      </c>
      <c r="AYG62" s="87" t="str">
        <f>IF(ISNUMBER(outYear),AYG37+AYG42+#REF!+AYG59,"")</f>
        <v/>
      </c>
      <c r="AYH62" s="87" t="str">
        <f>IF(ISNUMBER(outYear),AYH37+AYH42+#REF!+AYH59,"")</f>
        <v/>
      </c>
      <c r="AYI62" s="87" t="str">
        <f>IF(ISNUMBER(outYear),AYI37+AYI42+#REF!+AYI59,"")</f>
        <v/>
      </c>
      <c r="AYJ62" s="87" t="str">
        <f>IF(ISNUMBER(outYear),AYJ37+AYJ42+#REF!+AYJ59,"")</f>
        <v/>
      </c>
      <c r="AYK62" s="87" t="str">
        <f>IF(ISNUMBER(outYear),AYK37+AYK42+#REF!+AYK59,"")</f>
        <v/>
      </c>
      <c r="AYL62" s="87" t="str">
        <f>IF(ISNUMBER(outYear),AYL37+AYL42+#REF!+AYL59,"")</f>
        <v/>
      </c>
      <c r="AYM62" s="87" t="str">
        <f>IF(ISNUMBER(outYear),AYM37+AYM42+#REF!+AYM59,"")</f>
        <v/>
      </c>
      <c r="AYN62" s="87" t="str">
        <f>IF(ISNUMBER(outYear),AYN37+AYN42+#REF!+AYN59,"")</f>
        <v/>
      </c>
      <c r="AYO62" s="87" t="str">
        <f>IF(ISNUMBER(outYear),AYO37+AYO42+#REF!+AYO59,"")</f>
        <v/>
      </c>
      <c r="AYP62" s="87" t="str">
        <f>IF(ISNUMBER(outYear),AYP37+AYP42+#REF!+AYP59,"")</f>
        <v/>
      </c>
      <c r="AYQ62" s="87" t="str">
        <f>IF(ISNUMBER(outYear),AYQ37+AYQ42+#REF!+AYQ59,"")</f>
        <v/>
      </c>
      <c r="AYR62" s="87" t="str">
        <f>IF(ISNUMBER(outYear),AYR37+AYR42+#REF!+AYR59,"")</f>
        <v/>
      </c>
      <c r="AYS62" s="87" t="str">
        <f>IF(ISNUMBER(outYear),AYS37+AYS42+#REF!+AYS59,"")</f>
        <v/>
      </c>
      <c r="AYT62" s="87" t="str">
        <f>IF(ISNUMBER(outYear),AYT37+AYT42+#REF!+AYT59,"")</f>
        <v/>
      </c>
      <c r="AYU62" s="87" t="str">
        <f>IF(ISNUMBER(outYear),AYU37+AYU42+#REF!+AYU59,"")</f>
        <v/>
      </c>
      <c r="AYV62" s="87" t="str">
        <f>IF(ISNUMBER(outYear),AYV37+AYV42+#REF!+AYV59,"")</f>
        <v/>
      </c>
      <c r="AYW62" s="87" t="str">
        <f>IF(ISNUMBER(outYear),AYW37+AYW42+#REF!+AYW59,"")</f>
        <v/>
      </c>
      <c r="AYX62" s="87" t="str">
        <f>IF(ISNUMBER(outYear),AYX37+AYX42+#REF!+AYX59,"")</f>
        <v/>
      </c>
      <c r="AYY62" s="87" t="str">
        <f>IF(ISNUMBER(outYear),AYY37+AYY42+#REF!+AYY59,"")</f>
        <v/>
      </c>
      <c r="AYZ62" s="87" t="str">
        <f>IF(ISNUMBER(outYear),AYZ37+AYZ42+#REF!+AYZ59,"")</f>
        <v/>
      </c>
      <c r="AZA62" s="87" t="str">
        <f>IF(ISNUMBER(outYear),AZA37+AZA42+#REF!+AZA59,"")</f>
        <v/>
      </c>
      <c r="AZB62" s="87" t="str">
        <f>IF(ISNUMBER(outYear),AZB37+AZB42+#REF!+AZB59,"")</f>
        <v/>
      </c>
      <c r="AZC62" s="87" t="str">
        <f>IF(ISNUMBER(outYear),AZC37+AZC42+#REF!+AZC59,"")</f>
        <v/>
      </c>
      <c r="AZD62" s="87" t="str">
        <f>IF(ISNUMBER(outYear),AZD37+AZD42+#REF!+AZD59,"")</f>
        <v/>
      </c>
      <c r="AZE62" s="87" t="str">
        <f>IF(ISNUMBER(outYear),AZE37+AZE42+#REF!+AZE59,"")</f>
        <v/>
      </c>
      <c r="AZF62" s="87" t="str">
        <f>IF(ISNUMBER(outYear),AZF37+AZF42+#REF!+AZF59,"")</f>
        <v/>
      </c>
      <c r="AZG62" s="87" t="str">
        <f>IF(ISNUMBER(outYear),AZG37+AZG42+#REF!+AZG59,"")</f>
        <v/>
      </c>
      <c r="AZH62" s="87" t="str">
        <f>IF(ISNUMBER(outYear),AZH37+AZH42+#REF!+AZH59,"")</f>
        <v/>
      </c>
      <c r="AZI62" s="87" t="str">
        <f>IF(ISNUMBER(outYear),AZI37+AZI42+#REF!+AZI59,"")</f>
        <v/>
      </c>
      <c r="AZJ62" s="87" t="str">
        <f>IF(ISNUMBER(outYear),AZJ37+AZJ42+#REF!+AZJ59,"")</f>
        <v/>
      </c>
      <c r="AZK62" s="87" t="str">
        <f>IF(ISNUMBER(outYear),AZK37+AZK42+#REF!+AZK59,"")</f>
        <v/>
      </c>
      <c r="AZL62" s="87" t="str">
        <f>IF(ISNUMBER(outYear),AZL37+AZL42+#REF!+AZL59,"")</f>
        <v/>
      </c>
      <c r="AZM62" s="87" t="str">
        <f>IF(ISNUMBER(outYear),AZM37+AZM42+#REF!+AZM59,"")</f>
        <v/>
      </c>
      <c r="AZN62" s="87" t="str">
        <f>IF(ISNUMBER(outYear),AZN37+AZN42+#REF!+AZN59,"")</f>
        <v/>
      </c>
      <c r="AZO62" s="87" t="str">
        <f>IF(ISNUMBER(outYear),AZO37+AZO42+#REF!+AZO59,"")</f>
        <v/>
      </c>
      <c r="AZP62" s="87" t="str">
        <f>IF(ISNUMBER(outYear),AZP37+AZP42+#REF!+AZP59,"")</f>
        <v/>
      </c>
      <c r="AZQ62" s="87" t="str">
        <f>IF(ISNUMBER(outYear),AZQ37+AZQ42+#REF!+AZQ59,"")</f>
        <v/>
      </c>
      <c r="AZR62" s="87" t="str">
        <f>IF(ISNUMBER(outYear),AZR37+AZR42+#REF!+AZR59,"")</f>
        <v/>
      </c>
      <c r="AZS62" s="87" t="str">
        <f>IF(ISNUMBER(outYear),AZS37+AZS42+#REF!+AZS59,"")</f>
        <v/>
      </c>
      <c r="AZT62" s="87" t="str">
        <f>IF(ISNUMBER(outYear),AZT37+AZT42+#REF!+AZT59,"")</f>
        <v/>
      </c>
      <c r="AZU62" s="87" t="str">
        <f>IF(ISNUMBER(outYear),AZU37+AZU42+#REF!+AZU59,"")</f>
        <v/>
      </c>
      <c r="AZV62" s="87" t="str">
        <f>IF(ISNUMBER(outYear),AZV37+AZV42+#REF!+AZV59,"")</f>
        <v/>
      </c>
      <c r="AZW62" s="87" t="str">
        <f>IF(ISNUMBER(outYear),AZW37+AZW42+#REF!+AZW59,"")</f>
        <v/>
      </c>
      <c r="AZX62" s="87" t="str">
        <f>IF(ISNUMBER(outYear),AZX37+AZX42+#REF!+AZX59,"")</f>
        <v/>
      </c>
      <c r="AZY62" s="87" t="str">
        <f>IF(ISNUMBER(outYear),AZY37+AZY42+#REF!+AZY59,"")</f>
        <v/>
      </c>
      <c r="AZZ62" s="87" t="str">
        <f>IF(ISNUMBER(outYear),AZZ37+AZZ42+#REF!+AZZ59,"")</f>
        <v/>
      </c>
      <c r="BAA62" s="87" t="str">
        <f>IF(ISNUMBER(outYear),BAA37+BAA42+#REF!+BAA59,"")</f>
        <v/>
      </c>
      <c r="BAB62" s="87" t="str">
        <f>IF(ISNUMBER(outYear),BAB37+BAB42+#REF!+BAB59,"")</f>
        <v/>
      </c>
      <c r="BAC62" s="87" t="str">
        <f>IF(ISNUMBER(outYear),BAC37+BAC42+#REF!+BAC59,"")</f>
        <v/>
      </c>
      <c r="BAD62" s="87" t="str">
        <f>IF(ISNUMBER(outYear),BAD37+BAD42+#REF!+BAD59,"")</f>
        <v/>
      </c>
      <c r="BAE62" s="87" t="str">
        <f>IF(ISNUMBER(outYear),BAE37+BAE42+#REF!+BAE59,"")</f>
        <v/>
      </c>
      <c r="BAF62" s="87" t="str">
        <f>IF(ISNUMBER(outYear),BAF37+BAF42+#REF!+BAF59,"")</f>
        <v/>
      </c>
      <c r="BAG62" s="87" t="str">
        <f>IF(ISNUMBER(outYear),BAG37+BAG42+#REF!+BAG59,"")</f>
        <v/>
      </c>
      <c r="BAH62" s="87" t="str">
        <f>IF(ISNUMBER(outYear),BAH37+BAH42+#REF!+BAH59,"")</f>
        <v/>
      </c>
      <c r="BAI62" s="87" t="str">
        <f>IF(ISNUMBER(outYear),BAI37+BAI42+#REF!+BAI59,"")</f>
        <v/>
      </c>
      <c r="BAJ62" s="87" t="str">
        <f>IF(ISNUMBER(outYear),BAJ37+BAJ42+#REF!+BAJ59,"")</f>
        <v/>
      </c>
      <c r="BAK62" s="87" t="str">
        <f>IF(ISNUMBER(outYear),BAK37+BAK42+#REF!+BAK59,"")</f>
        <v/>
      </c>
      <c r="BAL62" s="87" t="str">
        <f>IF(ISNUMBER(outYear),BAL37+BAL42+#REF!+BAL59,"")</f>
        <v/>
      </c>
      <c r="BAM62" s="87" t="str">
        <f>IF(ISNUMBER(outYear),BAM37+BAM42+#REF!+BAM59,"")</f>
        <v/>
      </c>
      <c r="BAN62" s="87" t="str">
        <f>IF(ISNUMBER(outYear),BAN37+BAN42+#REF!+BAN59,"")</f>
        <v/>
      </c>
      <c r="BAO62" s="87" t="str">
        <f>IF(ISNUMBER(outYear),BAO37+BAO42+#REF!+BAO59,"")</f>
        <v/>
      </c>
      <c r="BAP62" s="87" t="str">
        <f>IF(ISNUMBER(outYear),BAP37+BAP42+#REF!+BAP59,"")</f>
        <v/>
      </c>
      <c r="BAQ62" s="87" t="str">
        <f>IF(ISNUMBER(outYear),BAQ37+BAQ42+#REF!+BAQ59,"")</f>
        <v/>
      </c>
      <c r="BAR62" s="87" t="str">
        <f>IF(ISNUMBER(outYear),BAR37+BAR42+#REF!+BAR59,"")</f>
        <v/>
      </c>
      <c r="BAS62" s="87" t="str">
        <f>IF(ISNUMBER(outYear),BAS37+BAS42+#REF!+BAS59,"")</f>
        <v/>
      </c>
      <c r="BAT62" s="87" t="str">
        <f>IF(ISNUMBER(outYear),BAT37+BAT42+#REF!+BAT59,"")</f>
        <v/>
      </c>
      <c r="BAU62" s="87" t="str">
        <f>IF(ISNUMBER(outYear),BAU37+BAU42+#REF!+BAU59,"")</f>
        <v/>
      </c>
      <c r="BAV62" s="87" t="str">
        <f>IF(ISNUMBER(outYear),BAV37+BAV42+#REF!+BAV59,"")</f>
        <v/>
      </c>
      <c r="BAW62" s="87" t="str">
        <f>IF(ISNUMBER(outYear),BAW37+BAW42+#REF!+BAW59,"")</f>
        <v/>
      </c>
      <c r="BAX62" s="87" t="str">
        <f>IF(ISNUMBER(outYear),BAX37+BAX42+#REF!+BAX59,"")</f>
        <v/>
      </c>
      <c r="BAY62" s="87" t="str">
        <f>IF(ISNUMBER(outYear),BAY37+BAY42+#REF!+BAY59,"")</f>
        <v/>
      </c>
      <c r="BAZ62" s="87" t="str">
        <f>IF(ISNUMBER(outYear),BAZ37+BAZ42+#REF!+BAZ59,"")</f>
        <v/>
      </c>
      <c r="BBA62" s="87" t="str">
        <f>IF(ISNUMBER(outYear),BBA37+BBA42+#REF!+BBA59,"")</f>
        <v/>
      </c>
      <c r="BBB62" s="87" t="str">
        <f>IF(ISNUMBER(outYear),BBB37+BBB42+#REF!+BBB59,"")</f>
        <v/>
      </c>
      <c r="BBC62" s="87" t="str">
        <f>IF(ISNUMBER(outYear),BBC37+BBC42+#REF!+BBC59,"")</f>
        <v/>
      </c>
      <c r="BBD62" s="87" t="str">
        <f>IF(ISNUMBER(outYear),BBD37+BBD42+#REF!+BBD59,"")</f>
        <v/>
      </c>
      <c r="BBE62" s="87" t="str">
        <f>IF(ISNUMBER(outYear),BBE37+BBE42+#REF!+BBE59,"")</f>
        <v/>
      </c>
      <c r="BBF62" s="87" t="str">
        <f>IF(ISNUMBER(outYear),BBF37+BBF42+#REF!+BBF59,"")</f>
        <v/>
      </c>
      <c r="BBG62" s="87" t="str">
        <f>IF(ISNUMBER(outYear),BBG37+BBG42+#REF!+BBG59,"")</f>
        <v/>
      </c>
      <c r="BBH62" s="87" t="str">
        <f>IF(ISNUMBER(outYear),BBH37+BBH42+#REF!+BBH59,"")</f>
        <v/>
      </c>
      <c r="BBI62" s="87" t="str">
        <f>IF(ISNUMBER(outYear),BBI37+BBI42+#REF!+BBI59,"")</f>
        <v/>
      </c>
      <c r="BBJ62" s="87" t="str">
        <f>IF(ISNUMBER(outYear),BBJ37+BBJ42+#REF!+BBJ59,"")</f>
        <v/>
      </c>
      <c r="BBK62" s="87" t="str">
        <f>IF(ISNUMBER(outYear),BBK37+BBK42+#REF!+BBK59,"")</f>
        <v/>
      </c>
      <c r="BBL62" s="87" t="str">
        <f>IF(ISNUMBER(outYear),BBL37+BBL42+#REF!+BBL59,"")</f>
        <v/>
      </c>
      <c r="BBM62" s="87" t="str">
        <f>IF(ISNUMBER(outYear),BBM37+BBM42+#REF!+BBM59,"")</f>
        <v/>
      </c>
      <c r="BBN62" s="87" t="str">
        <f>IF(ISNUMBER(outYear),BBN37+BBN42+#REF!+BBN59,"")</f>
        <v/>
      </c>
      <c r="BBO62" s="87" t="str">
        <f>IF(ISNUMBER(outYear),BBO37+BBO42+#REF!+BBO59,"")</f>
        <v/>
      </c>
      <c r="BBP62" s="87" t="str">
        <f>IF(ISNUMBER(outYear),BBP37+BBP42+#REF!+BBP59,"")</f>
        <v/>
      </c>
      <c r="BBQ62" s="87" t="str">
        <f>IF(ISNUMBER(outYear),BBQ37+BBQ42+#REF!+BBQ59,"")</f>
        <v/>
      </c>
      <c r="BBR62" s="87" t="str">
        <f>IF(ISNUMBER(outYear),BBR37+BBR42+#REF!+BBR59,"")</f>
        <v/>
      </c>
      <c r="BBS62" s="87" t="str">
        <f>IF(ISNUMBER(outYear),BBS37+BBS42+#REF!+BBS59,"")</f>
        <v/>
      </c>
      <c r="BBT62" s="87" t="str">
        <f>IF(ISNUMBER(outYear),BBT37+BBT42+#REF!+BBT59,"")</f>
        <v/>
      </c>
      <c r="BBU62" s="87" t="str">
        <f>IF(ISNUMBER(outYear),BBU37+BBU42+#REF!+BBU59,"")</f>
        <v/>
      </c>
      <c r="BBV62" s="87" t="str">
        <f>IF(ISNUMBER(outYear),BBV37+BBV42+#REF!+BBV59,"")</f>
        <v/>
      </c>
      <c r="BBW62" s="87" t="str">
        <f>IF(ISNUMBER(outYear),BBW37+BBW42+#REF!+BBW59,"")</f>
        <v/>
      </c>
      <c r="BBX62" s="87" t="str">
        <f>IF(ISNUMBER(outYear),BBX37+BBX42+#REF!+BBX59,"")</f>
        <v/>
      </c>
      <c r="BBY62" s="87" t="str">
        <f>IF(ISNUMBER(outYear),BBY37+BBY42+#REF!+BBY59,"")</f>
        <v/>
      </c>
      <c r="BBZ62" s="87" t="str">
        <f>IF(ISNUMBER(outYear),BBZ37+BBZ42+#REF!+BBZ59,"")</f>
        <v/>
      </c>
      <c r="BCA62" s="87" t="str">
        <f>IF(ISNUMBER(outYear),BCA37+BCA42+#REF!+BCA59,"")</f>
        <v/>
      </c>
      <c r="BCB62" s="87" t="str">
        <f>IF(ISNUMBER(outYear),BCB37+BCB42+#REF!+BCB59,"")</f>
        <v/>
      </c>
      <c r="BCC62" s="87" t="str">
        <f>IF(ISNUMBER(outYear),BCC37+BCC42+#REF!+BCC59,"")</f>
        <v/>
      </c>
      <c r="BCD62" s="87" t="str">
        <f>IF(ISNUMBER(outYear),BCD37+BCD42+#REF!+BCD59,"")</f>
        <v/>
      </c>
      <c r="BCE62" s="87" t="str">
        <f>IF(ISNUMBER(outYear),BCE37+BCE42+#REF!+BCE59,"")</f>
        <v/>
      </c>
      <c r="BCF62" s="87" t="str">
        <f>IF(ISNUMBER(outYear),BCF37+BCF42+#REF!+BCF59,"")</f>
        <v/>
      </c>
      <c r="BCG62" s="87" t="str">
        <f>IF(ISNUMBER(outYear),BCG37+BCG42+#REF!+BCG59,"")</f>
        <v/>
      </c>
      <c r="BCH62" s="87" t="str">
        <f>IF(ISNUMBER(outYear),BCH37+BCH42+#REF!+BCH59,"")</f>
        <v/>
      </c>
      <c r="BCI62" s="87" t="str">
        <f>IF(ISNUMBER(outYear),BCI37+BCI42+#REF!+BCI59,"")</f>
        <v/>
      </c>
      <c r="BCJ62" s="87" t="str">
        <f>IF(ISNUMBER(outYear),BCJ37+BCJ42+#REF!+BCJ59,"")</f>
        <v/>
      </c>
      <c r="BCK62" s="87" t="str">
        <f>IF(ISNUMBER(outYear),BCK37+BCK42+#REF!+BCK59,"")</f>
        <v/>
      </c>
      <c r="BCL62" s="87" t="str">
        <f>IF(ISNUMBER(outYear),BCL37+BCL42+#REF!+BCL59,"")</f>
        <v/>
      </c>
      <c r="BCM62" s="87" t="str">
        <f>IF(ISNUMBER(outYear),BCM37+BCM42+#REF!+BCM59,"")</f>
        <v/>
      </c>
      <c r="BCN62" s="87" t="str">
        <f>IF(ISNUMBER(outYear),BCN37+BCN42+#REF!+BCN59,"")</f>
        <v/>
      </c>
      <c r="BCO62" s="87" t="str">
        <f>IF(ISNUMBER(outYear),BCO37+BCO42+#REF!+BCO59,"")</f>
        <v/>
      </c>
      <c r="BCP62" s="87" t="str">
        <f>IF(ISNUMBER(outYear),BCP37+BCP42+#REF!+BCP59,"")</f>
        <v/>
      </c>
      <c r="BCQ62" s="87" t="str">
        <f>IF(ISNUMBER(outYear),BCQ37+BCQ42+#REF!+BCQ59,"")</f>
        <v/>
      </c>
      <c r="BCR62" s="87" t="str">
        <f>IF(ISNUMBER(outYear),BCR37+BCR42+#REF!+BCR59,"")</f>
        <v/>
      </c>
      <c r="BCS62" s="87" t="str">
        <f>IF(ISNUMBER(outYear),BCS37+BCS42+#REF!+BCS59,"")</f>
        <v/>
      </c>
      <c r="BCT62" s="87" t="str">
        <f>IF(ISNUMBER(outYear),BCT37+BCT42+#REF!+BCT59,"")</f>
        <v/>
      </c>
      <c r="BCU62" s="87" t="str">
        <f>IF(ISNUMBER(outYear),BCU37+BCU42+#REF!+BCU59,"")</f>
        <v/>
      </c>
      <c r="BCV62" s="87" t="str">
        <f>IF(ISNUMBER(outYear),BCV37+BCV42+#REF!+BCV59,"")</f>
        <v/>
      </c>
      <c r="BCW62" s="87" t="str">
        <f>IF(ISNUMBER(outYear),BCW37+BCW42+#REF!+BCW59,"")</f>
        <v/>
      </c>
      <c r="BCX62" s="87" t="str">
        <f>IF(ISNUMBER(outYear),BCX37+BCX42+#REF!+BCX59,"")</f>
        <v/>
      </c>
      <c r="BCY62" s="87" t="str">
        <f>IF(ISNUMBER(outYear),BCY37+BCY42+#REF!+BCY59,"")</f>
        <v/>
      </c>
      <c r="BCZ62" s="87" t="str">
        <f>IF(ISNUMBER(outYear),BCZ37+BCZ42+#REF!+BCZ59,"")</f>
        <v/>
      </c>
      <c r="BDA62" s="87" t="str">
        <f>IF(ISNUMBER(outYear),BDA37+BDA42+#REF!+BDA59,"")</f>
        <v/>
      </c>
      <c r="BDB62" s="87" t="str">
        <f>IF(ISNUMBER(outYear),BDB37+BDB42+#REF!+BDB59,"")</f>
        <v/>
      </c>
      <c r="BDC62" s="87" t="str">
        <f>IF(ISNUMBER(outYear),BDC37+BDC42+#REF!+BDC59,"")</f>
        <v/>
      </c>
      <c r="BDD62" s="87" t="str">
        <f>IF(ISNUMBER(outYear),BDD37+BDD42+#REF!+BDD59,"")</f>
        <v/>
      </c>
      <c r="BDE62" s="87" t="str">
        <f>IF(ISNUMBER(outYear),BDE37+BDE42+#REF!+BDE59,"")</f>
        <v/>
      </c>
      <c r="BDF62" s="87" t="str">
        <f>IF(ISNUMBER(outYear),BDF37+BDF42+#REF!+BDF59,"")</f>
        <v/>
      </c>
      <c r="BDG62" s="87" t="str">
        <f>IF(ISNUMBER(outYear),BDG37+BDG42+#REF!+BDG59,"")</f>
        <v/>
      </c>
      <c r="BDH62" s="87" t="str">
        <f>IF(ISNUMBER(outYear),BDH37+BDH42+#REF!+BDH59,"")</f>
        <v/>
      </c>
      <c r="BDI62" s="87" t="str">
        <f>IF(ISNUMBER(outYear),BDI37+BDI42+#REF!+BDI59,"")</f>
        <v/>
      </c>
      <c r="BDJ62" s="87" t="str">
        <f>IF(ISNUMBER(outYear),BDJ37+BDJ42+#REF!+BDJ59,"")</f>
        <v/>
      </c>
      <c r="BDK62" s="87" t="str">
        <f>IF(ISNUMBER(outYear),BDK37+BDK42+#REF!+BDK59,"")</f>
        <v/>
      </c>
      <c r="BDL62" s="87" t="str">
        <f>IF(ISNUMBER(outYear),BDL37+BDL42+#REF!+BDL59,"")</f>
        <v/>
      </c>
      <c r="BDM62" s="87" t="str">
        <f>IF(ISNUMBER(outYear),BDM37+BDM42+#REF!+BDM59,"")</f>
        <v/>
      </c>
      <c r="BDN62" s="87" t="str">
        <f>IF(ISNUMBER(outYear),BDN37+BDN42+#REF!+BDN59,"")</f>
        <v/>
      </c>
      <c r="BDO62" s="87" t="str">
        <f>IF(ISNUMBER(outYear),BDO37+BDO42+#REF!+BDO59,"")</f>
        <v/>
      </c>
      <c r="BDP62" s="87" t="str">
        <f>IF(ISNUMBER(outYear),BDP37+BDP42+#REF!+BDP59,"")</f>
        <v/>
      </c>
      <c r="BDQ62" s="87" t="str">
        <f>IF(ISNUMBER(outYear),BDQ37+BDQ42+#REF!+BDQ59,"")</f>
        <v/>
      </c>
      <c r="BDR62" s="87" t="str">
        <f>IF(ISNUMBER(outYear),BDR37+BDR42+#REF!+BDR59,"")</f>
        <v/>
      </c>
      <c r="BDS62" s="87" t="str">
        <f>IF(ISNUMBER(outYear),BDS37+BDS42+#REF!+BDS59,"")</f>
        <v/>
      </c>
      <c r="BDT62" s="87" t="str">
        <f>IF(ISNUMBER(outYear),BDT37+BDT42+#REF!+BDT59,"")</f>
        <v/>
      </c>
      <c r="BDU62" s="87" t="str">
        <f>IF(ISNUMBER(outYear),BDU37+BDU42+#REF!+BDU59,"")</f>
        <v/>
      </c>
      <c r="BDV62" s="87" t="str">
        <f>IF(ISNUMBER(outYear),BDV37+BDV42+#REF!+BDV59,"")</f>
        <v/>
      </c>
      <c r="BDW62" s="87" t="str">
        <f>IF(ISNUMBER(outYear),BDW37+BDW42+#REF!+BDW59,"")</f>
        <v/>
      </c>
      <c r="BDX62" s="87" t="str">
        <f>IF(ISNUMBER(outYear),BDX37+BDX42+#REF!+BDX59,"")</f>
        <v/>
      </c>
      <c r="BDY62" s="87" t="str">
        <f>IF(ISNUMBER(outYear),BDY37+BDY42+#REF!+BDY59,"")</f>
        <v/>
      </c>
      <c r="BDZ62" s="87" t="str">
        <f>IF(ISNUMBER(outYear),BDZ37+BDZ42+#REF!+BDZ59,"")</f>
        <v/>
      </c>
      <c r="BEA62" s="87" t="str">
        <f>IF(ISNUMBER(outYear),BEA37+BEA42+#REF!+BEA59,"")</f>
        <v/>
      </c>
      <c r="BEB62" s="87" t="str">
        <f>IF(ISNUMBER(outYear),BEB37+BEB42+#REF!+BEB59,"")</f>
        <v/>
      </c>
      <c r="BEC62" s="87" t="str">
        <f>IF(ISNUMBER(outYear),BEC37+BEC42+#REF!+BEC59,"")</f>
        <v/>
      </c>
      <c r="BED62" s="87" t="str">
        <f>IF(ISNUMBER(outYear),BED37+BED42+#REF!+BED59,"")</f>
        <v/>
      </c>
      <c r="BEE62" s="87" t="str">
        <f>IF(ISNUMBER(outYear),BEE37+BEE42+#REF!+BEE59,"")</f>
        <v/>
      </c>
      <c r="BEF62" s="87" t="str">
        <f>IF(ISNUMBER(outYear),BEF37+BEF42+#REF!+BEF59,"")</f>
        <v/>
      </c>
      <c r="BEG62" s="87" t="str">
        <f>IF(ISNUMBER(outYear),BEG37+BEG42+#REF!+BEG59,"")</f>
        <v/>
      </c>
      <c r="BEH62" s="87" t="str">
        <f>IF(ISNUMBER(outYear),BEH37+BEH42+#REF!+BEH59,"")</f>
        <v/>
      </c>
      <c r="BEI62" s="87" t="str">
        <f>IF(ISNUMBER(outYear),BEI37+BEI42+#REF!+BEI59,"")</f>
        <v/>
      </c>
      <c r="BEJ62" s="87" t="str">
        <f>IF(ISNUMBER(outYear),BEJ37+BEJ42+#REF!+BEJ59,"")</f>
        <v/>
      </c>
      <c r="BEK62" s="87" t="str">
        <f>IF(ISNUMBER(outYear),BEK37+BEK42+#REF!+BEK59,"")</f>
        <v/>
      </c>
      <c r="BEL62" s="87" t="str">
        <f>IF(ISNUMBER(outYear),BEL37+BEL42+#REF!+BEL59,"")</f>
        <v/>
      </c>
      <c r="BEM62" s="87" t="str">
        <f>IF(ISNUMBER(outYear),BEM37+BEM42+#REF!+BEM59,"")</f>
        <v/>
      </c>
      <c r="BEN62" s="87" t="str">
        <f>IF(ISNUMBER(outYear),BEN37+BEN42+#REF!+BEN59,"")</f>
        <v/>
      </c>
      <c r="BEO62" s="87" t="str">
        <f>IF(ISNUMBER(outYear),BEO37+BEO42+#REF!+BEO59,"")</f>
        <v/>
      </c>
      <c r="BEP62" s="87" t="str">
        <f>IF(ISNUMBER(outYear),BEP37+BEP42+#REF!+BEP59,"")</f>
        <v/>
      </c>
      <c r="BEQ62" s="87" t="str">
        <f>IF(ISNUMBER(outYear),BEQ37+BEQ42+#REF!+BEQ59,"")</f>
        <v/>
      </c>
      <c r="BER62" s="87" t="str">
        <f>IF(ISNUMBER(outYear),BER37+BER42+#REF!+BER59,"")</f>
        <v/>
      </c>
      <c r="BES62" s="87" t="str">
        <f>IF(ISNUMBER(outYear),BES37+BES42+#REF!+BES59,"")</f>
        <v/>
      </c>
      <c r="BET62" s="87" t="str">
        <f>IF(ISNUMBER(outYear),BET37+BET42+#REF!+BET59,"")</f>
        <v/>
      </c>
      <c r="BEU62" s="87" t="str">
        <f>IF(ISNUMBER(outYear),BEU37+BEU42+#REF!+BEU59,"")</f>
        <v/>
      </c>
      <c r="BEV62" s="87" t="str">
        <f>IF(ISNUMBER(outYear),BEV37+BEV42+#REF!+BEV59,"")</f>
        <v/>
      </c>
      <c r="BEW62" s="87" t="str">
        <f>IF(ISNUMBER(outYear),BEW37+BEW42+#REF!+BEW59,"")</f>
        <v/>
      </c>
      <c r="BEX62" s="87" t="str">
        <f>IF(ISNUMBER(outYear),BEX37+BEX42+#REF!+BEX59,"")</f>
        <v/>
      </c>
      <c r="BEY62" s="87" t="str">
        <f>IF(ISNUMBER(outYear),BEY37+BEY42+#REF!+BEY59,"")</f>
        <v/>
      </c>
      <c r="BEZ62" s="87" t="str">
        <f>IF(ISNUMBER(outYear),BEZ37+BEZ42+#REF!+BEZ59,"")</f>
        <v/>
      </c>
      <c r="BFA62" s="87" t="str">
        <f>IF(ISNUMBER(outYear),BFA37+BFA42+#REF!+BFA59,"")</f>
        <v/>
      </c>
      <c r="BFB62" s="87" t="str">
        <f>IF(ISNUMBER(outYear),BFB37+BFB42+#REF!+BFB59,"")</f>
        <v/>
      </c>
      <c r="BFC62" s="87" t="str">
        <f>IF(ISNUMBER(outYear),BFC37+BFC42+#REF!+BFC59,"")</f>
        <v/>
      </c>
      <c r="BFD62" s="87" t="str">
        <f>IF(ISNUMBER(outYear),BFD37+BFD42+#REF!+BFD59,"")</f>
        <v/>
      </c>
      <c r="BFE62" s="87" t="str">
        <f>IF(ISNUMBER(outYear),BFE37+BFE42+#REF!+BFE59,"")</f>
        <v/>
      </c>
      <c r="BFF62" s="87" t="str">
        <f>IF(ISNUMBER(outYear),BFF37+BFF42+#REF!+BFF59,"")</f>
        <v/>
      </c>
      <c r="BFG62" s="87" t="str">
        <f>IF(ISNUMBER(outYear),BFG37+BFG42+#REF!+BFG59,"")</f>
        <v/>
      </c>
      <c r="BFH62" s="87" t="str">
        <f>IF(ISNUMBER(outYear),BFH37+BFH42+#REF!+BFH59,"")</f>
        <v/>
      </c>
      <c r="BFI62" s="87" t="str">
        <f>IF(ISNUMBER(outYear),BFI37+BFI42+#REF!+BFI59,"")</f>
        <v/>
      </c>
      <c r="BFJ62" s="87" t="str">
        <f>IF(ISNUMBER(outYear),BFJ37+BFJ42+#REF!+BFJ59,"")</f>
        <v/>
      </c>
      <c r="BFK62" s="87" t="str">
        <f>IF(ISNUMBER(outYear),BFK37+BFK42+#REF!+BFK59,"")</f>
        <v/>
      </c>
      <c r="BFL62" s="87" t="str">
        <f>IF(ISNUMBER(outYear),BFL37+BFL42+#REF!+BFL59,"")</f>
        <v/>
      </c>
      <c r="BFM62" s="87" t="str">
        <f>IF(ISNUMBER(outYear),BFM37+BFM42+#REF!+BFM59,"")</f>
        <v/>
      </c>
      <c r="BFN62" s="87" t="str">
        <f>IF(ISNUMBER(outYear),BFN37+BFN42+#REF!+BFN59,"")</f>
        <v/>
      </c>
      <c r="BFO62" s="87" t="str">
        <f>IF(ISNUMBER(outYear),BFO37+BFO42+#REF!+BFO59,"")</f>
        <v/>
      </c>
      <c r="BFP62" s="87" t="str">
        <f>IF(ISNUMBER(outYear),BFP37+BFP42+#REF!+BFP59,"")</f>
        <v/>
      </c>
      <c r="BFQ62" s="87" t="str">
        <f>IF(ISNUMBER(outYear),BFQ37+BFQ42+#REF!+BFQ59,"")</f>
        <v/>
      </c>
      <c r="BFR62" s="87" t="str">
        <f>IF(ISNUMBER(outYear),BFR37+BFR42+#REF!+BFR59,"")</f>
        <v/>
      </c>
      <c r="BFS62" s="87" t="str">
        <f>IF(ISNUMBER(outYear),BFS37+BFS42+#REF!+BFS59,"")</f>
        <v/>
      </c>
      <c r="BFT62" s="87" t="str">
        <f>IF(ISNUMBER(outYear),BFT37+BFT42+#REF!+BFT59,"")</f>
        <v/>
      </c>
      <c r="BFU62" s="87" t="str">
        <f>IF(ISNUMBER(outYear),BFU37+BFU42+#REF!+BFU59,"")</f>
        <v/>
      </c>
      <c r="BFV62" s="87" t="str">
        <f>IF(ISNUMBER(outYear),BFV37+BFV42+#REF!+BFV59,"")</f>
        <v/>
      </c>
      <c r="BFW62" s="87" t="str">
        <f>IF(ISNUMBER(outYear),BFW37+BFW42+#REF!+BFW59,"")</f>
        <v/>
      </c>
      <c r="BFX62" s="87" t="str">
        <f>IF(ISNUMBER(outYear),BFX37+BFX42+#REF!+BFX59,"")</f>
        <v/>
      </c>
      <c r="BFY62" s="87" t="str">
        <f>IF(ISNUMBER(outYear),BFY37+BFY42+#REF!+BFY59,"")</f>
        <v/>
      </c>
      <c r="BFZ62" s="87" t="str">
        <f>IF(ISNUMBER(outYear),BFZ37+BFZ42+#REF!+BFZ59,"")</f>
        <v/>
      </c>
      <c r="BGA62" s="87" t="str">
        <f>IF(ISNUMBER(outYear),BGA37+BGA42+#REF!+BGA59,"")</f>
        <v/>
      </c>
      <c r="BGB62" s="87" t="str">
        <f>IF(ISNUMBER(outYear),BGB37+BGB42+#REF!+BGB59,"")</f>
        <v/>
      </c>
      <c r="BGC62" s="87" t="str">
        <f>IF(ISNUMBER(outYear),BGC37+BGC42+#REF!+BGC59,"")</f>
        <v/>
      </c>
      <c r="BGD62" s="87" t="str">
        <f>IF(ISNUMBER(outYear),BGD37+BGD42+#REF!+BGD59,"")</f>
        <v/>
      </c>
      <c r="BGE62" s="87" t="str">
        <f>IF(ISNUMBER(outYear),BGE37+BGE42+#REF!+BGE59,"")</f>
        <v/>
      </c>
      <c r="BGF62" s="87" t="str">
        <f>IF(ISNUMBER(outYear),BGF37+BGF42+#REF!+BGF59,"")</f>
        <v/>
      </c>
      <c r="BGG62" s="87" t="str">
        <f>IF(ISNUMBER(outYear),BGG37+BGG42+#REF!+BGG59,"")</f>
        <v/>
      </c>
      <c r="BGH62" s="87" t="str">
        <f>IF(ISNUMBER(outYear),BGH37+BGH42+#REF!+BGH59,"")</f>
        <v/>
      </c>
      <c r="BGI62" s="87" t="str">
        <f>IF(ISNUMBER(outYear),BGI37+BGI42+#REF!+BGI59,"")</f>
        <v/>
      </c>
      <c r="BGJ62" s="87" t="str">
        <f>IF(ISNUMBER(outYear),BGJ37+BGJ42+#REF!+BGJ59,"")</f>
        <v/>
      </c>
      <c r="BGK62" s="87" t="str">
        <f>IF(ISNUMBER(outYear),BGK37+BGK42+#REF!+BGK59,"")</f>
        <v/>
      </c>
      <c r="BGL62" s="87" t="str">
        <f>IF(ISNUMBER(outYear),BGL37+BGL42+#REF!+BGL59,"")</f>
        <v/>
      </c>
      <c r="BGM62" s="87" t="str">
        <f>IF(ISNUMBER(outYear),BGM37+BGM42+#REF!+BGM59,"")</f>
        <v/>
      </c>
      <c r="BGN62" s="87" t="str">
        <f>IF(ISNUMBER(outYear),BGN37+BGN42+#REF!+BGN59,"")</f>
        <v/>
      </c>
      <c r="BGO62" s="87" t="str">
        <f>IF(ISNUMBER(outYear),BGO37+BGO42+#REF!+BGO59,"")</f>
        <v/>
      </c>
      <c r="BGP62" s="87" t="str">
        <f>IF(ISNUMBER(outYear),BGP37+BGP42+#REF!+BGP59,"")</f>
        <v/>
      </c>
      <c r="BGQ62" s="87" t="str">
        <f>IF(ISNUMBER(outYear),BGQ37+BGQ42+#REF!+BGQ59,"")</f>
        <v/>
      </c>
      <c r="BGR62" s="87" t="str">
        <f>IF(ISNUMBER(outYear),BGR37+BGR42+#REF!+BGR59,"")</f>
        <v/>
      </c>
      <c r="BGS62" s="87" t="str">
        <f>IF(ISNUMBER(outYear),BGS37+BGS42+#REF!+BGS59,"")</f>
        <v/>
      </c>
      <c r="BGT62" s="87" t="str">
        <f>IF(ISNUMBER(outYear),BGT37+BGT42+#REF!+BGT59,"")</f>
        <v/>
      </c>
      <c r="BGU62" s="87" t="str">
        <f>IF(ISNUMBER(outYear),BGU37+BGU42+#REF!+BGU59,"")</f>
        <v/>
      </c>
      <c r="BGV62" s="87" t="str">
        <f>IF(ISNUMBER(outYear),BGV37+BGV42+#REF!+BGV59,"")</f>
        <v/>
      </c>
      <c r="BGW62" s="87" t="str">
        <f>IF(ISNUMBER(outYear),BGW37+BGW42+#REF!+BGW59,"")</f>
        <v/>
      </c>
      <c r="BGX62" s="87" t="str">
        <f>IF(ISNUMBER(outYear),BGX37+BGX42+#REF!+BGX59,"")</f>
        <v/>
      </c>
      <c r="BGY62" s="87" t="str">
        <f>IF(ISNUMBER(outYear),BGY37+BGY42+#REF!+BGY59,"")</f>
        <v/>
      </c>
      <c r="BGZ62" s="87" t="str">
        <f>IF(ISNUMBER(outYear),BGZ37+BGZ42+#REF!+BGZ59,"")</f>
        <v/>
      </c>
      <c r="BHA62" s="87" t="str">
        <f>IF(ISNUMBER(outYear),BHA37+BHA42+#REF!+BHA59,"")</f>
        <v/>
      </c>
      <c r="BHB62" s="87" t="str">
        <f>IF(ISNUMBER(outYear),BHB37+BHB42+#REF!+BHB59,"")</f>
        <v/>
      </c>
      <c r="BHC62" s="87" t="str">
        <f>IF(ISNUMBER(outYear),BHC37+BHC42+#REF!+BHC59,"")</f>
        <v/>
      </c>
      <c r="BHD62" s="87" t="str">
        <f>IF(ISNUMBER(outYear),BHD37+BHD42+#REF!+BHD59,"")</f>
        <v/>
      </c>
      <c r="BHE62" s="87" t="str">
        <f>IF(ISNUMBER(outYear),BHE37+BHE42+#REF!+BHE59,"")</f>
        <v/>
      </c>
      <c r="BHF62" s="87" t="str">
        <f>IF(ISNUMBER(outYear),BHF37+BHF42+#REF!+BHF59,"")</f>
        <v/>
      </c>
      <c r="BHG62" s="87" t="str">
        <f>IF(ISNUMBER(outYear),BHG37+BHG42+#REF!+BHG59,"")</f>
        <v/>
      </c>
      <c r="BHH62" s="87" t="str">
        <f>IF(ISNUMBER(outYear),BHH37+BHH42+#REF!+BHH59,"")</f>
        <v/>
      </c>
      <c r="BHI62" s="87" t="str">
        <f>IF(ISNUMBER(outYear),BHI37+BHI42+#REF!+BHI59,"")</f>
        <v/>
      </c>
      <c r="BHJ62" s="87" t="str">
        <f>IF(ISNUMBER(outYear),BHJ37+BHJ42+#REF!+BHJ59,"")</f>
        <v/>
      </c>
      <c r="BHK62" s="87" t="str">
        <f>IF(ISNUMBER(outYear),BHK37+BHK42+#REF!+BHK59,"")</f>
        <v/>
      </c>
      <c r="BHL62" s="87" t="str">
        <f>IF(ISNUMBER(outYear),BHL37+BHL42+#REF!+BHL59,"")</f>
        <v/>
      </c>
      <c r="BHM62" s="87" t="str">
        <f>IF(ISNUMBER(outYear),BHM37+BHM42+#REF!+BHM59,"")</f>
        <v/>
      </c>
      <c r="BHN62" s="87" t="str">
        <f>IF(ISNUMBER(outYear),BHN37+BHN42+#REF!+BHN59,"")</f>
        <v/>
      </c>
      <c r="BHO62" s="87" t="str">
        <f>IF(ISNUMBER(outYear),BHO37+BHO42+#REF!+BHO59,"")</f>
        <v/>
      </c>
      <c r="BHP62" s="87" t="str">
        <f>IF(ISNUMBER(outYear),BHP37+BHP42+#REF!+BHP59,"")</f>
        <v/>
      </c>
      <c r="BHQ62" s="87" t="str">
        <f>IF(ISNUMBER(outYear),BHQ37+BHQ42+#REF!+BHQ59,"")</f>
        <v/>
      </c>
      <c r="BHR62" s="87" t="str">
        <f>IF(ISNUMBER(outYear),BHR37+BHR42+#REF!+BHR59,"")</f>
        <v/>
      </c>
      <c r="BHS62" s="87" t="str">
        <f>IF(ISNUMBER(outYear),BHS37+BHS42+#REF!+BHS59,"")</f>
        <v/>
      </c>
      <c r="BHT62" s="87" t="str">
        <f>IF(ISNUMBER(outYear),BHT37+BHT42+#REF!+BHT59,"")</f>
        <v/>
      </c>
      <c r="BHU62" s="87" t="str">
        <f>IF(ISNUMBER(outYear),BHU37+BHU42+#REF!+BHU59,"")</f>
        <v/>
      </c>
      <c r="BHV62" s="87" t="str">
        <f>IF(ISNUMBER(outYear),BHV37+BHV42+#REF!+BHV59,"")</f>
        <v/>
      </c>
      <c r="BHW62" s="87" t="str">
        <f>IF(ISNUMBER(outYear),BHW37+BHW42+#REF!+BHW59,"")</f>
        <v/>
      </c>
      <c r="BHX62" s="87" t="str">
        <f>IF(ISNUMBER(outYear),BHX37+BHX42+#REF!+BHX59,"")</f>
        <v/>
      </c>
      <c r="BHY62" s="87" t="str">
        <f>IF(ISNUMBER(outYear),BHY37+BHY42+#REF!+BHY59,"")</f>
        <v/>
      </c>
      <c r="BHZ62" s="87" t="str">
        <f>IF(ISNUMBER(outYear),BHZ37+BHZ42+#REF!+BHZ59,"")</f>
        <v/>
      </c>
      <c r="BIA62" s="87" t="str">
        <f>IF(ISNUMBER(outYear),BIA37+BIA42+#REF!+BIA59,"")</f>
        <v/>
      </c>
      <c r="BIB62" s="87" t="str">
        <f>IF(ISNUMBER(outYear),BIB37+BIB42+#REF!+BIB59,"")</f>
        <v/>
      </c>
      <c r="BIC62" s="87" t="str">
        <f>IF(ISNUMBER(outYear),BIC37+BIC42+#REF!+BIC59,"")</f>
        <v/>
      </c>
      <c r="BID62" s="87" t="str">
        <f>IF(ISNUMBER(outYear),BID37+BID42+#REF!+BID59,"")</f>
        <v/>
      </c>
      <c r="BIE62" s="87" t="str">
        <f>IF(ISNUMBER(outYear),BIE37+BIE42+#REF!+BIE59,"")</f>
        <v/>
      </c>
      <c r="BIF62" s="87" t="str">
        <f>IF(ISNUMBER(outYear),BIF37+BIF42+#REF!+BIF59,"")</f>
        <v/>
      </c>
      <c r="BIG62" s="87" t="str">
        <f>IF(ISNUMBER(outYear),BIG37+BIG42+#REF!+BIG59,"")</f>
        <v/>
      </c>
      <c r="BIH62" s="87" t="str">
        <f>IF(ISNUMBER(outYear),BIH37+BIH42+#REF!+BIH59,"")</f>
        <v/>
      </c>
      <c r="BII62" s="87" t="str">
        <f>IF(ISNUMBER(outYear),BII37+BII42+#REF!+BII59,"")</f>
        <v/>
      </c>
      <c r="BIJ62" s="87" t="str">
        <f>IF(ISNUMBER(outYear),BIJ37+BIJ42+#REF!+BIJ59,"")</f>
        <v/>
      </c>
      <c r="BIK62" s="87" t="str">
        <f>IF(ISNUMBER(outYear),BIK37+BIK42+#REF!+BIK59,"")</f>
        <v/>
      </c>
      <c r="BIL62" s="87" t="str">
        <f>IF(ISNUMBER(outYear),BIL37+BIL42+#REF!+BIL59,"")</f>
        <v/>
      </c>
      <c r="BIM62" s="87" t="str">
        <f>IF(ISNUMBER(outYear),BIM37+BIM42+#REF!+BIM59,"")</f>
        <v/>
      </c>
      <c r="BIN62" s="87" t="str">
        <f>IF(ISNUMBER(outYear),BIN37+BIN42+#REF!+BIN59,"")</f>
        <v/>
      </c>
      <c r="BIO62" s="87" t="str">
        <f>IF(ISNUMBER(outYear),BIO37+BIO42+#REF!+BIO59,"")</f>
        <v/>
      </c>
      <c r="BIP62" s="87" t="str">
        <f>IF(ISNUMBER(outYear),BIP37+BIP42+#REF!+BIP59,"")</f>
        <v/>
      </c>
      <c r="BIQ62" s="87" t="str">
        <f>IF(ISNUMBER(outYear),BIQ37+BIQ42+#REF!+BIQ59,"")</f>
        <v/>
      </c>
      <c r="BIR62" s="87" t="str">
        <f>IF(ISNUMBER(outYear),BIR37+BIR42+#REF!+BIR59,"")</f>
        <v/>
      </c>
      <c r="BIS62" s="87" t="str">
        <f>IF(ISNUMBER(outYear),BIS37+BIS42+#REF!+BIS59,"")</f>
        <v/>
      </c>
      <c r="BIT62" s="87" t="str">
        <f>IF(ISNUMBER(outYear),BIT37+BIT42+#REF!+BIT59,"")</f>
        <v/>
      </c>
      <c r="BIU62" s="87" t="str">
        <f>IF(ISNUMBER(outYear),BIU37+BIU42+#REF!+BIU59,"")</f>
        <v/>
      </c>
      <c r="BIV62" s="87" t="str">
        <f>IF(ISNUMBER(outYear),BIV37+BIV42+#REF!+BIV59,"")</f>
        <v/>
      </c>
      <c r="BIW62" s="87" t="str">
        <f>IF(ISNUMBER(outYear),BIW37+BIW42+#REF!+BIW59,"")</f>
        <v/>
      </c>
      <c r="BIX62" s="87" t="str">
        <f>IF(ISNUMBER(outYear),BIX37+BIX42+#REF!+BIX59,"")</f>
        <v/>
      </c>
      <c r="BIY62" s="87" t="str">
        <f>IF(ISNUMBER(outYear),BIY37+BIY42+#REF!+BIY59,"")</f>
        <v/>
      </c>
      <c r="BIZ62" s="87" t="str">
        <f>IF(ISNUMBER(outYear),BIZ37+BIZ42+#REF!+BIZ59,"")</f>
        <v/>
      </c>
      <c r="BJA62" s="87" t="str">
        <f>IF(ISNUMBER(outYear),BJA37+BJA42+#REF!+BJA59,"")</f>
        <v/>
      </c>
      <c r="BJB62" s="87" t="str">
        <f>IF(ISNUMBER(outYear),BJB37+BJB42+#REF!+BJB59,"")</f>
        <v/>
      </c>
      <c r="BJC62" s="87" t="str">
        <f>IF(ISNUMBER(outYear),BJC37+BJC42+#REF!+BJC59,"")</f>
        <v/>
      </c>
      <c r="BJD62" s="87" t="str">
        <f>IF(ISNUMBER(outYear),BJD37+BJD42+#REF!+BJD59,"")</f>
        <v/>
      </c>
      <c r="BJE62" s="87" t="str">
        <f>IF(ISNUMBER(outYear),BJE37+BJE42+#REF!+BJE59,"")</f>
        <v/>
      </c>
      <c r="BJF62" s="87" t="str">
        <f>IF(ISNUMBER(outYear),BJF37+BJF42+#REF!+BJF59,"")</f>
        <v/>
      </c>
      <c r="BJG62" s="87" t="str">
        <f>IF(ISNUMBER(outYear),BJG37+BJG42+#REF!+BJG59,"")</f>
        <v/>
      </c>
      <c r="BJH62" s="87" t="str">
        <f>IF(ISNUMBER(outYear),BJH37+BJH42+#REF!+BJH59,"")</f>
        <v/>
      </c>
      <c r="BJI62" s="87" t="str">
        <f>IF(ISNUMBER(outYear),BJI37+BJI42+#REF!+BJI59,"")</f>
        <v/>
      </c>
      <c r="BJJ62" s="87" t="str">
        <f>IF(ISNUMBER(outYear),BJJ37+BJJ42+#REF!+BJJ59,"")</f>
        <v/>
      </c>
      <c r="BJK62" s="87" t="str">
        <f>IF(ISNUMBER(outYear),BJK37+BJK42+#REF!+BJK59,"")</f>
        <v/>
      </c>
      <c r="BJL62" s="87" t="str">
        <f>IF(ISNUMBER(outYear),BJL37+BJL42+#REF!+BJL59,"")</f>
        <v/>
      </c>
      <c r="BJM62" s="87" t="str">
        <f>IF(ISNUMBER(outYear),BJM37+BJM42+#REF!+BJM59,"")</f>
        <v/>
      </c>
      <c r="BJN62" s="87" t="str">
        <f>IF(ISNUMBER(outYear),BJN37+BJN42+#REF!+BJN59,"")</f>
        <v/>
      </c>
      <c r="BJO62" s="87" t="str">
        <f>IF(ISNUMBER(outYear),BJO37+BJO42+#REF!+BJO59,"")</f>
        <v/>
      </c>
      <c r="BJP62" s="87" t="str">
        <f>IF(ISNUMBER(outYear),BJP37+BJP42+#REF!+BJP59,"")</f>
        <v/>
      </c>
      <c r="BJQ62" s="87" t="str">
        <f>IF(ISNUMBER(outYear),BJQ37+BJQ42+#REF!+BJQ59,"")</f>
        <v/>
      </c>
      <c r="BJR62" s="87" t="str">
        <f>IF(ISNUMBER(outYear),BJR37+BJR42+#REF!+BJR59,"")</f>
        <v/>
      </c>
      <c r="BJS62" s="87" t="str">
        <f>IF(ISNUMBER(outYear),BJS37+BJS42+#REF!+BJS59,"")</f>
        <v/>
      </c>
      <c r="BJT62" s="87" t="str">
        <f>IF(ISNUMBER(outYear),BJT37+BJT42+#REF!+BJT59,"")</f>
        <v/>
      </c>
      <c r="BJU62" s="87" t="str">
        <f>IF(ISNUMBER(outYear),BJU37+BJU42+#REF!+BJU59,"")</f>
        <v/>
      </c>
      <c r="BJV62" s="87" t="str">
        <f>IF(ISNUMBER(outYear),BJV37+BJV42+#REF!+BJV59,"")</f>
        <v/>
      </c>
      <c r="BJW62" s="87" t="str">
        <f>IF(ISNUMBER(outYear),BJW37+BJW42+#REF!+BJW59,"")</f>
        <v/>
      </c>
      <c r="BJX62" s="87" t="str">
        <f>IF(ISNUMBER(outYear),BJX37+BJX42+#REF!+BJX59,"")</f>
        <v/>
      </c>
      <c r="BJY62" s="87" t="str">
        <f>IF(ISNUMBER(outYear),BJY37+BJY42+#REF!+BJY59,"")</f>
        <v/>
      </c>
      <c r="BJZ62" s="87" t="str">
        <f>IF(ISNUMBER(outYear),BJZ37+BJZ42+#REF!+BJZ59,"")</f>
        <v/>
      </c>
      <c r="BKA62" s="87" t="str">
        <f>IF(ISNUMBER(outYear),BKA37+BKA42+#REF!+BKA59,"")</f>
        <v/>
      </c>
      <c r="BKB62" s="87" t="str">
        <f>IF(ISNUMBER(outYear),BKB37+BKB42+#REF!+BKB59,"")</f>
        <v/>
      </c>
      <c r="BKC62" s="87" t="str">
        <f>IF(ISNUMBER(outYear),BKC37+BKC42+#REF!+BKC59,"")</f>
        <v/>
      </c>
      <c r="BKD62" s="87" t="str">
        <f>IF(ISNUMBER(outYear),BKD37+BKD42+#REF!+BKD59,"")</f>
        <v/>
      </c>
      <c r="BKE62" s="87" t="str">
        <f>IF(ISNUMBER(outYear),BKE37+BKE42+#REF!+BKE59,"")</f>
        <v/>
      </c>
      <c r="BKF62" s="87" t="str">
        <f>IF(ISNUMBER(outYear),BKF37+BKF42+#REF!+BKF59,"")</f>
        <v/>
      </c>
      <c r="BKG62" s="87" t="str">
        <f>IF(ISNUMBER(outYear),BKG37+BKG42+#REF!+BKG59,"")</f>
        <v/>
      </c>
      <c r="BKH62" s="87" t="str">
        <f>IF(ISNUMBER(outYear),BKH37+BKH42+#REF!+BKH59,"")</f>
        <v/>
      </c>
      <c r="BKI62" s="87" t="str">
        <f>IF(ISNUMBER(outYear),BKI37+BKI42+#REF!+BKI59,"")</f>
        <v/>
      </c>
      <c r="BKJ62" s="87" t="str">
        <f>IF(ISNUMBER(outYear),BKJ37+BKJ42+#REF!+BKJ59,"")</f>
        <v/>
      </c>
      <c r="BKK62" s="87" t="str">
        <f>IF(ISNUMBER(outYear),BKK37+BKK42+#REF!+BKK59,"")</f>
        <v/>
      </c>
      <c r="BKL62" s="87" t="str">
        <f>IF(ISNUMBER(outYear),BKL37+BKL42+#REF!+BKL59,"")</f>
        <v/>
      </c>
      <c r="BKM62" s="87" t="str">
        <f>IF(ISNUMBER(outYear),BKM37+BKM42+#REF!+BKM59,"")</f>
        <v/>
      </c>
      <c r="BKN62" s="87" t="str">
        <f>IF(ISNUMBER(outYear),BKN37+BKN42+#REF!+BKN59,"")</f>
        <v/>
      </c>
      <c r="BKO62" s="87" t="str">
        <f>IF(ISNUMBER(outYear),BKO37+BKO42+#REF!+BKO59,"")</f>
        <v/>
      </c>
      <c r="BKP62" s="87" t="str">
        <f>IF(ISNUMBER(outYear),BKP37+BKP42+#REF!+BKP59,"")</f>
        <v/>
      </c>
      <c r="BKQ62" s="87" t="str">
        <f>IF(ISNUMBER(outYear),BKQ37+BKQ42+#REF!+BKQ59,"")</f>
        <v/>
      </c>
      <c r="BKR62" s="87" t="str">
        <f>IF(ISNUMBER(outYear),BKR37+BKR42+#REF!+BKR59,"")</f>
        <v/>
      </c>
      <c r="BKS62" s="87" t="str">
        <f>IF(ISNUMBER(outYear),BKS37+BKS42+#REF!+BKS59,"")</f>
        <v/>
      </c>
      <c r="BKT62" s="87" t="str">
        <f>IF(ISNUMBER(outYear),BKT37+BKT42+#REF!+BKT59,"")</f>
        <v/>
      </c>
      <c r="BKU62" s="87" t="str">
        <f>IF(ISNUMBER(outYear),BKU37+BKU42+#REF!+BKU59,"")</f>
        <v/>
      </c>
      <c r="BKV62" s="87" t="str">
        <f>IF(ISNUMBER(outYear),BKV37+BKV42+#REF!+BKV59,"")</f>
        <v/>
      </c>
      <c r="BKW62" s="87" t="str">
        <f>IF(ISNUMBER(outYear),BKW37+BKW42+#REF!+BKW59,"")</f>
        <v/>
      </c>
      <c r="BKX62" s="87" t="str">
        <f>IF(ISNUMBER(outYear),BKX37+BKX42+#REF!+BKX59,"")</f>
        <v/>
      </c>
      <c r="BKY62" s="87" t="str">
        <f>IF(ISNUMBER(outYear),BKY37+BKY42+#REF!+BKY59,"")</f>
        <v/>
      </c>
      <c r="BKZ62" s="87" t="str">
        <f>IF(ISNUMBER(outYear),BKZ37+BKZ42+#REF!+BKZ59,"")</f>
        <v/>
      </c>
      <c r="BLA62" s="87" t="str">
        <f>IF(ISNUMBER(outYear),BLA37+BLA42+#REF!+BLA59,"")</f>
        <v/>
      </c>
      <c r="BLB62" s="87" t="str">
        <f>IF(ISNUMBER(outYear),BLB37+BLB42+#REF!+BLB59,"")</f>
        <v/>
      </c>
      <c r="BLC62" s="87" t="str">
        <f>IF(ISNUMBER(outYear),BLC37+BLC42+#REF!+BLC59,"")</f>
        <v/>
      </c>
      <c r="BLD62" s="87" t="str">
        <f>IF(ISNUMBER(outYear),BLD37+BLD42+#REF!+BLD59,"")</f>
        <v/>
      </c>
      <c r="BLE62" s="87" t="str">
        <f>IF(ISNUMBER(outYear),BLE37+BLE42+#REF!+BLE59,"")</f>
        <v/>
      </c>
      <c r="BLF62" s="87" t="str">
        <f>IF(ISNUMBER(outYear),BLF37+BLF42+#REF!+BLF59,"")</f>
        <v/>
      </c>
      <c r="BLG62" s="87" t="str">
        <f>IF(ISNUMBER(outYear),BLG37+BLG42+#REF!+BLG59,"")</f>
        <v/>
      </c>
      <c r="BLH62" s="87" t="str">
        <f>IF(ISNUMBER(outYear),BLH37+BLH42+#REF!+BLH59,"")</f>
        <v/>
      </c>
      <c r="BLI62" s="87" t="str">
        <f>IF(ISNUMBER(outYear),BLI37+BLI42+#REF!+BLI59,"")</f>
        <v/>
      </c>
      <c r="BLJ62" s="87" t="str">
        <f>IF(ISNUMBER(outYear),BLJ37+BLJ42+#REF!+BLJ59,"")</f>
        <v/>
      </c>
      <c r="BLK62" s="87" t="str">
        <f>IF(ISNUMBER(outYear),BLK37+BLK42+#REF!+BLK59,"")</f>
        <v/>
      </c>
      <c r="BLL62" s="87" t="str">
        <f>IF(ISNUMBER(outYear),BLL37+BLL42+#REF!+BLL59,"")</f>
        <v/>
      </c>
      <c r="BLM62" s="87" t="str">
        <f>IF(ISNUMBER(outYear),BLM37+BLM42+#REF!+BLM59,"")</f>
        <v/>
      </c>
      <c r="BLN62" s="87" t="str">
        <f>IF(ISNUMBER(outYear),BLN37+BLN42+#REF!+BLN59,"")</f>
        <v/>
      </c>
      <c r="BLO62" s="87" t="str">
        <f>IF(ISNUMBER(outYear),BLO37+BLO42+#REF!+BLO59,"")</f>
        <v/>
      </c>
      <c r="BLP62" s="87" t="str">
        <f>IF(ISNUMBER(outYear),BLP37+BLP42+#REF!+BLP59,"")</f>
        <v/>
      </c>
      <c r="BLQ62" s="87" t="str">
        <f>IF(ISNUMBER(outYear),BLQ37+BLQ42+#REF!+BLQ59,"")</f>
        <v/>
      </c>
      <c r="BLR62" s="87" t="str">
        <f>IF(ISNUMBER(outYear),BLR37+BLR42+#REF!+BLR59,"")</f>
        <v/>
      </c>
      <c r="BLS62" s="87" t="str">
        <f>IF(ISNUMBER(outYear),BLS37+BLS42+#REF!+BLS59,"")</f>
        <v/>
      </c>
      <c r="BLT62" s="87" t="str">
        <f>IF(ISNUMBER(outYear),BLT37+BLT42+#REF!+BLT59,"")</f>
        <v/>
      </c>
      <c r="BLU62" s="87" t="str">
        <f>IF(ISNUMBER(outYear),BLU37+BLU42+#REF!+BLU59,"")</f>
        <v/>
      </c>
      <c r="BLV62" s="87" t="str">
        <f>IF(ISNUMBER(outYear),BLV37+BLV42+#REF!+BLV59,"")</f>
        <v/>
      </c>
      <c r="BLW62" s="87" t="str">
        <f>IF(ISNUMBER(outYear),BLW37+BLW42+#REF!+BLW59,"")</f>
        <v/>
      </c>
      <c r="BLX62" s="87" t="str">
        <f>IF(ISNUMBER(outYear),BLX37+BLX42+#REF!+BLX59,"")</f>
        <v/>
      </c>
      <c r="BLY62" s="87" t="str">
        <f>IF(ISNUMBER(outYear),BLY37+BLY42+#REF!+BLY59,"")</f>
        <v/>
      </c>
      <c r="BLZ62" s="87" t="str">
        <f>IF(ISNUMBER(outYear),BLZ37+BLZ42+#REF!+BLZ59,"")</f>
        <v/>
      </c>
      <c r="BMA62" s="87" t="str">
        <f>IF(ISNUMBER(outYear),BMA37+BMA42+#REF!+BMA59,"")</f>
        <v/>
      </c>
      <c r="BMB62" s="87" t="str">
        <f>IF(ISNUMBER(outYear),BMB37+BMB42+#REF!+BMB59,"")</f>
        <v/>
      </c>
      <c r="BMC62" s="87" t="str">
        <f>IF(ISNUMBER(outYear),BMC37+BMC42+#REF!+BMC59,"")</f>
        <v/>
      </c>
      <c r="BMD62" s="87" t="str">
        <f>IF(ISNUMBER(outYear),BMD37+BMD42+#REF!+BMD59,"")</f>
        <v/>
      </c>
      <c r="BME62" s="87" t="str">
        <f>IF(ISNUMBER(outYear),BME37+BME42+#REF!+BME59,"")</f>
        <v/>
      </c>
      <c r="BMF62" s="87" t="str">
        <f>IF(ISNUMBER(outYear),BMF37+BMF42+#REF!+BMF59,"")</f>
        <v/>
      </c>
      <c r="BMG62" s="87" t="str">
        <f>IF(ISNUMBER(outYear),BMG37+BMG42+#REF!+BMG59,"")</f>
        <v/>
      </c>
      <c r="BMH62" s="87" t="str">
        <f>IF(ISNUMBER(outYear),BMH37+BMH42+#REF!+BMH59,"")</f>
        <v/>
      </c>
      <c r="BMI62" s="87" t="str">
        <f>IF(ISNUMBER(outYear),BMI37+BMI42+#REF!+BMI59,"")</f>
        <v/>
      </c>
      <c r="BMJ62" s="87" t="str">
        <f>IF(ISNUMBER(outYear),BMJ37+BMJ42+#REF!+BMJ59,"")</f>
        <v/>
      </c>
      <c r="BMK62" s="87" t="str">
        <f>IF(ISNUMBER(outYear),BMK37+BMK42+#REF!+BMK59,"")</f>
        <v/>
      </c>
      <c r="BML62" s="87" t="str">
        <f>IF(ISNUMBER(outYear),BML37+BML42+#REF!+BML59,"")</f>
        <v/>
      </c>
      <c r="BMM62" s="87" t="str">
        <f>IF(ISNUMBER(outYear),BMM37+BMM42+#REF!+BMM59,"")</f>
        <v/>
      </c>
      <c r="BMN62" s="87" t="str">
        <f>IF(ISNUMBER(outYear),BMN37+BMN42+#REF!+BMN59,"")</f>
        <v/>
      </c>
      <c r="BMO62" s="87" t="str">
        <f>IF(ISNUMBER(outYear),BMO37+BMO42+#REF!+BMO59,"")</f>
        <v/>
      </c>
      <c r="BMP62" s="87" t="str">
        <f>IF(ISNUMBER(outYear),BMP37+BMP42+#REF!+BMP59,"")</f>
        <v/>
      </c>
      <c r="BMQ62" s="87" t="str">
        <f>IF(ISNUMBER(outYear),BMQ37+BMQ42+#REF!+BMQ59,"")</f>
        <v/>
      </c>
      <c r="BMR62" s="87" t="str">
        <f>IF(ISNUMBER(outYear),BMR37+BMR42+#REF!+BMR59,"")</f>
        <v/>
      </c>
      <c r="BMS62" s="87" t="str">
        <f>IF(ISNUMBER(outYear),BMS37+BMS42+#REF!+BMS59,"")</f>
        <v/>
      </c>
      <c r="BMT62" s="87" t="str">
        <f>IF(ISNUMBER(outYear),BMT37+BMT42+#REF!+BMT59,"")</f>
        <v/>
      </c>
      <c r="BMU62" s="87" t="str">
        <f>IF(ISNUMBER(outYear),BMU37+BMU42+#REF!+BMU59,"")</f>
        <v/>
      </c>
      <c r="BMV62" s="87" t="str">
        <f>IF(ISNUMBER(outYear),BMV37+BMV42+#REF!+BMV59,"")</f>
        <v/>
      </c>
      <c r="BMW62" s="87" t="str">
        <f>IF(ISNUMBER(outYear),BMW37+BMW42+#REF!+BMW59,"")</f>
        <v/>
      </c>
      <c r="BMX62" s="87" t="str">
        <f>IF(ISNUMBER(outYear),BMX37+BMX42+#REF!+BMX59,"")</f>
        <v/>
      </c>
      <c r="BMY62" s="87" t="str">
        <f>IF(ISNUMBER(outYear),BMY37+BMY42+#REF!+BMY59,"")</f>
        <v/>
      </c>
      <c r="BMZ62" s="87" t="str">
        <f>IF(ISNUMBER(outYear),BMZ37+BMZ42+#REF!+BMZ59,"")</f>
        <v/>
      </c>
      <c r="BNA62" s="87" t="str">
        <f>IF(ISNUMBER(outYear),BNA37+BNA42+#REF!+BNA59,"")</f>
        <v/>
      </c>
      <c r="BNB62" s="87" t="str">
        <f>IF(ISNUMBER(outYear),BNB37+BNB42+#REF!+BNB59,"")</f>
        <v/>
      </c>
      <c r="BNC62" s="87" t="str">
        <f>IF(ISNUMBER(outYear),BNC37+BNC42+#REF!+BNC59,"")</f>
        <v/>
      </c>
      <c r="BND62" s="87" t="str">
        <f>IF(ISNUMBER(outYear),BND37+BND42+#REF!+BND59,"")</f>
        <v/>
      </c>
      <c r="BNE62" s="87" t="str">
        <f>IF(ISNUMBER(outYear),BNE37+BNE42+#REF!+BNE59,"")</f>
        <v/>
      </c>
      <c r="BNF62" s="87" t="str">
        <f>IF(ISNUMBER(outYear),BNF37+BNF42+#REF!+BNF59,"")</f>
        <v/>
      </c>
      <c r="BNG62" s="87" t="str">
        <f>IF(ISNUMBER(outYear),BNG37+BNG42+#REF!+BNG59,"")</f>
        <v/>
      </c>
      <c r="BNH62" s="87" t="str">
        <f>IF(ISNUMBER(outYear),BNH37+BNH42+#REF!+BNH59,"")</f>
        <v/>
      </c>
      <c r="BNI62" s="87" t="str">
        <f>IF(ISNUMBER(outYear),BNI37+BNI42+#REF!+BNI59,"")</f>
        <v/>
      </c>
      <c r="BNJ62" s="87" t="str">
        <f>IF(ISNUMBER(outYear),BNJ37+BNJ42+#REF!+BNJ59,"")</f>
        <v/>
      </c>
      <c r="BNK62" s="87" t="str">
        <f>IF(ISNUMBER(outYear),BNK37+BNK42+#REF!+BNK59,"")</f>
        <v/>
      </c>
      <c r="BNL62" s="87" t="str">
        <f>IF(ISNUMBER(outYear),BNL37+BNL42+#REF!+BNL59,"")</f>
        <v/>
      </c>
      <c r="BNM62" s="87" t="str">
        <f>IF(ISNUMBER(outYear),BNM37+BNM42+#REF!+BNM59,"")</f>
        <v/>
      </c>
      <c r="BNN62" s="87" t="str">
        <f>IF(ISNUMBER(outYear),BNN37+BNN42+#REF!+BNN59,"")</f>
        <v/>
      </c>
      <c r="BNO62" s="87" t="str">
        <f>IF(ISNUMBER(outYear),BNO37+BNO42+#REF!+BNO59,"")</f>
        <v/>
      </c>
      <c r="BNP62" s="87" t="str">
        <f>IF(ISNUMBER(outYear),BNP37+BNP42+#REF!+BNP59,"")</f>
        <v/>
      </c>
      <c r="BNQ62" s="87" t="str">
        <f>IF(ISNUMBER(outYear),BNQ37+BNQ42+#REF!+BNQ59,"")</f>
        <v/>
      </c>
      <c r="BNR62" s="87" t="str">
        <f>IF(ISNUMBER(outYear),BNR37+BNR42+#REF!+BNR59,"")</f>
        <v/>
      </c>
      <c r="BNS62" s="87" t="str">
        <f>IF(ISNUMBER(outYear),BNS37+BNS42+#REF!+BNS59,"")</f>
        <v/>
      </c>
      <c r="BNT62" s="87" t="str">
        <f>IF(ISNUMBER(outYear),BNT37+BNT42+#REF!+BNT59,"")</f>
        <v/>
      </c>
      <c r="BNU62" s="87" t="str">
        <f>IF(ISNUMBER(outYear),BNU37+BNU42+#REF!+BNU59,"")</f>
        <v/>
      </c>
      <c r="BNV62" s="87" t="str">
        <f>IF(ISNUMBER(outYear),BNV37+BNV42+#REF!+BNV59,"")</f>
        <v/>
      </c>
      <c r="BNW62" s="87" t="str">
        <f>IF(ISNUMBER(outYear),BNW37+BNW42+#REF!+BNW59,"")</f>
        <v/>
      </c>
      <c r="BNX62" s="87" t="str">
        <f>IF(ISNUMBER(outYear),BNX37+BNX42+#REF!+BNX59,"")</f>
        <v/>
      </c>
      <c r="BNY62" s="87" t="str">
        <f>IF(ISNUMBER(outYear),BNY37+BNY42+#REF!+BNY59,"")</f>
        <v/>
      </c>
      <c r="BNZ62" s="87" t="str">
        <f>IF(ISNUMBER(outYear),BNZ37+BNZ42+#REF!+BNZ59,"")</f>
        <v/>
      </c>
      <c r="BOA62" s="87" t="str">
        <f>IF(ISNUMBER(outYear),BOA37+BOA42+#REF!+BOA59,"")</f>
        <v/>
      </c>
      <c r="BOB62" s="87" t="str">
        <f>IF(ISNUMBER(outYear),BOB37+BOB42+#REF!+BOB59,"")</f>
        <v/>
      </c>
      <c r="BOC62" s="87" t="str">
        <f>IF(ISNUMBER(outYear),BOC37+BOC42+#REF!+BOC59,"")</f>
        <v/>
      </c>
      <c r="BOD62" s="87" t="str">
        <f>IF(ISNUMBER(outYear),BOD37+BOD42+#REF!+BOD59,"")</f>
        <v/>
      </c>
      <c r="BOE62" s="87" t="str">
        <f>IF(ISNUMBER(outYear),BOE37+BOE42+#REF!+BOE59,"")</f>
        <v/>
      </c>
      <c r="BOF62" s="87" t="str">
        <f>IF(ISNUMBER(outYear),BOF37+BOF42+#REF!+BOF59,"")</f>
        <v/>
      </c>
      <c r="BOG62" s="87" t="str">
        <f>IF(ISNUMBER(outYear),BOG37+BOG42+#REF!+BOG59,"")</f>
        <v/>
      </c>
      <c r="BOH62" s="87" t="str">
        <f>IF(ISNUMBER(outYear),BOH37+BOH42+#REF!+BOH59,"")</f>
        <v/>
      </c>
      <c r="BOI62" s="87" t="str">
        <f>IF(ISNUMBER(outYear),BOI37+BOI42+#REF!+BOI59,"")</f>
        <v/>
      </c>
      <c r="BOJ62" s="87" t="str">
        <f>IF(ISNUMBER(outYear),BOJ37+BOJ42+#REF!+BOJ59,"")</f>
        <v/>
      </c>
      <c r="BOK62" s="87" t="str">
        <f>IF(ISNUMBER(outYear),BOK37+BOK42+#REF!+BOK59,"")</f>
        <v/>
      </c>
      <c r="BOL62" s="87" t="str">
        <f>IF(ISNUMBER(outYear),BOL37+BOL42+#REF!+BOL59,"")</f>
        <v/>
      </c>
      <c r="BOM62" s="87" t="str">
        <f>IF(ISNUMBER(outYear),BOM37+BOM42+#REF!+BOM59,"")</f>
        <v/>
      </c>
      <c r="BON62" s="87" t="str">
        <f>IF(ISNUMBER(outYear),BON37+BON42+#REF!+BON59,"")</f>
        <v/>
      </c>
      <c r="BOO62" s="87" t="str">
        <f>IF(ISNUMBER(outYear),BOO37+BOO42+#REF!+BOO59,"")</f>
        <v/>
      </c>
      <c r="BOP62" s="87" t="str">
        <f>IF(ISNUMBER(outYear),BOP37+BOP42+#REF!+BOP59,"")</f>
        <v/>
      </c>
      <c r="BOQ62" s="87" t="str">
        <f>IF(ISNUMBER(outYear),BOQ37+BOQ42+#REF!+BOQ59,"")</f>
        <v/>
      </c>
      <c r="BOR62" s="87" t="str">
        <f>IF(ISNUMBER(outYear),BOR37+BOR42+#REF!+BOR59,"")</f>
        <v/>
      </c>
      <c r="BOS62" s="87" t="str">
        <f>IF(ISNUMBER(outYear),BOS37+BOS42+#REF!+BOS59,"")</f>
        <v/>
      </c>
      <c r="BOT62" s="87" t="str">
        <f>IF(ISNUMBER(outYear),BOT37+BOT42+#REF!+BOT59,"")</f>
        <v/>
      </c>
      <c r="BOU62" s="87" t="str">
        <f>IF(ISNUMBER(outYear),BOU37+BOU42+#REF!+BOU59,"")</f>
        <v/>
      </c>
      <c r="BOV62" s="87" t="str">
        <f>IF(ISNUMBER(outYear),BOV37+BOV42+#REF!+BOV59,"")</f>
        <v/>
      </c>
      <c r="BOW62" s="87" t="str">
        <f>IF(ISNUMBER(outYear),BOW37+BOW42+#REF!+BOW59,"")</f>
        <v/>
      </c>
      <c r="BOX62" s="87" t="str">
        <f>IF(ISNUMBER(outYear),BOX37+BOX42+#REF!+BOX59,"")</f>
        <v/>
      </c>
      <c r="BOY62" s="87" t="str">
        <f>IF(ISNUMBER(outYear),BOY37+BOY42+#REF!+BOY59,"")</f>
        <v/>
      </c>
      <c r="BOZ62" s="87" t="str">
        <f>IF(ISNUMBER(outYear),BOZ37+BOZ42+#REF!+BOZ59,"")</f>
        <v/>
      </c>
      <c r="BPA62" s="87" t="str">
        <f>IF(ISNUMBER(outYear),BPA37+BPA42+#REF!+BPA59,"")</f>
        <v/>
      </c>
      <c r="BPB62" s="87" t="str">
        <f>IF(ISNUMBER(outYear),BPB37+BPB42+#REF!+BPB59,"")</f>
        <v/>
      </c>
      <c r="BPC62" s="87" t="str">
        <f>IF(ISNUMBER(outYear),BPC37+BPC42+#REF!+BPC59,"")</f>
        <v/>
      </c>
      <c r="BPD62" s="87" t="str">
        <f>IF(ISNUMBER(outYear),BPD37+BPD42+#REF!+BPD59,"")</f>
        <v/>
      </c>
      <c r="BPE62" s="87" t="str">
        <f>IF(ISNUMBER(outYear),BPE37+BPE42+#REF!+BPE59,"")</f>
        <v/>
      </c>
      <c r="BPF62" s="87" t="str">
        <f>IF(ISNUMBER(outYear),BPF37+BPF42+#REF!+BPF59,"")</f>
        <v/>
      </c>
      <c r="BPG62" s="87" t="str">
        <f>IF(ISNUMBER(outYear),BPG37+BPG42+#REF!+BPG59,"")</f>
        <v/>
      </c>
      <c r="BPH62" s="87" t="str">
        <f>IF(ISNUMBER(outYear),BPH37+BPH42+#REF!+BPH59,"")</f>
        <v/>
      </c>
      <c r="BPI62" s="87" t="str">
        <f>IF(ISNUMBER(outYear),BPI37+BPI42+#REF!+BPI59,"")</f>
        <v/>
      </c>
      <c r="BPJ62" s="87" t="str">
        <f>IF(ISNUMBER(outYear),BPJ37+BPJ42+#REF!+BPJ59,"")</f>
        <v/>
      </c>
      <c r="BPK62" s="87" t="str">
        <f>IF(ISNUMBER(outYear),BPK37+BPK42+#REF!+BPK59,"")</f>
        <v/>
      </c>
      <c r="BPL62" s="87" t="str">
        <f>IF(ISNUMBER(outYear),BPL37+BPL42+#REF!+BPL59,"")</f>
        <v/>
      </c>
      <c r="BPM62" s="87" t="str">
        <f>IF(ISNUMBER(outYear),BPM37+BPM42+#REF!+BPM59,"")</f>
        <v/>
      </c>
      <c r="BPN62" s="87" t="str">
        <f>IF(ISNUMBER(outYear),BPN37+BPN42+#REF!+BPN59,"")</f>
        <v/>
      </c>
      <c r="BPO62" s="87" t="str">
        <f>IF(ISNUMBER(outYear),BPO37+BPO42+#REF!+BPO59,"")</f>
        <v/>
      </c>
      <c r="BPP62" s="87" t="str">
        <f>IF(ISNUMBER(outYear),BPP37+BPP42+#REF!+BPP59,"")</f>
        <v/>
      </c>
      <c r="BPQ62" s="87" t="str">
        <f>IF(ISNUMBER(outYear),BPQ37+BPQ42+#REF!+BPQ59,"")</f>
        <v/>
      </c>
      <c r="BPR62" s="87" t="str">
        <f>IF(ISNUMBER(outYear),BPR37+BPR42+#REF!+BPR59,"")</f>
        <v/>
      </c>
      <c r="BPS62" s="87" t="str">
        <f>IF(ISNUMBER(outYear),BPS37+BPS42+#REF!+BPS59,"")</f>
        <v/>
      </c>
      <c r="BPT62" s="87" t="str">
        <f>IF(ISNUMBER(outYear),BPT37+BPT42+#REF!+BPT59,"")</f>
        <v/>
      </c>
      <c r="BPU62" s="87" t="str">
        <f>IF(ISNUMBER(outYear),BPU37+BPU42+#REF!+BPU59,"")</f>
        <v/>
      </c>
      <c r="BPV62" s="87" t="str">
        <f>IF(ISNUMBER(outYear),BPV37+BPV42+#REF!+BPV59,"")</f>
        <v/>
      </c>
      <c r="BPW62" s="87" t="str">
        <f>IF(ISNUMBER(outYear),BPW37+BPW42+#REF!+BPW59,"")</f>
        <v/>
      </c>
      <c r="BPX62" s="87" t="str">
        <f>IF(ISNUMBER(outYear),BPX37+BPX42+#REF!+BPX59,"")</f>
        <v/>
      </c>
      <c r="BPY62" s="87" t="str">
        <f>IF(ISNUMBER(outYear),BPY37+BPY42+#REF!+BPY59,"")</f>
        <v/>
      </c>
      <c r="BPZ62" s="87" t="str">
        <f>IF(ISNUMBER(outYear),BPZ37+BPZ42+#REF!+BPZ59,"")</f>
        <v/>
      </c>
      <c r="BQA62" s="87" t="str">
        <f>IF(ISNUMBER(outYear),BQA37+BQA42+#REF!+BQA59,"")</f>
        <v/>
      </c>
      <c r="BQB62" s="87" t="str">
        <f>IF(ISNUMBER(outYear),BQB37+BQB42+#REF!+BQB59,"")</f>
        <v/>
      </c>
      <c r="BQC62" s="87" t="str">
        <f>IF(ISNUMBER(outYear),BQC37+BQC42+#REF!+BQC59,"")</f>
        <v/>
      </c>
      <c r="BQD62" s="87" t="str">
        <f>IF(ISNUMBER(outYear),BQD37+BQD42+#REF!+BQD59,"")</f>
        <v/>
      </c>
      <c r="BQE62" s="87" t="str">
        <f>IF(ISNUMBER(outYear),BQE37+BQE42+#REF!+BQE59,"")</f>
        <v/>
      </c>
      <c r="BQF62" s="87" t="str">
        <f>IF(ISNUMBER(outYear),BQF37+BQF42+#REF!+BQF59,"")</f>
        <v/>
      </c>
      <c r="BQG62" s="87" t="str">
        <f>IF(ISNUMBER(outYear),BQG37+BQG42+#REF!+BQG59,"")</f>
        <v/>
      </c>
      <c r="BQH62" s="87" t="str">
        <f>IF(ISNUMBER(outYear),BQH37+BQH42+#REF!+BQH59,"")</f>
        <v/>
      </c>
      <c r="BQI62" s="87" t="str">
        <f>IF(ISNUMBER(outYear),BQI37+BQI42+#REF!+BQI59,"")</f>
        <v/>
      </c>
      <c r="BQJ62" s="87" t="str">
        <f>IF(ISNUMBER(outYear),BQJ37+BQJ42+#REF!+BQJ59,"")</f>
        <v/>
      </c>
      <c r="BQK62" s="87" t="str">
        <f>IF(ISNUMBER(outYear),BQK37+BQK42+#REF!+BQK59,"")</f>
        <v/>
      </c>
      <c r="BQL62" s="87" t="str">
        <f>IF(ISNUMBER(outYear),BQL37+BQL42+#REF!+BQL59,"")</f>
        <v/>
      </c>
      <c r="BQM62" s="87" t="str">
        <f>IF(ISNUMBER(outYear),BQM37+BQM42+#REF!+BQM59,"")</f>
        <v/>
      </c>
      <c r="BQN62" s="87" t="str">
        <f>IF(ISNUMBER(outYear),BQN37+BQN42+#REF!+BQN59,"")</f>
        <v/>
      </c>
      <c r="BQO62" s="87" t="str">
        <f>IF(ISNUMBER(outYear),BQO37+BQO42+#REF!+BQO59,"")</f>
        <v/>
      </c>
      <c r="BQP62" s="87" t="str">
        <f>IF(ISNUMBER(outYear),BQP37+BQP42+#REF!+BQP59,"")</f>
        <v/>
      </c>
      <c r="BQQ62" s="87" t="str">
        <f>IF(ISNUMBER(outYear),BQQ37+BQQ42+#REF!+BQQ59,"")</f>
        <v/>
      </c>
      <c r="BQR62" s="87" t="str">
        <f>IF(ISNUMBER(outYear),BQR37+BQR42+#REF!+BQR59,"")</f>
        <v/>
      </c>
      <c r="BQS62" s="87" t="str">
        <f>IF(ISNUMBER(outYear),BQS37+BQS42+#REF!+BQS59,"")</f>
        <v/>
      </c>
      <c r="BQT62" s="87" t="str">
        <f>IF(ISNUMBER(outYear),BQT37+BQT42+#REF!+BQT59,"")</f>
        <v/>
      </c>
      <c r="BQU62" s="87" t="str">
        <f>IF(ISNUMBER(outYear),BQU37+BQU42+#REF!+BQU59,"")</f>
        <v/>
      </c>
      <c r="BQV62" s="87" t="str">
        <f>IF(ISNUMBER(outYear),BQV37+BQV42+#REF!+BQV59,"")</f>
        <v/>
      </c>
      <c r="BQW62" s="87" t="str">
        <f>IF(ISNUMBER(outYear),BQW37+BQW42+#REF!+BQW59,"")</f>
        <v/>
      </c>
      <c r="BQX62" s="87" t="str">
        <f>IF(ISNUMBER(outYear),BQX37+BQX42+#REF!+BQX59,"")</f>
        <v/>
      </c>
      <c r="BQY62" s="87" t="str">
        <f>IF(ISNUMBER(outYear),BQY37+BQY42+#REF!+BQY59,"")</f>
        <v/>
      </c>
      <c r="BQZ62" s="87" t="str">
        <f>IF(ISNUMBER(outYear),BQZ37+BQZ42+#REF!+BQZ59,"")</f>
        <v/>
      </c>
      <c r="BRA62" s="87" t="str">
        <f>IF(ISNUMBER(outYear),BRA37+BRA42+#REF!+BRA59,"")</f>
        <v/>
      </c>
      <c r="BRB62" s="87" t="str">
        <f>IF(ISNUMBER(outYear),BRB37+BRB42+#REF!+BRB59,"")</f>
        <v/>
      </c>
      <c r="BRC62" s="87" t="str">
        <f>IF(ISNUMBER(outYear),BRC37+BRC42+#REF!+BRC59,"")</f>
        <v/>
      </c>
      <c r="BRD62" s="87" t="str">
        <f>IF(ISNUMBER(outYear),BRD37+BRD42+#REF!+BRD59,"")</f>
        <v/>
      </c>
      <c r="BRE62" s="87" t="str">
        <f>IF(ISNUMBER(outYear),BRE37+BRE42+#REF!+BRE59,"")</f>
        <v/>
      </c>
      <c r="BRF62" s="87" t="str">
        <f>IF(ISNUMBER(outYear),BRF37+BRF42+#REF!+BRF59,"")</f>
        <v/>
      </c>
      <c r="BRG62" s="87" t="str">
        <f>IF(ISNUMBER(outYear),BRG37+BRG42+#REF!+BRG59,"")</f>
        <v/>
      </c>
      <c r="BRH62" s="87" t="str">
        <f>IF(ISNUMBER(outYear),BRH37+BRH42+#REF!+BRH59,"")</f>
        <v/>
      </c>
      <c r="BRI62" s="87" t="str">
        <f>IF(ISNUMBER(outYear),BRI37+BRI42+#REF!+BRI59,"")</f>
        <v/>
      </c>
      <c r="BRJ62" s="87" t="str">
        <f>IF(ISNUMBER(outYear),BRJ37+BRJ42+#REF!+BRJ59,"")</f>
        <v/>
      </c>
      <c r="BRK62" s="87" t="str">
        <f>IF(ISNUMBER(outYear),BRK37+BRK42+#REF!+BRK59,"")</f>
        <v/>
      </c>
      <c r="BRL62" s="87" t="str">
        <f>IF(ISNUMBER(outYear),BRL37+BRL42+#REF!+BRL59,"")</f>
        <v/>
      </c>
      <c r="BRM62" s="87" t="str">
        <f>IF(ISNUMBER(outYear),BRM37+BRM42+#REF!+BRM59,"")</f>
        <v/>
      </c>
      <c r="BRN62" s="87" t="str">
        <f>IF(ISNUMBER(outYear),BRN37+BRN42+#REF!+BRN59,"")</f>
        <v/>
      </c>
      <c r="BRO62" s="87" t="str">
        <f>IF(ISNUMBER(outYear),BRO37+BRO42+#REF!+BRO59,"")</f>
        <v/>
      </c>
      <c r="BRP62" s="87" t="str">
        <f>IF(ISNUMBER(outYear),BRP37+BRP42+#REF!+BRP59,"")</f>
        <v/>
      </c>
      <c r="BRQ62" s="87" t="str">
        <f>IF(ISNUMBER(outYear),BRQ37+BRQ42+#REF!+BRQ59,"")</f>
        <v/>
      </c>
      <c r="BRR62" s="87" t="str">
        <f>IF(ISNUMBER(outYear),BRR37+BRR42+#REF!+BRR59,"")</f>
        <v/>
      </c>
      <c r="BRS62" s="87" t="str">
        <f>IF(ISNUMBER(outYear),BRS37+BRS42+#REF!+BRS59,"")</f>
        <v/>
      </c>
      <c r="BRT62" s="87" t="str">
        <f>IF(ISNUMBER(outYear),BRT37+BRT42+#REF!+BRT59,"")</f>
        <v/>
      </c>
      <c r="BRU62" s="87" t="str">
        <f>IF(ISNUMBER(outYear),BRU37+BRU42+#REF!+BRU59,"")</f>
        <v/>
      </c>
      <c r="BRV62" s="87" t="str">
        <f>IF(ISNUMBER(outYear),BRV37+BRV42+#REF!+BRV59,"")</f>
        <v/>
      </c>
      <c r="BRW62" s="87" t="str">
        <f>IF(ISNUMBER(outYear),BRW37+BRW42+#REF!+BRW59,"")</f>
        <v/>
      </c>
      <c r="BRX62" s="87" t="str">
        <f>IF(ISNUMBER(outYear),BRX37+BRX42+#REF!+BRX59,"")</f>
        <v/>
      </c>
      <c r="BRY62" s="87" t="str">
        <f>IF(ISNUMBER(outYear),BRY37+BRY42+#REF!+BRY59,"")</f>
        <v/>
      </c>
      <c r="BRZ62" s="87" t="str">
        <f>IF(ISNUMBER(outYear),BRZ37+BRZ42+#REF!+BRZ59,"")</f>
        <v/>
      </c>
      <c r="BSA62" s="87" t="str">
        <f>IF(ISNUMBER(outYear),BSA37+BSA42+#REF!+BSA59,"")</f>
        <v/>
      </c>
      <c r="BSB62" s="87" t="str">
        <f>IF(ISNUMBER(outYear),BSB37+BSB42+#REF!+BSB59,"")</f>
        <v/>
      </c>
      <c r="BSC62" s="87" t="str">
        <f>IF(ISNUMBER(outYear),BSC37+BSC42+#REF!+BSC59,"")</f>
        <v/>
      </c>
      <c r="BSD62" s="87" t="str">
        <f>IF(ISNUMBER(outYear),BSD37+BSD42+#REF!+BSD59,"")</f>
        <v/>
      </c>
      <c r="BSE62" s="87" t="str">
        <f>IF(ISNUMBER(outYear),BSE37+BSE42+#REF!+BSE59,"")</f>
        <v/>
      </c>
      <c r="BSF62" s="87" t="str">
        <f>IF(ISNUMBER(outYear),BSF37+BSF42+#REF!+BSF59,"")</f>
        <v/>
      </c>
      <c r="BSG62" s="87" t="str">
        <f>IF(ISNUMBER(outYear),BSG37+BSG42+#REF!+BSG59,"")</f>
        <v/>
      </c>
      <c r="BSH62" s="87" t="str">
        <f>IF(ISNUMBER(outYear),BSH37+BSH42+#REF!+BSH59,"")</f>
        <v/>
      </c>
      <c r="BSI62" s="87" t="str">
        <f>IF(ISNUMBER(outYear),BSI37+BSI42+#REF!+BSI59,"")</f>
        <v/>
      </c>
      <c r="BSJ62" s="87" t="str">
        <f>IF(ISNUMBER(outYear),BSJ37+BSJ42+#REF!+BSJ59,"")</f>
        <v/>
      </c>
      <c r="BSK62" s="87" t="str">
        <f>IF(ISNUMBER(outYear),BSK37+BSK42+#REF!+BSK59,"")</f>
        <v/>
      </c>
      <c r="BSL62" s="87" t="str">
        <f>IF(ISNUMBER(outYear),BSL37+BSL42+#REF!+BSL59,"")</f>
        <v/>
      </c>
      <c r="BSM62" s="87" t="str">
        <f>IF(ISNUMBER(outYear),BSM37+BSM42+#REF!+BSM59,"")</f>
        <v/>
      </c>
      <c r="BSN62" s="87" t="str">
        <f>IF(ISNUMBER(outYear),BSN37+BSN42+#REF!+BSN59,"")</f>
        <v/>
      </c>
      <c r="BSO62" s="87" t="str">
        <f>IF(ISNUMBER(outYear),BSO37+BSO42+#REF!+BSO59,"")</f>
        <v/>
      </c>
      <c r="BSP62" s="87" t="str">
        <f>IF(ISNUMBER(outYear),BSP37+BSP42+#REF!+BSP59,"")</f>
        <v/>
      </c>
      <c r="BSQ62" s="87" t="str">
        <f>IF(ISNUMBER(outYear),BSQ37+BSQ42+#REF!+BSQ59,"")</f>
        <v/>
      </c>
      <c r="BSR62" s="87" t="str">
        <f>IF(ISNUMBER(outYear),BSR37+BSR42+#REF!+BSR59,"")</f>
        <v/>
      </c>
      <c r="BSS62" s="87" t="str">
        <f>IF(ISNUMBER(outYear),BSS37+BSS42+#REF!+BSS59,"")</f>
        <v/>
      </c>
      <c r="BST62" s="87" t="str">
        <f>IF(ISNUMBER(outYear),BST37+BST42+#REF!+BST59,"")</f>
        <v/>
      </c>
      <c r="BSU62" s="87" t="str">
        <f>IF(ISNUMBER(outYear),BSU37+BSU42+#REF!+BSU59,"")</f>
        <v/>
      </c>
      <c r="BSV62" s="87" t="str">
        <f>IF(ISNUMBER(outYear),BSV37+BSV42+#REF!+BSV59,"")</f>
        <v/>
      </c>
      <c r="BSW62" s="87" t="str">
        <f>IF(ISNUMBER(outYear),BSW37+BSW42+#REF!+BSW59,"")</f>
        <v/>
      </c>
      <c r="BSX62" s="87" t="str">
        <f>IF(ISNUMBER(outYear),BSX37+BSX42+#REF!+BSX59,"")</f>
        <v/>
      </c>
      <c r="BSY62" s="87" t="str">
        <f>IF(ISNUMBER(outYear),BSY37+BSY42+#REF!+BSY59,"")</f>
        <v/>
      </c>
      <c r="BSZ62" s="87" t="str">
        <f>IF(ISNUMBER(outYear),BSZ37+BSZ42+#REF!+BSZ59,"")</f>
        <v/>
      </c>
      <c r="BTA62" s="87" t="str">
        <f>IF(ISNUMBER(outYear),BTA37+BTA42+#REF!+BTA59,"")</f>
        <v/>
      </c>
      <c r="BTB62" s="87" t="str">
        <f>IF(ISNUMBER(outYear),BTB37+BTB42+#REF!+BTB59,"")</f>
        <v/>
      </c>
      <c r="BTC62" s="87" t="str">
        <f>IF(ISNUMBER(outYear),BTC37+BTC42+#REF!+BTC59,"")</f>
        <v/>
      </c>
      <c r="BTD62" s="87" t="str">
        <f>IF(ISNUMBER(outYear),BTD37+BTD42+#REF!+BTD59,"")</f>
        <v/>
      </c>
      <c r="BTE62" s="87" t="str">
        <f>IF(ISNUMBER(outYear),BTE37+BTE42+#REF!+BTE59,"")</f>
        <v/>
      </c>
      <c r="BTF62" s="87" t="str">
        <f>IF(ISNUMBER(outYear),BTF37+BTF42+#REF!+BTF59,"")</f>
        <v/>
      </c>
      <c r="BTG62" s="87" t="str">
        <f>IF(ISNUMBER(outYear),BTG37+BTG42+#REF!+BTG59,"")</f>
        <v/>
      </c>
      <c r="BTH62" s="87" t="str">
        <f>IF(ISNUMBER(outYear),BTH37+BTH42+#REF!+BTH59,"")</f>
        <v/>
      </c>
      <c r="BTI62" s="87" t="str">
        <f>IF(ISNUMBER(outYear),BTI37+BTI42+#REF!+BTI59,"")</f>
        <v/>
      </c>
      <c r="BTJ62" s="87" t="str">
        <f>IF(ISNUMBER(outYear),BTJ37+BTJ42+#REF!+BTJ59,"")</f>
        <v/>
      </c>
      <c r="BTK62" s="87" t="str">
        <f>IF(ISNUMBER(outYear),BTK37+BTK42+#REF!+BTK59,"")</f>
        <v/>
      </c>
      <c r="BTL62" s="87" t="str">
        <f>IF(ISNUMBER(outYear),BTL37+BTL42+#REF!+BTL59,"")</f>
        <v/>
      </c>
      <c r="BTM62" s="87" t="str">
        <f>IF(ISNUMBER(outYear),BTM37+BTM42+#REF!+BTM59,"")</f>
        <v/>
      </c>
      <c r="BTN62" s="87" t="str">
        <f>IF(ISNUMBER(outYear),BTN37+BTN42+#REF!+BTN59,"")</f>
        <v/>
      </c>
      <c r="BTO62" s="87" t="str">
        <f>IF(ISNUMBER(outYear),BTO37+BTO42+#REF!+BTO59,"")</f>
        <v/>
      </c>
      <c r="BTP62" s="87" t="str">
        <f>IF(ISNUMBER(outYear),BTP37+BTP42+#REF!+BTP59,"")</f>
        <v/>
      </c>
      <c r="BTQ62" s="87" t="str">
        <f>IF(ISNUMBER(outYear),BTQ37+BTQ42+#REF!+BTQ59,"")</f>
        <v/>
      </c>
      <c r="BTR62" s="87" t="str">
        <f>IF(ISNUMBER(outYear),BTR37+BTR42+#REF!+BTR59,"")</f>
        <v/>
      </c>
      <c r="BTS62" s="87" t="str">
        <f>IF(ISNUMBER(outYear),BTS37+BTS42+#REF!+BTS59,"")</f>
        <v/>
      </c>
      <c r="BTT62" s="87" t="str">
        <f>IF(ISNUMBER(outYear),BTT37+BTT42+#REF!+BTT59,"")</f>
        <v/>
      </c>
      <c r="BTU62" s="87" t="str">
        <f>IF(ISNUMBER(outYear),BTU37+BTU42+#REF!+BTU59,"")</f>
        <v/>
      </c>
      <c r="BTV62" s="87" t="str">
        <f>IF(ISNUMBER(outYear),BTV37+BTV42+#REF!+BTV59,"")</f>
        <v/>
      </c>
      <c r="BTW62" s="87" t="str">
        <f>IF(ISNUMBER(outYear),BTW37+BTW42+#REF!+BTW59,"")</f>
        <v/>
      </c>
      <c r="BTX62" s="87" t="str">
        <f>IF(ISNUMBER(outYear),BTX37+BTX42+#REF!+BTX59,"")</f>
        <v/>
      </c>
      <c r="BTY62" s="87" t="str">
        <f>IF(ISNUMBER(outYear),BTY37+BTY42+#REF!+BTY59,"")</f>
        <v/>
      </c>
      <c r="BTZ62" s="87" t="str">
        <f>IF(ISNUMBER(outYear),BTZ37+BTZ42+#REF!+BTZ59,"")</f>
        <v/>
      </c>
      <c r="BUA62" s="87" t="str">
        <f>IF(ISNUMBER(outYear),BUA37+BUA42+#REF!+BUA59,"")</f>
        <v/>
      </c>
      <c r="BUB62" s="87" t="str">
        <f>IF(ISNUMBER(outYear),BUB37+BUB42+#REF!+BUB59,"")</f>
        <v/>
      </c>
      <c r="BUC62" s="87" t="str">
        <f>IF(ISNUMBER(outYear),BUC37+BUC42+#REF!+BUC59,"")</f>
        <v/>
      </c>
      <c r="BUD62" s="87" t="str">
        <f>IF(ISNUMBER(outYear),BUD37+BUD42+#REF!+BUD59,"")</f>
        <v/>
      </c>
      <c r="BUE62" s="87" t="str">
        <f>IF(ISNUMBER(outYear),BUE37+BUE42+#REF!+BUE59,"")</f>
        <v/>
      </c>
      <c r="BUF62" s="87" t="str">
        <f>IF(ISNUMBER(outYear),BUF37+BUF42+#REF!+BUF59,"")</f>
        <v/>
      </c>
      <c r="BUG62" s="87" t="str">
        <f>IF(ISNUMBER(outYear),BUG37+BUG42+#REF!+BUG59,"")</f>
        <v/>
      </c>
      <c r="BUH62" s="87" t="str">
        <f>IF(ISNUMBER(outYear),BUH37+BUH42+#REF!+BUH59,"")</f>
        <v/>
      </c>
      <c r="BUI62" s="87" t="str">
        <f>IF(ISNUMBER(outYear),BUI37+BUI42+#REF!+BUI59,"")</f>
        <v/>
      </c>
      <c r="BUJ62" s="87" t="str">
        <f>IF(ISNUMBER(outYear),BUJ37+BUJ42+#REF!+BUJ59,"")</f>
        <v/>
      </c>
      <c r="BUK62" s="87" t="str">
        <f>IF(ISNUMBER(outYear),BUK37+BUK42+#REF!+BUK59,"")</f>
        <v/>
      </c>
      <c r="BUL62" s="87" t="str">
        <f>IF(ISNUMBER(outYear),BUL37+BUL42+#REF!+BUL59,"")</f>
        <v/>
      </c>
      <c r="BUM62" s="87" t="str">
        <f>IF(ISNUMBER(outYear),BUM37+BUM42+#REF!+BUM59,"")</f>
        <v/>
      </c>
      <c r="BUN62" s="87" t="str">
        <f>IF(ISNUMBER(outYear),BUN37+BUN42+#REF!+BUN59,"")</f>
        <v/>
      </c>
      <c r="BUO62" s="87" t="str">
        <f>IF(ISNUMBER(outYear),BUO37+BUO42+#REF!+BUO59,"")</f>
        <v/>
      </c>
      <c r="BUP62" s="87" t="str">
        <f>IF(ISNUMBER(outYear),BUP37+BUP42+#REF!+BUP59,"")</f>
        <v/>
      </c>
      <c r="BUQ62" s="87" t="str">
        <f>IF(ISNUMBER(outYear),BUQ37+BUQ42+#REF!+BUQ59,"")</f>
        <v/>
      </c>
      <c r="BUR62" s="87" t="str">
        <f>IF(ISNUMBER(outYear),BUR37+BUR42+#REF!+BUR59,"")</f>
        <v/>
      </c>
      <c r="BUS62" s="87" t="str">
        <f>IF(ISNUMBER(outYear),BUS37+BUS42+#REF!+BUS59,"")</f>
        <v/>
      </c>
      <c r="BUT62" s="87" t="str">
        <f>IF(ISNUMBER(outYear),BUT37+BUT42+#REF!+BUT59,"")</f>
        <v/>
      </c>
      <c r="BUU62" s="87" t="str">
        <f>IF(ISNUMBER(outYear),BUU37+BUU42+#REF!+BUU59,"")</f>
        <v/>
      </c>
      <c r="BUV62" s="87" t="str">
        <f>IF(ISNUMBER(outYear),BUV37+BUV42+#REF!+BUV59,"")</f>
        <v/>
      </c>
      <c r="BUW62" s="87" t="str">
        <f>IF(ISNUMBER(outYear),BUW37+BUW42+#REF!+BUW59,"")</f>
        <v/>
      </c>
      <c r="BUX62" s="87" t="str">
        <f>IF(ISNUMBER(outYear),BUX37+BUX42+#REF!+BUX59,"")</f>
        <v/>
      </c>
      <c r="BUY62" s="87" t="str">
        <f>IF(ISNUMBER(outYear),BUY37+BUY42+#REF!+BUY59,"")</f>
        <v/>
      </c>
      <c r="BUZ62" s="87" t="str">
        <f>IF(ISNUMBER(outYear),BUZ37+BUZ42+#REF!+BUZ59,"")</f>
        <v/>
      </c>
      <c r="BVA62" s="87" t="str">
        <f>IF(ISNUMBER(outYear),BVA37+BVA42+#REF!+BVA59,"")</f>
        <v/>
      </c>
      <c r="BVB62" s="87" t="str">
        <f>IF(ISNUMBER(outYear),BVB37+BVB42+#REF!+BVB59,"")</f>
        <v/>
      </c>
      <c r="BVC62" s="87" t="str">
        <f>IF(ISNUMBER(outYear),BVC37+BVC42+#REF!+BVC59,"")</f>
        <v/>
      </c>
      <c r="BVD62" s="87" t="str">
        <f>IF(ISNUMBER(outYear),BVD37+BVD42+#REF!+BVD59,"")</f>
        <v/>
      </c>
      <c r="BVE62" s="87" t="str">
        <f>IF(ISNUMBER(outYear),BVE37+BVE42+#REF!+BVE59,"")</f>
        <v/>
      </c>
      <c r="BVF62" s="87" t="str">
        <f>IF(ISNUMBER(outYear),BVF37+BVF42+#REF!+BVF59,"")</f>
        <v/>
      </c>
      <c r="BVG62" s="87" t="str">
        <f>IF(ISNUMBER(outYear),BVG37+BVG42+#REF!+BVG59,"")</f>
        <v/>
      </c>
      <c r="BVH62" s="87" t="str">
        <f>IF(ISNUMBER(outYear),BVH37+BVH42+#REF!+BVH59,"")</f>
        <v/>
      </c>
      <c r="BVI62" s="87" t="str">
        <f>IF(ISNUMBER(outYear),BVI37+BVI42+#REF!+BVI59,"")</f>
        <v/>
      </c>
      <c r="BVJ62" s="87" t="str">
        <f>IF(ISNUMBER(outYear),BVJ37+BVJ42+#REF!+BVJ59,"")</f>
        <v/>
      </c>
      <c r="BVK62" s="87" t="str">
        <f>IF(ISNUMBER(outYear),BVK37+BVK42+#REF!+BVK59,"")</f>
        <v/>
      </c>
      <c r="BVL62" s="87" t="str">
        <f>IF(ISNUMBER(outYear),BVL37+BVL42+#REF!+BVL59,"")</f>
        <v/>
      </c>
      <c r="BVM62" s="87" t="str">
        <f>IF(ISNUMBER(outYear),BVM37+BVM42+#REF!+BVM59,"")</f>
        <v/>
      </c>
      <c r="BVN62" s="87" t="str">
        <f>IF(ISNUMBER(outYear),BVN37+BVN42+#REF!+BVN59,"")</f>
        <v/>
      </c>
      <c r="BVO62" s="87" t="str">
        <f>IF(ISNUMBER(outYear),BVO37+BVO42+#REF!+BVO59,"")</f>
        <v/>
      </c>
      <c r="BVP62" s="87" t="str">
        <f>IF(ISNUMBER(outYear),BVP37+BVP42+#REF!+BVP59,"")</f>
        <v/>
      </c>
      <c r="BVQ62" s="87" t="str">
        <f>IF(ISNUMBER(outYear),BVQ37+BVQ42+#REF!+BVQ59,"")</f>
        <v/>
      </c>
      <c r="BVR62" s="87" t="str">
        <f>IF(ISNUMBER(outYear),BVR37+BVR42+#REF!+BVR59,"")</f>
        <v/>
      </c>
      <c r="BVS62" s="87" t="str">
        <f>IF(ISNUMBER(outYear),BVS37+BVS42+#REF!+BVS59,"")</f>
        <v/>
      </c>
      <c r="BVT62" s="87" t="str">
        <f>IF(ISNUMBER(outYear),BVT37+BVT42+#REF!+BVT59,"")</f>
        <v/>
      </c>
      <c r="BVU62" s="87" t="str">
        <f>IF(ISNUMBER(outYear),BVU37+BVU42+#REF!+BVU59,"")</f>
        <v/>
      </c>
      <c r="BVV62" s="87" t="str">
        <f>IF(ISNUMBER(outYear),BVV37+BVV42+#REF!+BVV59,"")</f>
        <v/>
      </c>
      <c r="BVW62" s="87" t="str">
        <f>IF(ISNUMBER(outYear),BVW37+BVW42+#REF!+BVW59,"")</f>
        <v/>
      </c>
      <c r="BVX62" s="87" t="str">
        <f>IF(ISNUMBER(outYear),BVX37+BVX42+#REF!+BVX59,"")</f>
        <v/>
      </c>
      <c r="BVY62" s="87" t="str">
        <f>IF(ISNUMBER(outYear),BVY37+BVY42+#REF!+BVY59,"")</f>
        <v/>
      </c>
      <c r="BVZ62" s="87" t="str">
        <f>IF(ISNUMBER(outYear),BVZ37+BVZ42+#REF!+BVZ59,"")</f>
        <v/>
      </c>
      <c r="BWA62" s="87" t="str">
        <f>IF(ISNUMBER(outYear),BWA37+BWA42+#REF!+BWA59,"")</f>
        <v/>
      </c>
      <c r="BWB62" s="87" t="str">
        <f>IF(ISNUMBER(outYear),BWB37+BWB42+#REF!+BWB59,"")</f>
        <v/>
      </c>
      <c r="BWC62" s="87" t="str">
        <f>IF(ISNUMBER(outYear),BWC37+BWC42+#REF!+BWC59,"")</f>
        <v/>
      </c>
      <c r="BWD62" s="87" t="str">
        <f>IF(ISNUMBER(outYear),BWD37+BWD42+#REF!+BWD59,"")</f>
        <v/>
      </c>
      <c r="BWE62" s="87" t="str">
        <f>IF(ISNUMBER(outYear),BWE37+BWE42+#REF!+BWE59,"")</f>
        <v/>
      </c>
      <c r="BWF62" s="87" t="str">
        <f>IF(ISNUMBER(outYear),BWF37+BWF42+#REF!+BWF59,"")</f>
        <v/>
      </c>
      <c r="BWG62" s="87" t="str">
        <f>IF(ISNUMBER(outYear),BWG37+BWG42+#REF!+BWG59,"")</f>
        <v/>
      </c>
      <c r="BWH62" s="87" t="str">
        <f>IF(ISNUMBER(outYear),BWH37+BWH42+#REF!+BWH59,"")</f>
        <v/>
      </c>
      <c r="BWI62" s="87" t="str">
        <f>IF(ISNUMBER(outYear),BWI37+BWI42+#REF!+BWI59,"")</f>
        <v/>
      </c>
      <c r="BWJ62" s="87" t="str">
        <f>IF(ISNUMBER(outYear),BWJ37+BWJ42+#REF!+BWJ59,"")</f>
        <v/>
      </c>
      <c r="BWK62" s="87" t="str">
        <f>IF(ISNUMBER(outYear),BWK37+BWK42+#REF!+BWK59,"")</f>
        <v/>
      </c>
      <c r="BWL62" s="87" t="str">
        <f>IF(ISNUMBER(outYear),BWL37+BWL42+#REF!+BWL59,"")</f>
        <v/>
      </c>
      <c r="BWM62" s="87" t="str">
        <f>IF(ISNUMBER(outYear),BWM37+BWM42+#REF!+BWM59,"")</f>
        <v/>
      </c>
      <c r="BWN62" s="87" t="str">
        <f>IF(ISNUMBER(outYear),BWN37+BWN42+#REF!+BWN59,"")</f>
        <v/>
      </c>
      <c r="BWO62" s="87" t="str">
        <f>IF(ISNUMBER(outYear),BWO37+BWO42+#REF!+BWO59,"")</f>
        <v/>
      </c>
      <c r="BWP62" s="87" t="str">
        <f>IF(ISNUMBER(outYear),BWP37+BWP42+#REF!+BWP59,"")</f>
        <v/>
      </c>
      <c r="BWQ62" s="87" t="str">
        <f>IF(ISNUMBER(outYear),BWQ37+BWQ42+#REF!+BWQ59,"")</f>
        <v/>
      </c>
      <c r="BWR62" s="87" t="str">
        <f>IF(ISNUMBER(outYear),BWR37+BWR42+#REF!+BWR59,"")</f>
        <v/>
      </c>
      <c r="BWS62" s="87" t="str">
        <f>IF(ISNUMBER(outYear),BWS37+BWS42+#REF!+BWS59,"")</f>
        <v/>
      </c>
      <c r="BWT62" s="87" t="str">
        <f>IF(ISNUMBER(outYear),BWT37+BWT42+#REF!+BWT59,"")</f>
        <v/>
      </c>
      <c r="BWU62" s="87" t="str">
        <f>IF(ISNUMBER(outYear),BWU37+BWU42+#REF!+BWU59,"")</f>
        <v/>
      </c>
      <c r="BWV62" s="87" t="str">
        <f>IF(ISNUMBER(outYear),BWV37+BWV42+#REF!+BWV59,"")</f>
        <v/>
      </c>
      <c r="BWW62" s="87" t="str">
        <f>IF(ISNUMBER(outYear),BWW37+BWW42+#REF!+BWW59,"")</f>
        <v/>
      </c>
      <c r="BWX62" s="87" t="str">
        <f>IF(ISNUMBER(outYear),BWX37+BWX42+#REF!+BWX59,"")</f>
        <v/>
      </c>
      <c r="BWY62" s="87" t="str">
        <f>IF(ISNUMBER(outYear),BWY37+BWY42+#REF!+BWY59,"")</f>
        <v/>
      </c>
      <c r="BWZ62" s="87" t="str">
        <f>IF(ISNUMBER(outYear),BWZ37+BWZ42+#REF!+BWZ59,"")</f>
        <v/>
      </c>
      <c r="BXA62" s="87" t="str">
        <f>IF(ISNUMBER(outYear),BXA37+BXA42+#REF!+BXA59,"")</f>
        <v/>
      </c>
      <c r="BXB62" s="87" t="str">
        <f>IF(ISNUMBER(outYear),BXB37+BXB42+#REF!+BXB59,"")</f>
        <v/>
      </c>
      <c r="BXC62" s="87" t="str">
        <f>IF(ISNUMBER(outYear),BXC37+BXC42+#REF!+BXC59,"")</f>
        <v/>
      </c>
      <c r="BXD62" s="87" t="str">
        <f>IF(ISNUMBER(outYear),BXD37+BXD42+#REF!+BXD59,"")</f>
        <v/>
      </c>
      <c r="BXE62" s="87" t="str">
        <f>IF(ISNUMBER(outYear),BXE37+BXE42+#REF!+BXE59,"")</f>
        <v/>
      </c>
      <c r="BXF62" s="87" t="str">
        <f>IF(ISNUMBER(outYear),BXF37+BXF42+#REF!+BXF59,"")</f>
        <v/>
      </c>
      <c r="BXG62" s="87" t="str">
        <f>IF(ISNUMBER(outYear),BXG37+BXG42+#REF!+BXG59,"")</f>
        <v/>
      </c>
      <c r="BXH62" s="87" t="str">
        <f>IF(ISNUMBER(outYear),BXH37+BXH42+#REF!+BXH59,"")</f>
        <v/>
      </c>
      <c r="BXI62" s="87" t="str">
        <f>IF(ISNUMBER(outYear),BXI37+BXI42+#REF!+BXI59,"")</f>
        <v/>
      </c>
      <c r="BXJ62" s="87" t="str">
        <f>IF(ISNUMBER(outYear),BXJ37+BXJ42+#REF!+BXJ59,"")</f>
        <v/>
      </c>
      <c r="BXK62" s="87" t="str">
        <f>IF(ISNUMBER(outYear),BXK37+BXK42+#REF!+BXK59,"")</f>
        <v/>
      </c>
      <c r="BXL62" s="87" t="str">
        <f>IF(ISNUMBER(outYear),BXL37+BXL42+#REF!+BXL59,"")</f>
        <v/>
      </c>
      <c r="BXM62" s="87" t="str">
        <f>IF(ISNUMBER(outYear),BXM37+BXM42+#REF!+BXM59,"")</f>
        <v/>
      </c>
      <c r="BXN62" s="87" t="str">
        <f>IF(ISNUMBER(outYear),BXN37+BXN42+#REF!+BXN59,"")</f>
        <v/>
      </c>
      <c r="BXO62" s="87" t="str">
        <f>IF(ISNUMBER(outYear),BXO37+BXO42+#REF!+BXO59,"")</f>
        <v/>
      </c>
      <c r="BXP62" s="87" t="str">
        <f>IF(ISNUMBER(outYear),BXP37+BXP42+#REF!+BXP59,"")</f>
        <v/>
      </c>
      <c r="BXQ62" s="87" t="str">
        <f>IF(ISNUMBER(outYear),BXQ37+BXQ42+#REF!+BXQ59,"")</f>
        <v/>
      </c>
      <c r="BXR62" s="87" t="str">
        <f>IF(ISNUMBER(outYear),BXR37+BXR42+#REF!+BXR59,"")</f>
        <v/>
      </c>
      <c r="BXS62" s="87" t="str">
        <f>IF(ISNUMBER(outYear),BXS37+BXS42+#REF!+BXS59,"")</f>
        <v/>
      </c>
      <c r="BXT62" s="87" t="str">
        <f>IF(ISNUMBER(outYear),BXT37+BXT42+#REF!+BXT59,"")</f>
        <v/>
      </c>
      <c r="BXU62" s="87" t="str">
        <f>IF(ISNUMBER(outYear),BXU37+BXU42+#REF!+BXU59,"")</f>
        <v/>
      </c>
      <c r="BXV62" s="87" t="str">
        <f>IF(ISNUMBER(outYear),BXV37+BXV42+#REF!+BXV59,"")</f>
        <v/>
      </c>
      <c r="BXW62" s="87" t="str">
        <f>IF(ISNUMBER(outYear),BXW37+BXW42+#REF!+BXW59,"")</f>
        <v/>
      </c>
      <c r="BXX62" s="87" t="str">
        <f>IF(ISNUMBER(outYear),BXX37+BXX42+#REF!+BXX59,"")</f>
        <v/>
      </c>
      <c r="BXY62" s="87" t="str">
        <f>IF(ISNUMBER(outYear),BXY37+BXY42+#REF!+BXY59,"")</f>
        <v/>
      </c>
      <c r="BXZ62" s="87" t="str">
        <f>IF(ISNUMBER(outYear),BXZ37+BXZ42+#REF!+BXZ59,"")</f>
        <v/>
      </c>
      <c r="BYA62" s="87" t="str">
        <f>IF(ISNUMBER(outYear),BYA37+BYA42+#REF!+BYA59,"")</f>
        <v/>
      </c>
      <c r="BYB62" s="87" t="str">
        <f>IF(ISNUMBER(outYear),BYB37+BYB42+#REF!+BYB59,"")</f>
        <v/>
      </c>
      <c r="BYC62" s="87" t="str">
        <f>IF(ISNUMBER(outYear),BYC37+BYC42+#REF!+BYC59,"")</f>
        <v/>
      </c>
      <c r="BYD62" s="87" t="str">
        <f>IF(ISNUMBER(outYear),BYD37+BYD42+#REF!+BYD59,"")</f>
        <v/>
      </c>
      <c r="BYE62" s="87" t="str">
        <f>IF(ISNUMBER(outYear),BYE37+BYE42+#REF!+BYE59,"")</f>
        <v/>
      </c>
      <c r="BYF62" s="87" t="str">
        <f>IF(ISNUMBER(outYear),BYF37+BYF42+#REF!+BYF59,"")</f>
        <v/>
      </c>
      <c r="BYG62" s="87" t="str">
        <f>IF(ISNUMBER(outYear),BYG37+BYG42+#REF!+BYG59,"")</f>
        <v/>
      </c>
      <c r="BYH62" s="87" t="str">
        <f>IF(ISNUMBER(outYear),BYH37+BYH42+#REF!+BYH59,"")</f>
        <v/>
      </c>
      <c r="BYI62" s="87" t="str">
        <f>IF(ISNUMBER(outYear),BYI37+BYI42+#REF!+BYI59,"")</f>
        <v/>
      </c>
      <c r="BYJ62" s="87" t="str">
        <f>IF(ISNUMBER(outYear),BYJ37+BYJ42+#REF!+BYJ59,"")</f>
        <v/>
      </c>
      <c r="BYK62" s="87" t="str">
        <f>IF(ISNUMBER(outYear),BYK37+BYK42+#REF!+BYK59,"")</f>
        <v/>
      </c>
      <c r="BYL62" s="87" t="str">
        <f>IF(ISNUMBER(outYear),BYL37+BYL42+#REF!+BYL59,"")</f>
        <v/>
      </c>
      <c r="BYM62" s="87" t="str">
        <f>IF(ISNUMBER(outYear),BYM37+BYM42+#REF!+BYM59,"")</f>
        <v/>
      </c>
      <c r="BYN62" s="87" t="str">
        <f>IF(ISNUMBER(outYear),BYN37+BYN42+#REF!+BYN59,"")</f>
        <v/>
      </c>
      <c r="BYO62" s="87" t="str">
        <f>IF(ISNUMBER(outYear),BYO37+BYO42+#REF!+BYO59,"")</f>
        <v/>
      </c>
      <c r="BYP62" s="87" t="str">
        <f>IF(ISNUMBER(outYear),BYP37+BYP42+#REF!+BYP59,"")</f>
        <v/>
      </c>
      <c r="BYQ62" s="87" t="str">
        <f>IF(ISNUMBER(outYear),BYQ37+BYQ42+#REF!+BYQ59,"")</f>
        <v/>
      </c>
      <c r="BYR62" s="87" t="str">
        <f>IF(ISNUMBER(outYear),BYR37+BYR42+#REF!+BYR59,"")</f>
        <v/>
      </c>
      <c r="BYS62" s="87" t="str">
        <f>IF(ISNUMBER(outYear),BYS37+BYS42+#REF!+BYS59,"")</f>
        <v/>
      </c>
      <c r="BYT62" s="87" t="str">
        <f>IF(ISNUMBER(outYear),BYT37+BYT42+#REF!+BYT59,"")</f>
        <v/>
      </c>
      <c r="BYU62" s="87" t="str">
        <f>IF(ISNUMBER(outYear),BYU37+BYU42+#REF!+BYU59,"")</f>
        <v/>
      </c>
      <c r="BYV62" s="87" t="str">
        <f>IF(ISNUMBER(outYear),BYV37+BYV42+#REF!+BYV59,"")</f>
        <v/>
      </c>
      <c r="BYW62" s="87" t="str">
        <f>IF(ISNUMBER(outYear),BYW37+BYW42+#REF!+BYW59,"")</f>
        <v/>
      </c>
      <c r="BYX62" s="87" t="str">
        <f>IF(ISNUMBER(outYear),BYX37+BYX42+#REF!+BYX59,"")</f>
        <v/>
      </c>
      <c r="BYY62" s="87" t="str">
        <f>IF(ISNUMBER(outYear),BYY37+BYY42+#REF!+BYY59,"")</f>
        <v/>
      </c>
      <c r="BYZ62" s="87" t="str">
        <f>IF(ISNUMBER(outYear),BYZ37+BYZ42+#REF!+BYZ59,"")</f>
        <v/>
      </c>
      <c r="BZA62" s="87" t="str">
        <f>IF(ISNUMBER(outYear),BZA37+BZA42+#REF!+BZA59,"")</f>
        <v/>
      </c>
      <c r="BZB62" s="87" t="str">
        <f>IF(ISNUMBER(outYear),BZB37+BZB42+#REF!+BZB59,"")</f>
        <v/>
      </c>
      <c r="BZC62" s="87" t="str">
        <f>IF(ISNUMBER(outYear),BZC37+BZC42+#REF!+BZC59,"")</f>
        <v/>
      </c>
      <c r="BZD62" s="87" t="str">
        <f>IF(ISNUMBER(outYear),BZD37+BZD42+#REF!+BZD59,"")</f>
        <v/>
      </c>
      <c r="BZE62" s="87" t="str">
        <f>IF(ISNUMBER(outYear),BZE37+BZE42+#REF!+BZE59,"")</f>
        <v/>
      </c>
      <c r="BZF62" s="87" t="str">
        <f>IF(ISNUMBER(outYear),BZF37+BZF42+#REF!+BZF59,"")</f>
        <v/>
      </c>
      <c r="BZG62" s="87" t="str">
        <f>IF(ISNUMBER(outYear),BZG37+BZG42+#REF!+BZG59,"")</f>
        <v/>
      </c>
      <c r="BZH62" s="87" t="str">
        <f>IF(ISNUMBER(outYear),BZH37+BZH42+#REF!+BZH59,"")</f>
        <v/>
      </c>
      <c r="BZI62" s="87" t="str">
        <f>IF(ISNUMBER(outYear),BZI37+BZI42+#REF!+BZI59,"")</f>
        <v/>
      </c>
      <c r="BZJ62" s="87" t="str">
        <f>IF(ISNUMBER(outYear),BZJ37+BZJ42+#REF!+BZJ59,"")</f>
        <v/>
      </c>
      <c r="BZK62" s="87" t="str">
        <f>IF(ISNUMBER(outYear),BZK37+BZK42+#REF!+BZK59,"")</f>
        <v/>
      </c>
      <c r="BZL62" s="87" t="str">
        <f>IF(ISNUMBER(outYear),BZL37+BZL42+#REF!+BZL59,"")</f>
        <v/>
      </c>
      <c r="BZM62" s="87" t="str">
        <f>IF(ISNUMBER(outYear),BZM37+BZM42+#REF!+BZM59,"")</f>
        <v/>
      </c>
      <c r="BZN62" s="87" t="str">
        <f>IF(ISNUMBER(outYear),BZN37+BZN42+#REF!+BZN59,"")</f>
        <v/>
      </c>
      <c r="BZO62" s="87" t="str">
        <f>IF(ISNUMBER(outYear),BZO37+BZO42+#REF!+BZO59,"")</f>
        <v/>
      </c>
      <c r="BZP62" s="87" t="str">
        <f>IF(ISNUMBER(outYear),BZP37+BZP42+#REF!+BZP59,"")</f>
        <v/>
      </c>
      <c r="BZQ62" s="87" t="str">
        <f>IF(ISNUMBER(outYear),BZQ37+BZQ42+#REF!+BZQ59,"")</f>
        <v/>
      </c>
      <c r="BZR62" s="87" t="str">
        <f>IF(ISNUMBER(outYear),BZR37+BZR42+#REF!+BZR59,"")</f>
        <v/>
      </c>
      <c r="BZS62" s="87" t="str">
        <f>IF(ISNUMBER(outYear),BZS37+BZS42+#REF!+BZS59,"")</f>
        <v/>
      </c>
      <c r="BZT62" s="87" t="str">
        <f>IF(ISNUMBER(outYear),BZT37+BZT42+#REF!+BZT59,"")</f>
        <v/>
      </c>
      <c r="BZU62" s="87" t="str">
        <f>IF(ISNUMBER(outYear),BZU37+BZU42+#REF!+BZU59,"")</f>
        <v/>
      </c>
      <c r="BZV62" s="87" t="str">
        <f>IF(ISNUMBER(outYear),BZV37+BZV42+#REF!+BZV59,"")</f>
        <v/>
      </c>
      <c r="BZW62" s="87" t="str">
        <f>IF(ISNUMBER(outYear),BZW37+BZW42+#REF!+BZW59,"")</f>
        <v/>
      </c>
      <c r="BZX62" s="87" t="str">
        <f>IF(ISNUMBER(outYear),BZX37+BZX42+#REF!+BZX59,"")</f>
        <v/>
      </c>
      <c r="BZY62" s="87" t="str">
        <f>IF(ISNUMBER(outYear),BZY37+BZY42+#REF!+BZY59,"")</f>
        <v/>
      </c>
      <c r="BZZ62" s="87" t="str">
        <f>IF(ISNUMBER(outYear),BZZ37+BZZ42+#REF!+BZZ59,"")</f>
        <v/>
      </c>
      <c r="CAA62" s="87" t="str">
        <f>IF(ISNUMBER(outYear),CAA37+CAA42+#REF!+CAA59,"")</f>
        <v/>
      </c>
      <c r="CAB62" s="87" t="str">
        <f>IF(ISNUMBER(outYear),CAB37+CAB42+#REF!+CAB59,"")</f>
        <v/>
      </c>
      <c r="CAC62" s="87" t="str">
        <f>IF(ISNUMBER(outYear),CAC37+CAC42+#REF!+CAC59,"")</f>
        <v/>
      </c>
      <c r="CAD62" s="87" t="str">
        <f>IF(ISNUMBER(outYear),CAD37+CAD42+#REF!+CAD59,"")</f>
        <v/>
      </c>
      <c r="CAE62" s="87" t="str">
        <f>IF(ISNUMBER(outYear),CAE37+CAE42+#REF!+CAE59,"")</f>
        <v/>
      </c>
      <c r="CAF62" s="87" t="str">
        <f>IF(ISNUMBER(outYear),CAF37+CAF42+#REF!+CAF59,"")</f>
        <v/>
      </c>
      <c r="CAG62" s="87" t="str">
        <f>IF(ISNUMBER(outYear),CAG37+CAG42+#REF!+CAG59,"")</f>
        <v/>
      </c>
      <c r="CAH62" s="87" t="str">
        <f>IF(ISNUMBER(outYear),CAH37+CAH42+#REF!+CAH59,"")</f>
        <v/>
      </c>
      <c r="CAI62" s="87" t="str">
        <f>IF(ISNUMBER(outYear),CAI37+CAI42+#REF!+CAI59,"")</f>
        <v/>
      </c>
      <c r="CAJ62" s="87" t="str">
        <f>IF(ISNUMBER(outYear),CAJ37+CAJ42+#REF!+CAJ59,"")</f>
        <v/>
      </c>
      <c r="CAK62" s="87" t="str">
        <f>IF(ISNUMBER(outYear),CAK37+CAK42+#REF!+CAK59,"")</f>
        <v/>
      </c>
      <c r="CAL62" s="87" t="str">
        <f>IF(ISNUMBER(outYear),CAL37+CAL42+#REF!+CAL59,"")</f>
        <v/>
      </c>
      <c r="CAM62" s="87" t="str">
        <f>IF(ISNUMBER(outYear),CAM37+CAM42+#REF!+CAM59,"")</f>
        <v/>
      </c>
      <c r="CAN62" s="87" t="str">
        <f>IF(ISNUMBER(outYear),CAN37+CAN42+#REF!+CAN59,"")</f>
        <v/>
      </c>
      <c r="CAO62" s="87" t="str">
        <f>IF(ISNUMBER(outYear),CAO37+CAO42+#REF!+CAO59,"")</f>
        <v/>
      </c>
      <c r="CAP62" s="87" t="str">
        <f>IF(ISNUMBER(outYear),CAP37+CAP42+#REF!+CAP59,"")</f>
        <v/>
      </c>
      <c r="CAQ62" s="87" t="str">
        <f>IF(ISNUMBER(outYear),CAQ37+CAQ42+#REF!+CAQ59,"")</f>
        <v/>
      </c>
      <c r="CAR62" s="87" t="str">
        <f>IF(ISNUMBER(outYear),CAR37+CAR42+#REF!+CAR59,"")</f>
        <v/>
      </c>
      <c r="CAS62" s="87" t="str">
        <f>IF(ISNUMBER(outYear),CAS37+CAS42+#REF!+CAS59,"")</f>
        <v/>
      </c>
      <c r="CAT62" s="87" t="str">
        <f>IF(ISNUMBER(outYear),CAT37+CAT42+#REF!+CAT59,"")</f>
        <v/>
      </c>
      <c r="CAU62" s="87" t="str">
        <f>IF(ISNUMBER(outYear),CAU37+CAU42+#REF!+CAU59,"")</f>
        <v/>
      </c>
      <c r="CAV62" s="87" t="str">
        <f>IF(ISNUMBER(outYear),CAV37+CAV42+#REF!+CAV59,"")</f>
        <v/>
      </c>
      <c r="CAW62" s="87" t="str">
        <f>IF(ISNUMBER(outYear),CAW37+CAW42+#REF!+CAW59,"")</f>
        <v/>
      </c>
      <c r="CAX62" s="87" t="str">
        <f>IF(ISNUMBER(outYear),CAX37+CAX42+#REF!+CAX59,"")</f>
        <v/>
      </c>
      <c r="CAY62" s="87" t="str">
        <f>IF(ISNUMBER(outYear),CAY37+CAY42+#REF!+CAY59,"")</f>
        <v/>
      </c>
      <c r="CAZ62" s="87" t="str">
        <f>IF(ISNUMBER(outYear),CAZ37+CAZ42+#REF!+CAZ59,"")</f>
        <v/>
      </c>
      <c r="CBA62" s="87" t="str">
        <f>IF(ISNUMBER(outYear),CBA37+CBA42+#REF!+CBA59,"")</f>
        <v/>
      </c>
      <c r="CBB62" s="87" t="str">
        <f>IF(ISNUMBER(outYear),CBB37+CBB42+#REF!+CBB59,"")</f>
        <v/>
      </c>
      <c r="CBC62" s="87" t="str">
        <f>IF(ISNUMBER(outYear),CBC37+CBC42+#REF!+CBC59,"")</f>
        <v/>
      </c>
      <c r="CBD62" s="87" t="str">
        <f>IF(ISNUMBER(outYear),CBD37+CBD42+#REF!+CBD59,"")</f>
        <v/>
      </c>
      <c r="CBE62" s="87" t="str">
        <f>IF(ISNUMBER(outYear),CBE37+CBE42+#REF!+CBE59,"")</f>
        <v/>
      </c>
      <c r="CBF62" s="87" t="str">
        <f>IF(ISNUMBER(outYear),CBF37+CBF42+#REF!+CBF59,"")</f>
        <v/>
      </c>
      <c r="CBG62" s="87" t="str">
        <f>IF(ISNUMBER(outYear),CBG37+CBG42+#REF!+CBG59,"")</f>
        <v/>
      </c>
      <c r="CBH62" s="87" t="str">
        <f>IF(ISNUMBER(outYear),CBH37+CBH42+#REF!+CBH59,"")</f>
        <v/>
      </c>
      <c r="CBI62" s="87" t="str">
        <f>IF(ISNUMBER(outYear),CBI37+CBI42+#REF!+CBI59,"")</f>
        <v/>
      </c>
      <c r="CBJ62" s="87" t="str">
        <f>IF(ISNUMBER(outYear),CBJ37+CBJ42+#REF!+CBJ59,"")</f>
        <v/>
      </c>
      <c r="CBK62" s="87" t="str">
        <f>IF(ISNUMBER(outYear),CBK37+CBK42+#REF!+CBK59,"")</f>
        <v/>
      </c>
      <c r="CBL62" s="87" t="str">
        <f>IF(ISNUMBER(outYear),CBL37+CBL42+#REF!+CBL59,"")</f>
        <v/>
      </c>
      <c r="CBM62" s="87" t="str">
        <f>IF(ISNUMBER(outYear),CBM37+CBM42+#REF!+CBM59,"")</f>
        <v/>
      </c>
      <c r="CBN62" s="87" t="str">
        <f>IF(ISNUMBER(outYear),CBN37+CBN42+#REF!+CBN59,"")</f>
        <v/>
      </c>
      <c r="CBO62" s="87" t="str">
        <f>IF(ISNUMBER(outYear),CBO37+CBO42+#REF!+CBO59,"")</f>
        <v/>
      </c>
      <c r="CBP62" s="87" t="str">
        <f>IF(ISNUMBER(outYear),CBP37+CBP42+#REF!+CBP59,"")</f>
        <v/>
      </c>
      <c r="CBQ62" s="87" t="str">
        <f>IF(ISNUMBER(outYear),CBQ37+CBQ42+#REF!+CBQ59,"")</f>
        <v/>
      </c>
      <c r="CBR62" s="87" t="str">
        <f>IF(ISNUMBER(outYear),CBR37+CBR42+#REF!+CBR59,"")</f>
        <v/>
      </c>
      <c r="CBS62" s="87" t="str">
        <f>IF(ISNUMBER(outYear),CBS37+CBS42+#REF!+CBS59,"")</f>
        <v/>
      </c>
      <c r="CBT62" s="87" t="str">
        <f>IF(ISNUMBER(outYear),CBT37+CBT42+#REF!+CBT59,"")</f>
        <v/>
      </c>
      <c r="CBU62" s="87" t="str">
        <f>IF(ISNUMBER(outYear),CBU37+CBU42+#REF!+CBU59,"")</f>
        <v/>
      </c>
      <c r="CBV62" s="87" t="str">
        <f>IF(ISNUMBER(outYear),CBV37+CBV42+#REF!+CBV59,"")</f>
        <v/>
      </c>
      <c r="CBW62" s="87" t="str">
        <f>IF(ISNUMBER(outYear),CBW37+CBW42+#REF!+CBW59,"")</f>
        <v/>
      </c>
      <c r="CBX62" s="87" t="str">
        <f>IF(ISNUMBER(outYear),CBX37+CBX42+#REF!+CBX59,"")</f>
        <v/>
      </c>
      <c r="CBY62" s="87" t="str">
        <f>IF(ISNUMBER(outYear),CBY37+CBY42+#REF!+CBY59,"")</f>
        <v/>
      </c>
      <c r="CBZ62" s="87" t="str">
        <f>IF(ISNUMBER(outYear),CBZ37+CBZ42+#REF!+CBZ59,"")</f>
        <v/>
      </c>
      <c r="CCA62" s="87" t="str">
        <f>IF(ISNUMBER(outYear),CCA37+CCA42+#REF!+CCA59,"")</f>
        <v/>
      </c>
      <c r="CCB62" s="87" t="str">
        <f>IF(ISNUMBER(outYear),CCB37+CCB42+#REF!+CCB59,"")</f>
        <v/>
      </c>
      <c r="CCC62" s="87" t="str">
        <f>IF(ISNUMBER(outYear),CCC37+CCC42+#REF!+CCC59,"")</f>
        <v/>
      </c>
      <c r="CCD62" s="87" t="str">
        <f>IF(ISNUMBER(outYear),CCD37+CCD42+#REF!+CCD59,"")</f>
        <v/>
      </c>
      <c r="CCE62" s="87" t="str">
        <f>IF(ISNUMBER(outYear),CCE37+CCE42+#REF!+CCE59,"")</f>
        <v/>
      </c>
      <c r="CCF62" s="87" t="str">
        <f>IF(ISNUMBER(outYear),CCF37+CCF42+#REF!+CCF59,"")</f>
        <v/>
      </c>
      <c r="CCG62" s="87" t="str">
        <f>IF(ISNUMBER(outYear),CCG37+CCG42+#REF!+CCG59,"")</f>
        <v/>
      </c>
      <c r="CCH62" s="87" t="str">
        <f>IF(ISNUMBER(outYear),CCH37+CCH42+#REF!+CCH59,"")</f>
        <v/>
      </c>
      <c r="CCI62" s="87" t="str">
        <f>IF(ISNUMBER(outYear),CCI37+CCI42+#REF!+CCI59,"")</f>
        <v/>
      </c>
      <c r="CCJ62" s="87" t="str">
        <f>IF(ISNUMBER(outYear),CCJ37+CCJ42+#REF!+CCJ59,"")</f>
        <v/>
      </c>
      <c r="CCK62" s="87" t="str">
        <f>IF(ISNUMBER(outYear),CCK37+CCK42+#REF!+CCK59,"")</f>
        <v/>
      </c>
      <c r="CCL62" s="87" t="str">
        <f>IF(ISNUMBER(outYear),CCL37+CCL42+#REF!+CCL59,"")</f>
        <v/>
      </c>
      <c r="CCM62" s="87" t="str">
        <f>IF(ISNUMBER(outYear),CCM37+CCM42+#REF!+CCM59,"")</f>
        <v/>
      </c>
      <c r="CCN62" s="87" t="str">
        <f>IF(ISNUMBER(outYear),CCN37+CCN42+#REF!+CCN59,"")</f>
        <v/>
      </c>
      <c r="CCO62" s="87" t="str">
        <f>IF(ISNUMBER(outYear),CCO37+CCO42+#REF!+CCO59,"")</f>
        <v/>
      </c>
      <c r="CCP62" s="87" t="str">
        <f>IF(ISNUMBER(outYear),CCP37+CCP42+#REF!+CCP59,"")</f>
        <v/>
      </c>
      <c r="CCQ62" s="87" t="str">
        <f>IF(ISNUMBER(outYear),CCQ37+CCQ42+#REF!+CCQ59,"")</f>
        <v/>
      </c>
      <c r="CCR62" s="87" t="str">
        <f>IF(ISNUMBER(outYear),CCR37+CCR42+#REF!+CCR59,"")</f>
        <v/>
      </c>
      <c r="CCS62" s="87" t="str">
        <f>IF(ISNUMBER(outYear),CCS37+CCS42+#REF!+CCS59,"")</f>
        <v/>
      </c>
      <c r="CCT62" s="87" t="str">
        <f>IF(ISNUMBER(outYear),CCT37+CCT42+#REF!+CCT59,"")</f>
        <v/>
      </c>
      <c r="CCU62" s="87" t="str">
        <f>IF(ISNUMBER(outYear),CCU37+CCU42+#REF!+CCU59,"")</f>
        <v/>
      </c>
      <c r="CCV62" s="87" t="str">
        <f>IF(ISNUMBER(outYear),CCV37+CCV42+#REF!+CCV59,"")</f>
        <v/>
      </c>
      <c r="CCW62" s="87" t="str">
        <f>IF(ISNUMBER(outYear),CCW37+CCW42+#REF!+CCW59,"")</f>
        <v/>
      </c>
      <c r="CCX62" s="87" t="str">
        <f>IF(ISNUMBER(outYear),CCX37+CCX42+#REF!+CCX59,"")</f>
        <v/>
      </c>
      <c r="CCY62" s="87" t="str">
        <f>IF(ISNUMBER(outYear),CCY37+CCY42+#REF!+CCY59,"")</f>
        <v/>
      </c>
      <c r="CCZ62" s="87" t="str">
        <f>IF(ISNUMBER(outYear),CCZ37+CCZ42+#REF!+CCZ59,"")</f>
        <v/>
      </c>
      <c r="CDA62" s="87" t="str">
        <f>IF(ISNUMBER(outYear),CDA37+CDA42+#REF!+CDA59,"")</f>
        <v/>
      </c>
      <c r="CDB62" s="87" t="str">
        <f>IF(ISNUMBER(outYear),CDB37+CDB42+#REF!+CDB59,"")</f>
        <v/>
      </c>
      <c r="CDC62" s="87" t="str">
        <f>IF(ISNUMBER(outYear),CDC37+CDC42+#REF!+CDC59,"")</f>
        <v/>
      </c>
      <c r="CDD62" s="87" t="str">
        <f>IF(ISNUMBER(outYear),CDD37+CDD42+#REF!+CDD59,"")</f>
        <v/>
      </c>
      <c r="CDE62" s="87" t="str">
        <f>IF(ISNUMBER(outYear),CDE37+CDE42+#REF!+CDE59,"")</f>
        <v/>
      </c>
      <c r="CDF62" s="87" t="str">
        <f>IF(ISNUMBER(outYear),CDF37+CDF42+#REF!+CDF59,"")</f>
        <v/>
      </c>
      <c r="CDG62" s="87" t="str">
        <f>IF(ISNUMBER(outYear),CDG37+CDG42+#REF!+CDG59,"")</f>
        <v/>
      </c>
      <c r="CDH62" s="87" t="str">
        <f>IF(ISNUMBER(outYear),CDH37+CDH42+#REF!+CDH59,"")</f>
        <v/>
      </c>
      <c r="CDI62" s="87" t="str">
        <f>IF(ISNUMBER(outYear),CDI37+CDI42+#REF!+CDI59,"")</f>
        <v/>
      </c>
      <c r="CDJ62" s="87" t="str">
        <f>IF(ISNUMBER(outYear),CDJ37+CDJ42+#REF!+CDJ59,"")</f>
        <v/>
      </c>
      <c r="CDK62" s="87" t="str">
        <f>IF(ISNUMBER(outYear),CDK37+CDK42+#REF!+CDK59,"")</f>
        <v/>
      </c>
      <c r="CDL62" s="87" t="str">
        <f>IF(ISNUMBER(outYear),CDL37+CDL42+#REF!+CDL59,"")</f>
        <v/>
      </c>
      <c r="CDM62" s="87" t="str">
        <f>IF(ISNUMBER(outYear),CDM37+CDM42+#REF!+CDM59,"")</f>
        <v/>
      </c>
      <c r="CDN62" s="87" t="str">
        <f>IF(ISNUMBER(outYear),CDN37+CDN42+#REF!+CDN59,"")</f>
        <v/>
      </c>
      <c r="CDO62" s="87" t="str">
        <f>IF(ISNUMBER(outYear),CDO37+CDO42+#REF!+CDO59,"")</f>
        <v/>
      </c>
      <c r="CDP62" s="87" t="str">
        <f>IF(ISNUMBER(outYear),CDP37+CDP42+#REF!+CDP59,"")</f>
        <v/>
      </c>
      <c r="CDQ62" s="87" t="str">
        <f>IF(ISNUMBER(outYear),CDQ37+CDQ42+#REF!+CDQ59,"")</f>
        <v/>
      </c>
      <c r="CDR62" s="87" t="str">
        <f>IF(ISNUMBER(outYear),CDR37+CDR42+#REF!+CDR59,"")</f>
        <v/>
      </c>
      <c r="CDS62" s="87" t="str">
        <f>IF(ISNUMBER(outYear),CDS37+CDS42+#REF!+CDS59,"")</f>
        <v/>
      </c>
      <c r="CDT62" s="87" t="str">
        <f>IF(ISNUMBER(outYear),CDT37+CDT42+#REF!+CDT59,"")</f>
        <v/>
      </c>
      <c r="CDU62" s="87" t="str">
        <f>IF(ISNUMBER(outYear),CDU37+CDU42+#REF!+CDU59,"")</f>
        <v/>
      </c>
      <c r="CDV62" s="87" t="str">
        <f>IF(ISNUMBER(outYear),CDV37+CDV42+#REF!+CDV59,"")</f>
        <v/>
      </c>
      <c r="CDW62" s="87" t="str">
        <f>IF(ISNUMBER(outYear),CDW37+CDW42+#REF!+CDW59,"")</f>
        <v/>
      </c>
      <c r="CDX62" s="87" t="str">
        <f>IF(ISNUMBER(outYear),CDX37+CDX42+#REF!+CDX59,"")</f>
        <v/>
      </c>
      <c r="CDY62" s="87" t="str">
        <f>IF(ISNUMBER(outYear),CDY37+CDY42+#REF!+CDY59,"")</f>
        <v/>
      </c>
      <c r="CDZ62" s="87" t="str">
        <f>IF(ISNUMBER(outYear),CDZ37+CDZ42+#REF!+CDZ59,"")</f>
        <v/>
      </c>
      <c r="CEA62" s="87" t="str">
        <f>IF(ISNUMBER(outYear),CEA37+CEA42+#REF!+CEA59,"")</f>
        <v/>
      </c>
      <c r="CEB62" s="87" t="str">
        <f>IF(ISNUMBER(outYear),CEB37+CEB42+#REF!+CEB59,"")</f>
        <v/>
      </c>
      <c r="CEC62" s="87" t="str">
        <f>IF(ISNUMBER(outYear),CEC37+CEC42+#REF!+CEC59,"")</f>
        <v/>
      </c>
      <c r="CED62" s="87" t="str">
        <f>IF(ISNUMBER(outYear),CED37+CED42+#REF!+CED59,"")</f>
        <v/>
      </c>
      <c r="CEE62" s="87" t="str">
        <f>IF(ISNUMBER(outYear),CEE37+CEE42+#REF!+CEE59,"")</f>
        <v/>
      </c>
      <c r="CEF62" s="87" t="str">
        <f>IF(ISNUMBER(outYear),CEF37+CEF42+#REF!+CEF59,"")</f>
        <v/>
      </c>
      <c r="CEG62" s="87" t="str">
        <f>IF(ISNUMBER(outYear),CEG37+CEG42+#REF!+CEG59,"")</f>
        <v/>
      </c>
      <c r="CEH62" s="87" t="str">
        <f>IF(ISNUMBER(outYear),CEH37+CEH42+#REF!+CEH59,"")</f>
        <v/>
      </c>
      <c r="CEI62" s="87" t="str">
        <f>IF(ISNUMBER(outYear),CEI37+CEI42+#REF!+CEI59,"")</f>
        <v/>
      </c>
      <c r="CEJ62" s="87" t="str">
        <f>IF(ISNUMBER(outYear),CEJ37+CEJ42+#REF!+CEJ59,"")</f>
        <v/>
      </c>
      <c r="CEK62" s="87" t="str">
        <f>IF(ISNUMBER(outYear),CEK37+CEK42+#REF!+CEK59,"")</f>
        <v/>
      </c>
      <c r="CEL62" s="87" t="str">
        <f>IF(ISNUMBER(outYear),CEL37+CEL42+#REF!+CEL59,"")</f>
        <v/>
      </c>
      <c r="CEM62" s="87" t="str">
        <f>IF(ISNUMBER(outYear),CEM37+CEM42+#REF!+CEM59,"")</f>
        <v/>
      </c>
      <c r="CEN62" s="87" t="str">
        <f>IF(ISNUMBER(outYear),CEN37+CEN42+#REF!+CEN59,"")</f>
        <v/>
      </c>
      <c r="CEO62" s="87" t="str">
        <f>IF(ISNUMBER(outYear),CEO37+CEO42+#REF!+CEO59,"")</f>
        <v/>
      </c>
      <c r="CEP62" s="87" t="str">
        <f>IF(ISNUMBER(outYear),CEP37+CEP42+#REF!+CEP59,"")</f>
        <v/>
      </c>
      <c r="CEQ62" s="87" t="str">
        <f>IF(ISNUMBER(outYear),CEQ37+CEQ42+#REF!+CEQ59,"")</f>
        <v/>
      </c>
      <c r="CER62" s="87" t="str">
        <f>IF(ISNUMBER(outYear),CER37+CER42+#REF!+CER59,"")</f>
        <v/>
      </c>
      <c r="CES62" s="87" t="str">
        <f>IF(ISNUMBER(outYear),CES37+CES42+#REF!+CES59,"")</f>
        <v/>
      </c>
      <c r="CET62" s="87" t="str">
        <f>IF(ISNUMBER(outYear),CET37+CET42+#REF!+CET59,"")</f>
        <v/>
      </c>
      <c r="CEU62" s="87" t="str">
        <f>IF(ISNUMBER(outYear),CEU37+CEU42+#REF!+CEU59,"")</f>
        <v/>
      </c>
      <c r="CEV62" s="87" t="str">
        <f>IF(ISNUMBER(outYear),CEV37+CEV42+#REF!+CEV59,"")</f>
        <v/>
      </c>
      <c r="CEW62" s="87" t="str">
        <f>IF(ISNUMBER(outYear),CEW37+CEW42+#REF!+CEW59,"")</f>
        <v/>
      </c>
      <c r="CEX62" s="87" t="str">
        <f>IF(ISNUMBER(outYear),CEX37+CEX42+#REF!+CEX59,"")</f>
        <v/>
      </c>
      <c r="CEY62" s="87" t="str">
        <f>IF(ISNUMBER(outYear),CEY37+CEY42+#REF!+CEY59,"")</f>
        <v/>
      </c>
      <c r="CEZ62" s="87" t="str">
        <f>IF(ISNUMBER(outYear),CEZ37+CEZ42+#REF!+CEZ59,"")</f>
        <v/>
      </c>
      <c r="CFA62" s="87" t="str">
        <f>IF(ISNUMBER(outYear),CFA37+CFA42+#REF!+CFA59,"")</f>
        <v/>
      </c>
      <c r="CFB62" s="87" t="str">
        <f>IF(ISNUMBER(outYear),CFB37+CFB42+#REF!+CFB59,"")</f>
        <v/>
      </c>
      <c r="CFC62" s="87" t="str">
        <f>IF(ISNUMBER(outYear),CFC37+CFC42+#REF!+CFC59,"")</f>
        <v/>
      </c>
      <c r="CFD62" s="87" t="str">
        <f>IF(ISNUMBER(outYear),CFD37+CFD42+#REF!+CFD59,"")</f>
        <v/>
      </c>
      <c r="CFE62" s="87" t="str">
        <f>IF(ISNUMBER(outYear),CFE37+CFE42+#REF!+CFE59,"")</f>
        <v/>
      </c>
      <c r="CFF62" s="87" t="str">
        <f>IF(ISNUMBER(outYear),CFF37+CFF42+#REF!+CFF59,"")</f>
        <v/>
      </c>
      <c r="CFG62" s="87" t="str">
        <f>IF(ISNUMBER(outYear),CFG37+CFG42+#REF!+CFG59,"")</f>
        <v/>
      </c>
      <c r="CFH62" s="87" t="str">
        <f>IF(ISNUMBER(outYear),CFH37+CFH42+#REF!+CFH59,"")</f>
        <v/>
      </c>
      <c r="CFI62" s="87" t="str">
        <f>IF(ISNUMBER(outYear),CFI37+CFI42+#REF!+CFI59,"")</f>
        <v/>
      </c>
      <c r="CFJ62" s="87" t="str">
        <f>IF(ISNUMBER(outYear),CFJ37+CFJ42+#REF!+CFJ59,"")</f>
        <v/>
      </c>
      <c r="CFK62" s="87" t="str">
        <f>IF(ISNUMBER(outYear),CFK37+CFK42+#REF!+CFK59,"")</f>
        <v/>
      </c>
      <c r="CFL62" s="87" t="str">
        <f>IF(ISNUMBER(outYear),CFL37+CFL42+#REF!+CFL59,"")</f>
        <v/>
      </c>
      <c r="CFM62" s="87" t="str">
        <f>IF(ISNUMBER(outYear),CFM37+CFM42+#REF!+CFM59,"")</f>
        <v/>
      </c>
      <c r="CFN62" s="87" t="str">
        <f>IF(ISNUMBER(outYear),CFN37+CFN42+#REF!+CFN59,"")</f>
        <v/>
      </c>
      <c r="CFO62" s="87" t="str">
        <f>IF(ISNUMBER(outYear),CFO37+CFO42+#REF!+CFO59,"")</f>
        <v/>
      </c>
      <c r="CFP62" s="87" t="str">
        <f>IF(ISNUMBER(outYear),CFP37+CFP42+#REF!+CFP59,"")</f>
        <v/>
      </c>
      <c r="CFQ62" s="87" t="str">
        <f>IF(ISNUMBER(outYear),CFQ37+CFQ42+#REF!+CFQ59,"")</f>
        <v/>
      </c>
      <c r="CFR62" s="87" t="str">
        <f>IF(ISNUMBER(outYear),CFR37+CFR42+#REF!+CFR59,"")</f>
        <v/>
      </c>
      <c r="CFS62" s="87" t="str">
        <f>IF(ISNUMBER(outYear),CFS37+CFS42+#REF!+CFS59,"")</f>
        <v/>
      </c>
      <c r="CFT62" s="87" t="str">
        <f>IF(ISNUMBER(outYear),CFT37+CFT42+#REF!+CFT59,"")</f>
        <v/>
      </c>
      <c r="CFU62" s="87" t="str">
        <f>IF(ISNUMBER(outYear),CFU37+CFU42+#REF!+CFU59,"")</f>
        <v/>
      </c>
      <c r="CFV62" s="87" t="str">
        <f>IF(ISNUMBER(outYear),CFV37+CFV42+#REF!+CFV59,"")</f>
        <v/>
      </c>
      <c r="CFW62" s="87" t="str">
        <f>IF(ISNUMBER(outYear),CFW37+CFW42+#REF!+CFW59,"")</f>
        <v/>
      </c>
      <c r="CFX62" s="87" t="str">
        <f>IF(ISNUMBER(outYear),CFX37+CFX42+#REF!+CFX59,"")</f>
        <v/>
      </c>
      <c r="CFY62" s="87" t="str">
        <f>IF(ISNUMBER(outYear),CFY37+CFY42+#REF!+CFY59,"")</f>
        <v/>
      </c>
      <c r="CFZ62" s="87" t="str">
        <f>IF(ISNUMBER(outYear),CFZ37+CFZ42+#REF!+CFZ59,"")</f>
        <v/>
      </c>
      <c r="CGA62" s="87" t="str">
        <f>IF(ISNUMBER(outYear),CGA37+CGA42+#REF!+CGA59,"")</f>
        <v/>
      </c>
      <c r="CGB62" s="87" t="str">
        <f>IF(ISNUMBER(outYear),CGB37+CGB42+#REF!+CGB59,"")</f>
        <v/>
      </c>
      <c r="CGC62" s="87" t="str">
        <f>IF(ISNUMBER(outYear),CGC37+CGC42+#REF!+CGC59,"")</f>
        <v/>
      </c>
      <c r="CGD62" s="87" t="str">
        <f>IF(ISNUMBER(outYear),CGD37+CGD42+#REF!+CGD59,"")</f>
        <v/>
      </c>
      <c r="CGE62" s="87" t="str">
        <f>IF(ISNUMBER(outYear),CGE37+CGE42+#REF!+CGE59,"")</f>
        <v/>
      </c>
      <c r="CGF62" s="87" t="str">
        <f>IF(ISNUMBER(outYear),CGF37+CGF42+#REF!+CGF59,"")</f>
        <v/>
      </c>
      <c r="CGG62" s="87" t="str">
        <f>IF(ISNUMBER(outYear),CGG37+CGG42+#REF!+CGG59,"")</f>
        <v/>
      </c>
      <c r="CGH62" s="87" t="str">
        <f>IF(ISNUMBER(outYear),CGH37+CGH42+#REF!+CGH59,"")</f>
        <v/>
      </c>
      <c r="CGI62" s="87" t="str">
        <f>IF(ISNUMBER(outYear),CGI37+CGI42+#REF!+CGI59,"")</f>
        <v/>
      </c>
      <c r="CGJ62" s="87" t="str">
        <f>IF(ISNUMBER(outYear),CGJ37+CGJ42+#REF!+CGJ59,"")</f>
        <v/>
      </c>
      <c r="CGK62" s="87" t="str">
        <f>IF(ISNUMBER(outYear),CGK37+CGK42+#REF!+CGK59,"")</f>
        <v/>
      </c>
      <c r="CGL62" s="87" t="str">
        <f>IF(ISNUMBER(outYear),CGL37+CGL42+#REF!+CGL59,"")</f>
        <v/>
      </c>
      <c r="CGM62" s="87" t="str">
        <f>IF(ISNUMBER(outYear),CGM37+CGM42+#REF!+CGM59,"")</f>
        <v/>
      </c>
      <c r="CGN62" s="87" t="str">
        <f>IF(ISNUMBER(outYear),CGN37+CGN42+#REF!+CGN59,"")</f>
        <v/>
      </c>
      <c r="CGO62" s="87" t="str">
        <f>IF(ISNUMBER(outYear),CGO37+CGO42+#REF!+CGO59,"")</f>
        <v/>
      </c>
      <c r="CGP62" s="87" t="str">
        <f>IF(ISNUMBER(outYear),CGP37+CGP42+#REF!+CGP59,"")</f>
        <v/>
      </c>
      <c r="CGQ62" s="87" t="str">
        <f>IF(ISNUMBER(outYear),CGQ37+CGQ42+#REF!+CGQ59,"")</f>
        <v/>
      </c>
      <c r="CGR62" s="87" t="str">
        <f>IF(ISNUMBER(outYear),CGR37+CGR42+#REF!+CGR59,"")</f>
        <v/>
      </c>
      <c r="CGS62" s="87" t="str">
        <f>IF(ISNUMBER(outYear),CGS37+CGS42+#REF!+CGS59,"")</f>
        <v/>
      </c>
      <c r="CGT62" s="87" t="str">
        <f>IF(ISNUMBER(outYear),CGT37+CGT42+#REF!+CGT59,"")</f>
        <v/>
      </c>
      <c r="CGU62" s="87" t="str">
        <f>IF(ISNUMBER(outYear),CGU37+CGU42+#REF!+CGU59,"")</f>
        <v/>
      </c>
      <c r="CGV62" s="87" t="str">
        <f>IF(ISNUMBER(outYear),CGV37+CGV42+#REF!+CGV59,"")</f>
        <v/>
      </c>
      <c r="CGW62" s="87" t="str">
        <f>IF(ISNUMBER(outYear),CGW37+CGW42+#REF!+CGW59,"")</f>
        <v/>
      </c>
      <c r="CGX62" s="87" t="str">
        <f>IF(ISNUMBER(outYear),CGX37+CGX42+#REF!+CGX59,"")</f>
        <v/>
      </c>
      <c r="CGY62" s="87" t="str">
        <f>IF(ISNUMBER(outYear),CGY37+CGY42+#REF!+CGY59,"")</f>
        <v/>
      </c>
      <c r="CGZ62" s="87" t="str">
        <f>IF(ISNUMBER(outYear),CGZ37+CGZ42+#REF!+CGZ59,"")</f>
        <v/>
      </c>
      <c r="CHA62" s="87" t="str">
        <f>IF(ISNUMBER(outYear),CHA37+CHA42+#REF!+CHA59,"")</f>
        <v/>
      </c>
      <c r="CHB62" s="87" t="str">
        <f>IF(ISNUMBER(outYear),CHB37+CHB42+#REF!+CHB59,"")</f>
        <v/>
      </c>
      <c r="CHC62" s="87" t="str">
        <f>IF(ISNUMBER(outYear),CHC37+CHC42+#REF!+CHC59,"")</f>
        <v/>
      </c>
      <c r="CHD62" s="87" t="str">
        <f>IF(ISNUMBER(outYear),CHD37+CHD42+#REF!+CHD59,"")</f>
        <v/>
      </c>
      <c r="CHE62" s="87" t="str">
        <f>IF(ISNUMBER(outYear),CHE37+CHE42+#REF!+CHE59,"")</f>
        <v/>
      </c>
      <c r="CHF62" s="87" t="str">
        <f>IF(ISNUMBER(outYear),CHF37+CHF42+#REF!+CHF59,"")</f>
        <v/>
      </c>
      <c r="CHG62" s="87" t="str">
        <f>IF(ISNUMBER(outYear),CHG37+CHG42+#REF!+CHG59,"")</f>
        <v/>
      </c>
      <c r="CHH62" s="87" t="str">
        <f>IF(ISNUMBER(outYear),CHH37+CHH42+#REF!+CHH59,"")</f>
        <v/>
      </c>
      <c r="CHI62" s="87" t="str">
        <f>IF(ISNUMBER(outYear),CHI37+CHI42+#REF!+CHI59,"")</f>
        <v/>
      </c>
      <c r="CHJ62" s="87" t="str">
        <f>IF(ISNUMBER(outYear),CHJ37+CHJ42+#REF!+CHJ59,"")</f>
        <v/>
      </c>
      <c r="CHK62" s="87" t="str">
        <f>IF(ISNUMBER(outYear),CHK37+CHK42+#REF!+CHK59,"")</f>
        <v/>
      </c>
      <c r="CHL62" s="87" t="str">
        <f>IF(ISNUMBER(outYear),CHL37+CHL42+#REF!+CHL59,"")</f>
        <v/>
      </c>
      <c r="CHM62" s="87" t="str">
        <f>IF(ISNUMBER(outYear),CHM37+CHM42+#REF!+CHM59,"")</f>
        <v/>
      </c>
      <c r="CHN62" s="87" t="str">
        <f>IF(ISNUMBER(outYear),CHN37+CHN42+#REF!+CHN59,"")</f>
        <v/>
      </c>
      <c r="CHO62" s="87" t="str">
        <f>IF(ISNUMBER(outYear),CHO37+CHO42+#REF!+CHO59,"")</f>
        <v/>
      </c>
      <c r="CHP62" s="87" t="str">
        <f>IF(ISNUMBER(outYear),CHP37+CHP42+#REF!+CHP59,"")</f>
        <v/>
      </c>
      <c r="CHQ62" s="87" t="str">
        <f>IF(ISNUMBER(outYear),CHQ37+CHQ42+#REF!+CHQ59,"")</f>
        <v/>
      </c>
      <c r="CHR62" s="87" t="str">
        <f>IF(ISNUMBER(outYear),CHR37+CHR42+#REF!+CHR59,"")</f>
        <v/>
      </c>
      <c r="CHS62" s="87" t="str">
        <f>IF(ISNUMBER(outYear),CHS37+CHS42+#REF!+CHS59,"")</f>
        <v/>
      </c>
      <c r="CHT62" s="87" t="str">
        <f>IF(ISNUMBER(outYear),CHT37+CHT42+#REF!+CHT59,"")</f>
        <v/>
      </c>
      <c r="CHU62" s="87" t="str">
        <f>IF(ISNUMBER(outYear),CHU37+CHU42+#REF!+CHU59,"")</f>
        <v/>
      </c>
      <c r="CHV62" s="87" t="str">
        <f>IF(ISNUMBER(outYear),CHV37+CHV42+#REF!+CHV59,"")</f>
        <v/>
      </c>
      <c r="CHW62" s="87" t="str">
        <f>IF(ISNUMBER(outYear),CHW37+CHW42+#REF!+CHW59,"")</f>
        <v/>
      </c>
      <c r="CHX62" s="87" t="str">
        <f>IF(ISNUMBER(outYear),CHX37+CHX42+#REF!+CHX59,"")</f>
        <v/>
      </c>
      <c r="CHY62" s="87" t="str">
        <f>IF(ISNUMBER(outYear),CHY37+CHY42+#REF!+CHY59,"")</f>
        <v/>
      </c>
      <c r="CHZ62" s="87" t="str">
        <f>IF(ISNUMBER(outYear),CHZ37+CHZ42+#REF!+CHZ59,"")</f>
        <v/>
      </c>
      <c r="CIA62" s="87" t="str">
        <f>IF(ISNUMBER(outYear),CIA37+CIA42+#REF!+CIA59,"")</f>
        <v/>
      </c>
      <c r="CIB62" s="87" t="str">
        <f>IF(ISNUMBER(outYear),CIB37+CIB42+#REF!+CIB59,"")</f>
        <v/>
      </c>
      <c r="CIC62" s="87" t="str">
        <f>IF(ISNUMBER(outYear),CIC37+CIC42+#REF!+CIC59,"")</f>
        <v/>
      </c>
      <c r="CID62" s="87" t="str">
        <f>IF(ISNUMBER(outYear),CID37+CID42+#REF!+CID59,"")</f>
        <v/>
      </c>
      <c r="CIE62" s="87" t="str">
        <f>IF(ISNUMBER(outYear),CIE37+CIE42+#REF!+CIE59,"")</f>
        <v/>
      </c>
      <c r="CIF62" s="87" t="str">
        <f>IF(ISNUMBER(outYear),CIF37+CIF42+#REF!+CIF59,"")</f>
        <v/>
      </c>
      <c r="CIG62" s="87" t="str">
        <f>IF(ISNUMBER(outYear),CIG37+CIG42+#REF!+CIG59,"")</f>
        <v/>
      </c>
      <c r="CIH62" s="87" t="str">
        <f>IF(ISNUMBER(outYear),CIH37+CIH42+#REF!+CIH59,"")</f>
        <v/>
      </c>
      <c r="CII62" s="87" t="str">
        <f>IF(ISNUMBER(outYear),CII37+CII42+#REF!+CII59,"")</f>
        <v/>
      </c>
      <c r="CIJ62" s="87" t="str">
        <f>IF(ISNUMBER(outYear),CIJ37+CIJ42+#REF!+CIJ59,"")</f>
        <v/>
      </c>
      <c r="CIK62" s="87" t="str">
        <f>IF(ISNUMBER(outYear),CIK37+CIK42+#REF!+CIK59,"")</f>
        <v/>
      </c>
      <c r="CIL62" s="87" t="str">
        <f>IF(ISNUMBER(outYear),CIL37+CIL42+#REF!+CIL59,"")</f>
        <v/>
      </c>
      <c r="CIM62" s="87" t="str">
        <f>IF(ISNUMBER(outYear),CIM37+CIM42+#REF!+CIM59,"")</f>
        <v/>
      </c>
      <c r="CIN62" s="87" t="str">
        <f>IF(ISNUMBER(outYear),CIN37+CIN42+#REF!+CIN59,"")</f>
        <v/>
      </c>
      <c r="CIO62" s="87" t="str">
        <f>IF(ISNUMBER(outYear),CIO37+CIO42+#REF!+CIO59,"")</f>
        <v/>
      </c>
      <c r="CIP62" s="87" t="str">
        <f>IF(ISNUMBER(outYear),CIP37+CIP42+#REF!+CIP59,"")</f>
        <v/>
      </c>
      <c r="CIQ62" s="87" t="str">
        <f>IF(ISNUMBER(outYear),CIQ37+CIQ42+#REF!+CIQ59,"")</f>
        <v/>
      </c>
      <c r="CIR62" s="87" t="str">
        <f>IF(ISNUMBER(outYear),CIR37+CIR42+#REF!+CIR59,"")</f>
        <v/>
      </c>
      <c r="CIS62" s="87" t="str">
        <f>IF(ISNUMBER(outYear),CIS37+CIS42+#REF!+CIS59,"")</f>
        <v/>
      </c>
      <c r="CIT62" s="87" t="str">
        <f>IF(ISNUMBER(outYear),CIT37+CIT42+#REF!+CIT59,"")</f>
        <v/>
      </c>
      <c r="CIU62" s="87" t="str">
        <f>IF(ISNUMBER(outYear),CIU37+CIU42+#REF!+CIU59,"")</f>
        <v/>
      </c>
      <c r="CIV62" s="87" t="str">
        <f>IF(ISNUMBER(outYear),CIV37+CIV42+#REF!+CIV59,"")</f>
        <v/>
      </c>
      <c r="CIW62" s="87" t="str">
        <f>IF(ISNUMBER(outYear),CIW37+CIW42+#REF!+CIW59,"")</f>
        <v/>
      </c>
      <c r="CIX62" s="87" t="str">
        <f>IF(ISNUMBER(outYear),CIX37+CIX42+#REF!+CIX59,"")</f>
        <v/>
      </c>
      <c r="CIY62" s="87" t="str">
        <f>IF(ISNUMBER(outYear),CIY37+CIY42+#REF!+CIY59,"")</f>
        <v/>
      </c>
      <c r="CIZ62" s="87" t="str">
        <f>IF(ISNUMBER(outYear),CIZ37+CIZ42+#REF!+CIZ59,"")</f>
        <v/>
      </c>
      <c r="CJA62" s="87" t="str">
        <f>IF(ISNUMBER(outYear),CJA37+CJA42+#REF!+CJA59,"")</f>
        <v/>
      </c>
      <c r="CJB62" s="87" t="str">
        <f>IF(ISNUMBER(outYear),CJB37+CJB42+#REF!+CJB59,"")</f>
        <v/>
      </c>
      <c r="CJC62" s="87" t="str">
        <f>IF(ISNUMBER(outYear),CJC37+CJC42+#REF!+CJC59,"")</f>
        <v/>
      </c>
      <c r="CJD62" s="87" t="str">
        <f>IF(ISNUMBER(outYear),CJD37+CJD42+#REF!+CJD59,"")</f>
        <v/>
      </c>
      <c r="CJE62" s="87" t="str">
        <f>IF(ISNUMBER(outYear),CJE37+CJE42+#REF!+CJE59,"")</f>
        <v/>
      </c>
      <c r="CJF62" s="87" t="str">
        <f>IF(ISNUMBER(outYear),CJF37+CJF42+#REF!+CJF59,"")</f>
        <v/>
      </c>
      <c r="CJG62" s="87" t="str">
        <f>IF(ISNUMBER(outYear),CJG37+CJG42+#REF!+CJG59,"")</f>
        <v/>
      </c>
      <c r="CJH62" s="87" t="str">
        <f>IF(ISNUMBER(outYear),CJH37+CJH42+#REF!+CJH59,"")</f>
        <v/>
      </c>
      <c r="CJI62" s="87" t="str">
        <f>IF(ISNUMBER(outYear),CJI37+CJI42+#REF!+CJI59,"")</f>
        <v/>
      </c>
      <c r="CJJ62" s="87" t="str">
        <f>IF(ISNUMBER(outYear),CJJ37+CJJ42+#REF!+CJJ59,"")</f>
        <v/>
      </c>
      <c r="CJK62" s="87" t="str">
        <f>IF(ISNUMBER(outYear),CJK37+CJK42+#REF!+CJK59,"")</f>
        <v/>
      </c>
      <c r="CJL62" s="87" t="str">
        <f>IF(ISNUMBER(outYear),CJL37+CJL42+#REF!+CJL59,"")</f>
        <v/>
      </c>
      <c r="CJM62" s="87" t="str">
        <f>IF(ISNUMBER(outYear),CJM37+CJM42+#REF!+CJM59,"")</f>
        <v/>
      </c>
      <c r="CJN62" s="87" t="str">
        <f>IF(ISNUMBER(outYear),CJN37+CJN42+#REF!+CJN59,"")</f>
        <v/>
      </c>
      <c r="CJO62" s="87" t="str">
        <f>IF(ISNUMBER(outYear),CJO37+CJO42+#REF!+CJO59,"")</f>
        <v/>
      </c>
      <c r="CJP62" s="87" t="str">
        <f>IF(ISNUMBER(outYear),CJP37+CJP42+#REF!+CJP59,"")</f>
        <v/>
      </c>
      <c r="CJQ62" s="87" t="str">
        <f>IF(ISNUMBER(outYear),CJQ37+CJQ42+#REF!+CJQ59,"")</f>
        <v/>
      </c>
      <c r="CJR62" s="87" t="str">
        <f>IF(ISNUMBER(outYear),CJR37+CJR42+#REF!+CJR59,"")</f>
        <v/>
      </c>
      <c r="CJS62" s="87" t="str">
        <f>IF(ISNUMBER(outYear),CJS37+CJS42+#REF!+CJS59,"")</f>
        <v/>
      </c>
      <c r="CJT62" s="87" t="str">
        <f>IF(ISNUMBER(outYear),CJT37+CJT42+#REF!+CJT59,"")</f>
        <v/>
      </c>
      <c r="CJU62" s="87" t="str">
        <f>IF(ISNUMBER(outYear),CJU37+CJU42+#REF!+CJU59,"")</f>
        <v/>
      </c>
      <c r="CJV62" s="87" t="str">
        <f>IF(ISNUMBER(outYear),CJV37+CJV42+#REF!+CJV59,"")</f>
        <v/>
      </c>
      <c r="CJW62" s="87" t="str">
        <f>IF(ISNUMBER(outYear),CJW37+CJW42+#REF!+CJW59,"")</f>
        <v/>
      </c>
      <c r="CJX62" s="87" t="str">
        <f>IF(ISNUMBER(outYear),CJX37+CJX42+#REF!+CJX59,"")</f>
        <v/>
      </c>
      <c r="CJY62" s="87" t="str">
        <f>IF(ISNUMBER(outYear),CJY37+CJY42+#REF!+CJY59,"")</f>
        <v/>
      </c>
      <c r="CJZ62" s="87" t="str">
        <f>IF(ISNUMBER(outYear),CJZ37+CJZ42+#REF!+CJZ59,"")</f>
        <v/>
      </c>
      <c r="CKA62" s="87" t="str">
        <f>IF(ISNUMBER(outYear),CKA37+CKA42+#REF!+CKA59,"")</f>
        <v/>
      </c>
      <c r="CKB62" s="87" t="str">
        <f>IF(ISNUMBER(outYear),CKB37+CKB42+#REF!+CKB59,"")</f>
        <v/>
      </c>
      <c r="CKC62" s="87" t="str">
        <f>IF(ISNUMBER(outYear),CKC37+CKC42+#REF!+CKC59,"")</f>
        <v/>
      </c>
      <c r="CKD62" s="87" t="str">
        <f>IF(ISNUMBER(outYear),CKD37+CKD42+#REF!+CKD59,"")</f>
        <v/>
      </c>
      <c r="CKE62" s="87" t="str">
        <f>IF(ISNUMBER(outYear),CKE37+CKE42+#REF!+CKE59,"")</f>
        <v/>
      </c>
      <c r="CKF62" s="87" t="str">
        <f>IF(ISNUMBER(outYear),CKF37+CKF42+#REF!+CKF59,"")</f>
        <v/>
      </c>
      <c r="CKG62" s="87" t="str">
        <f>IF(ISNUMBER(outYear),CKG37+CKG42+#REF!+CKG59,"")</f>
        <v/>
      </c>
      <c r="CKH62" s="87" t="str">
        <f>IF(ISNUMBER(outYear),CKH37+CKH42+#REF!+CKH59,"")</f>
        <v/>
      </c>
      <c r="CKI62" s="87" t="str">
        <f>IF(ISNUMBER(outYear),CKI37+CKI42+#REF!+CKI59,"")</f>
        <v/>
      </c>
      <c r="CKJ62" s="87" t="str">
        <f>IF(ISNUMBER(outYear),CKJ37+CKJ42+#REF!+CKJ59,"")</f>
        <v/>
      </c>
      <c r="CKK62" s="87" t="str">
        <f>IF(ISNUMBER(outYear),CKK37+CKK42+#REF!+CKK59,"")</f>
        <v/>
      </c>
      <c r="CKL62" s="87" t="str">
        <f>IF(ISNUMBER(outYear),CKL37+CKL42+#REF!+CKL59,"")</f>
        <v/>
      </c>
      <c r="CKM62" s="87" t="str">
        <f>IF(ISNUMBER(outYear),CKM37+CKM42+#REF!+CKM59,"")</f>
        <v/>
      </c>
      <c r="CKN62" s="87" t="str">
        <f>IF(ISNUMBER(outYear),CKN37+CKN42+#REF!+CKN59,"")</f>
        <v/>
      </c>
      <c r="CKO62" s="87" t="str">
        <f>IF(ISNUMBER(outYear),CKO37+CKO42+#REF!+CKO59,"")</f>
        <v/>
      </c>
      <c r="CKP62" s="87" t="str">
        <f>IF(ISNUMBER(outYear),CKP37+CKP42+#REF!+CKP59,"")</f>
        <v/>
      </c>
      <c r="CKQ62" s="87" t="str">
        <f>IF(ISNUMBER(outYear),CKQ37+CKQ42+#REF!+CKQ59,"")</f>
        <v/>
      </c>
      <c r="CKR62" s="87" t="str">
        <f>IF(ISNUMBER(outYear),CKR37+CKR42+#REF!+CKR59,"")</f>
        <v/>
      </c>
      <c r="CKS62" s="87" t="str">
        <f>IF(ISNUMBER(outYear),CKS37+CKS42+#REF!+CKS59,"")</f>
        <v/>
      </c>
      <c r="CKT62" s="87" t="str">
        <f>IF(ISNUMBER(outYear),CKT37+CKT42+#REF!+CKT59,"")</f>
        <v/>
      </c>
      <c r="CKU62" s="87" t="str">
        <f>IF(ISNUMBER(outYear),CKU37+CKU42+#REF!+CKU59,"")</f>
        <v/>
      </c>
      <c r="CKV62" s="87" t="str">
        <f>IF(ISNUMBER(outYear),CKV37+CKV42+#REF!+CKV59,"")</f>
        <v/>
      </c>
      <c r="CKW62" s="87" t="str">
        <f>IF(ISNUMBER(outYear),CKW37+CKW42+#REF!+CKW59,"")</f>
        <v/>
      </c>
      <c r="CKX62" s="87" t="str">
        <f>IF(ISNUMBER(outYear),CKX37+CKX42+#REF!+CKX59,"")</f>
        <v/>
      </c>
      <c r="CKY62" s="87" t="str">
        <f>IF(ISNUMBER(outYear),CKY37+CKY42+#REF!+CKY59,"")</f>
        <v/>
      </c>
      <c r="CKZ62" s="87" t="str">
        <f>IF(ISNUMBER(outYear),CKZ37+CKZ42+#REF!+CKZ59,"")</f>
        <v/>
      </c>
      <c r="CLA62" s="87" t="str">
        <f>IF(ISNUMBER(outYear),CLA37+CLA42+#REF!+CLA59,"")</f>
        <v/>
      </c>
      <c r="CLB62" s="87" t="str">
        <f>IF(ISNUMBER(outYear),CLB37+CLB42+#REF!+CLB59,"")</f>
        <v/>
      </c>
      <c r="CLC62" s="87" t="str">
        <f>IF(ISNUMBER(outYear),CLC37+CLC42+#REF!+CLC59,"")</f>
        <v/>
      </c>
      <c r="CLD62" s="87" t="str">
        <f>IF(ISNUMBER(outYear),CLD37+CLD42+#REF!+CLD59,"")</f>
        <v/>
      </c>
      <c r="CLE62" s="87" t="str">
        <f>IF(ISNUMBER(outYear),CLE37+CLE42+#REF!+CLE59,"")</f>
        <v/>
      </c>
      <c r="CLF62" s="87" t="str">
        <f>IF(ISNUMBER(outYear),CLF37+CLF42+#REF!+CLF59,"")</f>
        <v/>
      </c>
      <c r="CLG62" s="87" t="str">
        <f>IF(ISNUMBER(outYear),CLG37+CLG42+#REF!+CLG59,"")</f>
        <v/>
      </c>
      <c r="CLH62" s="87" t="str">
        <f>IF(ISNUMBER(outYear),CLH37+CLH42+#REF!+CLH59,"")</f>
        <v/>
      </c>
      <c r="CLI62" s="87" t="str">
        <f>IF(ISNUMBER(outYear),CLI37+CLI42+#REF!+CLI59,"")</f>
        <v/>
      </c>
      <c r="CLJ62" s="87" t="str">
        <f>IF(ISNUMBER(outYear),CLJ37+CLJ42+#REF!+CLJ59,"")</f>
        <v/>
      </c>
      <c r="CLK62" s="87" t="str">
        <f>IF(ISNUMBER(outYear),CLK37+CLK42+#REF!+CLK59,"")</f>
        <v/>
      </c>
      <c r="CLL62" s="87" t="str">
        <f>IF(ISNUMBER(outYear),CLL37+CLL42+#REF!+CLL59,"")</f>
        <v/>
      </c>
      <c r="CLM62" s="87" t="str">
        <f>IF(ISNUMBER(outYear),CLM37+CLM42+#REF!+CLM59,"")</f>
        <v/>
      </c>
      <c r="CLN62" s="87" t="str">
        <f>IF(ISNUMBER(outYear),CLN37+CLN42+#REF!+CLN59,"")</f>
        <v/>
      </c>
      <c r="CLO62" s="87" t="str">
        <f>IF(ISNUMBER(outYear),CLO37+CLO42+#REF!+CLO59,"")</f>
        <v/>
      </c>
      <c r="CLP62" s="87" t="str">
        <f>IF(ISNUMBER(outYear),CLP37+CLP42+#REF!+CLP59,"")</f>
        <v/>
      </c>
      <c r="CLQ62" s="87" t="str">
        <f>IF(ISNUMBER(outYear),CLQ37+CLQ42+#REF!+CLQ59,"")</f>
        <v/>
      </c>
      <c r="CLR62" s="87" t="str">
        <f>IF(ISNUMBER(outYear),CLR37+CLR42+#REF!+CLR59,"")</f>
        <v/>
      </c>
      <c r="CLS62" s="87" t="str">
        <f>IF(ISNUMBER(outYear),CLS37+CLS42+#REF!+CLS59,"")</f>
        <v/>
      </c>
      <c r="CLT62" s="87" t="str">
        <f>IF(ISNUMBER(outYear),CLT37+CLT42+#REF!+CLT59,"")</f>
        <v/>
      </c>
      <c r="CLU62" s="87" t="str">
        <f>IF(ISNUMBER(outYear),CLU37+CLU42+#REF!+CLU59,"")</f>
        <v/>
      </c>
      <c r="CLV62" s="87" t="str">
        <f>IF(ISNUMBER(outYear),CLV37+CLV42+#REF!+CLV59,"")</f>
        <v/>
      </c>
      <c r="CLW62" s="87" t="str">
        <f>IF(ISNUMBER(outYear),CLW37+CLW42+#REF!+CLW59,"")</f>
        <v/>
      </c>
      <c r="CLX62" s="87" t="str">
        <f>IF(ISNUMBER(outYear),CLX37+CLX42+#REF!+CLX59,"")</f>
        <v/>
      </c>
      <c r="CLY62" s="87" t="str">
        <f>IF(ISNUMBER(outYear),CLY37+CLY42+#REF!+CLY59,"")</f>
        <v/>
      </c>
      <c r="CLZ62" s="87" t="str">
        <f>IF(ISNUMBER(outYear),CLZ37+CLZ42+#REF!+CLZ59,"")</f>
        <v/>
      </c>
      <c r="CMA62" s="87" t="str">
        <f>IF(ISNUMBER(outYear),CMA37+CMA42+#REF!+CMA59,"")</f>
        <v/>
      </c>
      <c r="CMB62" s="87" t="str">
        <f>IF(ISNUMBER(outYear),CMB37+CMB42+#REF!+CMB59,"")</f>
        <v/>
      </c>
      <c r="CMC62" s="87" t="str">
        <f>IF(ISNUMBER(outYear),CMC37+CMC42+#REF!+CMC59,"")</f>
        <v/>
      </c>
      <c r="CMD62" s="87" t="str">
        <f>IF(ISNUMBER(outYear),CMD37+CMD42+#REF!+CMD59,"")</f>
        <v/>
      </c>
      <c r="CME62" s="87" t="str">
        <f>IF(ISNUMBER(outYear),CME37+CME42+#REF!+CME59,"")</f>
        <v/>
      </c>
      <c r="CMF62" s="87" t="str">
        <f>IF(ISNUMBER(outYear),CMF37+CMF42+#REF!+CMF59,"")</f>
        <v/>
      </c>
      <c r="CMG62" s="87" t="str">
        <f>IF(ISNUMBER(outYear),CMG37+CMG42+#REF!+CMG59,"")</f>
        <v/>
      </c>
      <c r="CMH62" s="87" t="str">
        <f>IF(ISNUMBER(outYear),CMH37+CMH42+#REF!+CMH59,"")</f>
        <v/>
      </c>
      <c r="CMI62" s="87" t="str">
        <f>IF(ISNUMBER(outYear),CMI37+CMI42+#REF!+CMI59,"")</f>
        <v/>
      </c>
      <c r="CMJ62" s="87" t="str">
        <f>IF(ISNUMBER(outYear),CMJ37+CMJ42+#REF!+CMJ59,"")</f>
        <v/>
      </c>
      <c r="CMK62" s="87" t="str">
        <f>IF(ISNUMBER(outYear),CMK37+CMK42+#REF!+CMK59,"")</f>
        <v/>
      </c>
      <c r="CML62" s="87" t="str">
        <f>IF(ISNUMBER(outYear),CML37+CML42+#REF!+CML59,"")</f>
        <v/>
      </c>
      <c r="CMM62" s="87" t="str">
        <f>IF(ISNUMBER(outYear),CMM37+CMM42+#REF!+CMM59,"")</f>
        <v/>
      </c>
      <c r="CMN62" s="87" t="str">
        <f>IF(ISNUMBER(outYear),CMN37+CMN42+#REF!+CMN59,"")</f>
        <v/>
      </c>
      <c r="CMO62" s="87" t="str">
        <f>IF(ISNUMBER(outYear),CMO37+CMO42+#REF!+CMO59,"")</f>
        <v/>
      </c>
      <c r="CMP62" s="87" t="str">
        <f>IF(ISNUMBER(outYear),CMP37+CMP42+#REF!+CMP59,"")</f>
        <v/>
      </c>
      <c r="CMQ62" s="87" t="str">
        <f>IF(ISNUMBER(outYear),CMQ37+CMQ42+#REF!+CMQ59,"")</f>
        <v/>
      </c>
      <c r="CMR62" s="87" t="str">
        <f>IF(ISNUMBER(outYear),CMR37+CMR42+#REF!+CMR59,"")</f>
        <v/>
      </c>
      <c r="CMS62" s="87" t="str">
        <f>IF(ISNUMBER(outYear),CMS37+CMS42+#REF!+CMS59,"")</f>
        <v/>
      </c>
      <c r="CMT62" s="87" t="str">
        <f>IF(ISNUMBER(outYear),CMT37+CMT42+#REF!+CMT59,"")</f>
        <v/>
      </c>
      <c r="CMU62" s="87" t="str">
        <f>IF(ISNUMBER(outYear),CMU37+CMU42+#REF!+CMU59,"")</f>
        <v/>
      </c>
      <c r="CMV62" s="87" t="str">
        <f>IF(ISNUMBER(outYear),CMV37+CMV42+#REF!+CMV59,"")</f>
        <v/>
      </c>
      <c r="CMW62" s="87" t="str">
        <f>IF(ISNUMBER(outYear),CMW37+CMW42+#REF!+CMW59,"")</f>
        <v/>
      </c>
      <c r="CMX62" s="87" t="str">
        <f>IF(ISNUMBER(outYear),CMX37+CMX42+#REF!+CMX59,"")</f>
        <v/>
      </c>
      <c r="CMY62" s="87" t="str">
        <f>IF(ISNUMBER(outYear),CMY37+CMY42+#REF!+CMY59,"")</f>
        <v/>
      </c>
      <c r="CMZ62" s="87" t="str">
        <f>IF(ISNUMBER(outYear),CMZ37+CMZ42+#REF!+CMZ59,"")</f>
        <v/>
      </c>
      <c r="CNA62" s="87" t="str">
        <f>IF(ISNUMBER(outYear),CNA37+CNA42+#REF!+CNA59,"")</f>
        <v/>
      </c>
      <c r="CNB62" s="87" t="str">
        <f>IF(ISNUMBER(outYear),CNB37+CNB42+#REF!+CNB59,"")</f>
        <v/>
      </c>
      <c r="CNC62" s="87" t="str">
        <f>IF(ISNUMBER(outYear),CNC37+CNC42+#REF!+CNC59,"")</f>
        <v/>
      </c>
      <c r="CND62" s="87" t="str">
        <f>IF(ISNUMBER(outYear),CND37+CND42+#REF!+CND59,"")</f>
        <v/>
      </c>
      <c r="CNE62" s="87" t="str">
        <f>IF(ISNUMBER(outYear),CNE37+CNE42+#REF!+CNE59,"")</f>
        <v/>
      </c>
      <c r="CNF62" s="87" t="str">
        <f>IF(ISNUMBER(outYear),CNF37+CNF42+#REF!+CNF59,"")</f>
        <v/>
      </c>
      <c r="CNG62" s="87" t="str">
        <f>IF(ISNUMBER(outYear),CNG37+CNG42+#REF!+CNG59,"")</f>
        <v/>
      </c>
      <c r="CNH62" s="87" t="str">
        <f>IF(ISNUMBER(outYear),CNH37+CNH42+#REF!+CNH59,"")</f>
        <v/>
      </c>
      <c r="CNI62" s="87" t="str">
        <f>IF(ISNUMBER(outYear),CNI37+CNI42+#REF!+CNI59,"")</f>
        <v/>
      </c>
      <c r="CNJ62" s="87" t="str">
        <f>IF(ISNUMBER(outYear),CNJ37+CNJ42+#REF!+CNJ59,"")</f>
        <v/>
      </c>
      <c r="CNK62" s="87" t="str">
        <f>IF(ISNUMBER(outYear),CNK37+CNK42+#REF!+CNK59,"")</f>
        <v/>
      </c>
      <c r="CNL62" s="87" t="str">
        <f>IF(ISNUMBER(outYear),CNL37+CNL42+#REF!+CNL59,"")</f>
        <v/>
      </c>
      <c r="CNM62" s="87" t="str">
        <f>IF(ISNUMBER(outYear),CNM37+CNM42+#REF!+CNM59,"")</f>
        <v/>
      </c>
      <c r="CNN62" s="87" t="str">
        <f>IF(ISNUMBER(outYear),CNN37+CNN42+#REF!+CNN59,"")</f>
        <v/>
      </c>
      <c r="CNO62" s="87" t="str">
        <f>IF(ISNUMBER(outYear),CNO37+CNO42+#REF!+CNO59,"")</f>
        <v/>
      </c>
      <c r="CNP62" s="87" t="str">
        <f>IF(ISNUMBER(outYear),CNP37+CNP42+#REF!+CNP59,"")</f>
        <v/>
      </c>
      <c r="CNQ62" s="87" t="str">
        <f>IF(ISNUMBER(outYear),CNQ37+CNQ42+#REF!+CNQ59,"")</f>
        <v/>
      </c>
      <c r="CNR62" s="87" t="str">
        <f>IF(ISNUMBER(outYear),CNR37+CNR42+#REF!+CNR59,"")</f>
        <v/>
      </c>
      <c r="CNS62" s="87" t="str">
        <f>IF(ISNUMBER(outYear),CNS37+CNS42+#REF!+CNS59,"")</f>
        <v/>
      </c>
      <c r="CNT62" s="87" t="str">
        <f>IF(ISNUMBER(outYear),CNT37+CNT42+#REF!+CNT59,"")</f>
        <v/>
      </c>
      <c r="CNU62" s="87" t="str">
        <f>IF(ISNUMBER(outYear),CNU37+CNU42+#REF!+CNU59,"")</f>
        <v/>
      </c>
      <c r="CNV62" s="87" t="str">
        <f>IF(ISNUMBER(outYear),CNV37+CNV42+#REF!+CNV59,"")</f>
        <v/>
      </c>
      <c r="CNW62" s="87" t="str">
        <f>IF(ISNUMBER(outYear),CNW37+CNW42+#REF!+CNW59,"")</f>
        <v/>
      </c>
      <c r="CNX62" s="87" t="str">
        <f>IF(ISNUMBER(outYear),CNX37+CNX42+#REF!+CNX59,"")</f>
        <v/>
      </c>
      <c r="CNY62" s="87" t="str">
        <f>IF(ISNUMBER(outYear),CNY37+CNY42+#REF!+CNY59,"")</f>
        <v/>
      </c>
      <c r="CNZ62" s="87" t="str">
        <f>IF(ISNUMBER(outYear),CNZ37+CNZ42+#REF!+CNZ59,"")</f>
        <v/>
      </c>
      <c r="COA62" s="87" t="str">
        <f>IF(ISNUMBER(outYear),COA37+COA42+#REF!+COA59,"")</f>
        <v/>
      </c>
      <c r="COB62" s="87" t="str">
        <f>IF(ISNUMBER(outYear),COB37+COB42+#REF!+COB59,"")</f>
        <v/>
      </c>
      <c r="COC62" s="87" t="str">
        <f>IF(ISNUMBER(outYear),COC37+COC42+#REF!+COC59,"")</f>
        <v/>
      </c>
      <c r="COD62" s="87" t="str">
        <f>IF(ISNUMBER(outYear),COD37+COD42+#REF!+COD59,"")</f>
        <v/>
      </c>
      <c r="COE62" s="87" t="str">
        <f>IF(ISNUMBER(outYear),COE37+COE42+#REF!+COE59,"")</f>
        <v/>
      </c>
      <c r="COF62" s="87" t="str">
        <f>IF(ISNUMBER(outYear),COF37+COF42+#REF!+COF59,"")</f>
        <v/>
      </c>
      <c r="COG62" s="87" t="str">
        <f>IF(ISNUMBER(outYear),COG37+COG42+#REF!+COG59,"")</f>
        <v/>
      </c>
      <c r="COH62" s="87" t="str">
        <f>IF(ISNUMBER(outYear),COH37+COH42+#REF!+COH59,"")</f>
        <v/>
      </c>
      <c r="COI62" s="87" t="str">
        <f>IF(ISNUMBER(outYear),COI37+COI42+#REF!+COI59,"")</f>
        <v/>
      </c>
      <c r="COJ62" s="87" t="str">
        <f>IF(ISNUMBER(outYear),COJ37+COJ42+#REF!+COJ59,"")</f>
        <v/>
      </c>
      <c r="COK62" s="87" t="str">
        <f>IF(ISNUMBER(outYear),COK37+COK42+#REF!+COK59,"")</f>
        <v/>
      </c>
      <c r="COL62" s="87" t="str">
        <f>IF(ISNUMBER(outYear),COL37+COL42+#REF!+COL59,"")</f>
        <v/>
      </c>
      <c r="COM62" s="87" t="str">
        <f>IF(ISNUMBER(outYear),COM37+COM42+#REF!+COM59,"")</f>
        <v/>
      </c>
      <c r="CON62" s="87" t="str">
        <f>IF(ISNUMBER(outYear),CON37+CON42+#REF!+CON59,"")</f>
        <v/>
      </c>
      <c r="COO62" s="87" t="str">
        <f>IF(ISNUMBER(outYear),COO37+COO42+#REF!+COO59,"")</f>
        <v/>
      </c>
      <c r="COP62" s="87" t="str">
        <f>IF(ISNUMBER(outYear),COP37+COP42+#REF!+COP59,"")</f>
        <v/>
      </c>
      <c r="COQ62" s="87" t="str">
        <f>IF(ISNUMBER(outYear),COQ37+COQ42+#REF!+COQ59,"")</f>
        <v/>
      </c>
      <c r="COR62" s="87" t="str">
        <f>IF(ISNUMBER(outYear),COR37+COR42+#REF!+COR59,"")</f>
        <v/>
      </c>
      <c r="COS62" s="87" t="str">
        <f>IF(ISNUMBER(outYear),COS37+COS42+#REF!+COS59,"")</f>
        <v/>
      </c>
      <c r="COT62" s="87" t="str">
        <f>IF(ISNUMBER(outYear),COT37+COT42+#REF!+COT59,"")</f>
        <v/>
      </c>
      <c r="COU62" s="87" t="str">
        <f>IF(ISNUMBER(outYear),COU37+COU42+#REF!+COU59,"")</f>
        <v/>
      </c>
      <c r="COV62" s="87" t="str">
        <f>IF(ISNUMBER(outYear),COV37+COV42+#REF!+COV59,"")</f>
        <v/>
      </c>
      <c r="COW62" s="87" t="str">
        <f>IF(ISNUMBER(outYear),COW37+COW42+#REF!+COW59,"")</f>
        <v/>
      </c>
      <c r="COX62" s="87" t="str">
        <f>IF(ISNUMBER(outYear),COX37+COX42+#REF!+COX59,"")</f>
        <v/>
      </c>
      <c r="COY62" s="87" t="str">
        <f>IF(ISNUMBER(outYear),COY37+COY42+#REF!+COY59,"")</f>
        <v/>
      </c>
      <c r="COZ62" s="87" t="str">
        <f>IF(ISNUMBER(outYear),COZ37+COZ42+#REF!+COZ59,"")</f>
        <v/>
      </c>
      <c r="CPA62" s="87" t="str">
        <f>IF(ISNUMBER(outYear),CPA37+CPA42+#REF!+CPA59,"")</f>
        <v/>
      </c>
      <c r="CPB62" s="87" t="str">
        <f>IF(ISNUMBER(outYear),CPB37+CPB42+#REF!+CPB59,"")</f>
        <v/>
      </c>
      <c r="CPC62" s="87" t="str">
        <f>IF(ISNUMBER(outYear),CPC37+CPC42+#REF!+CPC59,"")</f>
        <v/>
      </c>
      <c r="CPD62" s="87" t="str">
        <f>IF(ISNUMBER(outYear),CPD37+CPD42+#REF!+CPD59,"")</f>
        <v/>
      </c>
      <c r="CPE62" s="87" t="str">
        <f>IF(ISNUMBER(outYear),CPE37+CPE42+#REF!+CPE59,"")</f>
        <v/>
      </c>
      <c r="CPF62" s="87" t="str">
        <f>IF(ISNUMBER(outYear),CPF37+CPF42+#REF!+CPF59,"")</f>
        <v/>
      </c>
      <c r="CPG62" s="87" t="str">
        <f>IF(ISNUMBER(outYear),CPG37+CPG42+#REF!+CPG59,"")</f>
        <v/>
      </c>
      <c r="CPH62" s="87" t="str">
        <f>IF(ISNUMBER(outYear),CPH37+CPH42+#REF!+CPH59,"")</f>
        <v/>
      </c>
      <c r="CPI62" s="87" t="str">
        <f>IF(ISNUMBER(outYear),CPI37+CPI42+#REF!+CPI59,"")</f>
        <v/>
      </c>
      <c r="CPJ62" s="87" t="str">
        <f>IF(ISNUMBER(outYear),CPJ37+CPJ42+#REF!+CPJ59,"")</f>
        <v/>
      </c>
      <c r="CPK62" s="87" t="str">
        <f>IF(ISNUMBER(outYear),CPK37+CPK42+#REF!+CPK59,"")</f>
        <v/>
      </c>
      <c r="CPL62" s="87" t="str">
        <f>IF(ISNUMBER(outYear),CPL37+CPL42+#REF!+CPL59,"")</f>
        <v/>
      </c>
      <c r="CPM62" s="87" t="str">
        <f>IF(ISNUMBER(outYear),CPM37+CPM42+#REF!+CPM59,"")</f>
        <v/>
      </c>
      <c r="CPN62" s="87" t="str">
        <f>IF(ISNUMBER(outYear),CPN37+CPN42+#REF!+CPN59,"")</f>
        <v/>
      </c>
      <c r="CPO62" s="87" t="str">
        <f>IF(ISNUMBER(outYear),CPO37+CPO42+#REF!+CPO59,"")</f>
        <v/>
      </c>
      <c r="CPP62" s="87" t="str">
        <f>IF(ISNUMBER(outYear),CPP37+CPP42+#REF!+CPP59,"")</f>
        <v/>
      </c>
      <c r="CPQ62" s="87" t="str">
        <f>IF(ISNUMBER(outYear),CPQ37+CPQ42+#REF!+CPQ59,"")</f>
        <v/>
      </c>
      <c r="CPR62" s="87" t="str">
        <f>IF(ISNUMBER(outYear),CPR37+CPR42+#REF!+CPR59,"")</f>
        <v/>
      </c>
      <c r="CPS62" s="87" t="str">
        <f>IF(ISNUMBER(outYear),CPS37+CPS42+#REF!+CPS59,"")</f>
        <v/>
      </c>
      <c r="CPT62" s="87" t="str">
        <f>IF(ISNUMBER(outYear),CPT37+CPT42+#REF!+CPT59,"")</f>
        <v/>
      </c>
      <c r="CPU62" s="87" t="str">
        <f>IF(ISNUMBER(outYear),CPU37+CPU42+#REF!+CPU59,"")</f>
        <v/>
      </c>
      <c r="CPV62" s="87" t="str">
        <f>IF(ISNUMBER(outYear),CPV37+CPV42+#REF!+CPV59,"")</f>
        <v/>
      </c>
      <c r="CPW62" s="87" t="str">
        <f>IF(ISNUMBER(outYear),CPW37+CPW42+#REF!+CPW59,"")</f>
        <v/>
      </c>
      <c r="CPX62" s="87" t="str">
        <f>IF(ISNUMBER(outYear),CPX37+CPX42+#REF!+CPX59,"")</f>
        <v/>
      </c>
      <c r="CPY62" s="87" t="str">
        <f>IF(ISNUMBER(outYear),CPY37+CPY42+#REF!+CPY59,"")</f>
        <v/>
      </c>
      <c r="CPZ62" s="87" t="str">
        <f>IF(ISNUMBER(outYear),CPZ37+CPZ42+#REF!+CPZ59,"")</f>
        <v/>
      </c>
      <c r="CQA62" s="87" t="str">
        <f>IF(ISNUMBER(outYear),CQA37+CQA42+#REF!+CQA59,"")</f>
        <v/>
      </c>
      <c r="CQB62" s="87" t="str">
        <f>IF(ISNUMBER(outYear),CQB37+CQB42+#REF!+CQB59,"")</f>
        <v/>
      </c>
      <c r="CQC62" s="87" t="str">
        <f>IF(ISNUMBER(outYear),CQC37+CQC42+#REF!+CQC59,"")</f>
        <v/>
      </c>
      <c r="CQD62" s="87" t="str">
        <f>IF(ISNUMBER(outYear),CQD37+CQD42+#REF!+CQD59,"")</f>
        <v/>
      </c>
      <c r="CQE62" s="87" t="str">
        <f>IF(ISNUMBER(outYear),CQE37+CQE42+#REF!+CQE59,"")</f>
        <v/>
      </c>
      <c r="CQF62" s="87" t="str">
        <f>IF(ISNUMBER(outYear),CQF37+CQF42+#REF!+CQF59,"")</f>
        <v/>
      </c>
      <c r="CQG62" s="87" t="str">
        <f>IF(ISNUMBER(outYear),CQG37+CQG42+#REF!+CQG59,"")</f>
        <v/>
      </c>
      <c r="CQH62" s="87" t="str">
        <f>IF(ISNUMBER(outYear),CQH37+CQH42+#REF!+CQH59,"")</f>
        <v/>
      </c>
      <c r="CQI62" s="87" t="str">
        <f>IF(ISNUMBER(outYear),CQI37+CQI42+#REF!+CQI59,"")</f>
        <v/>
      </c>
      <c r="CQJ62" s="87" t="str">
        <f>IF(ISNUMBER(outYear),CQJ37+CQJ42+#REF!+CQJ59,"")</f>
        <v/>
      </c>
      <c r="CQK62" s="87" t="str">
        <f>IF(ISNUMBER(outYear),CQK37+CQK42+#REF!+CQK59,"")</f>
        <v/>
      </c>
      <c r="CQL62" s="87" t="str">
        <f>IF(ISNUMBER(outYear),CQL37+CQL42+#REF!+CQL59,"")</f>
        <v/>
      </c>
      <c r="CQM62" s="87" t="str">
        <f>IF(ISNUMBER(outYear),CQM37+CQM42+#REF!+CQM59,"")</f>
        <v/>
      </c>
      <c r="CQN62" s="87" t="str">
        <f>IF(ISNUMBER(outYear),CQN37+CQN42+#REF!+CQN59,"")</f>
        <v/>
      </c>
      <c r="CQO62" s="87" t="str">
        <f>IF(ISNUMBER(outYear),CQO37+CQO42+#REF!+CQO59,"")</f>
        <v/>
      </c>
      <c r="CQP62" s="87" t="str">
        <f>IF(ISNUMBER(outYear),CQP37+CQP42+#REF!+CQP59,"")</f>
        <v/>
      </c>
      <c r="CQQ62" s="87" t="str">
        <f>IF(ISNUMBER(outYear),CQQ37+CQQ42+#REF!+CQQ59,"")</f>
        <v/>
      </c>
      <c r="CQR62" s="87" t="str">
        <f>IF(ISNUMBER(outYear),CQR37+CQR42+#REF!+CQR59,"")</f>
        <v/>
      </c>
      <c r="CQS62" s="87" t="str">
        <f>IF(ISNUMBER(outYear),CQS37+CQS42+#REF!+CQS59,"")</f>
        <v/>
      </c>
      <c r="CQT62" s="87" t="str">
        <f>IF(ISNUMBER(outYear),CQT37+CQT42+#REF!+CQT59,"")</f>
        <v/>
      </c>
      <c r="CQU62" s="87" t="str">
        <f>IF(ISNUMBER(outYear),CQU37+CQU42+#REF!+CQU59,"")</f>
        <v/>
      </c>
      <c r="CQV62" s="87" t="str">
        <f>IF(ISNUMBER(outYear),CQV37+CQV42+#REF!+CQV59,"")</f>
        <v/>
      </c>
      <c r="CQW62" s="87" t="str">
        <f>IF(ISNUMBER(outYear),CQW37+CQW42+#REF!+CQW59,"")</f>
        <v/>
      </c>
      <c r="CQX62" s="87" t="str">
        <f>IF(ISNUMBER(outYear),CQX37+CQX42+#REF!+CQX59,"")</f>
        <v/>
      </c>
      <c r="CQY62" s="87" t="str">
        <f>IF(ISNUMBER(outYear),CQY37+CQY42+#REF!+CQY59,"")</f>
        <v/>
      </c>
      <c r="CQZ62" s="87" t="str">
        <f>IF(ISNUMBER(outYear),CQZ37+CQZ42+#REF!+CQZ59,"")</f>
        <v/>
      </c>
      <c r="CRA62" s="87" t="str">
        <f>IF(ISNUMBER(outYear),CRA37+CRA42+#REF!+CRA59,"")</f>
        <v/>
      </c>
      <c r="CRB62" s="87" t="str">
        <f>IF(ISNUMBER(outYear),CRB37+CRB42+#REF!+CRB59,"")</f>
        <v/>
      </c>
      <c r="CRC62" s="87" t="str">
        <f>IF(ISNUMBER(outYear),CRC37+CRC42+#REF!+CRC59,"")</f>
        <v/>
      </c>
      <c r="CRD62" s="87" t="str">
        <f>IF(ISNUMBER(outYear),CRD37+CRD42+#REF!+CRD59,"")</f>
        <v/>
      </c>
      <c r="CRE62" s="87" t="str">
        <f>IF(ISNUMBER(outYear),CRE37+CRE42+#REF!+CRE59,"")</f>
        <v/>
      </c>
      <c r="CRF62" s="87" t="str">
        <f>IF(ISNUMBER(outYear),CRF37+CRF42+#REF!+CRF59,"")</f>
        <v/>
      </c>
      <c r="CRG62" s="87" t="str">
        <f>IF(ISNUMBER(outYear),CRG37+CRG42+#REF!+CRG59,"")</f>
        <v/>
      </c>
      <c r="CRH62" s="87" t="str">
        <f>IF(ISNUMBER(outYear),CRH37+CRH42+#REF!+CRH59,"")</f>
        <v/>
      </c>
      <c r="CRI62" s="87" t="str">
        <f>IF(ISNUMBER(outYear),CRI37+CRI42+#REF!+CRI59,"")</f>
        <v/>
      </c>
      <c r="CRJ62" s="87" t="str">
        <f>IF(ISNUMBER(outYear),CRJ37+CRJ42+#REF!+CRJ59,"")</f>
        <v/>
      </c>
      <c r="CRK62" s="87" t="str">
        <f>IF(ISNUMBER(outYear),CRK37+CRK42+#REF!+CRK59,"")</f>
        <v/>
      </c>
      <c r="CRL62" s="87" t="str">
        <f>IF(ISNUMBER(outYear),CRL37+CRL42+#REF!+CRL59,"")</f>
        <v/>
      </c>
      <c r="CRM62" s="87" t="str">
        <f>IF(ISNUMBER(outYear),CRM37+CRM42+#REF!+CRM59,"")</f>
        <v/>
      </c>
      <c r="CRN62" s="87" t="str">
        <f>IF(ISNUMBER(outYear),CRN37+CRN42+#REF!+CRN59,"")</f>
        <v/>
      </c>
      <c r="CRO62" s="87" t="str">
        <f>IF(ISNUMBER(outYear),CRO37+CRO42+#REF!+CRO59,"")</f>
        <v/>
      </c>
      <c r="CRP62" s="87" t="str">
        <f>IF(ISNUMBER(outYear),CRP37+CRP42+#REF!+CRP59,"")</f>
        <v/>
      </c>
      <c r="CRQ62" s="87" t="str">
        <f>IF(ISNUMBER(outYear),CRQ37+CRQ42+#REF!+CRQ59,"")</f>
        <v/>
      </c>
      <c r="CRR62" s="87" t="str">
        <f>IF(ISNUMBER(outYear),CRR37+CRR42+#REF!+CRR59,"")</f>
        <v/>
      </c>
      <c r="CRS62" s="87" t="str">
        <f>IF(ISNUMBER(outYear),CRS37+CRS42+#REF!+CRS59,"")</f>
        <v/>
      </c>
      <c r="CRT62" s="87" t="str">
        <f>IF(ISNUMBER(outYear),CRT37+CRT42+#REF!+CRT59,"")</f>
        <v/>
      </c>
      <c r="CRU62" s="87" t="str">
        <f>IF(ISNUMBER(outYear),CRU37+CRU42+#REF!+CRU59,"")</f>
        <v/>
      </c>
      <c r="CRV62" s="87" t="str">
        <f>IF(ISNUMBER(outYear),CRV37+CRV42+#REF!+CRV59,"")</f>
        <v/>
      </c>
      <c r="CRW62" s="87" t="str">
        <f>IF(ISNUMBER(outYear),CRW37+CRW42+#REF!+CRW59,"")</f>
        <v/>
      </c>
      <c r="CRX62" s="87" t="str">
        <f>IF(ISNUMBER(outYear),CRX37+CRX42+#REF!+CRX59,"")</f>
        <v/>
      </c>
      <c r="CRY62" s="87" t="str">
        <f>IF(ISNUMBER(outYear),CRY37+CRY42+#REF!+CRY59,"")</f>
        <v/>
      </c>
      <c r="CRZ62" s="87" t="str">
        <f>IF(ISNUMBER(outYear),CRZ37+CRZ42+#REF!+CRZ59,"")</f>
        <v/>
      </c>
      <c r="CSA62" s="87" t="str">
        <f>IF(ISNUMBER(outYear),CSA37+CSA42+#REF!+CSA59,"")</f>
        <v/>
      </c>
      <c r="CSB62" s="87" t="str">
        <f>IF(ISNUMBER(outYear),CSB37+CSB42+#REF!+CSB59,"")</f>
        <v/>
      </c>
      <c r="CSC62" s="87" t="str">
        <f>IF(ISNUMBER(outYear),CSC37+CSC42+#REF!+CSC59,"")</f>
        <v/>
      </c>
      <c r="CSD62" s="87" t="str">
        <f>IF(ISNUMBER(outYear),CSD37+CSD42+#REF!+CSD59,"")</f>
        <v/>
      </c>
      <c r="CSE62" s="87" t="str">
        <f>IF(ISNUMBER(outYear),CSE37+CSE42+#REF!+CSE59,"")</f>
        <v/>
      </c>
      <c r="CSF62" s="87" t="str">
        <f>IF(ISNUMBER(outYear),CSF37+CSF42+#REF!+CSF59,"")</f>
        <v/>
      </c>
      <c r="CSG62" s="87" t="str">
        <f>IF(ISNUMBER(outYear),CSG37+CSG42+#REF!+CSG59,"")</f>
        <v/>
      </c>
      <c r="CSH62" s="87" t="str">
        <f>IF(ISNUMBER(outYear),CSH37+CSH42+#REF!+CSH59,"")</f>
        <v/>
      </c>
      <c r="CSI62" s="87" t="str">
        <f>IF(ISNUMBER(outYear),CSI37+CSI42+#REF!+CSI59,"")</f>
        <v/>
      </c>
      <c r="CSJ62" s="87" t="str">
        <f>IF(ISNUMBER(outYear),CSJ37+CSJ42+#REF!+CSJ59,"")</f>
        <v/>
      </c>
      <c r="CSK62" s="87" t="str">
        <f>IF(ISNUMBER(outYear),CSK37+CSK42+#REF!+CSK59,"")</f>
        <v/>
      </c>
      <c r="CSL62" s="87" t="str">
        <f>IF(ISNUMBER(outYear),CSL37+CSL42+#REF!+CSL59,"")</f>
        <v/>
      </c>
      <c r="CSM62" s="87" t="str">
        <f>IF(ISNUMBER(outYear),CSM37+CSM42+#REF!+CSM59,"")</f>
        <v/>
      </c>
      <c r="CSN62" s="87" t="str">
        <f>IF(ISNUMBER(outYear),CSN37+CSN42+#REF!+CSN59,"")</f>
        <v/>
      </c>
      <c r="CSO62" s="87" t="str">
        <f>IF(ISNUMBER(outYear),CSO37+CSO42+#REF!+CSO59,"")</f>
        <v/>
      </c>
      <c r="CSP62" s="87" t="str">
        <f>IF(ISNUMBER(outYear),CSP37+CSP42+#REF!+CSP59,"")</f>
        <v/>
      </c>
      <c r="CSQ62" s="87" t="str">
        <f>IF(ISNUMBER(outYear),CSQ37+CSQ42+#REF!+CSQ59,"")</f>
        <v/>
      </c>
      <c r="CSR62" s="87" t="str">
        <f>IF(ISNUMBER(outYear),CSR37+CSR42+#REF!+CSR59,"")</f>
        <v/>
      </c>
      <c r="CSS62" s="87" t="str">
        <f>IF(ISNUMBER(outYear),CSS37+CSS42+#REF!+CSS59,"")</f>
        <v/>
      </c>
      <c r="CST62" s="87" t="str">
        <f>IF(ISNUMBER(outYear),CST37+CST42+#REF!+CST59,"")</f>
        <v/>
      </c>
      <c r="CSU62" s="87" t="str">
        <f>IF(ISNUMBER(outYear),CSU37+CSU42+#REF!+CSU59,"")</f>
        <v/>
      </c>
      <c r="CSV62" s="87" t="str">
        <f>IF(ISNUMBER(outYear),CSV37+CSV42+#REF!+CSV59,"")</f>
        <v/>
      </c>
      <c r="CSW62" s="87" t="str">
        <f>IF(ISNUMBER(outYear),CSW37+CSW42+#REF!+CSW59,"")</f>
        <v/>
      </c>
      <c r="CSX62" s="87" t="str">
        <f>IF(ISNUMBER(outYear),CSX37+CSX42+#REF!+CSX59,"")</f>
        <v/>
      </c>
      <c r="CSY62" s="87" t="str">
        <f>IF(ISNUMBER(outYear),CSY37+CSY42+#REF!+CSY59,"")</f>
        <v/>
      </c>
      <c r="CSZ62" s="87" t="str">
        <f>IF(ISNUMBER(outYear),CSZ37+CSZ42+#REF!+CSZ59,"")</f>
        <v/>
      </c>
      <c r="CTA62" s="87" t="str">
        <f>IF(ISNUMBER(outYear),CTA37+CTA42+#REF!+CTA59,"")</f>
        <v/>
      </c>
      <c r="CTB62" s="87" t="str">
        <f>IF(ISNUMBER(outYear),CTB37+CTB42+#REF!+CTB59,"")</f>
        <v/>
      </c>
      <c r="CTC62" s="87" t="str">
        <f>IF(ISNUMBER(outYear),CTC37+CTC42+#REF!+CTC59,"")</f>
        <v/>
      </c>
      <c r="CTD62" s="87" t="str">
        <f>IF(ISNUMBER(outYear),CTD37+CTD42+#REF!+CTD59,"")</f>
        <v/>
      </c>
      <c r="CTE62" s="87" t="str">
        <f>IF(ISNUMBER(outYear),CTE37+CTE42+#REF!+CTE59,"")</f>
        <v/>
      </c>
      <c r="CTF62" s="87" t="str">
        <f>IF(ISNUMBER(outYear),CTF37+CTF42+#REF!+CTF59,"")</f>
        <v/>
      </c>
      <c r="CTG62" s="87" t="str">
        <f>IF(ISNUMBER(outYear),CTG37+CTG42+#REF!+CTG59,"")</f>
        <v/>
      </c>
      <c r="CTH62" s="87" t="str">
        <f>IF(ISNUMBER(outYear),CTH37+CTH42+#REF!+CTH59,"")</f>
        <v/>
      </c>
      <c r="CTI62" s="87" t="str">
        <f>IF(ISNUMBER(outYear),CTI37+CTI42+#REF!+CTI59,"")</f>
        <v/>
      </c>
      <c r="CTJ62" s="87" t="str">
        <f>IF(ISNUMBER(outYear),CTJ37+CTJ42+#REF!+CTJ59,"")</f>
        <v/>
      </c>
      <c r="CTK62" s="87" t="str">
        <f>IF(ISNUMBER(outYear),CTK37+CTK42+#REF!+CTK59,"")</f>
        <v/>
      </c>
      <c r="CTL62" s="87" t="str">
        <f>IF(ISNUMBER(outYear),CTL37+CTL42+#REF!+CTL59,"")</f>
        <v/>
      </c>
      <c r="CTM62" s="87" t="str">
        <f>IF(ISNUMBER(outYear),CTM37+CTM42+#REF!+CTM59,"")</f>
        <v/>
      </c>
      <c r="CTN62" s="87" t="str">
        <f>IF(ISNUMBER(outYear),CTN37+CTN42+#REF!+CTN59,"")</f>
        <v/>
      </c>
      <c r="CTO62" s="87" t="str">
        <f>IF(ISNUMBER(outYear),CTO37+CTO42+#REF!+CTO59,"")</f>
        <v/>
      </c>
      <c r="CTP62" s="87" t="str">
        <f>IF(ISNUMBER(outYear),CTP37+CTP42+#REF!+CTP59,"")</f>
        <v/>
      </c>
      <c r="CTQ62" s="87" t="str">
        <f>IF(ISNUMBER(outYear),CTQ37+CTQ42+#REF!+CTQ59,"")</f>
        <v/>
      </c>
      <c r="CTR62" s="87" t="str">
        <f>IF(ISNUMBER(outYear),CTR37+CTR42+#REF!+CTR59,"")</f>
        <v/>
      </c>
      <c r="CTS62" s="87" t="str">
        <f>IF(ISNUMBER(outYear),CTS37+CTS42+#REF!+CTS59,"")</f>
        <v/>
      </c>
      <c r="CTT62" s="87" t="str">
        <f>IF(ISNUMBER(outYear),CTT37+CTT42+#REF!+CTT59,"")</f>
        <v/>
      </c>
      <c r="CTU62" s="87" t="str">
        <f>IF(ISNUMBER(outYear),CTU37+CTU42+#REF!+CTU59,"")</f>
        <v/>
      </c>
      <c r="CTV62" s="87" t="str">
        <f>IF(ISNUMBER(outYear),CTV37+CTV42+#REF!+CTV59,"")</f>
        <v/>
      </c>
      <c r="CTW62" s="87" t="str">
        <f>IF(ISNUMBER(outYear),CTW37+CTW42+#REF!+CTW59,"")</f>
        <v/>
      </c>
      <c r="CTX62" s="87" t="str">
        <f>IF(ISNUMBER(outYear),CTX37+CTX42+#REF!+CTX59,"")</f>
        <v/>
      </c>
      <c r="CTY62" s="87" t="str">
        <f>IF(ISNUMBER(outYear),CTY37+CTY42+#REF!+CTY59,"")</f>
        <v/>
      </c>
      <c r="CTZ62" s="87" t="str">
        <f>IF(ISNUMBER(outYear),CTZ37+CTZ42+#REF!+CTZ59,"")</f>
        <v/>
      </c>
      <c r="CUA62" s="87" t="str">
        <f>IF(ISNUMBER(outYear),CUA37+CUA42+#REF!+CUA59,"")</f>
        <v/>
      </c>
      <c r="CUB62" s="87" t="str">
        <f>IF(ISNUMBER(outYear),CUB37+CUB42+#REF!+CUB59,"")</f>
        <v/>
      </c>
      <c r="CUC62" s="87" t="str">
        <f>IF(ISNUMBER(outYear),CUC37+CUC42+#REF!+CUC59,"")</f>
        <v/>
      </c>
      <c r="CUD62" s="87" t="str">
        <f>IF(ISNUMBER(outYear),CUD37+CUD42+#REF!+CUD59,"")</f>
        <v/>
      </c>
      <c r="CUE62" s="87" t="str">
        <f>IF(ISNUMBER(outYear),CUE37+CUE42+#REF!+CUE59,"")</f>
        <v/>
      </c>
      <c r="CUF62" s="87" t="str">
        <f>IF(ISNUMBER(outYear),CUF37+CUF42+#REF!+CUF59,"")</f>
        <v/>
      </c>
      <c r="CUG62" s="87" t="str">
        <f>IF(ISNUMBER(outYear),CUG37+CUG42+#REF!+CUG59,"")</f>
        <v/>
      </c>
      <c r="CUH62" s="87" t="str">
        <f>IF(ISNUMBER(outYear),CUH37+CUH42+#REF!+CUH59,"")</f>
        <v/>
      </c>
      <c r="CUI62" s="87" t="str">
        <f>IF(ISNUMBER(outYear),CUI37+CUI42+#REF!+CUI59,"")</f>
        <v/>
      </c>
      <c r="CUJ62" s="87" t="str">
        <f>IF(ISNUMBER(outYear),CUJ37+CUJ42+#REF!+CUJ59,"")</f>
        <v/>
      </c>
      <c r="CUK62" s="87" t="str">
        <f>IF(ISNUMBER(outYear),CUK37+CUK42+#REF!+CUK59,"")</f>
        <v/>
      </c>
      <c r="CUL62" s="87" t="str">
        <f>IF(ISNUMBER(outYear),CUL37+CUL42+#REF!+CUL59,"")</f>
        <v/>
      </c>
      <c r="CUM62" s="87" t="str">
        <f>IF(ISNUMBER(outYear),CUM37+CUM42+#REF!+CUM59,"")</f>
        <v/>
      </c>
      <c r="CUN62" s="87" t="str">
        <f>IF(ISNUMBER(outYear),CUN37+CUN42+#REF!+CUN59,"")</f>
        <v/>
      </c>
      <c r="CUO62" s="87" t="str">
        <f>IF(ISNUMBER(outYear),CUO37+CUO42+#REF!+CUO59,"")</f>
        <v/>
      </c>
      <c r="CUP62" s="87" t="str">
        <f>IF(ISNUMBER(outYear),CUP37+CUP42+#REF!+CUP59,"")</f>
        <v/>
      </c>
      <c r="CUQ62" s="87" t="str">
        <f>IF(ISNUMBER(outYear),CUQ37+CUQ42+#REF!+CUQ59,"")</f>
        <v/>
      </c>
      <c r="CUR62" s="87" t="str">
        <f>IF(ISNUMBER(outYear),CUR37+CUR42+#REF!+CUR59,"")</f>
        <v/>
      </c>
      <c r="CUS62" s="87" t="str">
        <f>IF(ISNUMBER(outYear),CUS37+CUS42+#REF!+CUS59,"")</f>
        <v/>
      </c>
      <c r="CUT62" s="87" t="str">
        <f>IF(ISNUMBER(outYear),CUT37+CUT42+#REF!+CUT59,"")</f>
        <v/>
      </c>
      <c r="CUU62" s="87" t="str">
        <f>IF(ISNUMBER(outYear),CUU37+CUU42+#REF!+CUU59,"")</f>
        <v/>
      </c>
      <c r="CUV62" s="87" t="str">
        <f>IF(ISNUMBER(outYear),CUV37+CUV42+#REF!+CUV59,"")</f>
        <v/>
      </c>
      <c r="CUW62" s="87" t="str">
        <f>IF(ISNUMBER(outYear),CUW37+CUW42+#REF!+CUW59,"")</f>
        <v/>
      </c>
      <c r="CUX62" s="87" t="str">
        <f>IF(ISNUMBER(outYear),CUX37+CUX42+#REF!+CUX59,"")</f>
        <v/>
      </c>
      <c r="CUY62" s="87" t="str">
        <f>IF(ISNUMBER(outYear),CUY37+CUY42+#REF!+CUY59,"")</f>
        <v/>
      </c>
      <c r="CUZ62" s="87" t="str">
        <f>IF(ISNUMBER(outYear),CUZ37+CUZ42+#REF!+CUZ59,"")</f>
        <v/>
      </c>
      <c r="CVA62" s="87" t="str">
        <f>IF(ISNUMBER(outYear),CVA37+CVA42+#REF!+CVA59,"")</f>
        <v/>
      </c>
      <c r="CVB62" s="87" t="str">
        <f>IF(ISNUMBER(outYear),CVB37+CVB42+#REF!+CVB59,"")</f>
        <v/>
      </c>
      <c r="CVC62" s="87" t="str">
        <f>IF(ISNUMBER(outYear),CVC37+CVC42+#REF!+CVC59,"")</f>
        <v/>
      </c>
      <c r="CVD62" s="87" t="str">
        <f>IF(ISNUMBER(outYear),CVD37+CVD42+#REF!+CVD59,"")</f>
        <v/>
      </c>
      <c r="CVE62" s="87" t="str">
        <f>IF(ISNUMBER(outYear),CVE37+CVE42+#REF!+CVE59,"")</f>
        <v/>
      </c>
      <c r="CVF62" s="87" t="str">
        <f>IF(ISNUMBER(outYear),CVF37+CVF42+#REF!+CVF59,"")</f>
        <v/>
      </c>
      <c r="CVG62" s="87" t="str">
        <f>IF(ISNUMBER(outYear),CVG37+CVG42+#REF!+CVG59,"")</f>
        <v/>
      </c>
      <c r="CVH62" s="87" t="str">
        <f>IF(ISNUMBER(outYear),CVH37+CVH42+#REF!+CVH59,"")</f>
        <v/>
      </c>
      <c r="CVI62" s="87" t="str">
        <f>IF(ISNUMBER(outYear),CVI37+CVI42+#REF!+CVI59,"")</f>
        <v/>
      </c>
      <c r="CVJ62" s="87" t="str">
        <f>IF(ISNUMBER(outYear),CVJ37+CVJ42+#REF!+CVJ59,"")</f>
        <v/>
      </c>
      <c r="CVK62" s="87" t="str">
        <f>IF(ISNUMBER(outYear),CVK37+CVK42+#REF!+CVK59,"")</f>
        <v/>
      </c>
      <c r="CVL62" s="87" t="str">
        <f>IF(ISNUMBER(outYear),CVL37+CVL42+#REF!+CVL59,"")</f>
        <v/>
      </c>
      <c r="CVM62" s="87" t="str">
        <f>IF(ISNUMBER(outYear),CVM37+CVM42+#REF!+CVM59,"")</f>
        <v/>
      </c>
      <c r="CVN62" s="87" t="str">
        <f>IF(ISNUMBER(outYear),CVN37+CVN42+#REF!+CVN59,"")</f>
        <v/>
      </c>
      <c r="CVO62" s="87" t="str">
        <f>IF(ISNUMBER(outYear),CVO37+CVO42+#REF!+CVO59,"")</f>
        <v/>
      </c>
      <c r="CVP62" s="87" t="str">
        <f>IF(ISNUMBER(outYear),CVP37+CVP42+#REF!+CVP59,"")</f>
        <v/>
      </c>
      <c r="CVQ62" s="87" t="str">
        <f>IF(ISNUMBER(outYear),CVQ37+CVQ42+#REF!+CVQ59,"")</f>
        <v/>
      </c>
      <c r="CVR62" s="87" t="str">
        <f>IF(ISNUMBER(outYear),CVR37+CVR42+#REF!+CVR59,"")</f>
        <v/>
      </c>
      <c r="CVS62" s="87" t="str">
        <f>IF(ISNUMBER(outYear),CVS37+CVS42+#REF!+CVS59,"")</f>
        <v/>
      </c>
      <c r="CVT62" s="87" t="str">
        <f>IF(ISNUMBER(outYear),CVT37+CVT42+#REF!+CVT59,"")</f>
        <v/>
      </c>
      <c r="CVU62" s="87" t="str">
        <f>IF(ISNUMBER(outYear),CVU37+CVU42+#REF!+CVU59,"")</f>
        <v/>
      </c>
      <c r="CVV62" s="87" t="str">
        <f>IF(ISNUMBER(outYear),CVV37+CVV42+#REF!+CVV59,"")</f>
        <v/>
      </c>
      <c r="CVW62" s="87" t="str">
        <f>IF(ISNUMBER(outYear),CVW37+CVW42+#REF!+CVW59,"")</f>
        <v/>
      </c>
      <c r="CVX62" s="87" t="str">
        <f>IF(ISNUMBER(outYear),CVX37+CVX42+#REF!+CVX59,"")</f>
        <v/>
      </c>
      <c r="CVY62" s="87" t="str">
        <f>IF(ISNUMBER(outYear),CVY37+CVY42+#REF!+CVY59,"")</f>
        <v/>
      </c>
      <c r="CVZ62" s="87" t="str">
        <f>IF(ISNUMBER(outYear),CVZ37+CVZ42+#REF!+CVZ59,"")</f>
        <v/>
      </c>
      <c r="CWA62" s="87" t="str">
        <f>IF(ISNUMBER(outYear),CWA37+CWA42+#REF!+CWA59,"")</f>
        <v/>
      </c>
      <c r="CWB62" s="87" t="str">
        <f>IF(ISNUMBER(outYear),CWB37+CWB42+#REF!+CWB59,"")</f>
        <v/>
      </c>
      <c r="CWC62" s="87" t="str">
        <f>IF(ISNUMBER(outYear),CWC37+CWC42+#REF!+CWC59,"")</f>
        <v/>
      </c>
      <c r="CWD62" s="87" t="str">
        <f>IF(ISNUMBER(outYear),CWD37+CWD42+#REF!+CWD59,"")</f>
        <v/>
      </c>
      <c r="CWE62" s="87" t="str">
        <f>IF(ISNUMBER(outYear),CWE37+CWE42+#REF!+CWE59,"")</f>
        <v/>
      </c>
      <c r="CWF62" s="87" t="str">
        <f>IF(ISNUMBER(outYear),CWF37+CWF42+#REF!+CWF59,"")</f>
        <v/>
      </c>
      <c r="CWG62" s="87" t="str">
        <f>IF(ISNUMBER(outYear),CWG37+CWG42+#REF!+CWG59,"")</f>
        <v/>
      </c>
      <c r="CWH62" s="87" t="str">
        <f>IF(ISNUMBER(outYear),CWH37+CWH42+#REF!+CWH59,"")</f>
        <v/>
      </c>
      <c r="CWI62" s="87" t="str">
        <f>IF(ISNUMBER(outYear),CWI37+CWI42+#REF!+CWI59,"")</f>
        <v/>
      </c>
      <c r="CWJ62" s="87" t="str">
        <f>IF(ISNUMBER(outYear),CWJ37+CWJ42+#REF!+CWJ59,"")</f>
        <v/>
      </c>
      <c r="CWK62" s="87" t="str">
        <f>IF(ISNUMBER(outYear),CWK37+CWK42+#REF!+CWK59,"")</f>
        <v/>
      </c>
      <c r="CWL62" s="87" t="str">
        <f>IF(ISNUMBER(outYear),CWL37+CWL42+#REF!+CWL59,"")</f>
        <v/>
      </c>
      <c r="CWM62" s="87" t="str">
        <f>IF(ISNUMBER(outYear),CWM37+CWM42+#REF!+CWM59,"")</f>
        <v/>
      </c>
      <c r="CWN62" s="87" t="str">
        <f>IF(ISNUMBER(outYear),CWN37+CWN42+#REF!+CWN59,"")</f>
        <v/>
      </c>
      <c r="CWO62" s="87" t="str">
        <f>IF(ISNUMBER(outYear),CWO37+CWO42+#REF!+CWO59,"")</f>
        <v/>
      </c>
      <c r="CWP62" s="87" t="str">
        <f>IF(ISNUMBER(outYear),CWP37+CWP42+#REF!+CWP59,"")</f>
        <v/>
      </c>
      <c r="CWQ62" s="87" t="str">
        <f>IF(ISNUMBER(outYear),CWQ37+CWQ42+#REF!+CWQ59,"")</f>
        <v/>
      </c>
      <c r="CWR62" s="87" t="str">
        <f>IF(ISNUMBER(outYear),CWR37+CWR42+#REF!+CWR59,"")</f>
        <v/>
      </c>
      <c r="CWS62" s="87" t="str">
        <f>IF(ISNUMBER(outYear),CWS37+CWS42+#REF!+CWS59,"")</f>
        <v/>
      </c>
      <c r="CWT62" s="87" t="str">
        <f>IF(ISNUMBER(outYear),CWT37+CWT42+#REF!+CWT59,"")</f>
        <v/>
      </c>
      <c r="CWU62" s="87" t="str">
        <f>IF(ISNUMBER(outYear),CWU37+CWU42+#REF!+CWU59,"")</f>
        <v/>
      </c>
      <c r="CWV62" s="87" t="str">
        <f>IF(ISNUMBER(outYear),CWV37+CWV42+#REF!+CWV59,"")</f>
        <v/>
      </c>
      <c r="CWW62" s="87" t="str">
        <f>IF(ISNUMBER(outYear),CWW37+CWW42+#REF!+CWW59,"")</f>
        <v/>
      </c>
      <c r="CWX62" s="87" t="str">
        <f>IF(ISNUMBER(outYear),CWX37+CWX42+#REF!+CWX59,"")</f>
        <v/>
      </c>
      <c r="CWY62" s="87" t="str">
        <f>IF(ISNUMBER(outYear),CWY37+CWY42+#REF!+CWY59,"")</f>
        <v/>
      </c>
      <c r="CWZ62" s="87" t="str">
        <f>IF(ISNUMBER(outYear),CWZ37+CWZ42+#REF!+CWZ59,"")</f>
        <v/>
      </c>
      <c r="CXA62" s="87" t="str">
        <f>IF(ISNUMBER(outYear),CXA37+CXA42+#REF!+CXA59,"")</f>
        <v/>
      </c>
      <c r="CXB62" s="87" t="str">
        <f>IF(ISNUMBER(outYear),CXB37+CXB42+#REF!+CXB59,"")</f>
        <v/>
      </c>
      <c r="CXC62" s="87" t="str">
        <f>IF(ISNUMBER(outYear),CXC37+CXC42+#REF!+CXC59,"")</f>
        <v/>
      </c>
      <c r="CXD62" s="87" t="str">
        <f>IF(ISNUMBER(outYear),CXD37+CXD42+#REF!+CXD59,"")</f>
        <v/>
      </c>
      <c r="CXE62" s="87" t="str">
        <f>IF(ISNUMBER(outYear),CXE37+CXE42+#REF!+CXE59,"")</f>
        <v/>
      </c>
      <c r="CXF62" s="87" t="str">
        <f>IF(ISNUMBER(outYear),CXF37+CXF42+#REF!+CXF59,"")</f>
        <v/>
      </c>
      <c r="CXG62" s="87" t="str">
        <f>IF(ISNUMBER(outYear),CXG37+CXG42+#REF!+CXG59,"")</f>
        <v/>
      </c>
      <c r="CXH62" s="87" t="str">
        <f>IF(ISNUMBER(outYear),CXH37+CXH42+#REF!+CXH59,"")</f>
        <v/>
      </c>
      <c r="CXI62" s="87" t="str">
        <f>IF(ISNUMBER(outYear),CXI37+CXI42+#REF!+CXI59,"")</f>
        <v/>
      </c>
      <c r="CXJ62" s="87" t="str">
        <f>IF(ISNUMBER(outYear),CXJ37+CXJ42+#REF!+CXJ59,"")</f>
        <v/>
      </c>
      <c r="CXK62" s="87" t="str">
        <f>IF(ISNUMBER(outYear),CXK37+CXK42+#REF!+CXK59,"")</f>
        <v/>
      </c>
      <c r="CXL62" s="87" t="str">
        <f>IF(ISNUMBER(outYear),CXL37+CXL42+#REF!+CXL59,"")</f>
        <v/>
      </c>
      <c r="CXM62" s="87" t="str">
        <f>IF(ISNUMBER(outYear),CXM37+CXM42+#REF!+CXM59,"")</f>
        <v/>
      </c>
      <c r="CXN62" s="87" t="str">
        <f>IF(ISNUMBER(outYear),CXN37+CXN42+#REF!+CXN59,"")</f>
        <v/>
      </c>
      <c r="CXO62" s="87" t="str">
        <f>IF(ISNUMBER(outYear),CXO37+CXO42+#REF!+CXO59,"")</f>
        <v/>
      </c>
      <c r="CXP62" s="87" t="str">
        <f>IF(ISNUMBER(outYear),CXP37+CXP42+#REF!+CXP59,"")</f>
        <v/>
      </c>
      <c r="CXQ62" s="87" t="str">
        <f>IF(ISNUMBER(outYear),CXQ37+CXQ42+#REF!+CXQ59,"")</f>
        <v/>
      </c>
      <c r="CXR62" s="87" t="str">
        <f>IF(ISNUMBER(outYear),CXR37+CXR42+#REF!+CXR59,"")</f>
        <v/>
      </c>
      <c r="CXS62" s="87" t="str">
        <f>IF(ISNUMBER(outYear),CXS37+CXS42+#REF!+CXS59,"")</f>
        <v/>
      </c>
      <c r="CXT62" s="87" t="str">
        <f>IF(ISNUMBER(outYear),CXT37+CXT42+#REF!+CXT59,"")</f>
        <v/>
      </c>
      <c r="CXU62" s="87" t="str">
        <f>IF(ISNUMBER(outYear),CXU37+CXU42+#REF!+CXU59,"")</f>
        <v/>
      </c>
      <c r="CXV62" s="87" t="str">
        <f>IF(ISNUMBER(outYear),CXV37+CXV42+#REF!+CXV59,"")</f>
        <v/>
      </c>
      <c r="CXW62" s="87" t="str">
        <f>IF(ISNUMBER(outYear),CXW37+CXW42+#REF!+CXW59,"")</f>
        <v/>
      </c>
      <c r="CXX62" s="87" t="str">
        <f>IF(ISNUMBER(outYear),CXX37+CXX42+#REF!+CXX59,"")</f>
        <v/>
      </c>
      <c r="CXY62" s="87" t="str">
        <f>IF(ISNUMBER(outYear),CXY37+CXY42+#REF!+CXY59,"")</f>
        <v/>
      </c>
      <c r="CXZ62" s="87" t="str">
        <f>IF(ISNUMBER(outYear),CXZ37+CXZ42+#REF!+CXZ59,"")</f>
        <v/>
      </c>
      <c r="CYA62" s="87" t="str">
        <f>IF(ISNUMBER(outYear),CYA37+CYA42+#REF!+CYA59,"")</f>
        <v/>
      </c>
      <c r="CYB62" s="87" t="str">
        <f>IF(ISNUMBER(outYear),CYB37+CYB42+#REF!+CYB59,"")</f>
        <v/>
      </c>
      <c r="CYC62" s="87" t="str">
        <f>IF(ISNUMBER(outYear),CYC37+CYC42+#REF!+CYC59,"")</f>
        <v/>
      </c>
      <c r="CYD62" s="87" t="str">
        <f>IF(ISNUMBER(outYear),CYD37+CYD42+#REF!+CYD59,"")</f>
        <v/>
      </c>
      <c r="CYE62" s="87" t="str">
        <f>IF(ISNUMBER(outYear),CYE37+CYE42+#REF!+CYE59,"")</f>
        <v/>
      </c>
      <c r="CYF62" s="87" t="str">
        <f>IF(ISNUMBER(outYear),CYF37+CYF42+#REF!+CYF59,"")</f>
        <v/>
      </c>
      <c r="CYG62" s="87" t="str">
        <f>IF(ISNUMBER(outYear),CYG37+CYG42+#REF!+CYG59,"")</f>
        <v/>
      </c>
      <c r="CYH62" s="87" t="str">
        <f>IF(ISNUMBER(outYear),CYH37+CYH42+#REF!+CYH59,"")</f>
        <v/>
      </c>
      <c r="CYI62" s="87" t="str">
        <f>IF(ISNUMBER(outYear),CYI37+CYI42+#REF!+CYI59,"")</f>
        <v/>
      </c>
      <c r="CYJ62" s="87" t="str">
        <f>IF(ISNUMBER(outYear),CYJ37+CYJ42+#REF!+CYJ59,"")</f>
        <v/>
      </c>
      <c r="CYK62" s="87" t="str">
        <f>IF(ISNUMBER(outYear),CYK37+CYK42+#REF!+CYK59,"")</f>
        <v/>
      </c>
      <c r="CYL62" s="87" t="str">
        <f>IF(ISNUMBER(outYear),CYL37+CYL42+#REF!+CYL59,"")</f>
        <v/>
      </c>
      <c r="CYM62" s="87" t="str">
        <f>IF(ISNUMBER(outYear),CYM37+CYM42+#REF!+CYM59,"")</f>
        <v/>
      </c>
      <c r="CYN62" s="87" t="str">
        <f>IF(ISNUMBER(outYear),CYN37+CYN42+#REF!+CYN59,"")</f>
        <v/>
      </c>
      <c r="CYO62" s="87" t="str">
        <f>IF(ISNUMBER(outYear),CYO37+CYO42+#REF!+CYO59,"")</f>
        <v/>
      </c>
      <c r="CYP62" s="87" t="str">
        <f>IF(ISNUMBER(outYear),CYP37+CYP42+#REF!+CYP59,"")</f>
        <v/>
      </c>
      <c r="CYQ62" s="87" t="str">
        <f>IF(ISNUMBER(outYear),CYQ37+CYQ42+#REF!+CYQ59,"")</f>
        <v/>
      </c>
      <c r="CYR62" s="87" t="str">
        <f>IF(ISNUMBER(outYear),CYR37+CYR42+#REF!+CYR59,"")</f>
        <v/>
      </c>
      <c r="CYS62" s="87" t="str">
        <f>IF(ISNUMBER(outYear),CYS37+CYS42+#REF!+CYS59,"")</f>
        <v/>
      </c>
      <c r="CYT62" s="87" t="str">
        <f>IF(ISNUMBER(outYear),CYT37+CYT42+#REF!+CYT59,"")</f>
        <v/>
      </c>
      <c r="CYU62" s="87" t="str">
        <f>IF(ISNUMBER(outYear),CYU37+CYU42+#REF!+CYU59,"")</f>
        <v/>
      </c>
      <c r="CYV62" s="87" t="str">
        <f>IF(ISNUMBER(outYear),CYV37+CYV42+#REF!+CYV59,"")</f>
        <v/>
      </c>
      <c r="CYW62" s="87" t="str">
        <f>IF(ISNUMBER(outYear),CYW37+CYW42+#REF!+CYW59,"")</f>
        <v/>
      </c>
      <c r="CYX62" s="87" t="str">
        <f>IF(ISNUMBER(outYear),CYX37+CYX42+#REF!+CYX59,"")</f>
        <v/>
      </c>
      <c r="CYY62" s="87" t="str">
        <f>IF(ISNUMBER(outYear),CYY37+CYY42+#REF!+CYY59,"")</f>
        <v/>
      </c>
      <c r="CYZ62" s="87" t="str">
        <f>IF(ISNUMBER(outYear),CYZ37+CYZ42+#REF!+CYZ59,"")</f>
        <v/>
      </c>
      <c r="CZA62" s="87" t="str">
        <f>IF(ISNUMBER(outYear),CZA37+CZA42+#REF!+CZA59,"")</f>
        <v/>
      </c>
      <c r="CZB62" s="87" t="str">
        <f>IF(ISNUMBER(outYear),CZB37+CZB42+#REF!+CZB59,"")</f>
        <v/>
      </c>
      <c r="CZC62" s="87" t="str">
        <f>IF(ISNUMBER(outYear),CZC37+CZC42+#REF!+CZC59,"")</f>
        <v/>
      </c>
      <c r="CZD62" s="87" t="str">
        <f>IF(ISNUMBER(outYear),CZD37+CZD42+#REF!+CZD59,"")</f>
        <v/>
      </c>
      <c r="CZE62" s="87" t="str">
        <f>IF(ISNUMBER(outYear),CZE37+CZE42+#REF!+CZE59,"")</f>
        <v/>
      </c>
      <c r="CZF62" s="87" t="str">
        <f>IF(ISNUMBER(outYear),CZF37+CZF42+#REF!+CZF59,"")</f>
        <v/>
      </c>
      <c r="CZG62" s="87" t="str">
        <f>IF(ISNUMBER(outYear),CZG37+CZG42+#REF!+CZG59,"")</f>
        <v/>
      </c>
      <c r="CZH62" s="87" t="str">
        <f>IF(ISNUMBER(outYear),CZH37+CZH42+#REF!+CZH59,"")</f>
        <v/>
      </c>
      <c r="CZI62" s="87" t="str">
        <f>IF(ISNUMBER(outYear),CZI37+CZI42+#REF!+CZI59,"")</f>
        <v/>
      </c>
      <c r="CZJ62" s="87" t="str">
        <f>IF(ISNUMBER(outYear),CZJ37+CZJ42+#REF!+CZJ59,"")</f>
        <v/>
      </c>
      <c r="CZK62" s="87" t="str">
        <f>IF(ISNUMBER(outYear),CZK37+CZK42+#REF!+CZK59,"")</f>
        <v/>
      </c>
      <c r="CZL62" s="87" t="str">
        <f>IF(ISNUMBER(outYear),CZL37+CZL42+#REF!+CZL59,"")</f>
        <v/>
      </c>
      <c r="CZM62" s="87" t="str">
        <f>IF(ISNUMBER(outYear),CZM37+CZM42+#REF!+CZM59,"")</f>
        <v/>
      </c>
      <c r="CZN62" s="87" t="str">
        <f>IF(ISNUMBER(outYear),CZN37+CZN42+#REF!+CZN59,"")</f>
        <v/>
      </c>
      <c r="CZO62" s="87" t="str">
        <f>IF(ISNUMBER(outYear),CZO37+CZO42+#REF!+CZO59,"")</f>
        <v/>
      </c>
      <c r="CZP62" s="87" t="str">
        <f>IF(ISNUMBER(outYear),CZP37+CZP42+#REF!+CZP59,"")</f>
        <v/>
      </c>
      <c r="CZQ62" s="87" t="str">
        <f>IF(ISNUMBER(outYear),CZQ37+CZQ42+#REF!+CZQ59,"")</f>
        <v/>
      </c>
      <c r="CZR62" s="87" t="str">
        <f>IF(ISNUMBER(outYear),CZR37+CZR42+#REF!+CZR59,"")</f>
        <v/>
      </c>
      <c r="CZS62" s="87" t="str">
        <f>IF(ISNUMBER(outYear),CZS37+CZS42+#REF!+CZS59,"")</f>
        <v/>
      </c>
      <c r="CZT62" s="87" t="str">
        <f>IF(ISNUMBER(outYear),CZT37+CZT42+#REF!+CZT59,"")</f>
        <v/>
      </c>
      <c r="CZU62" s="87" t="str">
        <f>IF(ISNUMBER(outYear),CZU37+CZU42+#REF!+CZU59,"")</f>
        <v/>
      </c>
      <c r="CZV62" s="87" t="str">
        <f>IF(ISNUMBER(outYear),CZV37+CZV42+#REF!+CZV59,"")</f>
        <v/>
      </c>
      <c r="CZW62" s="87" t="str">
        <f>IF(ISNUMBER(outYear),CZW37+CZW42+#REF!+CZW59,"")</f>
        <v/>
      </c>
      <c r="CZX62" s="87" t="str">
        <f>IF(ISNUMBER(outYear),CZX37+CZX42+#REF!+CZX59,"")</f>
        <v/>
      </c>
      <c r="CZY62" s="87" t="str">
        <f>IF(ISNUMBER(outYear),CZY37+CZY42+#REF!+CZY59,"")</f>
        <v/>
      </c>
      <c r="CZZ62" s="87" t="str">
        <f>IF(ISNUMBER(outYear),CZZ37+CZZ42+#REF!+CZZ59,"")</f>
        <v/>
      </c>
      <c r="DAA62" s="87" t="str">
        <f>IF(ISNUMBER(outYear),DAA37+DAA42+#REF!+DAA59,"")</f>
        <v/>
      </c>
      <c r="DAB62" s="87" t="str">
        <f>IF(ISNUMBER(outYear),DAB37+DAB42+#REF!+DAB59,"")</f>
        <v/>
      </c>
      <c r="DAC62" s="87" t="str">
        <f>IF(ISNUMBER(outYear),DAC37+DAC42+#REF!+DAC59,"")</f>
        <v/>
      </c>
      <c r="DAD62" s="87" t="str">
        <f>IF(ISNUMBER(outYear),DAD37+DAD42+#REF!+DAD59,"")</f>
        <v/>
      </c>
      <c r="DAE62" s="87" t="str">
        <f>IF(ISNUMBER(outYear),DAE37+DAE42+#REF!+DAE59,"")</f>
        <v/>
      </c>
      <c r="DAF62" s="87" t="str">
        <f>IF(ISNUMBER(outYear),DAF37+DAF42+#REF!+DAF59,"")</f>
        <v/>
      </c>
      <c r="DAG62" s="87" t="str">
        <f>IF(ISNUMBER(outYear),DAG37+DAG42+#REF!+DAG59,"")</f>
        <v/>
      </c>
      <c r="DAH62" s="87" t="str">
        <f>IF(ISNUMBER(outYear),DAH37+DAH42+#REF!+DAH59,"")</f>
        <v/>
      </c>
      <c r="DAI62" s="87" t="str">
        <f>IF(ISNUMBER(outYear),DAI37+DAI42+#REF!+DAI59,"")</f>
        <v/>
      </c>
      <c r="DAJ62" s="87" t="str">
        <f>IF(ISNUMBER(outYear),DAJ37+DAJ42+#REF!+DAJ59,"")</f>
        <v/>
      </c>
      <c r="DAK62" s="87" t="str">
        <f>IF(ISNUMBER(outYear),DAK37+DAK42+#REF!+DAK59,"")</f>
        <v/>
      </c>
      <c r="DAL62" s="87" t="str">
        <f>IF(ISNUMBER(outYear),DAL37+DAL42+#REF!+DAL59,"")</f>
        <v/>
      </c>
      <c r="DAM62" s="87" t="str">
        <f>IF(ISNUMBER(outYear),DAM37+DAM42+#REF!+DAM59,"")</f>
        <v/>
      </c>
      <c r="DAN62" s="87" t="str">
        <f>IF(ISNUMBER(outYear),DAN37+DAN42+#REF!+DAN59,"")</f>
        <v/>
      </c>
      <c r="DAO62" s="87" t="str">
        <f>IF(ISNUMBER(outYear),DAO37+DAO42+#REF!+DAO59,"")</f>
        <v/>
      </c>
      <c r="DAP62" s="87" t="str">
        <f>IF(ISNUMBER(outYear),DAP37+DAP42+#REF!+DAP59,"")</f>
        <v/>
      </c>
      <c r="DAQ62" s="87" t="str">
        <f>IF(ISNUMBER(outYear),DAQ37+DAQ42+#REF!+DAQ59,"")</f>
        <v/>
      </c>
      <c r="DAR62" s="87" t="str">
        <f>IF(ISNUMBER(outYear),DAR37+DAR42+#REF!+DAR59,"")</f>
        <v/>
      </c>
      <c r="DAS62" s="87" t="str">
        <f>IF(ISNUMBER(outYear),DAS37+DAS42+#REF!+DAS59,"")</f>
        <v/>
      </c>
      <c r="DAT62" s="87" t="str">
        <f>IF(ISNUMBER(outYear),DAT37+DAT42+#REF!+DAT59,"")</f>
        <v/>
      </c>
      <c r="DAU62" s="87" t="str">
        <f>IF(ISNUMBER(outYear),DAU37+DAU42+#REF!+DAU59,"")</f>
        <v/>
      </c>
      <c r="DAV62" s="87" t="str">
        <f>IF(ISNUMBER(outYear),DAV37+DAV42+#REF!+DAV59,"")</f>
        <v/>
      </c>
      <c r="DAW62" s="87" t="str">
        <f>IF(ISNUMBER(outYear),DAW37+DAW42+#REF!+DAW59,"")</f>
        <v/>
      </c>
      <c r="DAX62" s="87" t="str">
        <f>IF(ISNUMBER(outYear),DAX37+DAX42+#REF!+DAX59,"")</f>
        <v/>
      </c>
      <c r="DAY62" s="87" t="str">
        <f>IF(ISNUMBER(outYear),DAY37+DAY42+#REF!+DAY59,"")</f>
        <v/>
      </c>
      <c r="DAZ62" s="87" t="str">
        <f>IF(ISNUMBER(outYear),DAZ37+DAZ42+#REF!+DAZ59,"")</f>
        <v/>
      </c>
      <c r="DBA62" s="87" t="str">
        <f>IF(ISNUMBER(outYear),DBA37+DBA42+#REF!+DBA59,"")</f>
        <v/>
      </c>
      <c r="DBB62" s="87" t="str">
        <f>IF(ISNUMBER(outYear),DBB37+DBB42+#REF!+DBB59,"")</f>
        <v/>
      </c>
      <c r="DBC62" s="87" t="str">
        <f>IF(ISNUMBER(outYear),DBC37+DBC42+#REF!+DBC59,"")</f>
        <v/>
      </c>
      <c r="DBD62" s="87" t="str">
        <f>IF(ISNUMBER(outYear),DBD37+DBD42+#REF!+DBD59,"")</f>
        <v/>
      </c>
      <c r="DBE62" s="87" t="str">
        <f>IF(ISNUMBER(outYear),DBE37+DBE42+#REF!+DBE59,"")</f>
        <v/>
      </c>
      <c r="DBF62" s="87" t="str">
        <f>IF(ISNUMBER(outYear),DBF37+DBF42+#REF!+DBF59,"")</f>
        <v/>
      </c>
      <c r="DBG62" s="87" t="str">
        <f>IF(ISNUMBER(outYear),DBG37+DBG42+#REF!+DBG59,"")</f>
        <v/>
      </c>
      <c r="DBH62" s="87" t="str">
        <f>IF(ISNUMBER(outYear),DBH37+DBH42+#REF!+DBH59,"")</f>
        <v/>
      </c>
      <c r="DBI62" s="87" t="str">
        <f>IF(ISNUMBER(outYear),DBI37+DBI42+#REF!+DBI59,"")</f>
        <v/>
      </c>
      <c r="DBJ62" s="87" t="str">
        <f>IF(ISNUMBER(outYear),DBJ37+DBJ42+#REF!+DBJ59,"")</f>
        <v/>
      </c>
      <c r="DBK62" s="87" t="str">
        <f>IF(ISNUMBER(outYear),DBK37+DBK42+#REF!+DBK59,"")</f>
        <v/>
      </c>
      <c r="DBL62" s="87" t="str">
        <f>IF(ISNUMBER(outYear),DBL37+DBL42+#REF!+DBL59,"")</f>
        <v/>
      </c>
      <c r="DBM62" s="87" t="str">
        <f>IF(ISNUMBER(outYear),DBM37+DBM42+#REF!+DBM59,"")</f>
        <v/>
      </c>
      <c r="DBN62" s="87" t="str">
        <f>IF(ISNUMBER(outYear),DBN37+DBN42+#REF!+DBN59,"")</f>
        <v/>
      </c>
      <c r="DBO62" s="87" t="str">
        <f>IF(ISNUMBER(outYear),DBO37+DBO42+#REF!+DBO59,"")</f>
        <v/>
      </c>
      <c r="DBP62" s="87" t="str">
        <f>IF(ISNUMBER(outYear),DBP37+DBP42+#REF!+DBP59,"")</f>
        <v/>
      </c>
      <c r="DBQ62" s="87" t="str">
        <f>IF(ISNUMBER(outYear),DBQ37+DBQ42+#REF!+DBQ59,"")</f>
        <v/>
      </c>
      <c r="DBR62" s="87" t="str">
        <f>IF(ISNUMBER(outYear),DBR37+DBR42+#REF!+DBR59,"")</f>
        <v/>
      </c>
      <c r="DBS62" s="87" t="str">
        <f>IF(ISNUMBER(outYear),DBS37+DBS42+#REF!+DBS59,"")</f>
        <v/>
      </c>
      <c r="DBT62" s="87" t="str">
        <f>IF(ISNUMBER(outYear),DBT37+DBT42+#REF!+DBT59,"")</f>
        <v/>
      </c>
      <c r="DBU62" s="87" t="str">
        <f>IF(ISNUMBER(outYear),DBU37+DBU42+#REF!+DBU59,"")</f>
        <v/>
      </c>
      <c r="DBV62" s="87" t="str">
        <f>IF(ISNUMBER(outYear),DBV37+DBV42+#REF!+DBV59,"")</f>
        <v/>
      </c>
      <c r="DBW62" s="87" t="str">
        <f>IF(ISNUMBER(outYear),DBW37+DBW42+#REF!+DBW59,"")</f>
        <v/>
      </c>
      <c r="DBX62" s="87" t="str">
        <f>IF(ISNUMBER(outYear),DBX37+DBX42+#REF!+DBX59,"")</f>
        <v/>
      </c>
      <c r="DBY62" s="87" t="str">
        <f>IF(ISNUMBER(outYear),DBY37+DBY42+#REF!+DBY59,"")</f>
        <v/>
      </c>
      <c r="DBZ62" s="87" t="str">
        <f>IF(ISNUMBER(outYear),DBZ37+DBZ42+#REF!+DBZ59,"")</f>
        <v/>
      </c>
      <c r="DCA62" s="87" t="str">
        <f>IF(ISNUMBER(outYear),DCA37+DCA42+#REF!+DCA59,"")</f>
        <v/>
      </c>
      <c r="DCB62" s="87" t="str">
        <f>IF(ISNUMBER(outYear),DCB37+DCB42+#REF!+DCB59,"")</f>
        <v/>
      </c>
      <c r="DCC62" s="87" t="str">
        <f>IF(ISNUMBER(outYear),DCC37+DCC42+#REF!+DCC59,"")</f>
        <v/>
      </c>
      <c r="DCD62" s="87" t="str">
        <f>IF(ISNUMBER(outYear),DCD37+DCD42+#REF!+DCD59,"")</f>
        <v/>
      </c>
      <c r="DCE62" s="87" t="str">
        <f>IF(ISNUMBER(outYear),DCE37+DCE42+#REF!+DCE59,"")</f>
        <v/>
      </c>
      <c r="DCF62" s="87" t="str">
        <f>IF(ISNUMBER(outYear),DCF37+DCF42+#REF!+DCF59,"")</f>
        <v/>
      </c>
      <c r="DCG62" s="87" t="str">
        <f>IF(ISNUMBER(outYear),DCG37+DCG42+#REF!+DCG59,"")</f>
        <v/>
      </c>
      <c r="DCH62" s="87" t="str">
        <f>IF(ISNUMBER(outYear),DCH37+DCH42+#REF!+DCH59,"")</f>
        <v/>
      </c>
      <c r="DCI62" s="87" t="str">
        <f>IF(ISNUMBER(outYear),DCI37+DCI42+#REF!+DCI59,"")</f>
        <v/>
      </c>
      <c r="DCJ62" s="87" t="str">
        <f>IF(ISNUMBER(outYear),DCJ37+DCJ42+#REF!+DCJ59,"")</f>
        <v/>
      </c>
      <c r="DCK62" s="87" t="str">
        <f>IF(ISNUMBER(outYear),DCK37+DCK42+#REF!+DCK59,"")</f>
        <v/>
      </c>
      <c r="DCL62" s="87" t="str">
        <f>IF(ISNUMBER(outYear),DCL37+DCL42+#REF!+DCL59,"")</f>
        <v/>
      </c>
      <c r="DCM62" s="87" t="str">
        <f>IF(ISNUMBER(outYear),DCM37+DCM42+#REF!+DCM59,"")</f>
        <v/>
      </c>
      <c r="DCN62" s="87" t="str">
        <f>IF(ISNUMBER(outYear),DCN37+DCN42+#REF!+DCN59,"")</f>
        <v/>
      </c>
      <c r="DCO62" s="87" t="str">
        <f>IF(ISNUMBER(outYear),DCO37+DCO42+#REF!+DCO59,"")</f>
        <v/>
      </c>
      <c r="DCP62" s="87" t="str">
        <f>IF(ISNUMBER(outYear),DCP37+DCP42+#REF!+DCP59,"")</f>
        <v/>
      </c>
      <c r="DCQ62" s="87" t="str">
        <f>IF(ISNUMBER(outYear),DCQ37+DCQ42+#REF!+DCQ59,"")</f>
        <v/>
      </c>
      <c r="DCR62" s="87" t="str">
        <f>IF(ISNUMBER(outYear),DCR37+DCR42+#REF!+DCR59,"")</f>
        <v/>
      </c>
      <c r="DCS62" s="87" t="str">
        <f>IF(ISNUMBER(outYear),DCS37+DCS42+#REF!+DCS59,"")</f>
        <v/>
      </c>
      <c r="DCT62" s="87" t="str">
        <f>IF(ISNUMBER(outYear),DCT37+DCT42+#REF!+DCT59,"")</f>
        <v/>
      </c>
      <c r="DCU62" s="87" t="str">
        <f>IF(ISNUMBER(outYear),DCU37+DCU42+#REF!+DCU59,"")</f>
        <v/>
      </c>
      <c r="DCV62" s="87" t="str">
        <f>IF(ISNUMBER(outYear),DCV37+DCV42+#REF!+DCV59,"")</f>
        <v/>
      </c>
      <c r="DCW62" s="87" t="str">
        <f>IF(ISNUMBER(outYear),DCW37+DCW42+#REF!+DCW59,"")</f>
        <v/>
      </c>
      <c r="DCX62" s="87" t="str">
        <f>IF(ISNUMBER(outYear),DCX37+DCX42+#REF!+DCX59,"")</f>
        <v/>
      </c>
      <c r="DCY62" s="87" t="str">
        <f>IF(ISNUMBER(outYear),DCY37+DCY42+#REF!+DCY59,"")</f>
        <v/>
      </c>
      <c r="DCZ62" s="87" t="str">
        <f>IF(ISNUMBER(outYear),DCZ37+DCZ42+#REF!+DCZ59,"")</f>
        <v/>
      </c>
      <c r="DDA62" s="87" t="str">
        <f>IF(ISNUMBER(outYear),DDA37+DDA42+#REF!+DDA59,"")</f>
        <v/>
      </c>
      <c r="DDB62" s="87" t="str">
        <f>IF(ISNUMBER(outYear),DDB37+DDB42+#REF!+DDB59,"")</f>
        <v/>
      </c>
      <c r="DDC62" s="87" t="str">
        <f>IF(ISNUMBER(outYear),DDC37+DDC42+#REF!+DDC59,"")</f>
        <v/>
      </c>
      <c r="DDD62" s="87" t="str">
        <f>IF(ISNUMBER(outYear),DDD37+DDD42+#REF!+DDD59,"")</f>
        <v/>
      </c>
      <c r="DDE62" s="87" t="str">
        <f>IF(ISNUMBER(outYear),DDE37+DDE42+#REF!+DDE59,"")</f>
        <v/>
      </c>
      <c r="DDF62" s="87" t="str">
        <f>IF(ISNUMBER(outYear),DDF37+DDF42+#REF!+DDF59,"")</f>
        <v/>
      </c>
      <c r="DDG62" s="87" t="str">
        <f>IF(ISNUMBER(outYear),DDG37+DDG42+#REF!+DDG59,"")</f>
        <v/>
      </c>
      <c r="DDH62" s="87" t="str">
        <f>IF(ISNUMBER(outYear),DDH37+DDH42+#REF!+DDH59,"")</f>
        <v/>
      </c>
      <c r="DDI62" s="87" t="str">
        <f>IF(ISNUMBER(outYear),DDI37+DDI42+#REF!+DDI59,"")</f>
        <v/>
      </c>
      <c r="DDJ62" s="87" t="str">
        <f>IF(ISNUMBER(outYear),DDJ37+DDJ42+#REF!+DDJ59,"")</f>
        <v/>
      </c>
      <c r="DDK62" s="87" t="str">
        <f>IF(ISNUMBER(outYear),DDK37+DDK42+#REF!+DDK59,"")</f>
        <v/>
      </c>
      <c r="DDL62" s="87" t="str">
        <f>IF(ISNUMBER(outYear),DDL37+DDL42+#REF!+DDL59,"")</f>
        <v/>
      </c>
      <c r="DDM62" s="87" t="str">
        <f>IF(ISNUMBER(outYear),DDM37+DDM42+#REF!+DDM59,"")</f>
        <v/>
      </c>
      <c r="DDN62" s="87" t="str">
        <f>IF(ISNUMBER(outYear),DDN37+DDN42+#REF!+DDN59,"")</f>
        <v/>
      </c>
      <c r="DDO62" s="87" t="str">
        <f>IF(ISNUMBER(outYear),DDO37+DDO42+#REF!+DDO59,"")</f>
        <v/>
      </c>
      <c r="DDP62" s="87" t="str">
        <f>IF(ISNUMBER(outYear),DDP37+DDP42+#REF!+DDP59,"")</f>
        <v/>
      </c>
      <c r="DDQ62" s="87" t="str">
        <f>IF(ISNUMBER(outYear),DDQ37+DDQ42+#REF!+DDQ59,"")</f>
        <v/>
      </c>
      <c r="DDR62" s="87" t="str">
        <f>IF(ISNUMBER(outYear),DDR37+DDR42+#REF!+DDR59,"")</f>
        <v/>
      </c>
      <c r="DDS62" s="87" t="str">
        <f>IF(ISNUMBER(outYear),DDS37+DDS42+#REF!+DDS59,"")</f>
        <v/>
      </c>
      <c r="DDT62" s="87" t="str">
        <f>IF(ISNUMBER(outYear),DDT37+DDT42+#REF!+DDT59,"")</f>
        <v/>
      </c>
      <c r="DDU62" s="87" t="str">
        <f>IF(ISNUMBER(outYear),DDU37+DDU42+#REF!+DDU59,"")</f>
        <v/>
      </c>
      <c r="DDV62" s="87" t="str">
        <f>IF(ISNUMBER(outYear),DDV37+DDV42+#REF!+DDV59,"")</f>
        <v/>
      </c>
      <c r="DDW62" s="87" t="str">
        <f>IF(ISNUMBER(outYear),DDW37+DDW42+#REF!+DDW59,"")</f>
        <v/>
      </c>
      <c r="DDX62" s="87" t="str">
        <f>IF(ISNUMBER(outYear),DDX37+DDX42+#REF!+DDX59,"")</f>
        <v/>
      </c>
      <c r="DDY62" s="87" t="str">
        <f>IF(ISNUMBER(outYear),DDY37+DDY42+#REF!+DDY59,"")</f>
        <v/>
      </c>
      <c r="DDZ62" s="87" t="str">
        <f>IF(ISNUMBER(outYear),DDZ37+DDZ42+#REF!+DDZ59,"")</f>
        <v/>
      </c>
      <c r="DEA62" s="87" t="str">
        <f>IF(ISNUMBER(outYear),DEA37+DEA42+#REF!+DEA59,"")</f>
        <v/>
      </c>
      <c r="DEB62" s="87" t="str">
        <f>IF(ISNUMBER(outYear),DEB37+DEB42+#REF!+DEB59,"")</f>
        <v/>
      </c>
      <c r="DEC62" s="87" t="str">
        <f>IF(ISNUMBER(outYear),DEC37+DEC42+#REF!+DEC59,"")</f>
        <v/>
      </c>
      <c r="DED62" s="87" t="str">
        <f>IF(ISNUMBER(outYear),DED37+DED42+#REF!+DED59,"")</f>
        <v/>
      </c>
      <c r="DEE62" s="87" t="str">
        <f>IF(ISNUMBER(outYear),DEE37+DEE42+#REF!+DEE59,"")</f>
        <v/>
      </c>
      <c r="DEF62" s="87" t="str">
        <f>IF(ISNUMBER(outYear),DEF37+DEF42+#REF!+DEF59,"")</f>
        <v/>
      </c>
      <c r="DEG62" s="87" t="str">
        <f>IF(ISNUMBER(outYear),DEG37+DEG42+#REF!+DEG59,"")</f>
        <v/>
      </c>
      <c r="DEH62" s="87" t="str">
        <f>IF(ISNUMBER(outYear),DEH37+DEH42+#REF!+DEH59,"")</f>
        <v/>
      </c>
      <c r="DEI62" s="87" t="str">
        <f>IF(ISNUMBER(outYear),DEI37+DEI42+#REF!+DEI59,"")</f>
        <v/>
      </c>
      <c r="DEJ62" s="87" t="str">
        <f>IF(ISNUMBER(outYear),DEJ37+DEJ42+#REF!+DEJ59,"")</f>
        <v/>
      </c>
      <c r="DEK62" s="87" t="str">
        <f>IF(ISNUMBER(outYear),DEK37+DEK42+#REF!+DEK59,"")</f>
        <v/>
      </c>
      <c r="DEL62" s="87" t="str">
        <f>IF(ISNUMBER(outYear),DEL37+DEL42+#REF!+DEL59,"")</f>
        <v/>
      </c>
      <c r="DEM62" s="87" t="str">
        <f>IF(ISNUMBER(outYear),DEM37+DEM42+#REF!+DEM59,"")</f>
        <v/>
      </c>
      <c r="DEN62" s="87" t="str">
        <f>IF(ISNUMBER(outYear),DEN37+DEN42+#REF!+DEN59,"")</f>
        <v/>
      </c>
      <c r="DEO62" s="87" t="str">
        <f>IF(ISNUMBER(outYear),DEO37+DEO42+#REF!+DEO59,"")</f>
        <v/>
      </c>
      <c r="DEP62" s="87" t="str">
        <f>IF(ISNUMBER(outYear),DEP37+DEP42+#REF!+DEP59,"")</f>
        <v/>
      </c>
      <c r="DEQ62" s="87" t="str">
        <f>IF(ISNUMBER(outYear),DEQ37+DEQ42+#REF!+DEQ59,"")</f>
        <v/>
      </c>
      <c r="DER62" s="87" t="str">
        <f>IF(ISNUMBER(outYear),DER37+DER42+#REF!+DER59,"")</f>
        <v/>
      </c>
      <c r="DES62" s="87" t="str">
        <f>IF(ISNUMBER(outYear),DES37+DES42+#REF!+DES59,"")</f>
        <v/>
      </c>
      <c r="DET62" s="87" t="str">
        <f>IF(ISNUMBER(outYear),DET37+DET42+#REF!+DET59,"")</f>
        <v/>
      </c>
      <c r="DEU62" s="87" t="str">
        <f>IF(ISNUMBER(outYear),DEU37+DEU42+#REF!+DEU59,"")</f>
        <v/>
      </c>
      <c r="DEV62" s="87" t="str">
        <f>IF(ISNUMBER(outYear),DEV37+DEV42+#REF!+DEV59,"")</f>
        <v/>
      </c>
      <c r="DEW62" s="87" t="str">
        <f>IF(ISNUMBER(outYear),DEW37+DEW42+#REF!+DEW59,"")</f>
        <v/>
      </c>
      <c r="DEX62" s="87" t="str">
        <f>IF(ISNUMBER(outYear),DEX37+DEX42+#REF!+DEX59,"")</f>
        <v/>
      </c>
      <c r="DEY62" s="87" t="str">
        <f>IF(ISNUMBER(outYear),DEY37+DEY42+#REF!+DEY59,"")</f>
        <v/>
      </c>
      <c r="DEZ62" s="87" t="str">
        <f>IF(ISNUMBER(outYear),DEZ37+DEZ42+#REF!+DEZ59,"")</f>
        <v/>
      </c>
      <c r="DFA62" s="87" t="str">
        <f>IF(ISNUMBER(outYear),DFA37+DFA42+#REF!+DFA59,"")</f>
        <v/>
      </c>
      <c r="DFB62" s="87" t="str">
        <f>IF(ISNUMBER(outYear),DFB37+DFB42+#REF!+DFB59,"")</f>
        <v/>
      </c>
      <c r="DFC62" s="87" t="str">
        <f>IF(ISNUMBER(outYear),DFC37+DFC42+#REF!+DFC59,"")</f>
        <v/>
      </c>
      <c r="DFD62" s="87" t="str">
        <f>IF(ISNUMBER(outYear),DFD37+DFD42+#REF!+DFD59,"")</f>
        <v/>
      </c>
      <c r="DFE62" s="87" t="str">
        <f>IF(ISNUMBER(outYear),DFE37+DFE42+#REF!+DFE59,"")</f>
        <v/>
      </c>
      <c r="DFF62" s="87" t="str">
        <f>IF(ISNUMBER(outYear),DFF37+DFF42+#REF!+DFF59,"")</f>
        <v/>
      </c>
      <c r="DFG62" s="87" t="str">
        <f>IF(ISNUMBER(outYear),DFG37+DFG42+#REF!+DFG59,"")</f>
        <v/>
      </c>
      <c r="DFH62" s="87" t="str">
        <f>IF(ISNUMBER(outYear),DFH37+DFH42+#REF!+DFH59,"")</f>
        <v/>
      </c>
      <c r="DFI62" s="87" t="str">
        <f>IF(ISNUMBER(outYear),DFI37+DFI42+#REF!+DFI59,"")</f>
        <v/>
      </c>
      <c r="DFJ62" s="87" t="str">
        <f>IF(ISNUMBER(outYear),DFJ37+DFJ42+#REF!+DFJ59,"")</f>
        <v/>
      </c>
      <c r="DFK62" s="87" t="str">
        <f>IF(ISNUMBER(outYear),DFK37+DFK42+#REF!+DFK59,"")</f>
        <v/>
      </c>
      <c r="DFL62" s="87" t="str">
        <f>IF(ISNUMBER(outYear),DFL37+DFL42+#REF!+DFL59,"")</f>
        <v/>
      </c>
      <c r="DFM62" s="87" t="str">
        <f>IF(ISNUMBER(outYear),DFM37+DFM42+#REF!+DFM59,"")</f>
        <v/>
      </c>
      <c r="DFN62" s="87" t="str">
        <f>IF(ISNUMBER(outYear),DFN37+DFN42+#REF!+DFN59,"")</f>
        <v/>
      </c>
      <c r="DFO62" s="87" t="str">
        <f>IF(ISNUMBER(outYear),DFO37+DFO42+#REF!+DFO59,"")</f>
        <v/>
      </c>
      <c r="DFP62" s="87" t="str">
        <f>IF(ISNUMBER(outYear),DFP37+DFP42+#REF!+DFP59,"")</f>
        <v/>
      </c>
      <c r="DFQ62" s="87" t="str">
        <f>IF(ISNUMBER(outYear),DFQ37+DFQ42+#REF!+DFQ59,"")</f>
        <v/>
      </c>
      <c r="DFR62" s="87" t="str">
        <f>IF(ISNUMBER(outYear),DFR37+DFR42+#REF!+DFR59,"")</f>
        <v/>
      </c>
      <c r="DFS62" s="87" t="str">
        <f>IF(ISNUMBER(outYear),DFS37+DFS42+#REF!+DFS59,"")</f>
        <v/>
      </c>
      <c r="DFT62" s="87" t="str">
        <f>IF(ISNUMBER(outYear),DFT37+DFT42+#REF!+DFT59,"")</f>
        <v/>
      </c>
      <c r="DFU62" s="87" t="str">
        <f>IF(ISNUMBER(outYear),DFU37+DFU42+#REF!+DFU59,"")</f>
        <v/>
      </c>
      <c r="DFV62" s="87" t="str">
        <f>IF(ISNUMBER(outYear),DFV37+DFV42+#REF!+DFV59,"")</f>
        <v/>
      </c>
      <c r="DFW62" s="87" t="str">
        <f>IF(ISNUMBER(outYear),DFW37+DFW42+#REF!+DFW59,"")</f>
        <v/>
      </c>
      <c r="DFX62" s="87" t="str">
        <f>IF(ISNUMBER(outYear),DFX37+DFX42+#REF!+DFX59,"")</f>
        <v/>
      </c>
      <c r="DFY62" s="87" t="str">
        <f>IF(ISNUMBER(outYear),DFY37+DFY42+#REF!+DFY59,"")</f>
        <v/>
      </c>
      <c r="DFZ62" s="87" t="str">
        <f>IF(ISNUMBER(outYear),DFZ37+DFZ42+#REF!+DFZ59,"")</f>
        <v/>
      </c>
      <c r="DGA62" s="87" t="str">
        <f>IF(ISNUMBER(outYear),DGA37+DGA42+#REF!+DGA59,"")</f>
        <v/>
      </c>
      <c r="DGB62" s="87" t="str">
        <f>IF(ISNUMBER(outYear),DGB37+DGB42+#REF!+DGB59,"")</f>
        <v/>
      </c>
      <c r="DGC62" s="87" t="str">
        <f>IF(ISNUMBER(outYear),DGC37+DGC42+#REF!+DGC59,"")</f>
        <v/>
      </c>
      <c r="DGD62" s="87" t="str">
        <f>IF(ISNUMBER(outYear),DGD37+DGD42+#REF!+DGD59,"")</f>
        <v/>
      </c>
      <c r="DGE62" s="87" t="str">
        <f>IF(ISNUMBER(outYear),DGE37+DGE42+#REF!+DGE59,"")</f>
        <v/>
      </c>
      <c r="DGF62" s="87" t="str">
        <f>IF(ISNUMBER(outYear),DGF37+DGF42+#REF!+DGF59,"")</f>
        <v/>
      </c>
      <c r="DGG62" s="87" t="str">
        <f>IF(ISNUMBER(outYear),DGG37+DGG42+#REF!+DGG59,"")</f>
        <v/>
      </c>
      <c r="DGH62" s="87" t="str">
        <f>IF(ISNUMBER(outYear),DGH37+DGH42+#REF!+DGH59,"")</f>
        <v/>
      </c>
      <c r="DGI62" s="87" t="str">
        <f>IF(ISNUMBER(outYear),DGI37+DGI42+#REF!+DGI59,"")</f>
        <v/>
      </c>
      <c r="DGJ62" s="87" t="str">
        <f>IF(ISNUMBER(outYear),DGJ37+DGJ42+#REF!+DGJ59,"")</f>
        <v/>
      </c>
      <c r="DGK62" s="87" t="str">
        <f>IF(ISNUMBER(outYear),DGK37+DGK42+#REF!+DGK59,"")</f>
        <v/>
      </c>
      <c r="DGL62" s="87" t="str">
        <f>IF(ISNUMBER(outYear),DGL37+DGL42+#REF!+DGL59,"")</f>
        <v/>
      </c>
      <c r="DGM62" s="87" t="str">
        <f>IF(ISNUMBER(outYear),DGM37+DGM42+#REF!+DGM59,"")</f>
        <v/>
      </c>
      <c r="DGN62" s="87" t="str">
        <f>IF(ISNUMBER(outYear),DGN37+DGN42+#REF!+DGN59,"")</f>
        <v/>
      </c>
      <c r="DGO62" s="87" t="str">
        <f>IF(ISNUMBER(outYear),DGO37+DGO42+#REF!+DGO59,"")</f>
        <v/>
      </c>
      <c r="DGP62" s="87" t="str">
        <f>IF(ISNUMBER(outYear),DGP37+DGP42+#REF!+DGP59,"")</f>
        <v/>
      </c>
      <c r="DGQ62" s="87" t="str">
        <f>IF(ISNUMBER(outYear),DGQ37+DGQ42+#REF!+DGQ59,"")</f>
        <v/>
      </c>
      <c r="DGR62" s="87" t="str">
        <f>IF(ISNUMBER(outYear),DGR37+DGR42+#REF!+DGR59,"")</f>
        <v/>
      </c>
      <c r="DGS62" s="87" t="str">
        <f>IF(ISNUMBER(outYear),DGS37+DGS42+#REF!+DGS59,"")</f>
        <v/>
      </c>
      <c r="DGT62" s="87" t="str">
        <f>IF(ISNUMBER(outYear),DGT37+DGT42+#REF!+DGT59,"")</f>
        <v/>
      </c>
      <c r="DGU62" s="87" t="str">
        <f>IF(ISNUMBER(outYear),DGU37+DGU42+#REF!+DGU59,"")</f>
        <v/>
      </c>
      <c r="DGV62" s="87" t="str">
        <f>IF(ISNUMBER(outYear),DGV37+DGV42+#REF!+DGV59,"")</f>
        <v/>
      </c>
      <c r="DGW62" s="87" t="str">
        <f>IF(ISNUMBER(outYear),DGW37+DGW42+#REF!+DGW59,"")</f>
        <v/>
      </c>
      <c r="DGX62" s="87" t="str">
        <f>IF(ISNUMBER(outYear),DGX37+DGX42+#REF!+DGX59,"")</f>
        <v/>
      </c>
      <c r="DGY62" s="87" t="str">
        <f>IF(ISNUMBER(outYear),DGY37+DGY42+#REF!+DGY59,"")</f>
        <v/>
      </c>
      <c r="DGZ62" s="87" t="str">
        <f>IF(ISNUMBER(outYear),DGZ37+DGZ42+#REF!+DGZ59,"")</f>
        <v/>
      </c>
      <c r="DHA62" s="87" t="str">
        <f>IF(ISNUMBER(outYear),DHA37+DHA42+#REF!+DHA59,"")</f>
        <v/>
      </c>
      <c r="DHB62" s="87" t="str">
        <f>IF(ISNUMBER(outYear),DHB37+DHB42+#REF!+DHB59,"")</f>
        <v/>
      </c>
      <c r="DHC62" s="87" t="str">
        <f>IF(ISNUMBER(outYear),DHC37+DHC42+#REF!+DHC59,"")</f>
        <v/>
      </c>
      <c r="DHD62" s="87" t="str">
        <f>IF(ISNUMBER(outYear),DHD37+DHD42+#REF!+DHD59,"")</f>
        <v/>
      </c>
      <c r="DHE62" s="87" t="str">
        <f>IF(ISNUMBER(outYear),DHE37+DHE42+#REF!+DHE59,"")</f>
        <v/>
      </c>
      <c r="DHF62" s="87" t="str">
        <f>IF(ISNUMBER(outYear),DHF37+DHF42+#REF!+DHF59,"")</f>
        <v/>
      </c>
      <c r="DHG62" s="87" t="str">
        <f>IF(ISNUMBER(outYear),DHG37+DHG42+#REF!+DHG59,"")</f>
        <v/>
      </c>
      <c r="DHH62" s="87" t="str">
        <f>IF(ISNUMBER(outYear),DHH37+DHH42+#REF!+DHH59,"")</f>
        <v/>
      </c>
      <c r="DHI62" s="87" t="str">
        <f>IF(ISNUMBER(outYear),DHI37+DHI42+#REF!+DHI59,"")</f>
        <v/>
      </c>
      <c r="DHJ62" s="87" t="str">
        <f>IF(ISNUMBER(outYear),DHJ37+DHJ42+#REF!+DHJ59,"")</f>
        <v/>
      </c>
      <c r="DHK62" s="87" t="str">
        <f>IF(ISNUMBER(outYear),DHK37+DHK42+#REF!+DHK59,"")</f>
        <v/>
      </c>
      <c r="DHL62" s="87" t="str">
        <f>IF(ISNUMBER(outYear),DHL37+DHL42+#REF!+DHL59,"")</f>
        <v/>
      </c>
      <c r="DHM62" s="87" t="str">
        <f>IF(ISNUMBER(outYear),DHM37+DHM42+#REF!+DHM59,"")</f>
        <v/>
      </c>
      <c r="DHN62" s="87" t="str">
        <f>IF(ISNUMBER(outYear),DHN37+DHN42+#REF!+DHN59,"")</f>
        <v/>
      </c>
      <c r="DHO62" s="87" t="str">
        <f>IF(ISNUMBER(outYear),DHO37+DHO42+#REF!+DHO59,"")</f>
        <v/>
      </c>
      <c r="DHP62" s="87" t="str">
        <f>IF(ISNUMBER(outYear),DHP37+DHP42+#REF!+DHP59,"")</f>
        <v/>
      </c>
      <c r="DHQ62" s="87" t="str">
        <f>IF(ISNUMBER(outYear),DHQ37+DHQ42+#REF!+DHQ59,"")</f>
        <v/>
      </c>
      <c r="DHR62" s="87" t="str">
        <f>IF(ISNUMBER(outYear),DHR37+DHR42+#REF!+DHR59,"")</f>
        <v/>
      </c>
      <c r="DHS62" s="87" t="str">
        <f>IF(ISNUMBER(outYear),DHS37+DHS42+#REF!+DHS59,"")</f>
        <v/>
      </c>
      <c r="DHT62" s="87" t="str">
        <f>IF(ISNUMBER(outYear),DHT37+DHT42+#REF!+DHT59,"")</f>
        <v/>
      </c>
      <c r="DHU62" s="87" t="str">
        <f>IF(ISNUMBER(outYear),DHU37+DHU42+#REF!+DHU59,"")</f>
        <v/>
      </c>
      <c r="DHV62" s="87" t="str">
        <f>IF(ISNUMBER(outYear),DHV37+DHV42+#REF!+DHV59,"")</f>
        <v/>
      </c>
      <c r="DHW62" s="87" t="str">
        <f>IF(ISNUMBER(outYear),DHW37+DHW42+#REF!+DHW59,"")</f>
        <v/>
      </c>
      <c r="DHX62" s="87" t="str">
        <f>IF(ISNUMBER(outYear),DHX37+DHX42+#REF!+DHX59,"")</f>
        <v/>
      </c>
      <c r="DHY62" s="87" t="str">
        <f>IF(ISNUMBER(outYear),DHY37+DHY42+#REF!+DHY59,"")</f>
        <v/>
      </c>
      <c r="DHZ62" s="87" t="str">
        <f>IF(ISNUMBER(outYear),DHZ37+DHZ42+#REF!+DHZ59,"")</f>
        <v/>
      </c>
      <c r="DIA62" s="87" t="str">
        <f>IF(ISNUMBER(outYear),DIA37+DIA42+#REF!+DIA59,"")</f>
        <v/>
      </c>
      <c r="DIB62" s="87" t="str">
        <f>IF(ISNUMBER(outYear),DIB37+DIB42+#REF!+DIB59,"")</f>
        <v/>
      </c>
      <c r="DIC62" s="87" t="str">
        <f>IF(ISNUMBER(outYear),DIC37+DIC42+#REF!+DIC59,"")</f>
        <v/>
      </c>
      <c r="DID62" s="87" t="str">
        <f>IF(ISNUMBER(outYear),DID37+DID42+#REF!+DID59,"")</f>
        <v/>
      </c>
      <c r="DIE62" s="87" t="str">
        <f>IF(ISNUMBER(outYear),DIE37+DIE42+#REF!+DIE59,"")</f>
        <v/>
      </c>
      <c r="DIF62" s="87" t="str">
        <f>IF(ISNUMBER(outYear),DIF37+DIF42+#REF!+DIF59,"")</f>
        <v/>
      </c>
      <c r="DIG62" s="87" t="str">
        <f>IF(ISNUMBER(outYear),DIG37+DIG42+#REF!+DIG59,"")</f>
        <v/>
      </c>
      <c r="DIH62" s="87" t="str">
        <f>IF(ISNUMBER(outYear),DIH37+DIH42+#REF!+DIH59,"")</f>
        <v/>
      </c>
      <c r="DII62" s="87" t="str">
        <f>IF(ISNUMBER(outYear),DII37+DII42+#REF!+DII59,"")</f>
        <v/>
      </c>
      <c r="DIJ62" s="87" t="str">
        <f>IF(ISNUMBER(outYear),DIJ37+DIJ42+#REF!+DIJ59,"")</f>
        <v/>
      </c>
      <c r="DIK62" s="87" t="str">
        <f>IF(ISNUMBER(outYear),DIK37+DIK42+#REF!+DIK59,"")</f>
        <v/>
      </c>
      <c r="DIL62" s="87" t="str">
        <f>IF(ISNUMBER(outYear),DIL37+DIL42+#REF!+DIL59,"")</f>
        <v/>
      </c>
      <c r="DIM62" s="87" t="str">
        <f>IF(ISNUMBER(outYear),DIM37+DIM42+#REF!+DIM59,"")</f>
        <v/>
      </c>
      <c r="DIN62" s="87" t="str">
        <f>IF(ISNUMBER(outYear),DIN37+DIN42+#REF!+DIN59,"")</f>
        <v/>
      </c>
      <c r="DIO62" s="87" t="str">
        <f>IF(ISNUMBER(outYear),DIO37+DIO42+#REF!+DIO59,"")</f>
        <v/>
      </c>
      <c r="DIP62" s="87" t="str">
        <f>IF(ISNUMBER(outYear),DIP37+DIP42+#REF!+DIP59,"")</f>
        <v/>
      </c>
      <c r="DIQ62" s="87" t="str">
        <f>IF(ISNUMBER(outYear),DIQ37+DIQ42+#REF!+DIQ59,"")</f>
        <v/>
      </c>
      <c r="DIR62" s="87" t="str">
        <f>IF(ISNUMBER(outYear),DIR37+DIR42+#REF!+DIR59,"")</f>
        <v/>
      </c>
      <c r="DIS62" s="87" t="str">
        <f>IF(ISNUMBER(outYear),DIS37+DIS42+#REF!+DIS59,"")</f>
        <v/>
      </c>
      <c r="DIT62" s="87" t="str">
        <f>IF(ISNUMBER(outYear),DIT37+DIT42+#REF!+DIT59,"")</f>
        <v/>
      </c>
      <c r="DIU62" s="87" t="str">
        <f>IF(ISNUMBER(outYear),DIU37+DIU42+#REF!+DIU59,"")</f>
        <v/>
      </c>
      <c r="DIV62" s="87" t="str">
        <f>IF(ISNUMBER(outYear),DIV37+DIV42+#REF!+DIV59,"")</f>
        <v/>
      </c>
      <c r="DIW62" s="87" t="str">
        <f>IF(ISNUMBER(outYear),DIW37+DIW42+#REF!+DIW59,"")</f>
        <v/>
      </c>
      <c r="DIX62" s="87" t="str">
        <f>IF(ISNUMBER(outYear),DIX37+DIX42+#REF!+DIX59,"")</f>
        <v/>
      </c>
      <c r="DIY62" s="87" t="str">
        <f>IF(ISNUMBER(outYear),DIY37+DIY42+#REF!+DIY59,"")</f>
        <v/>
      </c>
      <c r="DIZ62" s="87" t="str">
        <f>IF(ISNUMBER(outYear),DIZ37+DIZ42+#REF!+DIZ59,"")</f>
        <v/>
      </c>
      <c r="DJA62" s="87" t="str">
        <f>IF(ISNUMBER(outYear),DJA37+DJA42+#REF!+DJA59,"")</f>
        <v/>
      </c>
      <c r="DJB62" s="87" t="str">
        <f>IF(ISNUMBER(outYear),DJB37+DJB42+#REF!+DJB59,"")</f>
        <v/>
      </c>
      <c r="DJC62" s="87" t="str">
        <f>IF(ISNUMBER(outYear),DJC37+DJC42+#REF!+DJC59,"")</f>
        <v/>
      </c>
      <c r="DJD62" s="87" t="str">
        <f>IF(ISNUMBER(outYear),DJD37+DJD42+#REF!+DJD59,"")</f>
        <v/>
      </c>
      <c r="DJE62" s="87" t="str">
        <f>IF(ISNUMBER(outYear),DJE37+DJE42+#REF!+DJE59,"")</f>
        <v/>
      </c>
      <c r="DJF62" s="87" t="str">
        <f>IF(ISNUMBER(outYear),DJF37+DJF42+#REF!+DJF59,"")</f>
        <v/>
      </c>
      <c r="DJG62" s="87" t="str">
        <f>IF(ISNUMBER(outYear),DJG37+DJG42+#REF!+DJG59,"")</f>
        <v/>
      </c>
      <c r="DJH62" s="87" t="str">
        <f>IF(ISNUMBER(outYear),DJH37+DJH42+#REF!+DJH59,"")</f>
        <v/>
      </c>
      <c r="DJI62" s="87" t="str">
        <f>IF(ISNUMBER(outYear),DJI37+DJI42+#REF!+DJI59,"")</f>
        <v/>
      </c>
      <c r="DJJ62" s="87" t="str">
        <f>IF(ISNUMBER(outYear),DJJ37+DJJ42+#REF!+DJJ59,"")</f>
        <v/>
      </c>
      <c r="DJK62" s="87" t="str">
        <f>IF(ISNUMBER(outYear),DJK37+DJK42+#REF!+DJK59,"")</f>
        <v/>
      </c>
      <c r="DJL62" s="87" t="str">
        <f>IF(ISNUMBER(outYear),DJL37+DJL42+#REF!+DJL59,"")</f>
        <v/>
      </c>
      <c r="DJM62" s="87" t="str">
        <f>IF(ISNUMBER(outYear),DJM37+DJM42+#REF!+DJM59,"")</f>
        <v/>
      </c>
      <c r="DJN62" s="87" t="str">
        <f>IF(ISNUMBER(outYear),DJN37+DJN42+#REF!+DJN59,"")</f>
        <v/>
      </c>
      <c r="DJO62" s="87" t="str">
        <f>IF(ISNUMBER(outYear),DJO37+DJO42+#REF!+DJO59,"")</f>
        <v/>
      </c>
      <c r="DJP62" s="87" t="str">
        <f>IF(ISNUMBER(outYear),DJP37+DJP42+#REF!+DJP59,"")</f>
        <v/>
      </c>
      <c r="DJQ62" s="87" t="str">
        <f>IF(ISNUMBER(outYear),DJQ37+DJQ42+#REF!+DJQ59,"")</f>
        <v/>
      </c>
      <c r="DJR62" s="87" t="str">
        <f>IF(ISNUMBER(outYear),DJR37+DJR42+#REF!+DJR59,"")</f>
        <v/>
      </c>
      <c r="DJS62" s="87" t="str">
        <f>IF(ISNUMBER(outYear),DJS37+DJS42+#REF!+DJS59,"")</f>
        <v/>
      </c>
      <c r="DJT62" s="87" t="str">
        <f>IF(ISNUMBER(outYear),DJT37+DJT42+#REF!+DJT59,"")</f>
        <v/>
      </c>
      <c r="DJU62" s="87" t="str">
        <f>IF(ISNUMBER(outYear),DJU37+DJU42+#REF!+DJU59,"")</f>
        <v/>
      </c>
      <c r="DJV62" s="87" t="str">
        <f>IF(ISNUMBER(outYear),DJV37+DJV42+#REF!+DJV59,"")</f>
        <v/>
      </c>
      <c r="DJW62" s="87" t="str">
        <f>IF(ISNUMBER(outYear),DJW37+DJW42+#REF!+DJW59,"")</f>
        <v/>
      </c>
      <c r="DJX62" s="87" t="str">
        <f>IF(ISNUMBER(outYear),DJX37+DJX42+#REF!+DJX59,"")</f>
        <v/>
      </c>
      <c r="DJY62" s="87" t="str">
        <f>IF(ISNUMBER(outYear),DJY37+DJY42+#REF!+DJY59,"")</f>
        <v/>
      </c>
      <c r="DJZ62" s="87" t="str">
        <f>IF(ISNUMBER(outYear),DJZ37+DJZ42+#REF!+DJZ59,"")</f>
        <v/>
      </c>
      <c r="DKA62" s="87" t="str">
        <f>IF(ISNUMBER(outYear),DKA37+DKA42+#REF!+DKA59,"")</f>
        <v/>
      </c>
      <c r="DKB62" s="87" t="str">
        <f>IF(ISNUMBER(outYear),DKB37+DKB42+#REF!+DKB59,"")</f>
        <v/>
      </c>
      <c r="DKC62" s="87" t="str">
        <f>IF(ISNUMBER(outYear),DKC37+DKC42+#REF!+DKC59,"")</f>
        <v/>
      </c>
      <c r="DKD62" s="87" t="str">
        <f>IF(ISNUMBER(outYear),DKD37+DKD42+#REF!+DKD59,"")</f>
        <v/>
      </c>
      <c r="DKE62" s="87" t="str">
        <f>IF(ISNUMBER(outYear),DKE37+DKE42+#REF!+DKE59,"")</f>
        <v/>
      </c>
      <c r="DKF62" s="87" t="str">
        <f>IF(ISNUMBER(outYear),DKF37+DKF42+#REF!+DKF59,"")</f>
        <v/>
      </c>
      <c r="DKG62" s="87" t="str">
        <f>IF(ISNUMBER(outYear),DKG37+DKG42+#REF!+DKG59,"")</f>
        <v/>
      </c>
      <c r="DKH62" s="87" t="str">
        <f>IF(ISNUMBER(outYear),DKH37+DKH42+#REF!+DKH59,"")</f>
        <v/>
      </c>
      <c r="DKI62" s="87" t="str">
        <f>IF(ISNUMBER(outYear),DKI37+DKI42+#REF!+DKI59,"")</f>
        <v/>
      </c>
      <c r="DKJ62" s="87" t="str">
        <f>IF(ISNUMBER(outYear),DKJ37+DKJ42+#REF!+DKJ59,"")</f>
        <v/>
      </c>
      <c r="DKK62" s="87" t="str">
        <f>IF(ISNUMBER(outYear),DKK37+DKK42+#REF!+DKK59,"")</f>
        <v/>
      </c>
      <c r="DKL62" s="87" t="str">
        <f>IF(ISNUMBER(outYear),DKL37+DKL42+#REF!+DKL59,"")</f>
        <v/>
      </c>
      <c r="DKM62" s="87" t="str">
        <f>IF(ISNUMBER(outYear),DKM37+DKM42+#REF!+DKM59,"")</f>
        <v/>
      </c>
      <c r="DKN62" s="87" t="str">
        <f>IF(ISNUMBER(outYear),DKN37+DKN42+#REF!+DKN59,"")</f>
        <v/>
      </c>
      <c r="DKO62" s="87" t="str">
        <f>IF(ISNUMBER(outYear),DKO37+DKO42+#REF!+DKO59,"")</f>
        <v/>
      </c>
      <c r="DKP62" s="87" t="str">
        <f>IF(ISNUMBER(outYear),DKP37+DKP42+#REF!+DKP59,"")</f>
        <v/>
      </c>
      <c r="DKQ62" s="87" t="str">
        <f>IF(ISNUMBER(outYear),DKQ37+DKQ42+#REF!+DKQ59,"")</f>
        <v/>
      </c>
      <c r="DKR62" s="87" t="str">
        <f>IF(ISNUMBER(outYear),DKR37+DKR42+#REF!+DKR59,"")</f>
        <v/>
      </c>
      <c r="DKS62" s="87" t="str">
        <f>IF(ISNUMBER(outYear),DKS37+DKS42+#REF!+DKS59,"")</f>
        <v/>
      </c>
      <c r="DKT62" s="87" t="str">
        <f>IF(ISNUMBER(outYear),DKT37+DKT42+#REF!+DKT59,"")</f>
        <v/>
      </c>
      <c r="DKU62" s="87" t="str">
        <f>IF(ISNUMBER(outYear),DKU37+DKU42+#REF!+DKU59,"")</f>
        <v/>
      </c>
      <c r="DKV62" s="87" t="str">
        <f>IF(ISNUMBER(outYear),DKV37+DKV42+#REF!+DKV59,"")</f>
        <v/>
      </c>
      <c r="DKW62" s="87" t="str">
        <f>IF(ISNUMBER(outYear),DKW37+DKW42+#REF!+DKW59,"")</f>
        <v/>
      </c>
      <c r="DKX62" s="87" t="str">
        <f>IF(ISNUMBER(outYear),DKX37+DKX42+#REF!+DKX59,"")</f>
        <v/>
      </c>
      <c r="DKY62" s="87" t="str">
        <f>IF(ISNUMBER(outYear),DKY37+DKY42+#REF!+DKY59,"")</f>
        <v/>
      </c>
      <c r="DKZ62" s="87" t="str">
        <f>IF(ISNUMBER(outYear),DKZ37+DKZ42+#REF!+DKZ59,"")</f>
        <v/>
      </c>
      <c r="DLA62" s="87" t="str">
        <f>IF(ISNUMBER(outYear),DLA37+DLA42+#REF!+DLA59,"")</f>
        <v/>
      </c>
      <c r="DLB62" s="87" t="str">
        <f>IF(ISNUMBER(outYear),DLB37+DLB42+#REF!+DLB59,"")</f>
        <v/>
      </c>
      <c r="DLC62" s="87" t="str">
        <f>IF(ISNUMBER(outYear),DLC37+DLC42+#REF!+DLC59,"")</f>
        <v/>
      </c>
      <c r="DLD62" s="87" t="str">
        <f>IF(ISNUMBER(outYear),DLD37+DLD42+#REF!+DLD59,"")</f>
        <v/>
      </c>
      <c r="DLE62" s="87" t="str">
        <f>IF(ISNUMBER(outYear),DLE37+DLE42+#REF!+DLE59,"")</f>
        <v/>
      </c>
      <c r="DLF62" s="87" t="str">
        <f>IF(ISNUMBER(outYear),DLF37+DLF42+#REF!+DLF59,"")</f>
        <v/>
      </c>
      <c r="DLG62" s="87" t="str">
        <f>IF(ISNUMBER(outYear),DLG37+DLG42+#REF!+DLG59,"")</f>
        <v/>
      </c>
      <c r="DLH62" s="87" t="str">
        <f>IF(ISNUMBER(outYear),DLH37+DLH42+#REF!+DLH59,"")</f>
        <v/>
      </c>
      <c r="DLI62" s="87" t="str">
        <f>IF(ISNUMBER(outYear),DLI37+DLI42+#REF!+DLI59,"")</f>
        <v/>
      </c>
      <c r="DLJ62" s="87" t="str">
        <f>IF(ISNUMBER(outYear),DLJ37+DLJ42+#REF!+DLJ59,"")</f>
        <v/>
      </c>
      <c r="DLK62" s="87" t="str">
        <f>IF(ISNUMBER(outYear),DLK37+DLK42+#REF!+DLK59,"")</f>
        <v/>
      </c>
      <c r="DLL62" s="87" t="str">
        <f>IF(ISNUMBER(outYear),DLL37+DLL42+#REF!+DLL59,"")</f>
        <v/>
      </c>
      <c r="DLM62" s="87" t="str">
        <f>IF(ISNUMBER(outYear),DLM37+DLM42+#REF!+DLM59,"")</f>
        <v/>
      </c>
      <c r="DLN62" s="87" t="str">
        <f>IF(ISNUMBER(outYear),DLN37+DLN42+#REF!+DLN59,"")</f>
        <v/>
      </c>
      <c r="DLO62" s="87" t="str">
        <f>IF(ISNUMBER(outYear),DLO37+DLO42+#REF!+DLO59,"")</f>
        <v/>
      </c>
      <c r="DLP62" s="87" t="str">
        <f>IF(ISNUMBER(outYear),DLP37+DLP42+#REF!+DLP59,"")</f>
        <v/>
      </c>
      <c r="DLQ62" s="87" t="str">
        <f>IF(ISNUMBER(outYear),DLQ37+DLQ42+#REF!+DLQ59,"")</f>
        <v/>
      </c>
      <c r="DLR62" s="87" t="str">
        <f>IF(ISNUMBER(outYear),DLR37+DLR42+#REF!+DLR59,"")</f>
        <v/>
      </c>
      <c r="DLS62" s="87" t="str">
        <f>IF(ISNUMBER(outYear),DLS37+DLS42+#REF!+DLS59,"")</f>
        <v/>
      </c>
      <c r="DLT62" s="87" t="str">
        <f>IF(ISNUMBER(outYear),DLT37+DLT42+#REF!+DLT59,"")</f>
        <v/>
      </c>
      <c r="DLU62" s="87" t="str">
        <f>IF(ISNUMBER(outYear),DLU37+DLU42+#REF!+DLU59,"")</f>
        <v/>
      </c>
      <c r="DLV62" s="87" t="str">
        <f>IF(ISNUMBER(outYear),DLV37+DLV42+#REF!+DLV59,"")</f>
        <v/>
      </c>
      <c r="DLW62" s="87" t="str">
        <f>IF(ISNUMBER(outYear),DLW37+DLW42+#REF!+DLW59,"")</f>
        <v/>
      </c>
      <c r="DLX62" s="87" t="str">
        <f>IF(ISNUMBER(outYear),DLX37+DLX42+#REF!+DLX59,"")</f>
        <v/>
      </c>
      <c r="DLY62" s="87" t="str">
        <f>IF(ISNUMBER(outYear),DLY37+DLY42+#REF!+DLY59,"")</f>
        <v/>
      </c>
      <c r="DLZ62" s="87" t="str">
        <f>IF(ISNUMBER(outYear),DLZ37+DLZ42+#REF!+DLZ59,"")</f>
        <v/>
      </c>
      <c r="DMA62" s="87" t="str">
        <f>IF(ISNUMBER(outYear),DMA37+DMA42+#REF!+DMA59,"")</f>
        <v/>
      </c>
      <c r="DMB62" s="87" t="str">
        <f>IF(ISNUMBER(outYear),DMB37+DMB42+#REF!+DMB59,"")</f>
        <v/>
      </c>
      <c r="DMC62" s="87" t="str">
        <f>IF(ISNUMBER(outYear),DMC37+DMC42+#REF!+DMC59,"")</f>
        <v/>
      </c>
      <c r="DMD62" s="87" t="str">
        <f>IF(ISNUMBER(outYear),DMD37+DMD42+#REF!+DMD59,"")</f>
        <v/>
      </c>
      <c r="DME62" s="87" t="str">
        <f>IF(ISNUMBER(outYear),DME37+DME42+#REF!+DME59,"")</f>
        <v/>
      </c>
      <c r="DMF62" s="87" t="str">
        <f>IF(ISNUMBER(outYear),DMF37+DMF42+#REF!+DMF59,"")</f>
        <v/>
      </c>
      <c r="DMG62" s="87" t="str">
        <f>IF(ISNUMBER(outYear),DMG37+DMG42+#REF!+DMG59,"")</f>
        <v/>
      </c>
      <c r="DMH62" s="87" t="str">
        <f>IF(ISNUMBER(outYear),DMH37+DMH42+#REF!+DMH59,"")</f>
        <v/>
      </c>
      <c r="DMI62" s="87" t="str">
        <f>IF(ISNUMBER(outYear),DMI37+DMI42+#REF!+DMI59,"")</f>
        <v/>
      </c>
      <c r="DMJ62" s="87" t="str">
        <f>IF(ISNUMBER(outYear),DMJ37+DMJ42+#REF!+DMJ59,"")</f>
        <v/>
      </c>
      <c r="DMK62" s="87" t="str">
        <f>IF(ISNUMBER(outYear),DMK37+DMK42+#REF!+DMK59,"")</f>
        <v/>
      </c>
      <c r="DML62" s="87" t="str">
        <f>IF(ISNUMBER(outYear),DML37+DML42+#REF!+DML59,"")</f>
        <v/>
      </c>
      <c r="DMM62" s="87" t="str">
        <f>IF(ISNUMBER(outYear),DMM37+DMM42+#REF!+DMM59,"")</f>
        <v/>
      </c>
      <c r="DMN62" s="87" t="str">
        <f>IF(ISNUMBER(outYear),DMN37+DMN42+#REF!+DMN59,"")</f>
        <v/>
      </c>
      <c r="DMO62" s="87" t="str">
        <f>IF(ISNUMBER(outYear),DMO37+DMO42+#REF!+DMO59,"")</f>
        <v/>
      </c>
      <c r="DMP62" s="87" t="str">
        <f>IF(ISNUMBER(outYear),DMP37+DMP42+#REF!+DMP59,"")</f>
        <v/>
      </c>
      <c r="DMQ62" s="87" t="str">
        <f>IF(ISNUMBER(outYear),DMQ37+DMQ42+#REF!+DMQ59,"")</f>
        <v/>
      </c>
      <c r="DMR62" s="87" t="str">
        <f>IF(ISNUMBER(outYear),DMR37+DMR42+#REF!+DMR59,"")</f>
        <v/>
      </c>
      <c r="DMS62" s="87" t="str">
        <f>IF(ISNUMBER(outYear),DMS37+DMS42+#REF!+DMS59,"")</f>
        <v/>
      </c>
      <c r="DMT62" s="87" t="str">
        <f>IF(ISNUMBER(outYear),DMT37+DMT42+#REF!+DMT59,"")</f>
        <v/>
      </c>
      <c r="DMU62" s="87" t="str">
        <f>IF(ISNUMBER(outYear),DMU37+DMU42+#REF!+DMU59,"")</f>
        <v/>
      </c>
      <c r="DMV62" s="87" t="str">
        <f>IF(ISNUMBER(outYear),DMV37+DMV42+#REF!+DMV59,"")</f>
        <v/>
      </c>
      <c r="DMW62" s="87" t="str">
        <f>IF(ISNUMBER(outYear),DMW37+DMW42+#REF!+DMW59,"")</f>
        <v/>
      </c>
      <c r="DMX62" s="87" t="str">
        <f>IF(ISNUMBER(outYear),DMX37+DMX42+#REF!+DMX59,"")</f>
        <v/>
      </c>
      <c r="DMY62" s="87" t="str">
        <f>IF(ISNUMBER(outYear),DMY37+DMY42+#REF!+DMY59,"")</f>
        <v/>
      </c>
      <c r="DMZ62" s="87" t="str">
        <f>IF(ISNUMBER(outYear),DMZ37+DMZ42+#REF!+DMZ59,"")</f>
        <v/>
      </c>
      <c r="DNA62" s="87" t="str">
        <f>IF(ISNUMBER(outYear),DNA37+DNA42+#REF!+DNA59,"")</f>
        <v/>
      </c>
      <c r="DNB62" s="87" t="str">
        <f>IF(ISNUMBER(outYear),DNB37+DNB42+#REF!+DNB59,"")</f>
        <v/>
      </c>
      <c r="DNC62" s="87" t="str">
        <f>IF(ISNUMBER(outYear),DNC37+DNC42+#REF!+DNC59,"")</f>
        <v/>
      </c>
      <c r="DND62" s="87" t="str">
        <f>IF(ISNUMBER(outYear),DND37+DND42+#REF!+DND59,"")</f>
        <v/>
      </c>
      <c r="DNE62" s="87" t="str">
        <f>IF(ISNUMBER(outYear),DNE37+DNE42+#REF!+DNE59,"")</f>
        <v/>
      </c>
      <c r="DNF62" s="87" t="str">
        <f>IF(ISNUMBER(outYear),DNF37+DNF42+#REF!+DNF59,"")</f>
        <v/>
      </c>
      <c r="DNG62" s="87" t="str">
        <f>IF(ISNUMBER(outYear),DNG37+DNG42+#REF!+DNG59,"")</f>
        <v/>
      </c>
      <c r="DNH62" s="87" t="str">
        <f>IF(ISNUMBER(outYear),DNH37+DNH42+#REF!+DNH59,"")</f>
        <v/>
      </c>
      <c r="DNI62" s="87" t="str">
        <f>IF(ISNUMBER(outYear),DNI37+DNI42+#REF!+DNI59,"")</f>
        <v/>
      </c>
      <c r="DNJ62" s="87" t="str">
        <f>IF(ISNUMBER(outYear),DNJ37+DNJ42+#REF!+DNJ59,"")</f>
        <v/>
      </c>
      <c r="DNK62" s="87" t="str">
        <f>IF(ISNUMBER(outYear),DNK37+DNK42+#REF!+DNK59,"")</f>
        <v/>
      </c>
      <c r="DNL62" s="87" t="str">
        <f>IF(ISNUMBER(outYear),DNL37+DNL42+#REF!+DNL59,"")</f>
        <v/>
      </c>
      <c r="DNM62" s="87" t="str">
        <f>IF(ISNUMBER(outYear),DNM37+DNM42+#REF!+DNM59,"")</f>
        <v/>
      </c>
      <c r="DNN62" s="87" t="str">
        <f>IF(ISNUMBER(outYear),DNN37+DNN42+#REF!+DNN59,"")</f>
        <v/>
      </c>
      <c r="DNO62" s="87" t="str">
        <f>IF(ISNUMBER(outYear),DNO37+DNO42+#REF!+DNO59,"")</f>
        <v/>
      </c>
      <c r="DNP62" s="87" t="str">
        <f>IF(ISNUMBER(outYear),DNP37+DNP42+#REF!+DNP59,"")</f>
        <v/>
      </c>
      <c r="DNQ62" s="87" t="str">
        <f>IF(ISNUMBER(outYear),DNQ37+DNQ42+#REF!+DNQ59,"")</f>
        <v/>
      </c>
      <c r="DNR62" s="87" t="str">
        <f>IF(ISNUMBER(outYear),DNR37+DNR42+#REF!+DNR59,"")</f>
        <v/>
      </c>
      <c r="DNS62" s="87" t="str">
        <f>IF(ISNUMBER(outYear),DNS37+DNS42+#REF!+DNS59,"")</f>
        <v/>
      </c>
      <c r="DNT62" s="87" t="str">
        <f>IF(ISNUMBER(outYear),DNT37+DNT42+#REF!+DNT59,"")</f>
        <v/>
      </c>
      <c r="DNU62" s="87" t="str">
        <f>IF(ISNUMBER(outYear),DNU37+DNU42+#REF!+DNU59,"")</f>
        <v/>
      </c>
      <c r="DNV62" s="87" t="str">
        <f>IF(ISNUMBER(outYear),DNV37+DNV42+#REF!+DNV59,"")</f>
        <v/>
      </c>
      <c r="DNW62" s="87" t="str">
        <f>IF(ISNUMBER(outYear),DNW37+DNW42+#REF!+DNW59,"")</f>
        <v/>
      </c>
      <c r="DNX62" s="87" t="str">
        <f>IF(ISNUMBER(outYear),DNX37+DNX42+#REF!+DNX59,"")</f>
        <v/>
      </c>
      <c r="DNY62" s="87" t="str">
        <f>IF(ISNUMBER(outYear),DNY37+DNY42+#REF!+DNY59,"")</f>
        <v/>
      </c>
      <c r="DNZ62" s="87" t="str">
        <f>IF(ISNUMBER(outYear),DNZ37+DNZ42+#REF!+DNZ59,"")</f>
        <v/>
      </c>
      <c r="DOA62" s="87" t="str">
        <f>IF(ISNUMBER(outYear),DOA37+DOA42+#REF!+DOA59,"")</f>
        <v/>
      </c>
      <c r="DOB62" s="87" t="str">
        <f>IF(ISNUMBER(outYear),DOB37+DOB42+#REF!+DOB59,"")</f>
        <v/>
      </c>
      <c r="DOC62" s="87" t="str">
        <f>IF(ISNUMBER(outYear),DOC37+DOC42+#REF!+DOC59,"")</f>
        <v/>
      </c>
      <c r="DOD62" s="87" t="str">
        <f>IF(ISNUMBER(outYear),DOD37+DOD42+#REF!+DOD59,"")</f>
        <v/>
      </c>
      <c r="DOE62" s="87" t="str">
        <f>IF(ISNUMBER(outYear),DOE37+DOE42+#REF!+DOE59,"")</f>
        <v/>
      </c>
      <c r="DOF62" s="87" t="str">
        <f>IF(ISNUMBER(outYear),DOF37+DOF42+#REF!+DOF59,"")</f>
        <v/>
      </c>
      <c r="DOG62" s="87" t="str">
        <f>IF(ISNUMBER(outYear),DOG37+DOG42+#REF!+DOG59,"")</f>
        <v/>
      </c>
      <c r="DOH62" s="87" t="str">
        <f>IF(ISNUMBER(outYear),DOH37+DOH42+#REF!+DOH59,"")</f>
        <v/>
      </c>
      <c r="DOI62" s="87" t="str">
        <f>IF(ISNUMBER(outYear),DOI37+DOI42+#REF!+DOI59,"")</f>
        <v/>
      </c>
      <c r="DOJ62" s="87" t="str">
        <f>IF(ISNUMBER(outYear),DOJ37+DOJ42+#REF!+DOJ59,"")</f>
        <v/>
      </c>
      <c r="DOK62" s="87" t="str">
        <f>IF(ISNUMBER(outYear),DOK37+DOK42+#REF!+DOK59,"")</f>
        <v/>
      </c>
      <c r="DOL62" s="87" t="str">
        <f>IF(ISNUMBER(outYear),DOL37+DOL42+#REF!+DOL59,"")</f>
        <v/>
      </c>
      <c r="DOM62" s="87" t="str">
        <f>IF(ISNUMBER(outYear),DOM37+DOM42+#REF!+DOM59,"")</f>
        <v/>
      </c>
      <c r="DON62" s="87" t="str">
        <f>IF(ISNUMBER(outYear),DON37+DON42+#REF!+DON59,"")</f>
        <v/>
      </c>
      <c r="DOO62" s="87" t="str">
        <f>IF(ISNUMBER(outYear),DOO37+DOO42+#REF!+DOO59,"")</f>
        <v/>
      </c>
      <c r="DOP62" s="87" t="str">
        <f>IF(ISNUMBER(outYear),DOP37+DOP42+#REF!+DOP59,"")</f>
        <v/>
      </c>
      <c r="DOQ62" s="87" t="str">
        <f>IF(ISNUMBER(outYear),DOQ37+DOQ42+#REF!+DOQ59,"")</f>
        <v/>
      </c>
      <c r="DOR62" s="87" t="str">
        <f>IF(ISNUMBER(outYear),DOR37+DOR42+#REF!+DOR59,"")</f>
        <v/>
      </c>
      <c r="DOS62" s="87" t="str">
        <f>IF(ISNUMBER(outYear),DOS37+DOS42+#REF!+DOS59,"")</f>
        <v/>
      </c>
      <c r="DOT62" s="87" t="str">
        <f>IF(ISNUMBER(outYear),DOT37+DOT42+#REF!+DOT59,"")</f>
        <v/>
      </c>
      <c r="DOU62" s="87" t="str">
        <f>IF(ISNUMBER(outYear),DOU37+DOU42+#REF!+DOU59,"")</f>
        <v/>
      </c>
      <c r="DOV62" s="87" t="str">
        <f>IF(ISNUMBER(outYear),DOV37+DOV42+#REF!+DOV59,"")</f>
        <v/>
      </c>
      <c r="DOW62" s="87" t="str">
        <f>IF(ISNUMBER(outYear),DOW37+DOW42+#REF!+DOW59,"")</f>
        <v/>
      </c>
      <c r="DOX62" s="87" t="str">
        <f>IF(ISNUMBER(outYear),DOX37+DOX42+#REF!+DOX59,"")</f>
        <v/>
      </c>
      <c r="DOY62" s="87" t="str">
        <f>IF(ISNUMBER(outYear),DOY37+DOY42+#REF!+DOY59,"")</f>
        <v/>
      </c>
      <c r="DOZ62" s="87" t="str">
        <f>IF(ISNUMBER(outYear),DOZ37+DOZ42+#REF!+DOZ59,"")</f>
        <v/>
      </c>
      <c r="DPA62" s="87" t="str">
        <f>IF(ISNUMBER(outYear),DPA37+DPA42+#REF!+DPA59,"")</f>
        <v/>
      </c>
      <c r="DPB62" s="87" t="str">
        <f>IF(ISNUMBER(outYear),DPB37+DPB42+#REF!+DPB59,"")</f>
        <v/>
      </c>
      <c r="DPC62" s="87" t="str">
        <f>IF(ISNUMBER(outYear),DPC37+DPC42+#REF!+DPC59,"")</f>
        <v/>
      </c>
      <c r="DPD62" s="87" t="str">
        <f>IF(ISNUMBER(outYear),DPD37+DPD42+#REF!+DPD59,"")</f>
        <v/>
      </c>
      <c r="DPE62" s="87" t="str">
        <f>IF(ISNUMBER(outYear),DPE37+DPE42+#REF!+DPE59,"")</f>
        <v/>
      </c>
      <c r="DPF62" s="87" t="str">
        <f>IF(ISNUMBER(outYear),DPF37+DPF42+#REF!+DPF59,"")</f>
        <v/>
      </c>
      <c r="DPG62" s="87" t="str">
        <f>IF(ISNUMBER(outYear),DPG37+DPG42+#REF!+DPG59,"")</f>
        <v/>
      </c>
      <c r="DPH62" s="87" t="str">
        <f>IF(ISNUMBER(outYear),DPH37+DPH42+#REF!+DPH59,"")</f>
        <v/>
      </c>
      <c r="DPI62" s="87" t="str">
        <f>IF(ISNUMBER(outYear),DPI37+DPI42+#REF!+DPI59,"")</f>
        <v/>
      </c>
      <c r="DPJ62" s="87" t="str">
        <f>IF(ISNUMBER(outYear),DPJ37+DPJ42+#REF!+DPJ59,"")</f>
        <v/>
      </c>
      <c r="DPK62" s="87" t="str">
        <f>IF(ISNUMBER(outYear),DPK37+DPK42+#REF!+DPK59,"")</f>
        <v/>
      </c>
      <c r="DPL62" s="87" t="str">
        <f>IF(ISNUMBER(outYear),DPL37+DPL42+#REF!+DPL59,"")</f>
        <v/>
      </c>
      <c r="DPM62" s="87" t="str">
        <f>IF(ISNUMBER(outYear),DPM37+DPM42+#REF!+DPM59,"")</f>
        <v/>
      </c>
      <c r="DPN62" s="87" t="str">
        <f>IF(ISNUMBER(outYear),DPN37+DPN42+#REF!+DPN59,"")</f>
        <v/>
      </c>
      <c r="DPO62" s="87" t="str">
        <f>IF(ISNUMBER(outYear),DPO37+DPO42+#REF!+DPO59,"")</f>
        <v/>
      </c>
      <c r="DPP62" s="87" t="str">
        <f>IF(ISNUMBER(outYear),DPP37+DPP42+#REF!+DPP59,"")</f>
        <v/>
      </c>
      <c r="DPQ62" s="87" t="str">
        <f>IF(ISNUMBER(outYear),DPQ37+DPQ42+#REF!+DPQ59,"")</f>
        <v/>
      </c>
      <c r="DPR62" s="87" t="str">
        <f>IF(ISNUMBER(outYear),DPR37+DPR42+#REF!+DPR59,"")</f>
        <v/>
      </c>
      <c r="DPS62" s="87" t="str">
        <f>IF(ISNUMBER(outYear),DPS37+DPS42+#REF!+DPS59,"")</f>
        <v/>
      </c>
      <c r="DPT62" s="87" t="str">
        <f>IF(ISNUMBER(outYear),DPT37+DPT42+#REF!+DPT59,"")</f>
        <v/>
      </c>
      <c r="DPU62" s="87" t="str">
        <f>IF(ISNUMBER(outYear),DPU37+DPU42+#REF!+DPU59,"")</f>
        <v/>
      </c>
      <c r="DPV62" s="87" t="str">
        <f>IF(ISNUMBER(outYear),DPV37+DPV42+#REF!+DPV59,"")</f>
        <v/>
      </c>
      <c r="DPW62" s="87" t="str">
        <f>IF(ISNUMBER(outYear),DPW37+DPW42+#REF!+DPW59,"")</f>
        <v/>
      </c>
      <c r="DPX62" s="87" t="str">
        <f>IF(ISNUMBER(outYear),DPX37+DPX42+#REF!+DPX59,"")</f>
        <v/>
      </c>
      <c r="DPY62" s="87" t="str">
        <f>IF(ISNUMBER(outYear),DPY37+DPY42+#REF!+DPY59,"")</f>
        <v/>
      </c>
      <c r="DPZ62" s="87" t="str">
        <f>IF(ISNUMBER(outYear),DPZ37+DPZ42+#REF!+DPZ59,"")</f>
        <v/>
      </c>
      <c r="DQA62" s="87" t="str">
        <f>IF(ISNUMBER(outYear),DQA37+DQA42+#REF!+DQA59,"")</f>
        <v/>
      </c>
      <c r="DQB62" s="87" t="str">
        <f>IF(ISNUMBER(outYear),DQB37+DQB42+#REF!+DQB59,"")</f>
        <v/>
      </c>
      <c r="DQC62" s="87" t="str">
        <f>IF(ISNUMBER(outYear),DQC37+DQC42+#REF!+DQC59,"")</f>
        <v/>
      </c>
      <c r="DQD62" s="87" t="str">
        <f>IF(ISNUMBER(outYear),DQD37+DQD42+#REF!+DQD59,"")</f>
        <v/>
      </c>
      <c r="DQE62" s="87" t="str">
        <f>IF(ISNUMBER(outYear),DQE37+DQE42+#REF!+DQE59,"")</f>
        <v/>
      </c>
      <c r="DQF62" s="87" t="str">
        <f>IF(ISNUMBER(outYear),DQF37+DQF42+#REF!+DQF59,"")</f>
        <v/>
      </c>
      <c r="DQG62" s="87" t="str">
        <f>IF(ISNUMBER(outYear),DQG37+DQG42+#REF!+DQG59,"")</f>
        <v/>
      </c>
      <c r="DQH62" s="87" t="str">
        <f>IF(ISNUMBER(outYear),DQH37+DQH42+#REF!+DQH59,"")</f>
        <v/>
      </c>
      <c r="DQI62" s="87" t="str">
        <f>IF(ISNUMBER(outYear),DQI37+DQI42+#REF!+DQI59,"")</f>
        <v/>
      </c>
      <c r="DQJ62" s="87" t="str">
        <f>IF(ISNUMBER(outYear),DQJ37+DQJ42+#REF!+DQJ59,"")</f>
        <v/>
      </c>
      <c r="DQK62" s="87" t="str">
        <f>IF(ISNUMBER(outYear),DQK37+DQK42+#REF!+DQK59,"")</f>
        <v/>
      </c>
      <c r="DQL62" s="87" t="str">
        <f>IF(ISNUMBER(outYear),DQL37+DQL42+#REF!+DQL59,"")</f>
        <v/>
      </c>
      <c r="DQM62" s="87" t="str">
        <f>IF(ISNUMBER(outYear),DQM37+DQM42+#REF!+DQM59,"")</f>
        <v/>
      </c>
      <c r="DQN62" s="87" t="str">
        <f>IF(ISNUMBER(outYear),DQN37+DQN42+#REF!+DQN59,"")</f>
        <v/>
      </c>
      <c r="DQO62" s="87" t="str">
        <f>IF(ISNUMBER(outYear),DQO37+DQO42+#REF!+DQO59,"")</f>
        <v/>
      </c>
      <c r="DQP62" s="87" t="str">
        <f>IF(ISNUMBER(outYear),DQP37+DQP42+#REF!+DQP59,"")</f>
        <v/>
      </c>
      <c r="DQQ62" s="87" t="str">
        <f>IF(ISNUMBER(outYear),DQQ37+DQQ42+#REF!+DQQ59,"")</f>
        <v/>
      </c>
      <c r="DQR62" s="87" t="str">
        <f>IF(ISNUMBER(outYear),DQR37+DQR42+#REF!+DQR59,"")</f>
        <v/>
      </c>
      <c r="DQS62" s="87" t="str">
        <f>IF(ISNUMBER(outYear),DQS37+DQS42+#REF!+DQS59,"")</f>
        <v/>
      </c>
      <c r="DQT62" s="87" t="str">
        <f>IF(ISNUMBER(outYear),DQT37+DQT42+#REF!+DQT59,"")</f>
        <v/>
      </c>
      <c r="DQU62" s="87" t="str">
        <f>IF(ISNUMBER(outYear),DQU37+DQU42+#REF!+DQU59,"")</f>
        <v/>
      </c>
      <c r="DQV62" s="87" t="str">
        <f>IF(ISNUMBER(outYear),DQV37+DQV42+#REF!+DQV59,"")</f>
        <v/>
      </c>
      <c r="DQW62" s="87" t="str">
        <f>IF(ISNUMBER(outYear),DQW37+DQW42+#REF!+DQW59,"")</f>
        <v/>
      </c>
      <c r="DQX62" s="87" t="str">
        <f>IF(ISNUMBER(outYear),DQX37+DQX42+#REF!+DQX59,"")</f>
        <v/>
      </c>
      <c r="DQY62" s="87" t="str">
        <f>IF(ISNUMBER(outYear),DQY37+DQY42+#REF!+DQY59,"")</f>
        <v/>
      </c>
      <c r="DQZ62" s="87" t="str">
        <f>IF(ISNUMBER(outYear),DQZ37+DQZ42+#REF!+DQZ59,"")</f>
        <v/>
      </c>
      <c r="DRA62" s="87" t="str">
        <f>IF(ISNUMBER(outYear),DRA37+DRA42+#REF!+DRA59,"")</f>
        <v/>
      </c>
      <c r="DRB62" s="87" t="str">
        <f>IF(ISNUMBER(outYear),DRB37+DRB42+#REF!+DRB59,"")</f>
        <v/>
      </c>
      <c r="DRC62" s="87" t="str">
        <f>IF(ISNUMBER(outYear),DRC37+DRC42+#REF!+DRC59,"")</f>
        <v/>
      </c>
      <c r="DRD62" s="87" t="str">
        <f>IF(ISNUMBER(outYear),DRD37+DRD42+#REF!+DRD59,"")</f>
        <v/>
      </c>
      <c r="DRE62" s="87" t="str">
        <f>IF(ISNUMBER(outYear),DRE37+DRE42+#REF!+DRE59,"")</f>
        <v/>
      </c>
      <c r="DRF62" s="87" t="str">
        <f>IF(ISNUMBER(outYear),DRF37+DRF42+#REF!+DRF59,"")</f>
        <v/>
      </c>
      <c r="DRG62" s="87" t="str">
        <f>IF(ISNUMBER(outYear),DRG37+DRG42+#REF!+DRG59,"")</f>
        <v/>
      </c>
      <c r="DRH62" s="87" t="str">
        <f>IF(ISNUMBER(outYear),DRH37+DRH42+#REF!+DRH59,"")</f>
        <v/>
      </c>
      <c r="DRI62" s="87" t="str">
        <f>IF(ISNUMBER(outYear),DRI37+DRI42+#REF!+DRI59,"")</f>
        <v/>
      </c>
      <c r="DRJ62" s="87" t="str">
        <f>IF(ISNUMBER(outYear),DRJ37+DRJ42+#REF!+DRJ59,"")</f>
        <v/>
      </c>
      <c r="DRK62" s="87" t="str">
        <f>IF(ISNUMBER(outYear),DRK37+DRK42+#REF!+DRK59,"")</f>
        <v/>
      </c>
      <c r="DRL62" s="87" t="str">
        <f>IF(ISNUMBER(outYear),DRL37+DRL42+#REF!+DRL59,"")</f>
        <v/>
      </c>
      <c r="DRM62" s="87" t="str">
        <f>IF(ISNUMBER(outYear),DRM37+DRM42+#REF!+DRM59,"")</f>
        <v/>
      </c>
      <c r="DRN62" s="87" t="str">
        <f>IF(ISNUMBER(outYear),DRN37+DRN42+#REF!+DRN59,"")</f>
        <v/>
      </c>
      <c r="DRO62" s="87" t="str">
        <f>IF(ISNUMBER(outYear),DRO37+DRO42+#REF!+DRO59,"")</f>
        <v/>
      </c>
      <c r="DRP62" s="87" t="str">
        <f>IF(ISNUMBER(outYear),DRP37+DRP42+#REF!+DRP59,"")</f>
        <v/>
      </c>
      <c r="DRQ62" s="87" t="str">
        <f>IF(ISNUMBER(outYear),DRQ37+DRQ42+#REF!+DRQ59,"")</f>
        <v/>
      </c>
      <c r="DRR62" s="87" t="str">
        <f>IF(ISNUMBER(outYear),DRR37+DRR42+#REF!+DRR59,"")</f>
        <v/>
      </c>
      <c r="DRS62" s="87" t="str">
        <f>IF(ISNUMBER(outYear),DRS37+DRS42+#REF!+DRS59,"")</f>
        <v/>
      </c>
      <c r="DRT62" s="87" t="str">
        <f>IF(ISNUMBER(outYear),DRT37+DRT42+#REF!+DRT59,"")</f>
        <v/>
      </c>
      <c r="DRU62" s="87" t="str">
        <f>IF(ISNUMBER(outYear),DRU37+DRU42+#REF!+DRU59,"")</f>
        <v/>
      </c>
      <c r="DRV62" s="87" t="str">
        <f>IF(ISNUMBER(outYear),DRV37+DRV42+#REF!+DRV59,"")</f>
        <v/>
      </c>
      <c r="DRW62" s="87" t="str">
        <f>IF(ISNUMBER(outYear),DRW37+DRW42+#REF!+DRW59,"")</f>
        <v/>
      </c>
      <c r="DRX62" s="87" t="str">
        <f>IF(ISNUMBER(outYear),DRX37+DRX42+#REF!+DRX59,"")</f>
        <v/>
      </c>
      <c r="DRY62" s="87" t="str">
        <f>IF(ISNUMBER(outYear),DRY37+DRY42+#REF!+DRY59,"")</f>
        <v/>
      </c>
      <c r="DRZ62" s="87" t="str">
        <f>IF(ISNUMBER(outYear),DRZ37+DRZ42+#REF!+DRZ59,"")</f>
        <v/>
      </c>
      <c r="DSA62" s="87" t="str">
        <f>IF(ISNUMBER(outYear),DSA37+DSA42+#REF!+DSA59,"")</f>
        <v/>
      </c>
      <c r="DSB62" s="87" t="str">
        <f>IF(ISNUMBER(outYear),DSB37+DSB42+#REF!+DSB59,"")</f>
        <v/>
      </c>
      <c r="DSC62" s="87" t="str">
        <f>IF(ISNUMBER(outYear),DSC37+DSC42+#REF!+DSC59,"")</f>
        <v/>
      </c>
      <c r="DSD62" s="87" t="str">
        <f>IF(ISNUMBER(outYear),DSD37+DSD42+#REF!+DSD59,"")</f>
        <v/>
      </c>
      <c r="DSE62" s="87" t="str">
        <f>IF(ISNUMBER(outYear),DSE37+DSE42+#REF!+DSE59,"")</f>
        <v/>
      </c>
      <c r="DSF62" s="87" t="str">
        <f>IF(ISNUMBER(outYear),DSF37+DSF42+#REF!+DSF59,"")</f>
        <v/>
      </c>
      <c r="DSG62" s="87" t="str">
        <f>IF(ISNUMBER(outYear),DSG37+DSG42+#REF!+DSG59,"")</f>
        <v/>
      </c>
      <c r="DSH62" s="87" t="str">
        <f>IF(ISNUMBER(outYear),DSH37+DSH42+#REF!+DSH59,"")</f>
        <v/>
      </c>
      <c r="DSI62" s="87" t="str">
        <f>IF(ISNUMBER(outYear),DSI37+DSI42+#REF!+DSI59,"")</f>
        <v/>
      </c>
      <c r="DSJ62" s="87" t="str">
        <f>IF(ISNUMBER(outYear),DSJ37+DSJ42+#REF!+DSJ59,"")</f>
        <v/>
      </c>
      <c r="DSK62" s="87" t="str">
        <f>IF(ISNUMBER(outYear),DSK37+DSK42+#REF!+DSK59,"")</f>
        <v/>
      </c>
      <c r="DSL62" s="87" t="str">
        <f>IF(ISNUMBER(outYear),DSL37+DSL42+#REF!+DSL59,"")</f>
        <v/>
      </c>
      <c r="DSM62" s="87" t="str">
        <f>IF(ISNUMBER(outYear),DSM37+DSM42+#REF!+DSM59,"")</f>
        <v/>
      </c>
      <c r="DSN62" s="87" t="str">
        <f>IF(ISNUMBER(outYear),DSN37+DSN42+#REF!+DSN59,"")</f>
        <v/>
      </c>
      <c r="DSO62" s="87" t="str">
        <f>IF(ISNUMBER(outYear),DSO37+DSO42+#REF!+DSO59,"")</f>
        <v/>
      </c>
      <c r="DSP62" s="87" t="str">
        <f>IF(ISNUMBER(outYear),DSP37+DSP42+#REF!+DSP59,"")</f>
        <v/>
      </c>
      <c r="DSQ62" s="87" t="str">
        <f>IF(ISNUMBER(outYear),DSQ37+DSQ42+#REF!+DSQ59,"")</f>
        <v/>
      </c>
      <c r="DSR62" s="87" t="str">
        <f>IF(ISNUMBER(outYear),DSR37+DSR42+#REF!+DSR59,"")</f>
        <v/>
      </c>
      <c r="DSS62" s="87" t="str">
        <f>IF(ISNUMBER(outYear),DSS37+DSS42+#REF!+DSS59,"")</f>
        <v/>
      </c>
      <c r="DST62" s="87" t="str">
        <f>IF(ISNUMBER(outYear),DST37+DST42+#REF!+DST59,"")</f>
        <v/>
      </c>
      <c r="DSU62" s="87" t="str">
        <f>IF(ISNUMBER(outYear),DSU37+DSU42+#REF!+DSU59,"")</f>
        <v/>
      </c>
      <c r="DSV62" s="87" t="str">
        <f>IF(ISNUMBER(outYear),DSV37+DSV42+#REF!+DSV59,"")</f>
        <v/>
      </c>
      <c r="DSW62" s="87" t="str">
        <f>IF(ISNUMBER(outYear),DSW37+DSW42+#REF!+DSW59,"")</f>
        <v/>
      </c>
      <c r="DSX62" s="87" t="str">
        <f>IF(ISNUMBER(outYear),DSX37+DSX42+#REF!+DSX59,"")</f>
        <v/>
      </c>
      <c r="DSY62" s="87" t="str">
        <f>IF(ISNUMBER(outYear),DSY37+DSY42+#REF!+DSY59,"")</f>
        <v/>
      </c>
      <c r="DSZ62" s="87" t="str">
        <f>IF(ISNUMBER(outYear),DSZ37+DSZ42+#REF!+DSZ59,"")</f>
        <v/>
      </c>
      <c r="DTA62" s="87" t="str">
        <f>IF(ISNUMBER(outYear),DTA37+DTA42+#REF!+DTA59,"")</f>
        <v/>
      </c>
      <c r="DTB62" s="87" t="str">
        <f>IF(ISNUMBER(outYear),DTB37+DTB42+#REF!+DTB59,"")</f>
        <v/>
      </c>
      <c r="DTC62" s="87" t="str">
        <f>IF(ISNUMBER(outYear),DTC37+DTC42+#REF!+DTC59,"")</f>
        <v/>
      </c>
      <c r="DTD62" s="87" t="str">
        <f>IF(ISNUMBER(outYear),DTD37+DTD42+#REF!+DTD59,"")</f>
        <v/>
      </c>
      <c r="DTE62" s="87" t="str">
        <f>IF(ISNUMBER(outYear),DTE37+DTE42+#REF!+DTE59,"")</f>
        <v/>
      </c>
      <c r="DTF62" s="87" t="str">
        <f>IF(ISNUMBER(outYear),DTF37+DTF42+#REF!+DTF59,"")</f>
        <v/>
      </c>
      <c r="DTG62" s="87" t="str">
        <f>IF(ISNUMBER(outYear),DTG37+DTG42+#REF!+DTG59,"")</f>
        <v/>
      </c>
      <c r="DTH62" s="87" t="str">
        <f>IF(ISNUMBER(outYear),DTH37+DTH42+#REF!+DTH59,"")</f>
        <v/>
      </c>
      <c r="DTI62" s="87" t="str">
        <f>IF(ISNUMBER(outYear),DTI37+DTI42+#REF!+DTI59,"")</f>
        <v/>
      </c>
      <c r="DTJ62" s="87" t="str">
        <f>IF(ISNUMBER(outYear),DTJ37+DTJ42+#REF!+DTJ59,"")</f>
        <v/>
      </c>
      <c r="DTK62" s="87" t="str">
        <f>IF(ISNUMBER(outYear),DTK37+DTK42+#REF!+DTK59,"")</f>
        <v/>
      </c>
      <c r="DTL62" s="87" t="str">
        <f>IF(ISNUMBER(outYear),DTL37+DTL42+#REF!+DTL59,"")</f>
        <v/>
      </c>
      <c r="DTM62" s="87" t="str">
        <f>IF(ISNUMBER(outYear),DTM37+DTM42+#REF!+DTM59,"")</f>
        <v/>
      </c>
      <c r="DTN62" s="87" t="str">
        <f>IF(ISNUMBER(outYear),DTN37+DTN42+#REF!+DTN59,"")</f>
        <v/>
      </c>
      <c r="DTO62" s="87" t="str">
        <f>IF(ISNUMBER(outYear),DTO37+DTO42+#REF!+DTO59,"")</f>
        <v/>
      </c>
      <c r="DTP62" s="87" t="str">
        <f>IF(ISNUMBER(outYear),DTP37+DTP42+#REF!+DTP59,"")</f>
        <v/>
      </c>
      <c r="DTQ62" s="87" t="str">
        <f>IF(ISNUMBER(outYear),DTQ37+DTQ42+#REF!+DTQ59,"")</f>
        <v/>
      </c>
      <c r="DTR62" s="87" t="str">
        <f>IF(ISNUMBER(outYear),DTR37+DTR42+#REF!+DTR59,"")</f>
        <v/>
      </c>
      <c r="DTS62" s="87" t="str">
        <f>IF(ISNUMBER(outYear),DTS37+DTS42+#REF!+DTS59,"")</f>
        <v/>
      </c>
      <c r="DTT62" s="87" t="str">
        <f>IF(ISNUMBER(outYear),DTT37+DTT42+#REF!+DTT59,"")</f>
        <v/>
      </c>
      <c r="DTU62" s="87" t="str">
        <f>IF(ISNUMBER(outYear),DTU37+DTU42+#REF!+DTU59,"")</f>
        <v/>
      </c>
      <c r="DTV62" s="87" t="str">
        <f>IF(ISNUMBER(outYear),DTV37+DTV42+#REF!+DTV59,"")</f>
        <v/>
      </c>
      <c r="DTW62" s="87" t="str">
        <f>IF(ISNUMBER(outYear),DTW37+DTW42+#REF!+DTW59,"")</f>
        <v/>
      </c>
      <c r="DTX62" s="87" t="str">
        <f>IF(ISNUMBER(outYear),DTX37+DTX42+#REF!+DTX59,"")</f>
        <v/>
      </c>
      <c r="DTY62" s="87" t="str">
        <f>IF(ISNUMBER(outYear),DTY37+DTY42+#REF!+DTY59,"")</f>
        <v/>
      </c>
      <c r="DTZ62" s="87" t="str">
        <f>IF(ISNUMBER(outYear),DTZ37+DTZ42+#REF!+DTZ59,"")</f>
        <v/>
      </c>
      <c r="DUA62" s="87" t="str">
        <f>IF(ISNUMBER(outYear),DUA37+DUA42+#REF!+DUA59,"")</f>
        <v/>
      </c>
      <c r="DUB62" s="87" t="str">
        <f>IF(ISNUMBER(outYear),DUB37+DUB42+#REF!+DUB59,"")</f>
        <v/>
      </c>
      <c r="DUC62" s="87" t="str">
        <f>IF(ISNUMBER(outYear),DUC37+DUC42+#REF!+DUC59,"")</f>
        <v/>
      </c>
      <c r="DUD62" s="87" t="str">
        <f>IF(ISNUMBER(outYear),DUD37+DUD42+#REF!+DUD59,"")</f>
        <v/>
      </c>
      <c r="DUE62" s="87" t="str">
        <f>IF(ISNUMBER(outYear),DUE37+DUE42+#REF!+DUE59,"")</f>
        <v/>
      </c>
      <c r="DUF62" s="87" t="str">
        <f>IF(ISNUMBER(outYear),DUF37+DUF42+#REF!+DUF59,"")</f>
        <v/>
      </c>
      <c r="DUG62" s="87" t="str">
        <f>IF(ISNUMBER(outYear),DUG37+DUG42+#REF!+DUG59,"")</f>
        <v/>
      </c>
      <c r="DUH62" s="87" t="str">
        <f>IF(ISNUMBER(outYear),DUH37+DUH42+#REF!+DUH59,"")</f>
        <v/>
      </c>
      <c r="DUI62" s="87" t="str">
        <f>IF(ISNUMBER(outYear),DUI37+DUI42+#REF!+DUI59,"")</f>
        <v/>
      </c>
      <c r="DUJ62" s="87" t="str">
        <f>IF(ISNUMBER(outYear),DUJ37+DUJ42+#REF!+DUJ59,"")</f>
        <v/>
      </c>
      <c r="DUK62" s="87" t="str">
        <f>IF(ISNUMBER(outYear),DUK37+DUK42+#REF!+DUK59,"")</f>
        <v/>
      </c>
      <c r="DUL62" s="87" t="str">
        <f>IF(ISNUMBER(outYear),DUL37+DUL42+#REF!+DUL59,"")</f>
        <v/>
      </c>
      <c r="DUM62" s="87" t="str">
        <f>IF(ISNUMBER(outYear),DUM37+DUM42+#REF!+DUM59,"")</f>
        <v/>
      </c>
      <c r="DUN62" s="87" t="str">
        <f>IF(ISNUMBER(outYear),DUN37+DUN42+#REF!+DUN59,"")</f>
        <v/>
      </c>
      <c r="DUO62" s="87" t="str">
        <f>IF(ISNUMBER(outYear),DUO37+DUO42+#REF!+DUO59,"")</f>
        <v/>
      </c>
      <c r="DUP62" s="87" t="str">
        <f>IF(ISNUMBER(outYear),DUP37+DUP42+#REF!+DUP59,"")</f>
        <v/>
      </c>
      <c r="DUQ62" s="87" t="str">
        <f>IF(ISNUMBER(outYear),DUQ37+DUQ42+#REF!+DUQ59,"")</f>
        <v/>
      </c>
      <c r="DUR62" s="87" t="str">
        <f>IF(ISNUMBER(outYear),DUR37+DUR42+#REF!+DUR59,"")</f>
        <v/>
      </c>
      <c r="DUS62" s="87" t="str">
        <f>IF(ISNUMBER(outYear),DUS37+DUS42+#REF!+DUS59,"")</f>
        <v/>
      </c>
      <c r="DUT62" s="87" t="str">
        <f>IF(ISNUMBER(outYear),DUT37+DUT42+#REF!+DUT59,"")</f>
        <v/>
      </c>
      <c r="DUU62" s="87" t="str">
        <f>IF(ISNUMBER(outYear),DUU37+DUU42+#REF!+DUU59,"")</f>
        <v/>
      </c>
      <c r="DUV62" s="87" t="str">
        <f>IF(ISNUMBER(outYear),DUV37+DUV42+#REF!+DUV59,"")</f>
        <v/>
      </c>
      <c r="DUW62" s="87" t="str">
        <f>IF(ISNUMBER(outYear),DUW37+DUW42+#REF!+DUW59,"")</f>
        <v/>
      </c>
      <c r="DUX62" s="87" t="str">
        <f>IF(ISNUMBER(outYear),DUX37+DUX42+#REF!+DUX59,"")</f>
        <v/>
      </c>
      <c r="DUY62" s="87" t="str">
        <f>IF(ISNUMBER(outYear),DUY37+DUY42+#REF!+DUY59,"")</f>
        <v/>
      </c>
      <c r="DUZ62" s="87" t="str">
        <f>IF(ISNUMBER(outYear),DUZ37+DUZ42+#REF!+DUZ59,"")</f>
        <v/>
      </c>
      <c r="DVA62" s="87" t="str">
        <f>IF(ISNUMBER(outYear),DVA37+DVA42+#REF!+DVA59,"")</f>
        <v/>
      </c>
      <c r="DVB62" s="87" t="str">
        <f>IF(ISNUMBER(outYear),DVB37+DVB42+#REF!+DVB59,"")</f>
        <v/>
      </c>
      <c r="DVC62" s="87" t="str">
        <f>IF(ISNUMBER(outYear),DVC37+DVC42+#REF!+DVC59,"")</f>
        <v/>
      </c>
      <c r="DVD62" s="87" t="str">
        <f>IF(ISNUMBER(outYear),DVD37+DVD42+#REF!+DVD59,"")</f>
        <v/>
      </c>
      <c r="DVE62" s="87" t="str">
        <f>IF(ISNUMBER(outYear),DVE37+DVE42+#REF!+DVE59,"")</f>
        <v/>
      </c>
      <c r="DVF62" s="87" t="str">
        <f>IF(ISNUMBER(outYear),DVF37+DVF42+#REF!+DVF59,"")</f>
        <v/>
      </c>
      <c r="DVG62" s="87" t="str">
        <f>IF(ISNUMBER(outYear),DVG37+DVG42+#REF!+DVG59,"")</f>
        <v/>
      </c>
      <c r="DVH62" s="87" t="str">
        <f>IF(ISNUMBER(outYear),DVH37+DVH42+#REF!+DVH59,"")</f>
        <v/>
      </c>
      <c r="DVI62" s="87" t="str">
        <f>IF(ISNUMBER(outYear),DVI37+DVI42+#REF!+DVI59,"")</f>
        <v/>
      </c>
      <c r="DVJ62" s="87" t="str">
        <f>IF(ISNUMBER(outYear),DVJ37+DVJ42+#REF!+DVJ59,"")</f>
        <v/>
      </c>
      <c r="DVK62" s="87" t="str">
        <f>IF(ISNUMBER(outYear),DVK37+DVK42+#REF!+DVK59,"")</f>
        <v/>
      </c>
      <c r="DVL62" s="87" t="str">
        <f>IF(ISNUMBER(outYear),DVL37+DVL42+#REF!+DVL59,"")</f>
        <v/>
      </c>
      <c r="DVM62" s="87" t="str">
        <f>IF(ISNUMBER(outYear),DVM37+DVM42+#REF!+DVM59,"")</f>
        <v/>
      </c>
      <c r="DVN62" s="87" t="str">
        <f>IF(ISNUMBER(outYear),DVN37+DVN42+#REF!+DVN59,"")</f>
        <v/>
      </c>
      <c r="DVO62" s="87" t="str">
        <f>IF(ISNUMBER(outYear),DVO37+DVO42+#REF!+DVO59,"")</f>
        <v/>
      </c>
      <c r="DVP62" s="87" t="str">
        <f>IF(ISNUMBER(outYear),DVP37+DVP42+#REF!+DVP59,"")</f>
        <v/>
      </c>
      <c r="DVQ62" s="87" t="str">
        <f>IF(ISNUMBER(outYear),DVQ37+DVQ42+#REF!+DVQ59,"")</f>
        <v/>
      </c>
      <c r="DVR62" s="87" t="str">
        <f>IF(ISNUMBER(outYear),DVR37+DVR42+#REF!+DVR59,"")</f>
        <v/>
      </c>
      <c r="DVS62" s="87" t="str">
        <f>IF(ISNUMBER(outYear),DVS37+DVS42+#REF!+DVS59,"")</f>
        <v/>
      </c>
      <c r="DVT62" s="87" t="str">
        <f>IF(ISNUMBER(outYear),DVT37+DVT42+#REF!+DVT59,"")</f>
        <v/>
      </c>
      <c r="DVU62" s="87" t="str">
        <f>IF(ISNUMBER(outYear),DVU37+DVU42+#REF!+DVU59,"")</f>
        <v/>
      </c>
      <c r="DVV62" s="87" t="str">
        <f>IF(ISNUMBER(outYear),DVV37+DVV42+#REF!+DVV59,"")</f>
        <v/>
      </c>
      <c r="DVW62" s="87" t="str">
        <f>IF(ISNUMBER(outYear),DVW37+DVW42+#REF!+DVW59,"")</f>
        <v/>
      </c>
      <c r="DVX62" s="87" t="str">
        <f>IF(ISNUMBER(outYear),DVX37+DVX42+#REF!+DVX59,"")</f>
        <v/>
      </c>
      <c r="DVY62" s="87" t="str">
        <f>IF(ISNUMBER(outYear),DVY37+DVY42+#REF!+DVY59,"")</f>
        <v/>
      </c>
      <c r="DVZ62" s="87" t="str">
        <f>IF(ISNUMBER(outYear),DVZ37+DVZ42+#REF!+DVZ59,"")</f>
        <v/>
      </c>
      <c r="DWA62" s="87" t="str">
        <f>IF(ISNUMBER(outYear),DWA37+DWA42+#REF!+DWA59,"")</f>
        <v/>
      </c>
      <c r="DWB62" s="87" t="str">
        <f>IF(ISNUMBER(outYear),DWB37+DWB42+#REF!+DWB59,"")</f>
        <v/>
      </c>
      <c r="DWC62" s="87" t="str">
        <f>IF(ISNUMBER(outYear),DWC37+DWC42+#REF!+DWC59,"")</f>
        <v/>
      </c>
      <c r="DWD62" s="87" t="str">
        <f>IF(ISNUMBER(outYear),DWD37+DWD42+#REF!+DWD59,"")</f>
        <v/>
      </c>
      <c r="DWE62" s="87" t="str">
        <f>IF(ISNUMBER(outYear),DWE37+DWE42+#REF!+DWE59,"")</f>
        <v/>
      </c>
      <c r="DWF62" s="87" t="str">
        <f>IF(ISNUMBER(outYear),DWF37+DWF42+#REF!+DWF59,"")</f>
        <v/>
      </c>
      <c r="DWG62" s="87" t="str">
        <f>IF(ISNUMBER(outYear),DWG37+DWG42+#REF!+DWG59,"")</f>
        <v/>
      </c>
      <c r="DWH62" s="87" t="str">
        <f>IF(ISNUMBER(outYear),DWH37+DWH42+#REF!+DWH59,"")</f>
        <v/>
      </c>
      <c r="DWI62" s="87" t="str">
        <f>IF(ISNUMBER(outYear),DWI37+DWI42+#REF!+DWI59,"")</f>
        <v/>
      </c>
      <c r="DWJ62" s="87" t="str">
        <f>IF(ISNUMBER(outYear),DWJ37+DWJ42+#REF!+DWJ59,"")</f>
        <v/>
      </c>
      <c r="DWK62" s="87" t="str">
        <f>IF(ISNUMBER(outYear),DWK37+DWK42+#REF!+DWK59,"")</f>
        <v/>
      </c>
      <c r="DWL62" s="87" t="str">
        <f>IF(ISNUMBER(outYear),DWL37+DWL42+#REF!+DWL59,"")</f>
        <v/>
      </c>
      <c r="DWM62" s="87" t="str">
        <f>IF(ISNUMBER(outYear),DWM37+DWM42+#REF!+DWM59,"")</f>
        <v/>
      </c>
      <c r="DWN62" s="87" t="str">
        <f>IF(ISNUMBER(outYear),DWN37+DWN42+#REF!+DWN59,"")</f>
        <v/>
      </c>
      <c r="DWO62" s="87" t="str">
        <f>IF(ISNUMBER(outYear),DWO37+DWO42+#REF!+DWO59,"")</f>
        <v/>
      </c>
      <c r="DWP62" s="87" t="str">
        <f>IF(ISNUMBER(outYear),DWP37+DWP42+#REF!+DWP59,"")</f>
        <v/>
      </c>
      <c r="DWQ62" s="87" t="str">
        <f>IF(ISNUMBER(outYear),DWQ37+DWQ42+#REF!+DWQ59,"")</f>
        <v/>
      </c>
      <c r="DWR62" s="87" t="str">
        <f>IF(ISNUMBER(outYear),DWR37+DWR42+#REF!+DWR59,"")</f>
        <v/>
      </c>
      <c r="DWS62" s="87" t="str">
        <f>IF(ISNUMBER(outYear),DWS37+DWS42+#REF!+DWS59,"")</f>
        <v/>
      </c>
      <c r="DWT62" s="87" t="str">
        <f>IF(ISNUMBER(outYear),DWT37+DWT42+#REF!+DWT59,"")</f>
        <v/>
      </c>
      <c r="DWU62" s="87" t="str">
        <f>IF(ISNUMBER(outYear),DWU37+DWU42+#REF!+DWU59,"")</f>
        <v/>
      </c>
      <c r="DWV62" s="87" t="str">
        <f>IF(ISNUMBER(outYear),DWV37+DWV42+#REF!+DWV59,"")</f>
        <v/>
      </c>
      <c r="DWW62" s="87" t="str">
        <f>IF(ISNUMBER(outYear),DWW37+DWW42+#REF!+DWW59,"")</f>
        <v/>
      </c>
      <c r="DWX62" s="87" t="str">
        <f>IF(ISNUMBER(outYear),DWX37+DWX42+#REF!+DWX59,"")</f>
        <v/>
      </c>
      <c r="DWY62" s="87" t="str">
        <f>IF(ISNUMBER(outYear),DWY37+DWY42+#REF!+DWY59,"")</f>
        <v/>
      </c>
      <c r="DWZ62" s="87" t="str">
        <f>IF(ISNUMBER(outYear),DWZ37+DWZ42+#REF!+DWZ59,"")</f>
        <v/>
      </c>
      <c r="DXA62" s="87" t="str">
        <f>IF(ISNUMBER(outYear),DXA37+DXA42+#REF!+DXA59,"")</f>
        <v/>
      </c>
      <c r="DXB62" s="87" t="str">
        <f>IF(ISNUMBER(outYear),DXB37+DXB42+#REF!+DXB59,"")</f>
        <v/>
      </c>
      <c r="DXC62" s="87" t="str">
        <f>IF(ISNUMBER(outYear),DXC37+DXC42+#REF!+DXC59,"")</f>
        <v/>
      </c>
      <c r="DXD62" s="87" t="str">
        <f>IF(ISNUMBER(outYear),DXD37+DXD42+#REF!+DXD59,"")</f>
        <v/>
      </c>
      <c r="DXE62" s="87" t="str">
        <f>IF(ISNUMBER(outYear),DXE37+DXE42+#REF!+DXE59,"")</f>
        <v/>
      </c>
      <c r="DXF62" s="87" t="str">
        <f>IF(ISNUMBER(outYear),DXF37+DXF42+#REF!+DXF59,"")</f>
        <v/>
      </c>
      <c r="DXG62" s="87" t="str">
        <f>IF(ISNUMBER(outYear),DXG37+DXG42+#REF!+DXG59,"")</f>
        <v/>
      </c>
      <c r="DXH62" s="87" t="str">
        <f>IF(ISNUMBER(outYear),DXH37+DXH42+#REF!+DXH59,"")</f>
        <v/>
      </c>
      <c r="DXI62" s="87" t="str">
        <f>IF(ISNUMBER(outYear),DXI37+DXI42+#REF!+DXI59,"")</f>
        <v/>
      </c>
      <c r="DXJ62" s="87" t="str">
        <f>IF(ISNUMBER(outYear),DXJ37+DXJ42+#REF!+DXJ59,"")</f>
        <v/>
      </c>
      <c r="DXK62" s="87" t="str">
        <f>IF(ISNUMBER(outYear),DXK37+DXK42+#REF!+DXK59,"")</f>
        <v/>
      </c>
      <c r="DXL62" s="87" t="str">
        <f>IF(ISNUMBER(outYear),DXL37+DXL42+#REF!+DXL59,"")</f>
        <v/>
      </c>
      <c r="DXM62" s="87" t="str">
        <f>IF(ISNUMBER(outYear),DXM37+DXM42+#REF!+DXM59,"")</f>
        <v/>
      </c>
      <c r="DXN62" s="87" t="str">
        <f>IF(ISNUMBER(outYear),DXN37+DXN42+#REF!+DXN59,"")</f>
        <v/>
      </c>
      <c r="DXO62" s="87" t="str">
        <f>IF(ISNUMBER(outYear),DXO37+DXO42+#REF!+DXO59,"")</f>
        <v/>
      </c>
      <c r="DXP62" s="87" t="str">
        <f>IF(ISNUMBER(outYear),DXP37+DXP42+#REF!+DXP59,"")</f>
        <v/>
      </c>
      <c r="DXQ62" s="87" t="str">
        <f>IF(ISNUMBER(outYear),DXQ37+DXQ42+#REF!+DXQ59,"")</f>
        <v/>
      </c>
      <c r="DXR62" s="87" t="str">
        <f>IF(ISNUMBER(outYear),DXR37+DXR42+#REF!+DXR59,"")</f>
        <v/>
      </c>
      <c r="DXS62" s="87" t="str">
        <f>IF(ISNUMBER(outYear),DXS37+DXS42+#REF!+DXS59,"")</f>
        <v/>
      </c>
      <c r="DXT62" s="87" t="str">
        <f>IF(ISNUMBER(outYear),DXT37+DXT42+#REF!+DXT59,"")</f>
        <v/>
      </c>
      <c r="DXU62" s="87" t="str">
        <f>IF(ISNUMBER(outYear),DXU37+DXU42+#REF!+DXU59,"")</f>
        <v/>
      </c>
      <c r="DXV62" s="87" t="str">
        <f>IF(ISNUMBER(outYear),DXV37+DXV42+#REF!+DXV59,"")</f>
        <v/>
      </c>
      <c r="DXW62" s="87" t="str">
        <f>IF(ISNUMBER(outYear),DXW37+DXW42+#REF!+DXW59,"")</f>
        <v/>
      </c>
      <c r="DXX62" s="87" t="str">
        <f>IF(ISNUMBER(outYear),DXX37+DXX42+#REF!+DXX59,"")</f>
        <v/>
      </c>
      <c r="DXY62" s="87" t="str">
        <f>IF(ISNUMBER(outYear),DXY37+DXY42+#REF!+DXY59,"")</f>
        <v/>
      </c>
      <c r="DXZ62" s="87" t="str">
        <f>IF(ISNUMBER(outYear),DXZ37+DXZ42+#REF!+DXZ59,"")</f>
        <v/>
      </c>
      <c r="DYA62" s="87" t="str">
        <f>IF(ISNUMBER(outYear),DYA37+DYA42+#REF!+DYA59,"")</f>
        <v/>
      </c>
      <c r="DYB62" s="87" t="str">
        <f>IF(ISNUMBER(outYear),DYB37+DYB42+#REF!+DYB59,"")</f>
        <v/>
      </c>
      <c r="DYC62" s="87" t="str">
        <f>IF(ISNUMBER(outYear),DYC37+DYC42+#REF!+DYC59,"")</f>
        <v/>
      </c>
      <c r="DYD62" s="87" t="str">
        <f>IF(ISNUMBER(outYear),DYD37+DYD42+#REF!+DYD59,"")</f>
        <v/>
      </c>
      <c r="DYE62" s="87" t="str">
        <f>IF(ISNUMBER(outYear),DYE37+DYE42+#REF!+DYE59,"")</f>
        <v/>
      </c>
      <c r="DYF62" s="87" t="str">
        <f>IF(ISNUMBER(outYear),DYF37+DYF42+#REF!+DYF59,"")</f>
        <v/>
      </c>
      <c r="DYG62" s="87" t="str">
        <f>IF(ISNUMBER(outYear),DYG37+DYG42+#REF!+DYG59,"")</f>
        <v/>
      </c>
      <c r="DYH62" s="87" t="str">
        <f>IF(ISNUMBER(outYear),DYH37+DYH42+#REF!+DYH59,"")</f>
        <v/>
      </c>
      <c r="DYI62" s="87" t="str">
        <f>IF(ISNUMBER(outYear),DYI37+DYI42+#REF!+DYI59,"")</f>
        <v/>
      </c>
      <c r="DYJ62" s="87" t="str">
        <f>IF(ISNUMBER(outYear),DYJ37+DYJ42+#REF!+DYJ59,"")</f>
        <v/>
      </c>
      <c r="DYK62" s="87" t="str">
        <f>IF(ISNUMBER(outYear),DYK37+DYK42+#REF!+DYK59,"")</f>
        <v/>
      </c>
      <c r="DYL62" s="87" t="str">
        <f>IF(ISNUMBER(outYear),DYL37+DYL42+#REF!+DYL59,"")</f>
        <v/>
      </c>
      <c r="DYM62" s="87" t="str">
        <f>IF(ISNUMBER(outYear),DYM37+DYM42+#REF!+DYM59,"")</f>
        <v/>
      </c>
      <c r="DYN62" s="87" t="str">
        <f>IF(ISNUMBER(outYear),DYN37+DYN42+#REF!+DYN59,"")</f>
        <v/>
      </c>
      <c r="DYO62" s="87" t="str">
        <f>IF(ISNUMBER(outYear),DYO37+DYO42+#REF!+DYO59,"")</f>
        <v/>
      </c>
      <c r="DYP62" s="87" t="str">
        <f>IF(ISNUMBER(outYear),DYP37+DYP42+#REF!+DYP59,"")</f>
        <v/>
      </c>
      <c r="DYQ62" s="87" t="str">
        <f>IF(ISNUMBER(outYear),DYQ37+DYQ42+#REF!+DYQ59,"")</f>
        <v/>
      </c>
      <c r="DYR62" s="87" t="str">
        <f>IF(ISNUMBER(outYear),DYR37+DYR42+#REF!+DYR59,"")</f>
        <v/>
      </c>
      <c r="DYS62" s="87" t="str">
        <f>IF(ISNUMBER(outYear),DYS37+DYS42+#REF!+DYS59,"")</f>
        <v/>
      </c>
      <c r="DYT62" s="87" t="str">
        <f>IF(ISNUMBER(outYear),DYT37+DYT42+#REF!+DYT59,"")</f>
        <v/>
      </c>
      <c r="DYU62" s="87" t="str">
        <f>IF(ISNUMBER(outYear),DYU37+DYU42+#REF!+DYU59,"")</f>
        <v/>
      </c>
      <c r="DYV62" s="87" t="str">
        <f>IF(ISNUMBER(outYear),DYV37+DYV42+#REF!+DYV59,"")</f>
        <v/>
      </c>
      <c r="DYW62" s="87" t="str">
        <f>IF(ISNUMBER(outYear),DYW37+DYW42+#REF!+DYW59,"")</f>
        <v/>
      </c>
      <c r="DYX62" s="87" t="str">
        <f>IF(ISNUMBER(outYear),DYX37+DYX42+#REF!+DYX59,"")</f>
        <v/>
      </c>
      <c r="DYY62" s="87" t="str">
        <f>IF(ISNUMBER(outYear),DYY37+DYY42+#REF!+DYY59,"")</f>
        <v/>
      </c>
      <c r="DYZ62" s="87" t="str">
        <f>IF(ISNUMBER(outYear),DYZ37+DYZ42+#REF!+DYZ59,"")</f>
        <v/>
      </c>
      <c r="DZA62" s="87" t="str">
        <f>IF(ISNUMBER(outYear),DZA37+DZA42+#REF!+DZA59,"")</f>
        <v/>
      </c>
      <c r="DZB62" s="87" t="str">
        <f>IF(ISNUMBER(outYear),DZB37+DZB42+#REF!+DZB59,"")</f>
        <v/>
      </c>
      <c r="DZC62" s="87" t="str">
        <f>IF(ISNUMBER(outYear),DZC37+DZC42+#REF!+DZC59,"")</f>
        <v/>
      </c>
      <c r="DZD62" s="87" t="str">
        <f>IF(ISNUMBER(outYear),DZD37+DZD42+#REF!+DZD59,"")</f>
        <v/>
      </c>
      <c r="DZE62" s="87" t="str">
        <f>IF(ISNUMBER(outYear),DZE37+DZE42+#REF!+DZE59,"")</f>
        <v/>
      </c>
      <c r="DZF62" s="87" t="str">
        <f>IF(ISNUMBER(outYear),DZF37+DZF42+#REF!+DZF59,"")</f>
        <v/>
      </c>
      <c r="DZG62" s="87" t="str">
        <f>IF(ISNUMBER(outYear),DZG37+DZG42+#REF!+DZG59,"")</f>
        <v/>
      </c>
      <c r="DZH62" s="87" t="str">
        <f>IF(ISNUMBER(outYear),DZH37+DZH42+#REF!+DZH59,"")</f>
        <v/>
      </c>
      <c r="DZI62" s="87" t="str">
        <f>IF(ISNUMBER(outYear),DZI37+DZI42+#REF!+DZI59,"")</f>
        <v/>
      </c>
      <c r="DZJ62" s="87" t="str">
        <f>IF(ISNUMBER(outYear),DZJ37+DZJ42+#REF!+DZJ59,"")</f>
        <v/>
      </c>
      <c r="DZK62" s="87" t="str">
        <f>IF(ISNUMBER(outYear),DZK37+DZK42+#REF!+DZK59,"")</f>
        <v/>
      </c>
      <c r="DZL62" s="87" t="str">
        <f>IF(ISNUMBER(outYear),DZL37+DZL42+#REF!+DZL59,"")</f>
        <v/>
      </c>
      <c r="DZM62" s="87" t="str">
        <f>IF(ISNUMBER(outYear),DZM37+DZM42+#REF!+DZM59,"")</f>
        <v/>
      </c>
      <c r="DZN62" s="87" t="str">
        <f>IF(ISNUMBER(outYear),DZN37+DZN42+#REF!+DZN59,"")</f>
        <v/>
      </c>
      <c r="DZO62" s="87" t="str">
        <f>IF(ISNUMBER(outYear),DZO37+DZO42+#REF!+DZO59,"")</f>
        <v/>
      </c>
      <c r="DZP62" s="87" t="str">
        <f>IF(ISNUMBER(outYear),DZP37+DZP42+#REF!+DZP59,"")</f>
        <v/>
      </c>
      <c r="DZQ62" s="87" t="str">
        <f>IF(ISNUMBER(outYear),DZQ37+DZQ42+#REF!+DZQ59,"")</f>
        <v/>
      </c>
      <c r="DZR62" s="87" t="str">
        <f>IF(ISNUMBER(outYear),DZR37+DZR42+#REF!+DZR59,"")</f>
        <v/>
      </c>
      <c r="DZS62" s="87" t="str">
        <f>IF(ISNUMBER(outYear),DZS37+DZS42+#REF!+DZS59,"")</f>
        <v/>
      </c>
      <c r="DZT62" s="87" t="str">
        <f>IF(ISNUMBER(outYear),DZT37+DZT42+#REF!+DZT59,"")</f>
        <v/>
      </c>
      <c r="DZU62" s="87" t="str">
        <f>IF(ISNUMBER(outYear),DZU37+DZU42+#REF!+DZU59,"")</f>
        <v/>
      </c>
      <c r="DZV62" s="87" t="str">
        <f>IF(ISNUMBER(outYear),DZV37+DZV42+#REF!+DZV59,"")</f>
        <v/>
      </c>
      <c r="DZW62" s="87" t="str">
        <f>IF(ISNUMBER(outYear),DZW37+DZW42+#REF!+DZW59,"")</f>
        <v/>
      </c>
      <c r="DZX62" s="87" t="str">
        <f>IF(ISNUMBER(outYear),DZX37+DZX42+#REF!+DZX59,"")</f>
        <v/>
      </c>
      <c r="DZY62" s="87" t="str">
        <f>IF(ISNUMBER(outYear),DZY37+DZY42+#REF!+DZY59,"")</f>
        <v/>
      </c>
      <c r="DZZ62" s="87" t="str">
        <f>IF(ISNUMBER(outYear),DZZ37+DZZ42+#REF!+DZZ59,"")</f>
        <v/>
      </c>
      <c r="EAA62" s="87" t="str">
        <f>IF(ISNUMBER(outYear),EAA37+EAA42+#REF!+EAA59,"")</f>
        <v/>
      </c>
      <c r="EAB62" s="87" t="str">
        <f>IF(ISNUMBER(outYear),EAB37+EAB42+#REF!+EAB59,"")</f>
        <v/>
      </c>
      <c r="EAC62" s="87" t="str">
        <f>IF(ISNUMBER(outYear),EAC37+EAC42+#REF!+EAC59,"")</f>
        <v/>
      </c>
      <c r="EAD62" s="87" t="str">
        <f>IF(ISNUMBER(outYear),EAD37+EAD42+#REF!+EAD59,"")</f>
        <v/>
      </c>
      <c r="EAE62" s="87" t="str">
        <f>IF(ISNUMBER(outYear),EAE37+EAE42+#REF!+EAE59,"")</f>
        <v/>
      </c>
      <c r="EAF62" s="87" t="str">
        <f>IF(ISNUMBER(outYear),EAF37+EAF42+#REF!+EAF59,"")</f>
        <v/>
      </c>
      <c r="EAG62" s="87" t="str">
        <f>IF(ISNUMBER(outYear),EAG37+EAG42+#REF!+EAG59,"")</f>
        <v/>
      </c>
      <c r="EAH62" s="87" t="str">
        <f>IF(ISNUMBER(outYear),EAH37+EAH42+#REF!+EAH59,"")</f>
        <v/>
      </c>
      <c r="EAI62" s="87" t="str">
        <f>IF(ISNUMBER(outYear),EAI37+EAI42+#REF!+EAI59,"")</f>
        <v/>
      </c>
      <c r="EAJ62" s="87" t="str">
        <f>IF(ISNUMBER(outYear),EAJ37+EAJ42+#REF!+EAJ59,"")</f>
        <v/>
      </c>
      <c r="EAK62" s="87" t="str">
        <f>IF(ISNUMBER(outYear),EAK37+EAK42+#REF!+EAK59,"")</f>
        <v/>
      </c>
      <c r="EAL62" s="87" t="str">
        <f>IF(ISNUMBER(outYear),EAL37+EAL42+#REF!+EAL59,"")</f>
        <v/>
      </c>
      <c r="EAM62" s="87" t="str">
        <f>IF(ISNUMBER(outYear),EAM37+EAM42+#REF!+EAM59,"")</f>
        <v/>
      </c>
      <c r="EAN62" s="87" t="str">
        <f>IF(ISNUMBER(outYear),EAN37+EAN42+#REF!+EAN59,"")</f>
        <v/>
      </c>
      <c r="EAO62" s="87" t="str">
        <f>IF(ISNUMBER(outYear),EAO37+EAO42+#REF!+EAO59,"")</f>
        <v/>
      </c>
      <c r="EAP62" s="87" t="str">
        <f>IF(ISNUMBER(outYear),EAP37+EAP42+#REF!+EAP59,"")</f>
        <v/>
      </c>
      <c r="EAQ62" s="87" t="str">
        <f>IF(ISNUMBER(outYear),EAQ37+EAQ42+#REF!+EAQ59,"")</f>
        <v/>
      </c>
      <c r="EAR62" s="87" t="str">
        <f>IF(ISNUMBER(outYear),EAR37+EAR42+#REF!+EAR59,"")</f>
        <v/>
      </c>
      <c r="EAS62" s="87" t="str">
        <f>IF(ISNUMBER(outYear),EAS37+EAS42+#REF!+EAS59,"")</f>
        <v/>
      </c>
      <c r="EAT62" s="87" t="str">
        <f>IF(ISNUMBER(outYear),EAT37+EAT42+#REF!+EAT59,"")</f>
        <v/>
      </c>
      <c r="EAU62" s="87" t="str">
        <f>IF(ISNUMBER(outYear),EAU37+EAU42+#REF!+EAU59,"")</f>
        <v/>
      </c>
      <c r="EAV62" s="87" t="str">
        <f>IF(ISNUMBER(outYear),EAV37+EAV42+#REF!+EAV59,"")</f>
        <v/>
      </c>
      <c r="EAW62" s="87" t="str">
        <f>IF(ISNUMBER(outYear),EAW37+EAW42+#REF!+EAW59,"")</f>
        <v/>
      </c>
      <c r="EAX62" s="87" t="str">
        <f>IF(ISNUMBER(outYear),EAX37+EAX42+#REF!+EAX59,"")</f>
        <v/>
      </c>
      <c r="EAY62" s="87" t="str">
        <f>IF(ISNUMBER(outYear),EAY37+EAY42+#REF!+EAY59,"")</f>
        <v/>
      </c>
      <c r="EAZ62" s="87" t="str">
        <f>IF(ISNUMBER(outYear),EAZ37+EAZ42+#REF!+EAZ59,"")</f>
        <v/>
      </c>
      <c r="EBA62" s="87" t="str">
        <f>IF(ISNUMBER(outYear),EBA37+EBA42+#REF!+EBA59,"")</f>
        <v/>
      </c>
      <c r="EBB62" s="87" t="str">
        <f>IF(ISNUMBER(outYear),EBB37+EBB42+#REF!+EBB59,"")</f>
        <v/>
      </c>
      <c r="EBC62" s="87" t="str">
        <f>IF(ISNUMBER(outYear),EBC37+EBC42+#REF!+EBC59,"")</f>
        <v/>
      </c>
      <c r="EBD62" s="87" t="str">
        <f>IF(ISNUMBER(outYear),EBD37+EBD42+#REF!+EBD59,"")</f>
        <v/>
      </c>
      <c r="EBE62" s="87" t="str">
        <f>IF(ISNUMBER(outYear),EBE37+EBE42+#REF!+EBE59,"")</f>
        <v/>
      </c>
      <c r="EBF62" s="87" t="str">
        <f>IF(ISNUMBER(outYear),EBF37+EBF42+#REF!+EBF59,"")</f>
        <v/>
      </c>
      <c r="EBG62" s="87" t="str">
        <f>IF(ISNUMBER(outYear),EBG37+EBG42+#REF!+EBG59,"")</f>
        <v/>
      </c>
      <c r="EBH62" s="87" t="str">
        <f>IF(ISNUMBER(outYear),EBH37+EBH42+#REF!+EBH59,"")</f>
        <v/>
      </c>
      <c r="EBI62" s="87" t="str">
        <f>IF(ISNUMBER(outYear),EBI37+EBI42+#REF!+EBI59,"")</f>
        <v/>
      </c>
      <c r="EBJ62" s="87" t="str">
        <f>IF(ISNUMBER(outYear),EBJ37+EBJ42+#REF!+EBJ59,"")</f>
        <v/>
      </c>
      <c r="EBK62" s="87" t="str">
        <f>IF(ISNUMBER(outYear),EBK37+EBK42+#REF!+EBK59,"")</f>
        <v/>
      </c>
      <c r="EBL62" s="87" t="str">
        <f>IF(ISNUMBER(outYear),EBL37+EBL42+#REF!+EBL59,"")</f>
        <v/>
      </c>
      <c r="EBM62" s="87" t="str">
        <f>IF(ISNUMBER(outYear),EBM37+EBM42+#REF!+EBM59,"")</f>
        <v/>
      </c>
      <c r="EBN62" s="87" t="str">
        <f>IF(ISNUMBER(outYear),EBN37+EBN42+#REF!+EBN59,"")</f>
        <v/>
      </c>
      <c r="EBO62" s="87" t="str">
        <f>IF(ISNUMBER(outYear),EBO37+EBO42+#REF!+EBO59,"")</f>
        <v/>
      </c>
      <c r="EBP62" s="87" t="str">
        <f>IF(ISNUMBER(outYear),EBP37+EBP42+#REF!+EBP59,"")</f>
        <v/>
      </c>
      <c r="EBQ62" s="87" t="str">
        <f>IF(ISNUMBER(outYear),EBQ37+EBQ42+#REF!+EBQ59,"")</f>
        <v/>
      </c>
      <c r="EBR62" s="87" t="str">
        <f>IF(ISNUMBER(outYear),EBR37+EBR42+#REF!+EBR59,"")</f>
        <v/>
      </c>
      <c r="EBS62" s="87" t="str">
        <f>IF(ISNUMBER(outYear),EBS37+EBS42+#REF!+EBS59,"")</f>
        <v/>
      </c>
      <c r="EBT62" s="87" t="str">
        <f>IF(ISNUMBER(outYear),EBT37+EBT42+#REF!+EBT59,"")</f>
        <v/>
      </c>
      <c r="EBU62" s="87" t="str">
        <f>IF(ISNUMBER(outYear),EBU37+EBU42+#REF!+EBU59,"")</f>
        <v/>
      </c>
      <c r="EBV62" s="87" t="str">
        <f>IF(ISNUMBER(outYear),EBV37+EBV42+#REF!+EBV59,"")</f>
        <v/>
      </c>
      <c r="EBW62" s="87" t="str">
        <f>IF(ISNUMBER(outYear),EBW37+EBW42+#REF!+EBW59,"")</f>
        <v/>
      </c>
      <c r="EBX62" s="87" t="str">
        <f>IF(ISNUMBER(outYear),EBX37+EBX42+#REF!+EBX59,"")</f>
        <v/>
      </c>
      <c r="EBY62" s="87" t="str">
        <f>IF(ISNUMBER(outYear),EBY37+EBY42+#REF!+EBY59,"")</f>
        <v/>
      </c>
      <c r="EBZ62" s="87" t="str">
        <f>IF(ISNUMBER(outYear),EBZ37+EBZ42+#REF!+EBZ59,"")</f>
        <v/>
      </c>
      <c r="ECA62" s="87" t="str">
        <f>IF(ISNUMBER(outYear),ECA37+ECA42+#REF!+ECA59,"")</f>
        <v/>
      </c>
      <c r="ECB62" s="87" t="str">
        <f>IF(ISNUMBER(outYear),ECB37+ECB42+#REF!+ECB59,"")</f>
        <v/>
      </c>
      <c r="ECC62" s="87" t="str">
        <f>IF(ISNUMBER(outYear),ECC37+ECC42+#REF!+ECC59,"")</f>
        <v/>
      </c>
      <c r="ECD62" s="87" t="str">
        <f>IF(ISNUMBER(outYear),ECD37+ECD42+#REF!+ECD59,"")</f>
        <v/>
      </c>
      <c r="ECE62" s="87" t="str">
        <f>IF(ISNUMBER(outYear),ECE37+ECE42+#REF!+ECE59,"")</f>
        <v/>
      </c>
      <c r="ECF62" s="87" t="str">
        <f>IF(ISNUMBER(outYear),ECF37+ECF42+#REF!+ECF59,"")</f>
        <v/>
      </c>
      <c r="ECG62" s="87" t="str">
        <f>IF(ISNUMBER(outYear),ECG37+ECG42+#REF!+ECG59,"")</f>
        <v/>
      </c>
      <c r="ECH62" s="87" t="str">
        <f>IF(ISNUMBER(outYear),ECH37+ECH42+#REF!+ECH59,"")</f>
        <v/>
      </c>
      <c r="ECI62" s="87" t="str">
        <f>IF(ISNUMBER(outYear),ECI37+ECI42+#REF!+ECI59,"")</f>
        <v/>
      </c>
      <c r="ECJ62" s="87" t="str">
        <f>IF(ISNUMBER(outYear),ECJ37+ECJ42+#REF!+ECJ59,"")</f>
        <v/>
      </c>
      <c r="ECK62" s="87" t="str">
        <f>IF(ISNUMBER(outYear),ECK37+ECK42+#REF!+ECK59,"")</f>
        <v/>
      </c>
      <c r="ECL62" s="87" t="str">
        <f>IF(ISNUMBER(outYear),ECL37+ECL42+#REF!+ECL59,"")</f>
        <v/>
      </c>
      <c r="ECM62" s="87" t="str">
        <f>IF(ISNUMBER(outYear),ECM37+ECM42+#REF!+ECM59,"")</f>
        <v/>
      </c>
      <c r="ECN62" s="87" t="str">
        <f>IF(ISNUMBER(outYear),ECN37+ECN42+#REF!+ECN59,"")</f>
        <v/>
      </c>
      <c r="ECO62" s="87" t="str">
        <f>IF(ISNUMBER(outYear),ECO37+ECO42+#REF!+ECO59,"")</f>
        <v/>
      </c>
      <c r="ECP62" s="87" t="str">
        <f>IF(ISNUMBER(outYear),ECP37+ECP42+#REF!+ECP59,"")</f>
        <v/>
      </c>
      <c r="ECQ62" s="87" t="str">
        <f>IF(ISNUMBER(outYear),ECQ37+ECQ42+#REF!+ECQ59,"")</f>
        <v/>
      </c>
      <c r="ECR62" s="87" t="str">
        <f>IF(ISNUMBER(outYear),ECR37+ECR42+#REF!+ECR59,"")</f>
        <v/>
      </c>
      <c r="ECS62" s="87" t="str">
        <f>IF(ISNUMBER(outYear),ECS37+ECS42+#REF!+ECS59,"")</f>
        <v/>
      </c>
      <c r="ECT62" s="87" t="str">
        <f>IF(ISNUMBER(outYear),ECT37+ECT42+#REF!+ECT59,"")</f>
        <v/>
      </c>
      <c r="ECU62" s="87" t="str">
        <f>IF(ISNUMBER(outYear),ECU37+ECU42+#REF!+ECU59,"")</f>
        <v/>
      </c>
      <c r="ECV62" s="87" t="str">
        <f>IF(ISNUMBER(outYear),ECV37+ECV42+#REF!+ECV59,"")</f>
        <v/>
      </c>
      <c r="ECW62" s="87" t="str">
        <f>IF(ISNUMBER(outYear),ECW37+ECW42+#REF!+ECW59,"")</f>
        <v/>
      </c>
      <c r="ECX62" s="87" t="str">
        <f>IF(ISNUMBER(outYear),ECX37+ECX42+#REF!+ECX59,"")</f>
        <v/>
      </c>
      <c r="ECY62" s="87" t="str">
        <f>IF(ISNUMBER(outYear),ECY37+ECY42+#REF!+ECY59,"")</f>
        <v/>
      </c>
      <c r="ECZ62" s="87" t="str">
        <f>IF(ISNUMBER(outYear),ECZ37+ECZ42+#REF!+ECZ59,"")</f>
        <v/>
      </c>
      <c r="EDA62" s="87" t="str">
        <f>IF(ISNUMBER(outYear),EDA37+EDA42+#REF!+EDA59,"")</f>
        <v/>
      </c>
      <c r="EDB62" s="87" t="str">
        <f>IF(ISNUMBER(outYear),EDB37+EDB42+#REF!+EDB59,"")</f>
        <v/>
      </c>
      <c r="EDC62" s="87" t="str">
        <f>IF(ISNUMBER(outYear),EDC37+EDC42+#REF!+EDC59,"")</f>
        <v/>
      </c>
      <c r="EDD62" s="87" t="str">
        <f>IF(ISNUMBER(outYear),EDD37+EDD42+#REF!+EDD59,"")</f>
        <v/>
      </c>
      <c r="EDE62" s="87" t="str">
        <f>IF(ISNUMBER(outYear),EDE37+EDE42+#REF!+EDE59,"")</f>
        <v/>
      </c>
      <c r="EDF62" s="87" t="str">
        <f>IF(ISNUMBER(outYear),EDF37+EDF42+#REF!+EDF59,"")</f>
        <v/>
      </c>
      <c r="EDG62" s="87" t="str">
        <f>IF(ISNUMBER(outYear),EDG37+EDG42+#REF!+EDG59,"")</f>
        <v/>
      </c>
      <c r="EDH62" s="87" t="str">
        <f>IF(ISNUMBER(outYear),EDH37+EDH42+#REF!+EDH59,"")</f>
        <v/>
      </c>
      <c r="EDI62" s="87" t="str">
        <f>IF(ISNUMBER(outYear),EDI37+EDI42+#REF!+EDI59,"")</f>
        <v/>
      </c>
      <c r="EDJ62" s="87" t="str">
        <f>IF(ISNUMBER(outYear),EDJ37+EDJ42+#REF!+EDJ59,"")</f>
        <v/>
      </c>
      <c r="EDK62" s="87" t="str">
        <f>IF(ISNUMBER(outYear),EDK37+EDK42+#REF!+EDK59,"")</f>
        <v/>
      </c>
      <c r="EDL62" s="87" t="str">
        <f>IF(ISNUMBER(outYear),EDL37+EDL42+#REF!+EDL59,"")</f>
        <v/>
      </c>
      <c r="EDM62" s="87" t="str">
        <f>IF(ISNUMBER(outYear),EDM37+EDM42+#REF!+EDM59,"")</f>
        <v/>
      </c>
      <c r="EDN62" s="87" t="str">
        <f>IF(ISNUMBER(outYear),EDN37+EDN42+#REF!+EDN59,"")</f>
        <v/>
      </c>
      <c r="EDO62" s="87" t="str">
        <f>IF(ISNUMBER(outYear),EDO37+EDO42+#REF!+EDO59,"")</f>
        <v/>
      </c>
      <c r="EDP62" s="87" t="str">
        <f>IF(ISNUMBER(outYear),EDP37+EDP42+#REF!+EDP59,"")</f>
        <v/>
      </c>
      <c r="EDQ62" s="87" t="str">
        <f>IF(ISNUMBER(outYear),EDQ37+EDQ42+#REF!+EDQ59,"")</f>
        <v/>
      </c>
      <c r="EDR62" s="87" t="str">
        <f>IF(ISNUMBER(outYear),EDR37+EDR42+#REF!+EDR59,"")</f>
        <v/>
      </c>
      <c r="EDS62" s="87" t="str">
        <f>IF(ISNUMBER(outYear),EDS37+EDS42+#REF!+EDS59,"")</f>
        <v/>
      </c>
      <c r="EDT62" s="87" t="str">
        <f>IF(ISNUMBER(outYear),EDT37+EDT42+#REF!+EDT59,"")</f>
        <v/>
      </c>
      <c r="EDU62" s="87" t="str">
        <f>IF(ISNUMBER(outYear),EDU37+EDU42+#REF!+EDU59,"")</f>
        <v/>
      </c>
      <c r="EDV62" s="87" t="str">
        <f>IF(ISNUMBER(outYear),EDV37+EDV42+#REF!+EDV59,"")</f>
        <v/>
      </c>
      <c r="EDW62" s="87" t="str">
        <f>IF(ISNUMBER(outYear),EDW37+EDW42+#REF!+EDW59,"")</f>
        <v/>
      </c>
      <c r="EDX62" s="87" t="str">
        <f>IF(ISNUMBER(outYear),EDX37+EDX42+#REF!+EDX59,"")</f>
        <v/>
      </c>
      <c r="EDY62" s="87" t="str">
        <f>IF(ISNUMBER(outYear),EDY37+EDY42+#REF!+EDY59,"")</f>
        <v/>
      </c>
      <c r="EDZ62" s="87" t="str">
        <f>IF(ISNUMBER(outYear),EDZ37+EDZ42+#REF!+EDZ59,"")</f>
        <v/>
      </c>
      <c r="EEA62" s="87" t="str">
        <f>IF(ISNUMBER(outYear),EEA37+EEA42+#REF!+EEA59,"")</f>
        <v/>
      </c>
      <c r="EEB62" s="87" t="str">
        <f>IF(ISNUMBER(outYear),EEB37+EEB42+#REF!+EEB59,"")</f>
        <v/>
      </c>
      <c r="EEC62" s="87" t="str">
        <f>IF(ISNUMBER(outYear),EEC37+EEC42+#REF!+EEC59,"")</f>
        <v/>
      </c>
      <c r="EED62" s="87" t="str">
        <f>IF(ISNUMBER(outYear),EED37+EED42+#REF!+EED59,"")</f>
        <v/>
      </c>
      <c r="EEE62" s="87" t="str">
        <f>IF(ISNUMBER(outYear),EEE37+EEE42+#REF!+EEE59,"")</f>
        <v/>
      </c>
      <c r="EEF62" s="87" t="str">
        <f>IF(ISNUMBER(outYear),EEF37+EEF42+#REF!+EEF59,"")</f>
        <v/>
      </c>
      <c r="EEG62" s="87" t="str">
        <f>IF(ISNUMBER(outYear),EEG37+EEG42+#REF!+EEG59,"")</f>
        <v/>
      </c>
      <c r="EEH62" s="87" t="str">
        <f>IF(ISNUMBER(outYear),EEH37+EEH42+#REF!+EEH59,"")</f>
        <v/>
      </c>
      <c r="EEI62" s="87" t="str">
        <f>IF(ISNUMBER(outYear),EEI37+EEI42+#REF!+EEI59,"")</f>
        <v/>
      </c>
      <c r="EEJ62" s="87" t="str">
        <f>IF(ISNUMBER(outYear),EEJ37+EEJ42+#REF!+EEJ59,"")</f>
        <v/>
      </c>
      <c r="EEK62" s="87" t="str">
        <f>IF(ISNUMBER(outYear),EEK37+EEK42+#REF!+EEK59,"")</f>
        <v/>
      </c>
      <c r="EEL62" s="87" t="str">
        <f>IF(ISNUMBER(outYear),EEL37+EEL42+#REF!+EEL59,"")</f>
        <v/>
      </c>
      <c r="EEM62" s="87" t="str">
        <f>IF(ISNUMBER(outYear),EEM37+EEM42+#REF!+EEM59,"")</f>
        <v/>
      </c>
      <c r="EEN62" s="87" t="str">
        <f>IF(ISNUMBER(outYear),EEN37+EEN42+#REF!+EEN59,"")</f>
        <v/>
      </c>
      <c r="EEO62" s="87" t="str">
        <f>IF(ISNUMBER(outYear),EEO37+EEO42+#REF!+EEO59,"")</f>
        <v/>
      </c>
      <c r="EEP62" s="87" t="str">
        <f>IF(ISNUMBER(outYear),EEP37+EEP42+#REF!+EEP59,"")</f>
        <v/>
      </c>
      <c r="EEQ62" s="87" t="str">
        <f>IF(ISNUMBER(outYear),EEQ37+EEQ42+#REF!+EEQ59,"")</f>
        <v/>
      </c>
      <c r="EER62" s="87" t="str">
        <f>IF(ISNUMBER(outYear),EER37+EER42+#REF!+EER59,"")</f>
        <v/>
      </c>
      <c r="EES62" s="87" t="str">
        <f>IF(ISNUMBER(outYear),EES37+EES42+#REF!+EES59,"")</f>
        <v/>
      </c>
      <c r="EET62" s="87" t="str">
        <f>IF(ISNUMBER(outYear),EET37+EET42+#REF!+EET59,"")</f>
        <v/>
      </c>
      <c r="EEU62" s="87" t="str">
        <f>IF(ISNUMBER(outYear),EEU37+EEU42+#REF!+EEU59,"")</f>
        <v/>
      </c>
      <c r="EEV62" s="87" t="str">
        <f>IF(ISNUMBER(outYear),EEV37+EEV42+#REF!+EEV59,"")</f>
        <v/>
      </c>
      <c r="EEW62" s="87" t="str">
        <f>IF(ISNUMBER(outYear),EEW37+EEW42+#REF!+EEW59,"")</f>
        <v/>
      </c>
      <c r="EEX62" s="87" t="str">
        <f>IF(ISNUMBER(outYear),EEX37+EEX42+#REF!+EEX59,"")</f>
        <v/>
      </c>
      <c r="EEY62" s="87" t="str">
        <f>IF(ISNUMBER(outYear),EEY37+EEY42+#REF!+EEY59,"")</f>
        <v/>
      </c>
      <c r="EEZ62" s="87" t="str">
        <f>IF(ISNUMBER(outYear),EEZ37+EEZ42+#REF!+EEZ59,"")</f>
        <v/>
      </c>
      <c r="EFA62" s="87" t="str">
        <f>IF(ISNUMBER(outYear),EFA37+EFA42+#REF!+EFA59,"")</f>
        <v/>
      </c>
      <c r="EFB62" s="87" t="str">
        <f>IF(ISNUMBER(outYear),EFB37+EFB42+#REF!+EFB59,"")</f>
        <v/>
      </c>
      <c r="EFC62" s="87" t="str">
        <f>IF(ISNUMBER(outYear),EFC37+EFC42+#REF!+EFC59,"")</f>
        <v/>
      </c>
      <c r="EFD62" s="87" t="str">
        <f>IF(ISNUMBER(outYear),EFD37+EFD42+#REF!+EFD59,"")</f>
        <v/>
      </c>
      <c r="EFE62" s="87" t="str">
        <f>IF(ISNUMBER(outYear),EFE37+EFE42+#REF!+EFE59,"")</f>
        <v/>
      </c>
      <c r="EFF62" s="87" t="str">
        <f>IF(ISNUMBER(outYear),EFF37+EFF42+#REF!+EFF59,"")</f>
        <v/>
      </c>
      <c r="EFG62" s="87" t="str">
        <f>IF(ISNUMBER(outYear),EFG37+EFG42+#REF!+EFG59,"")</f>
        <v/>
      </c>
      <c r="EFH62" s="87" t="str">
        <f>IF(ISNUMBER(outYear),EFH37+EFH42+#REF!+EFH59,"")</f>
        <v/>
      </c>
      <c r="EFI62" s="87" t="str">
        <f>IF(ISNUMBER(outYear),EFI37+EFI42+#REF!+EFI59,"")</f>
        <v/>
      </c>
      <c r="EFJ62" s="87" t="str">
        <f>IF(ISNUMBER(outYear),EFJ37+EFJ42+#REF!+EFJ59,"")</f>
        <v/>
      </c>
      <c r="EFK62" s="87" t="str">
        <f>IF(ISNUMBER(outYear),EFK37+EFK42+#REF!+EFK59,"")</f>
        <v/>
      </c>
      <c r="EFL62" s="87" t="str">
        <f>IF(ISNUMBER(outYear),EFL37+EFL42+#REF!+EFL59,"")</f>
        <v/>
      </c>
      <c r="EFM62" s="87" t="str">
        <f>IF(ISNUMBER(outYear),EFM37+EFM42+#REF!+EFM59,"")</f>
        <v/>
      </c>
      <c r="EFN62" s="87" t="str">
        <f>IF(ISNUMBER(outYear),EFN37+EFN42+#REF!+EFN59,"")</f>
        <v/>
      </c>
      <c r="EFO62" s="87" t="str">
        <f>IF(ISNUMBER(outYear),EFO37+EFO42+#REF!+EFO59,"")</f>
        <v/>
      </c>
      <c r="EFP62" s="87" t="str">
        <f>IF(ISNUMBER(outYear),EFP37+EFP42+#REF!+EFP59,"")</f>
        <v/>
      </c>
      <c r="EFQ62" s="87" t="str">
        <f>IF(ISNUMBER(outYear),EFQ37+EFQ42+#REF!+EFQ59,"")</f>
        <v/>
      </c>
      <c r="EFR62" s="87" t="str">
        <f>IF(ISNUMBER(outYear),EFR37+EFR42+#REF!+EFR59,"")</f>
        <v/>
      </c>
      <c r="EFS62" s="87" t="str">
        <f>IF(ISNUMBER(outYear),EFS37+EFS42+#REF!+EFS59,"")</f>
        <v/>
      </c>
      <c r="EFT62" s="87" t="str">
        <f>IF(ISNUMBER(outYear),EFT37+EFT42+#REF!+EFT59,"")</f>
        <v/>
      </c>
      <c r="EFU62" s="87" t="str">
        <f>IF(ISNUMBER(outYear),EFU37+EFU42+#REF!+EFU59,"")</f>
        <v/>
      </c>
      <c r="EFV62" s="87" t="str">
        <f>IF(ISNUMBER(outYear),EFV37+EFV42+#REF!+EFV59,"")</f>
        <v/>
      </c>
      <c r="EFW62" s="87" t="str">
        <f>IF(ISNUMBER(outYear),EFW37+EFW42+#REF!+EFW59,"")</f>
        <v/>
      </c>
      <c r="EFX62" s="87" t="str">
        <f>IF(ISNUMBER(outYear),EFX37+EFX42+#REF!+EFX59,"")</f>
        <v/>
      </c>
      <c r="EFY62" s="87" t="str">
        <f>IF(ISNUMBER(outYear),EFY37+EFY42+#REF!+EFY59,"")</f>
        <v/>
      </c>
      <c r="EFZ62" s="87" t="str">
        <f>IF(ISNUMBER(outYear),EFZ37+EFZ42+#REF!+EFZ59,"")</f>
        <v/>
      </c>
      <c r="EGA62" s="87" t="str">
        <f>IF(ISNUMBER(outYear),EGA37+EGA42+#REF!+EGA59,"")</f>
        <v/>
      </c>
      <c r="EGB62" s="87" t="str">
        <f>IF(ISNUMBER(outYear),EGB37+EGB42+#REF!+EGB59,"")</f>
        <v/>
      </c>
      <c r="EGC62" s="87" t="str">
        <f>IF(ISNUMBER(outYear),EGC37+EGC42+#REF!+EGC59,"")</f>
        <v/>
      </c>
      <c r="EGD62" s="87" t="str">
        <f>IF(ISNUMBER(outYear),EGD37+EGD42+#REF!+EGD59,"")</f>
        <v/>
      </c>
      <c r="EGE62" s="87" t="str">
        <f>IF(ISNUMBER(outYear),EGE37+EGE42+#REF!+EGE59,"")</f>
        <v/>
      </c>
      <c r="EGF62" s="87" t="str">
        <f>IF(ISNUMBER(outYear),EGF37+EGF42+#REF!+EGF59,"")</f>
        <v/>
      </c>
      <c r="EGG62" s="87" t="str">
        <f>IF(ISNUMBER(outYear),EGG37+EGG42+#REF!+EGG59,"")</f>
        <v/>
      </c>
      <c r="EGH62" s="87" t="str">
        <f>IF(ISNUMBER(outYear),EGH37+EGH42+#REF!+EGH59,"")</f>
        <v/>
      </c>
      <c r="EGI62" s="87" t="str">
        <f>IF(ISNUMBER(outYear),EGI37+EGI42+#REF!+EGI59,"")</f>
        <v/>
      </c>
      <c r="EGJ62" s="87" t="str">
        <f>IF(ISNUMBER(outYear),EGJ37+EGJ42+#REF!+EGJ59,"")</f>
        <v/>
      </c>
      <c r="EGK62" s="87" t="str">
        <f>IF(ISNUMBER(outYear),EGK37+EGK42+#REF!+EGK59,"")</f>
        <v/>
      </c>
      <c r="EGL62" s="87" t="str">
        <f>IF(ISNUMBER(outYear),EGL37+EGL42+#REF!+EGL59,"")</f>
        <v/>
      </c>
      <c r="EGM62" s="87" t="str">
        <f>IF(ISNUMBER(outYear),EGM37+EGM42+#REF!+EGM59,"")</f>
        <v/>
      </c>
      <c r="EGN62" s="87" t="str">
        <f>IF(ISNUMBER(outYear),EGN37+EGN42+#REF!+EGN59,"")</f>
        <v/>
      </c>
      <c r="EGO62" s="87" t="str">
        <f>IF(ISNUMBER(outYear),EGO37+EGO42+#REF!+EGO59,"")</f>
        <v/>
      </c>
      <c r="EGP62" s="87" t="str">
        <f>IF(ISNUMBER(outYear),EGP37+EGP42+#REF!+EGP59,"")</f>
        <v/>
      </c>
      <c r="EGQ62" s="87" t="str">
        <f>IF(ISNUMBER(outYear),EGQ37+EGQ42+#REF!+EGQ59,"")</f>
        <v/>
      </c>
      <c r="EGR62" s="87" t="str">
        <f>IF(ISNUMBER(outYear),EGR37+EGR42+#REF!+EGR59,"")</f>
        <v/>
      </c>
      <c r="EGS62" s="87" t="str">
        <f>IF(ISNUMBER(outYear),EGS37+EGS42+#REF!+EGS59,"")</f>
        <v/>
      </c>
      <c r="EGT62" s="87" t="str">
        <f>IF(ISNUMBER(outYear),EGT37+EGT42+#REF!+EGT59,"")</f>
        <v/>
      </c>
      <c r="EGU62" s="87" t="str">
        <f>IF(ISNUMBER(outYear),EGU37+EGU42+#REF!+EGU59,"")</f>
        <v/>
      </c>
      <c r="EGV62" s="87" t="str">
        <f>IF(ISNUMBER(outYear),EGV37+EGV42+#REF!+EGV59,"")</f>
        <v/>
      </c>
      <c r="EGW62" s="87" t="str">
        <f>IF(ISNUMBER(outYear),EGW37+EGW42+#REF!+EGW59,"")</f>
        <v/>
      </c>
      <c r="EGX62" s="87" t="str">
        <f>IF(ISNUMBER(outYear),EGX37+EGX42+#REF!+EGX59,"")</f>
        <v/>
      </c>
      <c r="EGY62" s="87" t="str">
        <f>IF(ISNUMBER(outYear),EGY37+EGY42+#REF!+EGY59,"")</f>
        <v/>
      </c>
      <c r="EGZ62" s="87" t="str">
        <f>IF(ISNUMBER(outYear),EGZ37+EGZ42+#REF!+EGZ59,"")</f>
        <v/>
      </c>
      <c r="EHA62" s="87" t="str">
        <f>IF(ISNUMBER(outYear),EHA37+EHA42+#REF!+EHA59,"")</f>
        <v/>
      </c>
      <c r="EHB62" s="87" t="str">
        <f>IF(ISNUMBER(outYear),EHB37+EHB42+#REF!+EHB59,"")</f>
        <v/>
      </c>
      <c r="EHC62" s="87" t="str">
        <f>IF(ISNUMBER(outYear),EHC37+EHC42+#REF!+EHC59,"")</f>
        <v/>
      </c>
      <c r="EHD62" s="87" t="str">
        <f>IF(ISNUMBER(outYear),EHD37+EHD42+#REF!+EHD59,"")</f>
        <v/>
      </c>
      <c r="EHE62" s="87" t="str">
        <f>IF(ISNUMBER(outYear),EHE37+EHE42+#REF!+EHE59,"")</f>
        <v/>
      </c>
      <c r="EHF62" s="87" t="str">
        <f>IF(ISNUMBER(outYear),EHF37+EHF42+#REF!+EHF59,"")</f>
        <v/>
      </c>
      <c r="EHG62" s="87" t="str">
        <f>IF(ISNUMBER(outYear),EHG37+EHG42+#REF!+EHG59,"")</f>
        <v/>
      </c>
      <c r="EHH62" s="87" t="str">
        <f>IF(ISNUMBER(outYear),EHH37+EHH42+#REF!+EHH59,"")</f>
        <v/>
      </c>
      <c r="EHI62" s="87" t="str">
        <f>IF(ISNUMBER(outYear),EHI37+EHI42+#REF!+EHI59,"")</f>
        <v/>
      </c>
      <c r="EHJ62" s="87" t="str">
        <f>IF(ISNUMBER(outYear),EHJ37+EHJ42+#REF!+EHJ59,"")</f>
        <v/>
      </c>
      <c r="EHK62" s="87" t="str">
        <f>IF(ISNUMBER(outYear),EHK37+EHK42+#REF!+EHK59,"")</f>
        <v/>
      </c>
      <c r="EHL62" s="87" t="str">
        <f>IF(ISNUMBER(outYear),EHL37+EHL42+#REF!+EHL59,"")</f>
        <v/>
      </c>
      <c r="EHM62" s="87" t="str">
        <f>IF(ISNUMBER(outYear),EHM37+EHM42+#REF!+EHM59,"")</f>
        <v/>
      </c>
      <c r="EHN62" s="87" t="str">
        <f>IF(ISNUMBER(outYear),EHN37+EHN42+#REF!+EHN59,"")</f>
        <v/>
      </c>
      <c r="EHO62" s="87" t="str">
        <f>IF(ISNUMBER(outYear),EHO37+EHO42+#REF!+EHO59,"")</f>
        <v/>
      </c>
      <c r="EHP62" s="87" t="str">
        <f>IF(ISNUMBER(outYear),EHP37+EHP42+#REF!+EHP59,"")</f>
        <v/>
      </c>
      <c r="EHQ62" s="87" t="str">
        <f>IF(ISNUMBER(outYear),EHQ37+EHQ42+#REF!+EHQ59,"")</f>
        <v/>
      </c>
      <c r="EHR62" s="87" t="str">
        <f>IF(ISNUMBER(outYear),EHR37+EHR42+#REF!+EHR59,"")</f>
        <v/>
      </c>
      <c r="EHS62" s="87" t="str">
        <f>IF(ISNUMBER(outYear),EHS37+EHS42+#REF!+EHS59,"")</f>
        <v/>
      </c>
      <c r="EHT62" s="87" t="str">
        <f>IF(ISNUMBER(outYear),EHT37+EHT42+#REF!+EHT59,"")</f>
        <v/>
      </c>
      <c r="EHU62" s="87" t="str">
        <f>IF(ISNUMBER(outYear),EHU37+EHU42+#REF!+EHU59,"")</f>
        <v/>
      </c>
      <c r="EHV62" s="87" t="str">
        <f>IF(ISNUMBER(outYear),EHV37+EHV42+#REF!+EHV59,"")</f>
        <v/>
      </c>
      <c r="EHW62" s="87" t="str">
        <f>IF(ISNUMBER(outYear),EHW37+EHW42+#REF!+EHW59,"")</f>
        <v/>
      </c>
      <c r="EHX62" s="87" t="str">
        <f>IF(ISNUMBER(outYear),EHX37+EHX42+#REF!+EHX59,"")</f>
        <v/>
      </c>
      <c r="EHY62" s="87" t="str">
        <f>IF(ISNUMBER(outYear),EHY37+EHY42+#REF!+EHY59,"")</f>
        <v/>
      </c>
      <c r="EHZ62" s="87" t="str">
        <f>IF(ISNUMBER(outYear),EHZ37+EHZ42+#REF!+EHZ59,"")</f>
        <v/>
      </c>
      <c r="EIA62" s="87" t="str">
        <f>IF(ISNUMBER(outYear),EIA37+EIA42+#REF!+EIA59,"")</f>
        <v/>
      </c>
      <c r="EIB62" s="87" t="str">
        <f>IF(ISNUMBER(outYear),EIB37+EIB42+#REF!+EIB59,"")</f>
        <v/>
      </c>
      <c r="EIC62" s="87" t="str">
        <f>IF(ISNUMBER(outYear),EIC37+EIC42+#REF!+EIC59,"")</f>
        <v/>
      </c>
      <c r="EID62" s="87" t="str">
        <f>IF(ISNUMBER(outYear),EID37+EID42+#REF!+EID59,"")</f>
        <v/>
      </c>
      <c r="EIE62" s="87" t="str">
        <f>IF(ISNUMBER(outYear),EIE37+EIE42+#REF!+EIE59,"")</f>
        <v/>
      </c>
      <c r="EIF62" s="87" t="str">
        <f>IF(ISNUMBER(outYear),EIF37+EIF42+#REF!+EIF59,"")</f>
        <v/>
      </c>
      <c r="EIG62" s="87" t="str">
        <f>IF(ISNUMBER(outYear),EIG37+EIG42+#REF!+EIG59,"")</f>
        <v/>
      </c>
      <c r="EIH62" s="87" t="str">
        <f>IF(ISNUMBER(outYear),EIH37+EIH42+#REF!+EIH59,"")</f>
        <v/>
      </c>
      <c r="EII62" s="87" t="str">
        <f>IF(ISNUMBER(outYear),EII37+EII42+#REF!+EII59,"")</f>
        <v/>
      </c>
      <c r="EIJ62" s="87" t="str">
        <f>IF(ISNUMBER(outYear),EIJ37+EIJ42+#REF!+EIJ59,"")</f>
        <v/>
      </c>
      <c r="EIK62" s="87" t="str">
        <f>IF(ISNUMBER(outYear),EIK37+EIK42+#REF!+EIK59,"")</f>
        <v/>
      </c>
      <c r="EIL62" s="87" t="str">
        <f>IF(ISNUMBER(outYear),EIL37+EIL42+#REF!+EIL59,"")</f>
        <v/>
      </c>
      <c r="EIM62" s="87" t="str">
        <f>IF(ISNUMBER(outYear),EIM37+EIM42+#REF!+EIM59,"")</f>
        <v/>
      </c>
      <c r="EIN62" s="87" t="str">
        <f>IF(ISNUMBER(outYear),EIN37+EIN42+#REF!+EIN59,"")</f>
        <v/>
      </c>
      <c r="EIO62" s="87" t="str">
        <f>IF(ISNUMBER(outYear),EIO37+EIO42+#REF!+EIO59,"")</f>
        <v/>
      </c>
      <c r="EIP62" s="87" t="str">
        <f>IF(ISNUMBER(outYear),EIP37+EIP42+#REF!+EIP59,"")</f>
        <v/>
      </c>
      <c r="EIQ62" s="87" t="str">
        <f>IF(ISNUMBER(outYear),EIQ37+EIQ42+#REF!+EIQ59,"")</f>
        <v/>
      </c>
      <c r="EIR62" s="87" t="str">
        <f>IF(ISNUMBER(outYear),EIR37+EIR42+#REF!+EIR59,"")</f>
        <v/>
      </c>
      <c r="EIS62" s="87" t="str">
        <f>IF(ISNUMBER(outYear),EIS37+EIS42+#REF!+EIS59,"")</f>
        <v/>
      </c>
      <c r="EIT62" s="87" t="str">
        <f>IF(ISNUMBER(outYear),EIT37+EIT42+#REF!+EIT59,"")</f>
        <v/>
      </c>
      <c r="EIU62" s="87" t="str">
        <f>IF(ISNUMBER(outYear),EIU37+EIU42+#REF!+EIU59,"")</f>
        <v/>
      </c>
      <c r="EIV62" s="87" t="str">
        <f>IF(ISNUMBER(outYear),EIV37+EIV42+#REF!+EIV59,"")</f>
        <v/>
      </c>
      <c r="EIW62" s="87" t="str">
        <f>IF(ISNUMBER(outYear),EIW37+EIW42+#REF!+EIW59,"")</f>
        <v/>
      </c>
      <c r="EIX62" s="87" t="str">
        <f>IF(ISNUMBER(outYear),EIX37+EIX42+#REF!+EIX59,"")</f>
        <v/>
      </c>
      <c r="EIY62" s="87" t="str">
        <f>IF(ISNUMBER(outYear),EIY37+EIY42+#REF!+EIY59,"")</f>
        <v/>
      </c>
      <c r="EIZ62" s="87" t="str">
        <f>IF(ISNUMBER(outYear),EIZ37+EIZ42+#REF!+EIZ59,"")</f>
        <v/>
      </c>
      <c r="EJA62" s="87" t="str">
        <f>IF(ISNUMBER(outYear),EJA37+EJA42+#REF!+EJA59,"")</f>
        <v/>
      </c>
      <c r="EJB62" s="87" t="str">
        <f>IF(ISNUMBER(outYear),EJB37+EJB42+#REF!+EJB59,"")</f>
        <v/>
      </c>
      <c r="EJC62" s="87" t="str">
        <f>IF(ISNUMBER(outYear),EJC37+EJC42+#REF!+EJC59,"")</f>
        <v/>
      </c>
      <c r="EJD62" s="87" t="str">
        <f>IF(ISNUMBER(outYear),EJD37+EJD42+#REF!+EJD59,"")</f>
        <v/>
      </c>
      <c r="EJE62" s="87" t="str">
        <f>IF(ISNUMBER(outYear),EJE37+EJE42+#REF!+EJE59,"")</f>
        <v/>
      </c>
      <c r="EJF62" s="87" t="str">
        <f>IF(ISNUMBER(outYear),EJF37+EJF42+#REF!+EJF59,"")</f>
        <v/>
      </c>
      <c r="EJG62" s="87" t="str">
        <f>IF(ISNUMBER(outYear),EJG37+EJG42+#REF!+EJG59,"")</f>
        <v/>
      </c>
      <c r="EJH62" s="87" t="str">
        <f>IF(ISNUMBER(outYear),EJH37+EJH42+#REF!+EJH59,"")</f>
        <v/>
      </c>
      <c r="EJI62" s="87" t="str">
        <f>IF(ISNUMBER(outYear),EJI37+EJI42+#REF!+EJI59,"")</f>
        <v/>
      </c>
      <c r="EJJ62" s="87" t="str">
        <f>IF(ISNUMBER(outYear),EJJ37+EJJ42+#REF!+EJJ59,"")</f>
        <v/>
      </c>
      <c r="EJK62" s="87" t="str">
        <f>IF(ISNUMBER(outYear),EJK37+EJK42+#REF!+EJK59,"")</f>
        <v/>
      </c>
      <c r="EJL62" s="87" t="str">
        <f>IF(ISNUMBER(outYear),EJL37+EJL42+#REF!+EJL59,"")</f>
        <v/>
      </c>
      <c r="EJM62" s="87" t="str">
        <f>IF(ISNUMBER(outYear),EJM37+EJM42+#REF!+EJM59,"")</f>
        <v/>
      </c>
      <c r="EJN62" s="87" t="str">
        <f>IF(ISNUMBER(outYear),EJN37+EJN42+#REF!+EJN59,"")</f>
        <v/>
      </c>
      <c r="EJO62" s="87" t="str">
        <f>IF(ISNUMBER(outYear),EJO37+EJO42+#REF!+EJO59,"")</f>
        <v/>
      </c>
      <c r="EJP62" s="87" t="str">
        <f>IF(ISNUMBER(outYear),EJP37+EJP42+#REF!+EJP59,"")</f>
        <v/>
      </c>
      <c r="EJQ62" s="87" t="str">
        <f>IF(ISNUMBER(outYear),EJQ37+EJQ42+#REF!+EJQ59,"")</f>
        <v/>
      </c>
      <c r="EJR62" s="87" t="str">
        <f>IF(ISNUMBER(outYear),EJR37+EJR42+#REF!+EJR59,"")</f>
        <v/>
      </c>
      <c r="EJS62" s="87" t="str">
        <f>IF(ISNUMBER(outYear),EJS37+EJS42+#REF!+EJS59,"")</f>
        <v/>
      </c>
      <c r="EJT62" s="87" t="str">
        <f>IF(ISNUMBER(outYear),EJT37+EJT42+#REF!+EJT59,"")</f>
        <v/>
      </c>
      <c r="EJU62" s="87" t="str">
        <f>IF(ISNUMBER(outYear),EJU37+EJU42+#REF!+EJU59,"")</f>
        <v/>
      </c>
      <c r="EJV62" s="87" t="str">
        <f>IF(ISNUMBER(outYear),EJV37+EJV42+#REF!+EJV59,"")</f>
        <v/>
      </c>
      <c r="EJW62" s="87" t="str">
        <f>IF(ISNUMBER(outYear),EJW37+EJW42+#REF!+EJW59,"")</f>
        <v/>
      </c>
      <c r="EJX62" s="87" t="str">
        <f>IF(ISNUMBER(outYear),EJX37+EJX42+#REF!+EJX59,"")</f>
        <v/>
      </c>
      <c r="EJY62" s="87" t="str">
        <f>IF(ISNUMBER(outYear),EJY37+EJY42+#REF!+EJY59,"")</f>
        <v/>
      </c>
      <c r="EJZ62" s="87" t="str">
        <f>IF(ISNUMBER(outYear),EJZ37+EJZ42+#REF!+EJZ59,"")</f>
        <v/>
      </c>
      <c r="EKA62" s="87" t="str">
        <f>IF(ISNUMBER(outYear),EKA37+EKA42+#REF!+EKA59,"")</f>
        <v/>
      </c>
      <c r="EKB62" s="87" t="str">
        <f>IF(ISNUMBER(outYear),EKB37+EKB42+#REF!+EKB59,"")</f>
        <v/>
      </c>
      <c r="EKC62" s="87" t="str">
        <f>IF(ISNUMBER(outYear),EKC37+EKC42+#REF!+EKC59,"")</f>
        <v/>
      </c>
      <c r="EKD62" s="87" t="str">
        <f>IF(ISNUMBER(outYear),EKD37+EKD42+#REF!+EKD59,"")</f>
        <v/>
      </c>
      <c r="EKE62" s="87" t="str">
        <f>IF(ISNUMBER(outYear),EKE37+EKE42+#REF!+EKE59,"")</f>
        <v/>
      </c>
      <c r="EKF62" s="87" t="str">
        <f>IF(ISNUMBER(outYear),EKF37+EKF42+#REF!+EKF59,"")</f>
        <v/>
      </c>
      <c r="EKG62" s="87" t="str">
        <f>IF(ISNUMBER(outYear),EKG37+EKG42+#REF!+EKG59,"")</f>
        <v/>
      </c>
      <c r="EKH62" s="87" t="str">
        <f>IF(ISNUMBER(outYear),EKH37+EKH42+#REF!+EKH59,"")</f>
        <v/>
      </c>
      <c r="EKI62" s="87" t="str">
        <f>IF(ISNUMBER(outYear),EKI37+EKI42+#REF!+EKI59,"")</f>
        <v/>
      </c>
      <c r="EKJ62" s="87" t="str">
        <f>IF(ISNUMBER(outYear),EKJ37+EKJ42+#REF!+EKJ59,"")</f>
        <v/>
      </c>
      <c r="EKK62" s="87" t="str">
        <f>IF(ISNUMBER(outYear),EKK37+EKK42+#REF!+EKK59,"")</f>
        <v/>
      </c>
      <c r="EKL62" s="87" t="str">
        <f>IF(ISNUMBER(outYear),EKL37+EKL42+#REF!+EKL59,"")</f>
        <v/>
      </c>
      <c r="EKM62" s="87" t="str">
        <f>IF(ISNUMBER(outYear),EKM37+EKM42+#REF!+EKM59,"")</f>
        <v/>
      </c>
      <c r="EKN62" s="87" t="str">
        <f>IF(ISNUMBER(outYear),EKN37+EKN42+#REF!+EKN59,"")</f>
        <v/>
      </c>
      <c r="EKO62" s="87" t="str">
        <f>IF(ISNUMBER(outYear),EKO37+EKO42+#REF!+EKO59,"")</f>
        <v/>
      </c>
      <c r="EKP62" s="87" t="str">
        <f>IF(ISNUMBER(outYear),EKP37+EKP42+#REF!+EKP59,"")</f>
        <v/>
      </c>
      <c r="EKQ62" s="87" t="str">
        <f>IF(ISNUMBER(outYear),EKQ37+EKQ42+#REF!+EKQ59,"")</f>
        <v/>
      </c>
      <c r="EKR62" s="87" t="str">
        <f>IF(ISNUMBER(outYear),EKR37+EKR42+#REF!+EKR59,"")</f>
        <v/>
      </c>
      <c r="EKS62" s="87" t="str">
        <f>IF(ISNUMBER(outYear),EKS37+EKS42+#REF!+EKS59,"")</f>
        <v/>
      </c>
      <c r="EKT62" s="87" t="str">
        <f>IF(ISNUMBER(outYear),EKT37+EKT42+#REF!+EKT59,"")</f>
        <v/>
      </c>
      <c r="EKU62" s="87" t="str">
        <f>IF(ISNUMBER(outYear),EKU37+EKU42+#REF!+EKU59,"")</f>
        <v/>
      </c>
      <c r="EKV62" s="87" t="str">
        <f>IF(ISNUMBER(outYear),EKV37+EKV42+#REF!+EKV59,"")</f>
        <v/>
      </c>
      <c r="EKW62" s="87" t="str">
        <f>IF(ISNUMBER(outYear),EKW37+EKW42+#REF!+EKW59,"")</f>
        <v/>
      </c>
      <c r="EKX62" s="87" t="str">
        <f>IF(ISNUMBER(outYear),EKX37+EKX42+#REF!+EKX59,"")</f>
        <v/>
      </c>
      <c r="EKY62" s="87" t="str">
        <f>IF(ISNUMBER(outYear),EKY37+EKY42+#REF!+EKY59,"")</f>
        <v/>
      </c>
      <c r="EKZ62" s="87" t="str">
        <f>IF(ISNUMBER(outYear),EKZ37+EKZ42+#REF!+EKZ59,"")</f>
        <v/>
      </c>
      <c r="ELA62" s="87" t="str">
        <f>IF(ISNUMBER(outYear),ELA37+ELA42+#REF!+ELA59,"")</f>
        <v/>
      </c>
      <c r="ELB62" s="87" t="str">
        <f>IF(ISNUMBER(outYear),ELB37+ELB42+#REF!+ELB59,"")</f>
        <v/>
      </c>
      <c r="ELC62" s="87" t="str">
        <f>IF(ISNUMBER(outYear),ELC37+ELC42+#REF!+ELC59,"")</f>
        <v/>
      </c>
      <c r="ELD62" s="87" t="str">
        <f>IF(ISNUMBER(outYear),ELD37+ELD42+#REF!+ELD59,"")</f>
        <v/>
      </c>
      <c r="ELE62" s="87" t="str">
        <f>IF(ISNUMBER(outYear),ELE37+ELE42+#REF!+ELE59,"")</f>
        <v/>
      </c>
      <c r="ELF62" s="87" t="str">
        <f>IF(ISNUMBER(outYear),ELF37+ELF42+#REF!+ELF59,"")</f>
        <v/>
      </c>
      <c r="ELG62" s="87" t="str">
        <f>IF(ISNUMBER(outYear),ELG37+ELG42+#REF!+ELG59,"")</f>
        <v/>
      </c>
      <c r="ELH62" s="87" t="str">
        <f>IF(ISNUMBER(outYear),ELH37+ELH42+#REF!+ELH59,"")</f>
        <v/>
      </c>
      <c r="ELI62" s="87" t="str">
        <f>IF(ISNUMBER(outYear),ELI37+ELI42+#REF!+ELI59,"")</f>
        <v/>
      </c>
      <c r="ELJ62" s="87" t="str">
        <f>IF(ISNUMBER(outYear),ELJ37+ELJ42+#REF!+ELJ59,"")</f>
        <v/>
      </c>
      <c r="ELK62" s="87" t="str">
        <f>IF(ISNUMBER(outYear),ELK37+ELK42+#REF!+ELK59,"")</f>
        <v/>
      </c>
      <c r="ELL62" s="87" t="str">
        <f>IF(ISNUMBER(outYear),ELL37+ELL42+#REF!+ELL59,"")</f>
        <v/>
      </c>
      <c r="ELM62" s="87" t="str">
        <f>IF(ISNUMBER(outYear),ELM37+ELM42+#REF!+ELM59,"")</f>
        <v/>
      </c>
      <c r="ELN62" s="87" t="str">
        <f>IF(ISNUMBER(outYear),ELN37+ELN42+#REF!+ELN59,"")</f>
        <v/>
      </c>
      <c r="ELO62" s="87" t="str">
        <f>IF(ISNUMBER(outYear),ELO37+ELO42+#REF!+ELO59,"")</f>
        <v/>
      </c>
      <c r="ELP62" s="87" t="str">
        <f>IF(ISNUMBER(outYear),ELP37+ELP42+#REF!+ELP59,"")</f>
        <v/>
      </c>
      <c r="ELQ62" s="87" t="str">
        <f>IF(ISNUMBER(outYear),ELQ37+ELQ42+#REF!+ELQ59,"")</f>
        <v/>
      </c>
      <c r="ELR62" s="87" t="str">
        <f>IF(ISNUMBER(outYear),ELR37+ELR42+#REF!+ELR59,"")</f>
        <v/>
      </c>
      <c r="ELS62" s="87" t="str">
        <f>IF(ISNUMBER(outYear),ELS37+ELS42+#REF!+ELS59,"")</f>
        <v/>
      </c>
      <c r="ELT62" s="87" t="str">
        <f>IF(ISNUMBER(outYear),ELT37+ELT42+#REF!+ELT59,"")</f>
        <v/>
      </c>
      <c r="ELU62" s="87" t="str">
        <f>IF(ISNUMBER(outYear),ELU37+ELU42+#REF!+ELU59,"")</f>
        <v/>
      </c>
      <c r="ELV62" s="87" t="str">
        <f>IF(ISNUMBER(outYear),ELV37+ELV42+#REF!+ELV59,"")</f>
        <v/>
      </c>
      <c r="ELW62" s="87" t="str">
        <f>IF(ISNUMBER(outYear),ELW37+ELW42+#REF!+ELW59,"")</f>
        <v/>
      </c>
      <c r="ELX62" s="87" t="str">
        <f>IF(ISNUMBER(outYear),ELX37+ELX42+#REF!+ELX59,"")</f>
        <v/>
      </c>
      <c r="ELY62" s="87" t="str">
        <f>IF(ISNUMBER(outYear),ELY37+ELY42+#REF!+ELY59,"")</f>
        <v/>
      </c>
      <c r="ELZ62" s="87" t="str">
        <f>IF(ISNUMBER(outYear),ELZ37+ELZ42+#REF!+ELZ59,"")</f>
        <v/>
      </c>
      <c r="EMA62" s="87" t="str">
        <f>IF(ISNUMBER(outYear),EMA37+EMA42+#REF!+EMA59,"")</f>
        <v/>
      </c>
      <c r="EMB62" s="87" t="str">
        <f>IF(ISNUMBER(outYear),EMB37+EMB42+#REF!+EMB59,"")</f>
        <v/>
      </c>
      <c r="EMC62" s="87" t="str">
        <f>IF(ISNUMBER(outYear),EMC37+EMC42+#REF!+EMC59,"")</f>
        <v/>
      </c>
      <c r="EMD62" s="87" t="str">
        <f>IF(ISNUMBER(outYear),EMD37+EMD42+#REF!+EMD59,"")</f>
        <v/>
      </c>
      <c r="EME62" s="87" t="str">
        <f>IF(ISNUMBER(outYear),EME37+EME42+#REF!+EME59,"")</f>
        <v/>
      </c>
      <c r="EMF62" s="87" t="str">
        <f>IF(ISNUMBER(outYear),EMF37+EMF42+#REF!+EMF59,"")</f>
        <v/>
      </c>
      <c r="EMG62" s="87" t="str">
        <f>IF(ISNUMBER(outYear),EMG37+EMG42+#REF!+EMG59,"")</f>
        <v/>
      </c>
      <c r="EMH62" s="87" t="str">
        <f>IF(ISNUMBER(outYear),EMH37+EMH42+#REF!+EMH59,"")</f>
        <v/>
      </c>
      <c r="EMI62" s="87" t="str">
        <f>IF(ISNUMBER(outYear),EMI37+EMI42+#REF!+EMI59,"")</f>
        <v/>
      </c>
      <c r="EMJ62" s="87" t="str">
        <f>IF(ISNUMBER(outYear),EMJ37+EMJ42+#REF!+EMJ59,"")</f>
        <v/>
      </c>
      <c r="EMK62" s="87" t="str">
        <f>IF(ISNUMBER(outYear),EMK37+EMK42+#REF!+EMK59,"")</f>
        <v/>
      </c>
      <c r="EML62" s="87" t="str">
        <f>IF(ISNUMBER(outYear),EML37+EML42+#REF!+EML59,"")</f>
        <v/>
      </c>
      <c r="EMM62" s="87" t="str">
        <f>IF(ISNUMBER(outYear),EMM37+EMM42+#REF!+EMM59,"")</f>
        <v/>
      </c>
      <c r="EMN62" s="87" t="str">
        <f>IF(ISNUMBER(outYear),EMN37+EMN42+#REF!+EMN59,"")</f>
        <v/>
      </c>
      <c r="EMO62" s="87" t="str">
        <f>IF(ISNUMBER(outYear),EMO37+EMO42+#REF!+EMO59,"")</f>
        <v/>
      </c>
      <c r="EMP62" s="87" t="str">
        <f>IF(ISNUMBER(outYear),EMP37+EMP42+#REF!+EMP59,"")</f>
        <v/>
      </c>
      <c r="EMQ62" s="87" t="str">
        <f>IF(ISNUMBER(outYear),EMQ37+EMQ42+#REF!+EMQ59,"")</f>
        <v/>
      </c>
      <c r="EMR62" s="87" t="str">
        <f>IF(ISNUMBER(outYear),EMR37+EMR42+#REF!+EMR59,"")</f>
        <v/>
      </c>
      <c r="EMS62" s="87" t="str">
        <f>IF(ISNUMBER(outYear),EMS37+EMS42+#REF!+EMS59,"")</f>
        <v/>
      </c>
      <c r="EMT62" s="87" t="str">
        <f>IF(ISNUMBER(outYear),EMT37+EMT42+#REF!+EMT59,"")</f>
        <v/>
      </c>
      <c r="EMU62" s="87" t="str">
        <f>IF(ISNUMBER(outYear),EMU37+EMU42+#REF!+EMU59,"")</f>
        <v/>
      </c>
      <c r="EMV62" s="87" t="str">
        <f>IF(ISNUMBER(outYear),EMV37+EMV42+#REF!+EMV59,"")</f>
        <v/>
      </c>
      <c r="EMW62" s="87" t="str">
        <f>IF(ISNUMBER(outYear),EMW37+EMW42+#REF!+EMW59,"")</f>
        <v/>
      </c>
      <c r="EMX62" s="87" t="str">
        <f>IF(ISNUMBER(outYear),EMX37+EMX42+#REF!+EMX59,"")</f>
        <v/>
      </c>
      <c r="EMY62" s="87" t="str">
        <f>IF(ISNUMBER(outYear),EMY37+EMY42+#REF!+EMY59,"")</f>
        <v/>
      </c>
      <c r="EMZ62" s="87" t="str">
        <f>IF(ISNUMBER(outYear),EMZ37+EMZ42+#REF!+EMZ59,"")</f>
        <v/>
      </c>
      <c r="ENA62" s="87" t="str">
        <f>IF(ISNUMBER(outYear),ENA37+ENA42+#REF!+ENA59,"")</f>
        <v/>
      </c>
      <c r="ENB62" s="87" t="str">
        <f>IF(ISNUMBER(outYear),ENB37+ENB42+#REF!+ENB59,"")</f>
        <v/>
      </c>
      <c r="ENC62" s="87" t="str">
        <f>IF(ISNUMBER(outYear),ENC37+ENC42+#REF!+ENC59,"")</f>
        <v/>
      </c>
      <c r="END62" s="87" t="str">
        <f>IF(ISNUMBER(outYear),END37+END42+#REF!+END59,"")</f>
        <v/>
      </c>
      <c r="ENE62" s="87" t="str">
        <f>IF(ISNUMBER(outYear),ENE37+ENE42+#REF!+ENE59,"")</f>
        <v/>
      </c>
      <c r="ENF62" s="87" t="str">
        <f>IF(ISNUMBER(outYear),ENF37+ENF42+#REF!+ENF59,"")</f>
        <v/>
      </c>
      <c r="ENG62" s="87" t="str">
        <f>IF(ISNUMBER(outYear),ENG37+ENG42+#REF!+ENG59,"")</f>
        <v/>
      </c>
      <c r="ENH62" s="87" t="str">
        <f>IF(ISNUMBER(outYear),ENH37+ENH42+#REF!+ENH59,"")</f>
        <v/>
      </c>
      <c r="ENI62" s="87" t="str">
        <f>IF(ISNUMBER(outYear),ENI37+ENI42+#REF!+ENI59,"")</f>
        <v/>
      </c>
      <c r="ENJ62" s="87" t="str">
        <f>IF(ISNUMBER(outYear),ENJ37+ENJ42+#REF!+ENJ59,"")</f>
        <v/>
      </c>
      <c r="ENK62" s="87" t="str">
        <f>IF(ISNUMBER(outYear),ENK37+ENK42+#REF!+ENK59,"")</f>
        <v/>
      </c>
      <c r="ENL62" s="87" t="str">
        <f>IF(ISNUMBER(outYear),ENL37+ENL42+#REF!+ENL59,"")</f>
        <v/>
      </c>
      <c r="ENM62" s="87" t="str">
        <f>IF(ISNUMBER(outYear),ENM37+ENM42+#REF!+ENM59,"")</f>
        <v/>
      </c>
      <c r="ENN62" s="87" t="str">
        <f>IF(ISNUMBER(outYear),ENN37+ENN42+#REF!+ENN59,"")</f>
        <v/>
      </c>
      <c r="ENO62" s="87" t="str">
        <f>IF(ISNUMBER(outYear),ENO37+ENO42+#REF!+ENO59,"")</f>
        <v/>
      </c>
      <c r="ENP62" s="87" t="str">
        <f>IF(ISNUMBER(outYear),ENP37+ENP42+#REF!+ENP59,"")</f>
        <v/>
      </c>
      <c r="ENQ62" s="87" t="str">
        <f>IF(ISNUMBER(outYear),ENQ37+ENQ42+#REF!+ENQ59,"")</f>
        <v/>
      </c>
      <c r="ENR62" s="87" t="str">
        <f>IF(ISNUMBER(outYear),ENR37+ENR42+#REF!+ENR59,"")</f>
        <v/>
      </c>
      <c r="ENS62" s="87" t="str">
        <f>IF(ISNUMBER(outYear),ENS37+ENS42+#REF!+ENS59,"")</f>
        <v/>
      </c>
      <c r="ENT62" s="87" t="str">
        <f>IF(ISNUMBER(outYear),ENT37+ENT42+#REF!+ENT59,"")</f>
        <v/>
      </c>
      <c r="ENU62" s="87" t="str">
        <f>IF(ISNUMBER(outYear),ENU37+ENU42+#REF!+ENU59,"")</f>
        <v/>
      </c>
      <c r="ENV62" s="87" t="str">
        <f>IF(ISNUMBER(outYear),ENV37+ENV42+#REF!+ENV59,"")</f>
        <v/>
      </c>
      <c r="ENW62" s="87" t="str">
        <f>IF(ISNUMBER(outYear),ENW37+ENW42+#REF!+ENW59,"")</f>
        <v/>
      </c>
      <c r="ENX62" s="87" t="str">
        <f>IF(ISNUMBER(outYear),ENX37+ENX42+#REF!+ENX59,"")</f>
        <v/>
      </c>
      <c r="ENY62" s="87" t="str">
        <f>IF(ISNUMBER(outYear),ENY37+ENY42+#REF!+ENY59,"")</f>
        <v/>
      </c>
      <c r="ENZ62" s="87" t="str">
        <f>IF(ISNUMBER(outYear),ENZ37+ENZ42+#REF!+ENZ59,"")</f>
        <v/>
      </c>
      <c r="EOA62" s="87" t="str">
        <f>IF(ISNUMBER(outYear),EOA37+EOA42+#REF!+EOA59,"")</f>
        <v/>
      </c>
      <c r="EOB62" s="87" t="str">
        <f>IF(ISNUMBER(outYear),EOB37+EOB42+#REF!+EOB59,"")</f>
        <v/>
      </c>
      <c r="EOC62" s="87" t="str">
        <f>IF(ISNUMBER(outYear),EOC37+EOC42+#REF!+EOC59,"")</f>
        <v/>
      </c>
      <c r="EOD62" s="87" t="str">
        <f>IF(ISNUMBER(outYear),EOD37+EOD42+#REF!+EOD59,"")</f>
        <v/>
      </c>
      <c r="EOE62" s="87" t="str">
        <f>IF(ISNUMBER(outYear),EOE37+EOE42+#REF!+EOE59,"")</f>
        <v/>
      </c>
      <c r="EOF62" s="87" t="str">
        <f>IF(ISNUMBER(outYear),EOF37+EOF42+#REF!+EOF59,"")</f>
        <v/>
      </c>
      <c r="EOG62" s="87" t="str">
        <f>IF(ISNUMBER(outYear),EOG37+EOG42+#REF!+EOG59,"")</f>
        <v/>
      </c>
      <c r="EOH62" s="87" t="str">
        <f>IF(ISNUMBER(outYear),EOH37+EOH42+#REF!+EOH59,"")</f>
        <v/>
      </c>
      <c r="EOI62" s="87" t="str">
        <f>IF(ISNUMBER(outYear),EOI37+EOI42+#REF!+EOI59,"")</f>
        <v/>
      </c>
      <c r="EOJ62" s="87" t="str">
        <f>IF(ISNUMBER(outYear),EOJ37+EOJ42+#REF!+EOJ59,"")</f>
        <v/>
      </c>
      <c r="EOK62" s="87" t="str">
        <f>IF(ISNUMBER(outYear),EOK37+EOK42+#REF!+EOK59,"")</f>
        <v/>
      </c>
      <c r="EOL62" s="87" t="str">
        <f>IF(ISNUMBER(outYear),EOL37+EOL42+#REF!+EOL59,"")</f>
        <v/>
      </c>
      <c r="EOM62" s="87" t="str">
        <f>IF(ISNUMBER(outYear),EOM37+EOM42+#REF!+EOM59,"")</f>
        <v/>
      </c>
      <c r="EON62" s="87" t="str">
        <f>IF(ISNUMBER(outYear),EON37+EON42+#REF!+EON59,"")</f>
        <v/>
      </c>
      <c r="EOO62" s="87" t="str">
        <f>IF(ISNUMBER(outYear),EOO37+EOO42+#REF!+EOO59,"")</f>
        <v/>
      </c>
      <c r="EOP62" s="87" t="str">
        <f>IF(ISNUMBER(outYear),EOP37+EOP42+#REF!+EOP59,"")</f>
        <v/>
      </c>
      <c r="EOQ62" s="87" t="str">
        <f>IF(ISNUMBER(outYear),EOQ37+EOQ42+#REF!+EOQ59,"")</f>
        <v/>
      </c>
      <c r="EOR62" s="87" t="str">
        <f>IF(ISNUMBER(outYear),EOR37+EOR42+#REF!+EOR59,"")</f>
        <v/>
      </c>
      <c r="EOS62" s="87" t="str">
        <f>IF(ISNUMBER(outYear),EOS37+EOS42+#REF!+EOS59,"")</f>
        <v/>
      </c>
      <c r="EOT62" s="87" t="str">
        <f>IF(ISNUMBER(outYear),EOT37+EOT42+#REF!+EOT59,"")</f>
        <v/>
      </c>
      <c r="EOU62" s="87" t="str">
        <f>IF(ISNUMBER(outYear),EOU37+EOU42+#REF!+EOU59,"")</f>
        <v/>
      </c>
      <c r="EOV62" s="87" t="str">
        <f>IF(ISNUMBER(outYear),EOV37+EOV42+#REF!+EOV59,"")</f>
        <v/>
      </c>
      <c r="EOW62" s="87" t="str">
        <f>IF(ISNUMBER(outYear),EOW37+EOW42+#REF!+EOW59,"")</f>
        <v/>
      </c>
      <c r="EOX62" s="87" t="str">
        <f>IF(ISNUMBER(outYear),EOX37+EOX42+#REF!+EOX59,"")</f>
        <v/>
      </c>
      <c r="EOY62" s="87" t="str">
        <f>IF(ISNUMBER(outYear),EOY37+EOY42+#REF!+EOY59,"")</f>
        <v/>
      </c>
      <c r="EOZ62" s="87" t="str">
        <f>IF(ISNUMBER(outYear),EOZ37+EOZ42+#REF!+EOZ59,"")</f>
        <v/>
      </c>
      <c r="EPA62" s="87" t="str">
        <f>IF(ISNUMBER(outYear),EPA37+EPA42+#REF!+EPA59,"")</f>
        <v/>
      </c>
      <c r="EPB62" s="87" t="str">
        <f>IF(ISNUMBER(outYear),EPB37+EPB42+#REF!+EPB59,"")</f>
        <v/>
      </c>
      <c r="EPC62" s="87" t="str">
        <f>IF(ISNUMBER(outYear),EPC37+EPC42+#REF!+EPC59,"")</f>
        <v/>
      </c>
      <c r="EPD62" s="87" t="str">
        <f>IF(ISNUMBER(outYear),EPD37+EPD42+#REF!+EPD59,"")</f>
        <v/>
      </c>
      <c r="EPE62" s="87" t="str">
        <f>IF(ISNUMBER(outYear),EPE37+EPE42+#REF!+EPE59,"")</f>
        <v/>
      </c>
      <c r="EPF62" s="87" t="str">
        <f>IF(ISNUMBER(outYear),EPF37+EPF42+#REF!+EPF59,"")</f>
        <v/>
      </c>
      <c r="EPG62" s="87" t="str">
        <f>IF(ISNUMBER(outYear),EPG37+EPG42+#REF!+EPG59,"")</f>
        <v/>
      </c>
      <c r="EPH62" s="87" t="str">
        <f>IF(ISNUMBER(outYear),EPH37+EPH42+#REF!+EPH59,"")</f>
        <v/>
      </c>
      <c r="EPI62" s="87" t="str">
        <f>IF(ISNUMBER(outYear),EPI37+EPI42+#REF!+EPI59,"")</f>
        <v/>
      </c>
      <c r="EPJ62" s="87" t="str">
        <f>IF(ISNUMBER(outYear),EPJ37+EPJ42+#REF!+EPJ59,"")</f>
        <v/>
      </c>
      <c r="EPK62" s="87" t="str">
        <f>IF(ISNUMBER(outYear),EPK37+EPK42+#REF!+EPK59,"")</f>
        <v/>
      </c>
      <c r="EPL62" s="87" t="str">
        <f>IF(ISNUMBER(outYear),EPL37+EPL42+#REF!+EPL59,"")</f>
        <v/>
      </c>
      <c r="EPM62" s="87" t="str">
        <f>IF(ISNUMBER(outYear),EPM37+EPM42+#REF!+EPM59,"")</f>
        <v/>
      </c>
      <c r="EPN62" s="87" t="str">
        <f>IF(ISNUMBER(outYear),EPN37+EPN42+#REF!+EPN59,"")</f>
        <v/>
      </c>
      <c r="EPO62" s="87" t="str">
        <f>IF(ISNUMBER(outYear),EPO37+EPO42+#REF!+EPO59,"")</f>
        <v/>
      </c>
      <c r="EPP62" s="87" t="str">
        <f>IF(ISNUMBER(outYear),EPP37+EPP42+#REF!+EPP59,"")</f>
        <v/>
      </c>
      <c r="EPQ62" s="87" t="str">
        <f>IF(ISNUMBER(outYear),EPQ37+EPQ42+#REF!+EPQ59,"")</f>
        <v/>
      </c>
      <c r="EPR62" s="87" t="str">
        <f>IF(ISNUMBER(outYear),EPR37+EPR42+#REF!+EPR59,"")</f>
        <v/>
      </c>
      <c r="EPS62" s="87" t="str">
        <f>IF(ISNUMBER(outYear),EPS37+EPS42+#REF!+EPS59,"")</f>
        <v/>
      </c>
      <c r="EPT62" s="87" t="str">
        <f>IF(ISNUMBER(outYear),EPT37+EPT42+#REF!+EPT59,"")</f>
        <v/>
      </c>
      <c r="EPU62" s="87" t="str">
        <f>IF(ISNUMBER(outYear),EPU37+EPU42+#REF!+EPU59,"")</f>
        <v/>
      </c>
      <c r="EPV62" s="87" t="str">
        <f>IF(ISNUMBER(outYear),EPV37+EPV42+#REF!+EPV59,"")</f>
        <v/>
      </c>
      <c r="EPW62" s="87" t="str">
        <f>IF(ISNUMBER(outYear),EPW37+EPW42+#REF!+EPW59,"")</f>
        <v/>
      </c>
      <c r="EPX62" s="87" t="str">
        <f>IF(ISNUMBER(outYear),EPX37+EPX42+#REF!+EPX59,"")</f>
        <v/>
      </c>
      <c r="EPY62" s="87" t="str">
        <f>IF(ISNUMBER(outYear),EPY37+EPY42+#REF!+EPY59,"")</f>
        <v/>
      </c>
      <c r="EPZ62" s="87" t="str">
        <f>IF(ISNUMBER(outYear),EPZ37+EPZ42+#REF!+EPZ59,"")</f>
        <v/>
      </c>
      <c r="EQA62" s="87" t="str">
        <f>IF(ISNUMBER(outYear),EQA37+EQA42+#REF!+EQA59,"")</f>
        <v/>
      </c>
      <c r="EQB62" s="87" t="str">
        <f>IF(ISNUMBER(outYear),EQB37+EQB42+#REF!+EQB59,"")</f>
        <v/>
      </c>
      <c r="EQC62" s="87" t="str">
        <f>IF(ISNUMBER(outYear),EQC37+EQC42+#REF!+EQC59,"")</f>
        <v/>
      </c>
      <c r="EQD62" s="87" t="str">
        <f>IF(ISNUMBER(outYear),EQD37+EQD42+#REF!+EQD59,"")</f>
        <v/>
      </c>
      <c r="EQE62" s="87" t="str">
        <f>IF(ISNUMBER(outYear),EQE37+EQE42+#REF!+EQE59,"")</f>
        <v/>
      </c>
      <c r="EQF62" s="87" t="str">
        <f>IF(ISNUMBER(outYear),EQF37+EQF42+#REF!+EQF59,"")</f>
        <v/>
      </c>
      <c r="EQG62" s="87" t="str">
        <f>IF(ISNUMBER(outYear),EQG37+EQG42+#REF!+EQG59,"")</f>
        <v/>
      </c>
      <c r="EQH62" s="87" t="str">
        <f>IF(ISNUMBER(outYear),EQH37+EQH42+#REF!+EQH59,"")</f>
        <v/>
      </c>
      <c r="EQI62" s="87" t="str">
        <f>IF(ISNUMBER(outYear),EQI37+EQI42+#REF!+EQI59,"")</f>
        <v/>
      </c>
      <c r="EQJ62" s="87" t="str">
        <f>IF(ISNUMBER(outYear),EQJ37+EQJ42+#REF!+EQJ59,"")</f>
        <v/>
      </c>
      <c r="EQK62" s="87" t="str">
        <f>IF(ISNUMBER(outYear),EQK37+EQK42+#REF!+EQK59,"")</f>
        <v/>
      </c>
      <c r="EQL62" s="87" t="str">
        <f>IF(ISNUMBER(outYear),EQL37+EQL42+#REF!+EQL59,"")</f>
        <v/>
      </c>
      <c r="EQM62" s="87" t="str">
        <f>IF(ISNUMBER(outYear),EQM37+EQM42+#REF!+EQM59,"")</f>
        <v/>
      </c>
      <c r="EQN62" s="87" t="str">
        <f>IF(ISNUMBER(outYear),EQN37+EQN42+#REF!+EQN59,"")</f>
        <v/>
      </c>
      <c r="EQO62" s="87" t="str">
        <f>IF(ISNUMBER(outYear),EQO37+EQO42+#REF!+EQO59,"")</f>
        <v/>
      </c>
      <c r="EQP62" s="87" t="str">
        <f>IF(ISNUMBER(outYear),EQP37+EQP42+#REF!+EQP59,"")</f>
        <v/>
      </c>
      <c r="EQQ62" s="87" t="str">
        <f>IF(ISNUMBER(outYear),EQQ37+EQQ42+#REF!+EQQ59,"")</f>
        <v/>
      </c>
      <c r="EQR62" s="87" t="str">
        <f>IF(ISNUMBER(outYear),EQR37+EQR42+#REF!+EQR59,"")</f>
        <v/>
      </c>
      <c r="EQS62" s="87" t="str">
        <f>IF(ISNUMBER(outYear),EQS37+EQS42+#REF!+EQS59,"")</f>
        <v/>
      </c>
      <c r="EQT62" s="87" t="str">
        <f>IF(ISNUMBER(outYear),EQT37+EQT42+#REF!+EQT59,"")</f>
        <v/>
      </c>
      <c r="EQU62" s="87" t="str">
        <f>IF(ISNUMBER(outYear),EQU37+EQU42+#REF!+EQU59,"")</f>
        <v/>
      </c>
      <c r="EQV62" s="87" t="str">
        <f>IF(ISNUMBER(outYear),EQV37+EQV42+#REF!+EQV59,"")</f>
        <v/>
      </c>
      <c r="EQW62" s="87" t="str">
        <f>IF(ISNUMBER(outYear),EQW37+EQW42+#REF!+EQW59,"")</f>
        <v/>
      </c>
      <c r="EQX62" s="87" t="str">
        <f>IF(ISNUMBER(outYear),EQX37+EQX42+#REF!+EQX59,"")</f>
        <v/>
      </c>
      <c r="EQY62" s="87" t="str">
        <f>IF(ISNUMBER(outYear),EQY37+EQY42+#REF!+EQY59,"")</f>
        <v/>
      </c>
      <c r="EQZ62" s="87" t="str">
        <f>IF(ISNUMBER(outYear),EQZ37+EQZ42+#REF!+EQZ59,"")</f>
        <v/>
      </c>
      <c r="ERA62" s="87" t="str">
        <f>IF(ISNUMBER(outYear),ERA37+ERA42+#REF!+ERA59,"")</f>
        <v/>
      </c>
      <c r="ERB62" s="87" t="str">
        <f>IF(ISNUMBER(outYear),ERB37+ERB42+#REF!+ERB59,"")</f>
        <v/>
      </c>
      <c r="ERC62" s="87" t="str">
        <f>IF(ISNUMBER(outYear),ERC37+ERC42+#REF!+ERC59,"")</f>
        <v/>
      </c>
      <c r="ERD62" s="87" t="str">
        <f>IF(ISNUMBER(outYear),ERD37+ERD42+#REF!+ERD59,"")</f>
        <v/>
      </c>
      <c r="ERE62" s="87" t="str">
        <f>IF(ISNUMBER(outYear),ERE37+ERE42+#REF!+ERE59,"")</f>
        <v/>
      </c>
      <c r="ERF62" s="87" t="str">
        <f>IF(ISNUMBER(outYear),ERF37+ERF42+#REF!+ERF59,"")</f>
        <v/>
      </c>
      <c r="ERG62" s="87" t="str">
        <f>IF(ISNUMBER(outYear),ERG37+ERG42+#REF!+ERG59,"")</f>
        <v/>
      </c>
      <c r="ERH62" s="87" t="str">
        <f>IF(ISNUMBER(outYear),ERH37+ERH42+#REF!+ERH59,"")</f>
        <v/>
      </c>
      <c r="ERI62" s="87" t="str">
        <f>IF(ISNUMBER(outYear),ERI37+ERI42+#REF!+ERI59,"")</f>
        <v/>
      </c>
      <c r="ERJ62" s="87" t="str">
        <f>IF(ISNUMBER(outYear),ERJ37+ERJ42+#REF!+ERJ59,"")</f>
        <v/>
      </c>
      <c r="ERK62" s="87" t="str">
        <f>IF(ISNUMBER(outYear),ERK37+ERK42+#REF!+ERK59,"")</f>
        <v/>
      </c>
      <c r="ERL62" s="87" t="str">
        <f>IF(ISNUMBER(outYear),ERL37+ERL42+#REF!+ERL59,"")</f>
        <v/>
      </c>
      <c r="ERM62" s="87" t="str">
        <f>IF(ISNUMBER(outYear),ERM37+ERM42+#REF!+ERM59,"")</f>
        <v/>
      </c>
      <c r="ERN62" s="87" t="str">
        <f>IF(ISNUMBER(outYear),ERN37+ERN42+#REF!+ERN59,"")</f>
        <v/>
      </c>
      <c r="ERO62" s="87" t="str">
        <f>IF(ISNUMBER(outYear),ERO37+ERO42+#REF!+ERO59,"")</f>
        <v/>
      </c>
      <c r="ERP62" s="87" t="str">
        <f>IF(ISNUMBER(outYear),ERP37+ERP42+#REF!+ERP59,"")</f>
        <v/>
      </c>
      <c r="ERQ62" s="87" t="str">
        <f>IF(ISNUMBER(outYear),ERQ37+ERQ42+#REF!+ERQ59,"")</f>
        <v/>
      </c>
      <c r="ERR62" s="87" t="str">
        <f>IF(ISNUMBER(outYear),ERR37+ERR42+#REF!+ERR59,"")</f>
        <v/>
      </c>
      <c r="ERS62" s="87" t="str">
        <f>IF(ISNUMBER(outYear),ERS37+ERS42+#REF!+ERS59,"")</f>
        <v/>
      </c>
      <c r="ERT62" s="87" t="str">
        <f>IF(ISNUMBER(outYear),ERT37+ERT42+#REF!+ERT59,"")</f>
        <v/>
      </c>
      <c r="ERU62" s="87" t="str">
        <f>IF(ISNUMBER(outYear),ERU37+ERU42+#REF!+ERU59,"")</f>
        <v/>
      </c>
      <c r="ERV62" s="87" t="str">
        <f>IF(ISNUMBER(outYear),ERV37+ERV42+#REF!+ERV59,"")</f>
        <v/>
      </c>
      <c r="ERW62" s="87" t="str">
        <f>IF(ISNUMBER(outYear),ERW37+ERW42+#REF!+ERW59,"")</f>
        <v/>
      </c>
      <c r="ERX62" s="87" t="str">
        <f>IF(ISNUMBER(outYear),ERX37+ERX42+#REF!+ERX59,"")</f>
        <v/>
      </c>
      <c r="ERY62" s="87" t="str">
        <f>IF(ISNUMBER(outYear),ERY37+ERY42+#REF!+ERY59,"")</f>
        <v/>
      </c>
      <c r="ERZ62" s="87" t="str">
        <f>IF(ISNUMBER(outYear),ERZ37+ERZ42+#REF!+ERZ59,"")</f>
        <v/>
      </c>
      <c r="ESA62" s="87" t="str">
        <f>IF(ISNUMBER(outYear),ESA37+ESA42+#REF!+ESA59,"")</f>
        <v/>
      </c>
      <c r="ESB62" s="87" t="str">
        <f>IF(ISNUMBER(outYear),ESB37+ESB42+#REF!+ESB59,"")</f>
        <v/>
      </c>
      <c r="ESC62" s="87" t="str">
        <f>IF(ISNUMBER(outYear),ESC37+ESC42+#REF!+ESC59,"")</f>
        <v/>
      </c>
      <c r="ESD62" s="87" t="str">
        <f>IF(ISNUMBER(outYear),ESD37+ESD42+#REF!+ESD59,"")</f>
        <v/>
      </c>
      <c r="ESE62" s="87" t="str">
        <f>IF(ISNUMBER(outYear),ESE37+ESE42+#REF!+ESE59,"")</f>
        <v/>
      </c>
      <c r="ESF62" s="87" t="str">
        <f>IF(ISNUMBER(outYear),ESF37+ESF42+#REF!+ESF59,"")</f>
        <v/>
      </c>
      <c r="ESG62" s="87" t="str">
        <f>IF(ISNUMBER(outYear),ESG37+ESG42+#REF!+ESG59,"")</f>
        <v/>
      </c>
      <c r="ESH62" s="87" t="str">
        <f>IF(ISNUMBER(outYear),ESH37+ESH42+#REF!+ESH59,"")</f>
        <v/>
      </c>
      <c r="ESI62" s="87" t="str">
        <f>IF(ISNUMBER(outYear),ESI37+ESI42+#REF!+ESI59,"")</f>
        <v/>
      </c>
      <c r="ESJ62" s="87" t="str">
        <f>IF(ISNUMBER(outYear),ESJ37+ESJ42+#REF!+ESJ59,"")</f>
        <v/>
      </c>
      <c r="ESK62" s="87" t="str">
        <f>IF(ISNUMBER(outYear),ESK37+ESK42+#REF!+ESK59,"")</f>
        <v/>
      </c>
      <c r="ESL62" s="87" t="str">
        <f>IF(ISNUMBER(outYear),ESL37+ESL42+#REF!+ESL59,"")</f>
        <v/>
      </c>
      <c r="ESM62" s="87" t="str">
        <f>IF(ISNUMBER(outYear),ESM37+ESM42+#REF!+ESM59,"")</f>
        <v/>
      </c>
      <c r="ESN62" s="87" t="str">
        <f>IF(ISNUMBER(outYear),ESN37+ESN42+#REF!+ESN59,"")</f>
        <v/>
      </c>
      <c r="ESO62" s="87" t="str">
        <f>IF(ISNUMBER(outYear),ESO37+ESO42+#REF!+ESO59,"")</f>
        <v/>
      </c>
      <c r="ESP62" s="87" t="str">
        <f>IF(ISNUMBER(outYear),ESP37+ESP42+#REF!+ESP59,"")</f>
        <v/>
      </c>
      <c r="ESQ62" s="87" t="str">
        <f>IF(ISNUMBER(outYear),ESQ37+ESQ42+#REF!+ESQ59,"")</f>
        <v/>
      </c>
      <c r="ESR62" s="87" t="str">
        <f>IF(ISNUMBER(outYear),ESR37+ESR42+#REF!+ESR59,"")</f>
        <v/>
      </c>
      <c r="ESS62" s="87" t="str">
        <f>IF(ISNUMBER(outYear),ESS37+ESS42+#REF!+ESS59,"")</f>
        <v/>
      </c>
      <c r="EST62" s="87" t="str">
        <f>IF(ISNUMBER(outYear),EST37+EST42+#REF!+EST59,"")</f>
        <v/>
      </c>
      <c r="ESU62" s="87" t="str">
        <f>IF(ISNUMBER(outYear),ESU37+ESU42+#REF!+ESU59,"")</f>
        <v/>
      </c>
      <c r="ESV62" s="87" t="str">
        <f>IF(ISNUMBER(outYear),ESV37+ESV42+#REF!+ESV59,"")</f>
        <v/>
      </c>
      <c r="ESW62" s="87" t="str">
        <f>IF(ISNUMBER(outYear),ESW37+ESW42+#REF!+ESW59,"")</f>
        <v/>
      </c>
      <c r="ESX62" s="87" t="str">
        <f>IF(ISNUMBER(outYear),ESX37+ESX42+#REF!+ESX59,"")</f>
        <v/>
      </c>
      <c r="ESY62" s="87" t="str">
        <f>IF(ISNUMBER(outYear),ESY37+ESY42+#REF!+ESY59,"")</f>
        <v/>
      </c>
      <c r="ESZ62" s="87" t="str">
        <f>IF(ISNUMBER(outYear),ESZ37+ESZ42+#REF!+ESZ59,"")</f>
        <v/>
      </c>
      <c r="ETA62" s="87" t="str">
        <f>IF(ISNUMBER(outYear),ETA37+ETA42+#REF!+ETA59,"")</f>
        <v/>
      </c>
      <c r="ETB62" s="87" t="str">
        <f>IF(ISNUMBER(outYear),ETB37+ETB42+#REF!+ETB59,"")</f>
        <v/>
      </c>
      <c r="ETC62" s="87" t="str">
        <f>IF(ISNUMBER(outYear),ETC37+ETC42+#REF!+ETC59,"")</f>
        <v/>
      </c>
      <c r="ETD62" s="87" t="str">
        <f>IF(ISNUMBER(outYear),ETD37+ETD42+#REF!+ETD59,"")</f>
        <v/>
      </c>
      <c r="ETE62" s="87" t="str">
        <f>IF(ISNUMBER(outYear),ETE37+ETE42+#REF!+ETE59,"")</f>
        <v/>
      </c>
      <c r="ETF62" s="87" t="str">
        <f>IF(ISNUMBER(outYear),ETF37+ETF42+#REF!+ETF59,"")</f>
        <v/>
      </c>
      <c r="ETG62" s="87" t="str">
        <f>IF(ISNUMBER(outYear),ETG37+ETG42+#REF!+ETG59,"")</f>
        <v/>
      </c>
      <c r="ETH62" s="87" t="str">
        <f>IF(ISNUMBER(outYear),ETH37+ETH42+#REF!+ETH59,"")</f>
        <v/>
      </c>
      <c r="ETI62" s="87" t="str">
        <f>IF(ISNUMBER(outYear),ETI37+ETI42+#REF!+ETI59,"")</f>
        <v/>
      </c>
      <c r="ETJ62" s="87" t="str">
        <f>IF(ISNUMBER(outYear),ETJ37+ETJ42+#REF!+ETJ59,"")</f>
        <v/>
      </c>
      <c r="ETK62" s="87" t="str">
        <f>IF(ISNUMBER(outYear),ETK37+ETK42+#REF!+ETK59,"")</f>
        <v/>
      </c>
      <c r="ETL62" s="87" t="str">
        <f>IF(ISNUMBER(outYear),ETL37+ETL42+#REF!+ETL59,"")</f>
        <v/>
      </c>
      <c r="ETM62" s="87" t="str">
        <f>IF(ISNUMBER(outYear),ETM37+ETM42+#REF!+ETM59,"")</f>
        <v/>
      </c>
      <c r="ETN62" s="87" t="str">
        <f>IF(ISNUMBER(outYear),ETN37+ETN42+#REF!+ETN59,"")</f>
        <v/>
      </c>
      <c r="ETO62" s="87" t="str">
        <f>IF(ISNUMBER(outYear),ETO37+ETO42+#REF!+ETO59,"")</f>
        <v/>
      </c>
      <c r="ETP62" s="87" t="str">
        <f>IF(ISNUMBER(outYear),ETP37+ETP42+#REF!+ETP59,"")</f>
        <v/>
      </c>
      <c r="ETQ62" s="87" t="str">
        <f>IF(ISNUMBER(outYear),ETQ37+ETQ42+#REF!+ETQ59,"")</f>
        <v/>
      </c>
      <c r="ETR62" s="87" t="str">
        <f>IF(ISNUMBER(outYear),ETR37+ETR42+#REF!+ETR59,"")</f>
        <v/>
      </c>
      <c r="ETS62" s="87" t="str">
        <f>IF(ISNUMBER(outYear),ETS37+ETS42+#REF!+ETS59,"")</f>
        <v/>
      </c>
      <c r="ETT62" s="87" t="str">
        <f>IF(ISNUMBER(outYear),ETT37+ETT42+#REF!+ETT59,"")</f>
        <v/>
      </c>
      <c r="ETU62" s="87" t="str">
        <f>IF(ISNUMBER(outYear),ETU37+ETU42+#REF!+ETU59,"")</f>
        <v/>
      </c>
      <c r="ETV62" s="87" t="str">
        <f>IF(ISNUMBER(outYear),ETV37+ETV42+#REF!+ETV59,"")</f>
        <v/>
      </c>
      <c r="ETW62" s="87" t="str">
        <f>IF(ISNUMBER(outYear),ETW37+ETW42+#REF!+ETW59,"")</f>
        <v/>
      </c>
      <c r="ETX62" s="87" t="str">
        <f>IF(ISNUMBER(outYear),ETX37+ETX42+#REF!+ETX59,"")</f>
        <v/>
      </c>
      <c r="ETY62" s="87" t="str">
        <f>IF(ISNUMBER(outYear),ETY37+ETY42+#REF!+ETY59,"")</f>
        <v/>
      </c>
      <c r="ETZ62" s="87" t="str">
        <f>IF(ISNUMBER(outYear),ETZ37+ETZ42+#REF!+ETZ59,"")</f>
        <v/>
      </c>
      <c r="EUA62" s="87" t="str">
        <f>IF(ISNUMBER(outYear),EUA37+EUA42+#REF!+EUA59,"")</f>
        <v/>
      </c>
      <c r="EUB62" s="87" t="str">
        <f>IF(ISNUMBER(outYear),EUB37+EUB42+#REF!+EUB59,"")</f>
        <v/>
      </c>
      <c r="EUC62" s="87" t="str">
        <f>IF(ISNUMBER(outYear),EUC37+EUC42+#REF!+EUC59,"")</f>
        <v/>
      </c>
      <c r="EUD62" s="87" t="str">
        <f>IF(ISNUMBER(outYear),EUD37+EUD42+#REF!+EUD59,"")</f>
        <v/>
      </c>
      <c r="EUE62" s="87" t="str">
        <f>IF(ISNUMBER(outYear),EUE37+EUE42+#REF!+EUE59,"")</f>
        <v/>
      </c>
      <c r="EUF62" s="87" t="str">
        <f>IF(ISNUMBER(outYear),EUF37+EUF42+#REF!+EUF59,"")</f>
        <v/>
      </c>
      <c r="EUG62" s="87" t="str">
        <f>IF(ISNUMBER(outYear),EUG37+EUG42+#REF!+EUG59,"")</f>
        <v/>
      </c>
      <c r="EUH62" s="87" t="str">
        <f>IF(ISNUMBER(outYear),EUH37+EUH42+#REF!+EUH59,"")</f>
        <v/>
      </c>
      <c r="EUI62" s="87" t="str">
        <f>IF(ISNUMBER(outYear),EUI37+EUI42+#REF!+EUI59,"")</f>
        <v/>
      </c>
      <c r="EUJ62" s="87" t="str">
        <f>IF(ISNUMBER(outYear),EUJ37+EUJ42+#REF!+EUJ59,"")</f>
        <v/>
      </c>
      <c r="EUK62" s="87" t="str">
        <f>IF(ISNUMBER(outYear),EUK37+EUK42+#REF!+EUK59,"")</f>
        <v/>
      </c>
      <c r="EUL62" s="87" t="str">
        <f>IF(ISNUMBER(outYear),EUL37+EUL42+#REF!+EUL59,"")</f>
        <v/>
      </c>
      <c r="EUM62" s="87" t="str">
        <f>IF(ISNUMBER(outYear),EUM37+EUM42+#REF!+EUM59,"")</f>
        <v/>
      </c>
      <c r="EUN62" s="87" t="str">
        <f>IF(ISNUMBER(outYear),EUN37+EUN42+#REF!+EUN59,"")</f>
        <v/>
      </c>
      <c r="EUO62" s="87" t="str">
        <f>IF(ISNUMBER(outYear),EUO37+EUO42+#REF!+EUO59,"")</f>
        <v/>
      </c>
      <c r="EUP62" s="87" t="str">
        <f>IF(ISNUMBER(outYear),EUP37+EUP42+#REF!+EUP59,"")</f>
        <v/>
      </c>
      <c r="EUQ62" s="87" t="str">
        <f>IF(ISNUMBER(outYear),EUQ37+EUQ42+#REF!+EUQ59,"")</f>
        <v/>
      </c>
      <c r="EUR62" s="87" t="str">
        <f>IF(ISNUMBER(outYear),EUR37+EUR42+#REF!+EUR59,"")</f>
        <v/>
      </c>
      <c r="EUS62" s="87" t="str">
        <f>IF(ISNUMBER(outYear),EUS37+EUS42+#REF!+EUS59,"")</f>
        <v/>
      </c>
      <c r="EUT62" s="87" t="str">
        <f>IF(ISNUMBER(outYear),EUT37+EUT42+#REF!+EUT59,"")</f>
        <v/>
      </c>
      <c r="EUU62" s="87" t="str">
        <f>IF(ISNUMBER(outYear),EUU37+EUU42+#REF!+EUU59,"")</f>
        <v/>
      </c>
      <c r="EUV62" s="87" t="str">
        <f>IF(ISNUMBER(outYear),EUV37+EUV42+#REF!+EUV59,"")</f>
        <v/>
      </c>
      <c r="EUW62" s="87" t="str">
        <f>IF(ISNUMBER(outYear),EUW37+EUW42+#REF!+EUW59,"")</f>
        <v/>
      </c>
      <c r="EUX62" s="87" t="str">
        <f>IF(ISNUMBER(outYear),EUX37+EUX42+#REF!+EUX59,"")</f>
        <v/>
      </c>
      <c r="EUY62" s="87" t="str">
        <f>IF(ISNUMBER(outYear),EUY37+EUY42+#REF!+EUY59,"")</f>
        <v/>
      </c>
      <c r="EUZ62" s="87" t="str">
        <f>IF(ISNUMBER(outYear),EUZ37+EUZ42+#REF!+EUZ59,"")</f>
        <v/>
      </c>
      <c r="EVA62" s="87" t="str">
        <f>IF(ISNUMBER(outYear),EVA37+EVA42+#REF!+EVA59,"")</f>
        <v/>
      </c>
      <c r="EVB62" s="87" t="str">
        <f>IF(ISNUMBER(outYear),EVB37+EVB42+#REF!+EVB59,"")</f>
        <v/>
      </c>
      <c r="EVC62" s="87" t="str">
        <f>IF(ISNUMBER(outYear),EVC37+EVC42+#REF!+EVC59,"")</f>
        <v/>
      </c>
      <c r="EVD62" s="87" t="str">
        <f>IF(ISNUMBER(outYear),EVD37+EVD42+#REF!+EVD59,"")</f>
        <v/>
      </c>
      <c r="EVE62" s="87" t="str">
        <f>IF(ISNUMBER(outYear),EVE37+EVE42+#REF!+EVE59,"")</f>
        <v/>
      </c>
      <c r="EVF62" s="87" t="str">
        <f>IF(ISNUMBER(outYear),EVF37+EVF42+#REF!+EVF59,"")</f>
        <v/>
      </c>
      <c r="EVG62" s="87" t="str">
        <f>IF(ISNUMBER(outYear),EVG37+EVG42+#REF!+EVG59,"")</f>
        <v/>
      </c>
      <c r="EVH62" s="87" t="str">
        <f>IF(ISNUMBER(outYear),EVH37+EVH42+#REF!+EVH59,"")</f>
        <v/>
      </c>
      <c r="EVI62" s="87" t="str">
        <f>IF(ISNUMBER(outYear),EVI37+EVI42+#REF!+EVI59,"")</f>
        <v/>
      </c>
      <c r="EVJ62" s="87" t="str">
        <f>IF(ISNUMBER(outYear),EVJ37+EVJ42+#REF!+EVJ59,"")</f>
        <v/>
      </c>
      <c r="EVK62" s="87" t="str">
        <f>IF(ISNUMBER(outYear),EVK37+EVK42+#REF!+EVK59,"")</f>
        <v/>
      </c>
      <c r="EVL62" s="87" t="str">
        <f>IF(ISNUMBER(outYear),EVL37+EVL42+#REF!+EVL59,"")</f>
        <v/>
      </c>
      <c r="EVM62" s="87" t="str">
        <f>IF(ISNUMBER(outYear),EVM37+EVM42+#REF!+EVM59,"")</f>
        <v/>
      </c>
      <c r="EVN62" s="87" t="str">
        <f>IF(ISNUMBER(outYear),EVN37+EVN42+#REF!+EVN59,"")</f>
        <v/>
      </c>
      <c r="EVO62" s="87" t="str">
        <f>IF(ISNUMBER(outYear),EVO37+EVO42+#REF!+EVO59,"")</f>
        <v/>
      </c>
      <c r="EVP62" s="87" t="str">
        <f>IF(ISNUMBER(outYear),EVP37+EVP42+#REF!+EVP59,"")</f>
        <v/>
      </c>
      <c r="EVQ62" s="87" t="str">
        <f>IF(ISNUMBER(outYear),EVQ37+EVQ42+#REF!+EVQ59,"")</f>
        <v/>
      </c>
      <c r="EVR62" s="87" t="str">
        <f>IF(ISNUMBER(outYear),EVR37+EVR42+#REF!+EVR59,"")</f>
        <v/>
      </c>
      <c r="EVS62" s="87" t="str">
        <f>IF(ISNUMBER(outYear),EVS37+EVS42+#REF!+EVS59,"")</f>
        <v/>
      </c>
      <c r="EVT62" s="87" t="str">
        <f>IF(ISNUMBER(outYear),EVT37+EVT42+#REF!+EVT59,"")</f>
        <v/>
      </c>
      <c r="EVU62" s="87" t="str">
        <f>IF(ISNUMBER(outYear),EVU37+EVU42+#REF!+EVU59,"")</f>
        <v/>
      </c>
      <c r="EVV62" s="87" t="str">
        <f>IF(ISNUMBER(outYear),EVV37+EVV42+#REF!+EVV59,"")</f>
        <v/>
      </c>
      <c r="EVW62" s="87" t="str">
        <f>IF(ISNUMBER(outYear),EVW37+EVW42+#REF!+EVW59,"")</f>
        <v/>
      </c>
      <c r="EVX62" s="87" t="str">
        <f>IF(ISNUMBER(outYear),EVX37+EVX42+#REF!+EVX59,"")</f>
        <v/>
      </c>
      <c r="EVY62" s="87" t="str">
        <f>IF(ISNUMBER(outYear),EVY37+EVY42+#REF!+EVY59,"")</f>
        <v/>
      </c>
      <c r="EVZ62" s="87" t="str">
        <f>IF(ISNUMBER(outYear),EVZ37+EVZ42+#REF!+EVZ59,"")</f>
        <v/>
      </c>
      <c r="EWA62" s="87" t="str">
        <f>IF(ISNUMBER(outYear),EWA37+EWA42+#REF!+EWA59,"")</f>
        <v/>
      </c>
      <c r="EWB62" s="87" t="str">
        <f>IF(ISNUMBER(outYear),EWB37+EWB42+#REF!+EWB59,"")</f>
        <v/>
      </c>
      <c r="EWC62" s="87" t="str">
        <f>IF(ISNUMBER(outYear),EWC37+EWC42+#REF!+EWC59,"")</f>
        <v/>
      </c>
      <c r="EWD62" s="87" t="str">
        <f>IF(ISNUMBER(outYear),EWD37+EWD42+#REF!+EWD59,"")</f>
        <v/>
      </c>
      <c r="EWE62" s="87" t="str">
        <f>IF(ISNUMBER(outYear),EWE37+EWE42+#REF!+EWE59,"")</f>
        <v/>
      </c>
      <c r="EWF62" s="87" t="str">
        <f>IF(ISNUMBER(outYear),EWF37+EWF42+#REF!+EWF59,"")</f>
        <v/>
      </c>
      <c r="EWG62" s="87" t="str">
        <f>IF(ISNUMBER(outYear),EWG37+EWG42+#REF!+EWG59,"")</f>
        <v/>
      </c>
      <c r="EWH62" s="87" t="str">
        <f>IF(ISNUMBER(outYear),EWH37+EWH42+#REF!+EWH59,"")</f>
        <v/>
      </c>
      <c r="EWI62" s="87" t="str">
        <f>IF(ISNUMBER(outYear),EWI37+EWI42+#REF!+EWI59,"")</f>
        <v/>
      </c>
      <c r="EWJ62" s="87" t="str">
        <f>IF(ISNUMBER(outYear),EWJ37+EWJ42+#REF!+EWJ59,"")</f>
        <v/>
      </c>
      <c r="EWK62" s="87" t="str">
        <f>IF(ISNUMBER(outYear),EWK37+EWK42+#REF!+EWK59,"")</f>
        <v/>
      </c>
      <c r="EWL62" s="87" t="str">
        <f>IF(ISNUMBER(outYear),EWL37+EWL42+#REF!+EWL59,"")</f>
        <v/>
      </c>
      <c r="EWM62" s="87" t="str">
        <f>IF(ISNUMBER(outYear),EWM37+EWM42+#REF!+EWM59,"")</f>
        <v/>
      </c>
      <c r="EWN62" s="87" t="str">
        <f>IF(ISNUMBER(outYear),EWN37+EWN42+#REF!+EWN59,"")</f>
        <v/>
      </c>
      <c r="EWO62" s="87" t="str">
        <f>IF(ISNUMBER(outYear),EWO37+EWO42+#REF!+EWO59,"")</f>
        <v/>
      </c>
      <c r="EWP62" s="87" t="str">
        <f>IF(ISNUMBER(outYear),EWP37+EWP42+#REF!+EWP59,"")</f>
        <v/>
      </c>
      <c r="EWQ62" s="87" t="str">
        <f>IF(ISNUMBER(outYear),EWQ37+EWQ42+#REF!+EWQ59,"")</f>
        <v/>
      </c>
      <c r="EWR62" s="87" t="str">
        <f>IF(ISNUMBER(outYear),EWR37+EWR42+#REF!+EWR59,"")</f>
        <v/>
      </c>
      <c r="EWS62" s="87" t="str">
        <f>IF(ISNUMBER(outYear),EWS37+EWS42+#REF!+EWS59,"")</f>
        <v/>
      </c>
      <c r="EWT62" s="87" t="str">
        <f>IF(ISNUMBER(outYear),EWT37+EWT42+#REF!+EWT59,"")</f>
        <v/>
      </c>
      <c r="EWU62" s="87" t="str">
        <f>IF(ISNUMBER(outYear),EWU37+EWU42+#REF!+EWU59,"")</f>
        <v/>
      </c>
      <c r="EWV62" s="87" t="str">
        <f>IF(ISNUMBER(outYear),EWV37+EWV42+#REF!+EWV59,"")</f>
        <v/>
      </c>
      <c r="EWW62" s="87" t="str">
        <f>IF(ISNUMBER(outYear),EWW37+EWW42+#REF!+EWW59,"")</f>
        <v/>
      </c>
      <c r="EWX62" s="87" t="str">
        <f>IF(ISNUMBER(outYear),EWX37+EWX42+#REF!+EWX59,"")</f>
        <v/>
      </c>
      <c r="EWY62" s="87" t="str">
        <f>IF(ISNUMBER(outYear),EWY37+EWY42+#REF!+EWY59,"")</f>
        <v/>
      </c>
      <c r="EWZ62" s="87" t="str">
        <f>IF(ISNUMBER(outYear),EWZ37+EWZ42+#REF!+EWZ59,"")</f>
        <v/>
      </c>
      <c r="EXA62" s="87" t="str">
        <f>IF(ISNUMBER(outYear),EXA37+EXA42+#REF!+EXA59,"")</f>
        <v/>
      </c>
      <c r="EXB62" s="87" t="str">
        <f>IF(ISNUMBER(outYear),EXB37+EXB42+#REF!+EXB59,"")</f>
        <v/>
      </c>
      <c r="EXC62" s="87" t="str">
        <f>IF(ISNUMBER(outYear),EXC37+EXC42+#REF!+EXC59,"")</f>
        <v/>
      </c>
      <c r="EXD62" s="87" t="str">
        <f>IF(ISNUMBER(outYear),EXD37+EXD42+#REF!+EXD59,"")</f>
        <v/>
      </c>
      <c r="EXE62" s="87" t="str">
        <f>IF(ISNUMBER(outYear),EXE37+EXE42+#REF!+EXE59,"")</f>
        <v/>
      </c>
      <c r="EXF62" s="87" t="str">
        <f>IF(ISNUMBER(outYear),EXF37+EXF42+#REF!+EXF59,"")</f>
        <v/>
      </c>
      <c r="EXG62" s="87" t="str">
        <f>IF(ISNUMBER(outYear),EXG37+EXG42+#REF!+EXG59,"")</f>
        <v/>
      </c>
      <c r="EXH62" s="87" t="str">
        <f>IF(ISNUMBER(outYear),EXH37+EXH42+#REF!+EXH59,"")</f>
        <v/>
      </c>
      <c r="EXI62" s="87" t="str">
        <f>IF(ISNUMBER(outYear),EXI37+EXI42+#REF!+EXI59,"")</f>
        <v/>
      </c>
      <c r="EXJ62" s="87" t="str">
        <f>IF(ISNUMBER(outYear),EXJ37+EXJ42+#REF!+EXJ59,"")</f>
        <v/>
      </c>
      <c r="EXK62" s="87" t="str">
        <f>IF(ISNUMBER(outYear),EXK37+EXK42+#REF!+EXK59,"")</f>
        <v/>
      </c>
      <c r="EXL62" s="87" t="str">
        <f>IF(ISNUMBER(outYear),EXL37+EXL42+#REF!+EXL59,"")</f>
        <v/>
      </c>
      <c r="EXM62" s="87" t="str">
        <f>IF(ISNUMBER(outYear),EXM37+EXM42+#REF!+EXM59,"")</f>
        <v/>
      </c>
      <c r="EXN62" s="87" t="str">
        <f>IF(ISNUMBER(outYear),EXN37+EXN42+#REF!+EXN59,"")</f>
        <v/>
      </c>
      <c r="EXO62" s="87" t="str">
        <f>IF(ISNUMBER(outYear),EXO37+EXO42+#REF!+EXO59,"")</f>
        <v/>
      </c>
      <c r="EXP62" s="87" t="str">
        <f>IF(ISNUMBER(outYear),EXP37+EXP42+#REF!+EXP59,"")</f>
        <v/>
      </c>
      <c r="EXQ62" s="87" t="str">
        <f>IF(ISNUMBER(outYear),EXQ37+EXQ42+#REF!+EXQ59,"")</f>
        <v/>
      </c>
      <c r="EXR62" s="87" t="str">
        <f>IF(ISNUMBER(outYear),EXR37+EXR42+#REF!+EXR59,"")</f>
        <v/>
      </c>
      <c r="EXS62" s="87" t="str">
        <f>IF(ISNUMBER(outYear),EXS37+EXS42+#REF!+EXS59,"")</f>
        <v/>
      </c>
      <c r="EXT62" s="87" t="str">
        <f>IF(ISNUMBER(outYear),EXT37+EXT42+#REF!+EXT59,"")</f>
        <v/>
      </c>
      <c r="EXU62" s="87" t="str">
        <f>IF(ISNUMBER(outYear),EXU37+EXU42+#REF!+EXU59,"")</f>
        <v/>
      </c>
      <c r="EXV62" s="87" t="str">
        <f>IF(ISNUMBER(outYear),EXV37+EXV42+#REF!+EXV59,"")</f>
        <v/>
      </c>
      <c r="EXW62" s="87" t="str">
        <f>IF(ISNUMBER(outYear),EXW37+EXW42+#REF!+EXW59,"")</f>
        <v/>
      </c>
      <c r="EXX62" s="87" t="str">
        <f>IF(ISNUMBER(outYear),EXX37+EXX42+#REF!+EXX59,"")</f>
        <v/>
      </c>
      <c r="EXY62" s="87" t="str">
        <f>IF(ISNUMBER(outYear),EXY37+EXY42+#REF!+EXY59,"")</f>
        <v/>
      </c>
      <c r="EXZ62" s="87" t="str">
        <f>IF(ISNUMBER(outYear),EXZ37+EXZ42+#REF!+EXZ59,"")</f>
        <v/>
      </c>
      <c r="EYA62" s="87" t="str">
        <f>IF(ISNUMBER(outYear),EYA37+EYA42+#REF!+EYA59,"")</f>
        <v/>
      </c>
      <c r="EYB62" s="87" t="str">
        <f>IF(ISNUMBER(outYear),EYB37+EYB42+#REF!+EYB59,"")</f>
        <v/>
      </c>
      <c r="EYC62" s="87" t="str">
        <f>IF(ISNUMBER(outYear),EYC37+EYC42+#REF!+EYC59,"")</f>
        <v/>
      </c>
      <c r="EYD62" s="87" t="str">
        <f>IF(ISNUMBER(outYear),EYD37+EYD42+#REF!+EYD59,"")</f>
        <v/>
      </c>
      <c r="EYE62" s="87" t="str">
        <f>IF(ISNUMBER(outYear),EYE37+EYE42+#REF!+EYE59,"")</f>
        <v/>
      </c>
      <c r="EYF62" s="87" t="str">
        <f>IF(ISNUMBER(outYear),EYF37+EYF42+#REF!+EYF59,"")</f>
        <v/>
      </c>
      <c r="EYG62" s="87" t="str">
        <f>IF(ISNUMBER(outYear),EYG37+EYG42+#REF!+EYG59,"")</f>
        <v/>
      </c>
      <c r="EYH62" s="87" t="str">
        <f>IF(ISNUMBER(outYear),EYH37+EYH42+#REF!+EYH59,"")</f>
        <v/>
      </c>
      <c r="EYI62" s="87" t="str">
        <f>IF(ISNUMBER(outYear),EYI37+EYI42+#REF!+EYI59,"")</f>
        <v/>
      </c>
      <c r="EYJ62" s="87" t="str">
        <f>IF(ISNUMBER(outYear),EYJ37+EYJ42+#REF!+EYJ59,"")</f>
        <v/>
      </c>
      <c r="EYK62" s="87" t="str">
        <f>IF(ISNUMBER(outYear),EYK37+EYK42+#REF!+EYK59,"")</f>
        <v/>
      </c>
      <c r="EYL62" s="87" t="str">
        <f>IF(ISNUMBER(outYear),EYL37+EYL42+#REF!+EYL59,"")</f>
        <v/>
      </c>
      <c r="EYM62" s="87" t="str">
        <f>IF(ISNUMBER(outYear),EYM37+EYM42+#REF!+EYM59,"")</f>
        <v/>
      </c>
      <c r="EYN62" s="87" t="str">
        <f>IF(ISNUMBER(outYear),EYN37+EYN42+#REF!+EYN59,"")</f>
        <v/>
      </c>
      <c r="EYO62" s="87" t="str">
        <f>IF(ISNUMBER(outYear),EYO37+EYO42+#REF!+EYO59,"")</f>
        <v/>
      </c>
      <c r="EYP62" s="87" t="str">
        <f>IF(ISNUMBER(outYear),EYP37+EYP42+#REF!+EYP59,"")</f>
        <v/>
      </c>
      <c r="EYQ62" s="87" t="str">
        <f>IF(ISNUMBER(outYear),EYQ37+EYQ42+#REF!+EYQ59,"")</f>
        <v/>
      </c>
      <c r="EYR62" s="87" t="str">
        <f>IF(ISNUMBER(outYear),EYR37+EYR42+#REF!+EYR59,"")</f>
        <v/>
      </c>
      <c r="EYS62" s="87" t="str">
        <f>IF(ISNUMBER(outYear),EYS37+EYS42+#REF!+EYS59,"")</f>
        <v/>
      </c>
      <c r="EYT62" s="87" t="str">
        <f>IF(ISNUMBER(outYear),EYT37+EYT42+#REF!+EYT59,"")</f>
        <v/>
      </c>
      <c r="EYU62" s="87" t="str">
        <f>IF(ISNUMBER(outYear),EYU37+EYU42+#REF!+EYU59,"")</f>
        <v/>
      </c>
      <c r="EYV62" s="87" t="str">
        <f>IF(ISNUMBER(outYear),EYV37+EYV42+#REF!+EYV59,"")</f>
        <v/>
      </c>
      <c r="EYW62" s="87" t="str">
        <f>IF(ISNUMBER(outYear),EYW37+EYW42+#REF!+EYW59,"")</f>
        <v/>
      </c>
      <c r="EYX62" s="87" t="str">
        <f>IF(ISNUMBER(outYear),EYX37+EYX42+#REF!+EYX59,"")</f>
        <v/>
      </c>
      <c r="EYY62" s="87" t="str">
        <f>IF(ISNUMBER(outYear),EYY37+EYY42+#REF!+EYY59,"")</f>
        <v/>
      </c>
      <c r="EYZ62" s="87" t="str">
        <f>IF(ISNUMBER(outYear),EYZ37+EYZ42+#REF!+EYZ59,"")</f>
        <v/>
      </c>
      <c r="EZA62" s="87" t="str">
        <f>IF(ISNUMBER(outYear),EZA37+EZA42+#REF!+EZA59,"")</f>
        <v/>
      </c>
      <c r="EZB62" s="87" t="str">
        <f>IF(ISNUMBER(outYear),EZB37+EZB42+#REF!+EZB59,"")</f>
        <v/>
      </c>
      <c r="EZC62" s="87" t="str">
        <f>IF(ISNUMBER(outYear),EZC37+EZC42+#REF!+EZC59,"")</f>
        <v/>
      </c>
      <c r="EZD62" s="87" t="str">
        <f>IF(ISNUMBER(outYear),EZD37+EZD42+#REF!+EZD59,"")</f>
        <v/>
      </c>
      <c r="EZE62" s="87" t="str">
        <f>IF(ISNUMBER(outYear),EZE37+EZE42+#REF!+EZE59,"")</f>
        <v/>
      </c>
      <c r="EZF62" s="87" t="str">
        <f>IF(ISNUMBER(outYear),EZF37+EZF42+#REF!+EZF59,"")</f>
        <v/>
      </c>
      <c r="EZG62" s="87" t="str">
        <f>IF(ISNUMBER(outYear),EZG37+EZG42+#REF!+EZG59,"")</f>
        <v/>
      </c>
      <c r="EZH62" s="87" t="str">
        <f>IF(ISNUMBER(outYear),EZH37+EZH42+#REF!+EZH59,"")</f>
        <v/>
      </c>
      <c r="EZI62" s="87" t="str">
        <f>IF(ISNUMBER(outYear),EZI37+EZI42+#REF!+EZI59,"")</f>
        <v/>
      </c>
      <c r="EZJ62" s="87" t="str">
        <f>IF(ISNUMBER(outYear),EZJ37+EZJ42+#REF!+EZJ59,"")</f>
        <v/>
      </c>
      <c r="EZK62" s="87" t="str">
        <f>IF(ISNUMBER(outYear),EZK37+EZK42+#REF!+EZK59,"")</f>
        <v/>
      </c>
      <c r="EZL62" s="87" t="str">
        <f>IF(ISNUMBER(outYear),EZL37+EZL42+#REF!+EZL59,"")</f>
        <v/>
      </c>
      <c r="EZM62" s="87" t="str">
        <f>IF(ISNUMBER(outYear),EZM37+EZM42+#REF!+EZM59,"")</f>
        <v/>
      </c>
      <c r="EZN62" s="87" t="str">
        <f>IF(ISNUMBER(outYear),EZN37+EZN42+#REF!+EZN59,"")</f>
        <v/>
      </c>
      <c r="EZO62" s="87" t="str">
        <f>IF(ISNUMBER(outYear),EZO37+EZO42+#REF!+EZO59,"")</f>
        <v/>
      </c>
      <c r="EZP62" s="87" t="str">
        <f>IF(ISNUMBER(outYear),EZP37+EZP42+#REF!+EZP59,"")</f>
        <v/>
      </c>
      <c r="EZQ62" s="87" t="str">
        <f>IF(ISNUMBER(outYear),EZQ37+EZQ42+#REF!+EZQ59,"")</f>
        <v/>
      </c>
      <c r="EZR62" s="87" t="str">
        <f>IF(ISNUMBER(outYear),EZR37+EZR42+#REF!+EZR59,"")</f>
        <v/>
      </c>
      <c r="EZS62" s="87" t="str">
        <f>IF(ISNUMBER(outYear),EZS37+EZS42+#REF!+EZS59,"")</f>
        <v/>
      </c>
      <c r="EZT62" s="87" t="str">
        <f>IF(ISNUMBER(outYear),EZT37+EZT42+#REF!+EZT59,"")</f>
        <v/>
      </c>
      <c r="EZU62" s="87" t="str">
        <f>IF(ISNUMBER(outYear),EZU37+EZU42+#REF!+EZU59,"")</f>
        <v/>
      </c>
      <c r="EZV62" s="87" t="str">
        <f>IF(ISNUMBER(outYear),EZV37+EZV42+#REF!+EZV59,"")</f>
        <v/>
      </c>
      <c r="EZW62" s="87" t="str">
        <f>IF(ISNUMBER(outYear),EZW37+EZW42+#REF!+EZW59,"")</f>
        <v/>
      </c>
      <c r="EZX62" s="87" t="str">
        <f>IF(ISNUMBER(outYear),EZX37+EZX42+#REF!+EZX59,"")</f>
        <v/>
      </c>
      <c r="EZY62" s="87" t="str">
        <f>IF(ISNUMBER(outYear),EZY37+EZY42+#REF!+EZY59,"")</f>
        <v/>
      </c>
      <c r="EZZ62" s="87" t="str">
        <f>IF(ISNUMBER(outYear),EZZ37+EZZ42+#REF!+EZZ59,"")</f>
        <v/>
      </c>
      <c r="FAA62" s="87" t="str">
        <f>IF(ISNUMBER(outYear),FAA37+FAA42+#REF!+FAA59,"")</f>
        <v/>
      </c>
      <c r="FAB62" s="87" t="str">
        <f>IF(ISNUMBER(outYear),FAB37+FAB42+#REF!+FAB59,"")</f>
        <v/>
      </c>
      <c r="FAC62" s="87" t="str">
        <f>IF(ISNUMBER(outYear),FAC37+FAC42+#REF!+FAC59,"")</f>
        <v/>
      </c>
      <c r="FAD62" s="87" t="str">
        <f>IF(ISNUMBER(outYear),FAD37+FAD42+#REF!+FAD59,"")</f>
        <v/>
      </c>
      <c r="FAE62" s="87" t="str">
        <f>IF(ISNUMBER(outYear),FAE37+FAE42+#REF!+FAE59,"")</f>
        <v/>
      </c>
      <c r="FAF62" s="87" t="str">
        <f>IF(ISNUMBER(outYear),FAF37+FAF42+#REF!+FAF59,"")</f>
        <v/>
      </c>
      <c r="FAG62" s="87" t="str">
        <f>IF(ISNUMBER(outYear),FAG37+FAG42+#REF!+FAG59,"")</f>
        <v/>
      </c>
      <c r="FAH62" s="87" t="str">
        <f>IF(ISNUMBER(outYear),FAH37+FAH42+#REF!+FAH59,"")</f>
        <v/>
      </c>
      <c r="FAI62" s="87" t="str">
        <f>IF(ISNUMBER(outYear),FAI37+FAI42+#REF!+FAI59,"")</f>
        <v/>
      </c>
      <c r="FAJ62" s="87" t="str">
        <f>IF(ISNUMBER(outYear),FAJ37+FAJ42+#REF!+FAJ59,"")</f>
        <v/>
      </c>
      <c r="FAK62" s="87" t="str">
        <f>IF(ISNUMBER(outYear),FAK37+FAK42+#REF!+FAK59,"")</f>
        <v/>
      </c>
      <c r="FAL62" s="87" t="str">
        <f>IF(ISNUMBER(outYear),FAL37+FAL42+#REF!+FAL59,"")</f>
        <v/>
      </c>
      <c r="FAM62" s="87" t="str">
        <f>IF(ISNUMBER(outYear),FAM37+FAM42+#REF!+FAM59,"")</f>
        <v/>
      </c>
      <c r="FAN62" s="87" t="str">
        <f>IF(ISNUMBER(outYear),FAN37+FAN42+#REF!+FAN59,"")</f>
        <v/>
      </c>
      <c r="FAO62" s="87" t="str">
        <f>IF(ISNUMBER(outYear),FAO37+FAO42+#REF!+FAO59,"")</f>
        <v/>
      </c>
      <c r="FAP62" s="87" t="str">
        <f>IF(ISNUMBER(outYear),FAP37+FAP42+#REF!+FAP59,"")</f>
        <v/>
      </c>
      <c r="FAQ62" s="87" t="str">
        <f>IF(ISNUMBER(outYear),FAQ37+FAQ42+#REF!+FAQ59,"")</f>
        <v/>
      </c>
      <c r="FAR62" s="87" t="str">
        <f>IF(ISNUMBER(outYear),FAR37+FAR42+#REF!+FAR59,"")</f>
        <v/>
      </c>
      <c r="FAS62" s="87" t="str">
        <f>IF(ISNUMBER(outYear),FAS37+FAS42+#REF!+FAS59,"")</f>
        <v/>
      </c>
      <c r="FAT62" s="87" t="str">
        <f>IF(ISNUMBER(outYear),FAT37+FAT42+#REF!+FAT59,"")</f>
        <v/>
      </c>
      <c r="FAU62" s="87" t="str">
        <f>IF(ISNUMBER(outYear),FAU37+FAU42+#REF!+FAU59,"")</f>
        <v/>
      </c>
      <c r="FAV62" s="87" t="str">
        <f>IF(ISNUMBER(outYear),FAV37+FAV42+#REF!+FAV59,"")</f>
        <v/>
      </c>
      <c r="FAW62" s="87" t="str">
        <f>IF(ISNUMBER(outYear),FAW37+FAW42+#REF!+FAW59,"")</f>
        <v/>
      </c>
      <c r="FAX62" s="87" t="str">
        <f>IF(ISNUMBER(outYear),FAX37+FAX42+#REF!+FAX59,"")</f>
        <v/>
      </c>
      <c r="FAY62" s="87" t="str">
        <f>IF(ISNUMBER(outYear),FAY37+FAY42+#REF!+FAY59,"")</f>
        <v/>
      </c>
      <c r="FAZ62" s="87" t="str">
        <f>IF(ISNUMBER(outYear),FAZ37+FAZ42+#REF!+FAZ59,"")</f>
        <v/>
      </c>
      <c r="FBA62" s="87" t="str">
        <f>IF(ISNUMBER(outYear),FBA37+FBA42+#REF!+FBA59,"")</f>
        <v/>
      </c>
      <c r="FBB62" s="87" t="str">
        <f>IF(ISNUMBER(outYear),FBB37+FBB42+#REF!+FBB59,"")</f>
        <v/>
      </c>
      <c r="FBC62" s="87" t="str">
        <f>IF(ISNUMBER(outYear),FBC37+FBC42+#REF!+FBC59,"")</f>
        <v/>
      </c>
      <c r="FBD62" s="87" t="str">
        <f>IF(ISNUMBER(outYear),FBD37+FBD42+#REF!+FBD59,"")</f>
        <v/>
      </c>
      <c r="FBE62" s="87" t="str">
        <f>IF(ISNUMBER(outYear),FBE37+FBE42+#REF!+FBE59,"")</f>
        <v/>
      </c>
      <c r="FBF62" s="87" t="str">
        <f>IF(ISNUMBER(outYear),FBF37+FBF42+#REF!+FBF59,"")</f>
        <v/>
      </c>
      <c r="FBG62" s="87" t="str">
        <f>IF(ISNUMBER(outYear),FBG37+FBG42+#REF!+FBG59,"")</f>
        <v/>
      </c>
      <c r="FBH62" s="87" t="str">
        <f>IF(ISNUMBER(outYear),FBH37+FBH42+#REF!+FBH59,"")</f>
        <v/>
      </c>
      <c r="FBI62" s="87" t="str">
        <f>IF(ISNUMBER(outYear),FBI37+FBI42+#REF!+FBI59,"")</f>
        <v/>
      </c>
      <c r="FBJ62" s="87" t="str">
        <f>IF(ISNUMBER(outYear),FBJ37+FBJ42+#REF!+FBJ59,"")</f>
        <v/>
      </c>
      <c r="FBK62" s="87" t="str">
        <f>IF(ISNUMBER(outYear),FBK37+FBK42+#REF!+FBK59,"")</f>
        <v/>
      </c>
      <c r="FBL62" s="87" t="str">
        <f>IF(ISNUMBER(outYear),FBL37+FBL42+#REF!+FBL59,"")</f>
        <v/>
      </c>
      <c r="FBM62" s="87" t="str">
        <f>IF(ISNUMBER(outYear),FBM37+FBM42+#REF!+FBM59,"")</f>
        <v/>
      </c>
      <c r="FBN62" s="87" t="str">
        <f>IF(ISNUMBER(outYear),FBN37+FBN42+#REF!+FBN59,"")</f>
        <v/>
      </c>
      <c r="FBO62" s="87" t="str">
        <f>IF(ISNUMBER(outYear),FBO37+FBO42+#REF!+FBO59,"")</f>
        <v/>
      </c>
      <c r="FBP62" s="87" t="str">
        <f>IF(ISNUMBER(outYear),FBP37+FBP42+#REF!+FBP59,"")</f>
        <v/>
      </c>
      <c r="FBQ62" s="87" t="str">
        <f>IF(ISNUMBER(outYear),FBQ37+FBQ42+#REF!+FBQ59,"")</f>
        <v/>
      </c>
      <c r="FBR62" s="87" t="str">
        <f>IF(ISNUMBER(outYear),FBR37+FBR42+#REF!+FBR59,"")</f>
        <v/>
      </c>
      <c r="FBS62" s="87" t="str">
        <f>IF(ISNUMBER(outYear),FBS37+FBS42+#REF!+FBS59,"")</f>
        <v/>
      </c>
      <c r="FBT62" s="87" t="str">
        <f>IF(ISNUMBER(outYear),FBT37+FBT42+#REF!+FBT59,"")</f>
        <v/>
      </c>
      <c r="FBU62" s="87" t="str">
        <f>IF(ISNUMBER(outYear),FBU37+FBU42+#REF!+FBU59,"")</f>
        <v/>
      </c>
      <c r="FBV62" s="87" t="str">
        <f>IF(ISNUMBER(outYear),FBV37+FBV42+#REF!+FBV59,"")</f>
        <v/>
      </c>
      <c r="FBW62" s="87" t="str">
        <f>IF(ISNUMBER(outYear),FBW37+FBW42+#REF!+FBW59,"")</f>
        <v/>
      </c>
      <c r="FBX62" s="87" t="str">
        <f>IF(ISNUMBER(outYear),FBX37+FBX42+#REF!+FBX59,"")</f>
        <v/>
      </c>
      <c r="FBY62" s="87" t="str">
        <f>IF(ISNUMBER(outYear),FBY37+FBY42+#REF!+FBY59,"")</f>
        <v/>
      </c>
      <c r="FBZ62" s="87" t="str">
        <f>IF(ISNUMBER(outYear),FBZ37+FBZ42+#REF!+FBZ59,"")</f>
        <v/>
      </c>
      <c r="FCA62" s="87" t="str">
        <f>IF(ISNUMBER(outYear),FCA37+FCA42+#REF!+FCA59,"")</f>
        <v/>
      </c>
      <c r="FCB62" s="87" t="str">
        <f>IF(ISNUMBER(outYear),FCB37+FCB42+#REF!+FCB59,"")</f>
        <v/>
      </c>
      <c r="FCC62" s="87" t="str">
        <f>IF(ISNUMBER(outYear),FCC37+FCC42+#REF!+FCC59,"")</f>
        <v/>
      </c>
      <c r="FCD62" s="87" t="str">
        <f>IF(ISNUMBER(outYear),FCD37+FCD42+#REF!+FCD59,"")</f>
        <v/>
      </c>
      <c r="FCE62" s="87" t="str">
        <f>IF(ISNUMBER(outYear),FCE37+FCE42+#REF!+FCE59,"")</f>
        <v/>
      </c>
      <c r="FCF62" s="87" t="str">
        <f>IF(ISNUMBER(outYear),FCF37+FCF42+#REF!+FCF59,"")</f>
        <v/>
      </c>
      <c r="FCG62" s="87" t="str">
        <f>IF(ISNUMBER(outYear),FCG37+FCG42+#REF!+FCG59,"")</f>
        <v/>
      </c>
      <c r="FCH62" s="87" t="str">
        <f>IF(ISNUMBER(outYear),FCH37+FCH42+#REF!+FCH59,"")</f>
        <v/>
      </c>
      <c r="FCI62" s="87" t="str">
        <f>IF(ISNUMBER(outYear),FCI37+FCI42+#REF!+FCI59,"")</f>
        <v/>
      </c>
      <c r="FCJ62" s="87" t="str">
        <f>IF(ISNUMBER(outYear),FCJ37+FCJ42+#REF!+FCJ59,"")</f>
        <v/>
      </c>
      <c r="FCK62" s="87" t="str">
        <f>IF(ISNUMBER(outYear),FCK37+FCK42+#REF!+FCK59,"")</f>
        <v/>
      </c>
      <c r="FCL62" s="87" t="str">
        <f>IF(ISNUMBER(outYear),FCL37+FCL42+#REF!+FCL59,"")</f>
        <v/>
      </c>
      <c r="FCM62" s="87" t="str">
        <f>IF(ISNUMBER(outYear),FCM37+FCM42+#REF!+FCM59,"")</f>
        <v/>
      </c>
      <c r="FCN62" s="87" t="str">
        <f>IF(ISNUMBER(outYear),FCN37+FCN42+#REF!+FCN59,"")</f>
        <v/>
      </c>
      <c r="FCO62" s="87" t="str">
        <f>IF(ISNUMBER(outYear),FCO37+FCO42+#REF!+FCO59,"")</f>
        <v/>
      </c>
      <c r="FCP62" s="87" t="str">
        <f>IF(ISNUMBER(outYear),FCP37+FCP42+#REF!+FCP59,"")</f>
        <v/>
      </c>
      <c r="FCQ62" s="87" t="str">
        <f>IF(ISNUMBER(outYear),FCQ37+FCQ42+#REF!+FCQ59,"")</f>
        <v/>
      </c>
      <c r="FCR62" s="87" t="str">
        <f>IF(ISNUMBER(outYear),FCR37+FCR42+#REF!+FCR59,"")</f>
        <v/>
      </c>
      <c r="FCS62" s="87" t="str">
        <f>IF(ISNUMBER(outYear),FCS37+FCS42+#REF!+FCS59,"")</f>
        <v/>
      </c>
      <c r="FCT62" s="87" t="str">
        <f>IF(ISNUMBER(outYear),FCT37+FCT42+#REF!+FCT59,"")</f>
        <v/>
      </c>
      <c r="FCU62" s="87" t="str">
        <f>IF(ISNUMBER(outYear),FCU37+FCU42+#REF!+FCU59,"")</f>
        <v/>
      </c>
      <c r="FCV62" s="87" t="str">
        <f>IF(ISNUMBER(outYear),FCV37+FCV42+#REF!+FCV59,"")</f>
        <v/>
      </c>
      <c r="FCW62" s="87" t="str">
        <f>IF(ISNUMBER(outYear),FCW37+FCW42+#REF!+FCW59,"")</f>
        <v/>
      </c>
      <c r="FCX62" s="87" t="str">
        <f>IF(ISNUMBER(outYear),FCX37+FCX42+#REF!+FCX59,"")</f>
        <v/>
      </c>
      <c r="FCY62" s="87" t="str">
        <f>IF(ISNUMBER(outYear),FCY37+FCY42+#REF!+FCY59,"")</f>
        <v/>
      </c>
      <c r="FCZ62" s="87" t="str">
        <f>IF(ISNUMBER(outYear),FCZ37+FCZ42+#REF!+FCZ59,"")</f>
        <v/>
      </c>
      <c r="FDA62" s="87" t="str">
        <f>IF(ISNUMBER(outYear),FDA37+FDA42+#REF!+FDA59,"")</f>
        <v/>
      </c>
      <c r="FDB62" s="87" t="str">
        <f>IF(ISNUMBER(outYear),FDB37+FDB42+#REF!+FDB59,"")</f>
        <v/>
      </c>
      <c r="FDC62" s="87" t="str">
        <f>IF(ISNUMBER(outYear),FDC37+FDC42+#REF!+FDC59,"")</f>
        <v/>
      </c>
      <c r="FDD62" s="87" t="str">
        <f>IF(ISNUMBER(outYear),FDD37+FDD42+#REF!+FDD59,"")</f>
        <v/>
      </c>
      <c r="FDE62" s="87" t="str">
        <f>IF(ISNUMBER(outYear),FDE37+FDE42+#REF!+FDE59,"")</f>
        <v/>
      </c>
      <c r="FDF62" s="87" t="str">
        <f>IF(ISNUMBER(outYear),FDF37+FDF42+#REF!+FDF59,"")</f>
        <v/>
      </c>
      <c r="FDG62" s="87" t="str">
        <f>IF(ISNUMBER(outYear),FDG37+FDG42+#REF!+FDG59,"")</f>
        <v/>
      </c>
      <c r="FDH62" s="87" t="str">
        <f>IF(ISNUMBER(outYear),FDH37+FDH42+#REF!+FDH59,"")</f>
        <v/>
      </c>
      <c r="FDI62" s="87" t="str">
        <f>IF(ISNUMBER(outYear),FDI37+FDI42+#REF!+FDI59,"")</f>
        <v/>
      </c>
      <c r="FDJ62" s="87" t="str">
        <f>IF(ISNUMBER(outYear),FDJ37+FDJ42+#REF!+FDJ59,"")</f>
        <v/>
      </c>
      <c r="FDK62" s="87" t="str">
        <f>IF(ISNUMBER(outYear),FDK37+FDK42+#REF!+FDK59,"")</f>
        <v/>
      </c>
      <c r="FDL62" s="87" t="str">
        <f>IF(ISNUMBER(outYear),FDL37+FDL42+#REF!+FDL59,"")</f>
        <v/>
      </c>
      <c r="FDM62" s="87" t="str">
        <f>IF(ISNUMBER(outYear),FDM37+FDM42+#REF!+FDM59,"")</f>
        <v/>
      </c>
      <c r="FDN62" s="87" t="str">
        <f>IF(ISNUMBER(outYear),FDN37+FDN42+#REF!+FDN59,"")</f>
        <v/>
      </c>
      <c r="FDO62" s="87" t="str">
        <f>IF(ISNUMBER(outYear),FDO37+FDO42+#REF!+FDO59,"")</f>
        <v/>
      </c>
      <c r="FDP62" s="87" t="str">
        <f>IF(ISNUMBER(outYear),FDP37+FDP42+#REF!+FDP59,"")</f>
        <v/>
      </c>
      <c r="FDQ62" s="87" t="str">
        <f>IF(ISNUMBER(outYear),FDQ37+FDQ42+#REF!+FDQ59,"")</f>
        <v/>
      </c>
      <c r="FDR62" s="87" t="str">
        <f>IF(ISNUMBER(outYear),FDR37+FDR42+#REF!+FDR59,"")</f>
        <v/>
      </c>
      <c r="FDS62" s="87" t="str">
        <f>IF(ISNUMBER(outYear),FDS37+FDS42+#REF!+FDS59,"")</f>
        <v/>
      </c>
      <c r="FDT62" s="87" t="str">
        <f>IF(ISNUMBER(outYear),FDT37+FDT42+#REF!+FDT59,"")</f>
        <v/>
      </c>
      <c r="FDU62" s="87" t="str">
        <f>IF(ISNUMBER(outYear),FDU37+FDU42+#REF!+FDU59,"")</f>
        <v/>
      </c>
      <c r="FDV62" s="87" t="str">
        <f>IF(ISNUMBER(outYear),FDV37+FDV42+#REF!+FDV59,"")</f>
        <v/>
      </c>
      <c r="FDW62" s="87" t="str">
        <f>IF(ISNUMBER(outYear),FDW37+FDW42+#REF!+FDW59,"")</f>
        <v/>
      </c>
      <c r="FDX62" s="87" t="str">
        <f>IF(ISNUMBER(outYear),FDX37+FDX42+#REF!+FDX59,"")</f>
        <v/>
      </c>
      <c r="FDY62" s="87" t="str">
        <f>IF(ISNUMBER(outYear),FDY37+FDY42+#REF!+FDY59,"")</f>
        <v/>
      </c>
      <c r="FDZ62" s="87" t="str">
        <f>IF(ISNUMBER(outYear),FDZ37+FDZ42+#REF!+FDZ59,"")</f>
        <v/>
      </c>
      <c r="FEA62" s="87" t="str">
        <f>IF(ISNUMBER(outYear),FEA37+FEA42+#REF!+FEA59,"")</f>
        <v/>
      </c>
      <c r="FEB62" s="87" t="str">
        <f>IF(ISNUMBER(outYear),FEB37+FEB42+#REF!+FEB59,"")</f>
        <v/>
      </c>
      <c r="FEC62" s="87" t="str">
        <f>IF(ISNUMBER(outYear),FEC37+FEC42+#REF!+FEC59,"")</f>
        <v/>
      </c>
      <c r="FED62" s="87" t="str">
        <f>IF(ISNUMBER(outYear),FED37+FED42+#REF!+FED59,"")</f>
        <v/>
      </c>
      <c r="FEE62" s="87" t="str">
        <f>IF(ISNUMBER(outYear),FEE37+FEE42+#REF!+FEE59,"")</f>
        <v/>
      </c>
      <c r="FEF62" s="87" t="str">
        <f>IF(ISNUMBER(outYear),FEF37+FEF42+#REF!+FEF59,"")</f>
        <v/>
      </c>
      <c r="FEG62" s="87" t="str">
        <f>IF(ISNUMBER(outYear),FEG37+FEG42+#REF!+FEG59,"")</f>
        <v/>
      </c>
      <c r="FEH62" s="87" t="str">
        <f>IF(ISNUMBER(outYear),FEH37+FEH42+#REF!+FEH59,"")</f>
        <v/>
      </c>
      <c r="FEI62" s="87" t="str">
        <f>IF(ISNUMBER(outYear),FEI37+FEI42+#REF!+FEI59,"")</f>
        <v/>
      </c>
      <c r="FEJ62" s="87" t="str">
        <f>IF(ISNUMBER(outYear),FEJ37+FEJ42+#REF!+FEJ59,"")</f>
        <v/>
      </c>
      <c r="FEK62" s="87" t="str">
        <f>IF(ISNUMBER(outYear),FEK37+FEK42+#REF!+FEK59,"")</f>
        <v/>
      </c>
      <c r="FEL62" s="87" t="str">
        <f>IF(ISNUMBER(outYear),FEL37+FEL42+#REF!+FEL59,"")</f>
        <v/>
      </c>
      <c r="FEM62" s="87" t="str">
        <f>IF(ISNUMBER(outYear),FEM37+FEM42+#REF!+FEM59,"")</f>
        <v/>
      </c>
      <c r="FEN62" s="87" t="str">
        <f>IF(ISNUMBER(outYear),FEN37+FEN42+#REF!+FEN59,"")</f>
        <v/>
      </c>
      <c r="FEO62" s="87" t="str">
        <f>IF(ISNUMBER(outYear),FEO37+FEO42+#REF!+FEO59,"")</f>
        <v/>
      </c>
      <c r="FEP62" s="87" t="str">
        <f>IF(ISNUMBER(outYear),FEP37+FEP42+#REF!+FEP59,"")</f>
        <v/>
      </c>
      <c r="FEQ62" s="87" t="str">
        <f>IF(ISNUMBER(outYear),FEQ37+FEQ42+#REF!+FEQ59,"")</f>
        <v/>
      </c>
      <c r="FER62" s="87" t="str">
        <f>IF(ISNUMBER(outYear),FER37+FER42+#REF!+FER59,"")</f>
        <v/>
      </c>
      <c r="FES62" s="87" t="str">
        <f>IF(ISNUMBER(outYear),FES37+FES42+#REF!+FES59,"")</f>
        <v/>
      </c>
      <c r="FET62" s="87" t="str">
        <f>IF(ISNUMBER(outYear),FET37+FET42+#REF!+FET59,"")</f>
        <v/>
      </c>
      <c r="FEU62" s="87" t="str">
        <f>IF(ISNUMBER(outYear),FEU37+FEU42+#REF!+FEU59,"")</f>
        <v/>
      </c>
      <c r="FEV62" s="87" t="str">
        <f>IF(ISNUMBER(outYear),FEV37+FEV42+#REF!+FEV59,"")</f>
        <v/>
      </c>
      <c r="FEW62" s="87" t="str">
        <f>IF(ISNUMBER(outYear),FEW37+FEW42+#REF!+FEW59,"")</f>
        <v/>
      </c>
      <c r="FEX62" s="87" t="str">
        <f>IF(ISNUMBER(outYear),FEX37+FEX42+#REF!+FEX59,"")</f>
        <v/>
      </c>
      <c r="FEY62" s="87" t="str">
        <f>IF(ISNUMBER(outYear),FEY37+FEY42+#REF!+FEY59,"")</f>
        <v/>
      </c>
      <c r="FEZ62" s="87" t="str">
        <f>IF(ISNUMBER(outYear),FEZ37+FEZ42+#REF!+FEZ59,"")</f>
        <v/>
      </c>
      <c r="FFA62" s="87" t="str">
        <f>IF(ISNUMBER(outYear),FFA37+FFA42+#REF!+FFA59,"")</f>
        <v/>
      </c>
      <c r="FFB62" s="87" t="str">
        <f>IF(ISNUMBER(outYear),FFB37+FFB42+#REF!+FFB59,"")</f>
        <v/>
      </c>
      <c r="FFC62" s="87" t="str">
        <f>IF(ISNUMBER(outYear),FFC37+FFC42+#REF!+FFC59,"")</f>
        <v/>
      </c>
      <c r="FFD62" s="87" t="str">
        <f>IF(ISNUMBER(outYear),FFD37+FFD42+#REF!+FFD59,"")</f>
        <v/>
      </c>
      <c r="FFE62" s="87" t="str">
        <f>IF(ISNUMBER(outYear),FFE37+FFE42+#REF!+FFE59,"")</f>
        <v/>
      </c>
      <c r="FFF62" s="87" t="str">
        <f>IF(ISNUMBER(outYear),FFF37+FFF42+#REF!+FFF59,"")</f>
        <v/>
      </c>
      <c r="FFG62" s="87" t="str">
        <f>IF(ISNUMBER(outYear),FFG37+FFG42+#REF!+FFG59,"")</f>
        <v/>
      </c>
      <c r="FFH62" s="87" t="str">
        <f>IF(ISNUMBER(outYear),FFH37+FFH42+#REF!+FFH59,"")</f>
        <v/>
      </c>
      <c r="FFI62" s="87" t="str">
        <f>IF(ISNUMBER(outYear),FFI37+FFI42+#REF!+FFI59,"")</f>
        <v/>
      </c>
      <c r="FFJ62" s="87" t="str">
        <f>IF(ISNUMBER(outYear),FFJ37+FFJ42+#REF!+FFJ59,"")</f>
        <v/>
      </c>
      <c r="FFK62" s="87" t="str">
        <f>IF(ISNUMBER(outYear),FFK37+FFK42+#REF!+FFK59,"")</f>
        <v/>
      </c>
      <c r="FFL62" s="87" t="str">
        <f>IF(ISNUMBER(outYear),FFL37+FFL42+#REF!+FFL59,"")</f>
        <v/>
      </c>
      <c r="FFM62" s="87" t="str">
        <f>IF(ISNUMBER(outYear),FFM37+FFM42+#REF!+FFM59,"")</f>
        <v/>
      </c>
      <c r="FFN62" s="87" t="str">
        <f>IF(ISNUMBER(outYear),FFN37+FFN42+#REF!+FFN59,"")</f>
        <v/>
      </c>
      <c r="FFO62" s="87" t="str">
        <f>IF(ISNUMBER(outYear),FFO37+FFO42+#REF!+FFO59,"")</f>
        <v/>
      </c>
      <c r="FFP62" s="87" t="str">
        <f>IF(ISNUMBER(outYear),FFP37+FFP42+#REF!+FFP59,"")</f>
        <v/>
      </c>
      <c r="FFQ62" s="87" t="str">
        <f>IF(ISNUMBER(outYear),FFQ37+FFQ42+#REF!+FFQ59,"")</f>
        <v/>
      </c>
      <c r="FFR62" s="87" t="str">
        <f>IF(ISNUMBER(outYear),FFR37+FFR42+#REF!+FFR59,"")</f>
        <v/>
      </c>
      <c r="FFS62" s="87" t="str">
        <f>IF(ISNUMBER(outYear),FFS37+FFS42+#REF!+FFS59,"")</f>
        <v/>
      </c>
      <c r="FFT62" s="87" t="str">
        <f>IF(ISNUMBER(outYear),FFT37+FFT42+#REF!+FFT59,"")</f>
        <v/>
      </c>
      <c r="FFU62" s="87" t="str">
        <f>IF(ISNUMBER(outYear),FFU37+FFU42+#REF!+FFU59,"")</f>
        <v/>
      </c>
      <c r="FFV62" s="87" t="str">
        <f>IF(ISNUMBER(outYear),FFV37+FFV42+#REF!+FFV59,"")</f>
        <v/>
      </c>
      <c r="FFW62" s="87" t="str">
        <f>IF(ISNUMBER(outYear),FFW37+FFW42+#REF!+FFW59,"")</f>
        <v/>
      </c>
      <c r="FFX62" s="87" t="str">
        <f>IF(ISNUMBER(outYear),FFX37+FFX42+#REF!+FFX59,"")</f>
        <v/>
      </c>
      <c r="FFY62" s="87" t="str">
        <f>IF(ISNUMBER(outYear),FFY37+FFY42+#REF!+FFY59,"")</f>
        <v/>
      </c>
      <c r="FFZ62" s="87" t="str">
        <f>IF(ISNUMBER(outYear),FFZ37+FFZ42+#REF!+FFZ59,"")</f>
        <v/>
      </c>
      <c r="FGA62" s="87" t="str">
        <f>IF(ISNUMBER(outYear),FGA37+FGA42+#REF!+FGA59,"")</f>
        <v/>
      </c>
      <c r="FGB62" s="87" t="str">
        <f>IF(ISNUMBER(outYear),FGB37+FGB42+#REF!+FGB59,"")</f>
        <v/>
      </c>
      <c r="FGC62" s="87" t="str">
        <f>IF(ISNUMBER(outYear),FGC37+FGC42+#REF!+FGC59,"")</f>
        <v/>
      </c>
      <c r="FGD62" s="87" t="str">
        <f>IF(ISNUMBER(outYear),FGD37+FGD42+#REF!+FGD59,"")</f>
        <v/>
      </c>
      <c r="FGE62" s="87" t="str">
        <f>IF(ISNUMBER(outYear),FGE37+FGE42+#REF!+FGE59,"")</f>
        <v/>
      </c>
      <c r="FGF62" s="87" t="str">
        <f>IF(ISNUMBER(outYear),FGF37+FGF42+#REF!+FGF59,"")</f>
        <v/>
      </c>
      <c r="FGG62" s="87" t="str">
        <f>IF(ISNUMBER(outYear),FGG37+FGG42+#REF!+FGG59,"")</f>
        <v/>
      </c>
      <c r="FGH62" s="87" t="str">
        <f>IF(ISNUMBER(outYear),FGH37+FGH42+#REF!+FGH59,"")</f>
        <v/>
      </c>
      <c r="FGI62" s="87" t="str">
        <f>IF(ISNUMBER(outYear),FGI37+FGI42+#REF!+FGI59,"")</f>
        <v/>
      </c>
      <c r="FGJ62" s="87" t="str">
        <f>IF(ISNUMBER(outYear),FGJ37+FGJ42+#REF!+FGJ59,"")</f>
        <v/>
      </c>
      <c r="FGK62" s="87" t="str">
        <f>IF(ISNUMBER(outYear),FGK37+FGK42+#REF!+FGK59,"")</f>
        <v/>
      </c>
      <c r="FGL62" s="87" t="str">
        <f>IF(ISNUMBER(outYear),FGL37+FGL42+#REF!+FGL59,"")</f>
        <v/>
      </c>
      <c r="FGM62" s="87" t="str">
        <f>IF(ISNUMBER(outYear),FGM37+FGM42+#REF!+FGM59,"")</f>
        <v/>
      </c>
      <c r="FGN62" s="87" t="str">
        <f>IF(ISNUMBER(outYear),FGN37+FGN42+#REF!+FGN59,"")</f>
        <v/>
      </c>
      <c r="FGO62" s="87" t="str">
        <f>IF(ISNUMBER(outYear),FGO37+FGO42+#REF!+FGO59,"")</f>
        <v/>
      </c>
      <c r="FGP62" s="87" t="str">
        <f>IF(ISNUMBER(outYear),FGP37+FGP42+#REF!+FGP59,"")</f>
        <v/>
      </c>
      <c r="FGQ62" s="87" t="str">
        <f>IF(ISNUMBER(outYear),FGQ37+FGQ42+#REF!+FGQ59,"")</f>
        <v/>
      </c>
      <c r="FGR62" s="87" t="str">
        <f>IF(ISNUMBER(outYear),FGR37+FGR42+#REF!+FGR59,"")</f>
        <v/>
      </c>
      <c r="FGS62" s="87" t="str">
        <f>IF(ISNUMBER(outYear),FGS37+FGS42+#REF!+FGS59,"")</f>
        <v/>
      </c>
      <c r="FGT62" s="87" t="str">
        <f>IF(ISNUMBER(outYear),FGT37+FGT42+#REF!+FGT59,"")</f>
        <v/>
      </c>
      <c r="FGU62" s="87" t="str">
        <f>IF(ISNUMBER(outYear),FGU37+FGU42+#REF!+FGU59,"")</f>
        <v/>
      </c>
      <c r="FGV62" s="87" t="str">
        <f>IF(ISNUMBER(outYear),FGV37+FGV42+#REF!+FGV59,"")</f>
        <v/>
      </c>
      <c r="FGW62" s="87" t="str">
        <f>IF(ISNUMBER(outYear),FGW37+FGW42+#REF!+FGW59,"")</f>
        <v/>
      </c>
      <c r="FGX62" s="87" t="str">
        <f>IF(ISNUMBER(outYear),FGX37+FGX42+#REF!+FGX59,"")</f>
        <v/>
      </c>
      <c r="FGY62" s="87" t="str">
        <f>IF(ISNUMBER(outYear),FGY37+FGY42+#REF!+FGY59,"")</f>
        <v/>
      </c>
      <c r="FGZ62" s="87" t="str">
        <f>IF(ISNUMBER(outYear),FGZ37+FGZ42+#REF!+FGZ59,"")</f>
        <v/>
      </c>
      <c r="FHA62" s="87" t="str">
        <f>IF(ISNUMBER(outYear),FHA37+FHA42+#REF!+FHA59,"")</f>
        <v/>
      </c>
      <c r="FHB62" s="87" t="str">
        <f>IF(ISNUMBER(outYear),FHB37+FHB42+#REF!+FHB59,"")</f>
        <v/>
      </c>
      <c r="FHC62" s="87" t="str">
        <f>IF(ISNUMBER(outYear),FHC37+FHC42+#REF!+FHC59,"")</f>
        <v/>
      </c>
      <c r="FHD62" s="87" t="str">
        <f>IF(ISNUMBER(outYear),FHD37+FHD42+#REF!+FHD59,"")</f>
        <v/>
      </c>
      <c r="FHE62" s="87" t="str">
        <f>IF(ISNUMBER(outYear),FHE37+FHE42+#REF!+FHE59,"")</f>
        <v/>
      </c>
      <c r="FHF62" s="87" t="str">
        <f>IF(ISNUMBER(outYear),FHF37+FHF42+#REF!+FHF59,"")</f>
        <v/>
      </c>
      <c r="FHG62" s="87" t="str">
        <f>IF(ISNUMBER(outYear),FHG37+FHG42+#REF!+FHG59,"")</f>
        <v/>
      </c>
      <c r="FHH62" s="87" t="str">
        <f>IF(ISNUMBER(outYear),FHH37+FHH42+#REF!+FHH59,"")</f>
        <v/>
      </c>
      <c r="FHI62" s="87" t="str">
        <f>IF(ISNUMBER(outYear),FHI37+FHI42+#REF!+FHI59,"")</f>
        <v/>
      </c>
      <c r="FHJ62" s="87" t="str">
        <f>IF(ISNUMBER(outYear),FHJ37+FHJ42+#REF!+FHJ59,"")</f>
        <v/>
      </c>
      <c r="FHK62" s="87" t="str">
        <f>IF(ISNUMBER(outYear),FHK37+FHK42+#REF!+FHK59,"")</f>
        <v/>
      </c>
      <c r="FHL62" s="87" t="str">
        <f>IF(ISNUMBER(outYear),FHL37+FHL42+#REF!+FHL59,"")</f>
        <v/>
      </c>
      <c r="FHM62" s="87" t="str">
        <f>IF(ISNUMBER(outYear),FHM37+FHM42+#REF!+FHM59,"")</f>
        <v/>
      </c>
      <c r="FHN62" s="87" t="str">
        <f>IF(ISNUMBER(outYear),FHN37+FHN42+#REF!+FHN59,"")</f>
        <v/>
      </c>
      <c r="FHO62" s="87" t="str">
        <f>IF(ISNUMBER(outYear),FHO37+FHO42+#REF!+FHO59,"")</f>
        <v/>
      </c>
      <c r="FHP62" s="87" t="str">
        <f>IF(ISNUMBER(outYear),FHP37+FHP42+#REF!+FHP59,"")</f>
        <v/>
      </c>
      <c r="FHQ62" s="87" t="str">
        <f>IF(ISNUMBER(outYear),FHQ37+FHQ42+#REF!+FHQ59,"")</f>
        <v/>
      </c>
      <c r="FHR62" s="87" t="str">
        <f>IF(ISNUMBER(outYear),FHR37+FHR42+#REF!+FHR59,"")</f>
        <v/>
      </c>
      <c r="FHS62" s="87" t="str">
        <f>IF(ISNUMBER(outYear),FHS37+FHS42+#REF!+FHS59,"")</f>
        <v/>
      </c>
      <c r="FHT62" s="87" t="str">
        <f>IF(ISNUMBER(outYear),FHT37+FHT42+#REF!+FHT59,"")</f>
        <v/>
      </c>
      <c r="FHU62" s="87" t="str">
        <f>IF(ISNUMBER(outYear),FHU37+FHU42+#REF!+FHU59,"")</f>
        <v/>
      </c>
      <c r="FHV62" s="87" t="str">
        <f>IF(ISNUMBER(outYear),FHV37+FHV42+#REF!+FHV59,"")</f>
        <v/>
      </c>
      <c r="FHW62" s="87" t="str">
        <f>IF(ISNUMBER(outYear),FHW37+FHW42+#REF!+FHW59,"")</f>
        <v/>
      </c>
      <c r="FHX62" s="87" t="str">
        <f>IF(ISNUMBER(outYear),FHX37+FHX42+#REF!+FHX59,"")</f>
        <v/>
      </c>
      <c r="FHY62" s="87" t="str">
        <f>IF(ISNUMBER(outYear),FHY37+FHY42+#REF!+FHY59,"")</f>
        <v/>
      </c>
      <c r="FHZ62" s="87" t="str">
        <f>IF(ISNUMBER(outYear),FHZ37+FHZ42+#REF!+FHZ59,"")</f>
        <v/>
      </c>
      <c r="FIA62" s="87" t="str">
        <f>IF(ISNUMBER(outYear),FIA37+FIA42+#REF!+FIA59,"")</f>
        <v/>
      </c>
      <c r="FIB62" s="87" t="str">
        <f>IF(ISNUMBER(outYear),FIB37+FIB42+#REF!+FIB59,"")</f>
        <v/>
      </c>
      <c r="FIC62" s="87" t="str">
        <f>IF(ISNUMBER(outYear),FIC37+FIC42+#REF!+FIC59,"")</f>
        <v/>
      </c>
      <c r="FID62" s="87" t="str">
        <f>IF(ISNUMBER(outYear),FID37+FID42+#REF!+FID59,"")</f>
        <v/>
      </c>
      <c r="FIE62" s="87" t="str">
        <f>IF(ISNUMBER(outYear),FIE37+FIE42+#REF!+FIE59,"")</f>
        <v/>
      </c>
      <c r="FIF62" s="87" t="str">
        <f>IF(ISNUMBER(outYear),FIF37+FIF42+#REF!+FIF59,"")</f>
        <v/>
      </c>
      <c r="FIG62" s="87" t="str">
        <f>IF(ISNUMBER(outYear),FIG37+FIG42+#REF!+FIG59,"")</f>
        <v/>
      </c>
      <c r="FIH62" s="87" t="str">
        <f>IF(ISNUMBER(outYear),FIH37+FIH42+#REF!+FIH59,"")</f>
        <v/>
      </c>
      <c r="FII62" s="87" t="str">
        <f>IF(ISNUMBER(outYear),FII37+FII42+#REF!+FII59,"")</f>
        <v/>
      </c>
      <c r="FIJ62" s="87" t="str">
        <f>IF(ISNUMBER(outYear),FIJ37+FIJ42+#REF!+FIJ59,"")</f>
        <v/>
      </c>
      <c r="FIK62" s="87" t="str">
        <f>IF(ISNUMBER(outYear),FIK37+FIK42+#REF!+FIK59,"")</f>
        <v/>
      </c>
      <c r="FIL62" s="87" t="str">
        <f>IF(ISNUMBER(outYear),FIL37+FIL42+#REF!+FIL59,"")</f>
        <v/>
      </c>
      <c r="FIM62" s="87" t="str">
        <f>IF(ISNUMBER(outYear),FIM37+FIM42+#REF!+FIM59,"")</f>
        <v/>
      </c>
      <c r="FIN62" s="87" t="str">
        <f>IF(ISNUMBER(outYear),FIN37+FIN42+#REF!+FIN59,"")</f>
        <v/>
      </c>
      <c r="FIO62" s="87" t="str">
        <f>IF(ISNUMBER(outYear),FIO37+FIO42+#REF!+FIO59,"")</f>
        <v/>
      </c>
      <c r="FIP62" s="87" t="str">
        <f>IF(ISNUMBER(outYear),FIP37+FIP42+#REF!+FIP59,"")</f>
        <v/>
      </c>
      <c r="FIQ62" s="87" t="str">
        <f>IF(ISNUMBER(outYear),FIQ37+FIQ42+#REF!+FIQ59,"")</f>
        <v/>
      </c>
      <c r="FIR62" s="87" t="str">
        <f>IF(ISNUMBER(outYear),FIR37+FIR42+#REF!+FIR59,"")</f>
        <v/>
      </c>
      <c r="FIS62" s="87" t="str">
        <f>IF(ISNUMBER(outYear),FIS37+FIS42+#REF!+FIS59,"")</f>
        <v/>
      </c>
      <c r="FIT62" s="87" t="str">
        <f>IF(ISNUMBER(outYear),FIT37+FIT42+#REF!+FIT59,"")</f>
        <v/>
      </c>
      <c r="FIU62" s="87" t="str">
        <f>IF(ISNUMBER(outYear),FIU37+FIU42+#REF!+FIU59,"")</f>
        <v/>
      </c>
      <c r="FIV62" s="87" t="str">
        <f>IF(ISNUMBER(outYear),FIV37+FIV42+#REF!+FIV59,"")</f>
        <v/>
      </c>
      <c r="FIW62" s="87" t="str">
        <f>IF(ISNUMBER(outYear),FIW37+FIW42+#REF!+FIW59,"")</f>
        <v/>
      </c>
      <c r="FIX62" s="87" t="str">
        <f>IF(ISNUMBER(outYear),FIX37+FIX42+#REF!+FIX59,"")</f>
        <v/>
      </c>
      <c r="FIY62" s="87" t="str">
        <f>IF(ISNUMBER(outYear),FIY37+FIY42+#REF!+FIY59,"")</f>
        <v/>
      </c>
      <c r="FIZ62" s="87" t="str">
        <f>IF(ISNUMBER(outYear),FIZ37+FIZ42+#REF!+FIZ59,"")</f>
        <v/>
      </c>
      <c r="FJA62" s="87" t="str">
        <f>IF(ISNUMBER(outYear),FJA37+FJA42+#REF!+FJA59,"")</f>
        <v/>
      </c>
      <c r="FJB62" s="87" t="str">
        <f>IF(ISNUMBER(outYear),FJB37+FJB42+#REF!+FJB59,"")</f>
        <v/>
      </c>
      <c r="FJC62" s="87" t="str">
        <f>IF(ISNUMBER(outYear),FJC37+FJC42+#REF!+FJC59,"")</f>
        <v/>
      </c>
      <c r="FJD62" s="87" t="str">
        <f>IF(ISNUMBER(outYear),FJD37+FJD42+#REF!+FJD59,"")</f>
        <v/>
      </c>
      <c r="FJE62" s="87" t="str">
        <f>IF(ISNUMBER(outYear),FJE37+FJE42+#REF!+FJE59,"")</f>
        <v/>
      </c>
      <c r="FJF62" s="87" t="str">
        <f>IF(ISNUMBER(outYear),FJF37+FJF42+#REF!+FJF59,"")</f>
        <v/>
      </c>
      <c r="FJG62" s="87" t="str">
        <f>IF(ISNUMBER(outYear),FJG37+FJG42+#REF!+FJG59,"")</f>
        <v/>
      </c>
      <c r="FJH62" s="87" t="str">
        <f>IF(ISNUMBER(outYear),FJH37+FJH42+#REF!+FJH59,"")</f>
        <v/>
      </c>
      <c r="FJI62" s="87" t="str">
        <f>IF(ISNUMBER(outYear),FJI37+FJI42+#REF!+FJI59,"")</f>
        <v/>
      </c>
      <c r="FJJ62" s="87" t="str">
        <f>IF(ISNUMBER(outYear),FJJ37+FJJ42+#REF!+FJJ59,"")</f>
        <v/>
      </c>
      <c r="FJK62" s="87" t="str">
        <f>IF(ISNUMBER(outYear),FJK37+FJK42+#REF!+FJK59,"")</f>
        <v/>
      </c>
      <c r="FJL62" s="87" t="str">
        <f>IF(ISNUMBER(outYear),FJL37+FJL42+#REF!+FJL59,"")</f>
        <v/>
      </c>
      <c r="FJM62" s="87" t="str">
        <f>IF(ISNUMBER(outYear),FJM37+FJM42+#REF!+FJM59,"")</f>
        <v/>
      </c>
      <c r="FJN62" s="87" t="str">
        <f>IF(ISNUMBER(outYear),FJN37+FJN42+#REF!+FJN59,"")</f>
        <v/>
      </c>
      <c r="FJO62" s="87" t="str">
        <f>IF(ISNUMBER(outYear),FJO37+FJO42+#REF!+FJO59,"")</f>
        <v/>
      </c>
      <c r="FJP62" s="87" t="str">
        <f>IF(ISNUMBER(outYear),FJP37+FJP42+#REF!+FJP59,"")</f>
        <v/>
      </c>
      <c r="FJQ62" s="87" t="str">
        <f>IF(ISNUMBER(outYear),FJQ37+FJQ42+#REF!+FJQ59,"")</f>
        <v/>
      </c>
      <c r="FJR62" s="87" t="str">
        <f>IF(ISNUMBER(outYear),FJR37+FJR42+#REF!+FJR59,"")</f>
        <v/>
      </c>
      <c r="FJS62" s="87" t="str">
        <f>IF(ISNUMBER(outYear),FJS37+FJS42+#REF!+FJS59,"")</f>
        <v/>
      </c>
      <c r="FJT62" s="87" t="str">
        <f>IF(ISNUMBER(outYear),FJT37+FJT42+#REF!+FJT59,"")</f>
        <v/>
      </c>
      <c r="FJU62" s="87" t="str">
        <f>IF(ISNUMBER(outYear),FJU37+FJU42+#REF!+FJU59,"")</f>
        <v/>
      </c>
      <c r="FJV62" s="87" t="str">
        <f>IF(ISNUMBER(outYear),FJV37+FJV42+#REF!+FJV59,"")</f>
        <v/>
      </c>
      <c r="FJW62" s="87" t="str">
        <f>IF(ISNUMBER(outYear),FJW37+FJW42+#REF!+FJW59,"")</f>
        <v/>
      </c>
      <c r="FJX62" s="87" t="str">
        <f>IF(ISNUMBER(outYear),FJX37+FJX42+#REF!+FJX59,"")</f>
        <v/>
      </c>
      <c r="FJY62" s="87" t="str">
        <f>IF(ISNUMBER(outYear),FJY37+FJY42+#REF!+FJY59,"")</f>
        <v/>
      </c>
      <c r="FJZ62" s="87" t="str">
        <f>IF(ISNUMBER(outYear),FJZ37+FJZ42+#REF!+FJZ59,"")</f>
        <v/>
      </c>
      <c r="FKA62" s="87" t="str">
        <f>IF(ISNUMBER(outYear),FKA37+FKA42+#REF!+FKA59,"")</f>
        <v/>
      </c>
      <c r="FKB62" s="87" t="str">
        <f>IF(ISNUMBER(outYear),FKB37+FKB42+#REF!+FKB59,"")</f>
        <v/>
      </c>
      <c r="FKC62" s="87" t="str">
        <f>IF(ISNUMBER(outYear),FKC37+FKC42+#REF!+FKC59,"")</f>
        <v/>
      </c>
      <c r="FKD62" s="87" t="str">
        <f>IF(ISNUMBER(outYear),FKD37+FKD42+#REF!+FKD59,"")</f>
        <v/>
      </c>
      <c r="FKE62" s="87" t="str">
        <f>IF(ISNUMBER(outYear),FKE37+FKE42+#REF!+FKE59,"")</f>
        <v/>
      </c>
      <c r="FKF62" s="87" t="str">
        <f>IF(ISNUMBER(outYear),FKF37+FKF42+#REF!+FKF59,"")</f>
        <v/>
      </c>
      <c r="FKG62" s="87" t="str">
        <f>IF(ISNUMBER(outYear),FKG37+FKG42+#REF!+FKG59,"")</f>
        <v/>
      </c>
      <c r="FKH62" s="87" t="str">
        <f>IF(ISNUMBER(outYear),FKH37+FKH42+#REF!+FKH59,"")</f>
        <v/>
      </c>
      <c r="FKI62" s="87" t="str">
        <f>IF(ISNUMBER(outYear),FKI37+FKI42+#REF!+FKI59,"")</f>
        <v/>
      </c>
      <c r="FKJ62" s="87" t="str">
        <f>IF(ISNUMBER(outYear),FKJ37+FKJ42+#REF!+FKJ59,"")</f>
        <v/>
      </c>
      <c r="FKK62" s="87" t="str">
        <f>IF(ISNUMBER(outYear),FKK37+FKK42+#REF!+FKK59,"")</f>
        <v/>
      </c>
      <c r="FKL62" s="87" t="str">
        <f>IF(ISNUMBER(outYear),FKL37+FKL42+#REF!+FKL59,"")</f>
        <v/>
      </c>
      <c r="FKM62" s="87" t="str">
        <f>IF(ISNUMBER(outYear),FKM37+FKM42+#REF!+FKM59,"")</f>
        <v/>
      </c>
      <c r="FKN62" s="87" t="str">
        <f>IF(ISNUMBER(outYear),FKN37+FKN42+#REF!+FKN59,"")</f>
        <v/>
      </c>
      <c r="FKO62" s="87" t="str">
        <f>IF(ISNUMBER(outYear),FKO37+FKO42+#REF!+FKO59,"")</f>
        <v/>
      </c>
      <c r="FKP62" s="87" t="str">
        <f>IF(ISNUMBER(outYear),FKP37+FKP42+#REF!+FKP59,"")</f>
        <v/>
      </c>
      <c r="FKQ62" s="87" t="str">
        <f>IF(ISNUMBER(outYear),FKQ37+FKQ42+#REF!+FKQ59,"")</f>
        <v/>
      </c>
      <c r="FKR62" s="87" t="str">
        <f>IF(ISNUMBER(outYear),FKR37+FKR42+#REF!+FKR59,"")</f>
        <v/>
      </c>
      <c r="FKS62" s="87" t="str">
        <f>IF(ISNUMBER(outYear),FKS37+FKS42+#REF!+FKS59,"")</f>
        <v/>
      </c>
      <c r="FKT62" s="87" t="str">
        <f>IF(ISNUMBER(outYear),FKT37+FKT42+#REF!+FKT59,"")</f>
        <v/>
      </c>
      <c r="FKU62" s="87" t="str">
        <f>IF(ISNUMBER(outYear),FKU37+FKU42+#REF!+FKU59,"")</f>
        <v/>
      </c>
      <c r="FKV62" s="87" t="str">
        <f>IF(ISNUMBER(outYear),FKV37+FKV42+#REF!+FKV59,"")</f>
        <v/>
      </c>
      <c r="FKW62" s="87" t="str">
        <f>IF(ISNUMBER(outYear),FKW37+FKW42+#REF!+FKW59,"")</f>
        <v/>
      </c>
      <c r="FKX62" s="87" t="str">
        <f>IF(ISNUMBER(outYear),FKX37+FKX42+#REF!+FKX59,"")</f>
        <v/>
      </c>
      <c r="FKY62" s="87" t="str">
        <f>IF(ISNUMBER(outYear),FKY37+FKY42+#REF!+FKY59,"")</f>
        <v/>
      </c>
      <c r="FKZ62" s="87" t="str">
        <f>IF(ISNUMBER(outYear),FKZ37+FKZ42+#REF!+FKZ59,"")</f>
        <v/>
      </c>
      <c r="FLA62" s="87" t="str">
        <f>IF(ISNUMBER(outYear),FLA37+FLA42+#REF!+FLA59,"")</f>
        <v/>
      </c>
      <c r="FLB62" s="87" t="str">
        <f>IF(ISNUMBER(outYear),FLB37+FLB42+#REF!+FLB59,"")</f>
        <v/>
      </c>
      <c r="FLC62" s="87" t="str">
        <f>IF(ISNUMBER(outYear),FLC37+FLC42+#REF!+FLC59,"")</f>
        <v/>
      </c>
      <c r="FLD62" s="87" t="str">
        <f>IF(ISNUMBER(outYear),FLD37+FLD42+#REF!+FLD59,"")</f>
        <v/>
      </c>
      <c r="FLE62" s="87" t="str">
        <f>IF(ISNUMBER(outYear),FLE37+FLE42+#REF!+FLE59,"")</f>
        <v/>
      </c>
      <c r="FLF62" s="87" t="str">
        <f>IF(ISNUMBER(outYear),FLF37+FLF42+#REF!+FLF59,"")</f>
        <v/>
      </c>
      <c r="FLG62" s="87" t="str">
        <f>IF(ISNUMBER(outYear),FLG37+FLG42+#REF!+FLG59,"")</f>
        <v/>
      </c>
      <c r="FLH62" s="87" t="str">
        <f>IF(ISNUMBER(outYear),FLH37+FLH42+#REF!+FLH59,"")</f>
        <v/>
      </c>
      <c r="FLI62" s="87" t="str">
        <f>IF(ISNUMBER(outYear),FLI37+FLI42+#REF!+FLI59,"")</f>
        <v/>
      </c>
      <c r="FLJ62" s="87" t="str">
        <f>IF(ISNUMBER(outYear),FLJ37+FLJ42+#REF!+FLJ59,"")</f>
        <v/>
      </c>
      <c r="FLK62" s="87" t="str">
        <f>IF(ISNUMBER(outYear),FLK37+FLK42+#REF!+FLK59,"")</f>
        <v/>
      </c>
      <c r="FLL62" s="87" t="str">
        <f>IF(ISNUMBER(outYear),FLL37+FLL42+#REF!+FLL59,"")</f>
        <v/>
      </c>
      <c r="FLM62" s="87" t="str">
        <f>IF(ISNUMBER(outYear),FLM37+FLM42+#REF!+FLM59,"")</f>
        <v/>
      </c>
      <c r="FLN62" s="87" t="str">
        <f>IF(ISNUMBER(outYear),FLN37+FLN42+#REF!+FLN59,"")</f>
        <v/>
      </c>
      <c r="FLO62" s="87" t="str">
        <f>IF(ISNUMBER(outYear),FLO37+FLO42+#REF!+FLO59,"")</f>
        <v/>
      </c>
      <c r="FLP62" s="87" t="str">
        <f>IF(ISNUMBER(outYear),FLP37+FLP42+#REF!+FLP59,"")</f>
        <v/>
      </c>
      <c r="FLQ62" s="87" t="str">
        <f>IF(ISNUMBER(outYear),FLQ37+FLQ42+#REF!+FLQ59,"")</f>
        <v/>
      </c>
      <c r="FLR62" s="87" t="str">
        <f>IF(ISNUMBER(outYear),FLR37+FLR42+#REF!+FLR59,"")</f>
        <v/>
      </c>
      <c r="FLS62" s="87" t="str">
        <f>IF(ISNUMBER(outYear),FLS37+FLS42+#REF!+FLS59,"")</f>
        <v/>
      </c>
      <c r="FLT62" s="87" t="str">
        <f>IF(ISNUMBER(outYear),FLT37+FLT42+#REF!+FLT59,"")</f>
        <v/>
      </c>
      <c r="FLU62" s="87" t="str">
        <f>IF(ISNUMBER(outYear),FLU37+FLU42+#REF!+FLU59,"")</f>
        <v/>
      </c>
      <c r="FLV62" s="87" t="str">
        <f>IF(ISNUMBER(outYear),FLV37+FLV42+#REF!+FLV59,"")</f>
        <v/>
      </c>
      <c r="FLW62" s="87" t="str">
        <f>IF(ISNUMBER(outYear),FLW37+FLW42+#REF!+FLW59,"")</f>
        <v/>
      </c>
      <c r="FLX62" s="87" t="str">
        <f>IF(ISNUMBER(outYear),FLX37+FLX42+#REF!+FLX59,"")</f>
        <v/>
      </c>
      <c r="FLY62" s="87" t="str">
        <f>IF(ISNUMBER(outYear),FLY37+FLY42+#REF!+FLY59,"")</f>
        <v/>
      </c>
      <c r="FLZ62" s="87" t="str">
        <f>IF(ISNUMBER(outYear),FLZ37+FLZ42+#REF!+FLZ59,"")</f>
        <v/>
      </c>
      <c r="FMA62" s="87" t="str">
        <f>IF(ISNUMBER(outYear),FMA37+FMA42+#REF!+FMA59,"")</f>
        <v/>
      </c>
      <c r="FMB62" s="87" t="str">
        <f>IF(ISNUMBER(outYear),FMB37+FMB42+#REF!+FMB59,"")</f>
        <v/>
      </c>
      <c r="FMC62" s="87" t="str">
        <f>IF(ISNUMBER(outYear),FMC37+FMC42+#REF!+FMC59,"")</f>
        <v/>
      </c>
      <c r="FMD62" s="87" t="str">
        <f>IF(ISNUMBER(outYear),FMD37+FMD42+#REF!+FMD59,"")</f>
        <v/>
      </c>
      <c r="FME62" s="87" t="str">
        <f>IF(ISNUMBER(outYear),FME37+FME42+#REF!+FME59,"")</f>
        <v/>
      </c>
      <c r="FMF62" s="87" t="str">
        <f>IF(ISNUMBER(outYear),FMF37+FMF42+#REF!+FMF59,"")</f>
        <v/>
      </c>
      <c r="FMG62" s="87" t="str">
        <f>IF(ISNUMBER(outYear),FMG37+FMG42+#REF!+FMG59,"")</f>
        <v/>
      </c>
      <c r="FMH62" s="87" t="str">
        <f>IF(ISNUMBER(outYear),FMH37+FMH42+#REF!+FMH59,"")</f>
        <v/>
      </c>
      <c r="FMI62" s="87" t="str">
        <f>IF(ISNUMBER(outYear),FMI37+FMI42+#REF!+FMI59,"")</f>
        <v/>
      </c>
      <c r="FMJ62" s="87" t="str">
        <f>IF(ISNUMBER(outYear),FMJ37+FMJ42+#REF!+FMJ59,"")</f>
        <v/>
      </c>
      <c r="FMK62" s="87" t="str">
        <f>IF(ISNUMBER(outYear),FMK37+FMK42+#REF!+FMK59,"")</f>
        <v/>
      </c>
      <c r="FML62" s="87" t="str">
        <f>IF(ISNUMBER(outYear),FML37+FML42+#REF!+FML59,"")</f>
        <v/>
      </c>
      <c r="FMM62" s="87" t="str">
        <f>IF(ISNUMBER(outYear),FMM37+FMM42+#REF!+FMM59,"")</f>
        <v/>
      </c>
      <c r="FMN62" s="87" t="str">
        <f>IF(ISNUMBER(outYear),FMN37+FMN42+#REF!+FMN59,"")</f>
        <v/>
      </c>
      <c r="FMO62" s="87" t="str">
        <f>IF(ISNUMBER(outYear),FMO37+FMO42+#REF!+FMO59,"")</f>
        <v/>
      </c>
      <c r="FMP62" s="87" t="str">
        <f>IF(ISNUMBER(outYear),FMP37+FMP42+#REF!+FMP59,"")</f>
        <v/>
      </c>
      <c r="FMQ62" s="87" t="str">
        <f>IF(ISNUMBER(outYear),FMQ37+FMQ42+#REF!+FMQ59,"")</f>
        <v/>
      </c>
      <c r="FMR62" s="87" t="str">
        <f>IF(ISNUMBER(outYear),FMR37+FMR42+#REF!+FMR59,"")</f>
        <v/>
      </c>
      <c r="FMS62" s="87" t="str">
        <f>IF(ISNUMBER(outYear),FMS37+FMS42+#REF!+FMS59,"")</f>
        <v/>
      </c>
      <c r="FMT62" s="87" t="str">
        <f>IF(ISNUMBER(outYear),FMT37+FMT42+#REF!+FMT59,"")</f>
        <v/>
      </c>
      <c r="FMU62" s="87" t="str">
        <f>IF(ISNUMBER(outYear),FMU37+FMU42+#REF!+FMU59,"")</f>
        <v/>
      </c>
      <c r="FMV62" s="87" t="str">
        <f>IF(ISNUMBER(outYear),FMV37+FMV42+#REF!+FMV59,"")</f>
        <v/>
      </c>
      <c r="FMW62" s="87" t="str">
        <f>IF(ISNUMBER(outYear),FMW37+FMW42+#REF!+FMW59,"")</f>
        <v/>
      </c>
      <c r="FMX62" s="87" t="str">
        <f>IF(ISNUMBER(outYear),FMX37+FMX42+#REF!+FMX59,"")</f>
        <v/>
      </c>
      <c r="FMY62" s="87" t="str">
        <f>IF(ISNUMBER(outYear),FMY37+FMY42+#REF!+FMY59,"")</f>
        <v/>
      </c>
      <c r="FMZ62" s="87" t="str">
        <f>IF(ISNUMBER(outYear),FMZ37+FMZ42+#REF!+FMZ59,"")</f>
        <v/>
      </c>
      <c r="FNA62" s="87" t="str">
        <f>IF(ISNUMBER(outYear),FNA37+FNA42+#REF!+FNA59,"")</f>
        <v/>
      </c>
      <c r="FNB62" s="87" t="str">
        <f>IF(ISNUMBER(outYear),FNB37+FNB42+#REF!+FNB59,"")</f>
        <v/>
      </c>
      <c r="FNC62" s="87" t="str">
        <f>IF(ISNUMBER(outYear),FNC37+FNC42+#REF!+FNC59,"")</f>
        <v/>
      </c>
      <c r="FND62" s="87" t="str">
        <f>IF(ISNUMBER(outYear),FND37+FND42+#REF!+FND59,"")</f>
        <v/>
      </c>
      <c r="FNE62" s="87" t="str">
        <f>IF(ISNUMBER(outYear),FNE37+FNE42+#REF!+FNE59,"")</f>
        <v/>
      </c>
      <c r="FNF62" s="87" t="str">
        <f>IF(ISNUMBER(outYear),FNF37+FNF42+#REF!+FNF59,"")</f>
        <v/>
      </c>
      <c r="FNG62" s="87" t="str">
        <f>IF(ISNUMBER(outYear),FNG37+FNG42+#REF!+FNG59,"")</f>
        <v/>
      </c>
      <c r="FNH62" s="87" t="str">
        <f>IF(ISNUMBER(outYear),FNH37+FNH42+#REF!+FNH59,"")</f>
        <v/>
      </c>
      <c r="FNI62" s="87" t="str">
        <f>IF(ISNUMBER(outYear),FNI37+FNI42+#REF!+FNI59,"")</f>
        <v/>
      </c>
      <c r="FNJ62" s="87" t="str">
        <f>IF(ISNUMBER(outYear),FNJ37+FNJ42+#REF!+FNJ59,"")</f>
        <v/>
      </c>
      <c r="FNK62" s="87" t="str">
        <f>IF(ISNUMBER(outYear),FNK37+FNK42+#REF!+FNK59,"")</f>
        <v/>
      </c>
      <c r="FNL62" s="87" t="str">
        <f>IF(ISNUMBER(outYear),FNL37+FNL42+#REF!+FNL59,"")</f>
        <v/>
      </c>
      <c r="FNM62" s="87" t="str">
        <f>IF(ISNUMBER(outYear),FNM37+FNM42+#REF!+FNM59,"")</f>
        <v/>
      </c>
      <c r="FNN62" s="87" t="str">
        <f>IF(ISNUMBER(outYear),FNN37+FNN42+#REF!+FNN59,"")</f>
        <v/>
      </c>
      <c r="FNO62" s="87" t="str">
        <f>IF(ISNUMBER(outYear),FNO37+FNO42+#REF!+FNO59,"")</f>
        <v/>
      </c>
      <c r="FNP62" s="87" t="str">
        <f>IF(ISNUMBER(outYear),FNP37+FNP42+#REF!+FNP59,"")</f>
        <v/>
      </c>
      <c r="FNQ62" s="87" t="str">
        <f>IF(ISNUMBER(outYear),FNQ37+FNQ42+#REF!+FNQ59,"")</f>
        <v/>
      </c>
      <c r="FNR62" s="87" t="str">
        <f>IF(ISNUMBER(outYear),FNR37+FNR42+#REF!+FNR59,"")</f>
        <v/>
      </c>
      <c r="FNS62" s="87" t="str">
        <f>IF(ISNUMBER(outYear),FNS37+FNS42+#REF!+FNS59,"")</f>
        <v/>
      </c>
      <c r="FNT62" s="87" t="str">
        <f>IF(ISNUMBER(outYear),FNT37+FNT42+#REF!+FNT59,"")</f>
        <v/>
      </c>
      <c r="FNU62" s="87" t="str">
        <f>IF(ISNUMBER(outYear),FNU37+FNU42+#REF!+FNU59,"")</f>
        <v/>
      </c>
      <c r="FNV62" s="87" t="str">
        <f>IF(ISNUMBER(outYear),FNV37+FNV42+#REF!+FNV59,"")</f>
        <v/>
      </c>
      <c r="FNW62" s="87" t="str">
        <f>IF(ISNUMBER(outYear),FNW37+FNW42+#REF!+FNW59,"")</f>
        <v/>
      </c>
      <c r="FNX62" s="87" t="str">
        <f>IF(ISNUMBER(outYear),FNX37+FNX42+#REF!+FNX59,"")</f>
        <v/>
      </c>
      <c r="FNY62" s="87" t="str">
        <f>IF(ISNUMBER(outYear),FNY37+FNY42+#REF!+FNY59,"")</f>
        <v/>
      </c>
      <c r="FNZ62" s="87" t="str">
        <f>IF(ISNUMBER(outYear),FNZ37+FNZ42+#REF!+FNZ59,"")</f>
        <v/>
      </c>
      <c r="FOA62" s="87" t="str">
        <f>IF(ISNUMBER(outYear),FOA37+FOA42+#REF!+FOA59,"")</f>
        <v/>
      </c>
      <c r="FOB62" s="87" t="str">
        <f>IF(ISNUMBER(outYear),FOB37+FOB42+#REF!+FOB59,"")</f>
        <v/>
      </c>
      <c r="FOC62" s="87" t="str">
        <f>IF(ISNUMBER(outYear),FOC37+FOC42+#REF!+FOC59,"")</f>
        <v/>
      </c>
      <c r="FOD62" s="87" t="str">
        <f>IF(ISNUMBER(outYear),FOD37+FOD42+#REF!+FOD59,"")</f>
        <v/>
      </c>
      <c r="FOE62" s="87" t="str">
        <f>IF(ISNUMBER(outYear),FOE37+FOE42+#REF!+FOE59,"")</f>
        <v/>
      </c>
      <c r="FOF62" s="87" t="str">
        <f>IF(ISNUMBER(outYear),FOF37+FOF42+#REF!+FOF59,"")</f>
        <v/>
      </c>
      <c r="FOG62" s="87" t="str">
        <f>IF(ISNUMBER(outYear),FOG37+FOG42+#REF!+FOG59,"")</f>
        <v/>
      </c>
      <c r="FOH62" s="87" t="str">
        <f>IF(ISNUMBER(outYear),FOH37+FOH42+#REF!+FOH59,"")</f>
        <v/>
      </c>
      <c r="FOI62" s="87" t="str">
        <f>IF(ISNUMBER(outYear),FOI37+FOI42+#REF!+FOI59,"")</f>
        <v/>
      </c>
      <c r="FOJ62" s="87" t="str">
        <f>IF(ISNUMBER(outYear),FOJ37+FOJ42+#REF!+FOJ59,"")</f>
        <v/>
      </c>
      <c r="FOK62" s="87" t="str">
        <f>IF(ISNUMBER(outYear),FOK37+FOK42+#REF!+FOK59,"")</f>
        <v/>
      </c>
      <c r="FOL62" s="87" t="str">
        <f>IF(ISNUMBER(outYear),FOL37+FOL42+#REF!+FOL59,"")</f>
        <v/>
      </c>
      <c r="FOM62" s="87" t="str">
        <f>IF(ISNUMBER(outYear),FOM37+FOM42+#REF!+FOM59,"")</f>
        <v/>
      </c>
      <c r="FON62" s="87" t="str">
        <f>IF(ISNUMBER(outYear),FON37+FON42+#REF!+FON59,"")</f>
        <v/>
      </c>
      <c r="FOO62" s="87" t="str">
        <f>IF(ISNUMBER(outYear),FOO37+FOO42+#REF!+FOO59,"")</f>
        <v/>
      </c>
      <c r="FOP62" s="87" t="str">
        <f>IF(ISNUMBER(outYear),FOP37+FOP42+#REF!+FOP59,"")</f>
        <v/>
      </c>
      <c r="FOQ62" s="87" t="str">
        <f>IF(ISNUMBER(outYear),FOQ37+FOQ42+#REF!+FOQ59,"")</f>
        <v/>
      </c>
      <c r="FOR62" s="87" t="str">
        <f>IF(ISNUMBER(outYear),FOR37+FOR42+#REF!+FOR59,"")</f>
        <v/>
      </c>
      <c r="FOS62" s="87" t="str">
        <f>IF(ISNUMBER(outYear),FOS37+FOS42+#REF!+FOS59,"")</f>
        <v/>
      </c>
      <c r="FOT62" s="87" t="str">
        <f>IF(ISNUMBER(outYear),FOT37+FOT42+#REF!+FOT59,"")</f>
        <v/>
      </c>
      <c r="FOU62" s="87" t="str">
        <f>IF(ISNUMBER(outYear),FOU37+FOU42+#REF!+FOU59,"")</f>
        <v/>
      </c>
      <c r="FOV62" s="87" t="str">
        <f>IF(ISNUMBER(outYear),FOV37+FOV42+#REF!+FOV59,"")</f>
        <v/>
      </c>
      <c r="FOW62" s="87" t="str">
        <f>IF(ISNUMBER(outYear),FOW37+FOW42+#REF!+FOW59,"")</f>
        <v/>
      </c>
      <c r="FOX62" s="87" t="str">
        <f>IF(ISNUMBER(outYear),FOX37+FOX42+#REF!+FOX59,"")</f>
        <v/>
      </c>
      <c r="FOY62" s="87" t="str">
        <f>IF(ISNUMBER(outYear),FOY37+FOY42+#REF!+FOY59,"")</f>
        <v/>
      </c>
      <c r="FOZ62" s="87" t="str">
        <f>IF(ISNUMBER(outYear),FOZ37+FOZ42+#REF!+FOZ59,"")</f>
        <v/>
      </c>
      <c r="FPA62" s="87" t="str">
        <f>IF(ISNUMBER(outYear),FPA37+FPA42+#REF!+FPA59,"")</f>
        <v/>
      </c>
      <c r="FPB62" s="87" t="str">
        <f>IF(ISNUMBER(outYear),FPB37+FPB42+#REF!+FPB59,"")</f>
        <v/>
      </c>
      <c r="FPC62" s="87" t="str">
        <f>IF(ISNUMBER(outYear),FPC37+FPC42+#REF!+FPC59,"")</f>
        <v/>
      </c>
      <c r="FPD62" s="87" t="str">
        <f>IF(ISNUMBER(outYear),FPD37+FPD42+#REF!+FPD59,"")</f>
        <v/>
      </c>
      <c r="FPE62" s="87" t="str">
        <f>IF(ISNUMBER(outYear),FPE37+FPE42+#REF!+FPE59,"")</f>
        <v/>
      </c>
      <c r="FPF62" s="87" t="str">
        <f>IF(ISNUMBER(outYear),FPF37+FPF42+#REF!+FPF59,"")</f>
        <v/>
      </c>
      <c r="FPG62" s="87" t="str">
        <f>IF(ISNUMBER(outYear),FPG37+FPG42+#REF!+FPG59,"")</f>
        <v/>
      </c>
      <c r="FPH62" s="87" t="str">
        <f>IF(ISNUMBER(outYear),FPH37+FPH42+#REF!+FPH59,"")</f>
        <v/>
      </c>
      <c r="FPI62" s="87" t="str">
        <f>IF(ISNUMBER(outYear),FPI37+FPI42+#REF!+FPI59,"")</f>
        <v/>
      </c>
      <c r="FPJ62" s="87" t="str">
        <f>IF(ISNUMBER(outYear),FPJ37+FPJ42+#REF!+FPJ59,"")</f>
        <v/>
      </c>
      <c r="FPK62" s="87" t="str">
        <f>IF(ISNUMBER(outYear),FPK37+FPK42+#REF!+FPK59,"")</f>
        <v/>
      </c>
      <c r="FPL62" s="87" t="str">
        <f>IF(ISNUMBER(outYear),FPL37+FPL42+#REF!+FPL59,"")</f>
        <v/>
      </c>
      <c r="FPM62" s="87" t="str">
        <f>IF(ISNUMBER(outYear),FPM37+FPM42+#REF!+FPM59,"")</f>
        <v/>
      </c>
      <c r="FPN62" s="87" t="str">
        <f>IF(ISNUMBER(outYear),FPN37+FPN42+#REF!+FPN59,"")</f>
        <v/>
      </c>
      <c r="FPO62" s="87" t="str">
        <f>IF(ISNUMBER(outYear),FPO37+FPO42+#REF!+FPO59,"")</f>
        <v/>
      </c>
      <c r="FPP62" s="87" t="str">
        <f>IF(ISNUMBER(outYear),FPP37+FPP42+#REF!+FPP59,"")</f>
        <v/>
      </c>
      <c r="FPQ62" s="87" t="str">
        <f>IF(ISNUMBER(outYear),FPQ37+FPQ42+#REF!+FPQ59,"")</f>
        <v/>
      </c>
      <c r="FPR62" s="87" t="str">
        <f>IF(ISNUMBER(outYear),FPR37+FPR42+#REF!+FPR59,"")</f>
        <v/>
      </c>
      <c r="FPS62" s="87" t="str">
        <f>IF(ISNUMBER(outYear),FPS37+FPS42+#REF!+FPS59,"")</f>
        <v/>
      </c>
      <c r="FPT62" s="87" t="str">
        <f>IF(ISNUMBER(outYear),FPT37+FPT42+#REF!+FPT59,"")</f>
        <v/>
      </c>
      <c r="FPU62" s="87" t="str">
        <f>IF(ISNUMBER(outYear),FPU37+FPU42+#REF!+FPU59,"")</f>
        <v/>
      </c>
      <c r="FPV62" s="87" t="str">
        <f>IF(ISNUMBER(outYear),FPV37+FPV42+#REF!+FPV59,"")</f>
        <v/>
      </c>
      <c r="FPW62" s="87" t="str">
        <f>IF(ISNUMBER(outYear),FPW37+FPW42+#REF!+FPW59,"")</f>
        <v/>
      </c>
      <c r="FPX62" s="87" t="str">
        <f>IF(ISNUMBER(outYear),FPX37+FPX42+#REF!+FPX59,"")</f>
        <v/>
      </c>
      <c r="FPY62" s="87" t="str">
        <f>IF(ISNUMBER(outYear),FPY37+FPY42+#REF!+FPY59,"")</f>
        <v/>
      </c>
      <c r="FPZ62" s="87" t="str">
        <f>IF(ISNUMBER(outYear),FPZ37+FPZ42+#REF!+FPZ59,"")</f>
        <v/>
      </c>
      <c r="FQA62" s="87" t="str">
        <f>IF(ISNUMBER(outYear),FQA37+FQA42+#REF!+FQA59,"")</f>
        <v/>
      </c>
      <c r="FQB62" s="87" t="str">
        <f>IF(ISNUMBER(outYear),FQB37+FQB42+#REF!+FQB59,"")</f>
        <v/>
      </c>
      <c r="FQC62" s="87" t="str">
        <f>IF(ISNUMBER(outYear),FQC37+FQC42+#REF!+FQC59,"")</f>
        <v/>
      </c>
      <c r="FQD62" s="87" t="str">
        <f>IF(ISNUMBER(outYear),FQD37+FQD42+#REF!+FQD59,"")</f>
        <v/>
      </c>
      <c r="FQE62" s="87" t="str">
        <f>IF(ISNUMBER(outYear),FQE37+FQE42+#REF!+FQE59,"")</f>
        <v/>
      </c>
      <c r="FQF62" s="87" t="str">
        <f>IF(ISNUMBER(outYear),FQF37+FQF42+#REF!+FQF59,"")</f>
        <v/>
      </c>
      <c r="FQG62" s="87" t="str">
        <f>IF(ISNUMBER(outYear),FQG37+FQG42+#REF!+FQG59,"")</f>
        <v/>
      </c>
      <c r="FQH62" s="87" t="str">
        <f>IF(ISNUMBER(outYear),FQH37+FQH42+#REF!+FQH59,"")</f>
        <v/>
      </c>
      <c r="FQI62" s="87" t="str">
        <f>IF(ISNUMBER(outYear),FQI37+FQI42+#REF!+FQI59,"")</f>
        <v/>
      </c>
      <c r="FQJ62" s="87" t="str">
        <f>IF(ISNUMBER(outYear),FQJ37+FQJ42+#REF!+FQJ59,"")</f>
        <v/>
      </c>
      <c r="FQK62" s="87" t="str">
        <f>IF(ISNUMBER(outYear),FQK37+FQK42+#REF!+FQK59,"")</f>
        <v/>
      </c>
      <c r="FQL62" s="87" t="str">
        <f>IF(ISNUMBER(outYear),FQL37+FQL42+#REF!+FQL59,"")</f>
        <v/>
      </c>
      <c r="FQM62" s="87" t="str">
        <f>IF(ISNUMBER(outYear),FQM37+FQM42+#REF!+FQM59,"")</f>
        <v/>
      </c>
      <c r="FQN62" s="87" t="str">
        <f>IF(ISNUMBER(outYear),FQN37+FQN42+#REF!+FQN59,"")</f>
        <v/>
      </c>
      <c r="FQO62" s="87" t="str">
        <f>IF(ISNUMBER(outYear),FQO37+FQO42+#REF!+FQO59,"")</f>
        <v/>
      </c>
      <c r="FQP62" s="87" t="str">
        <f>IF(ISNUMBER(outYear),FQP37+FQP42+#REF!+FQP59,"")</f>
        <v/>
      </c>
      <c r="FQQ62" s="87" t="str">
        <f>IF(ISNUMBER(outYear),FQQ37+FQQ42+#REF!+FQQ59,"")</f>
        <v/>
      </c>
      <c r="FQR62" s="87" t="str">
        <f>IF(ISNUMBER(outYear),FQR37+FQR42+#REF!+FQR59,"")</f>
        <v/>
      </c>
      <c r="FQS62" s="87" t="str">
        <f>IF(ISNUMBER(outYear),FQS37+FQS42+#REF!+FQS59,"")</f>
        <v/>
      </c>
      <c r="FQT62" s="87" t="str">
        <f>IF(ISNUMBER(outYear),FQT37+FQT42+#REF!+FQT59,"")</f>
        <v/>
      </c>
      <c r="FQU62" s="87" t="str">
        <f>IF(ISNUMBER(outYear),FQU37+FQU42+#REF!+FQU59,"")</f>
        <v/>
      </c>
      <c r="FQV62" s="87" t="str">
        <f>IF(ISNUMBER(outYear),FQV37+FQV42+#REF!+FQV59,"")</f>
        <v/>
      </c>
      <c r="FQW62" s="87" t="str">
        <f>IF(ISNUMBER(outYear),FQW37+FQW42+#REF!+FQW59,"")</f>
        <v/>
      </c>
      <c r="FQX62" s="87" t="str">
        <f>IF(ISNUMBER(outYear),FQX37+FQX42+#REF!+FQX59,"")</f>
        <v/>
      </c>
      <c r="FQY62" s="87" t="str">
        <f>IF(ISNUMBER(outYear),FQY37+FQY42+#REF!+FQY59,"")</f>
        <v/>
      </c>
      <c r="FQZ62" s="87" t="str">
        <f>IF(ISNUMBER(outYear),FQZ37+FQZ42+#REF!+FQZ59,"")</f>
        <v/>
      </c>
      <c r="FRA62" s="87" t="str">
        <f>IF(ISNUMBER(outYear),FRA37+FRA42+#REF!+FRA59,"")</f>
        <v/>
      </c>
      <c r="FRB62" s="87" t="str">
        <f>IF(ISNUMBER(outYear),FRB37+FRB42+#REF!+FRB59,"")</f>
        <v/>
      </c>
      <c r="FRC62" s="87" t="str">
        <f>IF(ISNUMBER(outYear),FRC37+FRC42+#REF!+FRC59,"")</f>
        <v/>
      </c>
      <c r="FRD62" s="87" t="str">
        <f>IF(ISNUMBER(outYear),FRD37+FRD42+#REF!+FRD59,"")</f>
        <v/>
      </c>
      <c r="FRE62" s="87" t="str">
        <f>IF(ISNUMBER(outYear),FRE37+FRE42+#REF!+FRE59,"")</f>
        <v/>
      </c>
      <c r="FRF62" s="87" t="str">
        <f>IF(ISNUMBER(outYear),FRF37+FRF42+#REF!+FRF59,"")</f>
        <v/>
      </c>
      <c r="FRG62" s="87" t="str">
        <f>IF(ISNUMBER(outYear),FRG37+FRG42+#REF!+FRG59,"")</f>
        <v/>
      </c>
      <c r="FRH62" s="87" t="str">
        <f>IF(ISNUMBER(outYear),FRH37+FRH42+#REF!+FRH59,"")</f>
        <v/>
      </c>
      <c r="FRI62" s="87" t="str">
        <f>IF(ISNUMBER(outYear),FRI37+FRI42+#REF!+FRI59,"")</f>
        <v/>
      </c>
      <c r="FRJ62" s="87" t="str">
        <f>IF(ISNUMBER(outYear),FRJ37+FRJ42+#REF!+FRJ59,"")</f>
        <v/>
      </c>
      <c r="FRK62" s="87" t="str">
        <f>IF(ISNUMBER(outYear),FRK37+FRK42+#REF!+FRK59,"")</f>
        <v/>
      </c>
      <c r="FRL62" s="87" t="str">
        <f>IF(ISNUMBER(outYear),FRL37+FRL42+#REF!+FRL59,"")</f>
        <v/>
      </c>
      <c r="FRM62" s="87" t="str">
        <f>IF(ISNUMBER(outYear),FRM37+FRM42+#REF!+FRM59,"")</f>
        <v/>
      </c>
      <c r="FRN62" s="87" t="str">
        <f>IF(ISNUMBER(outYear),FRN37+FRN42+#REF!+FRN59,"")</f>
        <v/>
      </c>
      <c r="FRO62" s="87" t="str">
        <f>IF(ISNUMBER(outYear),FRO37+FRO42+#REF!+FRO59,"")</f>
        <v/>
      </c>
      <c r="FRP62" s="87" t="str">
        <f>IF(ISNUMBER(outYear),FRP37+FRP42+#REF!+FRP59,"")</f>
        <v/>
      </c>
      <c r="FRQ62" s="87" t="str">
        <f>IF(ISNUMBER(outYear),FRQ37+FRQ42+#REF!+FRQ59,"")</f>
        <v/>
      </c>
      <c r="FRR62" s="87" t="str">
        <f>IF(ISNUMBER(outYear),FRR37+FRR42+#REF!+FRR59,"")</f>
        <v/>
      </c>
      <c r="FRS62" s="87" t="str">
        <f>IF(ISNUMBER(outYear),FRS37+FRS42+#REF!+FRS59,"")</f>
        <v/>
      </c>
      <c r="FRT62" s="87" t="str">
        <f>IF(ISNUMBER(outYear),FRT37+FRT42+#REF!+FRT59,"")</f>
        <v/>
      </c>
      <c r="FRU62" s="87" t="str">
        <f>IF(ISNUMBER(outYear),FRU37+FRU42+#REF!+FRU59,"")</f>
        <v/>
      </c>
      <c r="FRV62" s="87" t="str">
        <f>IF(ISNUMBER(outYear),FRV37+FRV42+#REF!+FRV59,"")</f>
        <v/>
      </c>
      <c r="FRW62" s="87" t="str">
        <f>IF(ISNUMBER(outYear),FRW37+FRW42+#REF!+FRW59,"")</f>
        <v/>
      </c>
      <c r="FRX62" s="87" t="str">
        <f>IF(ISNUMBER(outYear),FRX37+FRX42+#REF!+FRX59,"")</f>
        <v/>
      </c>
      <c r="FRY62" s="87" t="str">
        <f>IF(ISNUMBER(outYear),FRY37+FRY42+#REF!+FRY59,"")</f>
        <v/>
      </c>
      <c r="FRZ62" s="87" t="str">
        <f>IF(ISNUMBER(outYear),FRZ37+FRZ42+#REF!+FRZ59,"")</f>
        <v/>
      </c>
      <c r="FSA62" s="87" t="str">
        <f>IF(ISNUMBER(outYear),FSA37+FSA42+#REF!+FSA59,"")</f>
        <v/>
      </c>
      <c r="FSB62" s="87" t="str">
        <f>IF(ISNUMBER(outYear),FSB37+FSB42+#REF!+FSB59,"")</f>
        <v/>
      </c>
      <c r="FSC62" s="87" t="str">
        <f>IF(ISNUMBER(outYear),FSC37+FSC42+#REF!+FSC59,"")</f>
        <v/>
      </c>
      <c r="FSD62" s="87" t="str">
        <f>IF(ISNUMBER(outYear),FSD37+FSD42+#REF!+FSD59,"")</f>
        <v/>
      </c>
      <c r="FSE62" s="87" t="str">
        <f>IF(ISNUMBER(outYear),FSE37+FSE42+#REF!+FSE59,"")</f>
        <v/>
      </c>
      <c r="FSF62" s="87" t="str">
        <f>IF(ISNUMBER(outYear),FSF37+FSF42+#REF!+FSF59,"")</f>
        <v/>
      </c>
      <c r="FSG62" s="87" t="str">
        <f>IF(ISNUMBER(outYear),FSG37+FSG42+#REF!+FSG59,"")</f>
        <v/>
      </c>
      <c r="FSH62" s="87" t="str">
        <f>IF(ISNUMBER(outYear),FSH37+FSH42+#REF!+FSH59,"")</f>
        <v/>
      </c>
      <c r="FSI62" s="87" t="str">
        <f>IF(ISNUMBER(outYear),FSI37+FSI42+#REF!+FSI59,"")</f>
        <v/>
      </c>
      <c r="FSJ62" s="87" t="str">
        <f>IF(ISNUMBER(outYear),FSJ37+FSJ42+#REF!+FSJ59,"")</f>
        <v/>
      </c>
      <c r="FSK62" s="87" t="str">
        <f>IF(ISNUMBER(outYear),FSK37+FSK42+#REF!+FSK59,"")</f>
        <v/>
      </c>
      <c r="FSL62" s="87" t="str">
        <f>IF(ISNUMBER(outYear),FSL37+FSL42+#REF!+FSL59,"")</f>
        <v/>
      </c>
      <c r="FSM62" s="87" t="str">
        <f>IF(ISNUMBER(outYear),FSM37+FSM42+#REF!+FSM59,"")</f>
        <v/>
      </c>
      <c r="FSN62" s="87" t="str">
        <f>IF(ISNUMBER(outYear),FSN37+FSN42+#REF!+FSN59,"")</f>
        <v/>
      </c>
      <c r="FSO62" s="87" t="str">
        <f>IF(ISNUMBER(outYear),FSO37+FSO42+#REF!+FSO59,"")</f>
        <v/>
      </c>
      <c r="FSP62" s="87" t="str">
        <f>IF(ISNUMBER(outYear),FSP37+FSP42+#REF!+FSP59,"")</f>
        <v/>
      </c>
      <c r="FSQ62" s="87" t="str">
        <f>IF(ISNUMBER(outYear),FSQ37+FSQ42+#REF!+FSQ59,"")</f>
        <v/>
      </c>
      <c r="FSR62" s="87" t="str">
        <f>IF(ISNUMBER(outYear),FSR37+FSR42+#REF!+FSR59,"")</f>
        <v/>
      </c>
      <c r="FSS62" s="87" t="str">
        <f>IF(ISNUMBER(outYear),FSS37+FSS42+#REF!+FSS59,"")</f>
        <v/>
      </c>
      <c r="FST62" s="87" t="str">
        <f>IF(ISNUMBER(outYear),FST37+FST42+#REF!+FST59,"")</f>
        <v/>
      </c>
      <c r="FSU62" s="87" t="str">
        <f>IF(ISNUMBER(outYear),FSU37+FSU42+#REF!+FSU59,"")</f>
        <v/>
      </c>
      <c r="FSV62" s="87" t="str">
        <f>IF(ISNUMBER(outYear),FSV37+FSV42+#REF!+FSV59,"")</f>
        <v/>
      </c>
      <c r="FSW62" s="87" t="str">
        <f>IF(ISNUMBER(outYear),FSW37+FSW42+#REF!+FSW59,"")</f>
        <v/>
      </c>
      <c r="FSX62" s="87" t="str">
        <f>IF(ISNUMBER(outYear),FSX37+FSX42+#REF!+FSX59,"")</f>
        <v/>
      </c>
      <c r="FSY62" s="87" t="str">
        <f>IF(ISNUMBER(outYear),FSY37+FSY42+#REF!+FSY59,"")</f>
        <v/>
      </c>
      <c r="FSZ62" s="87" t="str">
        <f>IF(ISNUMBER(outYear),FSZ37+FSZ42+#REF!+FSZ59,"")</f>
        <v/>
      </c>
      <c r="FTA62" s="87" t="str">
        <f>IF(ISNUMBER(outYear),FTA37+FTA42+#REF!+FTA59,"")</f>
        <v/>
      </c>
      <c r="FTB62" s="87" t="str">
        <f>IF(ISNUMBER(outYear),FTB37+FTB42+#REF!+FTB59,"")</f>
        <v/>
      </c>
      <c r="FTC62" s="87" t="str">
        <f>IF(ISNUMBER(outYear),FTC37+FTC42+#REF!+FTC59,"")</f>
        <v/>
      </c>
      <c r="FTD62" s="87" t="str">
        <f>IF(ISNUMBER(outYear),FTD37+FTD42+#REF!+FTD59,"")</f>
        <v/>
      </c>
      <c r="FTE62" s="87" t="str">
        <f>IF(ISNUMBER(outYear),FTE37+FTE42+#REF!+FTE59,"")</f>
        <v/>
      </c>
      <c r="FTF62" s="87" t="str">
        <f>IF(ISNUMBER(outYear),FTF37+FTF42+#REF!+FTF59,"")</f>
        <v/>
      </c>
      <c r="FTG62" s="87" t="str">
        <f>IF(ISNUMBER(outYear),FTG37+FTG42+#REF!+FTG59,"")</f>
        <v/>
      </c>
      <c r="FTH62" s="87" t="str">
        <f>IF(ISNUMBER(outYear),FTH37+FTH42+#REF!+FTH59,"")</f>
        <v/>
      </c>
      <c r="FTI62" s="87" t="str">
        <f>IF(ISNUMBER(outYear),FTI37+FTI42+#REF!+FTI59,"")</f>
        <v/>
      </c>
      <c r="FTJ62" s="87" t="str">
        <f>IF(ISNUMBER(outYear),FTJ37+FTJ42+#REF!+FTJ59,"")</f>
        <v/>
      </c>
      <c r="FTK62" s="87" t="str">
        <f>IF(ISNUMBER(outYear),FTK37+FTK42+#REF!+FTK59,"")</f>
        <v/>
      </c>
      <c r="FTL62" s="87" t="str">
        <f>IF(ISNUMBER(outYear),FTL37+FTL42+#REF!+FTL59,"")</f>
        <v/>
      </c>
      <c r="FTM62" s="87" t="str">
        <f>IF(ISNUMBER(outYear),FTM37+FTM42+#REF!+FTM59,"")</f>
        <v/>
      </c>
      <c r="FTN62" s="87" t="str">
        <f>IF(ISNUMBER(outYear),FTN37+FTN42+#REF!+FTN59,"")</f>
        <v/>
      </c>
      <c r="FTO62" s="87" t="str">
        <f>IF(ISNUMBER(outYear),FTO37+FTO42+#REF!+FTO59,"")</f>
        <v/>
      </c>
      <c r="FTP62" s="87" t="str">
        <f>IF(ISNUMBER(outYear),FTP37+FTP42+#REF!+FTP59,"")</f>
        <v/>
      </c>
      <c r="FTQ62" s="87" t="str">
        <f>IF(ISNUMBER(outYear),FTQ37+FTQ42+#REF!+FTQ59,"")</f>
        <v/>
      </c>
      <c r="FTR62" s="87" t="str">
        <f>IF(ISNUMBER(outYear),FTR37+FTR42+#REF!+FTR59,"")</f>
        <v/>
      </c>
      <c r="FTS62" s="87" t="str">
        <f>IF(ISNUMBER(outYear),FTS37+FTS42+#REF!+FTS59,"")</f>
        <v/>
      </c>
      <c r="FTT62" s="87" t="str">
        <f>IF(ISNUMBER(outYear),FTT37+FTT42+#REF!+FTT59,"")</f>
        <v/>
      </c>
      <c r="FTU62" s="87" t="str">
        <f>IF(ISNUMBER(outYear),FTU37+FTU42+#REF!+FTU59,"")</f>
        <v/>
      </c>
      <c r="FTV62" s="87" t="str">
        <f>IF(ISNUMBER(outYear),FTV37+FTV42+#REF!+FTV59,"")</f>
        <v/>
      </c>
      <c r="FTW62" s="87" t="str">
        <f>IF(ISNUMBER(outYear),FTW37+FTW42+#REF!+FTW59,"")</f>
        <v/>
      </c>
      <c r="FTX62" s="87" t="str">
        <f>IF(ISNUMBER(outYear),FTX37+FTX42+#REF!+FTX59,"")</f>
        <v/>
      </c>
      <c r="FTY62" s="87" t="str">
        <f>IF(ISNUMBER(outYear),FTY37+FTY42+#REF!+FTY59,"")</f>
        <v/>
      </c>
      <c r="FTZ62" s="87" t="str">
        <f>IF(ISNUMBER(outYear),FTZ37+FTZ42+#REF!+FTZ59,"")</f>
        <v/>
      </c>
      <c r="FUA62" s="87" t="str">
        <f>IF(ISNUMBER(outYear),FUA37+FUA42+#REF!+FUA59,"")</f>
        <v/>
      </c>
      <c r="FUB62" s="87" t="str">
        <f>IF(ISNUMBER(outYear),FUB37+FUB42+#REF!+FUB59,"")</f>
        <v/>
      </c>
      <c r="FUC62" s="87" t="str">
        <f>IF(ISNUMBER(outYear),FUC37+FUC42+#REF!+FUC59,"")</f>
        <v/>
      </c>
      <c r="FUD62" s="87" t="str">
        <f>IF(ISNUMBER(outYear),FUD37+FUD42+#REF!+FUD59,"")</f>
        <v/>
      </c>
      <c r="FUE62" s="87" t="str">
        <f>IF(ISNUMBER(outYear),FUE37+FUE42+#REF!+FUE59,"")</f>
        <v/>
      </c>
      <c r="FUF62" s="87" t="str">
        <f>IF(ISNUMBER(outYear),FUF37+FUF42+#REF!+FUF59,"")</f>
        <v/>
      </c>
      <c r="FUG62" s="87" t="str">
        <f>IF(ISNUMBER(outYear),FUG37+FUG42+#REF!+FUG59,"")</f>
        <v/>
      </c>
      <c r="FUH62" s="87" t="str">
        <f>IF(ISNUMBER(outYear),FUH37+FUH42+#REF!+FUH59,"")</f>
        <v/>
      </c>
      <c r="FUI62" s="87" t="str">
        <f>IF(ISNUMBER(outYear),FUI37+FUI42+#REF!+FUI59,"")</f>
        <v/>
      </c>
      <c r="FUJ62" s="87" t="str">
        <f>IF(ISNUMBER(outYear),FUJ37+FUJ42+#REF!+FUJ59,"")</f>
        <v/>
      </c>
      <c r="FUK62" s="87" t="str">
        <f>IF(ISNUMBER(outYear),FUK37+FUK42+#REF!+FUK59,"")</f>
        <v/>
      </c>
      <c r="FUL62" s="87" t="str">
        <f>IF(ISNUMBER(outYear),FUL37+FUL42+#REF!+FUL59,"")</f>
        <v/>
      </c>
      <c r="FUM62" s="87" t="str">
        <f>IF(ISNUMBER(outYear),FUM37+FUM42+#REF!+FUM59,"")</f>
        <v/>
      </c>
      <c r="FUN62" s="87" t="str">
        <f>IF(ISNUMBER(outYear),FUN37+FUN42+#REF!+FUN59,"")</f>
        <v/>
      </c>
      <c r="FUO62" s="87" t="str">
        <f>IF(ISNUMBER(outYear),FUO37+FUO42+#REF!+FUO59,"")</f>
        <v/>
      </c>
      <c r="FUP62" s="87" t="str">
        <f>IF(ISNUMBER(outYear),FUP37+FUP42+#REF!+FUP59,"")</f>
        <v/>
      </c>
      <c r="FUQ62" s="87" t="str">
        <f>IF(ISNUMBER(outYear),FUQ37+FUQ42+#REF!+FUQ59,"")</f>
        <v/>
      </c>
      <c r="FUR62" s="87" t="str">
        <f>IF(ISNUMBER(outYear),FUR37+FUR42+#REF!+FUR59,"")</f>
        <v/>
      </c>
      <c r="FUS62" s="87" t="str">
        <f>IF(ISNUMBER(outYear),FUS37+FUS42+#REF!+FUS59,"")</f>
        <v/>
      </c>
      <c r="FUT62" s="87" t="str">
        <f>IF(ISNUMBER(outYear),FUT37+FUT42+#REF!+FUT59,"")</f>
        <v/>
      </c>
      <c r="FUU62" s="87" t="str">
        <f>IF(ISNUMBER(outYear),FUU37+FUU42+#REF!+FUU59,"")</f>
        <v/>
      </c>
      <c r="FUV62" s="87" t="str">
        <f>IF(ISNUMBER(outYear),FUV37+FUV42+#REF!+FUV59,"")</f>
        <v/>
      </c>
      <c r="FUW62" s="87" t="str">
        <f>IF(ISNUMBER(outYear),FUW37+FUW42+#REF!+FUW59,"")</f>
        <v/>
      </c>
      <c r="FUX62" s="87" t="str">
        <f>IF(ISNUMBER(outYear),FUX37+FUX42+#REF!+FUX59,"")</f>
        <v/>
      </c>
      <c r="FUY62" s="87" t="str">
        <f>IF(ISNUMBER(outYear),FUY37+FUY42+#REF!+FUY59,"")</f>
        <v/>
      </c>
      <c r="FUZ62" s="87" t="str">
        <f>IF(ISNUMBER(outYear),FUZ37+FUZ42+#REF!+FUZ59,"")</f>
        <v/>
      </c>
      <c r="FVA62" s="87" t="str">
        <f>IF(ISNUMBER(outYear),FVA37+FVA42+#REF!+FVA59,"")</f>
        <v/>
      </c>
      <c r="FVB62" s="87" t="str">
        <f>IF(ISNUMBER(outYear),FVB37+FVB42+#REF!+FVB59,"")</f>
        <v/>
      </c>
      <c r="FVC62" s="87" t="str">
        <f>IF(ISNUMBER(outYear),FVC37+FVC42+#REF!+FVC59,"")</f>
        <v/>
      </c>
      <c r="FVD62" s="87" t="str">
        <f>IF(ISNUMBER(outYear),FVD37+FVD42+#REF!+FVD59,"")</f>
        <v/>
      </c>
      <c r="FVE62" s="87" t="str">
        <f>IF(ISNUMBER(outYear),FVE37+FVE42+#REF!+FVE59,"")</f>
        <v/>
      </c>
      <c r="FVF62" s="87" t="str">
        <f>IF(ISNUMBER(outYear),FVF37+FVF42+#REF!+FVF59,"")</f>
        <v/>
      </c>
      <c r="FVG62" s="87" t="str">
        <f>IF(ISNUMBER(outYear),FVG37+FVG42+#REF!+FVG59,"")</f>
        <v/>
      </c>
      <c r="FVH62" s="87" t="str">
        <f>IF(ISNUMBER(outYear),FVH37+FVH42+#REF!+FVH59,"")</f>
        <v/>
      </c>
      <c r="FVI62" s="87" t="str">
        <f>IF(ISNUMBER(outYear),FVI37+FVI42+#REF!+FVI59,"")</f>
        <v/>
      </c>
      <c r="FVJ62" s="87" t="str">
        <f>IF(ISNUMBER(outYear),FVJ37+FVJ42+#REF!+FVJ59,"")</f>
        <v/>
      </c>
      <c r="FVK62" s="87" t="str">
        <f>IF(ISNUMBER(outYear),FVK37+FVK42+#REF!+FVK59,"")</f>
        <v/>
      </c>
      <c r="FVL62" s="87" t="str">
        <f>IF(ISNUMBER(outYear),FVL37+FVL42+#REF!+FVL59,"")</f>
        <v/>
      </c>
      <c r="FVM62" s="87" t="str">
        <f>IF(ISNUMBER(outYear),FVM37+FVM42+#REF!+FVM59,"")</f>
        <v/>
      </c>
      <c r="FVN62" s="87" t="str">
        <f>IF(ISNUMBER(outYear),FVN37+FVN42+#REF!+FVN59,"")</f>
        <v/>
      </c>
      <c r="FVO62" s="87" t="str">
        <f>IF(ISNUMBER(outYear),FVO37+FVO42+#REF!+FVO59,"")</f>
        <v/>
      </c>
      <c r="FVP62" s="87" t="str">
        <f>IF(ISNUMBER(outYear),FVP37+FVP42+#REF!+FVP59,"")</f>
        <v/>
      </c>
      <c r="FVQ62" s="87" t="str">
        <f>IF(ISNUMBER(outYear),FVQ37+FVQ42+#REF!+FVQ59,"")</f>
        <v/>
      </c>
      <c r="FVR62" s="87" t="str">
        <f>IF(ISNUMBER(outYear),FVR37+FVR42+#REF!+FVR59,"")</f>
        <v/>
      </c>
      <c r="FVS62" s="87" t="str">
        <f>IF(ISNUMBER(outYear),FVS37+FVS42+#REF!+FVS59,"")</f>
        <v/>
      </c>
      <c r="FVT62" s="87" t="str">
        <f>IF(ISNUMBER(outYear),FVT37+FVT42+#REF!+FVT59,"")</f>
        <v/>
      </c>
      <c r="FVU62" s="87" t="str">
        <f>IF(ISNUMBER(outYear),FVU37+FVU42+#REF!+FVU59,"")</f>
        <v/>
      </c>
      <c r="FVV62" s="87" t="str">
        <f>IF(ISNUMBER(outYear),FVV37+FVV42+#REF!+FVV59,"")</f>
        <v/>
      </c>
      <c r="FVW62" s="87" t="str">
        <f>IF(ISNUMBER(outYear),FVW37+FVW42+#REF!+FVW59,"")</f>
        <v/>
      </c>
      <c r="FVX62" s="87" t="str">
        <f>IF(ISNUMBER(outYear),FVX37+FVX42+#REF!+FVX59,"")</f>
        <v/>
      </c>
      <c r="FVY62" s="87" t="str">
        <f>IF(ISNUMBER(outYear),FVY37+FVY42+#REF!+FVY59,"")</f>
        <v/>
      </c>
      <c r="FVZ62" s="87" t="str">
        <f>IF(ISNUMBER(outYear),FVZ37+FVZ42+#REF!+FVZ59,"")</f>
        <v/>
      </c>
      <c r="FWA62" s="87" t="str">
        <f>IF(ISNUMBER(outYear),FWA37+FWA42+#REF!+FWA59,"")</f>
        <v/>
      </c>
      <c r="FWB62" s="87" t="str">
        <f>IF(ISNUMBER(outYear),FWB37+FWB42+#REF!+FWB59,"")</f>
        <v/>
      </c>
      <c r="FWC62" s="87" t="str">
        <f>IF(ISNUMBER(outYear),FWC37+FWC42+#REF!+FWC59,"")</f>
        <v/>
      </c>
      <c r="FWD62" s="87" t="str">
        <f>IF(ISNUMBER(outYear),FWD37+FWD42+#REF!+FWD59,"")</f>
        <v/>
      </c>
      <c r="FWE62" s="87" t="str">
        <f>IF(ISNUMBER(outYear),FWE37+FWE42+#REF!+FWE59,"")</f>
        <v/>
      </c>
      <c r="FWF62" s="87" t="str">
        <f>IF(ISNUMBER(outYear),FWF37+FWF42+#REF!+FWF59,"")</f>
        <v/>
      </c>
      <c r="FWG62" s="87" t="str">
        <f>IF(ISNUMBER(outYear),FWG37+FWG42+#REF!+FWG59,"")</f>
        <v/>
      </c>
      <c r="FWH62" s="87" t="str">
        <f>IF(ISNUMBER(outYear),FWH37+FWH42+#REF!+FWH59,"")</f>
        <v/>
      </c>
      <c r="FWI62" s="87" t="str">
        <f>IF(ISNUMBER(outYear),FWI37+FWI42+#REF!+FWI59,"")</f>
        <v/>
      </c>
      <c r="FWJ62" s="87" t="str">
        <f>IF(ISNUMBER(outYear),FWJ37+FWJ42+#REF!+FWJ59,"")</f>
        <v/>
      </c>
      <c r="FWK62" s="87" t="str">
        <f>IF(ISNUMBER(outYear),FWK37+FWK42+#REF!+FWK59,"")</f>
        <v/>
      </c>
      <c r="FWL62" s="87" t="str">
        <f>IF(ISNUMBER(outYear),FWL37+FWL42+#REF!+FWL59,"")</f>
        <v/>
      </c>
      <c r="FWM62" s="87" t="str">
        <f>IF(ISNUMBER(outYear),FWM37+FWM42+#REF!+FWM59,"")</f>
        <v/>
      </c>
      <c r="FWN62" s="87" t="str">
        <f>IF(ISNUMBER(outYear),FWN37+FWN42+#REF!+FWN59,"")</f>
        <v/>
      </c>
      <c r="FWO62" s="87" t="str">
        <f>IF(ISNUMBER(outYear),FWO37+FWO42+#REF!+FWO59,"")</f>
        <v/>
      </c>
      <c r="FWP62" s="87" t="str">
        <f>IF(ISNUMBER(outYear),FWP37+FWP42+#REF!+FWP59,"")</f>
        <v/>
      </c>
      <c r="FWQ62" s="87" t="str">
        <f>IF(ISNUMBER(outYear),FWQ37+FWQ42+#REF!+FWQ59,"")</f>
        <v/>
      </c>
      <c r="FWR62" s="87" t="str">
        <f>IF(ISNUMBER(outYear),FWR37+FWR42+#REF!+FWR59,"")</f>
        <v/>
      </c>
      <c r="FWS62" s="87" t="str">
        <f>IF(ISNUMBER(outYear),FWS37+FWS42+#REF!+FWS59,"")</f>
        <v/>
      </c>
      <c r="FWT62" s="87" t="str">
        <f>IF(ISNUMBER(outYear),FWT37+FWT42+#REF!+FWT59,"")</f>
        <v/>
      </c>
      <c r="FWU62" s="87" t="str">
        <f>IF(ISNUMBER(outYear),FWU37+FWU42+#REF!+FWU59,"")</f>
        <v/>
      </c>
      <c r="FWV62" s="87" t="str">
        <f>IF(ISNUMBER(outYear),FWV37+FWV42+#REF!+FWV59,"")</f>
        <v/>
      </c>
      <c r="FWW62" s="87" t="str">
        <f>IF(ISNUMBER(outYear),FWW37+FWW42+#REF!+FWW59,"")</f>
        <v/>
      </c>
      <c r="FWX62" s="87" t="str">
        <f>IF(ISNUMBER(outYear),FWX37+FWX42+#REF!+FWX59,"")</f>
        <v/>
      </c>
      <c r="FWY62" s="87" t="str">
        <f>IF(ISNUMBER(outYear),FWY37+FWY42+#REF!+FWY59,"")</f>
        <v/>
      </c>
      <c r="FWZ62" s="87" t="str">
        <f>IF(ISNUMBER(outYear),FWZ37+FWZ42+#REF!+FWZ59,"")</f>
        <v/>
      </c>
      <c r="FXA62" s="87" t="str">
        <f>IF(ISNUMBER(outYear),FXA37+FXA42+#REF!+FXA59,"")</f>
        <v/>
      </c>
      <c r="FXB62" s="87" t="str">
        <f>IF(ISNUMBER(outYear),FXB37+FXB42+#REF!+FXB59,"")</f>
        <v/>
      </c>
      <c r="FXC62" s="87" t="str">
        <f>IF(ISNUMBER(outYear),FXC37+FXC42+#REF!+FXC59,"")</f>
        <v/>
      </c>
      <c r="FXD62" s="87" t="str">
        <f>IF(ISNUMBER(outYear),FXD37+FXD42+#REF!+FXD59,"")</f>
        <v/>
      </c>
      <c r="FXE62" s="87" t="str">
        <f>IF(ISNUMBER(outYear),FXE37+FXE42+#REF!+FXE59,"")</f>
        <v/>
      </c>
      <c r="FXF62" s="87" t="str">
        <f>IF(ISNUMBER(outYear),FXF37+FXF42+#REF!+FXF59,"")</f>
        <v/>
      </c>
      <c r="FXG62" s="87" t="str">
        <f>IF(ISNUMBER(outYear),FXG37+FXG42+#REF!+FXG59,"")</f>
        <v/>
      </c>
      <c r="FXH62" s="87" t="str">
        <f>IF(ISNUMBER(outYear),FXH37+FXH42+#REF!+FXH59,"")</f>
        <v/>
      </c>
      <c r="FXI62" s="87" t="str">
        <f>IF(ISNUMBER(outYear),FXI37+FXI42+#REF!+FXI59,"")</f>
        <v/>
      </c>
      <c r="FXJ62" s="87" t="str">
        <f>IF(ISNUMBER(outYear),FXJ37+FXJ42+#REF!+FXJ59,"")</f>
        <v/>
      </c>
      <c r="FXK62" s="87" t="str">
        <f>IF(ISNUMBER(outYear),FXK37+FXK42+#REF!+FXK59,"")</f>
        <v/>
      </c>
      <c r="FXL62" s="87" t="str">
        <f>IF(ISNUMBER(outYear),FXL37+FXL42+#REF!+FXL59,"")</f>
        <v/>
      </c>
      <c r="FXM62" s="87" t="str">
        <f>IF(ISNUMBER(outYear),FXM37+FXM42+#REF!+FXM59,"")</f>
        <v/>
      </c>
      <c r="FXN62" s="87" t="str">
        <f>IF(ISNUMBER(outYear),FXN37+FXN42+#REF!+FXN59,"")</f>
        <v/>
      </c>
      <c r="FXO62" s="87" t="str">
        <f>IF(ISNUMBER(outYear),FXO37+FXO42+#REF!+FXO59,"")</f>
        <v/>
      </c>
      <c r="FXP62" s="87" t="str">
        <f>IF(ISNUMBER(outYear),FXP37+FXP42+#REF!+FXP59,"")</f>
        <v/>
      </c>
      <c r="FXQ62" s="87" t="str">
        <f>IF(ISNUMBER(outYear),FXQ37+FXQ42+#REF!+FXQ59,"")</f>
        <v/>
      </c>
      <c r="FXR62" s="87" t="str">
        <f>IF(ISNUMBER(outYear),FXR37+FXR42+#REF!+FXR59,"")</f>
        <v/>
      </c>
      <c r="FXS62" s="87" t="str">
        <f>IF(ISNUMBER(outYear),FXS37+FXS42+#REF!+FXS59,"")</f>
        <v/>
      </c>
      <c r="FXT62" s="87" t="str">
        <f>IF(ISNUMBER(outYear),FXT37+FXT42+#REF!+FXT59,"")</f>
        <v/>
      </c>
      <c r="FXU62" s="87" t="str">
        <f>IF(ISNUMBER(outYear),FXU37+FXU42+#REF!+FXU59,"")</f>
        <v/>
      </c>
      <c r="FXV62" s="87" t="str">
        <f>IF(ISNUMBER(outYear),FXV37+FXV42+#REF!+FXV59,"")</f>
        <v/>
      </c>
      <c r="FXW62" s="87" t="str">
        <f>IF(ISNUMBER(outYear),FXW37+FXW42+#REF!+FXW59,"")</f>
        <v/>
      </c>
      <c r="FXX62" s="87" t="str">
        <f>IF(ISNUMBER(outYear),FXX37+FXX42+#REF!+FXX59,"")</f>
        <v/>
      </c>
      <c r="FXY62" s="87" t="str">
        <f>IF(ISNUMBER(outYear),FXY37+FXY42+#REF!+FXY59,"")</f>
        <v/>
      </c>
      <c r="FXZ62" s="87" t="str">
        <f>IF(ISNUMBER(outYear),FXZ37+FXZ42+#REF!+FXZ59,"")</f>
        <v/>
      </c>
      <c r="FYA62" s="87" t="str">
        <f>IF(ISNUMBER(outYear),FYA37+FYA42+#REF!+FYA59,"")</f>
        <v/>
      </c>
      <c r="FYB62" s="87" t="str">
        <f>IF(ISNUMBER(outYear),FYB37+FYB42+#REF!+FYB59,"")</f>
        <v/>
      </c>
      <c r="FYC62" s="87" t="str">
        <f>IF(ISNUMBER(outYear),FYC37+FYC42+#REF!+FYC59,"")</f>
        <v/>
      </c>
      <c r="FYD62" s="87" t="str">
        <f>IF(ISNUMBER(outYear),FYD37+FYD42+#REF!+FYD59,"")</f>
        <v/>
      </c>
      <c r="FYE62" s="87" t="str">
        <f>IF(ISNUMBER(outYear),FYE37+FYE42+#REF!+FYE59,"")</f>
        <v/>
      </c>
      <c r="FYF62" s="87" t="str">
        <f>IF(ISNUMBER(outYear),FYF37+FYF42+#REF!+FYF59,"")</f>
        <v/>
      </c>
      <c r="FYG62" s="87" t="str">
        <f>IF(ISNUMBER(outYear),FYG37+FYG42+#REF!+FYG59,"")</f>
        <v/>
      </c>
      <c r="FYH62" s="87" t="str">
        <f>IF(ISNUMBER(outYear),FYH37+FYH42+#REF!+FYH59,"")</f>
        <v/>
      </c>
      <c r="FYI62" s="87" t="str">
        <f>IF(ISNUMBER(outYear),FYI37+FYI42+#REF!+FYI59,"")</f>
        <v/>
      </c>
      <c r="FYJ62" s="87" t="str">
        <f>IF(ISNUMBER(outYear),FYJ37+FYJ42+#REF!+FYJ59,"")</f>
        <v/>
      </c>
      <c r="FYK62" s="87" t="str">
        <f>IF(ISNUMBER(outYear),FYK37+FYK42+#REF!+FYK59,"")</f>
        <v/>
      </c>
      <c r="FYL62" s="87" t="str">
        <f>IF(ISNUMBER(outYear),FYL37+FYL42+#REF!+FYL59,"")</f>
        <v/>
      </c>
      <c r="FYM62" s="87" t="str">
        <f>IF(ISNUMBER(outYear),FYM37+FYM42+#REF!+FYM59,"")</f>
        <v/>
      </c>
      <c r="FYN62" s="87" t="str">
        <f>IF(ISNUMBER(outYear),FYN37+FYN42+#REF!+FYN59,"")</f>
        <v/>
      </c>
      <c r="FYO62" s="87" t="str">
        <f>IF(ISNUMBER(outYear),FYO37+FYO42+#REF!+FYO59,"")</f>
        <v/>
      </c>
      <c r="FYP62" s="87" t="str">
        <f>IF(ISNUMBER(outYear),FYP37+FYP42+#REF!+FYP59,"")</f>
        <v/>
      </c>
      <c r="FYQ62" s="87" t="str">
        <f>IF(ISNUMBER(outYear),FYQ37+FYQ42+#REF!+FYQ59,"")</f>
        <v/>
      </c>
      <c r="FYR62" s="87" t="str">
        <f>IF(ISNUMBER(outYear),FYR37+FYR42+#REF!+FYR59,"")</f>
        <v/>
      </c>
      <c r="FYS62" s="87" t="str">
        <f>IF(ISNUMBER(outYear),FYS37+FYS42+#REF!+FYS59,"")</f>
        <v/>
      </c>
      <c r="FYT62" s="87" t="str">
        <f>IF(ISNUMBER(outYear),FYT37+FYT42+#REF!+FYT59,"")</f>
        <v/>
      </c>
      <c r="FYU62" s="87" t="str">
        <f>IF(ISNUMBER(outYear),FYU37+FYU42+#REF!+FYU59,"")</f>
        <v/>
      </c>
      <c r="FYV62" s="87" t="str">
        <f>IF(ISNUMBER(outYear),FYV37+FYV42+#REF!+FYV59,"")</f>
        <v/>
      </c>
      <c r="FYW62" s="87" t="str">
        <f>IF(ISNUMBER(outYear),FYW37+FYW42+#REF!+FYW59,"")</f>
        <v/>
      </c>
      <c r="FYX62" s="87" t="str">
        <f>IF(ISNUMBER(outYear),FYX37+FYX42+#REF!+FYX59,"")</f>
        <v/>
      </c>
      <c r="FYY62" s="87" t="str">
        <f>IF(ISNUMBER(outYear),FYY37+FYY42+#REF!+FYY59,"")</f>
        <v/>
      </c>
      <c r="FYZ62" s="87" t="str">
        <f>IF(ISNUMBER(outYear),FYZ37+FYZ42+#REF!+FYZ59,"")</f>
        <v/>
      </c>
      <c r="FZA62" s="87" t="str">
        <f>IF(ISNUMBER(outYear),FZA37+FZA42+#REF!+FZA59,"")</f>
        <v/>
      </c>
      <c r="FZB62" s="87" t="str">
        <f>IF(ISNUMBER(outYear),FZB37+FZB42+#REF!+FZB59,"")</f>
        <v/>
      </c>
      <c r="FZC62" s="87" t="str">
        <f>IF(ISNUMBER(outYear),FZC37+FZC42+#REF!+FZC59,"")</f>
        <v/>
      </c>
      <c r="FZD62" s="87" t="str">
        <f>IF(ISNUMBER(outYear),FZD37+FZD42+#REF!+FZD59,"")</f>
        <v/>
      </c>
      <c r="FZE62" s="87" t="str">
        <f>IF(ISNUMBER(outYear),FZE37+FZE42+#REF!+FZE59,"")</f>
        <v/>
      </c>
      <c r="FZF62" s="87" t="str">
        <f>IF(ISNUMBER(outYear),FZF37+FZF42+#REF!+FZF59,"")</f>
        <v/>
      </c>
      <c r="FZG62" s="87" t="str">
        <f>IF(ISNUMBER(outYear),FZG37+FZG42+#REF!+FZG59,"")</f>
        <v/>
      </c>
      <c r="FZH62" s="87" t="str">
        <f>IF(ISNUMBER(outYear),FZH37+FZH42+#REF!+FZH59,"")</f>
        <v/>
      </c>
      <c r="FZI62" s="87" t="str">
        <f>IF(ISNUMBER(outYear),FZI37+FZI42+#REF!+FZI59,"")</f>
        <v/>
      </c>
      <c r="FZJ62" s="87" t="str">
        <f>IF(ISNUMBER(outYear),FZJ37+FZJ42+#REF!+FZJ59,"")</f>
        <v/>
      </c>
      <c r="FZK62" s="87" t="str">
        <f>IF(ISNUMBER(outYear),FZK37+FZK42+#REF!+FZK59,"")</f>
        <v/>
      </c>
      <c r="FZL62" s="87" t="str">
        <f>IF(ISNUMBER(outYear),FZL37+FZL42+#REF!+FZL59,"")</f>
        <v/>
      </c>
      <c r="FZM62" s="87" t="str">
        <f>IF(ISNUMBER(outYear),FZM37+FZM42+#REF!+FZM59,"")</f>
        <v/>
      </c>
      <c r="FZN62" s="87" t="str">
        <f>IF(ISNUMBER(outYear),FZN37+FZN42+#REF!+FZN59,"")</f>
        <v/>
      </c>
      <c r="FZO62" s="87" t="str">
        <f>IF(ISNUMBER(outYear),FZO37+FZO42+#REF!+FZO59,"")</f>
        <v/>
      </c>
      <c r="FZP62" s="87" t="str">
        <f>IF(ISNUMBER(outYear),FZP37+FZP42+#REF!+FZP59,"")</f>
        <v/>
      </c>
      <c r="FZQ62" s="87" t="str">
        <f>IF(ISNUMBER(outYear),FZQ37+FZQ42+#REF!+FZQ59,"")</f>
        <v/>
      </c>
      <c r="FZR62" s="87" t="str">
        <f>IF(ISNUMBER(outYear),FZR37+FZR42+#REF!+FZR59,"")</f>
        <v/>
      </c>
      <c r="FZS62" s="87" t="str">
        <f>IF(ISNUMBER(outYear),FZS37+FZS42+#REF!+FZS59,"")</f>
        <v/>
      </c>
      <c r="FZT62" s="87" t="str">
        <f>IF(ISNUMBER(outYear),FZT37+FZT42+#REF!+FZT59,"")</f>
        <v/>
      </c>
      <c r="FZU62" s="87" t="str">
        <f>IF(ISNUMBER(outYear),FZU37+FZU42+#REF!+FZU59,"")</f>
        <v/>
      </c>
      <c r="FZV62" s="87" t="str">
        <f>IF(ISNUMBER(outYear),FZV37+FZV42+#REF!+FZV59,"")</f>
        <v/>
      </c>
      <c r="FZW62" s="87" t="str">
        <f>IF(ISNUMBER(outYear),FZW37+FZW42+#REF!+FZW59,"")</f>
        <v/>
      </c>
      <c r="FZX62" s="87" t="str">
        <f>IF(ISNUMBER(outYear),FZX37+FZX42+#REF!+FZX59,"")</f>
        <v/>
      </c>
      <c r="FZY62" s="87" t="str">
        <f>IF(ISNUMBER(outYear),FZY37+FZY42+#REF!+FZY59,"")</f>
        <v/>
      </c>
      <c r="FZZ62" s="87" t="str">
        <f>IF(ISNUMBER(outYear),FZZ37+FZZ42+#REF!+FZZ59,"")</f>
        <v/>
      </c>
      <c r="GAA62" s="87" t="str">
        <f>IF(ISNUMBER(outYear),GAA37+GAA42+#REF!+GAA59,"")</f>
        <v/>
      </c>
      <c r="GAB62" s="87" t="str">
        <f>IF(ISNUMBER(outYear),GAB37+GAB42+#REF!+GAB59,"")</f>
        <v/>
      </c>
      <c r="GAC62" s="87" t="str">
        <f>IF(ISNUMBER(outYear),GAC37+GAC42+#REF!+GAC59,"")</f>
        <v/>
      </c>
      <c r="GAD62" s="87" t="str">
        <f>IF(ISNUMBER(outYear),GAD37+GAD42+#REF!+GAD59,"")</f>
        <v/>
      </c>
      <c r="GAE62" s="87" t="str">
        <f>IF(ISNUMBER(outYear),GAE37+GAE42+#REF!+GAE59,"")</f>
        <v/>
      </c>
      <c r="GAF62" s="87" t="str">
        <f>IF(ISNUMBER(outYear),GAF37+GAF42+#REF!+GAF59,"")</f>
        <v/>
      </c>
      <c r="GAG62" s="87" t="str">
        <f>IF(ISNUMBER(outYear),GAG37+GAG42+#REF!+GAG59,"")</f>
        <v/>
      </c>
      <c r="GAH62" s="87" t="str">
        <f>IF(ISNUMBER(outYear),GAH37+GAH42+#REF!+GAH59,"")</f>
        <v/>
      </c>
      <c r="GAI62" s="87" t="str">
        <f>IF(ISNUMBER(outYear),GAI37+GAI42+#REF!+GAI59,"")</f>
        <v/>
      </c>
      <c r="GAJ62" s="87" t="str">
        <f>IF(ISNUMBER(outYear),GAJ37+GAJ42+#REF!+GAJ59,"")</f>
        <v/>
      </c>
      <c r="GAK62" s="87" t="str">
        <f>IF(ISNUMBER(outYear),GAK37+GAK42+#REF!+GAK59,"")</f>
        <v/>
      </c>
      <c r="GAL62" s="87" t="str">
        <f>IF(ISNUMBER(outYear),GAL37+GAL42+#REF!+GAL59,"")</f>
        <v/>
      </c>
      <c r="GAM62" s="87" t="str">
        <f>IF(ISNUMBER(outYear),GAM37+GAM42+#REF!+GAM59,"")</f>
        <v/>
      </c>
      <c r="GAN62" s="87" t="str">
        <f>IF(ISNUMBER(outYear),GAN37+GAN42+#REF!+GAN59,"")</f>
        <v/>
      </c>
      <c r="GAO62" s="87" t="str">
        <f>IF(ISNUMBER(outYear),GAO37+GAO42+#REF!+GAO59,"")</f>
        <v/>
      </c>
      <c r="GAP62" s="87" t="str">
        <f>IF(ISNUMBER(outYear),GAP37+GAP42+#REF!+GAP59,"")</f>
        <v/>
      </c>
      <c r="GAQ62" s="87" t="str">
        <f>IF(ISNUMBER(outYear),GAQ37+GAQ42+#REF!+GAQ59,"")</f>
        <v/>
      </c>
      <c r="GAR62" s="87" t="str">
        <f>IF(ISNUMBER(outYear),GAR37+GAR42+#REF!+GAR59,"")</f>
        <v/>
      </c>
      <c r="GAS62" s="87" t="str">
        <f>IF(ISNUMBER(outYear),GAS37+GAS42+#REF!+GAS59,"")</f>
        <v/>
      </c>
      <c r="GAT62" s="87" t="str">
        <f>IF(ISNUMBER(outYear),GAT37+GAT42+#REF!+GAT59,"")</f>
        <v/>
      </c>
      <c r="GAU62" s="87" t="str">
        <f>IF(ISNUMBER(outYear),GAU37+GAU42+#REF!+GAU59,"")</f>
        <v/>
      </c>
      <c r="GAV62" s="87" t="str">
        <f>IF(ISNUMBER(outYear),GAV37+GAV42+#REF!+GAV59,"")</f>
        <v/>
      </c>
      <c r="GAW62" s="87" t="str">
        <f>IF(ISNUMBER(outYear),GAW37+GAW42+#REF!+GAW59,"")</f>
        <v/>
      </c>
      <c r="GAX62" s="87" t="str">
        <f>IF(ISNUMBER(outYear),GAX37+GAX42+#REF!+GAX59,"")</f>
        <v/>
      </c>
      <c r="GAY62" s="87" t="str">
        <f>IF(ISNUMBER(outYear),GAY37+GAY42+#REF!+GAY59,"")</f>
        <v/>
      </c>
      <c r="GAZ62" s="87" t="str">
        <f>IF(ISNUMBER(outYear),GAZ37+GAZ42+#REF!+GAZ59,"")</f>
        <v/>
      </c>
      <c r="GBA62" s="87" t="str">
        <f>IF(ISNUMBER(outYear),GBA37+GBA42+#REF!+GBA59,"")</f>
        <v/>
      </c>
      <c r="GBB62" s="87" t="str">
        <f>IF(ISNUMBER(outYear),GBB37+GBB42+#REF!+GBB59,"")</f>
        <v/>
      </c>
      <c r="GBC62" s="87" t="str">
        <f>IF(ISNUMBER(outYear),GBC37+GBC42+#REF!+GBC59,"")</f>
        <v/>
      </c>
      <c r="GBD62" s="87" t="str">
        <f>IF(ISNUMBER(outYear),GBD37+GBD42+#REF!+GBD59,"")</f>
        <v/>
      </c>
      <c r="GBE62" s="87" t="str">
        <f>IF(ISNUMBER(outYear),GBE37+GBE42+#REF!+GBE59,"")</f>
        <v/>
      </c>
      <c r="GBF62" s="87" t="str">
        <f>IF(ISNUMBER(outYear),GBF37+GBF42+#REF!+GBF59,"")</f>
        <v/>
      </c>
      <c r="GBG62" s="87" t="str">
        <f>IF(ISNUMBER(outYear),GBG37+GBG42+#REF!+GBG59,"")</f>
        <v/>
      </c>
      <c r="GBH62" s="87" t="str">
        <f>IF(ISNUMBER(outYear),GBH37+GBH42+#REF!+GBH59,"")</f>
        <v/>
      </c>
      <c r="GBI62" s="87" t="str">
        <f>IF(ISNUMBER(outYear),GBI37+GBI42+#REF!+GBI59,"")</f>
        <v/>
      </c>
      <c r="GBJ62" s="87" t="str">
        <f>IF(ISNUMBER(outYear),GBJ37+GBJ42+#REF!+GBJ59,"")</f>
        <v/>
      </c>
      <c r="GBK62" s="87" t="str">
        <f>IF(ISNUMBER(outYear),GBK37+GBK42+#REF!+GBK59,"")</f>
        <v/>
      </c>
      <c r="GBL62" s="87" t="str">
        <f>IF(ISNUMBER(outYear),GBL37+GBL42+#REF!+GBL59,"")</f>
        <v/>
      </c>
      <c r="GBM62" s="87" t="str">
        <f>IF(ISNUMBER(outYear),GBM37+GBM42+#REF!+GBM59,"")</f>
        <v/>
      </c>
      <c r="GBN62" s="87" t="str">
        <f>IF(ISNUMBER(outYear),GBN37+GBN42+#REF!+GBN59,"")</f>
        <v/>
      </c>
      <c r="GBO62" s="87" t="str">
        <f>IF(ISNUMBER(outYear),GBO37+GBO42+#REF!+GBO59,"")</f>
        <v/>
      </c>
      <c r="GBP62" s="87" t="str">
        <f>IF(ISNUMBER(outYear),GBP37+GBP42+#REF!+GBP59,"")</f>
        <v/>
      </c>
      <c r="GBQ62" s="87" t="str">
        <f>IF(ISNUMBER(outYear),GBQ37+GBQ42+#REF!+GBQ59,"")</f>
        <v/>
      </c>
      <c r="GBR62" s="87" t="str">
        <f>IF(ISNUMBER(outYear),GBR37+GBR42+#REF!+GBR59,"")</f>
        <v/>
      </c>
      <c r="GBS62" s="87" t="str">
        <f>IF(ISNUMBER(outYear),GBS37+GBS42+#REF!+GBS59,"")</f>
        <v/>
      </c>
      <c r="GBT62" s="87" t="str">
        <f>IF(ISNUMBER(outYear),GBT37+GBT42+#REF!+GBT59,"")</f>
        <v/>
      </c>
      <c r="GBU62" s="87" t="str">
        <f>IF(ISNUMBER(outYear),GBU37+GBU42+#REF!+GBU59,"")</f>
        <v/>
      </c>
      <c r="GBV62" s="87" t="str">
        <f>IF(ISNUMBER(outYear),GBV37+GBV42+#REF!+GBV59,"")</f>
        <v/>
      </c>
      <c r="GBW62" s="87" t="str">
        <f>IF(ISNUMBER(outYear),GBW37+GBW42+#REF!+GBW59,"")</f>
        <v/>
      </c>
      <c r="GBX62" s="87" t="str">
        <f>IF(ISNUMBER(outYear),GBX37+GBX42+#REF!+GBX59,"")</f>
        <v/>
      </c>
      <c r="GBY62" s="87" t="str">
        <f>IF(ISNUMBER(outYear),GBY37+GBY42+#REF!+GBY59,"")</f>
        <v/>
      </c>
      <c r="GBZ62" s="87" t="str">
        <f>IF(ISNUMBER(outYear),GBZ37+GBZ42+#REF!+GBZ59,"")</f>
        <v/>
      </c>
      <c r="GCA62" s="87" t="str">
        <f>IF(ISNUMBER(outYear),GCA37+GCA42+#REF!+GCA59,"")</f>
        <v/>
      </c>
      <c r="GCB62" s="87" t="str">
        <f>IF(ISNUMBER(outYear),GCB37+GCB42+#REF!+GCB59,"")</f>
        <v/>
      </c>
      <c r="GCC62" s="87" t="str">
        <f>IF(ISNUMBER(outYear),GCC37+GCC42+#REF!+GCC59,"")</f>
        <v/>
      </c>
      <c r="GCD62" s="87" t="str">
        <f>IF(ISNUMBER(outYear),GCD37+GCD42+#REF!+GCD59,"")</f>
        <v/>
      </c>
      <c r="GCE62" s="87" t="str">
        <f>IF(ISNUMBER(outYear),GCE37+GCE42+#REF!+GCE59,"")</f>
        <v/>
      </c>
      <c r="GCF62" s="87" t="str">
        <f>IF(ISNUMBER(outYear),GCF37+GCF42+#REF!+GCF59,"")</f>
        <v/>
      </c>
      <c r="GCG62" s="87" t="str">
        <f>IF(ISNUMBER(outYear),GCG37+GCG42+#REF!+GCG59,"")</f>
        <v/>
      </c>
      <c r="GCH62" s="87" t="str">
        <f>IF(ISNUMBER(outYear),GCH37+GCH42+#REF!+GCH59,"")</f>
        <v/>
      </c>
      <c r="GCI62" s="87" t="str">
        <f>IF(ISNUMBER(outYear),GCI37+GCI42+#REF!+GCI59,"")</f>
        <v/>
      </c>
      <c r="GCJ62" s="87" t="str">
        <f>IF(ISNUMBER(outYear),GCJ37+GCJ42+#REF!+GCJ59,"")</f>
        <v/>
      </c>
      <c r="GCK62" s="87" t="str">
        <f>IF(ISNUMBER(outYear),GCK37+GCK42+#REF!+GCK59,"")</f>
        <v/>
      </c>
      <c r="GCL62" s="87" t="str">
        <f>IF(ISNUMBER(outYear),GCL37+GCL42+#REF!+GCL59,"")</f>
        <v/>
      </c>
      <c r="GCM62" s="87" t="str">
        <f>IF(ISNUMBER(outYear),GCM37+GCM42+#REF!+GCM59,"")</f>
        <v/>
      </c>
      <c r="GCN62" s="87" t="str">
        <f>IF(ISNUMBER(outYear),GCN37+GCN42+#REF!+GCN59,"")</f>
        <v/>
      </c>
      <c r="GCO62" s="87" t="str">
        <f>IF(ISNUMBER(outYear),GCO37+GCO42+#REF!+GCO59,"")</f>
        <v/>
      </c>
      <c r="GCP62" s="87" t="str">
        <f>IF(ISNUMBER(outYear),GCP37+GCP42+#REF!+GCP59,"")</f>
        <v/>
      </c>
      <c r="GCQ62" s="87" t="str">
        <f>IF(ISNUMBER(outYear),GCQ37+GCQ42+#REF!+GCQ59,"")</f>
        <v/>
      </c>
      <c r="GCR62" s="87" t="str">
        <f>IF(ISNUMBER(outYear),GCR37+GCR42+#REF!+GCR59,"")</f>
        <v/>
      </c>
      <c r="GCS62" s="87" t="str">
        <f>IF(ISNUMBER(outYear),GCS37+GCS42+#REF!+GCS59,"")</f>
        <v/>
      </c>
      <c r="GCT62" s="87" t="str">
        <f>IF(ISNUMBER(outYear),GCT37+GCT42+#REF!+GCT59,"")</f>
        <v/>
      </c>
      <c r="GCU62" s="87" t="str">
        <f>IF(ISNUMBER(outYear),GCU37+GCU42+#REF!+GCU59,"")</f>
        <v/>
      </c>
      <c r="GCV62" s="87" t="str">
        <f>IF(ISNUMBER(outYear),GCV37+GCV42+#REF!+GCV59,"")</f>
        <v/>
      </c>
      <c r="GCW62" s="87" t="str">
        <f>IF(ISNUMBER(outYear),GCW37+GCW42+#REF!+GCW59,"")</f>
        <v/>
      </c>
      <c r="GCX62" s="87" t="str">
        <f>IF(ISNUMBER(outYear),GCX37+GCX42+#REF!+GCX59,"")</f>
        <v/>
      </c>
      <c r="GCY62" s="87" t="str">
        <f>IF(ISNUMBER(outYear),GCY37+GCY42+#REF!+GCY59,"")</f>
        <v/>
      </c>
      <c r="GCZ62" s="87" t="str">
        <f>IF(ISNUMBER(outYear),GCZ37+GCZ42+#REF!+GCZ59,"")</f>
        <v/>
      </c>
      <c r="GDA62" s="87" t="str">
        <f>IF(ISNUMBER(outYear),GDA37+GDA42+#REF!+GDA59,"")</f>
        <v/>
      </c>
      <c r="GDB62" s="87" t="str">
        <f>IF(ISNUMBER(outYear),GDB37+GDB42+#REF!+GDB59,"")</f>
        <v/>
      </c>
      <c r="GDC62" s="87" t="str">
        <f>IF(ISNUMBER(outYear),GDC37+GDC42+#REF!+GDC59,"")</f>
        <v/>
      </c>
      <c r="GDD62" s="87" t="str">
        <f>IF(ISNUMBER(outYear),GDD37+GDD42+#REF!+GDD59,"")</f>
        <v/>
      </c>
      <c r="GDE62" s="87" t="str">
        <f>IF(ISNUMBER(outYear),GDE37+GDE42+#REF!+GDE59,"")</f>
        <v/>
      </c>
      <c r="GDF62" s="87" t="str">
        <f>IF(ISNUMBER(outYear),GDF37+GDF42+#REF!+GDF59,"")</f>
        <v/>
      </c>
      <c r="GDG62" s="87" t="str">
        <f>IF(ISNUMBER(outYear),GDG37+GDG42+#REF!+GDG59,"")</f>
        <v/>
      </c>
      <c r="GDH62" s="87" t="str">
        <f>IF(ISNUMBER(outYear),GDH37+GDH42+#REF!+GDH59,"")</f>
        <v/>
      </c>
      <c r="GDI62" s="87" t="str">
        <f>IF(ISNUMBER(outYear),GDI37+GDI42+#REF!+GDI59,"")</f>
        <v/>
      </c>
      <c r="GDJ62" s="87" t="str">
        <f>IF(ISNUMBER(outYear),GDJ37+GDJ42+#REF!+GDJ59,"")</f>
        <v/>
      </c>
      <c r="GDK62" s="87" t="str">
        <f>IF(ISNUMBER(outYear),GDK37+GDK42+#REF!+GDK59,"")</f>
        <v/>
      </c>
      <c r="GDL62" s="87" t="str">
        <f>IF(ISNUMBER(outYear),GDL37+GDL42+#REF!+GDL59,"")</f>
        <v/>
      </c>
      <c r="GDM62" s="87" t="str">
        <f>IF(ISNUMBER(outYear),GDM37+GDM42+#REF!+GDM59,"")</f>
        <v/>
      </c>
      <c r="GDN62" s="87" t="str">
        <f>IF(ISNUMBER(outYear),GDN37+GDN42+#REF!+GDN59,"")</f>
        <v/>
      </c>
      <c r="GDO62" s="87" t="str">
        <f>IF(ISNUMBER(outYear),GDO37+GDO42+#REF!+GDO59,"")</f>
        <v/>
      </c>
      <c r="GDP62" s="87" t="str">
        <f>IF(ISNUMBER(outYear),GDP37+GDP42+#REF!+GDP59,"")</f>
        <v/>
      </c>
      <c r="GDQ62" s="87" t="str">
        <f>IF(ISNUMBER(outYear),GDQ37+GDQ42+#REF!+GDQ59,"")</f>
        <v/>
      </c>
      <c r="GDR62" s="87" t="str">
        <f>IF(ISNUMBER(outYear),GDR37+GDR42+#REF!+GDR59,"")</f>
        <v/>
      </c>
      <c r="GDS62" s="87" t="str">
        <f>IF(ISNUMBER(outYear),GDS37+GDS42+#REF!+GDS59,"")</f>
        <v/>
      </c>
      <c r="GDT62" s="87" t="str">
        <f>IF(ISNUMBER(outYear),GDT37+GDT42+#REF!+GDT59,"")</f>
        <v/>
      </c>
      <c r="GDU62" s="87" t="str">
        <f>IF(ISNUMBER(outYear),GDU37+GDU42+#REF!+GDU59,"")</f>
        <v/>
      </c>
      <c r="GDV62" s="87" t="str">
        <f>IF(ISNUMBER(outYear),GDV37+GDV42+#REF!+GDV59,"")</f>
        <v/>
      </c>
      <c r="GDW62" s="87" t="str">
        <f>IF(ISNUMBER(outYear),GDW37+GDW42+#REF!+GDW59,"")</f>
        <v/>
      </c>
      <c r="GDX62" s="87" t="str">
        <f>IF(ISNUMBER(outYear),GDX37+GDX42+#REF!+GDX59,"")</f>
        <v/>
      </c>
      <c r="GDY62" s="87" t="str">
        <f>IF(ISNUMBER(outYear),GDY37+GDY42+#REF!+GDY59,"")</f>
        <v/>
      </c>
      <c r="GDZ62" s="87" t="str">
        <f>IF(ISNUMBER(outYear),GDZ37+GDZ42+#REF!+GDZ59,"")</f>
        <v/>
      </c>
      <c r="GEA62" s="87" t="str">
        <f>IF(ISNUMBER(outYear),GEA37+GEA42+#REF!+GEA59,"")</f>
        <v/>
      </c>
      <c r="GEB62" s="87" t="str">
        <f>IF(ISNUMBER(outYear),GEB37+GEB42+#REF!+GEB59,"")</f>
        <v/>
      </c>
      <c r="GEC62" s="87" t="str">
        <f>IF(ISNUMBER(outYear),GEC37+GEC42+#REF!+GEC59,"")</f>
        <v/>
      </c>
      <c r="GED62" s="87" t="str">
        <f>IF(ISNUMBER(outYear),GED37+GED42+#REF!+GED59,"")</f>
        <v/>
      </c>
      <c r="GEE62" s="87" t="str">
        <f>IF(ISNUMBER(outYear),GEE37+GEE42+#REF!+GEE59,"")</f>
        <v/>
      </c>
      <c r="GEF62" s="87" t="str">
        <f>IF(ISNUMBER(outYear),GEF37+GEF42+#REF!+GEF59,"")</f>
        <v/>
      </c>
      <c r="GEG62" s="87" t="str">
        <f>IF(ISNUMBER(outYear),GEG37+GEG42+#REF!+GEG59,"")</f>
        <v/>
      </c>
      <c r="GEH62" s="87" t="str">
        <f>IF(ISNUMBER(outYear),GEH37+GEH42+#REF!+GEH59,"")</f>
        <v/>
      </c>
      <c r="GEI62" s="87" t="str">
        <f>IF(ISNUMBER(outYear),GEI37+GEI42+#REF!+GEI59,"")</f>
        <v/>
      </c>
      <c r="GEJ62" s="87" t="str">
        <f>IF(ISNUMBER(outYear),GEJ37+GEJ42+#REF!+GEJ59,"")</f>
        <v/>
      </c>
      <c r="GEK62" s="87" t="str">
        <f>IF(ISNUMBER(outYear),GEK37+GEK42+#REF!+GEK59,"")</f>
        <v/>
      </c>
      <c r="GEL62" s="87" t="str">
        <f>IF(ISNUMBER(outYear),GEL37+GEL42+#REF!+GEL59,"")</f>
        <v/>
      </c>
      <c r="GEM62" s="87" t="str">
        <f>IF(ISNUMBER(outYear),GEM37+GEM42+#REF!+GEM59,"")</f>
        <v/>
      </c>
      <c r="GEN62" s="87" t="str">
        <f>IF(ISNUMBER(outYear),GEN37+GEN42+#REF!+GEN59,"")</f>
        <v/>
      </c>
      <c r="GEO62" s="87" t="str">
        <f>IF(ISNUMBER(outYear),GEO37+GEO42+#REF!+GEO59,"")</f>
        <v/>
      </c>
      <c r="GEP62" s="87" t="str">
        <f>IF(ISNUMBER(outYear),GEP37+GEP42+#REF!+GEP59,"")</f>
        <v/>
      </c>
      <c r="GEQ62" s="87" t="str">
        <f>IF(ISNUMBER(outYear),GEQ37+GEQ42+#REF!+GEQ59,"")</f>
        <v/>
      </c>
      <c r="GER62" s="87" t="str">
        <f>IF(ISNUMBER(outYear),GER37+GER42+#REF!+GER59,"")</f>
        <v/>
      </c>
      <c r="GES62" s="87" t="str">
        <f>IF(ISNUMBER(outYear),GES37+GES42+#REF!+GES59,"")</f>
        <v/>
      </c>
      <c r="GET62" s="87" t="str">
        <f>IF(ISNUMBER(outYear),GET37+GET42+#REF!+GET59,"")</f>
        <v/>
      </c>
      <c r="GEU62" s="87" t="str">
        <f>IF(ISNUMBER(outYear),GEU37+GEU42+#REF!+GEU59,"")</f>
        <v/>
      </c>
      <c r="GEV62" s="87" t="str">
        <f>IF(ISNUMBER(outYear),GEV37+GEV42+#REF!+GEV59,"")</f>
        <v/>
      </c>
      <c r="GEW62" s="87" t="str">
        <f>IF(ISNUMBER(outYear),GEW37+GEW42+#REF!+GEW59,"")</f>
        <v/>
      </c>
      <c r="GEX62" s="87" t="str">
        <f>IF(ISNUMBER(outYear),GEX37+GEX42+#REF!+GEX59,"")</f>
        <v/>
      </c>
      <c r="GEY62" s="87" t="str">
        <f>IF(ISNUMBER(outYear),GEY37+GEY42+#REF!+GEY59,"")</f>
        <v/>
      </c>
      <c r="GEZ62" s="87" t="str">
        <f>IF(ISNUMBER(outYear),GEZ37+GEZ42+#REF!+GEZ59,"")</f>
        <v/>
      </c>
      <c r="GFA62" s="87" t="str">
        <f>IF(ISNUMBER(outYear),GFA37+GFA42+#REF!+GFA59,"")</f>
        <v/>
      </c>
      <c r="GFB62" s="87" t="str">
        <f>IF(ISNUMBER(outYear),GFB37+GFB42+#REF!+GFB59,"")</f>
        <v/>
      </c>
      <c r="GFC62" s="87" t="str">
        <f>IF(ISNUMBER(outYear),GFC37+GFC42+#REF!+GFC59,"")</f>
        <v/>
      </c>
      <c r="GFD62" s="87" t="str">
        <f>IF(ISNUMBER(outYear),GFD37+GFD42+#REF!+GFD59,"")</f>
        <v/>
      </c>
      <c r="GFE62" s="87" t="str">
        <f>IF(ISNUMBER(outYear),GFE37+GFE42+#REF!+GFE59,"")</f>
        <v/>
      </c>
      <c r="GFF62" s="87" t="str">
        <f>IF(ISNUMBER(outYear),GFF37+GFF42+#REF!+GFF59,"")</f>
        <v/>
      </c>
      <c r="GFG62" s="87" t="str">
        <f>IF(ISNUMBER(outYear),GFG37+GFG42+#REF!+GFG59,"")</f>
        <v/>
      </c>
      <c r="GFH62" s="87" t="str">
        <f>IF(ISNUMBER(outYear),GFH37+GFH42+#REF!+GFH59,"")</f>
        <v/>
      </c>
      <c r="GFI62" s="87" t="str">
        <f>IF(ISNUMBER(outYear),GFI37+GFI42+#REF!+GFI59,"")</f>
        <v/>
      </c>
      <c r="GFJ62" s="87" t="str">
        <f>IF(ISNUMBER(outYear),GFJ37+GFJ42+#REF!+GFJ59,"")</f>
        <v/>
      </c>
      <c r="GFK62" s="87" t="str">
        <f>IF(ISNUMBER(outYear),GFK37+GFK42+#REF!+GFK59,"")</f>
        <v/>
      </c>
      <c r="GFL62" s="87" t="str">
        <f>IF(ISNUMBER(outYear),GFL37+GFL42+#REF!+GFL59,"")</f>
        <v/>
      </c>
      <c r="GFM62" s="87" t="str">
        <f>IF(ISNUMBER(outYear),GFM37+GFM42+#REF!+GFM59,"")</f>
        <v/>
      </c>
      <c r="GFN62" s="87" t="str">
        <f>IF(ISNUMBER(outYear),GFN37+GFN42+#REF!+GFN59,"")</f>
        <v/>
      </c>
      <c r="GFO62" s="87" t="str">
        <f>IF(ISNUMBER(outYear),GFO37+GFO42+#REF!+GFO59,"")</f>
        <v/>
      </c>
      <c r="GFP62" s="87" t="str">
        <f>IF(ISNUMBER(outYear),GFP37+GFP42+#REF!+GFP59,"")</f>
        <v/>
      </c>
      <c r="GFQ62" s="87" t="str">
        <f>IF(ISNUMBER(outYear),GFQ37+GFQ42+#REF!+GFQ59,"")</f>
        <v/>
      </c>
      <c r="GFR62" s="87" t="str">
        <f>IF(ISNUMBER(outYear),GFR37+GFR42+#REF!+GFR59,"")</f>
        <v/>
      </c>
      <c r="GFS62" s="87" t="str">
        <f>IF(ISNUMBER(outYear),GFS37+GFS42+#REF!+GFS59,"")</f>
        <v/>
      </c>
      <c r="GFT62" s="87" t="str">
        <f>IF(ISNUMBER(outYear),GFT37+GFT42+#REF!+GFT59,"")</f>
        <v/>
      </c>
      <c r="GFU62" s="87" t="str">
        <f>IF(ISNUMBER(outYear),GFU37+GFU42+#REF!+GFU59,"")</f>
        <v/>
      </c>
      <c r="GFV62" s="87" t="str">
        <f>IF(ISNUMBER(outYear),GFV37+GFV42+#REF!+GFV59,"")</f>
        <v/>
      </c>
      <c r="GFW62" s="87" t="str">
        <f>IF(ISNUMBER(outYear),GFW37+GFW42+#REF!+GFW59,"")</f>
        <v/>
      </c>
      <c r="GFX62" s="87" t="str">
        <f>IF(ISNUMBER(outYear),GFX37+GFX42+#REF!+GFX59,"")</f>
        <v/>
      </c>
      <c r="GFY62" s="87" t="str">
        <f>IF(ISNUMBER(outYear),GFY37+GFY42+#REF!+GFY59,"")</f>
        <v/>
      </c>
      <c r="GFZ62" s="87" t="str">
        <f>IF(ISNUMBER(outYear),GFZ37+GFZ42+#REF!+GFZ59,"")</f>
        <v/>
      </c>
      <c r="GGA62" s="87" t="str">
        <f>IF(ISNUMBER(outYear),GGA37+GGA42+#REF!+GGA59,"")</f>
        <v/>
      </c>
      <c r="GGB62" s="87" t="str">
        <f>IF(ISNUMBER(outYear),GGB37+GGB42+#REF!+GGB59,"")</f>
        <v/>
      </c>
      <c r="GGC62" s="87" t="str">
        <f>IF(ISNUMBER(outYear),GGC37+GGC42+#REF!+GGC59,"")</f>
        <v/>
      </c>
      <c r="GGD62" s="87" t="str">
        <f>IF(ISNUMBER(outYear),GGD37+GGD42+#REF!+GGD59,"")</f>
        <v/>
      </c>
      <c r="GGE62" s="87" t="str">
        <f>IF(ISNUMBER(outYear),GGE37+GGE42+#REF!+GGE59,"")</f>
        <v/>
      </c>
      <c r="GGF62" s="87" t="str">
        <f>IF(ISNUMBER(outYear),GGF37+GGF42+#REF!+GGF59,"")</f>
        <v/>
      </c>
      <c r="GGG62" s="87" t="str">
        <f>IF(ISNUMBER(outYear),GGG37+GGG42+#REF!+GGG59,"")</f>
        <v/>
      </c>
      <c r="GGH62" s="87" t="str">
        <f>IF(ISNUMBER(outYear),GGH37+GGH42+#REF!+GGH59,"")</f>
        <v/>
      </c>
      <c r="GGI62" s="87" t="str">
        <f>IF(ISNUMBER(outYear),GGI37+GGI42+#REF!+GGI59,"")</f>
        <v/>
      </c>
      <c r="GGJ62" s="87" t="str">
        <f>IF(ISNUMBER(outYear),GGJ37+GGJ42+#REF!+GGJ59,"")</f>
        <v/>
      </c>
      <c r="GGK62" s="87" t="str">
        <f>IF(ISNUMBER(outYear),GGK37+GGK42+#REF!+GGK59,"")</f>
        <v/>
      </c>
      <c r="GGL62" s="87" t="str">
        <f>IF(ISNUMBER(outYear),GGL37+GGL42+#REF!+GGL59,"")</f>
        <v/>
      </c>
      <c r="GGM62" s="87" t="str">
        <f>IF(ISNUMBER(outYear),GGM37+GGM42+#REF!+GGM59,"")</f>
        <v/>
      </c>
      <c r="GGN62" s="87" t="str">
        <f>IF(ISNUMBER(outYear),GGN37+GGN42+#REF!+GGN59,"")</f>
        <v/>
      </c>
      <c r="GGO62" s="87" t="str">
        <f>IF(ISNUMBER(outYear),GGO37+GGO42+#REF!+GGO59,"")</f>
        <v/>
      </c>
      <c r="GGP62" s="87" t="str">
        <f>IF(ISNUMBER(outYear),GGP37+GGP42+#REF!+GGP59,"")</f>
        <v/>
      </c>
      <c r="GGQ62" s="87" t="str">
        <f>IF(ISNUMBER(outYear),GGQ37+GGQ42+#REF!+GGQ59,"")</f>
        <v/>
      </c>
      <c r="GGR62" s="87" t="str">
        <f>IF(ISNUMBER(outYear),GGR37+GGR42+#REF!+GGR59,"")</f>
        <v/>
      </c>
      <c r="GGS62" s="87" t="str">
        <f>IF(ISNUMBER(outYear),GGS37+GGS42+#REF!+GGS59,"")</f>
        <v/>
      </c>
      <c r="GGT62" s="87" t="str">
        <f>IF(ISNUMBER(outYear),GGT37+GGT42+#REF!+GGT59,"")</f>
        <v/>
      </c>
      <c r="GGU62" s="87" t="str">
        <f>IF(ISNUMBER(outYear),GGU37+GGU42+#REF!+GGU59,"")</f>
        <v/>
      </c>
      <c r="GGV62" s="87" t="str">
        <f>IF(ISNUMBER(outYear),GGV37+GGV42+#REF!+GGV59,"")</f>
        <v/>
      </c>
      <c r="GGW62" s="87" t="str">
        <f>IF(ISNUMBER(outYear),GGW37+GGW42+#REF!+GGW59,"")</f>
        <v/>
      </c>
      <c r="GGX62" s="87" t="str">
        <f>IF(ISNUMBER(outYear),GGX37+GGX42+#REF!+GGX59,"")</f>
        <v/>
      </c>
      <c r="GGY62" s="87" t="str">
        <f>IF(ISNUMBER(outYear),GGY37+GGY42+#REF!+GGY59,"")</f>
        <v/>
      </c>
      <c r="GGZ62" s="87" t="str">
        <f>IF(ISNUMBER(outYear),GGZ37+GGZ42+#REF!+GGZ59,"")</f>
        <v/>
      </c>
      <c r="GHA62" s="87" t="str">
        <f>IF(ISNUMBER(outYear),GHA37+GHA42+#REF!+GHA59,"")</f>
        <v/>
      </c>
      <c r="GHB62" s="87" t="str">
        <f>IF(ISNUMBER(outYear),GHB37+GHB42+#REF!+GHB59,"")</f>
        <v/>
      </c>
      <c r="GHC62" s="87" t="str">
        <f>IF(ISNUMBER(outYear),GHC37+GHC42+#REF!+GHC59,"")</f>
        <v/>
      </c>
      <c r="GHD62" s="87" t="str">
        <f>IF(ISNUMBER(outYear),GHD37+GHD42+#REF!+GHD59,"")</f>
        <v/>
      </c>
      <c r="GHE62" s="87" t="str">
        <f>IF(ISNUMBER(outYear),GHE37+GHE42+#REF!+GHE59,"")</f>
        <v/>
      </c>
      <c r="GHF62" s="87" t="str">
        <f>IF(ISNUMBER(outYear),GHF37+GHF42+#REF!+GHF59,"")</f>
        <v/>
      </c>
      <c r="GHG62" s="87" t="str">
        <f>IF(ISNUMBER(outYear),GHG37+GHG42+#REF!+GHG59,"")</f>
        <v/>
      </c>
      <c r="GHH62" s="87" t="str">
        <f>IF(ISNUMBER(outYear),GHH37+GHH42+#REF!+GHH59,"")</f>
        <v/>
      </c>
      <c r="GHI62" s="87" t="str">
        <f>IF(ISNUMBER(outYear),GHI37+GHI42+#REF!+GHI59,"")</f>
        <v/>
      </c>
      <c r="GHJ62" s="87" t="str">
        <f>IF(ISNUMBER(outYear),GHJ37+GHJ42+#REF!+GHJ59,"")</f>
        <v/>
      </c>
      <c r="GHK62" s="87" t="str">
        <f>IF(ISNUMBER(outYear),GHK37+GHK42+#REF!+GHK59,"")</f>
        <v/>
      </c>
      <c r="GHL62" s="87" t="str">
        <f>IF(ISNUMBER(outYear),GHL37+GHL42+#REF!+GHL59,"")</f>
        <v/>
      </c>
      <c r="GHM62" s="87" t="str">
        <f>IF(ISNUMBER(outYear),GHM37+GHM42+#REF!+GHM59,"")</f>
        <v/>
      </c>
      <c r="GHN62" s="87" t="str">
        <f>IF(ISNUMBER(outYear),GHN37+GHN42+#REF!+GHN59,"")</f>
        <v/>
      </c>
      <c r="GHO62" s="87" t="str">
        <f>IF(ISNUMBER(outYear),GHO37+GHO42+#REF!+GHO59,"")</f>
        <v/>
      </c>
      <c r="GHP62" s="87" t="str">
        <f>IF(ISNUMBER(outYear),GHP37+GHP42+#REF!+GHP59,"")</f>
        <v/>
      </c>
      <c r="GHQ62" s="87" t="str">
        <f>IF(ISNUMBER(outYear),GHQ37+GHQ42+#REF!+GHQ59,"")</f>
        <v/>
      </c>
      <c r="GHR62" s="87" t="str">
        <f>IF(ISNUMBER(outYear),GHR37+GHR42+#REF!+GHR59,"")</f>
        <v/>
      </c>
      <c r="GHS62" s="87" t="str">
        <f>IF(ISNUMBER(outYear),GHS37+GHS42+#REF!+GHS59,"")</f>
        <v/>
      </c>
      <c r="GHT62" s="87" t="str">
        <f>IF(ISNUMBER(outYear),GHT37+GHT42+#REF!+GHT59,"")</f>
        <v/>
      </c>
      <c r="GHU62" s="87" t="str">
        <f>IF(ISNUMBER(outYear),GHU37+GHU42+#REF!+GHU59,"")</f>
        <v/>
      </c>
      <c r="GHV62" s="87" t="str">
        <f>IF(ISNUMBER(outYear),GHV37+GHV42+#REF!+GHV59,"")</f>
        <v/>
      </c>
      <c r="GHW62" s="87" t="str">
        <f>IF(ISNUMBER(outYear),GHW37+GHW42+#REF!+GHW59,"")</f>
        <v/>
      </c>
      <c r="GHX62" s="87" t="str">
        <f>IF(ISNUMBER(outYear),GHX37+GHX42+#REF!+GHX59,"")</f>
        <v/>
      </c>
      <c r="GHY62" s="87" t="str">
        <f>IF(ISNUMBER(outYear),GHY37+GHY42+#REF!+GHY59,"")</f>
        <v/>
      </c>
      <c r="GHZ62" s="87" t="str">
        <f>IF(ISNUMBER(outYear),GHZ37+GHZ42+#REF!+GHZ59,"")</f>
        <v/>
      </c>
      <c r="GIA62" s="87" t="str">
        <f>IF(ISNUMBER(outYear),GIA37+GIA42+#REF!+GIA59,"")</f>
        <v/>
      </c>
      <c r="GIB62" s="87" t="str">
        <f>IF(ISNUMBER(outYear),GIB37+GIB42+#REF!+GIB59,"")</f>
        <v/>
      </c>
      <c r="GIC62" s="87" t="str">
        <f>IF(ISNUMBER(outYear),GIC37+GIC42+#REF!+GIC59,"")</f>
        <v/>
      </c>
      <c r="GID62" s="87" t="str">
        <f>IF(ISNUMBER(outYear),GID37+GID42+#REF!+GID59,"")</f>
        <v/>
      </c>
      <c r="GIE62" s="87" t="str">
        <f>IF(ISNUMBER(outYear),GIE37+GIE42+#REF!+GIE59,"")</f>
        <v/>
      </c>
      <c r="GIF62" s="87" t="str">
        <f>IF(ISNUMBER(outYear),GIF37+GIF42+#REF!+GIF59,"")</f>
        <v/>
      </c>
      <c r="GIG62" s="87" t="str">
        <f>IF(ISNUMBER(outYear),GIG37+GIG42+#REF!+GIG59,"")</f>
        <v/>
      </c>
      <c r="GIH62" s="87" t="str">
        <f>IF(ISNUMBER(outYear),GIH37+GIH42+#REF!+GIH59,"")</f>
        <v/>
      </c>
      <c r="GII62" s="87" t="str">
        <f>IF(ISNUMBER(outYear),GII37+GII42+#REF!+GII59,"")</f>
        <v/>
      </c>
      <c r="GIJ62" s="87" t="str">
        <f>IF(ISNUMBER(outYear),GIJ37+GIJ42+#REF!+GIJ59,"")</f>
        <v/>
      </c>
      <c r="GIK62" s="87" t="str">
        <f>IF(ISNUMBER(outYear),GIK37+GIK42+#REF!+GIK59,"")</f>
        <v/>
      </c>
      <c r="GIL62" s="87" t="str">
        <f>IF(ISNUMBER(outYear),GIL37+GIL42+#REF!+GIL59,"")</f>
        <v/>
      </c>
      <c r="GIM62" s="87" t="str">
        <f>IF(ISNUMBER(outYear),GIM37+GIM42+#REF!+GIM59,"")</f>
        <v/>
      </c>
      <c r="GIN62" s="87" t="str">
        <f>IF(ISNUMBER(outYear),GIN37+GIN42+#REF!+GIN59,"")</f>
        <v/>
      </c>
      <c r="GIO62" s="87" t="str">
        <f>IF(ISNUMBER(outYear),GIO37+GIO42+#REF!+GIO59,"")</f>
        <v/>
      </c>
      <c r="GIP62" s="87" t="str">
        <f>IF(ISNUMBER(outYear),GIP37+GIP42+#REF!+GIP59,"")</f>
        <v/>
      </c>
      <c r="GIQ62" s="87" t="str">
        <f>IF(ISNUMBER(outYear),GIQ37+GIQ42+#REF!+GIQ59,"")</f>
        <v/>
      </c>
      <c r="GIR62" s="87" t="str">
        <f>IF(ISNUMBER(outYear),GIR37+GIR42+#REF!+GIR59,"")</f>
        <v/>
      </c>
      <c r="GIS62" s="87" t="str">
        <f>IF(ISNUMBER(outYear),GIS37+GIS42+#REF!+GIS59,"")</f>
        <v/>
      </c>
      <c r="GIT62" s="87" t="str">
        <f>IF(ISNUMBER(outYear),GIT37+GIT42+#REF!+GIT59,"")</f>
        <v/>
      </c>
      <c r="GIU62" s="87" t="str">
        <f>IF(ISNUMBER(outYear),GIU37+GIU42+#REF!+GIU59,"")</f>
        <v/>
      </c>
      <c r="GIV62" s="87" t="str">
        <f>IF(ISNUMBER(outYear),GIV37+GIV42+#REF!+GIV59,"")</f>
        <v/>
      </c>
      <c r="GIW62" s="87" t="str">
        <f>IF(ISNUMBER(outYear),GIW37+GIW42+#REF!+GIW59,"")</f>
        <v/>
      </c>
      <c r="GIX62" s="87" t="str">
        <f>IF(ISNUMBER(outYear),GIX37+GIX42+#REF!+GIX59,"")</f>
        <v/>
      </c>
      <c r="GIY62" s="87" t="str">
        <f>IF(ISNUMBER(outYear),GIY37+GIY42+#REF!+GIY59,"")</f>
        <v/>
      </c>
      <c r="GIZ62" s="87" t="str">
        <f>IF(ISNUMBER(outYear),GIZ37+GIZ42+#REF!+GIZ59,"")</f>
        <v/>
      </c>
      <c r="GJA62" s="87" t="str">
        <f>IF(ISNUMBER(outYear),GJA37+GJA42+#REF!+GJA59,"")</f>
        <v/>
      </c>
      <c r="GJB62" s="87" t="str">
        <f>IF(ISNUMBER(outYear),GJB37+GJB42+#REF!+GJB59,"")</f>
        <v/>
      </c>
      <c r="GJC62" s="87" t="str">
        <f>IF(ISNUMBER(outYear),GJC37+GJC42+#REF!+GJC59,"")</f>
        <v/>
      </c>
      <c r="GJD62" s="87" t="str">
        <f>IF(ISNUMBER(outYear),GJD37+GJD42+#REF!+GJD59,"")</f>
        <v/>
      </c>
      <c r="GJE62" s="87" t="str">
        <f>IF(ISNUMBER(outYear),GJE37+GJE42+#REF!+GJE59,"")</f>
        <v/>
      </c>
      <c r="GJF62" s="87" t="str">
        <f>IF(ISNUMBER(outYear),GJF37+GJF42+#REF!+GJF59,"")</f>
        <v/>
      </c>
      <c r="GJG62" s="87" t="str">
        <f>IF(ISNUMBER(outYear),GJG37+GJG42+#REF!+GJG59,"")</f>
        <v/>
      </c>
      <c r="GJH62" s="87" t="str">
        <f>IF(ISNUMBER(outYear),GJH37+GJH42+#REF!+GJH59,"")</f>
        <v/>
      </c>
      <c r="GJI62" s="87" t="str">
        <f>IF(ISNUMBER(outYear),GJI37+GJI42+#REF!+GJI59,"")</f>
        <v/>
      </c>
      <c r="GJJ62" s="87" t="str">
        <f>IF(ISNUMBER(outYear),GJJ37+GJJ42+#REF!+GJJ59,"")</f>
        <v/>
      </c>
      <c r="GJK62" s="87" t="str">
        <f>IF(ISNUMBER(outYear),GJK37+GJK42+#REF!+GJK59,"")</f>
        <v/>
      </c>
      <c r="GJL62" s="87" t="str">
        <f>IF(ISNUMBER(outYear),GJL37+GJL42+#REF!+GJL59,"")</f>
        <v/>
      </c>
      <c r="GJM62" s="87" t="str">
        <f>IF(ISNUMBER(outYear),GJM37+GJM42+#REF!+GJM59,"")</f>
        <v/>
      </c>
      <c r="GJN62" s="87" t="str">
        <f>IF(ISNUMBER(outYear),GJN37+GJN42+#REF!+GJN59,"")</f>
        <v/>
      </c>
      <c r="GJO62" s="87" t="str">
        <f>IF(ISNUMBER(outYear),GJO37+GJO42+#REF!+GJO59,"")</f>
        <v/>
      </c>
      <c r="GJP62" s="87" t="str">
        <f>IF(ISNUMBER(outYear),GJP37+GJP42+#REF!+GJP59,"")</f>
        <v/>
      </c>
      <c r="GJQ62" s="87" t="str">
        <f>IF(ISNUMBER(outYear),GJQ37+GJQ42+#REF!+GJQ59,"")</f>
        <v/>
      </c>
      <c r="GJR62" s="87" t="str">
        <f>IF(ISNUMBER(outYear),GJR37+GJR42+#REF!+GJR59,"")</f>
        <v/>
      </c>
      <c r="GJS62" s="87" t="str">
        <f>IF(ISNUMBER(outYear),GJS37+GJS42+#REF!+GJS59,"")</f>
        <v/>
      </c>
      <c r="GJT62" s="87" t="str">
        <f>IF(ISNUMBER(outYear),GJT37+GJT42+#REF!+GJT59,"")</f>
        <v/>
      </c>
      <c r="GJU62" s="87" t="str">
        <f>IF(ISNUMBER(outYear),GJU37+GJU42+#REF!+GJU59,"")</f>
        <v/>
      </c>
      <c r="GJV62" s="87" t="str">
        <f>IF(ISNUMBER(outYear),GJV37+GJV42+#REF!+GJV59,"")</f>
        <v/>
      </c>
      <c r="GJW62" s="87" t="str">
        <f>IF(ISNUMBER(outYear),GJW37+GJW42+#REF!+GJW59,"")</f>
        <v/>
      </c>
      <c r="GJX62" s="87" t="str">
        <f>IF(ISNUMBER(outYear),GJX37+GJX42+#REF!+GJX59,"")</f>
        <v/>
      </c>
      <c r="GJY62" s="87" t="str">
        <f>IF(ISNUMBER(outYear),GJY37+GJY42+#REF!+GJY59,"")</f>
        <v/>
      </c>
      <c r="GJZ62" s="87" t="str">
        <f>IF(ISNUMBER(outYear),GJZ37+GJZ42+#REF!+GJZ59,"")</f>
        <v/>
      </c>
      <c r="GKA62" s="87" t="str">
        <f>IF(ISNUMBER(outYear),GKA37+GKA42+#REF!+GKA59,"")</f>
        <v/>
      </c>
      <c r="GKB62" s="87" t="str">
        <f>IF(ISNUMBER(outYear),GKB37+GKB42+#REF!+GKB59,"")</f>
        <v/>
      </c>
      <c r="GKC62" s="87" t="str">
        <f>IF(ISNUMBER(outYear),GKC37+GKC42+#REF!+GKC59,"")</f>
        <v/>
      </c>
      <c r="GKD62" s="87" t="str">
        <f>IF(ISNUMBER(outYear),GKD37+GKD42+#REF!+GKD59,"")</f>
        <v/>
      </c>
      <c r="GKE62" s="87" t="str">
        <f>IF(ISNUMBER(outYear),GKE37+GKE42+#REF!+GKE59,"")</f>
        <v/>
      </c>
      <c r="GKF62" s="87" t="str">
        <f>IF(ISNUMBER(outYear),GKF37+GKF42+#REF!+GKF59,"")</f>
        <v/>
      </c>
      <c r="GKG62" s="87" t="str">
        <f>IF(ISNUMBER(outYear),GKG37+GKG42+#REF!+GKG59,"")</f>
        <v/>
      </c>
      <c r="GKH62" s="87" t="str">
        <f>IF(ISNUMBER(outYear),GKH37+GKH42+#REF!+GKH59,"")</f>
        <v/>
      </c>
      <c r="GKI62" s="87" t="str">
        <f>IF(ISNUMBER(outYear),GKI37+GKI42+#REF!+GKI59,"")</f>
        <v/>
      </c>
      <c r="GKJ62" s="87" t="str">
        <f>IF(ISNUMBER(outYear),GKJ37+GKJ42+#REF!+GKJ59,"")</f>
        <v/>
      </c>
      <c r="GKK62" s="87" t="str">
        <f>IF(ISNUMBER(outYear),GKK37+GKK42+#REF!+GKK59,"")</f>
        <v/>
      </c>
      <c r="GKL62" s="87" t="str">
        <f>IF(ISNUMBER(outYear),GKL37+GKL42+#REF!+GKL59,"")</f>
        <v/>
      </c>
      <c r="GKM62" s="87" t="str">
        <f>IF(ISNUMBER(outYear),GKM37+GKM42+#REF!+GKM59,"")</f>
        <v/>
      </c>
      <c r="GKN62" s="87" t="str">
        <f>IF(ISNUMBER(outYear),GKN37+GKN42+#REF!+GKN59,"")</f>
        <v/>
      </c>
      <c r="GKO62" s="87" t="str">
        <f>IF(ISNUMBER(outYear),GKO37+GKO42+#REF!+GKO59,"")</f>
        <v/>
      </c>
      <c r="GKP62" s="87" t="str">
        <f>IF(ISNUMBER(outYear),GKP37+GKP42+#REF!+GKP59,"")</f>
        <v/>
      </c>
      <c r="GKQ62" s="87" t="str">
        <f>IF(ISNUMBER(outYear),GKQ37+GKQ42+#REF!+GKQ59,"")</f>
        <v/>
      </c>
      <c r="GKR62" s="87" t="str">
        <f>IF(ISNUMBER(outYear),GKR37+GKR42+#REF!+GKR59,"")</f>
        <v/>
      </c>
      <c r="GKS62" s="87" t="str">
        <f>IF(ISNUMBER(outYear),GKS37+GKS42+#REF!+GKS59,"")</f>
        <v/>
      </c>
      <c r="GKT62" s="87" t="str">
        <f>IF(ISNUMBER(outYear),GKT37+GKT42+#REF!+GKT59,"")</f>
        <v/>
      </c>
      <c r="GKU62" s="87" t="str">
        <f>IF(ISNUMBER(outYear),GKU37+GKU42+#REF!+GKU59,"")</f>
        <v/>
      </c>
      <c r="GKV62" s="87" t="str">
        <f>IF(ISNUMBER(outYear),GKV37+GKV42+#REF!+GKV59,"")</f>
        <v/>
      </c>
      <c r="GKW62" s="87" t="str">
        <f>IF(ISNUMBER(outYear),GKW37+GKW42+#REF!+GKW59,"")</f>
        <v/>
      </c>
      <c r="GKX62" s="87" t="str">
        <f>IF(ISNUMBER(outYear),GKX37+GKX42+#REF!+GKX59,"")</f>
        <v/>
      </c>
      <c r="GKY62" s="87" t="str">
        <f>IF(ISNUMBER(outYear),GKY37+GKY42+#REF!+GKY59,"")</f>
        <v/>
      </c>
      <c r="GKZ62" s="87" t="str">
        <f>IF(ISNUMBER(outYear),GKZ37+GKZ42+#REF!+GKZ59,"")</f>
        <v/>
      </c>
      <c r="GLA62" s="87" t="str">
        <f>IF(ISNUMBER(outYear),GLA37+GLA42+#REF!+GLA59,"")</f>
        <v/>
      </c>
      <c r="GLB62" s="87" t="str">
        <f>IF(ISNUMBER(outYear),GLB37+GLB42+#REF!+GLB59,"")</f>
        <v/>
      </c>
      <c r="GLC62" s="87" t="str">
        <f>IF(ISNUMBER(outYear),GLC37+GLC42+#REF!+GLC59,"")</f>
        <v/>
      </c>
      <c r="GLD62" s="87" t="str">
        <f>IF(ISNUMBER(outYear),GLD37+GLD42+#REF!+GLD59,"")</f>
        <v/>
      </c>
      <c r="GLE62" s="87" t="str">
        <f>IF(ISNUMBER(outYear),GLE37+GLE42+#REF!+GLE59,"")</f>
        <v/>
      </c>
      <c r="GLF62" s="87" t="str">
        <f>IF(ISNUMBER(outYear),GLF37+GLF42+#REF!+GLF59,"")</f>
        <v/>
      </c>
      <c r="GLG62" s="87" t="str">
        <f>IF(ISNUMBER(outYear),GLG37+GLG42+#REF!+GLG59,"")</f>
        <v/>
      </c>
      <c r="GLH62" s="87" t="str">
        <f>IF(ISNUMBER(outYear),GLH37+GLH42+#REF!+GLH59,"")</f>
        <v/>
      </c>
      <c r="GLI62" s="87" t="str">
        <f>IF(ISNUMBER(outYear),GLI37+GLI42+#REF!+GLI59,"")</f>
        <v/>
      </c>
      <c r="GLJ62" s="87" t="str">
        <f>IF(ISNUMBER(outYear),GLJ37+GLJ42+#REF!+GLJ59,"")</f>
        <v/>
      </c>
      <c r="GLK62" s="87" t="str">
        <f>IF(ISNUMBER(outYear),GLK37+GLK42+#REF!+GLK59,"")</f>
        <v/>
      </c>
      <c r="GLL62" s="87" t="str">
        <f>IF(ISNUMBER(outYear),GLL37+GLL42+#REF!+GLL59,"")</f>
        <v/>
      </c>
      <c r="GLM62" s="87" t="str">
        <f>IF(ISNUMBER(outYear),GLM37+GLM42+#REF!+GLM59,"")</f>
        <v/>
      </c>
      <c r="GLN62" s="87" t="str">
        <f>IF(ISNUMBER(outYear),GLN37+GLN42+#REF!+GLN59,"")</f>
        <v/>
      </c>
      <c r="GLO62" s="87" t="str">
        <f>IF(ISNUMBER(outYear),GLO37+GLO42+#REF!+GLO59,"")</f>
        <v/>
      </c>
      <c r="GLP62" s="87" t="str">
        <f>IF(ISNUMBER(outYear),GLP37+GLP42+#REF!+GLP59,"")</f>
        <v/>
      </c>
      <c r="GLQ62" s="87" t="str">
        <f>IF(ISNUMBER(outYear),GLQ37+GLQ42+#REF!+GLQ59,"")</f>
        <v/>
      </c>
      <c r="GLR62" s="87" t="str">
        <f>IF(ISNUMBER(outYear),GLR37+GLR42+#REF!+GLR59,"")</f>
        <v/>
      </c>
      <c r="GLS62" s="87" t="str">
        <f>IF(ISNUMBER(outYear),GLS37+GLS42+#REF!+GLS59,"")</f>
        <v/>
      </c>
      <c r="GLT62" s="87" t="str">
        <f>IF(ISNUMBER(outYear),GLT37+GLT42+#REF!+GLT59,"")</f>
        <v/>
      </c>
      <c r="GLU62" s="87" t="str">
        <f>IF(ISNUMBER(outYear),GLU37+GLU42+#REF!+GLU59,"")</f>
        <v/>
      </c>
      <c r="GLV62" s="87" t="str">
        <f>IF(ISNUMBER(outYear),GLV37+GLV42+#REF!+GLV59,"")</f>
        <v/>
      </c>
      <c r="GLW62" s="87" t="str">
        <f>IF(ISNUMBER(outYear),GLW37+GLW42+#REF!+GLW59,"")</f>
        <v/>
      </c>
      <c r="GLX62" s="87" t="str">
        <f>IF(ISNUMBER(outYear),GLX37+GLX42+#REF!+GLX59,"")</f>
        <v/>
      </c>
      <c r="GLY62" s="87" t="str">
        <f>IF(ISNUMBER(outYear),GLY37+GLY42+#REF!+GLY59,"")</f>
        <v/>
      </c>
      <c r="GLZ62" s="87" t="str">
        <f>IF(ISNUMBER(outYear),GLZ37+GLZ42+#REF!+GLZ59,"")</f>
        <v/>
      </c>
      <c r="GMA62" s="87" t="str">
        <f>IF(ISNUMBER(outYear),GMA37+GMA42+#REF!+GMA59,"")</f>
        <v/>
      </c>
      <c r="GMB62" s="87" t="str">
        <f>IF(ISNUMBER(outYear),GMB37+GMB42+#REF!+GMB59,"")</f>
        <v/>
      </c>
      <c r="GMC62" s="87" t="str">
        <f>IF(ISNUMBER(outYear),GMC37+GMC42+#REF!+GMC59,"")</f>
        <v/>
      </c>
      <c r="GMD62" s="87" t="str">
        <f>IF(ISNUMBER(outYear),GMD37+GMD42+#REF!+GMD59,"")</f>
        <v/>
      </c>
      <c r="GME62" s="87" t="str">
        <f>IF(ISNUMBER(outYear),GME37+GME42+#REF!+GME59,"")</f>
        <v/>
      </c>
      <c r="GMF62" s="87" t="str">
        <f>IF(ISNUMBER(outYear),GMF37+GMF42+#REF!+GMF59,"")</f>
        <v/>
      </c>
      <c r="GMG62" s="87" t="str">
        <f>IF(ISNUMBER(outYear),GMG37+GMG42+#REF!+GMG59,"")</f>
        <v/>
      </c>
      <c r="GMH62" s="87" t="str">
        <f>IF(ISNUMBER(outYear),GMH37+GMH42+#REF!+GMH59,"")</f>
        <v/>
      </c>
      <c r="GMI62" s="87" t="str">
        <f>IF(ISNUMBER(outYear),GMI37+GMI42+#REF!+GMI59,"")</f>
        <v/>
      </c>
      <c r="GMJ62" s="87" t="str">
        <f>IF(ISNUMBER(outYear),GMJ37+GMJ42+#REF!+GMJ59,"")</f>
        <v/>
      </c>
      <c r="GMK62" s="87" t="str">
        <f>IF(ISNUMBER(outYear),GMK37+GMK42+#REF!+GMK59,"")</f>
        <v/>
      </c>
      <c r="GML62" s="87" t="str">
        <f>IF(ISNUMBER(outYear),GML37+GML42+#REF!+GML59,"")</f>
        <v/>
      </c>
      <c r="GMM62" s="87" t="str">
        <f>IF(ISNUMBER(outYear),GMM37+GMM42+#REF!+GMM59,"")</f>
        <v/>
      </c>
      <c r="GMN62" s="87" t="str">
        <f>IF(ISNUMBER(outYear),GMN37+GMN42+#REF!+GMN59,"")</f>
        <v/>
      </c>
      <c r="GMO62" s="87" t="str">
        <f>IF(ISNUMBER(outYear),GMO37+GMO42+#REF!+GMO59,"")</f>
        <v/>
      </c>
      <c r="GMP62" s="87" t="str">
        <f>IF(ISNUMBER(outYear),GMP37+GMP42+#REF!+GMP59,"")</f>
        <v/>
      </c>
      <c r="GMQ62" s="87" t="str">
        <f>IF(ISNUMBER(outYear),GMQ37+GMQ42+#REF!+GMQ59,"")</f>
        <v/>
      </c>
      <c r="GMR62" s="87" t="str">
        <f>IF(ISNUMBER(outYear),GMR37+GMR42+#REF!+GMR59,"")</f>
        <v/>
      </c>
      <c r="GMS62" s="87" t="str">
        <f>IF(ISNUMBER(outYear),GMS37+GMS42+#REF!+GMS59,"")</f>
        <v/>
      </c>
      <c r="GMT62" s="87" t="str">
        <f>IF(ISNUMBER(outYear),GMT37+GMT42+#REF!+GMT59,"")</f>
        <v/>
      </c>
      <c r="GMU62" s="87" t="str">
        <f>IF(ISNUMBER(outYear),GMU37+GMU42+#REF!+GMU59,"")</f>
        <v/>
      </c>
      <c r="GMV62" s="87" t="str">
        <f>IF(ISNUMBER(outYear),GMV37+GMV42+#REF!+GMV59,"")</f>
        <v/>
      </c>
      <c r="GMW62" s="87" t="str">
        <f>IF(ISNUMBER(outYear),GMW37+GMW42+#REF!+GMW59,"")</f>
        <v/>
      </c>
      <c r="GMX62" s="87" t="str">
        <f>IF(ISNUMBER(outYear),GMX37+GMX42+#REF!+GMX59,"")</f>
        <v/>
      </c>
      <c r="GMY62" s="87" t="str">
        <f>IF(ISNUMBER(outYear),GMY37+GMY42+#REF!+GMY59,"")</f>
        <v/>
      </c>
      <c r="GMZ62" s="87" t="str">
        <f>IF(ISNUMBER(outYear),GMZ37+GMZ42+#REF!+GMZ59,"")</f>
        <v/>
      </c>
      <c r="GNA62" s="87" t="str">
        <f>IF(ISNUMBER(outYear),GNA37+GNA42+#REF!+GNA59,"")</f>
        <v/>
      </c>
      <c r="GNB62" s="87" t="str">
        <f>IF(ISNUMBER(outYear),GNB37+GNB42+#REF!+GNB59,"")</f>
        <v/>
      </c>
      <c r="GNC62" s="87" t="str">
        <f>IF(ISNUMBER(outYear),GNC37+GNC42+#REF!+GNC59,"")</f>
        <v/>
      </c>
      <c r="GND62" s="87" t="str">
        <f>IF(ISNUMBER(outYear),GND37+GND42+#REF!+GND59,"")</f>
        <v/>
      </c>
      <c r="GNE62" s="87" t="str">
        <f>IF(ISNUMBER(outYear),GNE37+GNE42+#REF!+GNE59,"")</f>
        <v/>
      </c>
      <c r="GNF62" s="87" t="str">
        <f>IF(ISNUMBER(outYear),GNF37+GNF42+#REF!+GNF59,"")</f>
        <v/>
      </c>
      <c r="GNG62" s="87" t="str">
        <f>IF(ISNUMBER(outYear),GNG37+GNG42+#REF!+GNG59,"")</f>
        <v/>
      </c>
      <c r="GNH62" s="87" t="str">
        <f>IF(ISNUMBER(outYear),GNH37+GNH42+#REF!+GNH59,"")</f>
        <v/>
      </c>
      <c r="GNI62" s="87" t="str">
        <f>IF(ISNUMBER(outYear),GNI37+GNI42+#REF!+GNI59,"")</f>
        <v/>
      </c>
      <c r="GNJ62" s="87" t="str">
        <f>IF(ISNUMBER(outYear),GNJ37+GNJ42+#REF!+GNJ59,"")</f>
        <v/>
      </c>
      <c r="GNK62" s="87" t="str">
        <f>IF(ISNUMBER(outYear),GNK37+GNK42+#REF!+GNK59,"")</f>
        <v/>
      </c>
      <c r="GNL62" s="87" t="str">
        <f>IF(ISNUMBER(outYear),GNL37+GNL42+#REF!+GNL59,"")</f>
        <v/>
      </c>
      <c r="GNM62" s="87" t="str">
        <f>IF(ISNUMBER(outYear),GNM37+GNM42+#REF!+GNM59,"")</f>
        <v/>
      </c>
      <c r="GNN62" s="87" t="str">
        <f>IF(ISNUMBER(outYear),GNN37+GNN42+#REF!+GNN59,"")</f>
        <v/>
      </c>
      <c r="GNO62" s="87" t="str">
        <f>IF(ISNUMBER(outYear),GNO37+GNO42+#REF!+GNO59,"")</f>
        <v/>
      </c>
      <c r="GNP62" s="87" t="str">
        <f>IF(ISNUMBER(outYear),GNP37+GNP42+#REF!+GNP59,"")</f>
        <v/>
      </c>
      <c r="GNQ62" s="87" t="str">
        <f>IF(ISNUMBER(outYear),GNQ37+GNQ42+#REF!+GNQ59,"")</f>
        <v/>
      </c>
      <c r="GNR62" s="87" t="str">
        <f>IF(ISNUMBER(outYear),GNR37+GNR42+#REF!+GNR59,"")</f>
        <v/>
      </c>
      <c r="GNS62" s="87" t="str">
        <f>IF(ISNUMBER(outYear),GNS37+GNS42+#REF!+GNS59,"")</f>
        <v/>
      </c>
      <c r="GNT62" s="87" t="str">
        <f>IF(ISNUMBER(outYear),GNT37+GNT42+#REF!+GNT59,"")</f>
        <v/>
      </c>
      <c r="GNU62" s="87" t="str">
        <f>IF(ISNUMBER(outYear),GNU37+GNU42+#REF!+GNU59,"")</f>
        <v/>
      </c>
      <c r="GNV62" s="87" t="str">
        <f>IF(ISNUMBER(outYear),GNV37+GNV42+#REF!+GNV59,"")</f>
        <v/>
      </c>
      <c r="GNW62" s="87" t="str">
        <f>IF(ISNUMBER(outYear),GNW37+GNW42+#REF!+GNW59,"")</f>
        <v/>
      </c>
      <c r="GNX62" s="87" t="str">
        <f>IF(ISNUMBER(outYear),GNX37+GNX42+#REF!+GNX59,"")</f>
        <v/>
      </c>
      <c r="GNY62" s="87" t="str">
        <f>IF(ISNUMBER(outYear),GNY37+GNY42+#REF!+GNY59,"")</f>
        <v/>
      </c>
      <c r="GNZ62" s="87" t="str">
        <f>IF(ISNUMBER(outYear),GNZ37+GNZ42+#REF!+GNZ59,"")</f>
        <v/>
      </c>
      <c r="GOA62" s="87" t="str">
        <f>IF(ISNUMBER(outYear),GOA37+GOA42+#REF!+GOA59,"")</f>
        <v/>
      </c>
      <c r="GOB62" s="87" t="str">
        <f>IF(ISNUMBER(outYear),GOB37+GOB42+#REF!+GOB59,"")</f>
        <v/>
      </c>
      <c r="GOC62" s="87" t="str">
        <f>IF(ISNUMBER(outYear),GOC37+GOC42+#REF!+GOC59,"")</f>
        <v/>
      </c>
      <c r="GOD62" s="87" t="str">
        <f>IF(ISNUMBER(outYear),GOD37+GOD42+#REF!+GOD59,"")</f>
        <v/>
      </c>
      <c r="GOE62" s="87" t="str">
        <f>IF(ISNUMBER(outYear),GOE37+GOE42+#REF!+GOE59,"")</f>
        <v/>
      </c>
      <c r="GOF62" s="87" t="str">
        <f>IF(ISNUMBER(outYear),GOF37+GOF42+#REF!+GOF59,"")</f>
        <v/>
      </c>
      <c r="GOG62" s="87" t="str">
        <f>IF(ISNUMBER(outYear),GOG37+GOG42+#REF!+GOG59,"")</f>
        <v/>
      </c>
      <c r="GOH62" s="87" t="str">
        <f>IF(ISNUMBER(outYear),GOH37+GOH42+#REF!+GOH59,"")</f>
        <v/>
      </c>
      <c r="GOI62" s="87" t="str">
        <f>IF(ISNUMBER(outYear),GOI37+GOI42+#REF!+GOI59,"")</f>
        <v/>
      </c>
      <c r="GOJ62" s="87" t="str">
        <f>IF(ISNUMBER(outYear),GOJ37+GOJ42+#REF!+GOJ59,"")</f>
        <v/>
      </c>
      <c r="GOK62" s="87" t="str">
        <f>IF(ISNUMBER(outYear),GOK37+GOK42+#REF!+GOK59,"")</f>
        <v/>
      </c>
      <c r="GOL62" s="87" t="str">
        <f>IF(ISNUMBER(outYear),GOL37+GOL42+#REF!+GOL59,"")</f>
        <v/>
      </c>
      <c r="GOM62" s="87" t="str">
        <f>IF(ISNUMBER(outYear),GOM37+GOM42+#REF!+GOM59,"")</f>
        <v/>
      </c>
      <c r="GON62" s="87" t="str">
        <f>IF(ISNUMBER(outYear),GON37+GON42+#REF!+GON59,"")</f>
        <v/>
      </c>
      <c r="GOO62" s="87" t="str">
        <f>IF(ISNUMBER(outYear),GOO37+GOO42+#REF!+GOO59,"")</f>
        <v/>
      </c>
      <c r="GOP62" s="87" t="str">
        <f>IF(ISNUMBER(outYear),GOP37+GOP42+#REF!+GOP59,"")</f>
        <v/>
      </c>
      <c r="GOQ62" s="87" t="str">
        <f>IF(ISNUMBER(outYear),GOQ37+GOQ42+#REF!+GOQ59,"")</f>
        <v/>
      </c>
      <c r="GOR62" s="87" t="str">
        <f>IF(ISNUMBER(outYear),GOR37+GOR42+#REF!+GOR59,"")</f>
        <v/>
      </c>
      <c r="GOS62" s="87" t="str">
        <f>IF(ISNUMBER(outYear),GOS37+GOS42+#REF!+GOS59,"")</f>
        <v/>
      </c>
      <c r="GOT62" s="87" t="str">
        <f>IF(ISNUMBER(outYear),GOT37+GOT42+#REF!+GOT59,"")</f>
        <v/>
      </c>
      <c r="GOU62" s="87" t="str">
        <f>IF(ISNUMBER(outYear),GOU37+GOU42+#REF!+GOU59,"")</f>
        <v/>
      </c>
      <c r="GOV62" s="87" t="str">
        <f>IF(ISNUMBER(outYear),GOV37+GOV42+#REF!+GOV59,"")</f>
        <v/>
      </c>
      <c r="GOW62" s="87" t="str">
        <f>IF(ISNUMBER(outYear),GOW37+GOW42+#REF!+GOW59,"")</f>
        <v/>
      </c>
      <c r="GOX62" s="87" t="str">
        <f>IF(ISNUMBER(outYear),GOX37+GOX42+#REF!+GOX59,"")</f>
        <v/>
      </c>
      <c r="GOY62" s="87" t="str">
        <f>IF(ISNUMBER(outYear),GOY37+GOY42+#REF!+GOY59,"")</f>
        <v/>
      </c>
      <c r="GOZ62" s="87" t="str">
        <f>IF(ISNUMBER(outYear),GOZ37+GOZ42+#REF!+GOZ59,"")</f>
        <v/>
      </c>
      <c r="GPA62" s="87" t="str">
        <f>IF(ISNUMBER(outYear),GPA37+GPA42+#REF!+GPA59,"")</f>
        <v/>
      </c>
      <c r="GPB62" s="87" t="str">
        <f>IF(ISNUMBER(outYear),GPB37+GPB42+#REF!+GPB59,"")</f>
        <v/>
      </c>
      <c r="GPC62" s="87" t="str">
        <f>IF(ISNUMBER(outYear),GPC37+GPC42+#REF!+GPC59,"")</f>
        <v/>
      </c>
      <c r="GPD62" s="87" t="str">
        <f>IF(ISNUMBER(outYear),GPD37+GPD42+#REF!+GPD59,"")</f>
        <v/>
      </c>
      <c r="GPE62" s="87" t="str">
        <f>IF(ISNUMBER(outYear),GPE37+GPE42+#REF!+GPE59,"")</f>
        <v/>
      </c>
      <c r="GPF62" s="87" t="str">
        <f>IF(ISNUMBER(outYear),GPF37+GPF42+#REF!+GPF59,"")</f>
        <v/>
      </c>
      <c r="GPG62" s="87" t="str">
        <f>IF(ISNUMBER(outYear),GPG37+GPG42+#REF!+GPG59,"")</f>
        <v/>
      </c>
      <c r="GPH62" s="87" t="str">
        <f>IF(ISNUMBER(outYear),GPH37+GPH42+#REF!+GPH59,"")</f>
        <v/>
      </c>
      <c r="GPI62" s="87" t="str">
        <f>IF(ISNUMBER(outYear),GPI37+GPI42+#REF!+GPI59,"")</f>
        <v/>
      </c>
      <c r="GPJ62" s="87" t="str">
        <f>IF(ISNUMBER(outYear),GPJ37+GPJ42+#REF!+GPJ59,"")</f>
        <v/>
      </c>
      <c r="GPK62" s="87" t="str">
        <f>IF(ISNUMBER(outYear),GPK37+GPK42+#REF!+GPK59,"")</f>
        <v/>
      </c>
      <c r="GPL62" s="87" t="str">
        <f>IF(ISNUMBER(outYear),GPL37+GPL42+#REF!+GPL59,"")</f>
        <v/>
      </c>
      <c r="GPM62" s="87" t="str">
        <f>IF(ISNUMBER(outYear),GPM37+GPM42+#REF!+GPM59,"")</f>
        <v/>
      </c>
      <c r="GPN62" s="87" t="str">
        <f>IF(ISNUMBER(outYear),GPN37+GPN42+#REF!+GPN59,"")</f>
        <v/>
      </c>
      <c r="GPO62" s="87" t="str">
        <f>IF(ISNUMBER(outYear),GPO37+GPO42+#REF!+GPO59,"")</f>
        <v/>
      </c>
      <c r="GPP62" s="87" t="str">
        <f>IF(ISNUMBER(outYear),GPP37+GPP42+#REF!+GPP59,"")</f>
        <v/>
      </c>
      <c r="GPQ62" s="87" t="str">
        <f>IF(ISNUMBER(outYear),GPQ37+GPQ42+#REF!+GPQ59,"")</f>
        <v/>
      </c>
      <c r="GPR62" s="87" t="str">
        <f>IF(ISNUMBER(outYear),GPR37+GPR42+#REF!+GPR59,"")</f>
        <v/>
      </c>
      <c r="GPS62" s="87" t="str">
        <f>IF(ISNUMBER(outYear),GPS37+GPS42+#REF!+GPS59,"")</f>
        <v/>
      </c>
      <c r="GPT62" s="87" t="str">
        <f>IF(ISNUMBER(outYear),GPT37+GPT42+#REF!+GPT59,"")</f>
        <v/>
      </c>
      <c r="GPU62" s="87" t="str">
        <f>IF(ISNUMBER(outYear),GPU37+GPU42+#REF!+GPU59,"")</f>
        <v/>
      </c>
      <c r="GPV62" s="87" t="str">
        <f>IF(ISNUMBER(outYear),GPV37+GPV42+#REF!+GPV59,"")</f>
        <v/>
      </c>
      <c r="GPW62" s="87" t="str">
        <f>IF(ISNUMBER(outYear),GPW37+GPW42+#REF!+GPW59,"")</f>
        <v/>
      </c>
      <c r="GPX62" s="87" t="str">
        <f>IF(ISNUMBER(outYear),GPX37+GPX42+#REF!+GPX59,"")</f>
        <v/>
      </c>
      <c r="GPY62" s="87" t="str">
        <f>IF(ISNUMBER(outYear),GPY37+GPY42+#REF!+GPY59,"")</f>
        <v/>
      </c>
      <c r="GPZ62" s="87" t="str">
        <f>IF(ISNUMBER(outYear),GPZ37+GPZ42+#REF!+GPZ59,"")</f>
        <v/>
      </c>
      <c r="GQA62" s="87" t="str">
        <f>IF(ISNUMBER(outYear),GQA37+GQA42+#REF!+GQA59,"")</f>
        <v/>
      </c>
      <c r="GQB62" s="87" t="str">
        <f>IF(ISNUMBER(outYear),GQB37+GQB42+#REF!+GQB59,"")</f>
        <v/>
      </c>
      <c r="GQC62" s="87" t="str">
        <f>IF(ISNUMBER(outYear),GQC37+GQC42+#REF!+GQC59,"")</f>
        <v/>
      </c>
      <c r="GQD62" s="87" t="str">
        <f>IF(ISNUMBER(outYear),GQD37+GQD42+#REF!+GQD59,"")</f>
        <v/>
      </c>
      <c r="GQE62" s="87" t="str">
        <f>IF(ISNUMBER(outYear),GQE37+GQE42+#REF!+GQE59,"")</f>
        <v/>
      </c>
      <c r="GQF62" s="87" t="str">
        <f>IF(ISNUMBER(outYear),GQF37+GQF42+#REF!+GQF59,"")</f>
        <v/>
      </c>
      <c r="GQG62" s="87" t="str">
        <f>IF(ISNUMBER(outYear),GQG37+GQG42+#REF!+GQG59,"")</f>
        <v/>
      </c>
      <c r="GQH62" s="87" t="str">
        <f>IF(ISNUMBER(outYear),GQH37+GQH42+#REF!+GQH59,"")</f>
        <v/>
      </c>
      <c r="GQI62" s="87" t="str">
        <f>IF(ISNUMBER(outYear),GQI37+GQI42+#REF!+GQI59,"")</f>
        <v/>
      </c>
      <c r="GQJ62" s="87" t="str">
        <f>IF(ISNUMBER(outYear),GQJ37+GQJ42+#REF!+GQJ59,"")</f>
        <v/>
      </c>
      <c r="GQK62" s="87" t="str">
        <f>IF(ISNUMBER(outYear),GQK37+GQK42+#REF!+GQK59,"")</f>
        <v/>
      </c>
      <c r="GQL62" s="87" t="str">
        <f>IF(ISNUMBER(outYear),GQL37+GQL42+#REF!+GQL59,"")</f>
        <v/>
      </c>
      <c r="GQM62" s="87" t="str">
        <f>IF(ISNUMBER(outYear),GQM37+GQM42+#REF!+GQM59,"")</f>
        <v/>
      </c>
      <c r="GQN62" s="87" t="str">
        <f>IF(ISNUMBER(outYear),GQN37+GQN42+#REF!+GQN59,"")</f>
        <v/>
      </c>
      <c r="GQO62" s="87" t="str">
        <f>IF(ISNUMBER(outYear),GQO37+GQO42+#REF!+GQO59,"")</f>
        <v/>
      </c>
      <c r="GQP62" s="87" t="str">
        <f>IF(ISNUMBER(outYear),GQP37+GQP42+#REF!+GQP59,"")</f>
        <v/>
      </c>
      <c r="GQQ62" s="87" t="str">
        <f>IF(ISNUMBER(outYear),GQQ37+GQQ42+#REF!+GQQ59,"")</f>
        <v/>
      </c>
      <c r="GQR62" s="87" t="str">
        <f>IF(ISNUMBER(outYear),GQR37+GQR42+#REF!+GQR59,"")</f>
        <v/>
      </c>
      <c r="GQS62" s="87" t="str">
        <f>IF(ISNUMBER(outYear),GQS37+GQS42+#REF!+GQS59,"")</f>
        <v/>
      </c>
      <c r="GQT62" s="87" t="str">
        <f>IF(ISNUMBER(outYear),GQT37+GQT42+#REF!+GQT59,"")</f>
        <v/>
      </c>
      <c r="GQU62" s="87" t="str">
        <f>IF(ISNUMBER(outYear),GQU37+GQU42+#REF!+GQU59,"")</f>
        <v/>
      </c>
      <c r="GQV62" s="87" t="str">
        <f>IF(ISNUMBER(outYear),GQV37+GQV42+#REF!+GQV59,"")</f>
        <v/>
      </c>
      <c r="GQW62" s="87" t="str">
        <f>IF(ISNUMBER(outYear),GQW37+GQW42+#REF!+GQW59,"")</f>
        <v/>
      </c>
      <c r="GQX62" s="87" t="str">
        <f>IF(ISNUMBER(outYear),GQX37+GQX42+#REF!+GQX59,"")</f>
        <v/>
      </c>
      <c r="GQY62" s="87" t="str">
        <f>IF(ISNUMBER(outYear),GQY37+GQY42+#REF!+GQY59,"")</f>
        <v/>
      </c>
      <c r="GQZ62" s="87" t="str">
        <f>IF(ISNUMBER(outYear),GQZ37+GQZ42+#REF!+GQZ59,"")</f>
        <v/>
      </c>
      <c r="GRA62" s="87" t="str">
        <f>IF(ISNUMBER(outYear),GRA37+GRA42+#REF!+GRA59,"")</f>
        <v/>
      </c>
      <c r="GRB62" s="87" t="str">
        <f>IF(ISNUMBER(outYear),GRB37+GRB42+#REF!+GRB59,"")</f>
        <v/>
      </c>
      <c r="GRC62" s="87" t="str">
        <f>IF(ISNUMBER(outYear),GRC37+GRC42+#REF!+GRC59,"")</f>
        <v/>
      </c>
      <c r="GRD62" s="87" t="str">
        <f>IF(ISNUMBER(outYear),GRD37+GRD42+#REF!+GRD59,"")</f>
        <v/>
      </c>
      <c r="GRE62" s="87" t="str">
        <f>IF(ISNUMBER(outYear),GRE37+GRE42+#REF!+GRE59,"")</f>
        <v/>
      </c>
      <c r="GRF62" s="87" t="str">
        <f>IF(ISNUMBER(outYear),GRF37+GRF42+#REF!+GRF59,"")</f>
        <v/>
      </c>
      <c r="GRG62" s="87" t="str">
        <f>IF(ISNUMBER(outYear),GRG37+GRG42+#REF!+GRG59,"")</f>
        <v/>
      </c>
      <c r="GRH62" s="87" t="str">
        <f>IF(ISNUMBER(outYear),GRH37+GRH42+#REF!+GRH59,"")</f>
        <v/>
      </c>
      <c r="GRI62" s="87" t="str">
        <f>IF(ISNUMBER(outYear),GRI37+GRI42+#REF!+GRI59,"")</f>
        <v/>
      </c>
      <c r="GRJ62" s="87" t="str">
        <f>IF(ISNUMBER(outYear),GRJ37+GRJ42+#REF!+GRJ59,"")</f>
        <v/>
      </c>
      <c r="GRK62" s="87" t="str">
        <f>IF(ISNUMBER(outYear),GRK37+GRK42+#REF!+GRK59,"")</f>
        <v/>
      </c>
      <c r="GRL62" s="87" t="str">
        <f>IF(ISNUMBER(outYear),GRL37+GRL42+#REF!+GRL59,"")</f>
        <v/>
      </c>
      <c r="GRM62" s="87" t="str">
        <f>IF(ISNUMBER(outYear),GRM37+GRM42+#REF!+GRM59,"")</f>
        <v/>
      </c>
      <c r="GRN62" s="87" t="str">
        <f>IF(ISNUMBER(outYear),GRN37+GRN42+#REF!+GRN59,"")</f>
        <v/>
      </c>
      <c r="GRO62" s="87" t="str">
        <f>IF(ISNUMBER(outYear),GRO37+GRO42+#REF!+GRO59,"")</f>
        <v/>
      </c>
      <c r="GRP62" s="87" t="str">
        <f>IF(ISNUMBER(outYear),GRP37+GRP42+#REF!+GRP59,"")</f>
        <v/>
      </c>
      <c r="GRQ62" s="87" t="str">
        <f>IF(ISNUMBER(outYear),GRQ37+GRQ42+#REF!+GRQ59,"")</f>
        <v/>
      </c>
      <c r="GRR62" s="87" t="str">
        <f>IF(ISNUMBER(outYear),GRR37+GRR42+#REF!+GRR59,"")</f>
        <v/>
      </c>
      <c r="GRS62" s="87" t="str">
        <f>IF(ISNUMBER(outYear),GRS37+GRS42+#REF!+GRS59,"")</f>
        <v/>
      </c>
      <c r="GRT62" s="87" t="str">
        <f>IF(ISNUMBER(outYear),GRT37+GRT42+#REF!+GRT59,"")</f>
        <v/>
      </c>
      <c r="GRU62" s="87" t="str">
        <f>IF(ISNUMBER(outYear),GRU37+GRU42+#REF!+GRU59,"")</f>
        <v/>
      </c>
      <c r="GRV62" s="87" t="str">
        <f>IF(ISNUMBER(outYear),GRV37+GRV42+#REF!+GRV59,"")</f>
        <v/>
      </c>
      <c r="GRW62" s="87" t="str">
        <f>IF(ISNUMBER(outYear),GRW37+GRW42+#REF!+GRW59,"")</f>
        <v/>
      </c>
      <c r="GRX62" s="87" t="str">
        <f>IF(ISNUMBER(outYear),GRX37+GRX42+#REF!+GRX59,"")</f>
        <v/>
      </c>
      <c r="GRY62" s="87" t="str">
        <f>IF(ISNUMBER(outYear),GRY37+GRY42+#REF!+GRY59,"")</f>
        <v/>
      </c>
      <c r="GRZ62" s="87" t="str">
        <f>IF(ISNUMBER(outYear),GRZ37+GRZ42+#REF!+GRZ59,"")</f>
        <v/>
      </c>
      <c r="GSA62" s="87" t="str">
        <f>IF(ISNUMBER(outYear),GSA37+GSA42+#REF!+GSA59,"")</f>
        <v/>
      </c>
      <c r="GSB62" s="87" t="str">
        <f>IF(ISNUMBER(outYear),GSB37+GSB42+#REF!+GSB59,"")</f>
        <v/>
      </c>
      <c r="GSC62" s="87" t="str">
        <f>IF(ISNUMBER(outYear),GSC37+GSC42+#REF!+GSC59,"")</f>
        <v/>
      </c>
      <c r="GSD62" s="87" t="str">
        <f>IF(ISNUMBER(outYear),GSD37+GSD42+#REF!+GSD59,"")</f>
        <v/>
      </c>
      <c r="GSE62" s="87" t="str">
        <f>IF(ISNUMBER(outYear),GSE37+GSE42+#REF!+GSE59,"")</f>
        <v/>
      </c>
      <c r="GSF62" s="87" t="str">
        <f>IF(ISNUMBER(outYear),GSF37+GSF42+#REF!+GSF59,"")</f>
        <v/>
      </c>
      <c r="GSG62" s="87" t="str">
        <f>IF(ISNUMBER(outYear),GSG37+GSG42+#REF!+GSG59,"")</f>
        <v/>
      </c>
      <c r="GSH62" s="87" t="str">
        <f>IF(ISNUMBER(outYear),GSH37+GSH42+#REF!+GSH59,"")</f>
        <v/>
      </c>
      <c r="GSI62" s="87" t="str">
        <f>IF(ISNUMBER(outYear),GSI37+GSI42+#REF!+GSI59,"")</f>
        <v/>
      </c>
      <c r="GSJ62" s="87" t="str">
        <f>IF(ISNUMBER(outYear),GSJ37+GSJ42+#REF!+GSJ59,"")</f>
        <v/>
      </c>
      <c r="GSK62" s="87" t="str">
        <f>IF(ISNUMBER(outYear),GSK37+GSK42+#REF!+GSK59,"")</f>
        <v/>
      </c>
      <c r="GSL62" s="87" t="str">
        <f>IF(ISNUMBER(outYear),GSL37+GSL42+#REF!+GSL59,"")</f>
        <v/>
      </c>
      <c r="GSM62" s="87" t="str">
        <f>IF(ISNUMBER(outYear),GSM37+GSM42+#REF!+GSM59,"")</f>
        <v/>
      </c>
      <c r="GSN62" s="87" t="str">
        <f>IF(ISNUMBER(outYear),GSN37+GSN42+#REF!+GSN59,"")</f>
        <v/>
      </c>
      <c r="GSO62" s="87" t="str">
        <f>IF(ISNUMBER(outYear),GSO37+GSO42+#REF!+GSO59,"")</f>
        <v/>
      </c>
      <c r="GSP62" s="87" t="str">
        <f>IF(ISNUMBER(outYear),GSP37+GSP42+#REF!+GSP59,"")</f>
        <v/>
      </c>
      <c r="GSQ62" s="87" t="str">
        <f>IF(ISNUMBER(outYear),GSQ37+GSQ42+#REF!+GSQ59,"")</f>
        <v/>
      </c>
      <c r="GSR62" s="87" t="str">
        <f>IF(ISNUMBER(outYear),GSR37+GSR42+#REF!+GSR59,"")</f>
        <v/>
      </c>
      <c r="GSS62" s="87" t="str">
        <f>IF(ISNUMBER(outYear),GSS37+GSS42+#REF!+GSS59,"")</f>
        <v/>
      </c>
      <c r="GST62" s="87" t="str">
        <f>IF(ISNUMBER(outYear),GST37+GST42+#REF!+GST59,"")</f>
        <v/>
      </c>
      <c r="GSU62" s="87" t="str">
        <f>IF(ISNUMBER(outYear),GSU37+GSU42+#REF!+GSU59,"")</f>
        <v/>
      </c>
      <c r="GSV62" s="87" t="str">
        <f>IF(ISNUMBER(outYear),GSV37+GSV42+#REF!+GSV59,"")</f>
        <v/>
      </c>
      <c r="GSW62" s="87" t="str">
        <f>IF(ISNUMBER(outYear),GSW37+GSW42+#REF!+GSW59,"")</f>
        <v/>
      </c>
      <c r="GSX62" s="87" t="str">
        <f>IF(ISNUMBER(outYear),GSX37+GSX42+#REF!+GSX59,"")</f>
        <v/>
      </c>
      <c r="GSY62" s="87" t="str">
        <f>IF(ISNUMBER(outYear),GSY37+GSY42+#REF!+GSY59,"")</f>
        <v/>
      </c>
      <c r="GSZ62" s="87" t="str">
        <f>IF(ISNUMBER(outYear),GSZ37+GSZ42+#REF!+GSZ59,"")</f>
        <v/>
      </c>
      <c r="GTA62" s="87" t="str">
        <f>IF(ISNUMBER(outYear),GTA37+GTA42+#REF!+GTA59,"")</f>
        <v/>
      </c>
      <c r="GTB62" s="87" t="str">
        <f>IF(ISNUMBER(outYear),GTB37+GTB42+#REF!+GTB59,"")</f>
        <v/>
      </c>
      <c r="GTC62" s="87" t="str">
        <f>IF(ISNUMBER(outYear),GTC37+GTC42+#REF!+GTC59,"")</f>
        <v/>
      </c>
      <c r="GTD62" s="87" t="str">
        <f>IF(ISNUMBER(outYear),GTD37+GTD42+#REF!+GTD59,"")</f>
        <v/>
      </c>
      <c r="GTE62" s="87" t="str">
        <f>IF(ISNUMBER(outYear),GTE37+GTE42+#REF!+GTE59,"")</f>
        <v/>
      </c>
      <c r="GTF62" s="87" t="str">
        <f>IF(ISNUMBER(outYear),GTF37+GTF42+#REF!+GTF59,"")</f>
        <v/>
      </c>
      <c r="GTG62" s="87" t="str">
        <f>IF(ISNUMBER(outYear),GTG37+GTG42+#REF!+GTG59,"")</f>
        <v/>
      </c>
      <c r="GTH62" s="87" t="str">
        <f>IF(ISNUMBER(outYear),GTH37+GTH42+#REF!+GTH59,"")</f>
        <v/>
      </c>
      <c r="GTI62" s="87" t="str">
        <f>IF(ISNUMBER(outYear),GTI37+GTI42+#REF!+GTI59,"")</f>
        <v/>
      </c>
      <c r="GTJ62" s="87" t="str">
        <f>IF(ISNUMBER(outYear),GTJ37+GTJ42+#REF!+GTJ59,"")</f>
        <v/>
      </c>
      <c r="GTK62" s="87" t="str">
        <f>IF(ISNUMBER(outYear),GTK37+GTK42+#REF!+GTK59,"")</f>
        <v/>
      </c>
      <c r="GTL62" s="87" t="str">
        <f>IF(ISNUMBER(outYear),GTL37+GTL42+#REF!+GTL59,"")</f>
        <v/>
      </c>
      <c r="GTM62" s="87" t="str">
        <f>IF(ISNUMBER(outYear),GTM37+GTM42+#REF!+GTM59,"")</f>
        <v/>
      </c>
      <c r="GTN62" s="87" t="str">
        <f>IF(ISNUMBER(outYear),GTN37+GTN42+#REF!+GTN59,"")</f>
        <v/>
      </c>
      <c r="GTO62" s="87" t="str">
        <f>IF(ISNUMBER(outYear),GTO37+GTO42+#REF!+GTO59,"")</f>
        <v/>
      </c>
      <c r="GTP62" s="87" t="str">
        <f>IF(ISNUMBER(outYear),GTP37+GTP42+#REF!+GTP59,"")</f>
        <v/>
      </c>
      <c r="GTQ62" s="87" t="str">
        <f>IF(ISNUMBER(outYear),GTQ37+GTQ42+#REF!+GTQ59,"")</f>
        <v/>
      </c>
      <c r="GTR62" s="87" t="str">
        <f>IF(ISNUMBER(outYear),GTR37+GTR42+#REF!+GTR59,"")</f>
        <v/>
      </c>
      <c r="GTS62" s="87" t="str">
        <f>IF(ISNUMBER(outYear),GTS37+GTS42+#REF!+GTS59,"")</f>
        <v/>
      </c>
      <c r="GTT62" s="87" t="str">
        <f>IF(ISNUMBER(outYear),GTT37+GTT42+#REF!+GTT59,"")</f>
        <v/>
      </c>
      <c r="GTU62" s="87" t="str">
        <f>IF(ISNUMBER(outYear),GTU37+GTU42+#REF!+GTU59,"")</f>
        <v/>
      </c>
      <c r="GTV62" s="87" t="str">
        <f>IF(ISNUMBER(outYear),GTV37+GTV42+#REF!+GTV59,"")</f>
        <v/>
      </c>
      <c r="GTW62" s="87" t="str">
        <f>IF(ISNUMBER(outYear),GTW37+GTW42+#REF!+GTW59,"")</f>
        <v/>
      </c>
      <c r="GTX62" s="87" t="str">
        <f>IF(ISNUMBER(outYear),GTX37+GTX42+#REF!+GTX59,"")</f>
        <v/>
      </c>
      <c r="GTY62" s="87" t="str">
        <f>IF(ISNUMBER(outYear),GTY37+GTY42+#REF!+GTY59,"")</f>
        <v/>
      </c>
      <c r="GTZ62" s="87" t="str">
        <f>IF(ISNUMBER(outYear),GTZ37+GTZ42+#REF!+GTZ59,"")</f>
        <v/>
      </c>
      <c r="GUA62" s="87" t="str">
        <f>IF(ISNUMBER(outYear),GUA37+GUA42+#REF!+GUA59,"")</f>
        <v/>
      </c>
      <c r="GUB62" s="87" t="str">
        <f>IF(ISNUMBER(outYear),GUB37+GUB42+#REF!+GUB59,"")</f>
        <v/>
      </c>
      <c r="GUC62" s="87" t="str">
        <f>IF(ISNUMBER(outYear),GUC37+GUC42+#REF!+GUC59,"")</f>
        <v/>
      </c>
      <c r="GUD62" s="87" t="str">
        <f>IF(ISNUMBER(outYear),GUD37+GUD42+#REF!+GUD59,"")</f>
        <v/>
      </c>
      <c r="GUE62" s="87" t="str">
        <f>IF(ISNUMBER(outYear),GUE37+GUE42+#REF!+GUE59,"")</f>
        <v/>
      </c>
      <c r="GUF62" s="87" t="str">
        <f>IF(ISNUMBER(outYear),GUF37+GUF42+#REF!+GUF59,"")</f>
        <v/>
      </c>
      <c r="GUG62" s="87" t="str">
        <f>IF(ISNUMBER(outYear),GUG37+GUG42+#REF!+GUG59,"")</f>
        <v/>
      </c>
      <c r="GUH62" s="87" t="str">
        <f>IF(ISNUMBER(outYear),GUH37+GUH42+#REF!+GUH59,"")</f>
        <v/>
      </c>
      <c r="GUI62" s="87" t="str">
        <f>IF(ISNUMBER(outYear),GUI37+GUI42+#REF!+GUI59,"")</f>
        <v/>
      </c>
      <c r="GUJ62" s="87" t="str">
        <f>IF(ISNUMBER(outYear),GUJ37+GUJ42+#REF!+GUJ59,"")</f>
        <v/>
      </c>
      <c r="GUK62" s="87" t="str">
        <f>IF(ISNUMBER(outYear),GUK37+GUK42+#REF!+GUK59,"")</f>
        <v/>
      </c>
      <c r="GUL62" s="87" t="str">
        <f>IF(ISNUMBER(outYear),GUL37+GUL42+#REF!+GUL59,"")</f>
        <v/>
      </c>
      <c r="GUM62" s="87" t="str">
        <f>IF(ISNUMBER(outYear),GUM37+GUM42+#REF!+GUM59,"")</f>
        <v/>
      </c>
      <c r="GUN62" s="87" t="str">
        <f>IF(ISNUMBER(outYear),GUN37+GUN42+#REF!+GUN59,"")</f>
        <v/>
      </c>
      <c r="GUO62" s="87" t="str">
        <f>IF(ISNUMBER(outYear),GUO37+GUO42+#REF!+GUO59,"")</f>
        <v/>
      </c>
      <c r="GUP62" s="87" t="str">
        <f>IF(ISNUMBER(outYear),GUP37+GUP42+#REF!+GUP59,"")</f>
        <v/>
      </c>
      <c r="GUQ62" s="87" t="str">
        <f>IF(ISNUMBER(outYear),GUQ37+GUQ42+#REF!+GUQ59,"")</f>
        <v/>
      </c>
      <c r="GUR62" s="87" t="str">
        <f>IF(ISNUMBER(outYear),GUR37+GUR42+#REF!+GUR59,"")</f>
        <v/>
      </c>
      <c r="GUS62" s="87" t="str">
        <f>IF(ISNUMBER(outYear),GUS37+GUS42+#REF!+GUS59,"")</f>
        <v/>
      </c>
      <c r="GUT62" s="87" t="str">
        <f>IF(ISNUMBER(outYear),GUT37+GUT42+#REF!+GUT59,"")</f>
        <v/>
      </c>
      <c r="GUU62" s="87" t="str">
        <f>IF(ISNUMBER(outYear),GUU37+GUU42+#REF!+GUU59,"")</f>
        <v/>
      </c>
      <c r="GUV62" s="87" t="str">
        <f>IF(ISNUMBER(outYear),GUV37+GUV42+#REF!+GUV59,"")</f>
        <v/>
      </c>
      <c r="GUW62" s="87" t="str">
        <f>IF(ISNUMBER(outYear),GUW37+GUW42+#REF!+GUW59,"")</f>
        <v/>
      </c>
      <c r="GUX62" s="87" t="str">
        <f>IF(ISNUMBER(outYear),GUX37+GUX42+#REF!+GUX59,"")</f>
        <v/>
      </c>
      <c r="GUY62" s="87" t="str">
        <f>IF(ISNUMBER(outYear),GUY37+GUY42+#REF!+GUY59,"")</f>
        <v/>
      </c>
      <c r="GUZ62" s="87" t="str">
        <f>IF(ISNUMBER(outYear),GUZ37+GUZ42+#REF!+GUZ59,"")</f>
        <v/>
      </c>
      <c r="GVA62" s="87" t="str">
        <f>IF(ISNUMBER(outYear),GVA37+GVA42+#REF!+GVA59,"")</f>
        <v/>
      </c>
      <c r="GVB62" s="87" t="str">
        <f>IF(ISNUMBER(outYear),GVB37+GVB42+#REF!+GVB59,"")</f>
        <v/>
      </c>
      <c r="GVC62" s="87" t="str">
        <f>IF(ISNUMBER(outYear),GVC37+GVC42+#REF!+GVC59,"")</f>
        <v/>
      </c>
      <c r="GVD62" s="87" t="str">
        <f>IF(ISNUMBER(outYear),GVD37+GVD42+#REF!+GVD59,"")</f>
        <v/>
      </c>
      <c r="GVE62" s="87" t="str">
        <f>IF(ISNUMBER(outYear),GVE37+GVE42+#REF!+GVE59,"")</f>
        <v/>
      </c>
      <c r="GVF62" s="87" t="str">
        <f>IF(ISNUMBER(outYear),GVF37+GVF42+#REF!+GVF59,"")</f>
        <v/>
      </c>
      <c r="GVG62" s="87" t="str">
        <f>IF(ISNUMBER(outYear),GVG37+GVG42+#REF!+GVG59,"")</f>
        <v/>
      </c>
      <c r="GVH62" s="87" t="str">
        <f>IF(ISNUMBER(outYear),GVH37+GVH42+#REF!+GVH59,"")</f>
        <v/>
      </c>
      <c r="GVI62" s="87" t="str">
        <f>IF(ISNUMBER(outYear),GVI37+GVI42+#REF!+GVI59,"")</f>
        <v/>
      </c>
      <c r="GVJ62" s="87" t="str">
        <f>IF(ISNUMBER(outYear),GVJ37+GVJ42+#REF!+GVJ59,"")</f>
        <v/>
      </c>
      <c r="GVK62" s="87" t="str">
        <f>IF(ISNUMBER(outYear),GVK37+GVK42+#REF!+GVK59,"")</f>
        <v/>
      </c>
      <c r="GVL62" s="87" t="str">
        <f>IF(ISNUMBER(outYear),GVL37+GVL42+#REF!+GVL59,"")</f>
        <v/>
      </c>
      <c r="GVM62" s="87" t="str">
        <f>IF(ISNUMBER(outYear),GVM37+GVM42+#REF!+GVM59,"")</f>
        <v/>
      </c>
      <c r="GVN62" s="87" t="str">
        <f>IF(ISNUMBER(outYear),GVN37+GVN42+#REF!+GVN59,"")</f>
        <v/>
      </c>
      <c r="GVO62" s="87" t="str">
        <f>IF(ISNUMBER(outYear),GVO37+GVO42+#REF!+GVO59,"")</f>
        <v/>
      </c>
      <c r="GVP62" s="87" t="str">
        <f>IF(ISNUMBER(outYear),GVP37+GVP42+#REF!+GVP59,"")</f>
        <v/>
      </c>
      <c r="GVQ62" s="87" t="str">
        <f>IF(ISNUMBER(outYear),GVQ37+GVQ42+#REF!+GVQ59,"")</f>
        <v/>
      </c>
      <c r="GVR62" s="87" t="str">
        <f>IF(ISNUMBER(outYear),GVR37+GVR42+#REF!+GVR59,"")</f>
        <v/>
      </c>
      <c r="GVS62" s="87" t="str">
        <f>IF(ISNUMBER(outYear),GVS37+GVS42+#REF!+GVS59,"")</f>
        <v/>
      </c>
      <c r="GVT62" s="87" t="str">
        <f>IF(ISNUMBER(outYear),GVT37+GVT42+#REF!+GVT59,"")</f>
        <v/>
      </c>
      <c r="GVU62" s="87" t="str">
        <f>IF(ISNUMBER(outYear),GVU37+GVU42+#REF!+GVU59,"")</f>
        <v/>
      </c>
      <c r="GVV62" s="87" t="str">
        <f>IF(ISNUMBER(outYear),GVV37+GVV42+#REF!+GVV59,"")</f>
        <v/>
      </c>
      <c r="GVW62" s="87" t="str">
        <f>IF(ISNUMBER(outYear),GVW37+GVW42+#REF!+GVW59,"")</f>
        <v/>
      </c>
      <c r="GVX62" s="87" t="str">
        <f>IF(ISNUMBER(outYear),GVX37+GVX42+#REF!+GVX59,"")</f>
        <v/>
      </c>
      <c r="GVY62" s="87" t="str">
        <f>IF(ISNUMBER(outYear),GVY37+GVY42+#REF!+GVY59,"")</f>
        <v/>
      </c>
      <c r="GVZ62" s="87" t="str">
        <f>IF(ISNUMBER(outYear),GVZ37+GVZ42+#REF!+GVZ59,"")</f>
        <v/>
      </c>
      <c r="GWA62" s="87" t="str">
        <f>IF(ISNUMBER(outYear),GWA37+GWA42+#REF!+GWA59,"")</f>
        <v/>
      </c>
      <c r="GWB62" s="87" t="str">
        <f>IF(ISNUMBER(outYear),GWB37+GWB42+#REF!+GWB59,"")</f>
        <v/>
      </c>
      <c r="GWC62" s="87" t="str">
        <f>IF(ISNUMBER(outYear),GWC37+GWC42+#REF!+GWC59,"")</f>
        <v/>
      </c>
      <c r="GWD62" s="87" t="str">
        <f>IF(ISNUMBER(outYear),GWD37+GWD42+#REF!+GWD59,"")</f>
        <v/>
      </c>
      <c r="GWE62" s="87" t="str">
        <f>IF(ISNUMBER(outYear),GWE37+GWE42+#REF!+GWE59,"")</f>
        <v/>
      </c>
      <c r="GWF62" s="87" t="str">
        <f>IF(ISNUMBER(outYear),GWF37+GWF42+#REF!+GWF59,"")</f>
        <v/>
      </c>
      <c r="GWG62" s="87" t="str">
        <f>IF(ISNUMBER(outYear),GWG37+GWG42+#REF!+GWG59,"")</f>
        <v/>
      </c>
      <c r="GWH62" s="87" t="str">
        <f>IF(ISNUMBER(outYear),GWH37+GWH42+#REF!+GWH59,"")</f>
        <v/>
      </c>
      <c r="GWI62" s="87" t="str">
        <f>IF(ISNUMBER(outYear),GWI37+GWI42+#REF!+GWI59,"")</f>
        <v/>
      </c>
      <c r="GWJ62" s="87" t="str">
        <f>IF(ISNUMBER(outYear),GWJ37+GWJ42+#REF!+GWJ59,"")</f>
        <v/>
      </c>
      <c r="GWK62" s="87" t="str">
        <f>IF(ISNUMBER(outYear),GWK37+GWK42+#REF!+GWK59,"")</f>
        <v/>
      </c>
      <c r="GWL62" s="87" t="str">
        <f>IF(ISNUMBER(outYear),GWL37+GWL42+#REF!+GWL59,"")</f>
        <v/>
      </c>
      <c r="GWM62" s="87" t="str">
        <f>IF(ISNUMBER(outYear),GWM37+GWM42+#REF!+GWM59,"")</f>
        <v/>
      </c>
      <c r="GWN62" s="87" t="str">
        <f>IF(ISNUMBER(outYear),GWN37+GWN42+#REF!+GWN59,"")</f>
        <v/>
      </c>
      <c r="GWO62" s="87" t="str">
        <f>IF(ISNUMBER(outYear),GWO37+GWO42+#REF!+GWO59,"")</f>
        <v/>
      </c>
      <c r="GWP62" s="87" t="str">
        <f>IF(ISNUMBER(outYear),GWP37+GWP42+#REF!+GWP59,"")</f>
        <v/>
      </c>
      <c r="GWQ62" s="87" t="str">
        <f>IF(ISNUMBER(outYear),GWQ37+GWQ42+#REF!+GWQ59,"")</f>
        <v/>
      </c>
      <c r="GWR62" s="87" t="str">
        <f>IF(ISNUMBER(outYear),GWR37+GWR42+#REF!+GWR59,"")</f>
        <v/>
      </c>
      <c r="GWS62" s="87" t="str">
        <f>IF(ISNUMBER(outYear),GWS37+GWS42+#REF!+GWS59,"")</f>
        <v/>
      </c>
      <c r="GWT62" s="87" t="str">
        <f>IF(ISNUMBER(outYear),GWT37+GWT42+#REF!+GWT59,"")</f>
        <v/>
      </c>
      <c r="GWU62" s="87" t="str">
        <f>IF(ISNUMBER(outYear),GWU37+GWU42+#REF!+GWU59,"")</f>
        <v/>
      </c>
      <c r="GWV62" s="87" t="str">
        <f>IF(ISNUMBER(outYear),GWV37+GWV42+#REF!+GWV59,"")</f>
        <v/>
      </c>
      <c r="GWW62" s="87" t="str">
        <f>IF(ISNUMBER(outYear),GWW37+GWW42+#REF!+GWW59,"")</f>
        <v/>
      </c>
      <c r="GWX62" s="87" t="str">
        <f>IF(ISNUMBER(outYear),GWX37+GWX42+#REF!+GWX59,"")</f>
        <v/>
      </c>
      <c r="GWY62" s="87" t="str">
        <f>IF(ISNUMBER(outYear),GWY37+GWY42+#REF!+GWY59,"")</f>
        <v/>
      </c>
      <c r="GWZ62" s="87" t="str">
        <f>IF(ISNUMBER(outYear),GWZ37+GWZ42+#REF!+GWZ59,"")</f>
        <v/>
      </c>
      <c r="GXA62" s="87" t="str">
        <f>IF(ISNUMBER(outYear),GXA37+GXA42+#REF!+GXA59,"")</f>
        <v/>
      </c>
      <c r="GXB62" s="87" t="str">
        <f>IF(ISNUMBER(outYear),GXB37+GXB42+#REF!+GXB59,"")</f>
        <v/>
      </c>
      <c r="GXC62" s="87" t="str">
        <f>IF(ISNUMBER(outYear),GXC37+GXC42+#REF!+GXC59,"")</f>
        <v/>
      </c>
      <c r="GXD62" s="87" t="str">
        <f>IF(ISNUMBER(outYear),GXD37+GXD42+#REF!+GXD59,"")</f>
        <v/>
      </c>
      <c r="GXE62" s="87" t="str">
        <f>IF(ISNUMBER(outYear),GXE37+GXE42+#REF!+GXE59,"")</f>
        <v/>
      </c>
      <c r="GXF62" s="87" t="str">
        <f>IF(ISNUMBER(outYear),GXF37+GXF42+#REF!+GXF59,"")</f>
        <v/>
      </c>
      <c r="GXG62" s="87" t="str">
        <f>IF(ISNUMBER(outYear),GXG37+GXG42+#REF!+GXG59,"")</f>
        <v/>
      </c>
      <c r="GXH62" s="87" t="str">
        <f>IF(ISNUMBER(outYear),GXH37+GXH42+#REF!+GXH59,"")</f>
        <v/>
      </c>
      <c r="GXI62" s="87" t="str">
        <f>IF(ISNUMBER(outYear),GXI37+GXI42+#REF!+GXI59,"")</f>
        <v/>
      </c>
      <c r="GXJ62" s="87" t="str">
        <f>IF(ISNUMBER(outYear),GXJ37+GXJ42+#REF!+GXJ59,"")</f>
        <v/>
      </c>
      <c r="GXK62" s="87" t="str">
        <f>IF(ISNUMBER(outYear),GXK37+GXK42+#REF!+GXK59,"")</f>
        <v/>
      </c>
      <c r="GXL62" s="87" t="str">
        <f>IF(ISNUMBER(outYear),GXL37+GXL42+#REF!+GXL59,"")</f>
        <v/>
      </c>
      <c r="GXM62" s="87" t="str">
        <f>IF(ISNUMBER(outYear),GXM37+GXM42+#REF!+GXM59,"")</f>
        <v/>
      </c>
      <c r="GXN62" s="87" t="str">
        <f>IF(ISNUMBER(outYear),GXN37+GXN42+#REF!+GXN59,"")</f>
        <v/>
      </c>
      <c r="GXO62" s="87" t="str">
        <f>IF(ISNUMBER(outYear),GXO37+GXO42+#REF!+GXO59,"")</f>
        <v/>
      </c>
      <c r="GXP62" s="87" t="str">
        <f>IF(ISNUMBER(outYear),GXP37+GXP42+#REF!+GXP59,"")</f>
        <v/>
      </c>
      <c r="GXQ62" s="87" t="str">
        <f>IF(ISNUMBER(outYear),GXQ37+GXQ42+#REF!+GXQ59,"")</f>
        <v/>
      </c>
      <c r="GXR62" s="87" t="str">
        <f>IF(ISNUMBER(outYear),GXR37+GXR42+#REF!+GXR59,"")</f>
        <v/>
      </c>
      <c r="GXS62" s="87" t="str">
        <f>IF(ISNUMBER(outYear),GXS37+GXS42+#REF!+GXS59,"")</f>
        <v/>
      </c>
      <c r="GXT62" s="87" t="str">
        <f>IF(ISNUMBER(outYear),GXT37+GXT42+#REF!+GXT59,"")</f>
        <v/>
      </c>
      <c r="GXU62" s="87" t="str">
        <f>IF(ISNUMBER(outYear),GXU37+GXU42+#REF!+GXU59,"")</f>
        <v/>
      </c>
      <c r="GXV62" s="87" t="str">
        <f>IF(ISNUMBER(outYear),GXV37+GXV42+#REF!+GXV59,"")</f>
        <v/>
      </c>
      <c r="GXW62" s="87" t="str">
        <f>IF(ISNUMBER(outYear),GXW37+GXW42+#REF!+GXW59,"")</f>
        <v/>
      </c>
      <c r="GXX62" s="87" t="str">
        <f>IF(ISNUMBER(outYear),GXX37+GXX42+#REF!+GXX59,"")</f>
        <v/>
      </c>
      <c r="GXY62" s="87" t="str">
        <f>IF(ISNUMBER(outYear),GXY37+GXY42+#REF!+GXY59,"")</f>
        <v/>
      </c>
      <c r="GXZ62" s="87" t="str">
        <f>IF(ISNUMBER(outYear),GXZ37+GXZ42+#REF!+GXZ59,"")</f>
        <v/>
      </c>
      <c r="GYA62" s="87" t="str">
        <f>IF(ISNUMBER(outYear),GYA37+GYA42+#REF!+GYA59,"")</f>
        <v/>
      </c>
      <c r="GYB62" s="87" t="str">
        <f>IF(ISNUMBER(outYear),GYB37+GYB42+#REF!+GYB59,"")</f>
        <v/>
      </c>
      <c r="GYC62" s="87" t="str">
        <f>IF(ISNUMBER(outYear),GYC37+GYC42+#REF!+GYC59,"")</f>
        <v/>
      </c>
      <c r="GYD62" s="87" t="str">
        <f>IF(ISNUMBER(outYear),GYD37+GYD42+#REF!+GYD59,"")</f>
        <v/>
      </c>
      <c r="GYE62" s="87" t="str">
        <f>IF(ISNUMBER(outYear),GYE37+GYE42+#REF!+GYE59,"")</f>
        <v/>
      </c>
      <c r="GYF62" s="87" t="str">
        <f>IF(ISNUMBER(outYear),GYF37+GYF42+#REF!+GYF59,"")</f>
        <v/>
      </c>
      <c r="GYG62" s="87" t="str">
        <f>IF(ISNUMBER(outYear),GYG37+GYG42+#REF!+GYG59,"")</f>
        <v/>
      </c>
      <c r="GYH62" s="87" t="str">
        <f>IF(ISNUMBER(outYear),GYH37+GYH42+#REF!+GYH59,"")</f>
        <v/>
      </c>
      <c r="GYI62" s="87" t="str">
        <f>IF(ISNUMBER(outYear),GYI37+GYI42+#REF!+GYI59,"")</f>
        <v/>
      </c>
      <c r="GYJ62" s="87" t="str">
        <f>IF(ISNUMBER(outYear),GYJ37+GYJ42+#REF!+GYJ59,"")</f>
        <v/>
      </c>
      <c r="GYK62" s="87" t="str">
        <f>IF(ISNUMBER(outYear),GYK37+GYK42+#REF!+GYK59,"")</f>
        <v/>
      </c>
      <c r="GYL62" s="87" t="str">
        <f>IF(ISNUMBER(outYear),GYL37+GYL42+#REF!+GYL59,"")</f>
        <v/>
      </c>
      <c r="GYM62" s="87" t="str">
        <f>IF(ISNUMBER(outYear),GYM37+GYM42+#REF!+GYM59,"")</f>
        <v/>
      </c>
      <c r="GYN62" s="87" t="str">
        <f>IF(ISNUMBER(outYear),GYN37+GYN42+#REF!+GYN59,"")</f>
        <v/>
      </c>
      <c r="GYO62" s="87" t="str">
        <f>IF(ISNUMBER(outYear),GYO37+GYO42+#REF!+GYO59,"")</f>
        <v/>
      </c>
      <c r="GYP62" s="87" t="str">
        <f>IF(ISNUMBER(outYear),GYP37+GYP42+#REF!+GYP59,"")</f>
        <v/>
      </c>
      <c r="GYQ62" s="87" t="str">
        <f>IF(ISNUMBER(outYear),GYQ37+GYQ42+#REF!+GYQ59,"")</f>
        <v/>
      </c>
      <c r="GYR62" s="87" t="str">
        <f>IF(ISNUMBER(outYear),GYR37+GYR42+#REF!+GYR59,"")</f>
        <v/>
      </c>
      <c r="GYS62" s="87" t="str">
        <f>IF(ISNUMBER(outYear),GYS37+GYS42+#REF!+GYS59,"")</f>
        <v/>
      </c>
      <c r="GYT62" s="87" t="str">
        <f>IF(ISNUMBER(outYear),GYT37+GYT42+#REF!+GYT59,"")</f>
        <v/>
      </c>
      <c r="GYU62" s="87" t="str">
        <f>IF(ISNUMBER(outYear),GYU37+GYU42+#REF!+GYU59,"")</f>
        <v/>
      </c>
      <c r="GYV62" s="87" t="str">
        <f>IF(ISNUMBER(outYear),GYV37+GYV42+#REF!+GYV59,"")</f>
        <v/>
      </c>
      <c r="GYW62" s="87" t="str">
        <f>IF(ISNUMBER(outYear),GYW37+GYW42+#REF!+GYW59,"")</f>
        <v/>
      </c>
      <c r="GYX62" s="87" t="str">
        <f>IF(ISNUMBER(outYear),GYX37+GYX42+#REF!+GYX59,"")</f>
        <v/>
      </c>
      <c r="GYY62" s="87" t="str">
        <f>IF(ISNUMBER(outYear),GYY37+GYY42+#REF!+GYY59,"")</f>
        <v/>
      </c>
      <c r="GYZ62" s="87" t="str">
        <f>IF(ISNUMBER(outYear),GYZ37+GYZ42+#REF!+GYZ59,"")</f>
        <v/>
      </c>
      <c r="GZA62" s="87" t="str">
        <f>IF(ISNUMBER(outYear),GZA37+GZA42+#REF!+GZA59,"")</f>
        <v/>
      </c>
      <c r="GZB62" s="87" t="str">
        <f>IF(ISNUMBER(outYear),GZB37+GZB42+#REF!+GZB59,"")</f>
        <v/>
      </c>
      <c r="GZC62" s="87" t="str">
        <f>IF(ISNUMBER(outYear),GZC37+GZC42+#REF!+GZC59,"")</f>
        <v/>
      </c>
      <c r="GZD62" s="87" t="str">
        <f>IF(ISNUMBER(outYear),GZD37+GZD42+#REF!+GZD59,"")</f>
        <v/>
      </c>
      <c r="GZE62" s="87" t="str">
        <f>IF(ISNUMBER(outYear),GZE37+GZE42+#REF!+GZE59,"")</f>
        <v/>
      </c>
      <c r="GZF62" s="87" t="str">
        <f>IF(ISNUMBER(outYear),GZF37+GZF42+#REF!+GZF59,"")</f>
        <v/>
      </c>
      <c r="GZG62" s="87" t="str">
        <f>IF(ISNUMBER(outYear),GZG37+GZG42+#REF!+GZG59,"")</f>
        <v/>
      </c>
      <c r="GZH62" s="87" t="str">
        <f>IF(ISNUMBER(outYear),GZH37+GZH42+#REF!+GZH59,"")</f>
        <v/>
      </c>
      <c r="GZI62" s="87" t="str">
        <f>IF(ISNUMBER(outYear),GZI37+GZI42+#REF!+GZI59,"")</f>
        <v/>
      </c>
      <c r="GZJ62" s="87" t="str">
        <f>IF(ISNUMBER(outYear),GZJ37+GZJ42+#REF!+GZJ59,"")</f>
        <v/>
      </c>
      <c r="GZK62" s="87" t="str">
        <f>IF(ISNUMBER(outYear),GZK37+GZK42+#REF!+GZK59,"")</f>
        <v/>
      </c>
      <c r="GZL62" s="87" t="str">
        <f>IF(ISNUMBER(outYear),GZL37+GZL42+#REF!+GZL59,"")</f>
        <v/>
      </c>
      <c r="GZM62" s="87" t="str">
        <f>IF(ISNUMBER(outYear),GZM37+GZM42+#REF!+GZM59,"")</f>
        <v/>
      </c>
      <c r="GZN62" s="87" t="str">
        <f>IF(ISNUMBER(outYear),GZN37+GZN42+#REF!+GZN59,"")</f>
        <v/>
      </c>
      <c r="GZO62" s="87" t="str">
        <f>IF(ISNUMBER(outYear),GZO37+GZO42+#REF!+GZO59,"")</f>
        <v/>
      </c>
      <c r="GZP62" s="87" t="str">
        <f>IF(ISNUMBER(outYear),GZP37+GZP42+#REF!+GZP59,"")</f>
        <v/>
      </c>
      <c r="GZQ62" s="87" t="str">
        <f>IF(ISNUMBER(outYear),GZQ37+GZQ42+#REF!+GZQ59,"")</f>
        <v/>
      </c>
      <c r="GZR62" s="87" t="str">
        <f>IF(ISNUMBER(outYear),GZR37+GZR42+#REF!+GZR59,"")</f>
        <v/>
      </c>
      <c r="GZS62" s="87" t="str">
        <f>IF(ISNUMBER(outYear),GZS37+GZS42+#REF!+GZS59,"")</f>
        <v/>
      </c>
      <c r="GZT62" s="87" t="str">
        <f>IF(ISNUMBER(outYear),GZT37+GZT42+#REF!+GZT59,"")</f>
        <v/>
      </c>
      <c r="GZU62" s="87" t="str">
        <f>IF(ISNUMBER(outYear),GZU37+GZU42+#REF!+GZU59,"")</f>
        <v/>
      </c>
      <c r="GZV62" s="87" t="str">
        <f>IF(ISNUMBER(outYear),GZV37+GZV42+#REF!+GZV59,"")</f>
        <v/>
      </c>
      <c r="GZW62" s="87" t="str">
        <f>IF(ISNUMBER(outYear),GZW37+GZW42+#REF!+GZW59,"")</f>
        <v/>
      </c>
      <c r="GZX62" s="87" t="str">
        <f>IF(ISNUMBER(outYear),GZX37+GZX42+#REF!+GZX59,"")</f>
        <v/>
      </c>
      <c r="GZY62" s="87" t="str">
        <f>IF(ISNUMBER(outYear),GZY37+GZY42+#REF!+GZY59,"")</f>
        <v/>
      </c>
      <c r="GZZ62" s="87" t="str">
        <f>IF(ISNUMBER(outYear),GZZ37+GZZ42+#REF!+GZZ59,"")</f>
        <v/>
      </c>
      <c r="HAA62" s="87" t="str">
        <f>IF(ISNUMBER(outYear),HAA37+HAA42+#REF!+HAA59,"")</f>
        <v/>
      </c>
      <c r="HAB62" s="87" t="str">
        <f>IF(ISNUMBER(outYear),HAB37+HAB42+#REF!+HAB59,"")</f>
        <v/>
      </c>
      <c r="HAC62" s="87" t="str">
        <f>IF(ISNUMBER(outYear),HAC37+HAC42+#REF!+HAC59,"")</f>
        <v/>
      </c>
      <c r="HAD62" s="87" t="str">
        <f>IF(ISNUMBER(outYear),HAD37+HAD42+#REF!+HAD59,"")</f>
        <v/>
      </c>
      <c r="HAE62" s="87" t="str">
        <f>IF(ISNUMBER(outYear),HAE37+HAE42+#REF!+HAE59,"")</f>
        <v/>
      </c>
      <c r="HAF62" s="87" t="str">
        <f>IF(ISNUMBER(outYear),HAF37+HAF42+#REF!+HAF59,"")</f>
        <v/>
      </c>
      <c r="HAG62" s="87" t="str">
        <f>IF(ISNUMBER(outYear),HAG37+HAG42+#REF!+HAG59,"")</f>
        <v/>
      </c>
      <c r="HAH62" s="87" t="str">
        <f>IF(ISNUMBER(outYear),HAH37+HAH42+#REF!+HAH59,"")</f>
        <v/>
      </c>
      <c r="HAI62" s="87" t="str">
        <f>IF(ISNUMBER(outYear),HAI37+HAI42+#REF!+HAI59,"")</f>
        <v/>
      </c>
      <c r="HAJ62" s="87" t="str">
        <f>IF(ISNUMBER(outYear),HAJ37+HAJ42+#REF!+HAJ59,"")</f>
        <v/>
      </c>
      <c r="HAK62" s="87" t="str">
        <f>IF(ISNUMBER(outYear),HAK37+HAK42+#REF!+HAK59,"")</f>
        <v/>
      </c>
      <c r="HAL62" s="87" t="str">
        <f>IF(ISNUMBER(outYear),HAL37+HAL42+#REF!+HAL59,"")</f>
        <v/>
      </c>
      <c r="HAM62" s="87" t="str">
        <f>IF(ISNUMBER(outYear),HAM37+HAM42+#REF!+HAM59,"")</f>
        <v/>
      </c>
      <c r="HAN62" s="87" t="str">
        <f>IF(ISNUMBER(outYear),HAN37+HAN42+#REF!+HAN59,"")</f>
        <v/>
      </c>
      <c r="HAO62" s="87" t="str">
        <f>IF(ISNUMBER(outYear),HAO37+HAO42+#REF!+HAO59,"")</f>
        <v/>
      </c>
      <c r="HAP62" s="87" t="str">
        <f>IF(ISNUMBER(outYear),HAP37+HAP42+#REF!+HAP59,"")</f>
        <v/>
      </c>
      <c r="HAQ62" s="87" t="str">
        <f>IF(ISNUMBER(outYear),HAQ37+HAQ42+#REF!+HAQ59,"")</f>
        <v/>
      </c>
      <c r="HAR62" s="87" t="str">
        <f>IF(ISNUMBER(outYear),HAR37+HAR42+#REF!+HAR59,"")</f>
        <v/>
      </c>
      <c r="HAS62" s="87" t="str">
        <f>IF(ISNUMBER(outYear),HAS37+HAS42+#REF!+HAS59,"")</f>
        <v/>
      </c>
      <c r="HAT62" s="87" t="str">
        <f>IF(ISNUMBER(outYear),HAT37+HAT42+#REF!+HAT59,"")</f>
        <v/>
      </c>
      <c r="HAU62" s="87" t="str">
        <f>IF(ISNUMBER(outYear),HAU37+HAU42+#REF!+HAU59,"")</f>
        <v/>
      </c>
      <c r="HAV62" s="87" t="str">
        <f>IF(ISNUMBER(outYear),HAV37+HAV42+#REF!+HAV59,"")</f>
        <v/>
      </c>
      <c r="HAW62" s="87" t="str">
        <f>IF(ISNUMBER(outYear),HAW37+HAW42+#REF!+HAW59,"")</f>
        <v/>
      </c>
      <c r="HAX62" s="87" t="str">
        <f>IF(ISNUMBER(outYear),HAX37+HAX42+#REF!+HAX59,"")</f>
        <v/>
      </c>
      <c r="HAY62" s="87" t="str">
        <f>IF(ISNUMBER(outYear),HAY37+HAY42+#REF!+HAY59,"")</f>
        <v/>
      </c>
      <c r="HAZ62" s="87" t="str">
        <f>IF(ISNUMBER(outYear),HAZ37+HAZ42+#REF!+HAZ59,"")</f>
        <v/>
      </c>
      <c r="HBA62" s="87" t="str">
        <f>IF(ISNUMBER(outYear),HBA37+HBA42+#REF!+HBA59,"")</f>
        <v/>
      </c>
      <c r="HBB62" s="87" t="str">
        <f>IF(ISNUMBER(outYear),HBB37+HBB42+#REF!+HBB59,"")</f>
        <v/>
      </c>
      <c r="HBC62" s="87" t="str">
        <f>IF(ISNUMBER(outYear),HBC37+HBC42+#REF!+HBC59,"")</f>
        <v/>
      </c>
      <c r="HBD62" s="87" t="str">
        <f>IF(ISNUMBER(outYear),HBD37+HBD42+#REF!+HBD59,"")</f>
        <v/>
      </c>
      <c r="HBE62" s="87" t="str">
        <f>IF(ISNUMBER(outYear),HBE37+HBE42+#REF!+HBE59,"")</f>
        <v/>
      </c>
      <c r="HBF62" s="87" t="str">
        <f>IF(ISNUMBER(outYear),HBF37+HBF42+#REF!+HBF59,"")</f>
        <v/>
      </c>
      <c r="HBG62" s="87" t="str">
        <f>IF(ISNUMBER(outYear),HBG37+HBG42+#REF!+HBG59,"")</f>
        <v/>
      </c>
      <c r="HBH62" s="87" t="str">
        <f>IF(ISNUMBER(outYear),HBH37+HBH42+#REF!+HBH59,"")</f>
        <v/>
      </c>
      <c r="HBI62" s="87" t="str">
        <f>IF(ISNUMBER(outYear),HBI37+HBI42+#REF!+HBI59,"")</f>
        <v/>
      </c>
      <c r="HBJ62" s="87" t="str">
        <f>IF(ISNUMBER(outYear),HBJ37+HBJ42+#REF!+HBJ59,"")</f>
        <v/>
      </c>
      <c r="HBK62" s="87" t="str">
        <f>IF(ISNUMBER(outYear),HBK37+HBK42+#REF!+HBK59,"")</f>
        <v/>
      </c>
      <c r="HBL62" s="87" t="str">
        <f>IF(ISNUMBER(outYear),HBL37+HBL42+#REF!+HBL59,"")</f>
        <v/>
      </c>
      <c r="HBM62" s="87" t="str">
        <f>IF(ISNUMBER(outYear),HBM37+HBM42+#REF!+HBM59,"")</f>
        <v/>
      </c>
      <c r="HBN62" s="87" t="str">
        <f>IF(ISNUMBER(outYear),HBN37+HBN42+#REF!+HBN59,"")</f>
        <v/>
      </c>
      <c r="HBO62" s="87" t="str">
        <f>IF(ISNUMBER(outYear),HBO37+HBO42+#REF!+HBO59,"")</f>
        <v/>
      </c>
      <c r="HBP62" s="87" t="str">
        <f>IF(ISNUMBER(outYear),HBP37+HBP42+#REF!+HBP59,"")</f>
        <v/>
      </c>
      <c r="HBQ62" s="87" t="str">
        <f>IF(ISNUMBER(outYear),HBQ37+HBQ42+#REF!+HBQ59,"")</f>
        <v/>
      </c>
      <c r="HBR62" s="87" t="str">
        <f>IF(ISNUMBER(outYear),HBR37+HBR42+#REF!+HBR59,"")</f>
        <v/>
      </c>
      <c r="HBS62" s="87" t="str">
        <f>IF(ISNUMBER(outYear),HBS37+HBS42+#REF!+HBS59,"")</f>
        <v/>
      </c>
      <c r="HBT62" s="87" t="str">
        <f>IF(ISNUMBER(outYear),HBT37+HBT42+#REF!+HBT59,"")</f>
        <v/>
      </c>
      <c r="HBU62" s="87" t="str">
        <f>IF(ISNUMBER(outYear),HBU37+HBU42+#REF!+HBU59,"")</f>
        <v/>
      </c>
      <c r="HBV62" s="87" t="str">
        <f>IF(ISNUMBER(outYear),HBV37+HBV42+#REF!+HBV59,"")</f>
        <v/>
      </c>
      <c r="HBW62" s="87" t="str">
        <f>IF(ISNUMBER(outYear),HBW37+HBW42+#REF!+HBW59,"")</f>
        <v/>
      </c>
      <c r="HBX62" s="87" t="str">
        <f>IF(ISNUMBER(outYear),HBX37+HBX42+#REF!+HBX59,"")</f>
        <v/>
      </c>
      <c r="HBY62" s="87" t="str">
        <f>IF(ISNUMBER(outYear),HBY37+HBY42+#REF!+HBY59,"")</f>
        <v/>
      </c>
      <c r="HBZ62" s="87" t="str">
        <f>IF(ISNUMBER(outYear),HBZ37+HBZ42+#REF!+HBZ59,"")</f>
        <v/>
      </c>
      <c r="HCA62" s="87" t="str">
        <f>IF(ISNUMBER(outYear),HCA37+HCA42+#REF!+HCA59,"")</f>
        <v/>
      </c>
      <c r="HCB62" s="87" t="str">
        <f>IF(ISNUMBER(outYear),HCB37+HCB42+#REF!+HCB59,"")</f>
        <v/>
      </c>
      <c r="HCC62" s="87" t="str">
        <f>IF(ISNUMBER(outYear),HCC37+HCC42+#REF!+HCC59,"")</f>
        <v/>
      </c>
      <c r="HCD62" s="87" t="str">
        <f>IF(ISNUMBER(outYear),HCD37+HCD42+#REF!+HCD59,"")</f>
        <v/>
      </c>
      <c r="HCE62" s="87" t="str">
        <f>IF(ISNUMBER(outYear),HCE37+HCE42+#REF!+HCE59,"")</f>
        <v/>
      </c>
      <c r="HCF62" s="87" t="str">
        <f>IF(ISNUMBER(outYear),HCF37+HCF42+#REF!+HCF59,"")</f>
        <v/>
      </c>
      <c r="HCG62" s="87" t="str">
        <f>IF(ISNUMBER(outYear),HCG37+HCG42+#REF!+HCG59,"")</f>
        <v/>
      </c>
      <c r="HCH62" s="87" t="str">
        <f>IF(ISNUMBER(outYear),HCH37+HCH42+#REF!+HCH59,"")</f>
        <v/>
      </c>
      <c r="HCI62" s="87" t="str">
        <f>IF(ISNUMBER(outYear),HCI37+HCI42+#REF!+HCI59,"")</f>
        <v/>
      </c>
      <c r="HCJ62" s="87" t="str">
        <f>IF(ISNUMBER(outYear),HCJ37+HCJ42+#REF!+HCJ59,"")</f>
        <v/>
      </c>
      <c r="HCK62" s="87" t="str">
        <f>IF(ISNUMBER(outYear),HCK37+HCK42+#REF!+HCK59,"")</f>
        <v/>
      </c>
      <c r="HCL62" s="87" t="str">
        <f>IF(ISNUMBER(outYear),HCL37+HCL42+#REF!+HCL59,"")</f>
        <v/>
      </c>
      <c r="HCM62" s="87" t="str">
        <f>IF(ISNUMBER(outYear),HCM37+HCM42+#REF!+HCM59,"")</f>
        <v/>
      </c>
      <c r="HCN62" s="87" t="str">
        <f>IF(ISNUMBER(outYear),HCN37+HCN42+#REF!+HCN59,"")</f>
        <v/>
      </c>
      <c r="HCO62" s="87" t="str">
        <f>IF(ISNUMBER(outYear),HCO37+HCO42+#REF!+HCO59,"")</f>
        <v/>
      </c>
      <c r="HCP62" s="87" t="str">
        <f>IF(ISNUMBER(outYear),HCP37+HCP42+#REF!+HCP59,"")</f>
        <v/>
      </c>
      <c r="HCQ62" s="87" t="str">
        <f>IF(ISNUMBER(outYear),HCQ37+HCQ42+#REF!+HCQ59,"")</f>
        <v/>
      </c>
      <c r="HCR62" s="87" t="str">
        <f>IF(ISNUMBER(outYear),HCR37+HCR42+#REF!+HCR59,"")</f>
        <v/>
      </c>
      <c r="HCS62" s="87" t="str">
        <f>IF(ISNUMBER(outYear),HCS37+HCS42+#REF!+HCS59,"")</f>
        <v/>
      </c>
      <c r="HCT62" s="87" t="str">
        <f>IF(ISNUMBER(outYear),HCT37+HCT42+#REF!+HCT59,"")</f>
        <v/>
      </c>
      <c r="HCU62" s="87" t="str">
        <f>IF(ISNUMBER(outYear),HCU37+HCU42+#REF!+HCU59,"")</f>
        <v/>
      </c>
      <c r="HCV62" s="87" t="str">
        <f>IF(ISNUMBER(outYear),HCV37+HCV42+#REF!+HCV59,"")</f>
        <v/>
      </c>
      <c r="HCW62" s="87" t="str">
        <f>IF(ISNUMBER(outYear),HCW37+HCW42+#REF!+HCW59,"")</f>
        <v/>
      </c>
      <c r="HCX62" s="87" t="str">
        <f>IF(ISNUMBER(outYear),HCX37+HCX42+#REF!+HCX59,"")</f>
        <v/>
      </c>
      <c r="HCY62" s="87" t="str">
        <f>IF(ISNUMBER(outYear),HCY37+HCY42+#REF!+HCY59,"")</f>
        <v/>
      </c>
      <c r="HCZ62" s="87" t="str">
        <f>IF(ISNUMBER(outYear),HCZ37+HCZ42+#REF!+HCZ59,"")</f>
        <v/>
      </c>
      <c r="HDA62" s="87" t="str">
        <f>IF(ISNUMBER(outYear),HDA37+HDA42+#REF!+HDA59,"")</f>
        <v/>
      </c>
      <c r="HDB62" s="87" t="str">
        <f>IF(ISNUMBER(outYear),HDB37+HDB42+#REF!+HDB59,"")</f>
        <v/>
      </c>
      <c r="HDC62" s="87" t="str">
        <f>IF(ISNUMBER(outYear),HDC37+HDC42+#REF!+HDC59,"")</f>
        <v/>
      </c>
      <c r="HDD62" s="87" t="str">
        <f>IF(ISNUMBER(outYear),HDD37+HDD42+#REF!+HDD59,"")</f>
        <v/>
      </c>
      <c r="HDE62" s="87" t="str">
        <f>IF(ISNUMBER(outYear),HDE37+HDE42+#REF!+HDE59,"")</f>
        <v/>
      </c>
      <c r="HDF62" s="87" t="str">
        <f>IF(ISNUMBER(outYear),HDF37+HDF42+#REF!+HDF59,"")</f>
        <v/>
      </c>
      <c r="HDG62" s="87" t="str">
        <f>IF(ISNUMBER(outYear),HDG37+HDG42+#REF!+HDG59,"")</f>
        <v/>
      </c>
      <c r="HDH62" s="87" t="str">
        <f>IF(ISNUMBER(outYear),HDH37+HDH42+#REF!+HDH59,"")</f>
        <v/>
      </c>
      <c r="HDI62" s="87" t="str">
        <f>IF(ISNUMBER(outYear),HDI37+HDI42+#REF!+HDI59,"")</f>
        <v/>
      </c>
      <c r="HDJ62" s="87" t="str">
        <f>IF(ISNUMBER(outYear),HDJ37+HDJ42+#REF!+HDJ59,"")</f>
        <v/>
      </c>
      <c r="HDK62" s="87" t="str">
        <f>IF(ISNUMBER(outYear),HDK37+HDK42+#REF!+HDK59,"")</f>
        <v/>
      </c>
      <c r="HDL62" s="87" t="str">
        <f>IF(ISNUMBER(outYear),HDL37+HDL42+#REF!+HDL59,"")</f>
        <v/>
      </c>
      <c r="HDM62" s="87" t="str">
        <f>IF(ISNUMBER(outYear),HDM37+HDM42+#REF!+HDM59,"")</f>
        <v/>
      </c>
      <c r="HDN62" s="87" t="str">
        <f>IF(ISNUMBER(outYear),HDN37+HDN42+#REF!+HDN59,"")</f>
        <v/>
      </c>
      <c r="HDO62" s="87" t="str">
        <f>IF(ISNUMBER(outYear),HDO37+HDO42+#REF!+HDO59,"")</f>
        <v/>
      </c>
      <c r="HDP62" s="87" t="str">
        <f>IF(ISNUMBER(outYear),HDP37+HDP42+#REF!+HDP59,"")</f>
        <v/>
      </c>
      <c r="HDQ62" s="87" t="str">
        <f>IF(ISNUMBER(outYear),HDQ37+HDQ42+#REF!+HDQ59,"")</f>
        <v/>
      </c>
      <c r="HDR62" s="87" t="str">
        <f>IF(ISNUMBER(outYear),HDR37+HDR42+#REF!+HDR59,"")</f>
        <v/>
      </c>
      <c r="HDS62" s="87" t="str">
        <f>IF(ISNUMBER(outYear),HDS37+HDS42+#REF!+HDS59,"")</f>
        <v/>
      </c>
      <c r="HDT62" s="87" t="str">
        <f>IF(ISNUMBER(outYear),HDT37+HDT42+#REF!+HDT59,"")</f>
        <v/>
      </c>
      <c r="HDU62" s="87" t="str">
        <f>IF(ISNUMBER(outYear),HDU37+HDU42+#REF!+HDU59,"")</f>
        <v/>
      </c>
      <c r="HDV62" s="87" t="str">
        <f>IF(ISNUMBER(outYear),HDV37+HDV42+#REF!+HDV59,"")</f>
        <v/>
      </c>
      <c r="HDW62" s="87" t="str">
        <f>IF(ISNUMBER(outYear),HDW37+HDW42+#REF!+HDW59,"")</f>
        <v/>
      </c>
      <c r="HDX62" s="87" t="str">
        <f>IF(ISNUMBER(outYear),HDX37+HDX42+#REF!+HDX59,"")</f>
        <v/>
      </c>
      <c r="HDY62" s="87" t="str">
        <f>IF(ISNUMBER(outYear),HDY37+HDY42+#REF!+HDY59,"")</f>
        <v/>
      </c>
      <c r="HDZ62" s="87" t="str">
        <f>IF(ISNUMBER(outYear),HDZ37+HDZ42+#REF!+HDZ59,"")</f>
        <v/>
      </c>
      <c r="HEA62" s="87" t="str">
        <f>IF(ISNUMBER(outYear),HEA37+HEA42+#REF!+HEA59,"")</f>
        <v/>
      </c>
      <c r="HEB62" s="87" t="str">
        <f>IF(ISNUMBER(outYear),HEB37+HEB42+#REF!+HEB59,"")</f>
        <v/>
      </c>
      <c r="HEC62" s="87" t="str">
        <f>IF(ISNUMBER(outYear),HEC37+HEC42+#REF!+HEC59,"")</f>
        <v/>
      </c>
      <c r="HED62" s="87" t="str">
        <f>IF(ISNUMBER(outYear),HED37+HED42+#REF!+HED59,"")</f>
        <v/>
      </c>
      <c r="HEE62" s="87" t="str">
        <f>IF(ISNUMBER(outYear),HEE37+HEE42+#REF!+HEE59,"")</f>
        <v/>
      </c>
      <c r="HEF62" s="87" t="str">
        <f>IF(ISNUMBER(outYear),HEF37+HEF42+#REF!+HEF59,"")</f>
        <v/>
      </c>
      <c r="HEG62" s="87" t="str">
        <f>IF(ISNUMBER(outYear),HEG37+HEG42+#REF!+HEG59,"")</f>
        <v/>
      </c>
      <c r="HEH62" s="87" t="str">
        <f>IF(ISNUMBER(outYear),HEH37+HEH42+#REF!+HEH59,"")</f>
        <v/>
      </c>
      <c r="HEI62" s="87" t="str">
        <f>IF(ISNUMBER(outYear),HEI37+HEI42+#REF!+HEI59,"")</f>
        <v/>
      </c>
      <c r="HEJ62" s="87" t="str">
        <f>IF(ISNUMBER(outYear),HEJ37+HEJ42+#REF!+HEJ59,"")</f>
        <v/>
      </c>
      <c r="HEK62" s="87" t="str">
        <f>IF(ISNUMBER(outYear),HEK37+HEK42+#REF!+HEK59,"")</f>
        <v/>
      </c>
      <c r="HEL62" s="87" t="str">
        <f>IF(ISNUMBER(outYear),HEL37+HEL42+#REF!+HEL59,"")</f>
        <v/>
      </c>
      <c r="HEM62" s="87" t="str">
        <f>IF(ISNUMBER(outYear),HEM37+HEM42+#REF!+HEM59,"")</f>
        <v/>
      </c>
      <c r="HEN62" s="87" t="str">
        <f>IF(ISNUMBER(outYear),HEN37+HEN42+#REF!+HEN59,"")</f>
        <v/>
      </c>
      <c r="HEO62" s="87" t="str">
        <f>IF(ISNUMBER(outYear),HEO37+HEO42+#REF!+HEO59,"")</f>
        <v/>
      </c>
      <c r="HEP62" s="87" t="str">
        <f>IF(ISNUMBER(outYear),HEP37+HEP42+#REF!+HEP59,"")</f>
        <v/>
      </c>
      <c r="HEQ62" s="87" t="str">
        <f>IF(ISNUMBER(outYear),HEQ37+HEQ42+#REF!+HEQ59,"")</f>
        <v/>
      </c>
      <c r="HER62" s="87" t="str">
        <f>IF(ISNUMBER(outYear),HER37+HER42+#REF!+HER59,"")</f>
        <v/>
      </c>
      <c r="HES62" s="87" t="str">
        <f>IF(ISNUMBER(outYear),HES37+HES42+#REF!+HES59,"")</f>
        <v/>
      </c>
      <c r="HET62" s="87" t="str">
        <f>IF(ISNUMBER(outYear),HET37+HET42+#REF!+HET59,"")</f>
        <v/>
      </c>
      <c r="HEU62" s="87" t="str">
        <f>IF(ISNUMBER(outYear),HEU37+HEU42+#REF!+HEU59,"")</f>
        <v/>
      </c>
      <c r="HEV62" s="87" t="str">
        <f>IF(ISNUMBER(outYear),HEV37+HEV42+#REF!+HEV59,"")</f>
        <v/>
      </c>
      <c r="HEW62" s="87" t="str">
        <f>IF(ISNUMBER(outYear),HEW37+HEW42+#REF!+HEW59,"")</f>
        <v/>
      </c>
      <c r="HEX62" s="87" t="str">
        <f>IF(ISNUMBER(outYear),HEX37+HEX42+#REF!+HEX59,"")</f>
        <v/>
      </c>
      <c r="HEY62" s="87" t="str">
        <f>IF(ISNUMBER(outYear),HEY37+HEY42+#REF!+HEY59,"")</f>
        <v/>
      </c>
      <c r="HEZ62" s="87" t="str">
        <f>IF(ISNUMBER(outYear),HEZ37+HEZ42+#REF!+HEZ59,"")</f>
        <v/>
      </c>
      <c r="HFA62" s="87" t="str">
        <f>IF(ISNUMBER(outYear),HFA37+HFA42+#REF!+HFA59,"")</f>
        <v/>
      </c>
      <c r="HFB62" s="87" t="str">
        <f>IF(ISNUMBER(outYear),HFB37+HFB42+#REF!+HFB59,"")</f>
        <v/>
      </c>
      <c r="HFC62" s="87" t="str">
        <f>IF(ISNUMBER(outYear),HFC37+HFC42+#REF!+HFC59,"")</f>
        <v/>
      </c>
      <c r="HFD62" s="87" t="str">
        <f>IF(ISNUMBER(outYear),HFD37+HFD42+#REF!+HFD59,"")</f>
        <v/>
      </c>
      <c r="HFE62" s="87" t="str">
        <f>IF(ISNUMBER(outYear),HFE37+HFE42+#REF!+HFE59,"")</f>
        <v/>
      </c>
      <c r="HFF62" s="87" t="str">
        <f>IF(ISNUMBER(outYear),HFF37+HFF42+#REF!+HFF59,"")</f>
        <v/>
      </c>
      <c r="HFG62" s="87" t="str">
        <f>IF(ISNUMBER(outYear),HFG37+HFG42+#REF!+HFG59,"")</f>
        <v/>
      </c>
      <c r="HFH62" s="87" t="str">
        <f>IF(ISNUMBER(outYear),HFH37+HFH42+#REF!+HFH59,"")</f>
        <v/>
      </c>
      <c r="HFI62" s="87" t="str">
        <f>IF(ISNUMBER(outYear),HFI37+HFI42+#REF!+HFI59,"")</f>
        <v/>
      </c>
      <c r="HFJ62" s="87" t="str">
        <f>IF(ISNUMBER(outYear),HFJ37+HFJ42+#REF!+HFJ59,"")</f>
        <v/>
      </c>
      <c r="HFK62" s="87" t="str">
        <f>IF(ISNUMBER(outYear),HFK37+HFK42+#REF!+HFK59,"")</f>
        <v/>
      </c>
      <c r="HFL62" s="87" t="str">
        <f>IF(ISNUMBER(outYear),HFL37+HFL42+#REF!+HFL59,"")</f>
        <v/>
      </c>
      <c r="HFM62" s="87" t="str">
        <f>IF(ISNUMBER(outYear),HFM37+HFM42+#REF!+HFM59,"")</f>
        <v/>
      </c>
      <c r="HFN62" s="87" t="str">
        <f>IF(ISNUMBER(outYear),HFN37+HFN42+#REF!+HFN59,"")</f>
        <v/>
      </c>
      <c r="HFO62" s="87" t="str">
        <f>IF(ISNUMBER(outYear),HFO37+HFO42+#REF!+HFO59,"")</f>
        <v/>
      </c>
      <c r="HFP62" s="87" t="str">
        <f>IF(ISNUMBER(outYear),HFP37+HFP42+#REF!+HFP59,"")</f>
        <v/>
      </c>
      <c r="HFQ62" s="87" t="str">
        <f>IF(ISNUMBER(outYear),HFQ37+HFQ42+#REF!+HFQ59,"")</f>
        <v/>
      </c>
      <c r="HFR62" s="87" t="str">
        <f>IF(ISNUMBER(outYear),HFR37+HFR42+#REF!+HFR59,"")</f>
        <v/>
      </c>
      <c r="HFS62" s="87" t="str">
        <f>IF(ISNUMBER(outYear),HFS37+HFS42+#REF!+HFS59,"")</f>
        <v/>
      </c>
      <c r="HFT62" s="87" t="str">
        <f>IF(ISNUMBER(outYear),HFT37+HFT42+#REF!+HFT59,"")</f>
        <v/>
      </c>
      <c r="HFU62" s="87" t="str">
        <f>IF(ISNUMBER(outYear),HFU37+HFU42+#REF!+HFU59,"")</f>
        <v/>
      </c>
      <c r="HFV62" s="87" t="str">
        <f>IF(ISNUMBER(outYear),HFV37+HFV42+#REF!+HFV59,"")</f>
        <v/>
      </c>
      <c r="HFW62" s="87" t="str">
        <f>IF(ISNUMBER(outYear),HFW37+HFW42+#REF!+HFW59,"")</f>
        <v/>
      </c>
      <c r="HFX62" s="87" t="str">
        <f>IF(ISNUMBER(outYear),HFX37+HFX42+#REF!+HFX59,"")</f>
        <v/>
      </c>
      <c r="HFY62" s="87" t="str">
        <f>IF(ISNUMBER(outYear),HFY37+HFY42+#REF!+HFY59,"")</f>
        <v/>
      </c>
      <c r="HFZ62" s="87" t="str">
        <f>IF(ISNUMBER(outYear),HFZ37+HFZ42+#REF!+HFZ59,"")</f>
        <v/>
      </c>
      <c r="HGA62" s="87" t="str">
        <f>IF(ISNUMBER(outYear),HGA37+HGA42+#REF!+HGA59,"")</f>
        <v/>
      </c>
      <c r="HGB62" s="87" t="str">
        <f>IF(ISNUMBER(outYear),HGB37+HGB42+#REF!+HGB59,"")</f>
        <v/>
      </c>
      <c r="HGC62" s="87" t="str">
        <f>IF(ISNUMBER(outYear),HGC37+HGC42+#REF!+HGC59,"")</f>
        <v/>
      </c>
      <c r="HGD62" s="87" t="str">
        <f>IF(ISNUMBER(outYear),HGD37+HGD42+#REF!+HGD59,"")</f>
        <v/>
      </c>
      <c r="HGE62" s="87" t="str">
        <f>IF(ISNUMBER(outYear),HGE37+HGE42+#REF!+HGE59,"")</f>
        <v/>
      </c>
      <c r="HGF62" s="87" t="str">
        <f>IF(ISNUMBER(outYear),HGF37+HGF42+#REF!+HGF59,"")</f>
        <v/>
      </c>
      <c r="HGG62" s="87" t="str">
        <f>IF(ISNUMBER(outYear),HGG37+HGG42+#REF!+HGG59,"")</f>
        <v/>
      </c>
      <c r="HGH62" s="87" t="str">
        <f>IF(ISNUMBER(outYear),HGH37+HGH42+#REF!+HGH59,"")</f>
        <v/>
      </c>
      <c r="HGI62" s="87" t="str">
        <f>IF(ISNUMBER(outYear),HGI37+HGI42+#REF!+HGI59,"")</f>
        <v/>
      </c>
      <c r="HGJ62" s="87" t="str">
        <f>IF(ISNUMBER(outYear),HGJ37+HGJ42+#REF!+HGJ59,"")</f>
        <v/>
      </c>
      <c r="HGK62" s="87" t="str">
        <f>IF(ISNUMBER(outYear),HGK37+HGK42+#REF!+HGK59,"")</f>
        <v/>
      </c>
      <c r="HGL62" s="87" t="str">
        <f>IF(ISNUMBER(outYear),HGL37+HGL42+#REF!+HGL59,"")</f>
        <v/>
      </c>
      <c r="HGM62" s="87" t="str">
        <f>IF(ISNUMBER(outYear),HGM37+HGM42+#REF!+HGM59,"")</f>
        <v/>
      </c>
      <c r="HGN62" s="87" t="str">
        <f>IF(ISNUMBER(outYear),HGN37+HGN42+#REF!+HGN59,"")</f>
        <v/>
      </c>
      <c r="HGO62" s="87" t="str">
        <f>IF(ISNUMBER(outYear),HGO37+HGO42+#REF!+HGO59,"")</f>
        <v/>
      </c>
      <c r="HGP62" s="87" t="str">
        <f>IF(ISNUMBER(outYear),HGP37+HGP42+#REF!+HGP59,"")</f>
        <v/>
      </c>
      <c r="HGQ62" s="87" t="str">
        <f>IF(ISNUMBER(outYear),HGQ37+HGQ42+#REF!+HGQ59,"")</f>
        <v/>
      </c>
      <c r="HGR62" s="87" t="str">
        <f>IF(ISNUMBER(outYear),HGR37+HGR42+#REF!+HGR59,"")</f>
        <v/>
      </c>
      <c r="HGS62" s="87" t="str">
        <f>IF(ISNUMBER(outYear),HGS37+HGS42+#REF!+HGS59,"")</f>
        <v/>
      </c>
      <c r="HGT62" s="87" t="str">
        <f>IF(ISNUMBER(outYear),HGT37+HGT42+#REF!+HGT59,"")</f>
        <v/>
      </c>
      <c r="HGU62" s="87" t="str">
        <f>IF(ISNUMBER(outYear),HGU37+HGU42+#REF!+HGU59,"")</f>
        <v/>
      </c>
      <c r="HGV62" s="87" t="str">
        <f>IF(ISNUMBER(outYear),HGV37+HGV42+#REF!+HGV59,"")</f>
        <v/>
      </c>
      <c r="HGW62" s="87" t="str">
        <f>IF(ISNUMBER(outYear),HGW37+HGW42+#REF!+HGW59,"")</f>
        <v/>
      </c>
      <c r="HGX62" s="87" t="str">
        <f>IF(ISNUMBER(outYear),HGX37+HGX42+#REF!+HGX59,"")</f>
        <v/>
      </c>
      <c r="HGY62" s="87" t="str">
        <f>IF(ISNUMBER(outYear),HGY37+HGY42+#REF!+HGY59,"")</f>
        <v/>
      </c>
      <c r="HGZ62" s="87" t="str">
        <f>IF(ISNUMBER(outYear),HGZ37+HGZ42+#REF!+HGZ59,"")</f>
        <v/>
      </c>
      <c r="HHA62" s="87" t="str">
        <f>IF(ISNUMBER(outYear),HHA37+HHA42+#REF!+HHA59,"")</f>
        <v/>
      </c>
      <c r="HHB62" s="87" t="str">
        <f>IF(ISNUMBER(outYear),HHB37+HHB42+#REF!+HHB59,"")</f>
        <v/>
      </c>
      <c r="HHC62" s="87" t="str">
        <f>IF(ISNUMBER(outYear),HHC37+HHC42+#REF!+HHC59,"")</f>
        <v/>
      </c>
      <c r="HHD62" s="87" t="str">
        <f>IF(ISNUMBER(outYear),HHD37+HHD42+#REF!+HHD59,"")</f>
        <v/>
      </c>
      <c r="HHE62" s="87" t="str">
        <f>IF(ISNUMBER(outYear),HHE37+HHE42+#REF!+HHE59,"")</f>
        <v/>
      </c>
      <c r="HHF62" s="87" t="str">
        <f>IF(ISNUMBER(outYear),HHF37+HHF42+#REF!+HHF59,"")</f>
        <v/>
      </c>
      <c r="HHG62" s="87" t="str">
        <f>IF(ISNUMBER(outYear),HHG37+HHG42+#REF!+HHG59,"")</f>
        <v/>
      </c>
      <c r="HHH62" s="87" t="str">
        <f>IF(ISNUMBER(outYear),HHH37+HHH42+#REF!+HHH59,"")</f>
        <v/>
      </c>
      <c r="HHI62" s="87" t="str">
        <f>IF(ISNUMBER(outYear),HHI37+HHI42+#REF!+HHI59,"")</f>
        <v/>
      </c>
      <c r="HHJ62" s="87" t="str">
        <f>IF(ISNUMBER(outYear),HHJ37+HHJ42+#REF!+HHJ59,"")</f>
        <v/>
      </c>
      <c r="HHK62" s="87" t="str">
        <f>IF(ISNUMBER(outYear),HHK37+HHK42+#REF!+HHK59,"")</f>
        <v/>
      </c>
      <c r="HHL62" s="87" t="str">
        <f>IF(ISNUMBER(outYear),HHL37+HHL42+#REF!+HHL59,"")</f>
        <v/>
      </c>
      <c r="HHM62" s="87" t="str">
        <f>IF(ISNUMBER(outYear),HHM37+HHM42+#REF!+HHM59,"")</f>
        <v/>
      </c>
      <c r="HHN62" s="87" t="str">
        <f>IF(ISNUMBER(outYear),HHN37+HHN42+#REF!+HHN59,"")</f>
        <v/>
      </c>
      <c r="HHO62" s="87" t="str">
        <f>IF(ISNUMBER(outYear),HHO37+HHO42+#REF!+HHO59,"")</f>
        <v/>
      </c>
      <c r="HHP62" s="87" t="str">
        <f>IF(ISNUMBER(outYear),HHP37+HHP42+#REF!+HHP59,"")</f>
        <v/>
      </c>
      <c r="HHQ62" s="87" t="str">
        <f>IF(ISNUMBER(outYear),HHQ37+HHQ42+#REF!+HHQ59,"")</f>
        <v/>
      </c>
      <c r="HHR62" s="87" t="str">
        <f>IF(ISNUMBER(outYear),HHR37+HHR42+#REF!+HHR59,"")</f>
        <v/>
      </c>
      <c r="HHS62" s="87" t="str">
        <f>IF(ISNUMBER(outYear),HHS37+HHS42+#REF!+HHS59,"")</f>
        <v/>
      </c>
      <c r="HHT62" s="87" t="str">
        <f>IF(ISNUMBER(outYear),HHT37+HHT42+#REF!+HHT59,"")</f>
        <v/>
      </c>
      <c r="HHU62" s="87" t="str">
        <f>IF(ISNUMBER(outYear),HHU37+HHU42+#REF!+HHU59,"")</f>
        <v/>
      </c>
      <c r="HHV62" s="87" t="str">
        <f>IF(ISNUMBER(outYear),HHV37+HHV42+#REF!+HHV59,"")</f>
        <v/>
      </c>
      <c r="HHW62" s="87" t="str">
        <f>IF(ISNUMBER(outYear),HHW37+HHW42+#REF!+HHW59,"")</f>
        <v/>
      </c>
      <c r="HHX62" s="87" t="str">
        <f>IF(ISNUMBER(outYear),HHX37+HHX42+#REF!+HHX59,"")</f>
        <v/>
      </c>
      <c r="HHY62" s="87" t="str">
        <f>IF(ISNUMBER(outYear),HHY37+HHY42+#REF!+HHY59,"")</f>
        <v/>
      </c>
      <c r="HHZ62" s="87" t="str">
        <f>IF(ISNUMBER(outYear),HHZ37+HHZ42+#REF!+HHZ59,"")</f>
        <v/>
      </c>
      <c r="HIA62" s="87" t="str">
        <f>IF(ISNUMBER(outYear),HIA37+HIA42+#REF!+HIA59,"")</f>
        <v/>
      </c>
      <c r="HIB62" s="87" t="str">
        <f>IF(ISNUMBER(outYear),HIB37+HIB42+#REF!+HIB59,"")</f>
        <v/>
      </c>
      <c r="HIC62" s="87" t="str">
        <f>IF(ISNUMBER(outYear),HIC37+HIC42+#REF!+HIC59,"")</f>
        <v/>
      </c>
      <c r="HID62" s="87" t="str">
        <f>IF(ISNUMBER(outYear),HID37+HID42+#REF!+HID59,"")</f>
        <v/>
      </c>
      <c r="HIE62" s="87" t="str">
        <f>IF(ISNUMBER(outYear),HIE37+HIE42+#REF!+HIE59,"")</f>
        <v/>
      </c>
      <c r="HIF62" s="87" t="str">
        <f>IF(ISNUMBER(outYear),HIF37+HIF42+#REF!+HIF59,"")</f>
        <v/>
      </c>
      <c r="HIG62" s="87" t="str">
        <f>IF(ISNUMBER(outYear),HIG37+HIG42+#REF!+HIG59,"")</f>
        <v/>
      </c>
      <c r="HIH62" s="87" t="str">
        <f>IF(ISNUMBER(outYear),HIH37+HIH42+#REF!+HIH59,"")</f>
        <v/>
      </c>
      <c r="HII62" s="87" t="str">
        <f>IF(ISNUMBER(outYear),HII37+HII42+#REF!+HII59,"")</f>
        <v/>
      </c>
      <c r="HIJ62" s="87" t="str">
        <f>IF(ISNUMBER(outYear),HIJ37+HIJ42+#REF!+HIJ59,"")</f>
        <v/>
      </c>
      <c r="HIK62" s="87" t="str">
        <f>IF(ISNUMBER(outYear),HIK37+HIK42+#REF!+HIK59,"")</f>
        <v/>
      </c>
      <c r="HIL62" s="87" t="str">
        <f>IF(ISNUMBER(outYear),HIL37+HIL42+#REF!+HIL59,"")</f>
        <v/>
      </c>
      <c r="HIM62" s="87" t="str">
        <f>IF(ISNUMBER(outYear),HIM37+HIM42+#REF!+HIM59,"")</f>
        <v/>
      </c>
      <c r="HIN62" s="87" t="str">
        <f>IF(ISNUMBER(outYear),HIN37+HIN42+#REF!+HIN59,"")</f>
        <v/>
      </c>
      <c r="HIO62" s="87" t="str">
        <f>IF(ISNUMBER(outYear),HIO37+HIO42+#REF!+HIO59,"")</f>
        <v/>
      </c>
      <c r="HIP62" s="87" t="str">
        <f>IF(ISNUMBER(outYear),HIP37+HIP42+#REF!+HIP59,"")</f>
        <v/>
      </c>
      <c r="HIQ62" s="87" t="str">
        <f>IF(ISNUMBER(outYear),HIQ37+HIQ42+#REF!+HIQ59,"")</f>
        <v/>
      </c>
      <c r="HIR62" s="87" t="str">
        <f>IF(ISNUMBER(outYear),HIR37+HIR42+#REF!+HIR59,"")</f>
        <v/>
      </c>
      <c r="HIS62" s="87" t="str">
        <f>IF(ISNUMBER(outYear),HIS37+HIS42+#REF!+HIS59,"")</f>
        <v/>
      </c>
      <c r="HIT62" s="87" t="str">
        <f>IF(ISNUMBER(outYear),HIT37+HIT42+#REF!+HIT59,"")</f>
        <v/>
      </c>
      <c r="HIU62" s="87" t="str">
        <f>IF(ISNUMBER(outYear),HIU37+HIU42+#REF!+HIU59,"")</f>
        <v/>
      </c>
      <c r="HIV62" s="87" t="str">
        <f>IF(ISNUMBER(outYear),HIV37+HIV42+#REF!+HIV59,"")</f>
        <v/>
      </c>
      <c r="HIW62" s="87" t="str">
        <f>IF(ISNUMBER(outYear),HIW37+HIW42+#REF!+HIW59,"")</f>
        <v/>
      </c>
      <c r="HIX62" s="87" t="str">
        <f>IF(ISNUMBER(outYear),HIX37+HIX42+#REF!+HIX59,"")</f>
        <v/>
      </c>
      <c r="HIY62" s="87" t="str">
        <f>IF(ISNUMBER(outYear),HIY37+HIY42+#REF!+HIY59,"")</f>
        <v/>
      </c>
      <c r="HIZ62" s="87" t="str">
        <f>IF(ISNUMBER(outYear),HIZ37+HIZ42+#REF!+HIZ59,"")</f>
        <v/>
      </c>
      <c r="HJA62" s="87" t="str">
        <f>IF(ISNUMBER(outYear),HJA37+HJA42+#REF!+HJA59,"")</f>
        <v/>
      </c>
      <c r="HJB62" s="87" t="str">
        <f>IF(ISNUMBER(outYear),HJB37+HJB42+#REF!+HJB59,"")</f>
        <v/>
      </c>
      <c r="HJC62" s="87" t="str">
        <f>IF(ISNUMBER(outYear),HJC37+HJC42+#REF!+HJC59,"")</f>
        <v/>
      </c>
      <c r="HJD62" s="87" t="str">
        <f>IF(ISNUMBER(outYear),HJD37+HJD42+#REF!+HJD59,"")</f>
        <v/>
      </c>
      <c r="HJE62" s="87" t="str">
        <f>IF(ISNUMBER(outYear),HJE37+HJE42+#REF!+HJE59,"")</f>
        <v/>
      </c>
      <c r="HJF62" s="87" t="str">
        <f>IF(ISNUMBER(outYear),HJF37+HJF42+#REF!+HJF59,"")</f>
        <v/>
      </c>
      <c r="HJG62" s="87" t="str">
        <f>IF(ISNUMBER(outYear),HJG37+HJG42+#REF!+HJG59,"")</f>
        <v/>
      </c>
      <c r="HJH62" s="87" t="str">
        <f>IF(ISNUMBER(outYear),HJH37+HJH42+#REF!+HJH59,"")</f>
        <v/>
      </c>
      <c r="HJI62" s="87" t="str">
        <f>IF(ISNUMBER(outYear),HJI37+HJI42+#REF!+HJI59,"")</f>
        <v/>
      </c>
      <c r="HJJ62" s="87" t="str">
        <f>IF(ISNUMBER(outYear),HJJ37+HJJ42+#REF!+HJJ59,"")</f>
        <v/>
      </c>
      <c r="HJK62" s="87" t="str">
        <f>IF(ISNUMBER(outYear),HJK37+HJK42+#REF!+HJK59,"")</f>
        <v/>
      </c>
      <c r="HJL62" s="87" t="str">
        <f>IF(ISNUMBER(outYear),HJL37+HJL42+#REF!+HJL59,"")</f>
        <v/>
      </c>
      <c r="HJM62" s="87" t="str">
        <f>IF(ISNUMBER(outYear),HJM37+HJM42+#REF!+HJM59,"")</f>
        <v/>
      </c>
      <c r="HJN62" s="87" t="str">
        <f>IF(ISNUMBER(outYear),HJN37+HJN42+#REF!+HJN59,"")</f>
        <v/>
      </c>
      <c r="HJO62" s="87" t="str">
        <f>IF(ISNUMBER(outYear),HJO37+HJO42+#REF!+HJO59,"")</f>
        <v/>
      </c>
      <c r="HJP62" s="87" t="str">
        <f>IF(ISNUMBER(outYear),HJP37+HJP42+#REF!+HJP59,"")</f>
        <v/>
      </c>
      <c r="HJQ62" s="87" t="str">
        <f>IF(ISNUMBER(outYear),HJQ37+HJQ42+#REF!+HJQ59,"")</f>
        <v/>
      </c>
      <c r="HJR62" s="87" t="str">
        <f>IF(ISNUMBER(outYear),HJR37+HJR42+#REF!+HJR59,"")</f>
        <v/>
      </c>
      <c r="HJS62" s="87" t="str">
        <f>IF(ISNUMBER(outYear),HJS37+HJS42+#REF!+HJS59,"")</f>
        <v/>
      </c>
      <c r="HJT62" s="87" t="str">
        <f>IF(ISNUMBER(outYear),HJT37+HJT42+#REF!+HJT59,"")</f>
        <v/>
      </c>
      <c r="HJU62" s="87" t="str">
        <f>IF(ISNUMBER(outYear),HJU37+HJU42+#REF!+HJU59,"")</f>
        <v/>
      </c>
      <c r="HJV62" s="87" t="str">
        <f>IF(ISNUMBER(outYear),HJV37+HJV42+#REF!+HJV59,"")</f>
        <v/>
      </c>
      <c r="HJW62" s="87" t="str">
        <f>IF(ISNUMBER(outYear),HJW37+HJW42+#REF!+HJW59,"")</f>
        <v/>
      </c>
      <c r="HJX62" s="87" t="str">
        <f>IF(ISNUMBER(outYear),HJX37+HJX42+#REF!+HJX59,"")</f>
        <v/>
      </c>
      <c r="HJY62" s="87" t="str">
        <f>IF(ISNUMBER(outYear),HJY37+HJY42+#REF!+HJY59,"")</f>
        <v/>
      </c>
      <c r="HJZ62" s="87" t="str">
        <f>IF(ISNUMBER(outYear),HJZ37+HJZ42+#REF!+HJZ59,"")</f>
        <v/>
      </c>
      <c r="HKA62" s="87" t="str">
        <f>IF(ISNUMBER(outYear),HKA37+HKA42+#REF!+HKA59,"")</f>
        <v/>
      </c>
      <c r="HKB62" s="87" t="str">
        <f>IF(ISNUMBER(outYear),HKB37+HKB42+#REF!+HKB59,"")</f>
        <v/>
      </c>
      <c r="HKC62" s="87" t="str">
        <f>IF(ISNUMBER(outYear),HKC37+HKC42+#REF!+HKC59,"")</f>
        <v/>
      </c>
      <c r="HKD62" s="87" t="str">
        <f>IF(ISNUMBER(outYear),HKD37+HKD42+#REF!+HKD59,"")</f>
        <v/>
      </c>
      <c r="HKE62" s="87" t="str">
        <f>IF(ISNUMBER(outYear),HKE37+HKE42+#REF!+HKE59,"")</f>
        <v/>
      </c>
      <c r="HKF62" s="87" t="str">
        <f>IF(ISNUMBER(outYear),HKF37+HKF42+#REF!+HKF59,"")</f>
        <v/>
      </c>
      <c r="HKG62" s="87" t="str">
        <f>IF(ISNUMBER(outYear),HKG37+HKG42+#REF!+HKG59,"")</f>
        <v/>
      </c>
      <c r="HKH62" s="87" t="str">
        <f>IF(ISNUMBER(outYear),HKH37+HKH42+#REF!+HKH59,"")</f>
        <v/>
      </c>
      <c r="HKI62" s="87" t="str">
        <f>IF(ISNUMBER(outYear),HKI37+HKI42+#REF!+HKI59,"")</f>
        <v/>
      </c>
      <c r="HKJ62" s="87" t="str">
        <f>IF(ISNUMBER(outYear),HKJ37+HKJ42+#REF!+HKJ59,"")</f>
        <v/>
      </c>
      <c r="HKK62" s="87" t="str">
        <f>IF(ISNUMBER(outYear),HKK37+HKK42+#REF!+HKK59,"")</f>
        <v/>
      </c>
      <c r="HKL62" s="87" t="str">
        <f>IF(ISNUMBER(outYear),HKL37+HKL42+#REF!+HKL59,"")</f>
        <v/>
      </c>
      <c r="HKM62" s="87" t="str">
        <f>IF(ISNUMBER(outYear),HKM37+HKM42+#REF!+HKM59,"")</f>
        <v/>
      </c>
      <c r="HKN62" s="87" t="str">
        <f>IF(ISNUMBER(outYear),HKN37+HKN42+#REF!+HKN59,"")</f>
        <v/>
      </c>
      <c r="HKO62" s="87" t="str">
        <f>IF(ISNUMBER(outYear),HKO37+HKO42+#REF!+HKO59,"")</f>
        <v/>
      </c>
      <c r="HKP62" s="87" t="str">
        <f>IF(ISNUMBER(outYear),HKP37+HKP42+#REF!+HKP59,"")</f>
        <v/>
      </c>
      <c r="HKQ62" s="87" t="str">
        <f>IF(ISNUMBER(outYear),HKQ37+HKQ42+#REF!+HKQ59,"")</f>
        <v/>
      </c>
      <c r="HKR62" s="87" t="str">
        <f>IF(ISNUMBER(outYear),HKR37+HKR42+#REF!+HKR59,"")</f>
        <v/>
      </c>
      <c r="HKS62" s="87" t="str">
        <f>IF(ISNUMBER(outYear),HKS37+HKS42+#REF!+HKS59,"")</f>
        <v/>
      </c>
      <c r="HKT62" s="87" t="str">
        <f>IF(ISNUMBER(outYear),HKT37+HKT42+#REF!+HKT59,"")</f>
        <v/>
      </c>
      <c r="HKU62" s="87" t="str">
        <f>IF(ISNUMBER(outYear),HKU37+HKU42+#REF!+HKU59,"")</f>
        <v/>
      </c>
      <c r="HKV62" s="87" t="str">
        <f>IF(ISNUMBER(outYear),HKV37+HKV42+#REF!+HKV59,"")</f>
        <v/>
      </c>
      <c r="HKW62" s="87" t="str">
        <f>IF(ISNUMBER(outYear),HKW37+HKW42+#REF!+HKW59,"")</f>
        <v/>
      </c>
      <c r="HKX62" s="87" t="str">
        <f>IF(ISNUMBER(outYear),HKX37+HKX42+#REF!+HKX59,"")</f>
        <v/>
      </c>
      <c r="HKY62" s="87" t="str">
        <f>IF(ISNUMBER(outYear),HKY37+HKY42+#REF!+HKY59,"")</f>
        <v/>
      </c>
      <c r="HKZ62" s="87" t="str">
        <f>IF(ISNUMBER(outYear),HKZ37+HKZ42+#REF!+HKZ59,"")</f>
        <v/>
      </c>
      <c r="HLA62" s="87" t="str">
        <f>IF(ISNUMBER(outYear),HLA37+HLA42+#REF!+HLA59,"")</f>
        <v/>
      </c>
      <c r="HLB62" s="87" t="str">
        <f>IF(ISNUMBER(outYear),HLB37+HLB42+#REF!+HLB59,"")</f>
        <v/>
      </c>
      <c r="HLC62" s="87" t="str">
        <f>IF(ISNUMBER(outYear),HLC37+HLC42+#REF!+HLC59,"")</f>
        <v/>
      </c>
      <c r="HLD62" s="87" t="str">
        <f>IF(ISNUMBER(outYear),HLD37+HLD42+#REF!+HLD59,"")</f>
        <v/>
      </c>
      <c r="HLE62" s="87" t="str">
        <f>IF(ISNUMBER(outYear),HLE37+HLE42+#REF!+HLE59,"")</f>
        <v/>
      </c>
      <c r="HLF62" s="87" t="str">
        <f>IF(ISNUMBER(outYear),HLF37+HLF42+#REF!+HLF59,"")</f>
        <v/>
      </c>
      <c r="HLG62" s="87" t="str">
        <f>IF(ISNUMBER(outYear),HLG37+HLG42+#REF!+HLG59,"")</f>
        <v/>
      </c>
      <c r="HLH62" s="87" t="str">
        <f>IF(ISNUMBER(outYear),HLH37+HLH42+#REF!+HLH59,"")</f>
        <v/>
      </c>
      <c r="HLI62" s="87" t="str">
        <f>IF(ISNUMBER(outYear),HLI37+HLI42+#REF!+HLI59,"")</f>
        <v/>
      </c>
      <c r="HLJ62" s="87" t="str">
        <f>IF(ISNUMBER(outYear),HLJ37+HLJ42+#REF!+HLJ59,"")</f>
        <v/>
      </c>
      <c r="HLK62" s="87" t="str">
        <f>IF(ISNUMBER(outYear),HLK37+HLK42+#REF!+HLK59,"")</f>
        <v/>
      </c>
      <c r="HLL62" s="87" t="str">
        <f>IF(ISNUMBER(outYear),HLL37+HLL42+#REF!+HLL59,"")</f>
        <v/>
      </c>
      <c r="HLM62" s="87" t="str">
        <f>IF(ISNUMBER(outYear),HLM37+HLM42+#REF!+HLM59,"")</f>
        <v/>
      </c>
      <c r="HLN62" s="87" t="str">
        <f>IF(ISNUMBER(outYear),HLN37+HLN42+#REF!+HLN59,"")</f>
        <v/>
      </c>
      <c r="HLO62" s="87" t="str">
        <f>IF(ISNUMBER(outYear),HLO37+HLO42+#REF!+HLO59,"")</f>
        <v/>
      </c>
      <c r="HLP62" s="87" t="str">
        <f>IF(ISNUMBER(outYear),HLP37+HLP42+#REF!+HLP59,"")</f>
        <v/>
      </c>
      <c r="HLQ62" s="87" t="str">
        <f>IF(ISNUMBER(outYear),HLQ37+HLQ42+#REF!+HLQ59,"")</f>
        <v/>
      </c>
      <c r="HLR62" s="87" t="str">
        <f>IF(ISNUMBER(outYear),HLR37+HLR42+#REF!+HLR59,"")</f>
        <v/>
      </c>
      <c r="HLS62" s="87" t="str">
        <f>IF(ISNUMBER(outYear),HLS37+HLS42+#REF!+HLS59,"")</f>
        <v/>
      </c>
      <c r="HLT62" s="87" t="str">
        <f>IF(ISNUMBER(outYear),HLT37+HLT42+#REF!+HLT59,"")</f>
        <v/>
      </c>
      <c r="HLU62" s="87" t="str">
        <f>IF(ISNUMBER(outYear),HLU37+HLU42+#REF!+HLU59,"")</f>
        <v/>
      </c>
      <c r="HLV62" s="87" t="str">
        <f>IF(ISNUMBER(outYear),HLV37+HLV42+#REF!+HLV59,"")</f>
        <v/>
      </c>
      <c r="HLW62" s="87" t="str">
        <f>IF(ISNUMBER(outYear),HLW37+HLW42+#REF!+HLW59,"")</f>
        <v/>
      </c>
      <c r="HLX62" s="87" t="str">
        <f>IF(ISNUMBER(outYear),HLX37+HLX42+#REF!+HLX59,"")</f>
        <v/>
      </c>
      <c r="HLY62" s="87" t="str">
        <f>IF(ISNUMBER(outYear),HLY37+HLY42+#REF!+HLY59,"")</f>
        <v/>
      </c>
      <c r="HLZ62" s="87" t="str">
        <f>IF(ISNUMBER(outYear),HLZ37+HLZ42+#REF!+HLZ59,"")</f>
        <v/>
      </c>
      <c r="HMA62" s="87" t="str">
        <f>IF(ISNUMBER(outYear),HMA37+HMA42+#REF!+HMA59,"")</f>
        <v/>
      </c>
      <c r="HMB62" s="87" t="str">
        <f>IF(ISNUMBER(outYear),HMB37+HMB42+#REF!+HMB59,"")</f>
        <v/>
      </c>
      <c r="HMC62" s="87" t="str">
        <f>IF(ISNUMBER(outYear),HMC37+HMC42+#REF!+HMC59,"")</f>
        <v/>
      </c>
      <c r="HMD62" s="87" t="str">
        <f>IF(ISNUMBER(outYear),HMD37+HMD42+#REF!+HMD59,"")</f>
        <v/>
      </c>
      <c r="HME62" s="87" t="str">
        <f>IF(ISNUMBER(outYear),HME37+HME42+#REF!+HME59,"")</f>
        <v/>
      </c>
      <c r="HMF62" s="87" t="str">
        <f>IF(ISNUMBER(outYear),HMF37+HMF42+#REF!+HMF59,"")</f>
        <v/>
      </c>
      <c r="HMG62" s="87" t="str">
        <f>IF(ISNUMBER(outYear),HMG37+HMG42+#REF!+HMG59,"")</f>
        <v/>
      </c>
      <c r="HMH62" s="87" t="str">
        <f>IF(ISNUMBER(outYear),HMH37+HMH42+#REF!+HMH59,"")</f>
        <v/>
      </c>
      <c r="HMI62" s="87" t="str">
        <f>IF(ISNUMBER(outYear),HMI37+HMI42+#REF!+HMI59,"")</f>
        <v/>
      </c>
      <c r="HMJ62" s="87" t="str">
        <f>IF(ISNUMBER(outYear),HMJ37+HMJ42+#REF!+HMJ59,"")</f>
        <v/>
      </c>
      <c r="HMK62" s="87" t="str">
        <f>IF(ISNUMBER(outYear),HMK37+HMK42+#REF!+HMK59,"")</f>
        <v/>
      </c>
      <c r="HML62" s="87" t="str">
        <f>IF(ISNUMBER(outYear),HML37+HML42+#REF!+HML59,"")</f>
        <v/>
      </c>
      <c r="HMM62" s="87" t="str">
        <f>IF(ISNUMBER(outYear),HMM37+HMM42+#REF!+HMM59,"")</f>
        <v/>
      </c>
      <c r="HMN62" s="87" t="str">
        <f>IF(ISNUMBER(outYear),HMN37+HMN42+#REF!+HMN59,"")</f>
        <v/>
      </c>
      <c r="HMO62" s="87" t="str">
        <f>IF(ISNUMBER(outYear),HMO37+HMO42+#REF!+HMO59,"")</f>
        <v/>
      </c>
      <c r="HMP62" s="87" t="str">
        <f>IF(ISNUMBER(outYear),HMP37+HMP42+#REF!+HMP59,"")</f>
        <v/>
      </c>
      <c r="HMQ62" s="87" t="str">
        <f>IF(ISNUMBER(outYear),HMQ37+HMQ42+#REF!+HMQ59,"")</f>
        <v/>
      </c>
      <c r="HMR62" s="87" t="str">
        <f>IF(ISNUMBER(outYear),HMR37+HMR42+#REF!+HMR59,"")</f>
        <v/>
      </c>
      <c r="HMS62" s="87" t="str">
        <f>IF(ISNUMBER(outYear),HMS37+HMS42+#REF!+HMS59,"")</f>
        <v/>
      </c>
      <c r="HMT62" s="87" t="str">
        <f>IF(ISNUMBER(outYear),HMT37+HMT42+#REF!+HMT59,"")</f>
        <v/>
      </c>
      <c r="HMU62" s="87" t="str">
        <f>IF(ISNUMBER(outYear),HMU37+HMU42+#REF!+HMU59,"")</f>
        <v/>
      </c>
      <c r="HMV62" s="87" t="str">
        <f>IF(ISNUMBER(outYear),HMV37+HMV42+#REF!+HMV59,"")</f>
        <v/>
      </c>
      <c r="HMW62" s="87" t="str">
        <f>IF(ISNUMBER(outYear),HMW37+HMW42+#REF!+HMW59,"")</f>
        <v/>
      </c>
      <c r="HMX62" s="87" t="str">
        <f>IF(ISNUMBER(outYear),HMX37+HMX42+#REF!+HMX59,"")</f>
        <v/>
      </c>
      <c r="HMY62" s="87" t="str">
        <f>IF(ISNUMBER(outYear),HMY37+HMY42+#REF!+HMY59,"")</f>
        <v/>
      </c>
      <c r="HMZ62" s="87" t="str">
        <f>IF(ISNUMBER(outYear),HMZ37+HMZ42+#REF!+HMZ59,"")</f>
        <v/>
      </c>
      <c r="HNA62" s="87" t="str">
        <f>IF(ISNUMBER(outYear),HNA37+HNA42+#REF!+HNA59,"")</f>
        <v/>
      </c>
      <c r="HNB62" s="87" t="str">
        <f>IF(ISNUMBER(outYear),HNB37+HNB42+#REF!+HNB59,"")</f>
        <v/>
      </c>
      <c r="HNC62" s="87" t="str">
        <f>IF(ISNUMBER(outYear),HNC37+HNC42+#REF!+HNC59,"")</f>
        <v/>
      </c>
      <c r="HND62" s="87" t="str">
        <f>IF(ISNUMBER(outYear),HND37+HND42+#REF!+HND59,"")</f>
        <v/>
      </c>
      <c r="HNE62" s="87" t="str">
        <f>IF(ISNUMBER(outYear),HNE37+HNE42+#REF!+HNE59,"")</f>
        <v/>
      </c>
      <c r="HNF62" s="87" t="str">
        <f>IF(ISNUMBER(outYear),HNF37+HNF42+#REF!+HNF59,"")</f>
        <v/>
      </c>
      <c r="HNG62" s="87" t="str">
        <f>IF(ISNUMBER(outYear),HNG37+HNG42+#REF!+HNG59,"")</f>
        <v/>
      </c>
      <c r="HNH62" s="87" t="str">
        <f>IF(ISNUMBER(outYear),HNH37+HNH42+#REF!+HNH59,"")</f>
        <v/>
      </c>
      <c r="HNI62" s="87" t="str">
        <f>IF(ISNUMBER(outYear),HNI37+HNI42+#REF!+HNI59,"")</f>
        <v/>
      </c>
      <c r="HNJ62" s="87" t="str">
        <f>IF(ISNUMBER(outYear),HNJ37+HNJ42+#REF!+HNJ59,"")</f>
        <v/>
      </c>
      <c r="HNK62" s="87" t="str">
        <f>IF(ISNUMBER(outYear),HNK37+HNK42+#REF!+HNK59,"")</f>
        <v/>
      </c>
      <c r="HNL62" s="87" t="str">
        <f>IF(ISNUMBER(outYear),HNL37+HNL42+#REF!+HNL59,"")</f>
        <v/>
      </c>
      <c r="HNM62" s="87" t="str">
        <f>IF(ISNUMBER(outYear),HNM37+HNM42+#REF!+HNM59,"")</f>
        <v/>
      </c>
      <c r="HNN62" s="87" t="str">
        <f>IF(ISNUMBER(outYear),HNN37+HNN42+#REF!+HNN59,"")</f>
        <v/>
      </c>
      <c r="HNO62" s="87" t="str">
        <f>IF(ISNUMBER(outYear),HNO37+HNO42+#REF!+HNO59,"")</f>
        <v/>
      </c>
      <c r="HNP62" s="87" t="str">
        <f>IF(ISNUMBER(outYear),HNP37+HNP42+#REF!+HNP59,"")</f>
        <v/>
      </c>
      <c r="HNQ62" s="87" t="str">
        <f>IF(ISNUMBER(outYear),HNQ37+HNQ42+#REF!+HNQ59,"")</f>
        <v/>
      </c>
      <c r="HNR62" s="87" t="str">
        <f>IF(ISNUMBER(outYear),HNR37+HNR42+#REF!+HNR59,"")</f>
        <v/>
      </c>
      <c r="HNS62" s="87" t="str">
        <f>IF(ISNUMBER(outYear),HNS37+HNS42+#REF!+HNS59,"")</f>
        <v/>
      </c>
      <c r="HNT62" s="87" t="str">
        <f>IF(ISNUMBER(outYear),HNT37+HNT42+#REF!+HNT59,"")</f>
        <v/>
      </c>
      <c r="HNU62" s="87" t="str">
        <f>IF(ISNUMBER(outYear),HNU37+HNU42+#REF!+HNU59,"")</f>
        <v/>
      </c>
      <c r="HNV62" s="87" t="str">
        <f>IF(ISNUMBER(outYear),HNV37+HNV42+#REF!+HNV59,"")</f>
        <v/>
      </c>
      <c r="HNW62" s="87" t="str">
        <f>IF(ISNUMBER(outYear),HNW37+HNW42+#REF!+HNW59,"")</f>
        <v/>
      </c>
      <c r="HNX62" s="87" t="str">
        <f>IF(ISNUMBER(outYear),HNX37+HNX42+#REF!+HNX59,"")</f>
        <v/>
      </c>
      <c r="HNY62" s="87" t="str">
        <f>IF(ISNUMBER(outYear),HNY37+HNY42+#REF!+HNY59,"")</f>
        <v/>
      </c>
      <c r="HNZ62" s="87" t="str">
        <f>IF(ISNUMBER(outYear),HNZ37+HNZ42+#REF!+HNZ59,"")</f>
        <v/>
      </c>
      <c r="HOA62" s="87" t="str">
        <f>IF(ISNUMBER(outYear),HOA37+HOA42+#REF!+HOA59,"")</f>
        <v/>
      </c>
      <c r="HOB62" s="87" t="str">
        <f>IF(ISNUMBER(outYear),HOB37+HOB42+#REF!+HOB59,"")</f>
        <v/>
      </c>
      <c r="HOC62" s="87" t="str">
        <f>IF(ISNUMBER(outYear),HOC37+HOC42+#REF!+HOC59,"")</f>
        <v/>
      </c>
      <c r="HOD62" s="87" t="str">
        <f>IF(ISNUMBER(outYear),HOD37+HOD42+#REF!+HOD59,"")</f>
        <v/>
      </c>
      <c r="HOE62" s="87" t="str">
        <f>IF(ISNUMBER(outYear),HOE37+HOE42+#REF!+HOE59,"")</f>
        <v/>
      </c>
      <c r="HOF62" s="87" t="str">
        <f>IF(ISNUMBER(outYear),HOF37+HOF42+#REF!+HOF59,"")</f>
        <v/>
      </c>
      <c r="HOG62" s="87" t="str">
        <f>IF(ISNUMBER(outYear),HOG37+HOG42+#REF!+HOG59,"")</f>
        <v/>
      </c>
      <c r="HOH62" s="87" t="str">
        <f>IF(ISNUMBER(outYear),HOH37+HOH42+#REF!+HOH59,"")</f>
        <v/>
      </c>
      <c r="HOI62" s="87" t="str">
        <f>IF(ISNUMBER(outYear),HOI37+HOI42+#REF!+HOI59,"")</f>
        <v/>
      </c>
      <c r="HOJ62" s="87" t="str">
        <f>IF(ISNUMBER(outYear),HOJ37+HOJ42+#REF!+HOJ59,"")</f>
        <v/>
      </c>
      <c r="HOK62" s="87" t="str">
        <f>IF(ISNUMBER(outYear),HOK37+HOK42+#REF!+HOK59,"")</f>
        <v/>
      </c>
      <c r="HOL62" s="87" t="str">
        <f>IF(ISNUMBER(outYear),HOL37+HOL42+#REF!+HOL59,"")</f>
        <v/>
      </c>
      <c r="HOM62" s="87" t="str">
        <f>IF(ISNUMBER(outYear),HOM37+HOM42+#REF!+HOM59,"")</f>
        <v/>
      </c>
      <c r="HON62" s="87" t="str">
        <f>IF(ISNUMBER(outYear),HON37+HON42+#REF!+HON59,"")</f>
        <v/>
      </c>
      <c r="HOO62" s="87" t="str">
        <f>IF(ISNUMBER(outYear),HOO37+HOO42+#REF!+HOO59,"")</f>
        <v/>
      </c>
      <c r="HOP62" s="87" t="str">
        <f>IF(ISNUMBER(outYear),HOP37+HOP42+#REF!+HOP59,"")</f>
        <v/>
      </c>
      <c r="HOQ62" s="87" t="str">
        <f>IF(ISNUMBER(outYear),HOQ37+HOQ42+#REF!+HOQ59,"")</f>
        <v/>
      </c>
      <c r="HOR62" s="87" t="str">
        <f>IF(ISNUMBER(outYear),HOR37+HOR42+#REF!+HOR59,"")</f>
        <v/>
      </c>
      <c r="HOS62" s="87" t="str">
        <f>IF(ISNUMBER(outYear),HOS37+HOS42+#REF!+HOS59,"")</f>
        <v/>
      </c>
      <c r="HOT62" s="87" t="str">
        <f>IF(ISNUMBER(outYear),HOT37+HOT42+#REF!+HOT59,"")</f>
        <v/>
      </c>
      <c r="HOU62" s="87" t="str">
        <f>IF(ISNUMBER(outYear),HOU37+HOU42+#REF!+HOU59,"")</f>
        <v/>
      </c>
      <c r="HOV62" s="87" t="str">
        <f>IF(ISNUMBER(outYear),HOV37+HOV42+#REF!+HOV59,"")</f>
        <v/>
      </c>
      <c r="HOW62" s="87" t="str">
        <f>IF(ISNUMBER(outYear),HOW37+HOW42+#REF!+HOW59,"")</f>
        <v/>
      </c>
      <c r="HOX62" s="87" t="str">
        <f>IF(ISNUMBER(outYear),HOX37+HOX42+#REF!+HOX59,"")</f>
        <v/>
      </c>
      <c r="HOY62" s="87" t="str">
        <f>IF(ISNUMBER(outYear),HOY37+HOY42+#REF!+HOY59,"")</f>
        <v/>
      </c>
      <c r="HOZ62" s="87" t="str">
        <f>IF(ISNUMBER(outYear),HOZ37+HOZ42+#REF!+HOZ59,"")</f>
        <v/>
      </c>
      <c r="HPA62" s="87" t="str">
        <f>IF(ISNUMBER(outYear),HPA37+HPA42+#REF!+HPA59,"")</f>
        <v/>
      </c>
      <c r="HPB62" s="87" t="str">
        <f>IF(ISNUMBER(outYear),HPB37+HPB42+#REF!+HPB59,"")</f>
        <v/>
      </c>
      <c r="HPC62" s="87" t="str">
        <f>IF(ISNUMBER(outYear),HPC37+HPC42+#REF!+HPC59,"")</f>
        <v/>
      </c>
      <c r="HPD62" s="87" t="str">
        <f>IF(ISNUMBER(outYear),HPD37+HPD42+#REF!+HPD59,"")</f>
        <v/>
      </c>
      <c r="HPE62" s="87" t="str">
        <f>IF(ISNUMBER(outYear),HPE37+HPE42+#REF!+HPE59,"")</f>
        <v/>
      </c>
      <c r="HPF62" s="87" t="str">
        <f>IF(ISNUMBER(outYear),HPF37+HPF42+#REF!+HPF59,"")</f>
        <v/>
      </c>
      <c r="HPG62" s="87" t="str">
        <f>IF(ISNUMBER(outYear),HPG37+HPG42+#REF!+HPG59,"")</f>
        <v/>
      </c>
      <c r="HPH62" s="87" t="str">
        <f>IF(ISNUMBER(outYear),HPH37+HPH42+#REF!+HPH59,"")</f>
        <v/>
      </c>
      <c r="HPI62" s="87" t="str">
        <f>IF(ISNUMBER(outYear),HPI37+HPI42+#REF!+HPI59,"")</f>
        <v/>
      </c>
      <c r="HPJ62" s="87" t="str">
        <f>IF(ISNUMBER(outYear),HPJ37+HPJ42+#REF!+HPJ59,"")</f>
        <v/>
      </c>
      <c r="HPK62" s="87" t="str">
        <f>IF(ISNUMBER(outYear),HPK37+HPK42+#REF!+HPK59,"")</f>
        <v/>
      </c>
      <c r="HPL62" s="87" t="str">
        <f>IF(ISNUMBER(outYear),HPL37+HPL42+#REF!+HPL59,"")</f>
        <v/>
      </c>
      <c r="HPM62" s="87" t="str">
        <f>IF(ISNUMBER(outYear),HPM37+HPM42+#REF!+HPM59,"")</f>
        <v/>
      </c>
      <c r="HPN62" s="87" t="str">
        <f>IF(ISNUMBER(outYear),HPN37+HPN42+#REF!+HPN59,"")</f>
        <v/>
      </c>
      <c r="HPO62" s="87" t="str">
        <f>IF(ISNUMBER(outYear),HPO37+HPO42+#REF!+HPO59,"")</f>
        <v/>
      </c>
      <c r="HPP62" s="87" t="str">
        <f>IF(ISNUMBER(outYear),HPP37+HPP42+#REF!+HPP59,"")</f>
        <v/>
      </c>
      <c r="HPQ62" s="87" t="str">
        <f>IF(ISNUMBER(outYear),HPQ37+HPQ42+#REF!+HPQ59,"")</f>
        <v/>
      </c>
      <c r="HPR62" s="87" t="str">
        <f>IF(ISNUMBER(outYear),HPR37+HPR42+#REF!+HPR59,"")</f>
        <v/>
      </c>
      <c r="HPS62" s="87" t="str">
        <f>IF(ISNUMBER(outYear),HPS37+HPS42+#REF!+HPS59,"")</f>
        <v/>
      </c>
      <c r="HPT62" s="87" t="str">
        <f>IF(ISNUMBER(outYear),HPT37+HPT42+#REF!+HPT59,"")</f>
        <v/>
      </c>
      <c r="HPU62" s="87" t="str">
        <f>IF(ISNUMBER(outYear),HPU37+HPU42+#REF!+HPU59,"")</f>
        <v/>
      </c>
      <c r="HPV62" s="87" t="str">
        <f>IF(ISNUMBER(outYear),HPV37+HPV42+#REF!+HPV59,"")</f>
        <v/>
      </c>
      <c r="HPW62" s="87" t="str">
        <f>IF(ISNUMBER(outYear),HPW37+HPW42+#REF!+HPW59,"")</f>
        <v/>
      </c>
      <c r="HPX62" s="87" t="str">
        <f>IF(ISNUMBER(outYear),HPX37+HPX42+#REF!+HPX59,"")</f>
        <v/>
      </c>
      <c r="HPY62" s="87" t="str">
        <f>IF(ISNUMBER(outYear),HPY37+HPY42+#REF!+HPY59,"")</f>
        <v/>
      </c>
      <c r="HPZ62" s="87" t="str">
        <f>IF(ISNUMBER(outYear),HPZ37+HPZ42+#REF!+HPZ59,"")</f>
        <v/>
      </c>
      <c r="HQA62" s="87" t="str">
        <f>IF(ISNUMBER(outYear),HQA37+HQA42+#REF!+HQA59,"")</f>
        <v/>
      </c>
      <c r="HQB62" s="87" t="str">
        <f>IF(ISNUMBER(outYear),HQB37+HQB42+#REF!+HQB59,"")</f>
        <v/>
      </c>
      <c r="HQC62" s="87" t="str">
        <f>IF(ISNUMBER(outYear),HQC37+HQC42+#REF!+HQC59,"")</f>
        <v/>
      </c>
      <c r="HQD62" s="87" t="str">
        <f>IF(ISNUMBER(outYear),HQD37+HQD42+#REF!+HQD59,"")</f>
        <v/>
      </c>
      <c r="HQE62" s="87" t="str">
        <f>IF(ISNUMBER(outYear),HQE37+HQE42+#REF!+HQE59,"")</f>
        <v/>
      </c>
      <c r="HQF62" s="87" t="str">
        <f>IF(ISNUMBER(outYear),HQF37+HQF42+#REF!+HQF59,"")</f>
        <v/>
      </c>
      <c r="HQG62" s="87" t="str">
        <f>IF(ISNUMBER(outYear),HQG37+HQG42+#REF!+HQG59,"")</f>
        <v/>
      </c>
      <c r="HQH62" s="87" t="str">
        <f>IF(ISNUMBER(outYear),HQH37+HQH42+#REF!+HQH59,"")</f>
        <v/>
      </c>
      <c r="HQI62" s="87" t="str">
        <f>IF(ISNUMBER(outYear),HQI37+HQI42+#REF!+HQI59,"")</f>
        <v/>
      </c>
      <c r="HQJ62" s="87" t="str">
        <f>IF(ISNUMBER(outYear),HQJ37+HQJ42+#REF!+HQJ59,"")</f>
        <v/>
      </c>
      <c r="HQK62" s="87" t="str">
        <f>IF(ISNUMBER(outYear),HQK37+HQK42+#REF!+HQK59,"")</f>
        <v/>
      </c>
      <c r="HQL62" s="87" t="str">
        <f>IF(ISNUMBER(outYear),HQL37+HQL42+#REF!+HQL59,"")</f>
        <v/>
      </c>
      <c r="HQM62" s="87" t="str">
        <f>IF(ISNUMBER(outYear),HQM37+HQM42+#REF!+HQM59,"")</f>
        <v/>
      </c>
      <c r="HQN62" s="87" t="str">
        <f>IF(ISNUMBER(outYear),HQN37+HQN42+#REF!+HQN59,"")</f>
        <v/>
      </c>
      <c r="HQO62" s="87" t="str">
        <f>IF(ISNUMBER(outYear),HQO37+HQO42+#REF!+HQO59,"")</f>
        <v/>
      </c>
      <c r="HQP62" s="87" t="str">
        <f>IF(ISNUMBER(outYear),HQP37+HQP42+#REF!+HQP59,"")</f>
        <v/>
      </c>
      <c r="HQQ62" s="87" t="str">
        <f>IF(ISNUMBER(outYear),HQQ37+HQQ42+#REF!+HQQ59,"")</f>
        <v/>
      </c>
      <c r="HQR62" s="87" t="str">
        <f>IF(ISNUMBER(outYear),HQR37+HQR42+#REF!+HQR59,"")</f>
        <v/>
      </c>
      <c r="HQS62" s="87" t="str">
        <f>IF(ISNUMBER(outYear),HQS37+HQS42+#REF!+HQS59,"")</f>
        <v/>
      </c>
      <c r="HQT62" s="87" t="str">
        <f>IF(ISNUMBER(outYear),HQT37+HQT42+#REF!+HQT59,"")</f>
        <v/>
      </c>
      <c r="HQU62" s="87" t="str">
        <f>IF(ISNUMBER(outYear),HQU37+HQU42+#REF!+HQU59,"")</f>
        <v/>
      </c>
      <c r="HQV62" s="87" t="str">
        <f>IF(ISNUMBER(outYear),HQV37+HQV42+#REF!+HQV59,"")</f>
        <v/>
      </c>
      <c r="HQW62" s="87" t="str">
        <f>IF(ISNUMBER(outYear),HQW37+HQW42+#REF!+HQW59,"")</f>
        <v/>
      </c>
      <c r="HQX62" s="87" t="str">
        <f>IF(ISNUMBER(outYear),HQX37+HQX42+#REF!+HQX59,"")</f>
        <v/>
      </c>
      <c r="HQY62" s="87" t="str">
        <f>IF(ISNUMBER(outYear),HQY37+HQY42+#REF!+HQY59,"")</f>
        <v/>
      </c>
      <c r="HQZ62" s="87" t="str">
        <f>IF(ISNUMBER(outYear),HQZ37+HQZ42+#REF!+HQZ59,"")</f>
        <v/>
      </c>
      <c r="HRA62" s="87" t="str">
        <f>IF(ISNUMBER(outYear),HRA37+HRA42+#REF!+HRA59,"")</f>
        <v/>
      </c>
      <c r="HRB62" s="87" t="str">
        <f>IF(ISNUMBER(outYear),HRB37+HRB42+#REF!+HRB59,"")</f>
        <v/>
      </c>
      <c r="HRC62" s="87" t="str">
        <f>IF(ISNUMBER(outYear),HRC37+HRC42+#REF!+HRC59,"")</f>
        <v/>
      </c>
      <c r="HRD62" s="87" t="str">
        <f>IF(ISNUMBER(outYear),HRD37+HRD42+#REF!+HRD59,"")</f>
        <v/>
      </c>
      <c r="HRE62" s="87" t="str">
        <f>IF(ISNUMBER(outYear),HRE37+HRE42+#REF!+HRE59,"")</f>
        <v/>
      </c>
      <c r="HRF62" s="87" t="str">
        <f>IF(ISNUMBER(outYear),HRF37+HRF42+#REF!+HRF59,"")</f>
        <v/>
      </c>
      <c r="HRG62" s="87" t="str">
        <f>IF(ISNUMBER(outYear),HRG37+HRG42+#REF!+HRG59,"")</f>
        <v/>
      </c>
      <c r="HRH62" s="87" t="str">
        <f>IF(ISNUMBER(outYear),HRH37+HRH42+#REF!+HRH59,"")</f>
        <v/>
      </c>
      <c r="HRI62" s="87" t="str">
        <f>IF(ISNUMBER(outYear),HRI37+HRI42+#REF!+HRI59,"")</f>
        <v/>
      </c>
      <c r="HRJ62" s="87" t="str">
        <f>IF(ISNUMBER(outYear),HRJ37+HRJ42+#REF!+HRJ59,"")</f>
        <v/>
      </c>
      <c r="HRK62" s="87" t="str">
        <f>IF(ISNUMBER(outYear),HRK37+HRK42+#REF!+HRK59,"")</f>
        <v/>
      </c>
      <c r="HRL62" s="87" t="str">
        <f>IF(ISNUMBER(outYear),HRL37+HRL42+#REF!+HRL59,"")</f>
        <v/>
      </c>
      <c r="HRM62" s="87" t="str">
        <f>IF(ISNUMBER(outYear),HRM37+HRM42+#REF!+HRM59,"")</f>
        <v/>
      </c>
      <c r="HRN62" s="87" t="str">
        <f>IF(ISNUMBER(outYear),HRN37+HRN42+#REF!+HRN59,"")</f>
        <v/>
      </c>
      <c r="HRO62" s="87" t="str">
        <f>IF(ISNUMBER(outYear),HRO37+HRO42+#REF!+HRO59,"")</f>
        <v/>
      </c>
      <c r="HRP62" s="87" t="str">
        <f>IF(ISNUMBER(outYear),HRP37+HRP42+#REF!+HRP59,"")</f>
        <v/>
      </c>
      <c r="HRQ62" s="87" t="str">
        <f>IF(ISNUMBER(outYear),HRQ37+HRQ42+#REF!+HRQ59,"")</f>
        <v/>
      </c>
      <c r="HRR62" s="87" t="str">
        <f>IF(ISNUMBER(outYear),HRR37+HRR42+#REF!+HRR59,"")</f>
        <v/>
      </c>
      <c r="HRS62" s="87" t="str">
        <f>IF(ISNUMBER(outYear),HRS37+HRS42+#REF!+HRS59,"")</f>
        <v/>
      </c>
      <c r="HRT62" s="87" t="str">
        <f>IF(ISNUMBER(outYear),HRT37+HRT42+#REF!+HRT59,"")</f>
        <v/>
      </c>
      <c r="HRU62" s="87" t="str">
        <f>IF(ISNUMBER(outYear),HRU37+HRU42+#REF!+HRU59,"")</f>
        <v/>
      </c>
      <c r="HRV62" s="87" t="str">
        <f>IF(ISNUMBER(outYear),HRV37+HRV42+#REF!+HRV59,"")</f>
        <v/>
      </c>
      <c r="HRW62" s="87" t="str">
        <f>IF(ISNUMBER(outYear),HRW37+HRW42+#REF!+HRW59,"")</f>
        <v/>
      </c>
      <c r="HRX62" s="87" t="str">
        <f>IF(ISNUMBER(outYear),HRX37+HRX42+#REF!+HRX59,"")</f>
        <v/>
      </c>
      <c r="HRY62" s="87" t="str">
        <f>IF(ISNUMBER(outYear),HRY37+HRY42+#REF!+HRY59,"")</f>
        <v/>
      </c>
      <c r="HRZ62" s="87" t="str">
        <f>IF(ISNUMBER(outYear),HRZ37+HRZ42+#REF!+HRZ59,"")</f>
        <v/>
      </c>
      <c r="HSA62" s="87" t="str">
        <f>IF(ISNUMBER(outYear),HSA37+HSA42+#REF!+HSA59,"")</f>
        <v/>
      </c>
      <c r="HSB62" s="87" t="str">
        <f>IF(ISNUMBER(outYear),HSB37+HSB42+#REF!+HSB59,"")</f>
        <v/>
      </c>
      <c r="HSC62" s="87" t="str">
        <f>IF(ISNUMBER(outYear),HSC37+HSC42+#REF!+HSC59,"")</f>
        <v/>
      </c>
      <c r="HSD62" s="87" t="str">
        <f>IF(ISNUMBER(outYear),HSD37+HSD42+#REF!+HSD59,"")</f>
        <v/>
      </c>
      <c r="HSE62" s="87" t="str">
        <f>IF(ISNUMBER(outYear),HSE37+HSE42+#REF!+HSE59,"")</f>
        <v/>
      </c>
      <c r="HSF62" s="87" t="str">
        <f>IF(ISNUMBER(outYear),HSF37+HSF42+#REF!+HSF59,"")</f>
        <v/>
      </c>
      <c r="HSG62" s="87" t="str">
        <f>IF(ISNUMBER(outYear),HSG37+HSG42+#REF!+HSG59,"")</f>
        <v/>
      </c>
      <c r="HSH62" s="87" t="str">
        <f>IF(ISNUMBER(outYear),HSH37+HSH42+#REF!+HSH59,"")</f>
        <v/>
      </c>
      <c r="HSI62" s="87" t="str">
        <f>IF(ISNUMBER(outYear),HSI37+HSI42+#REF!+HSI59,"")</f>
        <v/>
      </c>
      <c r="HSJ62" s="87" t="str">
        <f>IF(ISNUMBER(outYear),HSJ37+HSJ42+#REF!+HSJ59,"")</f>
        <v/>
      </c>
      <c r="HSK62" s="87" t="str">
        <f>IF(ISNUMBER(outYear),HSK37+HSK42+#REF!+HSK59,"")</f>
        <v/>
      </c>
      <c r="HSL62" s="87" t="str">
        <f>IF(ISNUMBER(outYear),HSL37+HSL42+#REF!+HSL59,"")</f>
        <v/>
      </c>
      <c r="HSM62" s="87" t="str">
        <f>IF(ISNUMBER(outYear),HSM37+HSM42+#REF!+HSM59,"")</f>
        <v/>
      </c>
      <c r="HSN62" s="87" t="str">
        <f>IF(ISNUMBER(outYear),HSN37+HSN42+#REF!+HSN59,"")</f>
        <v/>
      </c>
      <c r="HSO62" s="87" t="str">
        <f>IF(ISNUMBER(outYear),HSO37+HSO42+#REF!+HSO59,"")</f>
        <v/>
      </c>
      <c r="HSP62" s="87" t="str">
        <f>IF(ISNUMBER(outYear),HSP37+HSP42+#REF!+HSP59,"")</f>
        <v/>
      </c>
      <c r="HSQ62" s="87" t="str">
        <f>IF(ISNUMBER(outYear),HSQ37+HSQ42+#REF!+HSQ59,"")</f>
        <v/>
      </c>
      <c r="HSR62" s="87" t="str">
        <f>IF(ISNUMBER(outYear),HSR37+HSR42+#REF!+HSR59,"")</f>
        <v/>
      </c>
      <c r="HSS62" s="87" t="str">
        <f>IF(ISNUMBER(outYear),HSS37+HSS42+#REF!+HSS59,"")</f>
        <v/>
      </c>
      <c r="HST62" s="87" t="str">
        <f>IF(ISNUMBER(outYear),HST37+HST42+#REF!+HST59,"")</f>
        <v/>
      </c>
      <c r="HSU62" s="87" t="str">
        <f>IF(ISNUMBER(outYear),HSU37+HSU42+#REF!+HSU59,"")</f>
        <v/>
      </c>
      <c r="HSV62" s="87" t="str">
        <f>IF(ISNUMBER(outYear),HSV37+HSV42+#REF!+HSV59,"")</f>
        <v/>
      </c>
      <c r="HSW62" s="87" t="str">
        <f>IF(ISNUMBER(outYear),HSW37+HSW42+#REF!+HSW59,"")</f>
        <v/>
      </c>
      <c r="HSX62" s="87" t="str">
        <f>IF(ISNUMBER(outYear),HSX37+HSX42+#REF!+HSX59,"")</f>
        <v/>
      </c>
      <c r="HSY62" s="87" t="str">
        <f>IF(ISNUMBER(outYear),HSY37+HSY42+#REF!+HSY59,"")</f>
        <v/>
      </c>
      <c r="HSZ62" s="87" t="str">
        <f>IF(ISNUMBER(outYear),HSZ37+HSZ42+#REF!+HSZ59,"")</f>
        <v/>
      </c>
      <c r="HTA62" s="87" t="str">
        <f>IF(ISNUMBER(outYear),HTA37+HTA42+#REF!+HTA59,"")</f>
        <v/>
      </c>
      <c r="HTB62" s="87" t="str">
        <f>IF(ISNUMBER(outYear),HTB37+HTB42+#REF!+HTB59,"")</f>
        <v/>
      </c>
      <c r="HTC62" s="87" t="str">
        <f>IF(ISNUMBER(outYear),HTC37+HTC42+#REF!+HTC59,"")</f>
        <v/>
      </c>
      <c r="HTD62" s="87" t="str">
        <f>IF(ISNUMBER(outYear),HTD37+HTD42+#REF!+HTD59,"")</f>
        <v/>
      </c>
      <c r="HTE62" s="87" t="str">
        <f>IF(ISNUMBER(outYear),HTE37+HTE42+#REF!+HTE59,"")</f>
        <v/>
      </c>
      <c r="HTF62" s="87" t="str">
        <f>IF(ISNUMBER(outYear),HTF37+HTF42+#REF!+HTF59,"")</f>
        <v/>
      </c>
      <c r="HTG62" s="87" t="str">
        <f>IF(ISNUMBER(outYear),HTG37+HTG42+#REF!+HTG59,"")</f>
        <v/>
      </c>
      <c r="HTH62" s="87" t="str">
        <f>IF(ISNUMBER(outYear),HTH37+HTH42+#REF!+HTH59,"")</f>
        <v/>
      </c>
      <c r="HTI62" s="87" t="str">
        <f>IF(ISNUMBER(outYear),HTI37+HTI42+#REF!+HTI59,"")</f>
        <v/>
      </c>
      <c r="HTJ62" s="87" t="str">
        <f>IF(ISNUMBER(outYear),HTJ37+HTJ42+#REF!+HTJ59,"")</f>
        <v/>
      </c>
      <c r="HTK62" s="87" t="str">
        <f>IF(ISNUMBER(outYear),HTK37+HTK42+#REF!+HTK59,"")</f>
        <v/>
      </c>
      <c r="HTL62" s="87" t="str">
        <f>IF(ISNUMBER(outYear),HTL37+HTL42+#REF!+HTL59,"")</f>
        <v/>
      </c>
      <c r="HTM62" s="87" t="str">
        <f>IF(ISNUMBER(outYear),HTM37+HTM42+#REF!+HTM59,"")</f>
        <v/>
      </c>
      <c r="HTN62" s="87" t="str">
        <f>IF(ISNUMBER(outYear),HTN37+HTN42+#REF!+HTN59,"")</f>
        <v/>
      </c>
      <c r="HTO62" s="87" t="str">
        <f>IF(ISNUMBER(outYear),HTO37+HTO42+#REF!+HTO59,"")</f>
        <v/>
      </c>
      <c r="HTP62" s="87" t="str">
        <f>IF(ISNUMBER(outYear),HTP37+HTP42+#REF!+HTP59,"")</f>
        <v/>
      </c>
      <c r="HTQ62" s="87" t="str">
        <f>IF(ISNUMBER(outYear),HTQ37+HTQ42+#REF!+HTQ59,"")</f>
        <v/>
      </c>
      <c r="HTR62" s="87" t="str">
        <f>IF(ISNUMBER(outYear),HTR37+HTR42+#REF!+HTR59,"")</f>
        <v/>
      </c>
      <c r="HTS62" s="87" t="str">
        <f>IF(ISNUMBER(outYear),HTS37+HTS42+#REF!+HTS59,"")</f>
        <v/>
      </c>
      <c r="HTT62" s="87" t="str">
        <f>IF(ISNUMBER(outYear),HTT37+HTT42+#REF!+HTT59,"")</f>
        <v/>
      </c>
      <c r="HTU62" s="87" t="str">
        <f>IF(ISNUMBER(outYear),HTU37+HTU42+#REF!+HTU59,"")</f>
        <v/>
      </c>
      <c r="HTV62" s="87" t="str">
        <f>IF(ISNUMBER(outYear),HTV37+HTV42+#REF!+HTV59,"")</f>
        <v/>
      </c>
      <c r="HTW62" s="87" t="str">
        <f>IF(ISNUMBER(outYear),HTW37+HTW42+#REF!+HTW59,"")</f>
        <v/>
      </c>
      <c r="HTX62" s="87" t="str">
        <f>IF(ISNUMBER(outYear),HTX37+HTX42+#REF!+HTX59,"")</f>
        <v/>
      </c>
      <c r="HTY62" s="87" t="str">
        <f>IF(ISNUMBER(outYear),HTY37+HTY42+#REF!+HTY59,"")</f>
        <v/>
      </c>
      <c r="HTZ62" s="87" t="str">
        <f>IF(ISNUMBER(outYear),HTZ37+HTZ42+#REF!+HTZ59,"")</f>
        <v/>
      </c>
      <c r="HUA62" s="87" t="str">
        <f>IF(ISNUMBER(outYear),HUA37+HUA42+#REF!+HUA59,"")</f>
        <v/>
      </c>
      <c r="HUB62" s="87" t="str">
        <f>IF(ISNUMBER(outYear),HUB37+HUB42+#REF!+HUB59,"")</f>
        <v/>
      </c>
      <c r="HUC62" s="87" t="str">
        <f>IF(ISNUMBER(outYear),HUC37+HUC42+#REF!+HUC59,"")</f>
        <v/>
      </c>
      <c r="HUD62" s="87" t="str">
        <f>IF(ISNUMBER(outYear),HUD37+HUD42+#REF!+HUD59,"")</f>
        <v/>
      </c>
      <c r="HUE62" s="87" t="str">
        <f>IF(ISNUMBER(outYear),HUE37+HUE42+#REF!+HUE59,"")</f>
        <v/>
      </c>
      <c r="HUF62" s="87" t="str">
        <f>IF(ISNUMBER(outYear),HUF37+HUF42+#REF!+HUF59,"")</f>
        <v/>
      </c>
      <c r="HUG62" s="87" t="str">
        <f>IF(ISNUMBER(outYear),HUG37+HUG42+#REF!+HUG59,"")</f>
        <v/>
      </c>
      <c r="HUH62" s="87" t="str">
        <f>IF(ISNUMBER(outYear),HUH37+HUH42+#REF!+HUH59,"")</f>
        <v/>
      </c>
      <c r="HUI62" s="87" t="str">
        <f>IF(ISNUMBER(outYear),HUI37+HUI42+#REF!+HUI59,"")</f>
        <v/>
      </c>
      <c r="HUJ62" s="87" t="str">
        <f>IF(ISNUMBER(outYear),HUJ37+HUJ42+#REF!+HUJ59,"")</f>
        <v/>
      </c>
      <c r="HUK62" s="87" t="str">
        <f>IF(ISNUMBER(outYear),HUK37+HUK42+#REF!+HUK59,"")</f>
        <v/>
      </c>
      <c r="HUL62" s="87" t="str">
        <f>IF(ISNUMBER(outYear),HUL37+HUL42+#REF!+HUL59,"")</f>
        <v/>
      </c>
      <c r="HUM62" s="87" t="str">
        <f>IF(ISNUMBER(outYear),HUM37+HUM42+#REF!+HUM59,"")</f>
        <v/>
      </c>
      <c r="HUN62" s="87" t="str">
        <f>IF(ISNUMBER(outYear),HUN37+HUN42+#REF!+HUN59,"")</f>
        <v/>
      </c>
      <c r="HUO62" s="87" t="str">
        <f>IF(ISNUMBER(outYear),HUO37+HUO42+#REF!+HUO59,"")</f>
        <v/>
      </c>
      <c r="HUP62" s="87" t="str">
        <f>IF(ISNUMBER(outYear),HUP37+HUP42+#REF!+HUP59,"")</f>
        <v/>
      </c>
      <c r="HUQ62" s="87" t="str">
        <f>IF(ISNUMBER(outYear),HUQ37+HUQ42+#REF!+HUQ59,"")</f>
        <v/>
      </c>
      <c r="HUR62" s="87" t="str">
        <f>IF(ISNUMBER(outYear),HUR37+HUR42+#REF!+HUR59,"")</f>
        <v/>
      </c>
      <c r="HUS62" s="87" t="str">
        <f>IF(ISNUMBER(outYear),HUS37+HUS42+#REF!+HUS59,"")</f>
        <v/>
      </c>
      <c r="HUT62" s="87" t="str">
        <f>IF(ISNUMBER(outYear),HUT37+HUT42+#REF!+HUT59,"")</f>
        <v/>
      </c>
      <c r="HUU62" s="87" t="str">
        <f>IF(ISNUMBER(outYear),HUU37+HUU42+#REF!+HUU59,"")</f>
        <v/>
      </c>
      <c r="HUV62" s="87" t="str">
        <f>IF(ISNUMBER(outYear),HUV37+HUV42+#REF!+HUV59,"")</f>
        <v/>
      </c>
      <c r="HUW62" s="87" t="str">
        <f>IF(ISNUMBER(outYear),HUW37+HUW42+#REF!+HUW59,"")</f>
        <v/>
      </c>
      <c r="HUX62" s="87" t="str">
        <f>IF(ISNUMBER(outYear),HUX37+HUX42+#REF!+HUX59,"")</f>
        <v/>
      </c>
      <c r="HUY62" s="87" t="str">
        <f>IF(ISNUMBER(outYear),HUY37+HUY42+#REF!+HUY59,"")</f>
        <v/>
      </c>
      <c r="HUZ62" s="87" t="str">
        <f>IF(ISNUMBER(outYear),HUZ37+HUZ42+#REF!+HUZ59,"")</f>
        <v/>
      </c>
      <c r="HVA62" s="87" t="str">
        <f>IF(ISNUMBER(outYear),HVA37+HVA42+#REF!+HVA59,"")</f>
        <v/>
      </c>
      <c r="HVB62" s="87" t="str">
        <f>IF(ISNUMBER(outYear),HVB37+HVB42+#REF!+HVB59,"")</f>
        <v/>
      </c>
      <c r="HVC62" s="87" t="str">
        <f>IF(ISNUMBER(outYear),HVC37+HVC42+#REF!+HVC59,"")</f>
        <v/>
      </c>
      <c r="HVD62" s="87" t="str">
        <f>IF(ISNUMBER(outYear),HVD37+HVD42+#REF!+HVD59,"")</f>
        <v/>
      </c>
      <c r="HVE62" s="87" t="str">
        <f>IF(ISNUMBER(outYear),HVE37+HVE42+#REF!+HVE59,"")</f>
        <v/>
      </c>
      <c r="HVF62" s="87" t="str">
        <f>IF(ISNUMBER(outYear),HVF37+HVF42+#REF!+HVF59,"")</f>
        <v/>
      </c>
      <c r="HVG62" s="87" t="str">
        <f>IF(ISNUMBER(outYear),HVG37+HVG42+#REF!+HVG59,"")</f>
        <v/>
      </c>
      <c r="HVH62" s="87" t="str">
        <f>IF(ISNUMBER(outYear),HVH37+HVH42+#REF!+HVH59,"")</f>
        <v/>
      </c>
      <c r="HVI62" s="87" t="str">
        <f>IF(ISNUMBER(outYear),HVI37+HVI42+#REF!+HVI59,"")</f>
        <v/>
      </c>
      <c r="HVJ62" s="87" t="str">
        <f>IF(ISNUMBER(outYear),HVJ37+HVJ42+#REF!+HVJ59,"")</f>
        <v/>
      </c>
      <c r="HVK62" s="87" t="str">
        <f>IF(ISNUMBER(outYear),HVK37+HVK42+#REF!+HVK59,"")</f>
        <v/>
      </c>
      <c r="HVL62" s="87" t="str">
        <f>IF(ISNUMBER(outYear),HVL37+HVL42+#REF!+HVL59,"")</f>
        <v/>
      </c>
      <c r="HVM62" s="87" t="str">
        <f>IF(ISNUMBER(outYear),HVM37+HVM42+#REF!+HVM59,"")</f>
        <v/>
      </c>
      <c r="HVN62" s="87" t="str">
        <f>IF(ISNUMBER(outYear),HVN37+HVN42+#REF!+HVN59,"")</f>
        <v/>
      </c>
      <c r="HVO62" s="87" t="str">
        <f>IF(ISNUMBER(outYear),HVO37+HVO42+#REF!+HVO59,"")</f>
        <v/>
      </c>
      <c r="HVP62" s="87" t="str">
        <f>IF(ISNUMBER(outYear),HVP37+HVP42+#REF!+HVP59,"")</f>
        <v/>
      </c>
      <c r="HVQ62" s="87" t="str">
        <f>IF(ISNUMBER(outYear),HVQ37+HVQ42+#REF!+HVQ59,"")</f>
        <v/>
      </c>
      <c r="HVR62" s="87" t="str">
        <f>IF(ISNUMBER(outYear),HVR37+HVR42+#REF!+HVR59,"")</f>
        <v/>
      </c>
      <c r="HVS62" s="87" t="str">
        <f>IF(ISNUMBER(outYear),HVS37+HVS42+#REF!+HVS59,"")</f>
        <v/>
      </c>
      <c r="HVT62" s="87" t="str">
        <f>IF(ISNUMBER(outYear),HVT37+HVT42+#REF!+HVT59,"")</f>
        <v/>
      </c>
      <c r="HVU62" s="87" t="str">
        <f>IF(ISNUMBER(outYear),HVU37+HVU42+#REF!+HVU59,"")</f>
        <v/>
      </c>
      <c r="HVV62" s="87" t="str">
        <f>IF(ISNUMBER(outYear),HVV37+HVV42+#REF!+HVV59,"")</f>
        <v/>
      </c>
      <c r="HVW62" s="87" t="str">
        <f>IF(ISNUMBER(outYear),HVW37+HVW42+#REF!+HVW59,"")</f>
        <v/>
      </c>
      <c r="HVX62" s="87" t="str">
        <f>IF(ISNUMBER(outYear),HVX37+HVX42+#REF!+HVX59,"")</f>
        <v/>
      </c>
      <c r="HVY62" s="87" t="str">
        <f>IF(ISNUMBER(outYear),HVY37+HVY42+#REF!+HVY59,"")</f>
        <v/>
      </c>
      <c r="HVZ62" s="87" t="str">
        <f>IF(ISNUMBER(outYear),HVZ37+HVZ42+#REF!+HVZ59,"")</f>
        <v/>
      </c>
      <c r="HWA62" s="87" t="str">
        <f>IF(ISNUMBER(outYear),HWA37+HWA42+#REF!+HWA59,"")</f>
        <v/>
      </c>
      <c r="HWB62" s="87" t="str">
        <f>IF(ISNUMBER(outYear),HWB37+HWB42+#REF!+HWB59,"")</f>
        <v/>
      </c>
      <c r="HWC62" s="87" t="str">
        <f>IF(ISNUMBER(outYear),HWC37+HWC42+#REF!+HWC59,"")</f>
        <v/>
      </c>
      <c r="HWD62" s="87" t="str">
        <f>IF(ISNUMBER(outYear),HWD37+HWD42+#REF!+HWD59,"")</f>
        <v/>
      </c>
      <c r="HWE62" s="87" t="str">
        <f>IF(ISNUMBER(outYear),HWE37+HWE42+#REF!+HWE59,"")</f>
        <v/>
      </c>
      <c r="HWF62" s="87" t="str">
        <f>IF(ISNUMBER(outYear),HWF37+HWF42+#REF!+HWF59,"")</f>
        <v/>
      </c>
      <c r="HWG62" s="87" t="str">
        <f>IF(ISNUMBER(outYear),HWG37+HWG42+#REF!+HWG59,"")</f>
        <v/>
      </c>
      <c r="HWH62" s="87" t="str">
        <f>IF(ISNUMBER(outYear),HWH37+HWH42+#REF!+HWH59,"")</f>
        <v/>
      </c>
      <c r="HWI62" s="87" t="str">
        <f>IF(ISNUMBER(outYear),HWI37+HWI42+#REF!+HWI59,"")</f>
        <v/>
      </c>
      <c r="HWJ62" s="87" t="str">
        <f>IF(ISNUMBER(outYear),HWJ37+HWJ42+#REF!+HWJ59,"")</f>
        <v/>
      </c>
      <c r="HWK62" s="87" t="str">
        <f>IF(ISNUMBER(outYear),HWK37+HWK42+#REF!+HWK59,"")</f>
        <v/>
      </c>
      <c r="HWL62" s="87" t="str">
        <f>IF(ISNUMBER(outYear),HWL37+HWL42+#REF!+HWL59,"")</f>
        <v/>
      </c>
      <c r="HWM62" s="87" t="str">
        <f>IF(ISNUMBER(outYear),HWM37+HWM42+#REF!+HWM59,"")</f>
        <v/>
      </c>
      <c r="HWN62" s="87" t="str">
        <f>IF(ISNUMBER(outYear),HWN37+HWN42+#REF!+HWN59,"")</f>
        <v/>
      </c>
      <c r="HWO62" s="87" t="str">
        <f>IF(ISNUMBER(outYear),HWO37+HWO42+#REF!+HWO59,"")</f>
        <v/>
      </c>
      <c r="HWP62" s="87" t="str">
        <f>IF(ISNUMBER(outYear),HWP37+HWP42+#REF!+HWP59,"")</f>
        <v/>
      </c>
      <c r="HWQ62" s="87" t="str">
        <f>IF(ISNUMBER(outYear),HWQ37+HWQ42+#REF!+HWQ59,"")</f>
        <v/>
      </c>
      <c r="HWR62" s="87" t="str">
        <f>IF(ISNUMBER(outYear),HWR37+HWR42+#REF!+HWR59,"")</f>
        <v/>
      </c>
      <c r="HWS62" s="87" t="str">
        <f>IF(ISNUMBER(outYear),HWS37+HWS42+#REF!+HWS59,"")</f>
        <v/>
      </c>
      <c r="HWT62" s="87" t="str">
        <f>IF(ISNUMBER(outYear),HWT37+HWT42+#REF!+HWT59,"")</f>
        <v/>
      </c>
      <c r="HWU62" s="87" t="str">
        <f>IF(ISNUMBER(outYear),HWU37+HWU42+#REF!+HWU59,"")</f>
        <v/>
      </c>
      <c r="HWV62" s="87" t="str">
        <f>IF(ISNUMBER(outYear),HWV37+HWV42+#REF!+HWV59,"")</f>
        <v/>
      </c>
      <c r="HWW62" s="87" t="str">
        <f>IF(ISNUMBER(outYear),HWW37+HWW42+#REF!+HWW59,"")</f>
        <v/>
      </c>
      <c r="HWX62" s="87" t="str">
        <f>IF(ISNUMBER(outYear),HWX37+HWX42+#REF!+HWX59,"")</f>
        <v/>
      </c>
      <c r="HWY62" s="87" t="str">
        <f>IF(ISNUMBER(outYear),HWY37+HWY42+#REF!+HWY59,"")</f>
        <v/>
      </c>
      <c r="HWZ62" s="87" t="str">
        <f>IF(ISNUMBER(outYear),HWZ37+HWZ42+#REF!+HWZ59,"")</f>
        <v/>
      </c>
      <c r="HXA62" s="87" t="str">
        <f>IF(ISNUMBER(outYear),HXA37+HXA42+#REF!+HXA59,"")</f>
        <v/>
      </c>
      <c r="HXB62" s="87" t="str">
        <f>IF(ISNUMBER(outYear),HXB37+HXB42+#REF!+HXB59,"")</f>
        <v/>
      </c>
      <c r="HXC62" s="87" t="str">
        <f>IF(ISNUMBER(outYear),HXC37+HXC42+#REF!+HXC59,"")</f>
        <v/>
      </c>
      <c r="HXD62" s="87" t="str">
        <f>IF(ISNUMBER(outYear),HXD37+HXD42+#REF!+HXD59,"")</f>
        <v/>
      </c>
      <c r="HXE62" s="87" t="str">
        <f>IF(ISNUMBER(outYear),HXE37+HXE42+#REF!+HXE59,"")</f>
        <v/>
      </c>
      <c r="HXF62" s="87" t="str">
        <f>IF(ISNUMBER(outYear),HXF37+HXF42+#REF!+HXF59,"")</f>
        <v/>
      </c>
      <c r="HXG62" s="87" t="str">
        <f>IF(ISNUMBER(outYear),HXG37+HXG42+#REF!+HXG59,"")</f>
        <v/>
      </c>
      <c r="HXH62" s="87" t="str">
        <f>IF(ISNUMBER(outYear),HXH37+HXH42+#REF!+HXH59,"")</f>
        <v/>
      </c>
      <c r="HXI62" s="87" t="str">
        <f>IF(ISNUMBER(outYear),HXI37+HXI42+#REF!+HXI59,"")</f>
        <v/>
      </c>
      <c r="HXJ62" s="87" t="str">
        <f>IF(ISNUMBER(outYear),HXJ37+HXJ42+#REF!+HXJ59,"")</f>
        <v/>
      </c>
      <c r="HXK62" s="87" t="str">
        <f>IF(ISNUMBER(outYear),HXK37+HXK42+#REF!+HXK59,"")</f>
        <v/>
      </c>
      <c r="HXL62" s="87" t="str">
        <f>IF(ISNUMBER(outYear),HXL37+HXL42+#REF!+HXL59,"")</f>
        <v/>
      </c>
      <c r="HXM62" s="87" t="str">
        <f>IF(ISNUMBER(outYear),HXM37+HXM42+#REF!+HXM59,"")</f>
        <v/>
      </c>
      <c r="HXN62" s="87" t="str">
        <f>IF(ISNUMBER(outYear),HXN37+HXN42+#REF!+HXN59,"")</f>
        <v/>
      </c>
      <c r="HXO62" s="87" t="str">
        <f>IF(ISNUMBER(outYear),HXO37+HXO42+#REF!+HXO59,"")</f>
        <v/>
      </c>
      <c r="HXP62" s="87" t="str">
        <f>IF(ISNUMBER(outYear),HXP37+HXP42+#REF!+HXP59,"")</f>
        <v/>
      </c>
      <c r="HXQ62" s="87" t="str">
        <f>IF(ISNUMBER(outYear),HXQ37+HXQ42+#REF!+HXQ59,"")</f>
        <v/>
      </c>
      <c r="HXR62" s="87" t="str">
        <f>IF(ISNUMBER(outYear),HXR37+HXR42+#REF!+HXR59,"")</f>
        <v/>
      </c>
      <c r="HXS62" s="87" t="str">
        <f>IF(ISNUMBER(outYear),HXS37+HXS42+#REF!+HXS59,"")</f>
        <v/>
      </c>
      <c r="HXT62" s="87" t="str">
        <f>IF(ISNUMBER(outYear),HXT37+HXT42+#REF!+HXT59,"")</f>
        <v/>
      </c>
      <c r="HXU62" s="87" t="str">
        <f>IF(ISNUMBER(outYear),HXU37+HXU42+#REF!+HXU59,"")</f>
        <v/>
      </c>
      <c r="HXV62" s="87" t="str">
        <f>IF(ISNUMBER(outYear),HXV37+HXV42+#REF!+HXV59,"")</f>
        <v/>
      </c>
      <c r="HXW62" s="87" t="str">
        <f>IF(ISNUMBER(outYear),HXW37+HXW42+#REF!+HXW59,"")</f>
        <v/>
      </c>
      <c r="HXX62" s="87" t="str">
        <f>IF(ISNUMBER(outYear),HXX37+HXX42+#REF!+HXX59,"")</f>
        <v/>
      </c>
      <c r="HXY62" s="87" t="str">
        <f>IF(ISNUMBER(outYear),HXY37+HXY42+#REF!+HXY59,"")</f>
        <v/>
      </c>
      <c r="HXZ62" s="87" t="str">
        <f>IF(ISNUMBER(outYear),HXZ37+HXZ42+#REF!+HXZ59,"")</f>
        <v/>
      </c>
      <c r="HYA62" s="87" t="str">
        <f>IF(ISNUMBER(outYear),HYA37+HYA42+#REF!+HYA59,"")</f>
        <v/>
      </c>
      <c r="HYB62" s="87" t="str">
        <f>IF(ISNUMBER(outYear),HYB37+HYB42+#REF!+HYB59,"")</f>
        <v/>
      </c>
      <c r="HYC62" s="87" t="str">
        <f>IF(ISNUMBER(outYear),HYC37+HYC42+#REF!+HYC59,"")</f>
        <v/>
      </c>
      <c r="HYD62" s="87" t="str">
        <f>IF(ISNUMBER(outYear),HYD37+HYD42+#REF!+HYD59,"")</f>
        <v/>
      </c>
      <c r="HYE62" s="87" t="str">
        <f>IF(ISNUMBER(outYear),HYE37+HYE42+#REF!+HYE59,"")</f>
        <v/>
      </c>
      <c r="HYF62" s="87" t="str">
        <f>IF(ISNUMBER(outYear),HYF37+HYF42+#REF!+HYF59,"")</f>
        <v/>
      </c>
      <c r="HYG62" s="87" t="str">
        <f>IF(ISNUMBER(outYear),HYG37+HYG42+#REF!+HYG59,"")</f>
        <v/>
      </c>
      <c r="HYH62" s="87" t="str">
        <f>IF(ISNUMBER(outYear),HYH37+HYH42+#REF!+HYH59,"")</f>
        <v/>
      </c>
      <c r="HYI62" s="87" t="str">
        <f>IF(ISNUMBER(outYear),HYI37+HYI42+#REF!+HYI59,"")</f>
        <v/>
      </c>
      <c r="HYJ62" s="87" t="str">
        <f>IF(ISNUMBER(outYear),HYJ37+HYJ42+#REF!+HYJ59,"")</f>
        <v/>
      </c>
      <c r="HYK62" s="87" t="str">
        <f>IF(ISNUMBER(outYear),HYK37+HYK42+#REF!+HYK59,"")</f>
        <v/>
      </c>
      <c r="HYL62" s="87" t="str">
        <f>IF(ISNUMBER(outYear),HYL37+HYL42+#REF!+HYL59,"")</f>
        <v/>
      </c>
      <c r="HYM62" s="87" t="str">
        <f>IF(ISNUMBER(outYear),HYM37+HYM42+#REF!+HYM59,"")</f>
        <v/>
      </c>
      <c r="HYN62" s="87" t="str">
        <f>IF(ISNUMBER(outYear),HYN37+HYN42+#REF!+HYN59,"")</f>
        <v/>
      </c>
      <c r="HYO62" s="87" t="str">
        <f>IF(ISNUMBER(outYear),HYO37+HYO42+#REF!+HYO59,"")</f>
        <v/>
      </c>
      <c r="HYP62" s="87" t="str">
        <f>IF(ISNUMBER(outYear),HYP37+HYP42+#REF!+HYP59,"")</f>
        <v/>
      </c>
      <c r="HYQ62" s="87" t="str">
        <f>IF(ISNUMBER(outYear),HYQ37+HYQ42+#REF!+HYQ59,"")</f>
        <v/>
      </c>
      <c r="HYR62" s="87" t="str">
        <f>IF(ISNUMBER(outYear),HYR37+HYR42+#REF!+HYR59,"")</f>
        <v/>
      </c>
      <c r="HYS62" s="87" t="str">
        <f>IF(ISNUMBER(outYear),HYS37+HYS42+#REF!+HYS59,"")</f>
        <v/>
      </c>
      <c r="HYT62" s="87" t="str">
        <f>IF(ISNUMBER(outYear),HYT37+HYT42+#REF!+HYT59,"")</f>
        <v/>
      </c>
      <c r="HYU62" s="87" t="str">
        <f>IF(ISNUMBER(outYear),HYU37+HYU42+#REF!+HYU59,"")</f>
        <v/>
      </c>
      <c r="HYV62" s="87" t="str">
        <f>IF(ISNUMBER(outYear),HYV37+HYV42+#REF!+HYV59,"")</f>
        <v/>
      </c>
      <c r="HYW62" s="87" t="str">
        <f>IF(ISNUMBER(outYear),HYW37+HYW42+#REF!+HYW59,"")</f>
        <v/>
      </c>
      <c r="HYX62" s="87" t="str">
        <f>IF(ISNUMBER(outYear),HYX37+HYX42+#REF!+HYX59,"")</f>
        <v/>
      </c>
      <c r="HYY62" s="87" t="str">
        <f>IF(ISNUMBER(outYear),HYY37+HYY42+#REF!+HYY59,"")</f>
        <v/>
      </c>
      <c r="HYZ62" s="87" t="str">
        <f>IF(ISNUMBER(outYear),HYZ37+HYZ42+#REF!+HYZ59,"")</f>
        <v/>
      </c>
      <c r="HZA62" s="87" t="str">
        <f>IF(ISNUMBER(outYear),HZA37+HZA42+#REF!+HZA59,"")</f>
        <v/>
      </c>
      <c r="HZB62" s="87" t="str">
        <f>IF(ISNUMBER(outYear),HZB37+HZB42+#REF!+HZB59,"")</f>
        <v/>
      </c>
      <c r="HZC62" s="87" t="str">
        <f>IF(ISNUMBER(outYear),HZC37+HZC42+#REF!+HZC59,"")</f>
        <v/>
      </c>
      <c r="HZD62" s="87" t="str">
        <f>IF(ISNUMBER(outYear),HZD37+HZD42+#REF!+HZD59,"")</f>
        <v/>
      </c>
      <c r="HZE62" s="87" t="str">
        <f>IF(ISNUMBER(outYear),HZE37+HZE42+#REF!+HZE59,"")</f>
        <v/>
      </c>
      <c r="HZF62" s="87" t="str">
        <f>IF(ISNUMBER(outYear),HZF37+HZF42+#REF!+HZF59,"")</f>
        <v/>
      </c>
      <c r="HZG62" s="87" t="str">
        <f>IF(ISNUMBER(outYear),HZG37+HZG42+#REF!+HZG59,"")</f>
        <v/>
      </c>
      <c r="HZH62" s="87" t="str">
        <f>IF(ISNUMBER(outYear),HZH37+HZH42+#REF!+HZH59,"")</f>
        <v/>
      </c>
      <c r="HZI62" s="87" t="str">
        <f>IF(ISNUMBER(outYear),HZI37+HZI42+#REF!+HZI59,"")</f>
        <v/>
      </c>
      <c r="HZJ62" s="87" t="str">
        <f>IF(ISNUMBER(outYear),HZJ37+HZJ42+#REF!+HZJ59,"")</f>
        <v/>
      </c>
      <c r="HZK62" s="87" t="str">
        <f>IF(ISNUMBER(outYear),HZK37+HZK42+#REF!+HZK59,"")</f>
        <v/>
      </c>
      <c r="HZL62" s="87" t="str">
        <f>IF(ISNUMBER(outYear),HZL37+HZL42+#REF!+HZL59,"")</f>
        <v/>
      </c>
      <c r="HZM62" s="87" t="str">
        <f>IF(ISNUMBER(outYear),HZM37+HZM42+#REF!+HZM59,"")</f>
        <v/>
      </c>
      <c r="HZN62" s="87" t="str">
        <f>IF(ISNUMBER(outYear),HZN37+HZN42+#REF!+HZN59,"")</f>
        <v/>
      </c>
      <c r="HZO62" s="87" t="str">
        <f>IF(ISNUMBER(outYear),HZO37+HZO42+#REF!+HZO59,"")</f>
        <v/>
      </c>
      <c r="HZP62" s="87" t="str">
        <f>IF(ISNUMBER(outYear),HZP37+HZP42+#REF!+HZP59,"")</f>
        <v/>
      </c>
      <c r="HZQ62" s="87" t="str">
        <f>IF(ISNUMBER(outYear),HZQ37+HZQ42+#REF!+HZQ59,"")</f>
        <v/>
      </c>
      <c r="HZR62" s="87" t="str">
        <f>IF(ISNUMBER(outYear),HZR37+HZR42+#REF!+HZR59,"")</f>
        <v/>
      </c>
      <c r="HZS62" s="87" t="str">
        <f>IF(ISNUMBER(outYear),HZS37+HZS42+#REF!+HZS59,"")</f>
        <v/>
      </c>
      <c r="HZT62" s="87" t="str">
        <f>IF(ISNUMBER(outYear),HZT37+HZT42+#REF!+HZT59,"")</f>
        <v/>
      </c>
      <c r="HZU62" s="87" t="str">
        <f>IF(ISNUMBER(outYear),HZU37+HZU42+#REF!+HZU59,"")</f>
        <v/>
      </c>
      <c r="HZV62" s="87" t="str">
        <f>IF(ISNUMBER(outYear),HZV37+HZV42+#REF!+HZV59,"")</f>
        <v/>
      </c>
      <c r="HZW62" s="87" t="str">
        <f>IF(ISNUMBER(outYear),HZW37+HZW42+#REF!+HZW59,"")</f>
        <v/>
      </c>
      <c r="HZX62" s="87" t="str">
        <f>IF(ISNUMBER(outYear),HZX37+HZX42+#REF!+HZX59,"")</f>
        <v/>
      </c>
      <c r="HZY62" s="87" t="str">
        <f>IF(ISNUMBER(outYear),HZY37+HZY42+#REF!+HZY59,"")</f>
        <v/>
      </c>
      <c r="HZZ62" s="87" t="str">
        <f>IF(ISNUMBER(outYear),HZZ37+HZZ42+#REF!+HZZ59,"")</f>
        <v/>
      </c>
      <c r="IAA62" s="87" t="str">
        <f>IF(ISNUMBER(outYear),IAA37+IAA42+#REF!+IAA59,"")</f>
        <v/>
      </c>
      <c r="IAB62" s="87" t="str">
        <f>IF(ISNUMBER(outYear),IAB37+IAB42+#REF!+IAB59,"")</f>
        <v/>
      </c>
      <c r="IAC62" s="87" t="str">
        <f>IF(ISNUMBER(outYear),IAC37+IAC42+#REF!+IAC59,"")</f>
        <v/>
      </c>
      <c r="IAD62" s="87" t="str">
        <f>IF(ISNUMBER(outYear),IAD37+IAD42+#REF!+IAD59,"")</f>
        <v/>
      </c>
      <c r="IAE62" s="87" t="str">
        <f>IF(ISNUMBER(outYear),IAE37+IAE42+#REF!+IAE59,"")</f>
        <v/>
      </c>
      <c r="IAF62" s="87" t="str">
        <f>IF(ISNUMBER(outYear),IAF37+IAF42+#REF!+IAF59,"")</f>
        <v/>
      </c>
      <c r="IAG62" s="87" t="str">
        <f>IF(ISNUMBER(outYear),IAG37+IAG42+#REF!+IAG59,"")</f>
        <v/>
      </c>
      <c r="IAH62" s="87" t="str">
        <f>IF(ISNUMBER(outYear),IAH37+IAH42+#REF!+IAH59,"")</f>
        <v/>
      </c>
      <c r="IAI62" s="87" t="str">
        <f>IF(ISNUMBER(outYear),IAI37+IAI42+#REF!+IAI59,"")</f>
        <v/>
      </c>
      <c r="IAJ62" s="87" t="str">
        <f>IF(ISNUMBER(outYear),IAJ37+IAJ42+#REF!+IAJ59,"")</f>
        <v/>
      </c>
      <c r="IAK62" s="87" t="str">
        <f>IF(ISNUMBER(outYear),IAK37+IAK42+#REF!+IAK59,"")</f>
        <v/>
      </c>
      <c r="IAL62" s="87" t="str">
        <f>IF(ISNUMBER(outYear),IAL37+IAL42+#REF!+IAL59,"")</f>
        <v/>
      </c>
      <c r="IAM62" s="87" t="str">
        <f>IF(ISNUMBER(outYear),IAM37+IAM42+#REF!+IAM59,"")</f>
        <v/>
      </c>
      <c r="IAN62" s="87" t="str">
        <f>IF(ISNUMBER(outYear),IAN37+IAN42+#REF!+IAN59,"")</f>
        <v/>
      </c>
      <c r="IAO62" s="87" t="str">
        <f>IF(ISNUMBER(outYear),IAO37+IAO42+#REF!+IAO59,"")</f>
        <v/>
      </c>
      <c r="IAP62" s="87" t="str">
        <f>IF(ISNUMBER(outYear),IAP37+IAP42+#REF!+IAP59,"")</f>
        <v/>
      </c>
      <c r="IAQ62" s="87" t="str">
        <f>IF(ISNUMBER(outYear),IAQ37+IAQ42+#REF!+IAQ59,"")</f>
        <v/>
      </c>
      <c r="IAR62" s="87" t="str">
        <f>IF(ISNUMBER(outYear),IAR37+IAR42+#REF!+IAR59,"")</f>
        <v/>
      </c>
      <c r="IAS62" s="87" t="str">
        <f>IF(ISNUMBER(outYear),IAS37+IAS42+#REF!+IAS59,"")</f>
        <v/>
      </c>
      <c r="IAT62" s="87" t="str">
        <f>IF(ISNUMBER(outYear),IAT37+IAT42+#REF!+IAT59,"")</f>
        <v/>
      </c>
      <c r="IAU62" s="87" t="str">
        <f>IF(ISNUMBER(outYear),IAU37+IAU42+#REF!+IAU59,"")</f>
        <v/>
      </c>
      <c r="IAV62" s="87" t="str">
        <f>IF(ISNUMBER(outYear),IAV37+IAV42+#REF!+IAV59,"")</f>
        <v/>
      </c>
      <c r="IAW62" s="87" t="str">
        <f>IF(ISNUMBER(outYear),IAW37+IAW42+#REF!+IAW59,"")</f>
        <v/>
      </c>
      <c r="IAX62" s="87" t="str">
        <f>IF(ISNUMBER(outYear),IAX37+IAX42+#REF!+IAX59,"")</f>
        <v/>
      </c>
      <c r="IAY62" s="87" t="str">
        <f>IF(ISNUMBER(outYear),IAY37+IAY42+#REF!+IAY59,"")</f>
        <v/>
      </c>
      <c r="IAZ62" s="87" t="str">
        <f>IF(ISNUMBER(outYear),IAZ37+IAZ42+#REF!+IAZ59,"")</f>
        <v/>
      </c>
      <c r="IBA62" s="87" t="str">
        <f>IF(ISNUMBER(outYear),IBA37+IBA42+#REF!+IBA59,"")</f>
        <v/>
      </c>
      <c r="IBB62" s="87" t="str">
        <f>IF(ISNUMBER(outYear),IBB37+IBB42+#REF!+IBB59,"")</f>
        <v/>
      </c>
      <c r="IBC62" s="87" t="str">
        <f>IF(ISNUMBER(outYear),IBC37+IBC42+#REF!+IBC59,"")</f>
        <v/>
      </c>
      <c r="IBD62" s="87" t="str">
        <f>IF(ISNUMBER(outYear),IBD37+IBD42+#REF!+IBD59,"")</f>
        <v/>
      </c>
      <c r="IBE62" s="87" t="str">
        <f>IF(ISNUMBER(outYear),IBE37+IBE42+#REF!+IBE59,"")</f>
        <v/>
      </c>
      <c r="IBF62" s="87" t="str">
        <f>IF(ISNUMBER(outYear),IBF37+IBF42+#REF!+IBF59,"")</f>
        <v/>
      </c>
      <c r="IBG62" s="87" t="str">
        <f>IF(ISNUMBER(outYear),IBG37+IBG42+#REF!+IBG59,"")</f>
        <v/>
      </c>
      <c r="IBH62" s="87" t="str">
        <f>IF(ISNUMBER(outYear),IBH37+IBH42+#REF!+IBH59,"")</f>
        <v/>
      </c>
      <c r="IBI62" s="87" t="str">
        <f>IF(ISNUMBER(outYear),IBI37+IBI42+#REF!+IBI59,"")</f>
        <v/>
      </c>
      <c r="IBJ62" s="87" t="str">
        <f>IF(ISNUMBER(outYear),IBJ37+IBJ42+#REF!+IBJ59,"")</f>
        <v/>
      </c>
      <c r="IBK62" s="87" t="str">
        <f>IF(ISNUMBER(outYear),IBK37+IBK42+#REF!+IBK59,"")</f>
        <v/>
      </c>
      <c r="IBL62" s="87" t="str">
        <f>IF(ISNUMBER(outYear),IBL37+IBL42+#REF!+IBL59,"")</f>
        <v/>
      </c>
      <c r="IBM62" s="87" t="str">
        <f>IF(ISNUMBER(outYear),IBM37+IBM42+#REF!+IBM59,"")</f>
        <v/>
      </c>
      <c r="IBN62" s="87" t="str">
        <f>IF(ISNUMBER(outYear),IBN37+IBN42+#REF!+IBN59,"")</f>
        <v/>
      </c>
      <c r="IBO62" s="87" t="str">
        <f>IF(ISNUMBER(outYear),IBO37+IBO42+#REF!+IBO59,"")</f>
        <v/>
      </c>
      <c r="IBP62" s="87" t="str">
        <f>IF(ISNUMBER(outYear),IBP37+IBP42+#REF!+IBP59,"")</f>
        <v/>
      </c>
      <c r="IBQ62" s="87" t="str">
        <f>IF(ISNUMBER(outYear),IBQ37+IBQ42+#REF!+IBQ59,"")</f>
        <v/>
      </c>
      <c r="IBR62" s="87" t="str">
        <f>IF(ISNUMBER(outYear),IBR37+IBR42+#REF!+IBR59,"")</f>
        <v/>
      </c>
      <c r="IBS62" s="87" t="str">
        <f>IF(ISNUMBER(outYear),IBS37+IBS42+#REF!+IBS59,"")</f>
        <v/>
      </c>
      <c r="IBT62" s="87" t="str">
        <f>IF(ISNUMBER(outYear),IBT37+IBT42+#REF!+IBT59,"")</f>
        <v/>
      </c>
      <c r="IBU62" s="87" t="str">
        <f>IF(ISNUMBER(outYear),IBU37+IBU42+#REF!+IBU59,"")</f>
        <v/>
      </c>
      <c r="IBV62" s="87" t="str">
        <f>IF(ISNUMBER(outYear),IBV37+IBV42+#REF!+IBV59,"")</f>
        <v/>
      </c>
      <c r="IBW62" s="87" t="str">
        <f>IF(ISNUMBER(outYear),IBW37+IBW42+#REF!+IBW59,"")</f>
        <v/>
      </c>
      <c r="IBX62" s="87" t="str">
        <f>IF(ISNUMBER(outYear),IBX37+IBX42+#REF!+IBX59,"")</f>
        <v/>
      </c>
      <c r="IBY62" s="87" t="str">
        <f>IF(ISNUMBER(outYear),IBY37+IBY42+#REF!+IBY59,"")</f>
        <v/>
      </c>
      <c r="IBZ62" s="87" t="str">
        <f>IF(ISNUMBER(outYear),IBZ37+IBZ42+#REF!+IBZ59,"")</f>
        <v/>
      </c>
      <c r="ICA62" s="87" t="str">
        <f>IF(ISNUMBER(outYear),ICA37+ICA42+#REF!+ICA59,"")</f>
        <v/>
      </c>
      <c r="ICB62" s="87" t="str">
        <f>IF(ISNUMBER(outYear),ICB37+ICB42+#REF!+ICB59,"")</f>
        <v/>
      </c>
      <c r="ICC62" s="87" t="str">
        <f>IF(ISNUMBER(outYear),ICC37+ICC42+#REF!+ICC59,"")</f>
        <v/>
      </c>
      <c r="ICD62" s="87" t="str">
        <f>IF(ISNUMBER(outYear),ICD37+ICD42+#REF!+ICD59,"")</f>
        <v/>
      </c>
      <c r="ICE62" s="87" t="str">
        <f>IF(ISNUMBER(outYear),ICE37+ICE42+#REF!+ICE59,"")</f>
        <v/>
      </c>
      <c r="ICF62" s="87" t="str">
        <f>IF(ISNUMBER(outYear),ICF37+ICF42+#REF!+ICF59,"")</f>
        <v/>
      </c>
      <c r="ICG62" s="87" t="str">
        <f>IF(ISNUMBER(outYear),ICG37+ICG42+#REF!+ICG59,"")</f>
        <v/>
      </c>
      <c r="ICH62" s="87" t="str">
        <f>IF(ISNUMBER(outYear),ICH37+ICH42+#REF!+ICH59,"")</f>
        <v/>
      </c>
      <c r="ICI62" s="87" t="str">
        <f>IF(ISNUMBER(outYear),ICI37+ICI42+#REF!+ICI59,"")</f>
        <v/>
      </c>
      <c r="ICJ62" s="87" t="str">
        <f>IF(ISNUMBER(outYear),ICJ37+ICJ42+#REF!+ICJ59,"")</f>
        <v/>
      </c>
      <c r="ICK62" s="87" t="str">
        <f>IF(ISNUMBER(outYear),ICK37+ICK42+#REF!+ICK59,"")</f>
        <v/>
      </c>
      <c r="ICL62" s="87" t="str">
        <f>IF(ISNUMBER(outYear),ICL37+ICL42+#REF!+ICL59,"")</f>
        <v/>
      </c>
      <c r="ICM62" s="87" t="str">
        <f>IF(ISNUMBER(outYear),ICM37+ICM42+#REF!+ICM59,"")</f>
        <v/>
      </c>
      <c r="ICN62" s="87" t="str">
        <f>IF(ISNUMBER(outYear),ICN37+ICN42+#REF!+ICN59,"")</f>
        <v/>
      </c>
      <c r="ICO62" s="87" t="str">
        <f>IF(ISNUMBER(outYear),ICO37+ICO42+#REF!+ICO59,"")</f>
        <v/>
      </c>
      <c r="ICP62" s="87" t="str">
        <f>IF(ISNUMBER(outYear),ICP37+ICP42+#REF!+ICP59,"")</f>
        <v/>
      </c>
      <c r="ICQ62" s="87" t="str">
        <f>IF(ISNUMBER(outYear),ICQ37+ICQ42+#REF!+ICQ59,"")</f>
        <v/>
      </c>
      <c r="ICR62" s="87" t="str">
        <f>IF(ISNUMBER(outYear),ICR37+ICR42+#REF!+ICR59,"")</f>
        <v/>
      </c>
      <c r="ICS62" s="87" t="str">
        <f>IF(ISNUMBER(outYear),ICS37+ICS42+#REF!+ICS59,"")</f>
        <v/>
      </c>
      <c r="ICT62" s="87" t="str">
        <f>IF(ISNUMBER(outYear),ICT37+ICT42+#REF!+ICT59,"")</f>
        <v/>
      </c>
      <c r="ICU62" s="87" t="str">
        <f>IF(ISNUMBER(outYear),ICU37+ICU42+#REF!+ICU59,"")</f>
        <v/>
      </c>
      <c r="ICV62" s="87" t="str">
        <f>IF(ISNUMBER(outYear),ICV37+ICV42+#REF!+ICV59,"")</f>
        <v/>
      </c>
      <c r="ICW62" s="87" t="str">
        <f>IF(ISNUMBER(outYear),ICW37+ICW42+#REF!+ICW59,"")</f>
        <v/>
      </c>
      <c r="ICX62" s="87" t="str">
        <f>IF(ISNUMBER(outYear),ICX37+ICX42+#REF!+ICX59,"")</f>
        <v/>
      </c>
      <c r="ICY62" s="87" t="str">
        <f>IF(ISNUMBER(outYear),ICY37+ICY42+#REF!+ICY59,"")</f>
        <v/>
      </c>
      <c r="ICZ62" s="87" t="str">
        <f>IF(ISNUMBER(outYear),ICZ37+ICZ42+#REF!+ICZ59,"")</f>
        <v/>
      </c>
      <c r="IDA62" s="87" t="str">
        <f>IF(ISNUMBER(outYear),IDA37+IDA42+#REF!+IDA59,"")</f>
        <v/>
      </c>
      <c r="IDB62" s="87" t="str">
        <f>IF(ISNUMBER(outYear),IDB37+IDB42+#REF!+IDB59,"")</f>
        <v/>
      </c>
      <c r="IDC62" s="87" t="str">
        <f>IF(ISNUMBER(outYear),IDC37+IDC42+#REF!+IDC59,"")</f>
        <v/>
      </c>
      <c r="IDD62" s="87" t="str">
        <f>IF(ISNUMBER(outYear),IDD37+IDD42+#REF!+IDD59,"")</f>
        <v/>
      </c>
      <c r="IDE62" s="87" t="str">
        <f>IF(ISNUMBER(outYear),IDE37+IDE42+#REF!+IDE59,"")</f>
        <v/>
      </c>
      <c r="IDF62" s="87" t="str">
        <f>IF(ISNUMBER(outYear),IDF37+IDF42+#REF!+IDF59,"")</f>
        <v/>
      </c>
      <c r="IDG62" s="87" t="str">
        <f>IF(ISNUMBER(outYear),IDG37+IDG42+#REF!+IDG59,"")</f>
        <v/>
      </c>
      <c r="IDH62" s="87" t="str">
        <f>IF(ISNUMBER(outYear),IDH37+IDH42+#REF!+IDH59,"")</f>
        <v/>
      </c>
      <c r="IDI62" s="87" t="str">
        <f>IF(ISNUMBER(outYear),IDI37+IDI42+#REF!+IDI59,"")</f>
        <v/>
      </c>
      <c r="IDJ62" s="87" t="str">
        <f>IF(ISNUMBER(outYear),IDJ37+IDJ42+#REF!+IDJ59,"")</f>
        <v/>
      </c>
      <c r="IDK62" s="87" t="str">
        <f>IF(ISNUMBER(outYear),IDK37+IDK42+#REF!+IDK59,"")</f>
        <v/>
      </c>
      <c r="IDL62" s="87" t="str">
        <f>IF(ISNUMBER(outYear),IDL37+IDL42+#REF!+IDL59,"")</f>
        <v/>
      </c>
      <c r="IDM62" s="87" t="str">
        <f>IF(ISNUMBER(outYear),IDM37+IDM42+#REF!+IDM59,"")</f>
        <v/>
      </c>
      <c r="IDN62" s="87" t="str">
        <f>IF(ISNUMBER(outYear),IDN37+IDN42+#REF!+IDN59,"")</f>
        <v/>
      </c>
      <c r="IDO62" s="87" t="str">
        <f>IF(ISNUMBER(outYear),IDO37+IDO42+#REF!+IDO59,"")</f>
        <v/>
      </c>
      <c r="IDP62" s="87" t="str">
        <f>IF(ISNUMBER(outYear),IDP37+IDP42+#REF!+IDP59,"")</f>
        <v/>
      </c>
      <c r="IDQ62" s="87" t="str">
        <f>IF(ISNUMBER(outYear),IDQ37+IDQ42+#REF!+IDQ59,"")</f>
        <v/>
      </c>
      <c r="IDR62" s="87" t="str">
        <f>IF(ISNUMBER(outYear),IDR37+IDR42+#REF!+IDR59,"")</f>
        <v/>
      </c>
      <c r="IDS62" s="87" t="str">
        <f>IF(ISNUMBER(outYear),IDS37+IDS42+#REF!+IDS59,"")</f>
        <v/>
      </c>
      <c r="IDT62" s="87" t="str">
        <f>IF(ISNUMBER(outYear),IDT37+IDT42+#REF!+IDT59,"")</f>
        <v/>
      </c>
      <c r="IDU62" s="87" t="str">
        <f>IF(ISNUMBER(outYear),IDU37+IDU42+#REF!+IDU59,"")</f>
        <v/>
      </c>
      <c r="IDV62" s="87" t="str">
        <f>IF(ISNUMBER(outYear),IDV37+IDV42+#REF!+IDV59,"")</f>
        <v/>
      </c>
      <c r="IDW62" s="87" t="str">
        <f>IF(ISNUMBER(outYear),IDW37+IDW42+#REF!+IDW59,"")</f>
        <v/>
      </c>
      <c r="IDX62" s="87" t="str">
        <f>IF(ISNUMBER(outYear),IDX37+IDX42+#REF!+IDX59,"")</f>
        <v/>
      </c>
      <c r="IDY62" s="87" t="str">
        <f>IF(ISNUMBER(outYear),IDY37+IDY42+#REF!+IDY59,"")</f>
        <v/>
      </c>
      <c r="IDZ62" s="87" t="str">
        <f>IF(ISNUMBER(outYear),IDZ37+IDZ42+#REF!+IDZ59,"")</f>
        <v/>
      </c>
      <c r="IEA62" s="87" t="str">
        <f>IF(ISNUMBER(outYear),IEA37+IEA42+#REF!+IEA59,"")</f>
        <v/>
      </c>
      <c r="IEB62" s="87" t="str">
        <f>IF(ISNUMBER(outYear),IEB37+IEB42+#REF!+IEB59,"")</f>
        <v/>
      </c>
      <c r="IEC62" s="87" t="str">
        <f>IF(ISNUMBER(outYear),IEC37+IEC42+#REF!+IEC59,"")</f>
        <v/>
      </c>
      <c r="IED62" s="87" t="str">
        <f>IF(ISNUMBER(outYear),IED37+IED42+#REF!+IED59,"")</f>
        <v/>
      </c>
      <c r="IEE62" s="87" t="str">
        <f>IF(ISNUMBER(outYear),IEE37+IEE42+#REF!+IEE59,"")</f>
        <v/>
      </c>
      <c r="IEF62" s="87" t="str">
        <f>IF(ISNUMBER(outYear),IEF37+IEF42+#REF!+IEF59,"")</f>
        <v/>
      </c>
      <c r="IEG62" s="87" t="str">
        <f>IF(ISNUMBER(outYear),IEG37+IEG42+#REF!+IEG59,"")</f>
        <v/>
      </c>
      <c r="IEH62" s="87" t="str">
        <f>IF(ISNUMBER(outYear),IEH37+IEH42+#REF!+IEH59,"")</f>
        <v/>
      </c>
      <c r="IEI62" s="87" t="str">
        <f>IF(ISNUMBER(outYear),IEI37+IEI42+#REF!+IEI59,"")</f>
        <v/>
      </c>
      <c r="IEJ62" s="87" t="str">
        <f>IF(ISNUMBER(outYear),IEJ37+IEJ42+#REF!+IEJ59,"")</f>
        <v/>
      </c>
      <c r="IEK62" s="87" t="str">
        <f>IF(ISNUMBER(outYear),IEK37+IEK42+#REF!+IEK59,"")</f>
        <v/>
      </c>
      <c r="IEL62" s="87" t="str">
        <f>IF(ISNUMBER(outYear),IEL37+IEL42+#REF!+IEL59,"")</f>
        <v/>
      </c>
      <c r="IEM62" s="87" t="str">
        <f>IF(ISNUMBER(outYear),IEM37+IEM42+#REF!+IEM59,"")</f>
        <v/>
      </c>
      <c r="IEN62" s="87" t="str">
        <f>IF(ISNUMBER(outYear),IEN37+IEN42+#REF!+IEN59,"")</f>
        <v/>
      </c>
      <c r="IEO62" s="87" t="str">
        <f>IF(ISNUMBER(outYear),IEO37+IEO42+#REF!+IEO59,"")</f>
        <v/>
      </c>
      <c r="IEP62" s="87" t="str">
        <f>IF(ISNUMBER(outYear),IEP37+IEP42+#REF!+IEP59,"")</f>
        <v/>
      </c>
      <c r="IEQ62" s="87" t="str">
        <f>IF(ISNUMBER(outYear),IEQ37+IEQ42+#REF!+IEQ59,"")</f>
        <v/>
      </c>
      <c r="IER62" s="87" t="str">
        <f>IF(ISNUMBER(outYear),IER37+IER42+#REF!+IER59,"")</f>
        <v/>
      </c>
      <c r="IES62" s="87" t="str">
        <f>IF(ISNUMBER(outYear),IES37+IES42+#REF!+IES59,"")</f>
        <v/>
      </c>
      <c r="IET62" s="87" t="str">
        <f>IF(ISNUMBER(outYear),IET37+IET42+#REF!+IET59,"")</f>
        <v/>
      </c>
      <c r="IEU62" s="87" t="str">
        <f>IF(ISNUMBER(outYear),IEU37+IEU42+#REF!+IEU59,"")</f>
        <v/>
      </c>
      <c r="IEV62" s="87" t="str">
        <f>IF(ISNUMBER(outYear),IEV37+IEV42+#REF!+IEV59,"")</f>
        <v/>
      </c>
      <c r="IEW62" s="87" t="str">
        <f>IF(ISNUMBER(outYear),IEW37+IEW42+#REF!+IEW59,"")</f>
        <v/>
      </c>
      <c r="IEX62" s="87" t="str">
        <f>IF(ISNUMBER(outYear),IEX37+IEX42+#REF!+IEX59,"")</f>
        <v/>
      </c>
      <c r="IEY62" s="87" t="str">
        <f>IF(ISNUMBER(outYear),IEY37+IEY42+#REF!+IEY59,"")</f>
        <v/>
      </c>
      <c r="IEZ62" s="87" t="str">
        <f>IF(ISNUMBER(outYear),IEZ37+IEZ42+#REF!+IEZ59,"")</f>
        <v/>
      </c>
      <c r="IFA62" s="87" t="str">
        <f>IF(ISNUMBER(outYear),IFA37+IFA42+#REF!+IFA59,"")</f>
        <v/>
      </c>
      <c r="IFB62" s="87" t="str">
        <f>IF(ISNUMBER(outYear),IFB37+IFB42+#REF!+IFB59,"")</f>
        <v/>
      </c>
      <c r="IFC62" s="87" t="str">
        <f>IF(ISNUMBER(outYear),IFC37+IFC42+#REF!+IFC59,"")</f>
        <v/>
      </c>
      <c r="IFD62" s="87" t="str">
        <f>IF(ISNUMBER(outYear),IFD37+IFD42+#REF!+IFD59,"")</f>
        <v/>
      </c>
      <c r="IFE62" s="87" t="str">
        <f>IF(ISNUMBER(outYear),IFE37+IFE42+#REF!+IFE59,"")</f>
        <v/>
      </c>
      <c r="IFF62" s="87" t="str">
        <f>IF(ISNUMBER(outYear),IFF37+IFF42+#REF!+IFF59,"")</f>
        <v/>
      </c>
      <c r="IFG62" s="87" t="str">
        <f>IF(ISNUMBER(outYear),IFG37+IFG42+#REF!+IFG59,"")</f>
        <v/>
      </c>
      <c r="IFH62" s="87" t="str">
        <f>IF(ISNUMBER(outYear),IFH37+IFH42+#REF!+IFH59,"")</f>
        <v/>
      </c>
      <c r="IFI62" s="87" t="str">
        <f>IF(ISNUMBER(outYear),IFI37+IFI42+#REF!+IFI59,"")</f>
        <v/>
      </c>
      <c r="IFJ62" s="87" t="str">
        <f>IF(ISNUMBER(outYear),IFJ37+IFJ42+#REF!+IFJ59,"")</f>
        <v/>
      </c>
      <c r="IFK62" s="87" t="str">
        <f>IF(ISNUMBER(outYear),IFK37+IFK42+#REF!+IFK59,"")</f>
        <v/>
      </c>
      <c r="IFL62" s="87" t="str">
        <f>IF(ISNUMBER(outYear),IFL37+IFL42+#REF!+IFL59,"")</f>
        <v/>
      </c>
      <c r="IFM62" s="87" t="str">
        <f>IF(ISNUMBER(outYear),IFM37+IFM42+#REF!+IFM59,"")</f>
        <v/>
      </c>
      <c r="IFN62" s="87" t="str">
        <f>IF(ISNUMBER(outYear),IFN37+IFN42+#REF!+IFN59,"")</f>
        <v/>
      </c>
      <c r="IFO62" s="87" t="str">
        <f>IF(ISNUMBER(outYear),IFO37+IFO42+#REF!+IFO59,"")</f>
        <v/>
      </c>
      <c r="IFP62" s="87" t="str">
        <f>IF(ISNUMBER(outYear),IFP37+IFP42+#REF!+IFP59,"")</f>
        <v/>
      </c>
      <c r="IFQ62" s="87" t="str">
        <f>IF(ISNUMBER(outYear),IFQ37+IFQ42+#REF!+IFQ59,"")</f>
        <v/>
      </c>
      <c r="IFR62" s="87" t="str">
        <f>IF(ISNUMBER(outYear),IFR37+IFR42+#REF!+IFR59,"")</f>
        <v/>
      </c>
      <c r="IFS62" s="87" t="str">
        <f>IF(ISNUMBER(outYear),IFS37+IFS42+#REF!+IFS59,"")</f>
        <v/>
      </c>
      <c r="IFT62" s="87" t="str">
        <f>IF(ISNUMBER(outYear),IFT37+IFT42+#REF!+IFT59,"")</f>
        <v/>
      </c>
      <c r="IFU62" s="87" t="str">
        <f>IF(ISNUMBER(outYear),IFU37+IFU42+#REF!+IFU59,"")</f>
        <v/>
      </c>
      <c r="IFV62" s="87" t="str">
        <f>IF(ISNUMBER(outYear),IFV37+IFV42+#REF!+IFV59,"")</f>
        <v/>
      </c>
      <c r="IFW62" s="87" t="str">
        <f>IF(ISNUMBER(outYear),IFW37+IFW42+#REF!+IFW59,"")</f>
        <v/>
      </c>
      <c r="IFX62" s="87" t="str">
        <f>IF(ISNUMBER(outYear),IFX37+IFX42+#REF!+IFX59,"")</f>
        <v/>
      </c>
      <c r="IFY62" s="87" t="str">
        <f>IF(ISNUMBER(outYear),IFY37+IFY42+#REF!+IFY59,"")</f>
        <v/>
      </c>
      <c r="IFZ62" s="87" t="str">
        <f>IF(ISNUMBER(outYear),IFZ37+IFZ42+#REF!+IFZ59,"")</f>
        <v/>
      </c>
      <c r="IGA62" s="87" t="str">
        <f>IF(ISNUMBER(outYear),IGA37+IGA42+#REF!+IGA59,"")</f>
        <v/>
      </c>
      <c r="IGB62" s="87" t="str">
        <f>IF(ISNUMBER(outYear),IGB37+IGB42+#REF!+IGB59,"")</f>
        <v/>
      </c>
      <c r="IGC62" s="87" t="str">
        <f>IF(ISNUMBER(outYear),IGC37+IGC42+#REF!+IGC59,"")</f>
        <v/>
      </c>
      <c r="IGD62" s="87" t="str">
        <f>IF(ISNUMBER(outYear),IGD37+IGD42+#REF!+IGD59,"")</f>
        <v/>
      </c>
      <c r="IGE62" s="87" t="str">
        <f>IF(ISNUMBER(outYear),IGE37+IGE42+#REF!+IGE59,"")</f>
        <v/>
      </c>
      <c r="IGF62" s="87" t="str">
        <f>IF(ISNUMBER(outYear),IGF37+IGF42+#REF!+IGF59,"")</f>
        <v/>
      </c>
      <c r="IGG62" s="87" t="str">
        <f>IF(ISNUMBER(outYear),IGG37+IGG42+#REF!+IGG59,"")</f>
        <v/>
      </c>
      <c r="IGH62" s="87" t="str">
        <f>IF(ISNUMBER(outYear),IGH37+IGH42+#REF!+IGH59,"")</f>
        <v/>
      </c>
      <c r="IGI62" s="87" t="str">
        <f>IF(ISNUMBER(outYear),IGI37+IGI42+#REF!+IGI59,"")</f>
        <v/>
      </c>
      <c r="IGJ62" s="87" t="str">
        <f>IF(ISNUMBER(outYear),IGJ37+IGJ42+#REF!+IGJ59,"")</f>
        <v/>
      </c>
      <c r="IGK62" s="87" t="str">
        <f>IF(ISNUMBER(outYear),IGK37+IGK42+#REF!+IGK59,"")</f>
        <v/>
      </c>
      <c r="IGL62" s="87" t="str">
        <f>IF(ISNUMBER(outYear),IGL37+IGL42+#REF!+IGL59,"")</f>
        <v/>
      </c>
      <c r="IGM62" s="87" t="str">
        <f>IF(ISNUMBER(outYear),IGM37+IGM42+#REF!+IGM59,"")</f>
        <v/>
      </c>
      <c r="IGN62" s="87" t="str">
        <f>IF(ISNUMBER(outYear),IGN37+IGN42+#REF!+IGN59,"")</f>
        <v/>
      </c>
      <c r="IGO62" s="87" t="str">
        <f>IF(ISNUMBER(outYear),IGO37+IGO42+#REF!+IGO59,"")</f>
        <v/>
      </c>
      <c r="IGP62" s="87" t="str">
        <f>IF(ISNUMBER(outYear),IGP37+IGP42+#REF!+IGP59,"")</f>
        <v/>
      </c>
      <c r="IGQ62" s="87" t="str">
        <f>IF(ISNUMBER(outYear),IGQ37+IGQ42+#REF!+IGQ59,"")</f>
        <v/>
      </c>
      <c r="IGR62" s="87" t="str">
        <f>IF(ISNUMBER(outYear),IGR37+IGR42+#REF!+IGR59,"")</f>
        <v/>
      </c>
      <c r="IGS62" s="87" t="str">
        <f>IF(ISNUMBER(outYear),IGS37+IGS42+#REF!+IGS59,"")</f>
        <v/>
      </c>
      <c r="IGT62" s="87" t="str">
        <f>IF(ISNUMBER(outYear),IGT37+IGT42+#REF!+IGT59,"")</f>
        <v/>
      </c>
      <c r="IGU62" s="87" t="str">
        <f>IF(ISNUMBER(outYear),IGU37+IGU42+#REF!+IGU59,"")</f>
        <v/>
      </c>
      <c r="IGV62" s="87" t="str">
        <f>IF(ISNUMBER(outYear),IGV37+IGV42+#REF!+IGV59,"")</f>
        <v/>
      </c>
      <c r="IGW62" s="87" t="str">
        <f>IF(ISNUMBER(outYear),IGW37+IGW42+#REF!+IGW59,"")</f>
        <v/>
      </c>
      <c r="IGX62" s="87" t="str">
        <f>IF(ISNUMBER(outYear),IGX37+IGX42+#REF!+IGX59,"")</f>
        <v/>
      </c>
      <c r="IGY62" s="87" t="str">
        <f>IF(ISNUMBER(outYear),IGY37+IGY42+#REF!+IGY59,"")</f>
        <v/>
      </c>
      <c r="IGZ62" s="87" t="str">
        <f>IF(ISNUMBER(outYear),IGZ37+IGZ42+#REF!+IGZ59,"")</f>
        <v/>
      </c>
      <c r="IHA62" s="87" t="str">
        <f>IF(ISNUMBER(outYear),IHA37+IHA42+#REF!+IHA59,"")</f>
        <v/>
      </c>
      <c r="IHB62" s="87" t="str">
        <f>IF(ISNUMBER(outYear),IHB37+IHB42+#REF!+IHB59,"")</f>
        <v/>
      </c>
      <c r="IHC62" s="87" t="str">
        <f>IF(ISNUMBER(outYear),IHC37+IHC42+#REF!+IHC59,"")</f>
        <v/>
      </c>
      <c r="IHD62" s="87" t="str">
        <f>IF(ISNUMBER(outYear),IHD37+IHD42+#REF!+IHD59,"")</f>
        <v/>
      </c>
      <c r="IHE62" s="87" t="str">
        <f>IF(ISNUMBER(outYear),IHE37+IHE42+#REF!+IHE59,"")</f>
        <v/>
      </c>
      <c r="IHF62" s="87" t="str">
        <f>IF(ISNUMBER(outYear),IHF37+IHF42+#REF!+IHF59,"")</f>
        <v/>
      </c>
      <c r="IHG62" s="87" t="str">
        <f>IF(ISNUMBER(outYear),IHG37+IHG42+#REF!+IHG59,"")</f>
        <v/>
      </c>
      <c r="IHH62" s="87" t="str">
        <f>IF(ISNUMBER(outYear),IHH37+IHH42+#REF!+IHH59,"")</f>
        <v/>
      </c>
      <c r="IHI62" s="87" t="str">
        <f>IF(ISNUMBER(outYear),IHI37+IHI42+#REF!+IHI59,"")</f>
        <v/>
      </c>
      <c r="IHJ62" s="87" t="str">
        <f>IF(ISNUMBER(outYear),IHJ37+IHJ42+#REF!+IHJ59,"")</f>
        <v/>
      </c>
      <c r="IHK62" s="87" t="str">
        <f>IF(ISNUMBER(outYear),IHK37+IHK42+#REF!+IHK59,"")</f>
        <v/>
      </c>
      <c r="IHL62" s="87" t="str">
        <f>IF(ISNUMBER(outYear),IHL37+IHL42+#REF!+IHL59,"")</f>
        <v/>
      </c>
      <c r="IHM62" s="87" t="str">
        <f>IF(ISNUMBER(outYear),IHM37+IHM42+#REF!+IHM59,"")</f>
        <v/>
      </c>
      <c r="IHN62" s="87" t="str">
        <f>IF(ISNUMBER(outYear),IHN37+IHN42+#REF!+IHN59,"")</f>
        <v/>
      </c>
      <c r="IHO62" s="87" t="str">
        <f>IF(ISNUMBER(outYear),IHO37+IHO42+#REF!+IHO59,"")</f>
        <v/>
      </c>
      <c r="IHP62" s="87" t="str">
        <f>IF(ISNUMBER(outYear),IHP37+IHP42+#REF!+IHP59,"")</f>
        <v/>
      </c>
      <c r="IHQ62" s="87" t="str">
        <f>IF(ISNUMBER(outYear),IHQ37+IHQ42+#REF!+IHQ59,"")</f>
        <v/>
      </c>
      <c r="IHR62" s="87" t="str">
        <f>IF(ISNUMBER(outYear),IHR37+IHR42+#REF!+IHR59,"")</f>
        <v/>
      </c>
      <c r="IHS62" s="87" t="str">
        <f>IF(ISNUMBER(outYear),IHS37+IHS42+#REF!+IHS59,"")</f>
        <v/>
      </c>
      <c r="IHT62" s="87" t="str">
        <f>IF(ISNUMBER(outYear),IHT37+IHT42+#REF!+IHT59,"")</f>
        <v/>
      </c>
      <c r="IHU62" s="87" t="str">
        <f>IF(ISNUMBER(outYear),IHU37+IHU42+#REF!+IHU59,"")</f>
        <v/>
      </c>
      <c r="IHV62" s="87" t="str">
        <f>IF(ISNUMBER(outYear),IHV37+IHV42+#REF!+IHV59,"")</f>
        <v/>
      </c>
      <c r="IHW62" s="87" t="str">
        <f>IF(ISNUMBER(outYear),IHW37+IHW42+#REF!+IHW59,"")</f>
        <v/>
      </c>
      <c r="IHX62" s="87" t="str">
        <f>IF(ISNUMBER(outYear),IHX37+IHX42+#REF!+IHX59,"")</f>
        <v/>
      </c>
      <c r="IHY62" s="87" t="str">
        <f>IF(ISNUMBER(outYear),IHY37+IHY42+#REF!+IHY59,"")</f>
        <v/>
      </c>
      <c r="IHZ62" s="87" t="str">
        <f>IF(ISNUMBER(outYear),IHZ37+IHZ42+#REF!+IHZ59,"")</f>
        <v/>
      </c>
      <c r="IIA62" s="87" t="str">
        <f>IF(ISNUMBER(outYear),IIA37+IIA42+#REF!+IIA59,"")</f>
        <v/>
      </c>
      <c r="IIB62" s="87" t="str">
        <f>IF(ISNUMBER(outYear),IIB37+IIB42+#REF!+IIB59,"")</f>
        <v/>
      </c>
      <c r="IIC62" s="87" t="str">
        <f>IF(ISNUMBER(outYear),IIC37+IIC42+#REF!+IIC59,"")</f>
        <v/>
      </c>
      <c r="IID62" s="87" t="str">
        <f>IF(ISNUMBER(outYear),IID37+IID42+#REF!+IID59,"")</f>
        <v/>
      </c>
      <c r="IIE62" s="87" t="str">
        <f>IF(ISNUMBER(outYear),IIE37+IIE42+#REF!+IIE59,"")</f>
        <v/>
      </c>
      <c r="IIF62" s="87" t="str">
        <f>IF(ISNUMBER(outYear),IIF37+IIF42+#REF!+IIF59,"")</f>
        <v/>
      </c>
      <c r="IIG62" s="87" t="str">
        <f>IF(ISNUMBER(outYear),IIG37+IIG42+#REF!+IIG59,"")</f>
        <v/>
      </c>
      <c r="IIH62" s="87" t="str">
        <f>IF(ISNUMBER(outYear),IIH37+IIH42+#REF!+IIH59,"")</f>
        <v/>
      </c>
      <c r="III62" s="87" t="str">
        <f>IF(ISNUMBER(outYear),III37+III42+#REF!+III59,"")</f>
        <v/>
      </c>
      <c r="IIJ62" s="87" t="str">
        <f>IF(ISNUMBER(outYear),IIJ37+IIJ42+#REF!+IIJ59,"")</f>
        <v/>
      </c>
      <c r="IIK62" s="87" t="str">
        <f>IF(ISNUMBER(outYear),IIK37+IIK42+#REF!+IIK59,"")</f>
        <v/>
      </c>
      <c r="IIL62" s="87" t="str">
        <f>IF(ISNUMBER(outYear),IIL37+IIL42+#REF!+IIL59,"")</f>
        <v/>
      </c>
      <c r="IIM62" s="87" t="str">
        <f>IF(ISNUMBER(outYear),IIM37+IIM42+#REF!+IIM59,"")</f>
        <v/>
      </c>
      <c r="IIN62" s="87" t="str">
        <f>IF(ISNUMBER(outYear),IIN37+IIN42+#REF!+IIN59,"")</f>
        <v/>
      </c>
      <c r="IIO62" s="87" t="str">
        <f>IF(ISNUMBER(outYear),IIO37+IIO42+#REF!+IIO59,"")</f>
        <v/>
      </c>
      <c r="IIP62" s="87" t="str">
        <f>IF(ISNUMBER(outYear),IIP37+IIP42+#REF!+IIP59,"")</f>
        <v/>
      </c>
      <c r="IIQ62" s="87" t="str">
        <f>IF(ISNUMBER(outYear),IIQ37+IIQ42+#REF!+IIQ59,"")</f>
        <v/>
      </c>
      <c r="IIR62" s="87" t="str">
        <f>IF(ISNUMBER(outYear),IIR37+IIR42+#REF!+IIR59,"")</f>
        <v/>
      </c>
      <c r="IIS62" s="87" t="str">
        <f>IF(ISNUMBER(outYear),IIS37+IIS42+#REF!+IIS59,"")</f>
        <v/>
      </c>
      <c r="IIT62" s="87" t="str">
        <f>IF(ISNUMBER(outYear),IIT37+IIT42+#REF!+IIT59,"")</f>
        <v/>
      </c>
      <c r="IIU62" s="87" t="str">
        <f>IF(ISNUMBER(outYear),IIU37+IIU42+#REF!+IIU59,"")</f>
        <v/>
      </c>
      <c r="IIV62" s="87" t="str">
        <f>IF(ISNUMBER(outYear),IIV37+IIV42+#REF!+IIV59,"")</f>
        <v/>
      </c>
      <c r="IIW62" s="87" t="str">
        <f>IF(ISNUMBER(outYear),IIW37+IIW42+#REF!+IIW59,"")</f>
        <v/>
      </c>
      <c r="IIX62" s="87" t="str">
        <f>IF(ISNUMBER(outYear),IIX37+IIX42+#REF!+IIX59,"")</f>
        <v/>
      </c>
      <c r="IIY62" s="87" t="str">
        <f>IF(ISNUMBER(outYear),IIY37+IIY42+#REF!+IIY59,"")</f>
        <v/>
      </c>
      <c r="IIZ62" s="87" t="str">
        <f>IF(ISNUMBER(outYear),IIZ37+IIZ42+#REF!+IIZ59,"")</f>
        <v/>
      </c>
      <c r="IJA62" s="87" t="str">
        <f>IF(ISNUMBER(outYear),IJA37+IJA42+#REF!+IJA59,"")</f>
        <v/>
      </c>
      <c r="IJB62" s="87" t="str">
        <f>IF(ISNUMBER(outYear),IJB37+IJB42+#REF!+IJB59,"")</f>
        <v/>
      </c>
      <c r="IJC62" s="87" t="str">
        <f>IF(ISNUMBER(outYear),IJC37+IJC42+#REF!+IJC59,"")</f>
        <v/>
      </c>
      <c r="IJD62" s="87" t="str">
        <f>IF(ISNUMBER(outYear),IJD37+IJD42+#REF!+IJD59,"")</f>
        <v/>
      </c>
      <c r="IJE62" s="87" t="str">
        <f>IF(ISNUMBER(outYear),IJE37+IJE42+#REF!+IJE59,"")</f>
        <v/>
      </c>
      <c r="IJF62" s="87" t="str">
        <f>IF(ISNUMBER(outYear),IJF37+IJF42+#REF!+IJF59,"")</f>
        <v/>
      </c>
      <c r="IJG62" s="87" t="str">
        <f>IF(ISNUMBER(outYear),IJG37+IJG42+#REF!+IJG59,"")</f>
        <v/>
      </c>
      <c r="IJH62" s="87" t="str">
        <f>IF(ISNUMBER(outYear),IJH37+IJH42+#REF!+IJH59,"")</f>
        <v/>
      </c>
      <c r="IJI62" s="87" t="str">
        <f>IF(ISNUMBER(outYear),IJI37+IJI42+#REF!+IJI59,"")</f>
        <v/>
      </c>
      <c r="IJJ62" s="87" t="str">
        <f>IF(ISNUMBER(outYear),IJJ37+IJJ42+#REF!+IJJ59,"")</f>
        <v/>
      </c>
      <c r="IJK62" s="87" t="str">
        <f>IF(ISNUMBER(outYear),IJK37+IJK42+#REF!+IJK59,"")</f>
        <v/>
      </c>
      <c r="IJL62" s="87" t="str">
        <f>IF(ISNUMBER(outYear),IJL37+IJL42+#REF!+IJL59,"")</f>
        <v/>
      </c>
      <c r="IJM62" s="87" t="str">
        <f>IF(ISNUMBER(outYear),IJM37+IJM42+#REF!+IJM59,"")</f>
        <v/>
      </c>
      <c r="IJN62" s="87" t="str">
        <f>IF(ISNUMBER(outYear),IJN37+IJN42+#REF!+IJN59,"")</f>
        <v/>
      </c>
      <c r="IJO62" s="87" t="str">
        <f>IF(ISNUMBER(outYear),IJO37+IJO42+#REF!+IJO59,"")</f>
        <v/>
      </c>
      <c r="IJP62" s="87" t="str">
        <f>IF(ISNUMBER(outYear),IJP37+IJP42+#REF!+IJP59,"")</f>
        <v/>
      </c>
      <c r="IJQ62" s="87" t="str">
        <f>IF(ISNUMBER(outYear),IJQ37+IJQ42+#REF!+IJQ59,"")</f>
        <v/>
      </c>
      <c r="IJR62" s="87" t="str">
        <f>IF(ISNUMBER(outYear),IJR37+IJR42+#REF!+IJR59,"")</f>
        <v/>
      </c>
      <c r="IJS62" s="87" t="str">
        <f>IF(ISNUMBER(outYear),IJS37+IJS42+#REF!+IJS59,"")</f>
        <v/>
      </c>
      <c r="IJT62" s="87" t="str">
        <f>IF(ISNUMBER(outYear),IJT37+IJT42+#REF!+IJT59,"")</f>
        <v/>
      </c>
      <c r="IJU62" s="87" t="str">
        <f>IF(ISNUMBER(outYear),IJU37+IJU42+#REF!+IJU59,"")</f>
        <v/>
      </c>
      <c r="IJV62" s="87" t="str">
        <f>IF(ISNUMBER(outYear),IJV37+IJV42+#REF!+IJV59,"")</f>
        <v/>
      </c>
      <c r="IJW62" s="87" t="str">
        <f>IF(ISNUMBER(outYear),IJW37+IJW42+#REF!+IJW59,"")</f>
        <v/>
      </c>
      <c r="IJX62" s="87" t="str">
        <f>IF(ISNUMBER(outYear),IJX37+IJX42+#REF!+IJX59,"")</f>
        <v/>
      </c>
      <c r="IJY62" s="87" t="str">
        <f>IF(ISNUMBER(outYear),IJY37+IJY42+#REF!+IJY59,"")</f>
        <v/>
      </c>
      <c r="IJZ62" s="87" t="str">
        <f>IF(ISNUMBER(outYear),IJZ37+IJZ42+#REF!+IJZ59,"")</f>
        <v/>
      </c>
      <c r="IKA62" s="87" t="str">
        <f>IF(ISNUMBER(outYear),IKA37+IKA42+#REF!+IKA59,"")</f>
        <v/>
      </c>
      <c r="IKB62" s="87" t="str">
        <f>IF(ISNUMBER(outYear),IKB37+IKB42+#REF!+IKB59,"")</f>
        <v/>
      </c>
      <c r="IKC62" s="87" t="str">
        <f>IF(ISNUMBER(outYear),IKC37+IKC42+#REF!+IKC59,"")</f>
        <v/>
      </c>
      <c r="IKD62" s="87" t="str">
        <f>IF(ISNUMBER(outYear),IKD37+IKD42+#REF!+IKD59,"")</f>
        <v/>
      </c>
      <c r="IKE62" s="87" t="str">
        <f>IF(ISNUMBER(outYear),IKE37+IKE42+#REF!+IKE59,"")</f>
        <v/>
      </c>
      <c r="IKF62" s="87" t="str">
        <f>IF(ISNUMBER(outYear),IKF37+IKF42+#REF!+IKF59,"")</f>
        <v/>
      </c>
      <c r="IKG62" s="87" t="str">
        <f>IF(ISNUMBER(outYear),IKG37+IKG42+#REF!+IKG59,"")</f>
        <v/>
      </c>
      <c r="IKH62" s="87" t="str">
        <f>IF(ISNUMBER(outYear),IKH37+IKH42+#REF!+IKH59,"")</f>
        <v/>
      </c>
      <c r="IKI62" s="87" t="str">
        <f>IF(ISNUMBER(outYear),IKI37+IKI42+#REF!+IKI59,"")</f>
        <v/>
      </c>
      <c r="IKJ62" s="87" t="str">
        <f>IF(ISNUMBER(outYear),IKJ37+IKJ42+#REF!+IKJ59,"")</f>
        <v/>
      </c>
      <c r="IKK62" s="87" t="str">
        <f>IF(ISNUMBER(outYear),IKK37+IKK42+#REF!+IKK59,"")</f>
        <v/>
      </c>
      <c r="IKL62" s="87" t="str">
        <f>IF(ISNUMBER(outYear),IKL37+IKL42+#REF!+IKL59,"")</f>
        <v/>
      </c>
      <c r="IKM62" s="87" t="str">
        <f>IF(ISNUMBER(outYear),IKM37+IKM42+#REF!+IKM59,"")</f>
        <v/>
      </c>
      <c r="IKN62" s="87" t="str">
        <f>IF(ISNUMBER(outYear),IKN37+IKN42+#REF!+IKN59,"")</f>
        <v/>
      </c>
      <c r="IKO62" s="87" t="str">
        <f>IF(ISNUMBER(outYear),IKO37+IKO42+#REF!+IKO59,"")</f>
        <v/>
      </c>
      <c r="IKP62" s="87" t="str">
        <f>IF(ISNUMBER(outYear),IKP37+IKP42+#REF!+IKP59,"")</f>
        <v/>
      </c>
      <c r="IKQ62" s="87" t="str">
        <f>IF(ISNUMBER(outYear),IKQ37+IKQ42+#REF!+IKQ59,"")</f>
        <v/>
      </c>
      <c r="IKR62" s="87" t="str">
        <f>IF(ISNUMBER(outYear),IKR37+IKR42+#REF!+IKR59,"")</f>
        <v/>
      </c>
      <c r="IKS62" s="87" t="str">
        <f>IF(ISNUMBER(outYear),IKS37+IKS42+#REF!+IKS59,"")</f>
        <v/>
      </c>
      <c r="IKT62" s="87" t="str">
        <f>IF(ISNUMBER(outYear),IKT37+IKT42+#REF!+IKT59,"")</f>
        <v/>
      </c>
      <c r="IKU62" s="87" t="str">
        <f>IF(ISNUMBER(outYear),IKU37+IKU42+#REF!+IKU59,"")</f>
        <v/>
      </c>
      <c r="IKV62" s="87" t="str">
        <f>IF(ISNUMBER(outYear),IKV37+IKV42+#REF!+IKV59,"")</f>
        <v/>
      </c>
      <c r="IKW62" s="87" t="str">
        <f>IF(ISNUMBER(outYear),IKW37+IKW42+#REF!+IKW59,"")</f>
        <v/>
      </c>
      <c r="IKX62" s="87" t="str">
        <f>IF(ISNUMBER(outYear),IKX37+IKX42+#REF!+IKX59,"")</f>
        <v/>
      </c>
      <c r="IKY62" s="87" t="str">
        <f>IF(ISNUMBER(outYear),IKY37+IKY42+#REF!+IKY59,"")</f>
        <v/>
      </c>
      <c r="IKZ62" s="87" t="str">
        <f>IF(ISNUMBER(outYear),IKZ37+IKZ42+#REF!+IKZ59,"")</f>
        <v/>
      </c>
      <c r="ILA62" s="87" t="str">
        <f>IF(ISNUMBER(outYear),ILA37+ILA42+#REF!+ILA59,"")</f>
        <v/>
      </c>
      <c r="ILB62" s="87" t="str">
        <f>IF(ISNUMBER(outYear),ILB37+ILB42+#REF!+ILB59,"")</f>
        <v/>
      </c>
      <c r="ILC62" s="87" t="str">
        <f>IF(ISNUMBER(outYear),ILC37+ILC42+#REF!+ILC59,"")</f>
        <v/>
      </c>
      <c r="ILD62" s="87" t="str">
        <f>IF(ISNUMBER(outYear),ILD37+ILD42+#REF!+ILD59,"")</f>
        <v/>
      </c>
      <c r="ILE62" s="87" t="str">
        <f>IF(ISNUMBER(outYear),ILE37+ILE42+#REF!+ILE59,"")</f>
        <v/>
      </c>
      <c r="ILF62" s="87" t="str">
        <f>IF(ISNUMBER(outYear),ILF37+ILF42+#REF!+ILF59,"")</f>
        <v/>
      </c>
      <c r="ILG62" s="87" t="str">
        <f>IF(ISNUMBER(outYear),ILG37+ILG42+#REF!+ILG59,"")</f>
        <v/>
      </c>
      <c r="ILH62" s="87" t="str">
        <f>IF(ISNUMBER(outYear),ILH37+ILH42+#REF!+ILH59,"")</f>
        <v/>
      </c>
      <c r="ILI62" s="87" t="str">
        <f>IF(ISNUMBER(outYear),ILI37+ILI42+#REF!+ILI59,"")</f>
        <v/>
      </c>
      <c r="ILJ62" s="87" t="str">
        <f>IF(ISNUMBER(outYear),ILJ37+ILJ42+#REF!+ILJ59,"")</f>
        <v/>
      </c>
      <c r="ILK62" s="87" t="str">
        <f>IF(ISNUMBER(outYear),ILK37+ILK42+#REF!+ILK59,"")</f>
        <v/>
      </c>
      <c r="ILL62" s="87" t="str">
        <f>IF(ISNUMBER(outYear),ILL37+ILL42+#REF!+ILL59,"")</f>
        <v/>
      </c>
      <c r="ILM62" s="87" t="str">
        <f>IF(ISNUMBER(outYear),ILM37+ILM42+#REF!+ILM59,"")</f>
        <v/>
      </c>
      <c r="ILN62" s="87" t="str">
        <f>IF(ISNUMBER(outYear),ILN37+ILN42+#REF!+ILN59,"")</f>
        <v/>
      </c>
      <c r="ILO62" s="87" t="str">
        <f>IF(ISNUMBER(outYear),ILO37+ILO42+#REF!+ILO59,"")</f>
        <v/>
      </c>
      <c r="ILP62" s="87" t="str">
        <f>IF(ISNUMBER(outYear),ILP37+ILP42+#REF!+ILP59,"")</f>
        <v/>
      </c>
      <c r="ILQ62" s="87" t="str">
        <f>IF(ISNUMBER(outYear),ILQ37+ILQ42+#REF!+ILQ59,"")</f>
        <v/>
      </c>
      <c r="ILR62" s="87" t="str">
        <f>IF(ISNUMBER(outYear),ILR37+ILR42+#REF!+ILR59,"")</f>
        <v/>
      </c>
      <c r="ILS62" s="87" t="str">
        <f>IF(ISNUMBER(outYear),ILS37+ILS42+#REF!+ILS59,"")</f>
        <v/>
      </c>
      <c r="ILT62" s="87" t="str">
        <f>IF(ISNUMBER(outYear),ILT37+ILT42+#REF!+ILT59,"")</f>
        <v/>
      </c>
      <c r="ILU62" s="87" t="str">
        <f>IF(ISNUMBER(outYear),ILU37+ILU42+#REF!+ILU59,"")</f>
        <v/>
      </c>
      <c r="ILV62" s="87" t="str">
        <f>IF(ISNUMBER(outYear),ILV37+ILV42+#REF!+ILV59,"")</f>
        <v/>
      </c>
      <c r="ILW62" s="87" t="str">
        <f>IF(ISNUMBER(outYear),ILW37+ILW42+#REF!+ILW59,"")</f>
        <v/>
      </c>
      <c r="ILX62" s="87" t="str">
        <f>IF(ISNUMBER(outYear),ILX37+ILX42+#REF!+ILX59,"")</f>
        <v/>
      </c>
      <c r="ILY62" s="87" t="str">
        <f>IF(ISNUMBER(outYear),ILY37+ILY42+#REF!+ILY59,"")</f>
        <v/>
      </c>
      <c r="ILZ62" s="87" t="str">
        <f>IF(ISNUMBER(outYear),ILZ37+ILZ42+#REF!+ILZ59,"")</f>
        <v/>
      </c>
      <c r="IMA62" s="87" t="str">
        <f>IF(ISNUMBER(outYear),IMA37+IMA42+#REF!+IMA59,"")</f>
        <v/>
      </c>
      <c r="IMB62" s="87" t="str">
        <f>IF(ISNUMBER(outYear),IMB37+IMB42+#REF!+IMB59,"")</f>
        <v/>
      </c>
      <c r="IMC62" s="87" t="str">
        <f>IF(ISNUMBER(outYear),IMC37+IMC42+#REF!+IMC59,"")</f>
        <v/>
      </c>
      <c r="IMD62" s="87" t="str">
        <f>IF(ISNUMBER(outYear),IMD37+IMD42+#REF!+IMD59,"")</f>
        <v/>
      </c>
      <c r="IME62" s="87" t="str">
        <f>IF(ISNUMBER(outYear),IME37+IME42+#REF!+IME59,"")</f>
        <v/>
      </c>
      <c r="IMF62" s="87" t="str">
        <f>IF(ISNUMBER(outYear),IMF37+IMF42+#REF!+IMF59,"")</f>
        <v/>
      </c>
      <c r="IMG62" s="87" t="str">
        <f>IF(ISNUMBER(outYear),IMG37+IMG42+#REF!+IMG59,"")</f>
        <v/>
      </c>
      <c r="IMH62" s="87" t="str">
        <f>IF(ISNUMBER(outYear),IMH37+IMH42+#REF!+IMH59,"")</f>
        <v/>
      </c>
      <c r="IMI62" s="87" t="str">
        <f>IF(ISNUMBER(outYear),IMI37+IMI42+#REF!+IMI59,"")</f>
        <v/>
      </c>
      <c r="IMJ62" s="87" t="str">
        <f>IF(ISNUMBER(outYear),IMJ37+IMJ42+#REF!+IMJ59,"")</f>
        <v/>
      </c>
      <c r="IMK62" s="87" t="str">
        <f>IF(ISNUMBER(outYear),IMK37+IMK42+#REF!+IMK59,"")</f>
        <v/>
      </c>
      <c r="IML62" s="87" t="str">
        <f>IF(ISNUMBER(outYear),IML37+IML42+#REF!+IML59,"")</f>
        <v/>
      </c>
      <c r="IMM62" s="87" t="str">
        <f>IF(ISNUMBER(outYear),IMM37+IMM42+#REF!+IMM59,"")</f>
        <v/>
      </c>
      <c r="IMN62" s="87" t="str">
        <f>IF(ISNUMBER(outYear),IMN37+IMN42+#REF!+IMN59,"")</f>
        <v/>
      </c>
      <c r="IMO62" s="87" t="str">
        <f>IF(ISNUMBER(outYear),IMO37+IMO42+#REF!+IMO59,"")</f>
        <v/>
      </c>
      <c r="IMP62" s="87" t="str">
        <f>IF(ISNUMBER(outYear),IMP37+IMP42+#REF!+IMP59,"")</f>
        <v/>
      </c>
      <c r="IMQ62" s="87" t="str">
        <f>IF(ISNUMBER(outYear),IMQ37+IMQ42+#REF!+IMQ59,"")</f>
        <v/>
      </c>
      <c r="IMR62" s="87" t="str">
        <f>IF(ISNUMBER(outYear),IMR37+IMR42+#REF!+IMR59,"")</f>
        <v/>
      </c>
      <c r="IMS62" s="87" t="str">
        <f>IF(ISNUMBER(outYear),IMS37+IMS42+#REF!+IMS59,"")</f>
        <v/>
      </c>
      <c r="IMT62" s="87" t="str">
        <f>IF(ISNUMBER(outYear),IMT37+IMT42+#REF!+IMT59,"")</f>
        <v/>
      </c>
      <c r="IMU62" s="87" t="str">
        <f>IF(ISNUMBER(outYear),IMU37+IMU42+#REF!+IMU59,"")</f>
        <v/>
      </c>
      <c r="IMV62" s="87" t="str">
        <f>IF(ISNUMBER(outYear),IMV37+IMV42+#REF!+IMV59,"")</f>
        <v/>
      </c>
      <c r="IMW62" s="87" t="str">
        <f>IF(ISNUMBER(outYear),IMW37+IMW42+#REF!+IMW59,"")</f>
        <v/>
      </c>
      <c r="IMX62" s="87" t="str">
        <f>IF(ISNUMBER(outYear),IMX37+IMX42+#REF!+IMX59,"")</f>
        <v/>
      </c>
      <c r="IMY62" s="87" t="str">
        <f>IF(ISNUMBER(outYear),IMY37+IMY42+#REF!+IMY59,"")</f>
        <v/>
      </c>
      <c r="IMZ62" s="87" t="str">
        <f>IF(ISNUMBER(outYear),IMZ37+IMZ42+#REF!+IMZ59,"")</f>
        <v/>
      </c>
      <c r="INA62" s="87" t="str">
        <f>IF(ISNUMBER(outYear),INA37+INA42+#REF!+INA59,"")</f>
        <v/>
      </c>
      <c r="INB62" s="87" t="str">
        <f>IF(ISNUMBER(outYear),INB37+INB42+#REF!+INB59,"")</f>
        <v/>
      </c>
      <c r="INC62" s="87" t="str">
        <f>IF(ISNUMBER(outYear),INC37+INC42+#REF!+INC59,"")</f>
        <v/>
      </c>
      <c r="IND62" s="87" t="str">
        <f>IF(ISNUMBER(outYear),IND37+IND42+#REF!+IND59,"")</f>
        <v/>
      </c>
      <c r="INE62" s="87" t="str">
        <f>IF(ISNUMBER(outYear),INE37+INE42+#REF!+INE59,"")</f>
        <v/>
      </c>
      <c r="INF62" s="87" t="str">
        <f>IF(ISNUMBER(outYear),INF37+INF42+#REF!+INF59,"")</f>
        <v/>
      </c>
      <c r="ING62" s="87" t="str">
        <f>IF(ISNUMBER(outYear),ING37+ING42+#REF!+ING59,"")</f>
        <v/>
      </c>
      <c r="INH62" s="87" t="str">
        <f>IF(ISNUMBER(outYear),INH37+INH42+#REF!+INH59,"")</f>
        <v/>
      </c>
      <c r="INI62" s="87" t="str">
        <f>IF(ISNUMBER(outYear),INI37+INI42+#REF!+INI59,"")</f>
        <v/>
      </c>
      <c r="INJ62" s="87" t="str">
        <f>IF(ISNUMBER(outYear),INJ37+INJ42+#REF!+INJ59,"")</f>
        <v/>
      </c>
      <c r="INK62" s="87" t="str">
        <f>IF(ISNUMBER(outYear),INK37+INK42+#REF!+INK59,"")</f>
        <v/>
      </c>
      <c r="INL62" s="87" t="str">
        <f>IF(ISNUMBER(outYear),INL37+INL42+#REF!+INL59,"")</f>
        <v/>
      </c>
      <c r="INM62" s="87" t="str">
        <f>IF(ISNUMBER(outYear),INM37+INM42+#REF!+INM59,"")</f>
        <v/>
      </c>
      <c r="INN62" s="87" t="str">
        <f>IF(ISNUMBER(outYear),INN37+INN42+#REF!+INN59,"")</f>
        <v/>
      </c>
      <c r="INO62" s="87" t="str">
        <f>IF(ISNUMBER(outYear),INO37+INO42+#REF!+INO59,"")</f>
        <v/>
      </c>
      <c r="INP62" s="87" t="str">
        <f>IF(ISNUMBER(outYear),INP37+INP42+#REF!+INP59,"")</f>
        <v/>
      </c>
      <c r="INQ62" s="87" t="str">
        <f>IF(ISNUMBER(outYear),INQ37+INQ42+#REF!+INQ59,"")</f>
        <v/>
      </c>
      <c r="INR62" s="87" t="str">
        <f>IF(ISNUMBER(outYear),INR37+INR42+#REF!+INR59,"")</f>
        <v/>
      </c>
      <c r="INS62" s="87" t="str">
        <f>IF(ISNUMBER(outYear),INS37+INS42+#REF!+INS59,"")</f>
        <v/>
      </c>
      <c r="INT62" s="87" t="str">
        <f>IF(ISNUMBER(outYear),INT37+INT42+#REF!+INT59,"")</f>
        <v/>
      </c>
      <c r="INU62" s="87" t="str">
        <f>IF(ISNUMBER(outYear),INU37+INU42+#REF!+INU59,"")</f>
        <v/>
      </c>
      <c r="INV62" s="87" t="str">
        <f>IF(ISNUMBER(outYear),INV37+INV42+#REF!+INV59,"")</f>
        <v/>
      </c>
      <c r="INW62" s="87" t="str">
        <f>IF(ISNUMBER(outYear),INW37+INW42+#REF!+INW59,"")</f>
        <v/>
      </c>
      <c r="INX62" s="87" t="str">
        <f>IF(ISNUMBER(outYear),INX37+INX42+#REF!+INX59,"")</f>
        <v/>
      </c>
      <c r="INY62" s="87" t="str">
        <f>IF(ISNUMBER(outYear),INY37+INY42+#REF!+INY59,"")</f>
        <v/>
      </c>
      <c r="INZ62" s="87" t="str">
        <f>IF(ISNUMBER(outYear),INZ37+INZ42+#REF!+INZ59,"")</f>
        <v/>
      </c>
      <c r="IOA62" s="87" t="str">
        <f>IF(ISNUMBER(outYear),IOA37+IOA42+#REF!+IOA59,"")</f>
        <v/>
      </c>
      <c r="IOB62" s="87" t="str">
        <f>IF(ISNUMBER(outYear),IOB37+IOB42+#REF!+IOB59,"")</f>
        <v/>
      </c>
      <c r="IOC62" s="87" t="str">
        <f>IF(ISNUMBER(outYear),IOC37+IOC42+#REF!+IOC59,"")</f>
        <v/>
      </c>
      <c r="IOD62" s="87" t="str">
        <f>IF(ISNUMBER(outYear),IOD37+IOD42+#REF!+IOD59,"")</f>
        <v/>
      </c>
      <c r="IOE62" s="87" t="str">
        <f>IF(ISNUMBER(outYear),IOE37+IOE42+#REF!+IOE59,"")</f>
        <v/>
      </c>
      <c r="IOF62" s="87" t="str">
        <f>IF(ISNUMBER(outYear),IOF37+IOF42+#REF!+IOF59,"")</f>
        <v/>
      </c>
      <c r="IOG62" s="87" t="str">
        <f>IF(ISNUMBER(outYear),IOG37+IOG42+#REF!+IOG59,"")</f>
        <v/>
      </c>
      <c r="IOH62" s="87" t="str">
        <f>IF(ISNUMBER(outYear),IOH37+IOH42+#REF!+IOH59,"")</f>
        <v/>
      </c>
      <c r="IOI62" s="87" t="str">
        <f>IF(ISNUMBER(outYear),IOI37+IOI42+#REF!+IOI59,"")</f>
        <v/>
      </c>
      <c r="IOJ62" s="87" t="str">
        <f>IF(ISNUMBER(outYear),IOJ37+IOJ42+#REF!+IOJ59,"")</f>
        <v/>
      </c>
      <c r="IOK62" s="87" t="str">
        <f>IF(ISNUMBER(outYear),IOK37+IOK42+#REF!+IOK59,"")</f>
        <v/>
      </c>
      <c r="IOL62" s="87" t="str">
        <f>IF(ISNUMBER(outYear),IOL37+IOL42+#REF!+IOL59,"")</f>
        <v/>
      </c>
      <c r="IOM62" s="87" t="str">
        <f>IF(ISNUMBER(outYear),IOM37+IOM42+#REF!+IOM59,"")</f>
        <v/>
      </c>
      <c r="ION62" s="87" t="str">
        <f>IF(ISNUMBER(outYear),ION37+ION42+#REF!+ION59,"")</f>
        <v/>
      </c>
      <c r="IOO62" s="87" t="str">
        <f>IF(ISNUMBER(outYear),IOO37+IOO42+#REF!+IOO59,"")</f>
        <v/>
      </c>
      <c r="IOP62" s="87" t="str">
        <f>IF(ISNUMBER(outYear),IOP37+IOP42+#REF!+IOP59,"")</f>
        <v/>
      </c>
      <c r="IOQ62" s="87" t="str">
        <f>IF(ISNUMBER(outYear),IOQ37+IOQ42+#REF!+IOQ59,"")</f>
        <v/>
      </c>
      <c r="IOR62" s="87" t="str">
        <f>IF(ISNUMBER(outYear),IOR37+IOR42+#REF!+IOR59,"")</f>
        <v/>
      </c>
      <c r="IOS62" s="87" t="str">
        <f>IF(ISNUMBER(outYear),IOS37+IOS42+#REF!+IOS59,"")</f>
        <v/>
      </c>
      <c r="IOT62" s="87" t="str">
        <f>IF(ISNUMBER(outYear),IOT37+IOT42+#REF!+IOT59,"")</f>
        <v/>
      </c>
      <c r="IOU62" s="87" t="str">
        <f>IF(ISNUMBER(outYear),IOU37+IOU42+#REF!+IOU59,"")</f>
        <v/>
      </c>
      <c r="IOV62" s="87" t="str">
        <f>IF(ISNUMBER(outYear),IOV37+IOV42+#REF!+IOV59,"")</f>
        <v/>
      </c>
      <c r="IOW62" s="87" t="str">
        <f>IF(ISNUMBER(outYear),IOW37+IOW42+#REF!+IOW59,"")</f>
        <v/>
      </c>
      <c r="IOX62" s="87" t="str">
        <f>IF(ISNUMBER(outYear),IOX37+IOX42+#REF!+IOX59,"")</f>
        <v/>
      </c>
      <c r="IOY62" s="87" t="str">
        <f>IF(ISNUMBER(outYear),IOY37+IOY42+#REF!+IOY59,"")</f>
        <v/>
      </c>
      <c r="IOZ62" s="87" t="str">
        <f>IF(ISNUMBER(outYear),IOZ37+IOZ42+#REF!+IOZ59,"")</f>
        <v/>
      </c>
      <c r="IPA62" s="87" t="str">
        <f>IF(ISNUMBER(outYear),IPA37+IPA42+#REF!+IPA59,"")</f>
        <v/>
      </c>
      <c r="IPB62" s="87" t="str">
        <f>IF(ISNUMBER(outYear),IPB37+IPB42+#REF!+IPB59,"")</f>
        <v/>
      </c>
      <c r="IPC62" s="87" t="str">
        <f>IF(ISNUMBER(outYear),IPC37+IPC42+#REF!+IPC59,"")</f>
        <v/>
      </c>
      <c r="IPD62" s="87" t="str">
        <f>IF(ISNUMBER(outYear),IPD37+IPD42+#REF!+IPD59,"")</f>
        <v/>
      </c>
      <c r="IPE62" s="87" t="str">
        <f>IF(ISNUMBER(outYear),IPE37+IPE42+#REF!+IPE59,"")</f>
        <v/>
      </c>
      <c r="IPF62" s="87" t="str">
        <f>IF(ISNUMBER(outYear),IPF37+IPF42+#REF!+IPF59,"")</f>
        <v/>
      </c>
      <c r="IPG62" s="87" t="str">
        <f>IF(ISNUMBER(outYear),IPG37+IPG42+#REF!+IPG59,"")</f>
        <v/>
      </c>
      <c r="IPH62" s="87" t="str">
        <f>IF(ISNUMBER(outYear),IPH37+IPH42+#REF!+IPH59,"")</f>
        <v/>
      </c>
      <c r="IPI62" s="87" t="str">
        <f>IF(ISNUMBER(outYear),IPI37+IPI42+#REF!+IPI59,"")</f>
        <v/>
      </c>
      <c r="IPJ62" s="87" t="str">
        <f>IF(ISNUMBER(outYear),IPJ37+IPJ42+#REF!+IPJ59,"")</f>
        <v/>
      </c>
      <c r="IPK62" s="87" t="str">
        <f>IF(ISNUMBER(outYear),IPK37+IPK42+#REF!+IPK59,"")</f>
        <v/>
      </c>
      <c r="IPL62" s="87" t="str">
        <f>IF(ISNUMBER(outYear),IPL37+IPL42+#REF!+IPL59,"")</f>
        <v/>
      </c>
      <c r="IPM62" s="87" t="str">
        <f>IF(ISNUMBER(outYear),IPM37+IPM42+#REF!+IPM59,"")</f>
        <v/>
      </c>
      <c r="IPN62" s="87" t="str">
        <f>IF(ISNUMBER(outYear),IPN37+IPN42+#REF!+IPN59,"")</f>
        <v/>
      </c>
      <c r="IPO62" s="87" t="str">
        <f>IF(ISNUMBER(outYear),IPO37+IPO42+#REF!+IPO59,"")</f>
        <v/>
      </c>
      <c r="IPP62" s="87" t="str">
        <f>IF(ISNUMBER(outYear),IPP37+IPP42+#REF!+IPP59,"")</f>
        <v/>
      </c>
      <c r="IPQ62" s="87" t="str">
        <f>IF(ISNUMBER(outYear),IPQ37+IPQ42+#REF!+IPQ59,"")</f>
        <v/>
      </c>
      <c r="IPR62" s="87" t="str">
        <f>IF(ISNUMBER(outYear),IPR37+IPR42+#REF!+IPR59,"")</f>
        <v/>
      </c>
      <c r="IPS62" s="87" t="str">
        <f>IF(ISNUMBER(outYear),IPS37+IPS42+#REF!+IPS59,"")</f>
        <v/>
      </c>
      <c r="IPT62" s="87" t="str">
        <f>IF(ISNUMBER(outYear),IPT37+IPT42+#REF!+IPT59,"")</f>
        <v/>
      </c>
      <c r="IPU62" s="87" t="str">
        <f>IF(ISNUMBER(outYear),IPU37+IPU42+#REF!+IPU59,"")</f>
        <v/>
      </c>
      <c r="IPV62" s="87" t="str">
        <f>IF(ISNUMBER(outYear),IPV37+IPV42+#REF!+IPV59,"")</f>
        <v/>
      </c>
      <c r="IPW62" s="87" t="str">
        <f>IF(ISNUMBER(outYear),IPW37+IPW42+#REF!+IPW59,"")</f>
        <v/>
      </c>
      <c r="IPX62" s="87" t="str">
        <f>IF(ISNUMBER(outYear),IPX37+IPX42+#REF!+IPX59,"")</f>
        <v/>
      </c>
      <c r="IPY62" s="87" t="str">
        <f>IF(ISNUMBER(outYear),IPY37+IPY42+#REF!+IPY59,"")</f>
        <v/>
      </c>
      <c r="IPZ62" s="87" t="str">
        <f>IF(ISNUMBER(outYear),IPZ37+IPZ42+#REF!+IPZ59,"")</f>
        <v/>
      </c>
      <c r="IQA62" s="87" t="str">
        <f>IF(ISNUMBER(outYear),IQA37+IQA42+#REF!+IQA59,"")</f>
        <v/>
      </c>
      <c r="IQB62" s="87" t="str">
        <f>IF(ISNUMBER(outYear),IQB37+IQB42+#REF!+IQB59,"")</f>
        <v/>
      </c>
      <c r="IQC62" s="87" t="str">
        <f>IF(ISNUMBER(outYear),IQC37+IQC42+#REF!+IQC59,"")</f>
        <v/>
      </c>
      <c r="IQD62" s="87" t="str">
        <f>IF(ISNUMBER(outYear),IQD37+IQD42+#REF!+IQD59,"")</f>
        <v/>
      </c>
      <c r="IQE62" s="87" t="str">
        <f>IF(ISNUMBER(outYear),IQE37+IQE42+#REF!+IQE59,"")</f>
        <v/>
      </c>
      <c r="IQF62" s="87" t="str">
        <f>IF(ISNUMBER(outYear),IQF37+IQF42+#REF!+IQF59,"")</f>
        <v/>
      </c>
      <c r="IQG62" s="87" t="str">
        <f>IF(ISNUMBER(outYear),IQG37+IQG42+#REF!+IQG59,"")</f>
        <v/>
      </c>
      <c r="IQH62" s="87" t="str">
        <f>IF(ISNUMBER(outYear),IQH37+IQH42+#REF!+IQH59,"")</f>
        <v/>
      </c>
      <c r="IQI62" s="87" t="str">
        <f>IF(ISNUMBER(outYear),IQI37+IQI42+#REF!+IQI59,"")</f>
        <v/>
      </c>
      <c r="IQJ62" s="87" t="str">
        <f>IF(ISNUMBER(outYear),IQJ37+IQJ42+#REF!+IQJ59,"")</f>
        <v/>
      </c>
      <c r="IQK62" s="87" t="str">
        <f>IF(ISNUMBER(outYear),IQK37+IQK42+#REF!+IQK59,"")</f>
        <v/>
      </c>
      <c r="IQL62" s="87" t="str">
        <f>IF(ISNUMBER(outYear),IQL37+IQL42+#REF!+IQL59,"")</f>
        <v/>
      </c>
      <c r="IQM62" s="87" t="str">
        <f>IF(ISNUMBER(outYear),IQM37+IQM42+#REF!+IQM59,"")</f>
        <v/>
      </c>
      <c r="IQN62" s="87" t="str">
        <f>IF(ISNUMBER(outYear),IQN37+IQN42+#REF!+IQN59,"")</f>
        <v/>
      </c>
      <c r="IQO62" s="87" t="str">
        <f>IF(ISNUMBER(outYear),IQO37+IQO42+#REF!+IQO59,"")</f>
        <v/>
      </c>
      <c r="IQP62" s="87" t="str">
        <f>IF(ISNUMBER(outYear),IQP37+IQP42+#REF!+IQP59,"")</f>
        <v/>
      </c>
      <c r="IQQ62" s="87" t="str">
        <f>IF(ISNUMBER(outYear),IQQ37+IQQ42+#REF!+IQQ59,"")</f>
        <v/>
      </c>
      <c r="IQR62" s="87" t="str">
        <f>IF(ISNUMBER(outYear),IQR37+IQR42+#REF!+IQR59,"")</f>
        <v/>
      </c>
      <c r="IQS62" s="87" t="str">
        <f>IF(ISNUMBER(outYear),IQS37+IQS42+#REF!+IQS59,"")</f>
        <v/>
      </c>
      <c r="IQT62" s="87" t="str">
        <f>IF(ISNUMBER(outYear),IQT37+IQT42+#REF!+IQT59,"")</f>
        <v/>
      </c>
      <c r="IQU62" s="87" t="str">
        <f>IF(ISNUMBER(outYear),IQU37+IQU42+#REF!+IQU59,"")</f>
        <v/>
      </c>
      <c r="IQV62" s="87" t="str">
        <f>IF(ISNUMBER(outYear),IQV37+IQV42+#REF!+IQV59,"")</f>
        <v/>
      </c>
      <c r="IQW62" s="87" t="str">
        <f>IF(ISNUMBER(outYear),IQW37+IQW42+#REF!+IQW59,"")</f>
        <v/>
      </c>
      <c r="IQX62" s="87" t="str">
        <f>IF(ISNUMBER(outYear),IQX37+IQX42+#REF!+IQX59,"")</f>
        <v/>
      </c>
      <c r="IQY62" s="87" t="str">
        <f>IF(ISNUMBER(outYear),IQY37+IQY42+#REF!+IQY59,"")</f>
        <v/>
      </c>
      <c r="IQZ62" s="87" t="str">
        <f>IF(ISNUMBER(outYear),IQZ37+IQZ42+#REF!+IQZ59,"")</f>
        <v/>
      </c>
      <c r="IRA62" s="87" t="str">
        <f>IF(ISNUMBER(outYear),IRA37+IRA42+#REF!+IRA59,"")</f>
        <v/>
      </c>
      <c r="IRB62" s="87" t="str">
        <f>IF(ISNUMBER(outYear),IRB37+IRB42+#REF!+IRB59,"")</f>
        <v/>
      </c>
      <c r="IRC62" s="87" t="str">
        <f>IF(ISNUMBER(outYear),IRC37+IRC42+#REF!+IRC59,"")</f>
        <v/>
      </c>
      <c r="IRD62" s="87" t="str">
        <f>IF(ISNUMBER(outYear),IRD37+IRD42+#REF!+IRD59,"")</f>
        <v/>
      </c>
      <c r="IRE62" s="87" t="str">
        <f>IF(ISNUMBER(outYear),IRE37+IRE42+#REF!+IRE59,"")</f>
        <v/>
      </c>
      <c r="IRF62" s="87" t="str">
        <f>IF(ISNUMBER(outYear),IRF37+IRF42+#REF!+IRF59,"")</f>
        <v/>
      </c>
      <c r="IRG62" s="87" t="str">
        <f>IF(ISNUMBER(outYear),IRG37+IRG42+#REF!+IRG59,"")</f>
        <v/>
      </c>
      <c r="IRH62" s="87" t="str">
        <f>IF(ISNUMBER(outYear),IRH37+IRH42+#REF!+IRH59,"")</f>
        <v/>
      </c>
      <c r="IRI62" s="87" t="str">
        <f>IF(ISNUMBER(outYear),IRI37+IRI42+#REF!+IRI59,"")</f>
        <v/>
      </c>
      <c r="IRJ62" s="87" t="str">
        <f>IF(ISNUMBER(outYear),IRJ37+IRJ42+#REF!+IRJ59,"")</f>
        <v/>
      </c>
      <c r="IRK62" s="87" t="str">
        <f>IF(ISNUMBER(outYear),IRK37+IRK42+#REF!+IRK59,"")</f>
        <v/>
      </c>
      <c r="IRL62" s="87" t="str">
        <f>IF(ISNUMBER(outYear),IRL37+IRL42+#REF!+IRL59,"")</f>
        <v/>
      </c>
      <c r="IRM62" s="87" t="str">
        <f>IF(ISNUMBER(outYear),IRM37+IRM42+#REF!+IRM59,"")</f>
        <v/>
      </c>
      <c r="IRN62" s="87" t="str">
        <f>IF(ISNUMBER(outYear),IRN37+IRN42+#REF!+IRN59,"")</f>
        <v/>
      </c>
      <c r="IRO62" s="87" t="str">
        <f>IF(ISNUMBER(outYear),IRO37+IRO42+#REF!+IRO59,"")</f>
        <v/>
      </c>
      <c r="IRP62" s="87" t="str">
        <f>IF(ISNUMBER(outYear),IRP37+IRP42+#REF!+IRP59,"")</f>
        <v/>
      </c>
      <c r="IRQ62" s="87" t="str">
        <f>IF(ISNUMBER(outYear),IRQ37+IRQ42+#REF!+IRQ59,"")</f>
        <v/>
      </c>
      <c r="IRR62" s="87" t="str">
        <f>IF(ISNUMBER(outYear),IRR37+IRR42+#REF!+IRR59,"")</f>
        <v/>
      </c>
      <c r="IRS62" s="87" t="str">
        <f>IF(ISNUMBER(outYear),IRS37+IRS42+#REF!+IRS59,"")</f>
        <v/>
      </c>
      <c r="IRT62" s="87" t="str">
        <f>IF(ISNUMBER(outYear),IRT37+IRT42+#REF!+IRT59,"")</f>
        <v/>
      </c>
      <c r="IRU62" s="87" t="str">
        <f>IF(ISNUMBER(outYear),IRU37+IRU42+#REF!+IRU59,"")</f>
        <v/>
      </c>
      <c r="IRV62" s="87" t="str">
        <f>IF(ISNUMBER(outYear),IRV37+IRV42+#REF!+IRV59,"")</f>
        <v/>
      </c>
      <c r="IRW62" s="87" t="str">
        <f>IF(ISNUMBER(outYear),IRW37+IRW42+#REF!+IRW59,"")</f>
        <v/>
      </c>
      <c r="IRX62" s="87" t="str">
        <f>IF(ISNUMBER(outYear),IRX37+IRX42+#REF!+IRX59,"")</f>
        <v/>
      </c>
      <c r="IRY62" s="87" t="str">
        <f>IF(ISNUMBER(outYear),IRY37+IRY42+#REF!+IRY59,"")</f>
        <v/>
      </c>
      <c r="IRZ62" s="87" t="str">
        <f>IF(ISNUMBER(outYear),IRZ37+IRZ42+#REF!+IRZ59,"")</f>
        <v/>
      </c>
      <c r="ISA62" s="87" t="str">
        <f>IF(ISNUMBER(outYear),ISA37+ISA42+#REF!+ISA59,"")</f>
        <v/>
      </c>
      <c r="ISB62" s="87" t="str">
        <f>IF(ISNUMBER(outYear),ISB37+ISB42+#REF!+ISB59,"")</f>
        <v/>
      </c>
      <c r="ISC62" s="87" t="str">
        <f>IF(ISNUMBER(outYear),ISC37+ISC42+#REF!+ISC59,"")</f>
        <v/>
      </c>
      <c r="ISD62" s="87" t="str">
        <f>IF(ISNUMBER(outYear),ISD37+ISD42+#REF!+ISD59,"")</f>
        <v/>
      </c>
      <c r="ISE62" s="87" t="str">
        <f>IF(ISNUMBER(outYear),ISE37+ISE42+#REF!+ISE59,"")</f>
        <v/>
      </c>
      <c r="ISF62" s="87" t="str">
        <f>IF(ISNUMBER(outYear),ISF37+ISF42+#REF!+ISF59,"")</f>
        <v/>
      </c>
      <c r="ISG62" s="87" t="str">
        <f>IF(ISNUMBER(outYear),ISG37+ISG42+#REF!+ISG59,"")</f>
        <v/>
      </c>
      <c r="ISH62" s="87" t="str">
        <f>IF(ISNUMBER(outYear),ISH37+ISH42+#REF!+ISH59,"")</f>
        <v/>
      </c>
      <c r="ISI62" s="87" t="str">
        <f>IF(ISNUMBER(outYear),ISI37+ISI42+#REF!+ISI59,"")</f>
        <v/>
      </c>
      <c r="ISJ62" s="87" t="str">
        <f>IF(ISNUMBER(outYear),ISJ37+ISJ42+#REF!+ISJ59,"")</f>
        <v/>
      </c>
      <c r="ISK62" s="87" t="str">
        <f>IF(ISNUMBER(outYear),ISK37+ISK42+#REF!+ISK59,"")</f>
        <v/>
      </c>
      <c r="ISL62" s="87" t="str">
        <f>IF(ISNUMBER(outYear),ISL37+ISL42+#REF!+ISL59,"")</f>
        <v/>
      </c>
      <c r="ISM62" s="87" t="str">
        <f>IF(ISNUMBER(outYear),ISM37+ISM42+#REF!+ISM59,"")</f>
        <v/>
      </c>
      <c r="ISN62" s="87" t="str">
        <f>IF(ISNUMBER(outYear),ISN37+ISN42+#REF!+ISN59,"")</f>
        <v/>
      </c>
      <c r="ISO62" s="87" t="str">
        <f>IF(ISNUMBER(outYear),ISO37+ISO42+#REF!+ISO59,"")</f>
        <v/>
      </c>
      <c r="ISP62" s="87" t="str">
        <f>IF(ISNUMBER(outYear),ISP37+ISP42+#REF!+ISP59,"")</f>
        <v/>
      </c>
      <c r="ISQ62" s="87" t="str">
        <f>IF(ISNUMBER(outYear),ISQ37+ISQ42+#REF!+ISQ59,"")</f>
        <v/>
      </c>
      <c r="ISR62" s="87" t="str">
        <f>IF(ISNUMBER(outYear),ISR37+ISR42+#REF!+ISR59,"")</f>
        <v/>
      </c>
      <c r="ISS62" s="87" t="str">
        <f>IF(ISNUMBER(outYear),ISS37+ISS42+#REF!+ISS59,"")</f>
        <v/>
      </c>
      <c r="IST62" s="87" t="str">
        <f>IF(ISNUMBER(outYear),IST37+IST42+#REF!+IST59,"")</f>
        <v/>
      </c>
      <c r="ISU62" s="87" t="str">
        <f>IF(ISNUMBER(outYear),ISU37+ISU42+#REF!+ISU59,"")</f>
        <v/>
      </c>
      <c r="ISV62" s="87" t="str">
        <f>IF(ISNUMBER(outYear),ISV37+ISV42+#REF!+ISV59,"")</f>
        <v/>
      </c>
      <c r="ISW62" s="87" t="str">
        <f>IF(ISNUMBER(outYear),ISW37+ISW42+#REF!+ISW59,"")</f>
        <v/>
      </c>
      <c r="ISX62" s="87" t="str">
        <f>IF(ISNUMBER(outYear),ISX37+ISX42+#REF!+ISX59,"")</f>
        <v/>
      </c>
      <c r="ISY62" s="87" t="str">
        <f>IF(ISNUMBER(outYear),ISY37+ISY42+#REF!+ISY59,"")</f>
        <v/>
      </c>
      <c r="ISZ62" s="87" t="str">
        <f>IF(ISNUMBER(outYear),ISZ37+ISZ42+#REF!+ISZ59,"")</f>
        <v/>
      </c>
      <c r="ITA62" s="87" t="str">
        <f>IF(ISNUMBER(outYear),ITA37+ITA42+#REF!+ITA59,"")</f>
        <v/>
      </c>
      <c r="ITB62" s="87" t="str">
        <f>IF(ISNUMBER(outYear),ITB37+ITB42+#REF!+ITB59,"")</f>
        <v/>
      </c>
      <c r="ITC62" s="87" t="str">
        <f>IF(ISNUMBER(outYear),ITC37+ITC42+#REF!+ITC59,"")</f>
        <v/>
      </c>
      <c r="ITD62" s="87" t="str">
        <f>IF(ISNUMBER(outYear),ITD37+ITD42+#REF!+ITD59,"")</f>
        <v/>
      </c>
      <c r="ITE62" s="87" t="str">
        <f>IF(ISNUMBER(outYear),ITE37+ITE42+#REF!+ITE59,"")</f>
        <v/>
      </c>
      <c r="ITF62" s="87" t="str">
        <f>IF(ISNUMBER(outYear),ITF37+ITF42+#REF!+ITF59,"")</f>
        <v/>
      </c>
      <c r="ITG62" s="87" t="str">
        <f>IF(ISNUMBER(outYear),ITG37+ITG42+#REF!+ITG59,"")</f>
        <v/>
      </c>
      <c r="ITH62" s="87" t="str">
        <f>IF(ISNUMBER(outYear),ITH37+ITH42+#REF!+ITH59,"")</f>
        <v/>
      </c>
      <c r="ITI62" s="87" t="str">
        <f>IF(ISNUMBER(outYear),ITI37+ITI42+#REF!+ITI59,"")</f>
        <v/>
      </c>
      <c r="ITJ62" s="87" t="str">
        <f>IF(ISNUMBER(outYear),ITJ37+ITJ42+#REF!+ITJ59,"")</f>
        <v/>
      </c>
      <c r="ITK62" s="87" t="str">
        <f>IF(ISNUMBER(outYear),ITK37+ITK42+#REF!+ITK59,"")</f>
        <v/>
      </c>
      <c r="ITL62" s="87" t="str">
        <f>IF(ISNUMBER(outYear),ITL37+ITL42+#REF!+ITL59,"")</f>
        <v/>
      </c>
      <c r="ITM62" s="87" t="str">
        <f>IF(ISNUMBER(outYear),ITM37+ITM42+#REF!+ITM59,"")</f>
        <v/>
      </c>
      <c r="ITN62" s="87" t="str">
        <f>IF(ISNUMBER(outYear),ITN37+ITN42+#REF!+ITN59,"")</f>
        <v/>
      </c>
      <c r="ITO62" s="87" t="str">
        <f>IF(ISNUMBER(outYear),ITO37+ITO42+#REF!+ITO59,"")</f>
        <v/>
      </c>
      <c r="ITP62" s="87" t="str">
        <f>IF(ISNUMBER(outYear),ITP37+ITP42+#REF!+ITP59,"")</f>
        <v/>
      </c>
      <c r="ITQ62" s="87" t="str">
        <f>IF(ISNUMBER(outYear),ITQ37+ITQ42+#REF!+ITQ59,"")</f>
        <v/>
      </c>
      <c r="ITR62" s="87" t="str">
        <f>IF(ISNUMBER(outYear),ITR37+ITR42+#REF!+ITR59,"")</f>
        <v/>
      </c>
      <c r="ITS62" s="87" t="str">
        <f>IF(ISNUMBER(outYear),ITS37+ITS42+#REF!+ITS59,"")</f>
        <v/>
      </c>
      <c r="ITT62" s="87" t="str">
        <f>IF(ISNUMBER(outYear),ITT37+ITT42+#REF!+ITT59,"")</f>
        <v/>
      </c>
      <c r="ITU62" s="87" t="str">
        <f>IF(ISNUMBER(outYear),ITU37+ITU42+#REF!+ITU59,"")</f>
        <v/>
      </c>
      <c r="ITV62" s="87" t="str">
        <f>IF(ISNUMBER(outYear),ITV37+ITV42+#REF!+ITV59,"")</f>
        <v/>
      </c>
      <c r="ITW62" s="87" t="str">
        <f>IF(ISNUMBER(outYear),ITW37+ITW42+#REF!+ITW59,"")</f>
        <v/>
      </c>
      <c r="ITX62" s="87" t="str">
        <f>IF(ISNUMBER(outYear),ITX37+ITX42+#REF!+ITX59,"")</f>
        <v/>
      </c>
      <c r="ITY62" s="87" t="str">
        <f>IF(ISNUMBER(outYear),ITY37+ITY42+#REF!+ITY59,"")</f>
        <v/>
      </c>
      <c r="ITZ62" s="87" t="str">
        <f>IF(ISNUMBER(outYear),ITZ37+ITZ42+#REF!+ITZ59,"")</f>
        <v/>
      </c>
      <c r="IUA62" s="87" t="str">
        <f>IF(ISNUMBER(outYear),IUA37+IUA42+#REF!+IUA59,"")</f>
        <v/>
      </c>
      <c r="IUB62" s="87" t="str">
        <f>IF(ISNUMBER(outYear),IUB37+IUB42+#REF!+IUB59,"")</f>
        <v/>
      </c>
      <c r="IUC62" s="87" t="str">
        <f>IF(ISNUMBER(outYear),IUC37+IUC42+#REF!+IUC59,"")</f>
        <v/>
      </c>
      <c r="IUD62" s="87" t="str">
        <f>IF(ISNUMBER(outYear),IUD37+IUD42+#REF!+IUD59,"")</f>
        <v/>
      </c>
      <c r="IUE62" s="87" t="str">
        <f>IF(ISNUMBER(outYear),IUE37+IUE42+#REF!+IUE59,"")</f>
        <v/>
      </c>
      <c r="IUF62" s="87" t="str">
        <f>IF(ISNUMBER(outYear),IUF37+IUF42+#REF!+IUF59,"")</f>
        <v/>
      </c>
      <c r="IUG62" s="87" t="str">
        <f>IF(ISNUMBER(outYear),IUG37+IUG42+#REF!+IUG59,"")</f>
        <v/>
      </c>
      <c r="IUH62" s="87" t="str">
        <f>IF(ISNUMBER(outYear),IUH37+IUH42+#REF!+IUH59,"")</f>
        <v/>
      </c>
      <c r="IUI62" s="87" t="str">
        <f>IF(ISNUMBER(outYear),IUI37+IUI42+#REF!+IUI59,"")</f>
        <v/>
      </c>
      <c r="IUJ62" s="87" t="str">
        <f>IF(ISNUMBER(outYear),IUJ37+IUJ42+#REF!+IUJ59,"")</f>
        <v/>
      </c>
      <c r="IUK62" s="87" t="str">
        <f>IF(ISNUMBER(outYear),IUK37+IUK42+#REF!+IUK59,"")</f>
        <v/>
      </c>
      <c r="IUL62" s="87" t="str">
        <f>IF(ISNUMBER(outYear),IUL37+IUL42+#REF!+IUL59,"")</f>
        <v/>
      </c>
      <c r="IUM62" s="87" t="str">
        <f>IF(ISNUMBER(outYear),IUM37+IUM42+#REF!+IUM59,"")</f>
        <v/>
      </c>
      <c r="IUN62" s="87" t="str">
        <f>IF(ISNUMBER(outYear),IUN37+IUN42+#REF!+IUN59,"")</f>
        <v/>
      </c>
      <c r="IUO62" s="87" t="str">
        <f>IF(ISNUMBER(outYear),IUO37+IUO42+#REF!+IUO59,"")</f>
        <v/>
      </c>
      <c r="IUP62" s="87" t="str">
        <f>IF(ISNUMBER(outYear),IUP37+IUP42+#REF!+IUP59,"")</f>
        <v/>
      </c>
      <c r="IUQ62" s="87" t="str">
        <f>IF(ISNUMBER(outYear),IUQ37+IUQ42+#REF!+IUQ59,"")</f>
        <v/>
      </c>
      <c r="IUR62" s="87" t="str">
        <f>IF(ISNUMBER(outYear),IUR37+IUR42+#REF!+IUR59,"")</f>
        <v/>
      </c>
      <c r="IUS62" s="87" t="str">
        <f>IF(ISNUMBER(outYear),IUS37+IUS42+#REF!+IUS59,"")</f>
        <v/>
      </c>
      <c r="IUT62" s="87" t="str">
        <f>IF(ISNUMBER(outYear),IUT37+IUT42+#REF!+IUT59,"")</f>
        <v/>
      </c>
      <c r="IUU62" s="87" t="str">
        <f>IF(ISNUMBER(outYear),IUU37+IUU42+#REF!+IUU59,"")</f>
        <v/>
      </c>
      <c r="IUV62" s="87" t="str">
        <f>IF(ISNUMBER(outYear),IUV37+IUV42+#REF!+IUV59,"")</f>
        <v/>
      </c>
      <c r="IUW62" s="87" t="str">
        <f>IF(ISNUMBER(outYear),IUW37+IUW42+#REF!+IUW59,"")</f>
        <v/>
      </c>
      <c r="IUX62" s="87" t="str">
        <f>IF(ISNUMBER(outYear),IUX37+IUX42+#REF!+IUX59,"")</f>
        <v/>
      </c>
      <c r="IUY62" s="87" t="str">
        <f>IF(ISNUMBER(outYear),IUY37+IUY42+#REF!+IUY59,"")</f>
        <v/>
      </c>
      <c r="IUZ62" s="87" t="str">
        <f>IF(ISNUMBER(outYear),IUZ37+IUZ42+#REF!+IUZ59,"")</f>
        <v/>
      </c>
      <c r="IVA62" s="87" t="str">
        <f>IF(ISNUMBER(outYear),IVA37+IVA42+#REF!+IVA59,"")</f>
        <v/>
      </c>
      <c r="IVB62" s="87" t="str">
        <f>IF(ISNUMBER(outYear),IVB37+IVB42+#REF!+IVB59,"")</f>
        <v/>
      </c>
      <c r="IVC62" s="87" t="str">
        <f>IF(ISNUMBER(outYear),IVC37+IVC42+#REF!+IVC59,"")</f>
        <v/>
      </c>
      <c r="IVD62" s="87" t="str">
        <f>IF(ISNUMBER(outYear),IVD37+IVD42+#REF!+IVD59,"")</f>
        <v/>
      </c>
      <c r="IVE62" s="87" t="str">
        <f>IF(ISNUMBER(outYear),IVE37+IVE42+#REF!+IVE59,"")</f>
        <v/>
      </c>
      <c r="IVF62" s="87" t="str">
        <f>IF(ISNUMBER(outYear),IVF37+IVF42+#REF!+IVF59,"")</f>
        <v/>
      </c>
      <c r="IVG62" s="87" t="str">
        <f>IF(ISNUMBER(outYear),IVG37+IVG42+#REF!+IVG59,"")</f>
        <v/>
      </c>
      <c r="IVH62" s="87" t="str">
        <f>IF(ISNUMBER(outYear),IVH37+IVH42+#REF!+IVH59,"")</f>
        <v/>
      </c>
      <c r="IVI62" s="87" t="str">
        <f>IF(ISNUMBER(outYear),IVI37+IVI42+#REF!+IVI59,"")</f>
        <v/>
      </c>
      <c r="IVJ62" s="87" t="str">
        <f>IF(ISNUMBER(outYear),IVJ37+IVJ42+#REF!+IVJ59,"")</f>
        <v/>
      </c>
      <c r="IVK62" s="87" t="str">
        <f>IF(ISNUMBER(outYear),IVK37+IVK42+#REF!+IVK59,"")</f>
        <v/>
      </c>
      <c r="IVL62" s="87" t="str">
        <f>IF(ISNUMBER(outYear),IVL37+IVL42+#REF!+IVL59,"")</f>
        <v/>
      </c>
      <c r="IVM62" s="87" t="str">
        <f>IF(ISNUMBER(outYear),IVM37+IVM42+#REF!+IVM59,"")</f>
        <v/>
      </c>
      <c r="IVN62" s="87" t="str">
        <f>IF(ISNUMBER(outYear),IVN37+IVN42+#REF!+IVN59,"")</f>
        <v/>
      </c>
      <c r="IVO62" s="87" t="str">
        <f>IF(ISNUMBER(outYear),IVO37+IVO42+#REF!+IVO59,"")</f>
        <v/>
      </c>
      <c r="IVP62" s="87" t="str">
        <f>IF(ISNUMBER(outYear),IVP37+IVP42+#REF!+IVP59,"")</f>
        <v/>
      </c>
      <c r="IVQ62" s="87" t="str">
        <f>IF(ISNUMBER(outYear),IVQ37+IVQ42+#REF!+IVQ59,"")</f>
        <v/>
      </c>
      <c r="IVR62" s="87" t="str">
        <f>IF(ISNUMBER(outYear),IVR37+IVR42+#REF!+IVR59,"")</f>
        <v/>
      </c>
      <c r="IVS62" s="87" t="str">
        <f>IF(ISNUMBER(outYear),IVS37+IVS42+#REF!+IVS59,"")</f>
        <v/>
      </c>
      <c r="IVT62" s="87" t="str">
        <f>IF(ISNUMBER(outYear),IVT37+IVT42+#REF!+IVT59,"")</f>
        <v/>
      </c>
      <c r="IVU62" s="87" t="str">
        <f>IF(ISNUMBER(outYear),IVU37+IVU42+#REF!+IVU59,"")</f>
        <v/>
      </c>
      <c r="IVV62" s="87" t="str">
        <f>IF(ISNUMBER(outYear),IVV37+IVV42+#REF!+IVV59,"")</f>
        <v/>
      </c>
      <c r="IVW62" s="87" t="str">
        <f>IF(ISNUMBER(outYear),IVW37+IVW42+#REF!+IVW59,"")</f>
        <v/>
      </c>
      <c r="IVX62" s="87" t="str">
        <f>IF(ISNUMBER(outYear),IVX37+IVX42+#REF!+IVX59,"")</f>
        <v/>
      </c>
      <c r="IVY62" s="87" t="str">
        <f>IF(ISNUMBER(outYear),IVY37+IVY42+#REF!+IVY59,"")</f>
        <v/>
      </c>
      <c r="IVZ62" s="87" t="str">
        <f>IF(ISNUMBER(outYear),IVZ37+IVZ42+#REF!+IVZ59,"")</f>
        <v/>
      </c>
      <c r="IWA62" s="87" t="str">
        <f>IF(ISNUMBER(outYear),IWA37+IWA42+#REF!+IWA59,"")</f>
        <v/>
      </c>
      <c r="IWB62" s="87" t="str">
        <f>IF(ISNUMBER(outYear),IWB37+IWB42+#REF!+IWB59,"")</f>
        <v/>
      </c>
      <c r="IWC62" s="87" t="str">
        <f>IF(ISNUMBER(outYear),IWC37+IWC42+#REF!+IWC59,"")</f>
        <v/>
      </c>
      <c r="IWD62" s="87" t="str">
        <f>IF(ISNUMBER(outYear),IWD37+IWD42+#REF!+IWD59,"")</f>
        <v/>
      </c>
      <c r="IWE62" s="87" t="str">
        <f>IF(ISNUMBER(outYear),IWE37+IWE42+#REF!+IWE59,"")</f>
        <v/>
      </c>
      <c r="IWF62" s="87" t="str">
        <f>IF(ISNUMBER(outYear),IWF37+IWF42+#REF!+IWF59,"")</f>
        <v/>
      </c>
      <c r="IWG62" s="87" t="str">
        <f>IF(ISNUMBER(outYear),IWG37+IWG42+#REF!+IWG59,"")</f>
        <v/>
      </c>
      <c r="IWH62" s="87" t="str">
        <f>IF(ISNUMBER(outYear),IWH37+IWH42+#REF!+IWH59,"")</f>
        <v/>
      </c>
      <c r="IWI62" s="87" t="str">
        <f>IF(ISNUMBER(outYear),IWI37+IWI42+#REF!+IWI59,"")</f>
        <v/>
      </c>
      <c r="IWJ62" s="87" t="str">
        <f>IF(ISNUMBER(outYear),IWJ37+IWJ42+#REF!+IWJ59,"")</f>
        <v/>
      </c>
      <c r="IWK62" s="87" t="str">
        <f>IF(ISNUMBER(outYear),IWK37+IWK42+#REF!+IWK59,"")</f>
        <v/>
      </c>
      <c r="IWL62" s="87" t="str">
        <f>IF(ISNUMBER(outYear),IWL37+IWL42+#REF!+IWL59,"")</f>
        <v/>
      </c>
      <c r="IWM62" s="87" t="str">
        <f>IF(ISNUMBER(outYear),IWM37+IWM42+#REF!+IWM59,"")</f>
        <v/>
      </c>
      <c r="IWN62" s="87" t="str">
        <f>IF(ISNUMBER(outYear),IWN37+IWN42+#REF!+IWN59,"")</f>
        <v/>
      </c>
      <c r="IWO62" s="87" t="str">
        <f>IF(ISNUMBER(outYear),IWO37+IWO42+#REF!+IWO59,"")</f>
        <v/>
      </c>
      <c r="IWP62" s="87" t="str">
        <f>IF(ISNUMBER(outYear),IWP37+IWP42+#REF!+IWP59,"")</f>
        <v/>
      </c>
      <c r="IWQ62" s="87" t="str">
        <f>IF(ISNUMBER(outYear),IWQ37+IWQ42+#REF!+IWQ59,"")</f>
        <v/>
      </c>
      <c r="IWR62" s="87" t="str">
        <f>IF(ISNUMBER(outYear),IWR37+IWR42+#REF!+IWR59,"")</f>
        <v/>
      </c>
      <c r="IWS62" s="87" t="str">
        <f>IF(ISNUMBER(outYear),IWS37+IWS42+#REF!+IWS59,"")</f>
        <v/>
      </c>
      <c r="IWT62" s="87" t="str">
        <f>IF(ISNUMBER(outYear),IWT37+IWT42+#REF!+IWT59,"")</f>
        <v/>
      </c>
      <c r="IWU62" s="87" t="str">
        <f>IF(ISNUMBER(outYear),IWU37+IWU42+#REF!+IWU59,"")</f>
        <v/>
      </c>
      <c r="IWV62" s="87" t="str">
        <f>IF(ISNUMBER(outYear),IWV37+IWV42+#REF!+IWV59,"")</f>
        <v/>
      </c>
      <c r="IWW62" s="87" t="str">
        <f>IF(ISNUMBER(outYear),IWW37+IWW42+#REF!+IWW59,"")</f>
        <v/>
      </c>
      <c r="IWX62" s="87" t="str">
        <f>IF(ISNUMBER(outYear),IWX37+IWX42+#REF!+IWX59,"")</f>
        <v/>
      </c>
      <c r="IWY62" s="87" t="str">
        <f>IF(ISNUMBER(outYear),IWY37+IWY42+#REF!+IWY59,"")</f>
        <v/>
      </c>
      <c r="IWZ62" s="87" t="str">
        <f>IF(ISNUMBER(outYear),IWZ37+IWZ42+#REF!+IWZ59,"")</f>
        <v/>
      </c>
      <c r="IXA62" s="87" t="str">
        <f>IF(ISNUMBER(outYear),IXA37+IXA42+#REF!+IXA59,"")</f>
        <v/>
      </c>
      <c r="IXB62" s="87" t="str">
        <f>IF(ISNUMBER(outYear),IXB37+IXB42+#REF!+IXB59,"")</f>
        <v/>
      </c>
      <c r="IXC62" s="87" t="str">
        <f>IF(ISNUMBER(outYear),IXC37+IXC42+#REF!+IXC59,"")</f>
        <v/>
      </c>
      <c r="IXD62" s="87" t="str">
        <f>IF(ISNUMBER(outYear),IXD37+IXD42+#REF!+IXD59,"")</f>
        <v/>
      </c>
      <c r="IXE62" s="87" t="str">
        <f>IF(ISNUMBER(outYear),IXE37+IXE42+#REF!+IXE59,"")</f>
        <v/>
      </c>
      <c r="IXF62" s="87" t="str">
        <f>IF(ISNUMBER(outYear),IXF37+IXF42+#REF!+IXF59,"")</f>
        <v/>
      </c>
      <c r="IXG62" s="87" t="str">
        <f>IF(ISNUMBER(outYear),IXG37+IXG42+#REF!+IXG59,"")</f>
        <v/>
      </c>
      <c r="IXH62" s="87" t="str">
        <f>IF(ISNUMBER(outYear),IXH37+IXH42+#REF!+IXH59,"")</f>
        <v/>
      </c>
      <c r="IXI62" s="87" t="str">
        <f>IF(ISNUMBER(outYear),IXI37+IXI42+#REF!+IXI59,"")</f>
        <v/>
      </c>
      <c r="IXJ62" s="87" t="str">
        <f>IF(ISNUMBER(outYear),IXJ37+IXJ42+#REF!+IXJ59,"")</f>
        <v/>
      </c>
      <c r="IXK62" s="87" t="str">
        <f>IF(ISNUMBER(outYear),IXK37+IXK42+#REF!+IXK59,"")</f>
        <v/>
      </c>
      <c r="IXL62" s="87" t="str">
        <f>IF(ISNUMBER(outYear),IXL37+IXL42+#REF!+IXL59,"")</f>
        <v/>
      </c>
      <c r="IXM62" s="87" t="str">
        <f>IF(ISNUMBER(outYear),IXM37+IXM42+#REF!+IXM59,"")</f>
        <v/>
      </c>
      <c r="IXN62" s="87" t="str">
        <f>IF(ISNUMBER(outYear),IXN37+IXN42+#REF!+IXN59,"")</f>
        <v/>
      </c>
      <c r="IXO62" s="87" t="str">
        <f>IF(ISNUMBER(outYear),IXO37+IXO42+#REF!+IXO59,"")</f>
        <v/>
      </c>
      <c r="IXP62" s="87" t="str">
        <f>IF(ISNUMBER(outYear),IXP37+IXP42+#REF!+IXP59,"")</f>
        <v/>
      </c>
      <c r="IXQ62" s="87" t="str">
        <f>IF(ISNUMBER(outYear),IXQ37+IXQ42+#REF!+IXQ59,"")</f>
        <v/>
      </c>
      <c r="IXR62" s="87" t="str">
        <f>IF(ISNUMBER(outYear),IXR37+IXR42+#REF!+IXR59,"")</f>
        <v/>
      </c>
      <c r="IXS62" s="87" t="str">
        <f>IF(ISNUMBER(outYear),IXS37+IXS42+#REF!+IXS59,"")</f>
        <v/>
      </c>
      <c r="IXT62" s="87" t="str">
        <f>IF(ISNUMBER(outYear),IXT37+IXT42+#REF!+IXT59,"")</f>
        <v/>
      </c>
      <c r="IXU62" s="87" t="str">
        <f>IF(ISNUMBER(outYear),IXU37+IXU42+#REF!+IXU59,"")</f>
        <v/>
      </c>
      <c r="IXV62" s="87" t="str">
        <f>IF(ISNUMBER(outYear),IXV37+IXV42+#REF!+IXV59,"")</f>
        <v/>
      </c>
      <c r="IXW62" s="87" t="str">
        <f>IF(ISNUMBER(outYear),IXW37+IXW42+#REF!+IXW59,"")</f>
        <v/>
      </c>
      <c r="IXX62" s="87" t="str">
        <f>IF(ISNUMBER(outYear),IXX37+IXX42+#REF!+IXX59,"")</f>
        <v/>
      </c>
      <c r="IXY62" s="87" t="str">
        <f>IF(ISNUMBER(outYear),IXY37+IXY42+#REF!+IXY59,"")</f>
        <v/>
      </c>
      <c r="IXZ62" s="87" t="str">
        <f>IF(ISNUMBER(outYear),IXZ37+IXZ42+#REF!+IXZ59,"")</f>
        <v/>
      </c>
      <c r="IYA62" s="87" t="str">
        <f>IF(ISNUMBER(outYear),IYA37+IYA42+#REF!+IYA59,"")</f>
        <v/>
      </c>
      <c r="IYB62" s="87" t="str">
        <f>IF(ISNUMBER(outYear),IYB37+IYB42+#REF!+IYB59,"")</f>
        <v/>
      </c>
      <c r="IYC62" s="87" t="str">
        <f>IF(ISNUMBER(outYear),IYC37+IYC42+#REF!+IYC59,"")</f>
        <v/>
      </c>
      <c r="IYD62" s="87" t="str">
        <f>IF(ISNUMBER(outYear),IYD37+IYD42+#REF!+IYD59,"")</f>
        <v/>
      </c>
      <c r="IYE62" s="87" t="str">
        <f>IF(ISNUMBER(outYear),IYE37+IYE42+#REF!+IYE59,"")</f>
        <v/>
      </c>
      <c r="IYF62" s="87" t="str">
        <f>IF(ISNUMBER(outYear),IYF37+IYF42+#REF!+IYF59,"")</f>
        <v/>
      </c>
      <c r="IYG62" s="87" t="str">
        <f>IF(ISNUMBER(outYear),IYG37+IYG42+#REF!+IYG59,"")</f>
        <v/>
      </c>
      <c r="IYH62" s="87" t="str">
        <f>IF(ISNUMBER(outYear),IYH37+IYH42+#REF!+IYH59,"")</f>
        <v/>
      </c>
      <c r="IYI62" s="87" t="str">
        <f>IF(ISNUMBER(outYear),IYI37+IYI42+#REF!+IYI59,"")</f>
        <v/>
      </c>
      <c r="IYJ62" s="87" t="str">
        <f>IF(ISNUMBER(outYear),IYJ37+IYJ42+#REF!+IYJ59,"")</f>
        <v/>
      </c>
      <c r="IYK62" s="87" t="str">
        <f>IF(ISNUMBER(outYear),IYK37+IYK42+#REF!+IYK59,"")</f>
        <v/>
      </c>
      <c r="IYL62" s="87" t="str">
        <f>IF(ISNUMBER(outYear),IYL37+IYL42+#REF!+IYL59,"")</f>
        <v/>
      </c>
      <c r="IYM62" s="87" t="str">
        <f>IF(ISNUMBER(outYear),IYM37+IYM42+#REF!+IYM59,"")</f>
        <v/>
      </c>
      <c r="IYN62" s="87" t="str">
        <f>IF(ISNUMBER(outYear),IYN37+IYN42+#REF!+IYN59,"")</f>
        <v/>
      </c>
      <c r="IYO62" s="87" t="str">
        <f>IF(ISNUMBER(outYear),IYO37+IYO42+#REF!+IYO59,"")</f>
        <v/>
      </c>
      <c r="IYP62" s="87" t="str">
        <f>IF(ISNUMBER(outYear),IYP37+IYP42+#REF!+IYP59,"")</f>
        <v/>
      </c>
      <c r="IYQ62" s="87" t="str">
        <f>IF(ISNUMBER(outYear),IYQ37+IYQ42+#REF!+IYQ59,"")</f>
        <v/>
      </c>
      <c r="IYR62" s="87" t="str">
        <f>IF(ISNUMBER(outYear),IYR37+IYR42+#REF!+IYR59,"")</f>
        <v/>
      </c>
      <c r="IYS62" s="87" t="str">
        <f>IF(ISNUMBER(outYear),IYS37+IYS42+#REF!+IYS59,"")</f>
        <v/>
      </c>
      <c r="IYT62" s="87" t="str">
        <f>IF(ISNUMBER(outYear),IYT37+IYT42+#REF!+IYT59,"")</f>
        <v/>
      </c>
      <c r="IYU62" s="87" t="str">
        <f>IF(ISNUMBER(outYear),IYU37+IYU42+#REF!+IYU59,"")</f>
        <v/>
      </c>
      <c r="IYV62" s="87" t="str">
        <f>IF(ISNUMBER(outYear),IYV37+IYV42+#REF!+IYV59,"")</f>
        <v/>
      </c>
      <c r="IYW62" s="87" t="str">
        <f>IF(ISNUMBER(outYear),IYW37+IYW42+#REF!+IYW59,"")</f>
        <v/>
      </c>
      <c r="IYX62" s="87" t="str">
        <f>IF(ISNUMBER(outYear),IYX37+IYX42+#REF!+IYX59,"")</f>
        <v/>
      </c>
      <c r="IYY62" s="87" t="str">
        <f>IF(ISNUMBER(outYear),IYY37+IYY42+#REF!+IYY59,"")</f>
        <v/>
      </c>
      <c r="IYZ62" s="87" t="str">
        <f>IF(ISNUMBER(outYear),IYZ37+IYZ42+#REF!+IYZ59,"")</f>
        <v/>
      </c>
      <c r="IZA62" s="87" t="str">
        <f>IF(ISNUMBER(outYear),IZA37+IZA42+#REF!+IZA59,"")</f>
        <v/>
      </c>
      <c r="IZB62" s="87" t="str">
        <f>IF(ISNUMBER(outYear),IZB37+IZB42+#REF!+IZB59,"")</f>
        <v/>
      </c>
      <c r="IZC62" s="87" t="str">
        <f>IF(ISNUMBER(outYear),IZC37+IZC42+#REF!+IZC59,"")</f>
        <v/>
      </c>
      <c r="IZD62" s="87" t="str">
        <f>IF(ISNUMBER(outYear),IZD37+IZD42+#REF!+IZD59,"")</f>
        <v/>
      </c>
      <c r="IZE62" s="87" t="str">
        <f>IF(ISNUMBER(outYear),IZE37+IZE42+#REF!+IZE59,"")</f>
        <v/>
      </c>
      <c r="IZF62" s="87" t="str">
        <f>IF(ISNUMBER(outYear),IZF37+IZF42+#REF!+IZF59,"")</f>
        <v/>
      </c>
      <c r="IZG62" s="87" t="str">
        <f>IF(ISNUMBER(outYear),IZG37+IZG42+#REF!+IZG59,"")</f>
        <v/>
      </c>
      <c r="IZH62" s="87" t="str">
        <f>IF(ISNUMBER(outYear),IZH37+IZH42+#REF!+IZH59,"")</f>
        <v/>
      </c>
      <c r="IZI62" s="87" t="str">
        <f>IF(ISNUMBER(outYear),IZI37+IZI42+#REF!+IZI59,"")</f>
        <v/>
      </c>
      <c r="IZJ62" s="87" t="str">
        <f>IF(ISNUMBER(outYear),IZJ37+IZJ42+#REF!+IZJ59,"")</f>
        <v/>
      </c>
      <c r="IZK62" s="87" t="str">
        <f>IF(ISNUMBER(outYear),IZK37+IZK42+#REF!+IZK59,"")</f>
        <v/>
      </c>
      <c r="IZL62" s="87" t="str">
        <f>IF(ISNUMBER(outYear),IZL37+IZL42+#REF!+IZL59,"")</f>
        <v/>
      </c>
      <c r="IZM62" s="87" t="str">
        <f>IF(ISNUMBER(outYear),IZM37+IZM42+#REF!+IZM59,"")</f>
        <v/>
      </c>
      <c r="IZN62" s="87" t="str">
        <f>IF(ISNUMBER(outYear),IZN37+IZN42+#REF!+IZN59,"")</f>
        <v/>
      </c>
      <c r="IZO62" s="87" t="str">
        <f>IF(ISNUMBER(outYear),IZO37+IZO42+#REF!+IZO59,"")</f>
        <v/>
      </c>
      <c r="IZP62" s="87" t="str">
        <f>IF(ISNUMBER(outYear),IZP37+IZP42+#REF!+IZP59,"")</f>
        <v/>
      </c>
      <c r="IZQ62" s="87" t="str">
        <f>IF(ISNUMBER(outYear),IZQ37+IZQ42+#REF!+IZQ59,"")</f>
        <v/>
      </c>
      <c r="IZR62" s="87" t="str">
        <f>IF(ISNUMBER(outYear),IZR37+IZR42+#REF!+IZR59,"")</f>
        <v/>
      </c>
      <c r="IZS62" s="87" t="str">
        <f>IF(ISNUMBER(outYear),IZS37+IZS42+#REF!+IZS59,"")</f>
        <v/>
      </c>
      <c r="IZT62" s="87" t="str">
        <f>IF(ISNUMBER(outYear),IZT37+IZT42+#REF!+IZT59,"")</f>
        <v/>
      </c>
      <c r="IZU62" s="87" t="str">
        <f>IF(ISNUMBER(outYear),IZU37+IZU42+#REF!+IZU59,"")</f>
        <v/>
      </c>
      <c r="IZV62" s="87" t="str">
        <f>IF(ISNUMBER(outYear),IZV37+IZV42+#REF!+IZV59,"")</f>
        <v/>
      </c>
      <c r="IZW62" s="87" t="str">
        <f>IF(ISNUMBER(outYear),IZW37+IZW42+#REF!+IZW59,"")</f>
        <v/>
      </c>
      <c r="IZX62" s="87" t="str">
        <f>IF(ISNUMBER(outYear),IZX37+IZX42+#REF!+IZX59,"")</f>
        <v/>
      </c>
      <c r="IZY62" s="87" t="str">
        <f>IF(ISNUMBER(outYear),IZY37+IZY42+#REF!+IZY59,"")</f>
        <v/>
      </c>
      <c r="IZZ62" s="87" t="str">
        <f>IF(ISNUMBER(outYear),IZZ37+IZZ42+#REF!+IZZ59,"")</f>
        <v/>
      </c>
      <c r="JAA62" s="87" t="str">
        <f>IF(ISNUMBER(outYear),JAA37+JAA42+#REF!+JAA59,"")</f>
        <v/>
      </c>
      <c r="JAB62" s="87" t="str">
        <f>IF(ISNUMBER(outYear),JAB37+JAB42+#REF!+JAB59,"")</f>
        <v/>
      </c>
      <c r="JAC62" s="87" t="str">
        <f>IF(ISNUMBER(outYear),JAC37+JAC42+#REF!+JAC59,"")</f>
        <v/>
      </c>
      <c r="JAD62" s="87" t="str">
        <f>IF(ISNUMBER(outYear),JAD37+JAD42+#REF!+JAD59,"")</f>
        <v/>
      </c>
      <c r="JAE62" s="87" t="str">
        <f>IF(ISNUMBER(outYear),JAE37+JAE42+#REF!+JAE59,"")</f>
        <v/>
      </c>
      <c r="JAF62" s="87" t="str">
        <f>IF(ISNUMBER(outYear),JAF37+JAF42+#REF!+JAF59,"")</f>
        <v/>
      </c>
      <c r="JAG62" s="87" t="str">
        <f>IF(ISNUMBER(outYear),JAG37+JAG42+#REF!+JAG59,"")</f>
        <v/>
      </c>
      <c r="JAH62" s="87" t="str">
        <f>IF(ISNUMBER(outYear),JAH37+JAH42+#REF!+JAH59,"")</f>
        <v/>
      </c>
      <c r="JAI62" s="87" t="str">
        <f>IF(ISNUMBER(outYear),JAI37+JAI42+#REF!+JAI59,"")</f>
        <v/>
      </c>
      <c r="JAJ62" s="87" t="str">
        <f>IF(ISNUMBER(outYear),JAJ37+JAJ42+#REF!+JAJ59,"")</f>
        <v/>
      </c>
      <c r="JAK62" s="87" t="str">
        <f>IF(ISNUMBER(outYear),JAK37+JAK42+#REF!+JAK59,"")</f>
        <v/>
      </c>
      <c r="JAL62" s="87" t="str">
        <f>IF(ISNUMBER(outYear),JAL37+JAL42+#REF!+JAL59,"")</f>
        <v/>
      </c>
      <c r="JAM62" s="87" t="str">
        <f>IF(ISNUMBER(outYear),JAM37+JAM42+#REF!+JAM59,"")</f>
        <v/>
      </c>
      <c r="JAN62" s="87" t="str">
        <f>IF(ISNUMBER(outYear),JAN37+JAN42+#REF!+JAN59,"")</f>
        <v/>
      </c>
      <c r="JAO62" s="87" t="str">
        <f>IF(ISNUMBER(outYear),JAO37+JAO42+#REF!+JAO59,"")</f>
        <v/>
      </c>
      <c r="JAP62" s="87" t="str">
        <f>IF(ISNUMBER(outYear),JAP37+JAP42+#REF!+JAP59,"")</f>
        <v/>
      </c>
      <c r="JAQ62" s="87" t="str">
        <f>IF(ISNUMBER(outYear),JAQ37+JAQ42+#REF!+JAQ59,"")</f>
        <v/>
      </c>
      <c r="JAR62" s="87" t="str">
        <f>IF(ISNUMBER(outYear),JAR37+JAR42+#REF!+JAR59,"")</f>
        <v/>
      </c>
      <c r="JAS62" s="87" t="str">
        <f>IF(ISNUMBER(outYear),JAS37+JAS42+#REF!+JAS59,"")</f>
        <v/>
      </c>
      <c r="JAT62" s="87" t="str">
        <f>IF(ISNUMBER(outYear),JAT37+JAT42+#REF!+JAT59,"")</f>
        <v/>
      </c>
      <c r="JAU62" s="87" t="str">
        <f>IF(ISNUMBER(outYear),JAU37+JAU42+#REF!+JAU59,"")</f>
        <v/>
      </c>
      <c r="JAV62" s="87" t="str">
        <f>IF(ISNUMBER(outYear),JAV37+JAV42+#REF!+JAV59,"")</f>
        <v/>
      </c>
      <c r="JAW62" s="87" t="str">
        <f>IF(ISNUMBER(outYear),JAW37+JAW42+#REF!+JAW59,"")</f>
        <v/>
      </c>
      <c r="JAX62" s="87" t="str">
        <f>IF(ISNUMBER(outYear),JAX37+JAX42+#REF!+JAX59,"")</f>
        <v/>
      </c>
      <c r="JAY62" s="87" t="str">
        <f>IF(ISNUMBER(outYear),JAY37+JAY42+#REF!+JAY59,"")</f>
        <v/>
      </c>
      <c r="JAZ62" s="87" t="str">
        <f>IF(ISNUMBER(outYear),JAZ37+JAZ42+#REF!+JAZ59,"")</f>
        <v/>
      </c>
      <c r="JBA62" s="87" t="str">
        <f>IF(ISNUMBER(outYear),JBA37+JBA42+#REF!+JBA59,"")</f>
        <v/>
      </c>
      <c r="JBB62" s="87" t="str">
        <f>IF(ISNUMBER(outYear),JBB37+JBB42+#REF!+JBB59,"")</f>
        <v/>
      </c>
      <c r="JBC62" s="87" t="str">
        <f>IF(ISNUMBER(outYear),JBC37+JBC42+#REF!+JBC59,"")</f>
        <v/>
      </c>
      <c r="JBD62" s="87" t="str">
        <f>IF(ISNUMBER(outYear),JBD37+JBD42+#REF!+JBD59,"")</f>
        <v/>
      </c>
      <c r="JBE62" s="87" t="str">
        <f>IF(ISNUMBER(outYear),JBE37+JBE42+#REF!+JBE59,"")</f>
        <v/>
      </c>
      <c r="JBF62" s="87" t="str">
        <f>IF(ISNUMBER(outYear),JBF37+JBF42+#REF!+JBF59,"")</f>
        <v/>
      </c>
      <c r="JBG62" s="87" t="str">
        <f>IF(ISNUMBER(outYear),JBG37+JBG42+#REF!+JBG59,"")</f>
        <v/>
      </c>
      <c r="JBH62" s="87" t="str">
        <f>IF(ISNUMBER(outYear),JBH37+JBH42+#REF!+JBH59,"")</f>
        <v/>
      </c>
      <c r="JBI62" s="87" t="str">
        <f>IF(ISNUMBER(outYear),JBI37+JBI42+#REF!+JBI59,"")</f>
        <v/>
      </c>
      <c r="JBJ62" s="87" t="str">
        <f>IF(ISNUMBER(outYear),JBJ37+JBJ42+#REF!+JBJ59,"")</f>
        <v/>
      </c>
      <c r="JBK62" s="87" t="str">
        <f>IF(ISNUMBER(outYear),JBK37+JBK42+#REF!+JBK59,"")</f>
        <v/>
      </c>
      <c r="JBL62" s="87" t="str">
        <f>IF(ISNUMBER(outYear),JBL37+JBL42+#REF!+JBL59,"")</f>
        <v/>
      </c>
      <c r="JBM62" s="87" t="str">
        <f>IF(ISNUMBER(outYear),JBM37+JBM42+#REF!+JBM59,"")</f>
        <v/>
      </c>
      <c r="JBN62" s="87" t="str">
        <f>IF(ISNUMBER(outYear),JBN37+JBN42+#REF!+JBN59,"")</f>
        <v/>
      </c>
      <c r="JBO62" s="87" t="str">
        <f>IF(ISNUMBER(outYear),JBO37+JBO42+#REF!+JBO59,"")</f>
        <v/>
      </c>
      <c r="JBP62" s="87" t="str">
        <f>IF(ISNUMBER(outYear),JBP37+JBP42+#REF!+JBP59,"")</f>
        <v/>
      </c>
      <c r="JBQ62" s="87" t="str">
        <f>IF(ISNUMBER(outYear),JBQ37+JBQ42+#REF!+JBQ59,"")</f>
        <v/>
      </c>
      <c r="JBR62" s="87" t="str">
        <f>IF(ISNUMBER(outYear),JBR37+JBR42+#REF!+JBR59,"")</f>
        <v/>
      </c>
      <c r="JBS62" s="87" t="str">
        <f>IF(ISNUMBER(outYear),JBS37+JBS42+#REF!+JBS59,"")</f>
        <v/>
      </c>
      <c r="JBT62" s="87" t="str">
        <f>IF(ISNUMBER(outYear),JBT37+JBT42+#REF!+JBT59,"")</f>
        <v/>
      </c>
      <c r="JBU62" s="87" t="str">
        <f>IF(ISNUMBER(outYear),JBU37+JBU42+#REF!+JBU59,"")</f>
        <v/>
      </c>
      <c r="JBV62" s="87" t="str">
        <f>IF(ISNUMBER(outYear),JBV37+JBV42+#REF!+JBV59,"")</f>
        <v/>
      </c>
      <c r="JBW62" s="87" t="str">
        <f>IF(ISNUMBER(outYear),JBW37+JBW42+#REF!+JBW59,"")</f>
        <v/>
      </c>
      <c r="JBX62" s="87" t="str">
        <f>IF(ISNUMBER(outYear),JBX37+JBX42+#REF!+JBX59,"")</f>
        <v/>
      </c>
      <c r="JBY62" s="87" t="str">
        <f>IF(ISNUMBER(outYear),JBY37+JBY42+#REF!+JBY59,"")</f>
        <v/>
      </c>
      <c r="JBZ62" s="87" t="str">
        <f>IF(ISNUMBER(outYear),JBZ37+JBZ42+#REF!+JBZ59,"")</f>
        <v/>
      </c>
      <c r="JCA62" s="87" t="str">
        <f>IF(ISNUMBER(outYear),JCA37+JCA42+#REF!+JCA59,"")</f>
        <v/>
      </c>
      <c r="JCB62" s="87" t="str">
        <f>IF(ISNUMBER(outYear),JCB37+JCB42+#REF!+JCB59,"")</f>
        <v/>
      </c>
      <c r="JCC62" s="87" t="str">
        <f>IF(ISNUMBER(outYear),JCC37+JCC42+#REF!+JCC59,"")</f>
        <v/>
      </c>
      <c r="JCD62" s="87" t="str">
        <f>IF(ISNUMBER(outYear),JCD37+JCD42+#REF!+JCD59,"")</f>
        <v/>
      </c>
      <c r="JCE62" s="87" t="str">
        <f>IF(ISNUMBER(outYear),JCE37+JCE42+#REF!+JCE59,"")</f>
        <v/>
      </c>
      <c r="JCF62" s="87" t="str">
        <f>IF(ISNUMBER(outYear),JCF37+JCF42+#REF!+JCF59,"")</f>
        <v/>
      </c>
      <c r="JCG62" s="87" t="str">
        <f>IF(ISNUMBER(outYear),JCG37+JCG42+#REF!+JCG59,"")</f>
        <v/>
      </c>
      <c r="JCH62" s="87" t="str">
        <f>IF(ISNUMBER(outYear),JCH37+JCH42+#REF!+JCH59,"")</f>
        <v/>
      </c>
      <c r="JCI62" s="87" t="str">
        <f>IF(ISNUMBER(outYear),JCI37+JCI42+#REF!+JCI59,"")</f>
        <v/>
      </c>
      <c r="JCJ62" s="87" t="str">
        <f>IF(ISNUMBER(outYear),JCJ37+JCJ42+#REF!+JCJ59,"")</f>
        <v/>
      </c>
      <c r="JCK62" s="87" t="str">
        <f>IF(ISNUMBER(outYear),JCK37+JCK42+#REF!+JCK59,"")</f>
        <v/>
      </c>
      <c r="JCL62" s="87" t="str">
        <f>IF(ISNUMBER(outYear),JCL37+JCL42+#REF!+JCL59,"")</f>
        <v/>
      </c>
      <c r="JCM62" s="87" t="str">
        <f>IF(ISNUMBER(outYear),JCM37+JCM42+#REF!+JCM59,"")</f>
        <v/>
      </c>
      <c r="JCN62" s="87" t="str">
        <f>IF(ISNUMBER(outYear),JCN37+JCN42+#REF!+JCN59,"")</f>
        <v/>
      </c>
      <c r="JCO62" s="87" t="str">
        <f>IF(ISNUMBER(outYear),JCO37+JCO42+#REF!+JCO59,"")</f>
        <v/>
      </c>
      <c r="JCP62" s="87" t="str">
        <f>IF(ISNUMBER(outYear),JCP37+JCP42+#REF!+JCP59,"")</f>
        <v/>
      </c>
      <c r="JCQ62" s="87" t="str">
        <f>IF(ISNUMBER(outYear),JCQ37+JCQ42+#REF!+JCQ59,"")</f>
        <v/>
      </c>
      <c r="JCR62" s="87" t="str">
        <f>IF(ISNUMBER(outYear),JCR37+JCR42+#REF!+JCR59,"")</f>
        <v/>
      </c>
      <c r="JCS62" s="87" t="str">
        <f>IF(ISNUMBER(outYear),JCS37+JCS42+#REF!+JCS59,"")</f>
        <v/>
      </c>
      <c r="JCT62" s="87" t="str">
        <f>IF(ISNUMBER(outYear),JCT37+JCT42+#REF!+JCT59,"")</f>
        <v/>
      </c>
      <c r="JCU62" s="87" t="str">
        <f>IF(ISNUMBER(outYear),JCU37+JCU42+#REF!+JCU59,"")</f>
        <v/>
      </c>
      <c r="JCV62" s="87" t="str">
        <f>IF(ISNUMBER(outYear),JCV37+JCV42+#REF!+JCV59,"")</f>
        <v/>
      </c>
      <c r="JCW62" s="87" t="str">
        <f>IF(ISNUMBER(outYear),JCW37+JCW42+#REF!+JCW59,"")</f>
        <v/>
      </c>
      <c r="JCX62" s="87" t="str">
        <f>IF(ISNUMBER(outYear),JCX37+JCX42+#REF!+JCX59,"")</f>
        <v/>
      </c>
      <c r="JCY62" s="87" t="str">
        <f>IF(ISNUMBER(outYear),JCY37+JCY42+#REF!+JCY59,"")</f>
        <v/>
      </c>
      <c r="JCZ62" s="87" t="str">
        <f>IF(ISNUMBER(outYear),JCZ37+JCZ42+#REF!+JCZ59,"")</f>
        <v/>
      </c>
      <c r="JDA62" s="87" t="str">
        <f>IF(ISNUMBER(outYear),JDA37+JDA42+#REF!+JDA59,"")</f>
        <v/>
      </c>
      <c r="JDB62" s="87" t="str">
        <f>IF(ISNUMBER(outYear),JDB37+JDB42+#REF!+JDB59,"")</f>
        <v/>
      </c>
      <c r="JDC62" s="87" t="str">
        <f>IF(ISNUMBER(outYear),JDC37+JDC42+#REF!+JDC59,"")</f>
        <v/>
      </c>
      <c r="JDD62" s="87" t="str">
        <f>IF(ISNUMBER(outYear),JDD37+JDD42+#REF!+JDD59,"")</f>
        <v/>
      </c>
      <c r="JDE62" s="87" t="str">
        <f>IF(ISNUMBER(outYear),JDE37+JDE42+#REF!+JDE59,"")</f>
        <v/>
      </c>
      <c r="JDF62" s="87" t="str">
        <f>IF(ISNUMBER(outYear),JDF37+JDF42+#REF!+JDF59,"")</f>
        <v/>
      </c>
      <c r="JDG62" s="87" t="str">
        <f>IF(ISNUMBER(outYear),JDG37+JDG42+#REF!+JDG59,"")</f>
        <v/>
      </c>
      <c r="JDH62" s="87" t="str">
        <f>IF(ISNUMBER(outYear),JDH37+JDH42+#REF!+JDH59,"")</f>
        <v/>
      </c>
      <c r="JDI62" s="87" t="str">
        <f>IF(ISNUMBER(outYear),JDI37+JDI42+#REF!+JDI59,"")</f>
        <v/>
      </c>
      <c r="JDJ62" s="87" t="str">
        <f>IF(ISNUMBER(outYear),JDJ37+JDJ42+#REF!+JDJ59,"")</f>
        <v/>
      </c>
      <c r="JDK62" s="87" t="str">
        <f>IF(ISNUMBER(outYear),JDK37+JDK42+#REF!+JDK59,"")</f>
        <v/>
      </c>
      <c r="JDL62" s="87" t="str">
        <f>IF(ISNUMBER(outYear),JDL37+JDL42+#REF!+JDL59,"")</f>
        <v/>
      </c>
      <c r="JDM62" s="87" t="str">
        <f>IF(ISNUMBER(outYear),JDM37+JDM42+#REF!+JDM59,"")</f>
        <v/>
      </c>
      <c r="JDN62" s="87" t="str">
        <f>IF(ISNUMBER(outYear),JDN37+JDN42+#REF!+JDN59,"")</f>
        <v/>
      </c>
      <c r="JDO62" s="87" t="str">
        <f>IF(ISNUMBER(outYear),JDO37+JDO42+#REF!+JDO59,"")</f>
        <v/>
      </c>
      <c r="JDP62" s="87" t="str">
        <f>IF(ISNUMBER(outYear),JDP37+JDP42+#REF!+JDP59,"")</f>
        <v/>
      </c>
      <c r="JDQ62" s="87" t="str">
        <f>IF(ISNUMBER(outYear),JDQ37+JDQ42+#REF!+JDQ59,"")</f>
        <v/>
      </c>
      <c r="JDR62" s="87" t="str">
        <f>IF(ISNUMBER(outYear),JDR37+JDR42+#REF!+JDR59,"")</f>
        <v/>
      </c>
      <c r="JDS62" s="87" t="str">
        <f>IF(ISNUMBER(outYear),JDS37+JDS42+#REF!+JDS59,"")</f>
        <v/>
      </c>
      <c r="JDT62" s="87" t="str">
        <f>IF(ISNUMBER(outYear),JDT37+JDT42+#REF!+JDT59,"")</f>
        <v/>
      </c>
      <c r="JDU62" s="87" t="str">
        <f>IF(ISNUMBER(outYear),JDU37+JDU42+#REF!+JDU59,"")</f>
        <v/>
      </c>
      <c r="JDV62" s="87" t="str">
        <f>IF(ISNUMBER(outYear),JDV37+JDV42+#REF!+JDV59,"")</f>
        <v/>
      </c>
      <c r="JDW62" s="87" t="str">
        <f>IF(ISNUMBER(outYear),JDW37+JDW42+#REF!+JDW59,"")</f>
        <v/>
      </c>
      <c r="JDX62" s="87" t="str">
        <f>IF(ISNUMBER(outYear),JDX37+JDX42+#REF!+JDX59,"")</f>
        <v/>
      </c>
      <c r="JDY62" s="87" t="str">
        <f>IF(ISNUMBER(outYear),JDY37+JDY42+#REF!+JDY59,"")</f>
        <v/>
      </c>
      <c r="JDZ62" s="87" t="str">
        <f>IF(ISNUMBER(outYear),JDZ37+JDZ42+#REF!+JDZ59,"")</f>
        <v/>
      </c>
      <c r="JEA62" s="87" t="str">
        <f>IF(ISNUMBER(outYear),JEA37+JEA42+#REF!+JEA59,"")</f>
        <v/>
      </c>
      <c r="JEB62" s="87" t="str">
        <f>IF(ISNUMBER(outYear),JEB37+JEB42+#REF!+JEB59,"")</f>
        <v/>
      </c>
      <c r="JEC62" s="87" t="str">
        <f>IF(ISNUMBER(outYear),JEC37+JEC42+#REF!+JEC59,"")</f>
        <v/>
      </c>
      <c r="JED62" s="87" t="str">
        <f>IF(ISNUMBER(outYear),JED37+JED42+#REF!+JED59,"")</f>
        <v/>
      </c>
      <c r="JEE62" s="87" t="str">
        <f>IF(ISNUMBER(outYear),JEE37+JEE42+#REF!+JEE59,"")</f>
        <v/>
      </c>
      <c r="JEF62" s="87" t="str">
        <f>IF(ISNUMBER(outYear),JEF37+JEF42+#REF!+JEF59,"")</f>
        <v/>
      </c>
      <c r="JEG62" s="87" t="str">
        <f>IF(ISNUMBER(outYear),JEG37+JEG42+#REF!+JEG59,"")</f>
        <v/>
      </c>
      <c r="JEH62" s="87" t="str">
        <f>IF(ISNUMBER(outYear),JEH37+JEH42+#REF!+JEH59,"")</f>
        <v/>
      </c>
      <c r="JEI62" s="87" t="str">
        <f>IF(ISNUMBER(outYear),JEI37+JEI42+#REF!+JEI59,"")</f>
        <v/>
      </c>
      <c r="JEJ62" s="87" t="str">
        <f>IF(ISNUMBER(outYear),JEJ37+JEJ42+#REF!+JEJ59,"")</f>
        <v/>
      </c>
      <c r="JEK62" s="87" t="str">
        <f>IF(ISNUMBER(outYear),JEK37+JEK42+#REF!+JEK59,"")</f>
        <v/>
      </c>
      <c r="JEL62" s="87" t="str">
        <f>IF(ISNUMBER(outYear),JEL37+JEL42+#REF!+JEL59,"")</f>
        <v/>
      </c>
      <c r="JEM62" s="87" t="str">
        <f>IF(ISNUMBER(outYear),JEM37+JEM42+#REF!+JEM59,"")</f>
        <v/>
      </c>
      <c r="JEN62" s="87" t="str">
        <f>IF(ISNUMBER(outYear),JEN37+JEN42+#REF!+JEN59,"")</f>
        <v/>
      </c>
      <c r="JEO62" s="87" t="str">
        <f>IF(ISNUMBER(outYear),JEO37+JEO42+#REF!+JEO59,"")</f>
        <v/>
      </c>
      <c r="JEP62" s="87" t="str">
        <f>IF(ISNUMBER(outYear),JEP37+JEP42+#REF!+JEP59,"")</f>
        <v/>
      </c>
      <c r="JEQ62" s="87" t="str">
        <f>IF(ISNUMBER(outYear),JEQ37+JEQ42+#REF!+JEQ59,"")</f>
        <v/>
      </c>
      <c r="JER62" s="87" t="str">
        <f>IF(ISNUMBER(outYear),JER37+JER42+#REF!+JER59,"")</f>
        <v/>
      </c>
      <c r="JES62" s="87" t="str">
        <f>IF(ISNUMBER(outYear),JES37+JES42+#REF!+JES59,"")</f>
        <v/>
      </c>
      <c r="JET62" s="87" t="str">
        <f>IF(ISNUMBER(outYear),JET37+JET42+#REF!+JET59,"")</f>
        <v/>
      </c>
      <c r="JEU62" s="87" t="str">
        <f>IF(ISNUMBER(outYear),JEU37+JEU42+#REF!+JEU59,"")</f>
        <v/>
      </c>
      <c r="JEV62" s="87" t="str">
        <f>IF(ISNUMBER(outYear),JEV37+JEV42+#REF!+JEV59,"")</f>
        <v/>
      </c>
      <c r="JEW62" s="87" t="str">
        <f>IF(ISNUMBER(outYear),JEW37+JEW42+#REF!+JEW59,"")</f>
        <v/>
      </c>
      <c r="JEX62" s="87" t="str">
        <f>IF(ISNUMBER(outYear),JEX37+JEX42+#REF!+JEX59,"")</f>
        <v/>
      </c>
      <c r="JEY62" s="87" t="str">
        <f>IF(ISNUMBER(outYear),JEY37+JEY42+#REF!+JEY59,"")</f>
        <v/>
      </c>
      <c r="JEZ62" s="87" t="str">
        <f>IF(ISNUMBER(outYear),JEZ37+JEZ42+#REF!+JEZ59,"")</f>
        <v/>
      </c>
      <c r="JFA62" s="87" t="str">
        <f>IF(ISNUMBER(outYear),JFA37+JFA42+#REF!+JFA59,"")</f>
        <v/>
      </c>
      <c r="JFB62" s="87" t="str">
        <f>IF(ISNUMBER(outYear),JFB37+JFB42+#REF!+JFB59,"")</f>
        <v/>
      </c>
      <c r="JFC62" s="87" t="str">
        <f>IF(ISNUMBER(outYear),JFC37+JFC42+#REF!+JFC59,"")</f>
        <v/>
      </c>
      <c r="JFD62" s="87" t="str">
        <f>IF(ISNUMBER(outYear),JFD37+JFD42+#REF!+JFD59,"")</f>
        <v/>
      </c>
      <c r="JFE62" s="87" t="str">
        <f>IF(ISNUMBER(outYear),JFE37+JFE42+#REF!+JFE59,"")</f>
        <v/>
      </c>
      <c r="JFF62" s="87" t="str">
        <f>IF(ISNUMBER(outYear),JFF37+JFF42+#REF!+JFF59,"")</f>
        <v/>
      </c>
      <c r="JFG62" s="87" t="str">
        <f>IF(ISNUMBER(outYear),JFG37+JFG42+#REF!+JFG59,"")</f>
        <v/>
      </c>
      <c r="JFH62" s="87" t="str">
        <f>IF(ISNUMBER(outYear),JFH37+JFH42+#REF!+JFH59,"")</f>
        <v/>
      </c>
      <c r="JFI62" s="87" t="str">
        <f>IF(ISNUMBER(outYear),JFI37+JFI42+#REF!+JFI59,"")</f>
        <v/>
      </c>
      <c r="JFJ62" s="87" t="str">
        <f>IF(ISNUMBER(outYear),JFJ37+JFJ42+#REF!+JFJ59,"")</f>
        <v/>
      </c>
      <c r="JFK62" s="87" t="str">
        <f>IF(ISNUMBER(outYear),JFK37+JFK42+#REF!+JFK59,"")</f>
        <v/>
      </c>
      <c r="JFL62" s="87" t="str">
        <f>IF(ISNUMBER(outYear),JFL37+JFL42+#REF!+JFL59,"")</f>
        <v/>
      </c>
      <c r="JFM62" s="87" t="str">
        <f>IF(ISNUMBER(outYear),JFM37+JFM42+#REF!+JFM59,"")</f>
        <v/>
      </c>
      <c r="JFN62" s="87" t="str">
        <f>IF(ISNUMBER(outYear),JFN37+JFN42+#REF!+JFN59,"")</f>
        <v/>
      </c>
      <c r="JFO62" s="87" t="str">
        <f>IF(ISNUMBER(outYear),JFO37+JFO42+#REF!+JFO59,"")</f>
        <v/>
      </c>
      <c r="JFP62" s="87" t="str">
        <f>IF(ISNUMBER(outYear),JFP37+JFP42+#REF!+JFP59,"")</f>
        <v/>
      </c>
      <c r="JFQ62" s="87" t="str">
        <f>IF(ISNUMBER(outYear),JFQ37+JFQ42+#REF!+JFQ59,"")</f>
        <v/>
      </c>
      <c r="JFR62" s="87" t="str">
        <f>IF(ISNUMBER(outYear),JFR37+JFR42+#REF!+JFR59,"")</f>
        <v/>
      </c>
      <c r="JFS62" s="87" t="str">
        <f>IF(ISNUMBER(outYear),JFS37+JFS42+#REF!+JFS59,"")</f>
        <v/>
      </c>
      <c r="JFT62" s="87" t="str">
        <f>IF(ISNUMBER(outYear),JFT37+JFT42+#REF!+JFT59,"")</f>
        <v/>
      </c>
      <c r="JFU62" s="87" t="str">
        <f>IF(ISNUMBER(outYear),JFU37+JFU42+#REF!+JFU59,"")</f>
        <v/>
      </c>
      <c r="JFV62" s="87" t="str">
        <f>IF(ISNUMBER(outYear),JFV37+JFV42+#REF!+JFV59,"")</f>
        <v/>
      </c>
      <c r="JFW62" s="87" t="str">
        <f>IF(ISNUMBER(outYear),JFW37+JFW42+#REF!+JFW59,"")</f>
        <v/>
      </c>
      <c r="JFX62" s="87" t="str">
        <f>IF(ISNUMBER(outYear),JFX37+JFX42+#REF!+JFX59,"")</f>
        <v/>
      </c>
      <c r="JFY62" s="87" t="str">
        <f>IF(ISNUMBER(outYear),JFY37+JFY42+#REF!+JFY59,"")</f>
        <v/>
      </c>
      <c r="JFZ62" s="87" t="str">
        <f>IF(ISNUMBER(outYear),JFZ37+JFZ42+#REF!+JFZ59,"")</f>
        <v/>
      </c>
      <c r="JGA62" s="87" t="str">
        <f>IF(ISNUMBER(outYear),JGA37+JGA42+#REF!+JGA59,"")</f>
        <v/>
      </c>
      <c r="JGB62" s="87" t="str">
        <f>IF(ISNUMBER(outYear),JGB37+JGB42+#REF!+JGB59,"")</f>
        <v/>
      </c>
      <c r="JGC62" s="87" t="str">
        <f>IF(ISNUMBER(outYear),JGC37+JGC42+#REF!+JGC59,"")</f>
        <v/>
      </c>
      <c r="JGD62" s="87" t="str">
        <f>IF(ISNUMBER(outYear),JGD37+JGD42+#REF!+JGD59,"")</f>
        <v/>
      </c>
      <c r="JGE62" s="87" t="str">
        <f>IF(ISNUMBER(outYear),JGE37+JGE42+#REF!+JGE59,"")</f>
        <v/>
      </c>
      <c r="JGF62" s="87" t="str">
        <f>IF(ISNUMBER(outYear),JGF37+JGF42+#REF!+JGF59,"")</f>
        <v/>
      </c>
      <c r="JGG62" s="87" t="str">
        <f>IF(ISNUMBER(outYear),JGG37+JGG42+#REF!+JGG59,"")</f>
        <v/>
      </c>
      <c r="JGH62" s="87" t="str">
        <f>IF(ISNUMBER(outYear),JGH37+JGH42+#REF!+JGH59,"")</f>
        <v/>
      </c>
      <c r="JGI62" s="87" t="str">
        <f>IF(ISNUMBER(outYear),JGI37+JGI42+#REF!+JGI59,"")</f>
        <v/>
      </c>
      <c r="JGJ62" s="87" t="str">
        <f>IF(ISNUMBER(outYear),JGJ37+JGJ42+#REF!+JGJ59,"")</f>
        <v/>
      </c>
      <c r="JGK62" s="87" t="str">
        <f>IF(ISNUMBER(outYear),JGK37+JGK42+#REF!+JGK59,"")</f>
        <v/>
      </c>
      <c r="JGL62" s="87" t="str">
        <f>IF(ISNUMBER(outYear),JGL37+JGL42+#REF!+JGL59,"")</f>
        <v/>
      </c>
      <c r="JGM62" s="87" t="str">
        <f>IF(ISNUMBER(outYear),JGM37+JGM42+#REF!+JGM59,"")</f>
        <v/>
      </c>
      <c r="JGN62" s="87" t="str">
        <f>IF(ISNUMBER(outYear),JGN37+JGN42+#REF!+JGN59,"")</f>
        <v/>
      </c>
      <c r="JGO62" s="87" t="str">
        <f>IF(ISNUMBER(outYear),JGO37+JGO42+#REF!+JGO59,"")</f>
        <v/>
      </c>
      <c r="JGP62" s="87" t="str">
        <f>IF(ISNUMBER(outYear),JGP37+JGP42+#REF!+JGP59,"")</f>
        <v/>
      </c>
      <c r="JGQ62" s="87" t="str">
        <f>IF(ISNUMBER(outYear),JGQ37+JGQ42+#REF!+JGQ59,"")</f>
        <v/>
      </c>
      <c r="JGR62" s="87" t="str">
        <f>IF(ISNUMBER(outYear),JGR37+JGR42+#REF!+JGR59,"")</f>
        <v/>
      </c>
      <c r="JGS62" s="87" t="str">
        <f>IF(ISNUMBER(outYear),JGS37+JGS42+#REF!+JGS59,"")</f>
        <v/>
      </c>
      <c r="JGT62" s="87" t="str">
        <f>IF(ISNUMBER(outYear),JGT37+JGT42+#REF!+JGT59,"")</f>
        <v/>
      </c>
      <c r="JGU62" s="87" t="str">
        <f>IF(ISNUMBER(outYear),JGU37+JGU42+#REF!+JGU59,"")</f>
        <v/>
      </c>
      <c r="JGV62" s="87" t="str">
        <f>IF(ISNUMBER(outYear),JGV37+JGV42+#REF!+JGV59,"")</f>
        <v/>
      </c>
      <c r="JGW62" s="87" t="str">
        <f>IF(ISNUMBER(outYear),JGW37+JGW42+#REF!+JGW59,"")</f>
        <v/>
      </c>
      <c r="JGX62" s="87" t="str">
        <f>IF(ISNUMBER(outYear),JGX37+JGX42+#REF!+JGX59,"")</f>
        <v/>
      </c>
      <c r="JGY62" s="87" t="str">
        <f>IF(ISNUMBER(outYear),JGY37+JGY42+#REF!+JGY59,"")</f>
        <v/>
      </c>
      <c r="JGZ62" s="87" t="str">
        <f>IF(ISNUMBER(outYear),JGZ37+JGZ42+#REF!+JGZ59,"")</f>
        <v/>
      </c>
      <c r="JHA62" s="87" t="str">
        <f>IF(ISNUMBER(outYear),JHA37+JHA42+#REF!+JHA59,"")</f>
        <v/>
      </c>
      <c r="JHB62" s="87" t="str">
        <f>IF(ISNUMBER(outYear),JHB37+JHB42+#REF!+JHB59,"")</f>
        <v/>
      </c>
      <c r="JHC62" s="87" t="str">
        <f>IF(ISNUMBER(outYear),JHC37+JHC42+#REF!+JHC59,"")</f>
        <v/>
      </c>
      <c r="JHD62" s="87" t="str">
        <f>IF(ISNUMBER(outYear),JHD37+JHD42+#REF!+JHD59,"")</f>
        <v/>
      </c>
      <c r="JHE62" s="87" t="str">
        <f>IF(ISNUMBER(outYear),JHE37+JHE42+#REF!+JHE59,"")</f>
        <v/>
      </c>
      <c r="JHF62" s="87" t="str">
        <f>IF(ISNUMBER(outYear),JHF37+JHF42+#REF!+JHF59,"")</f>
        <v/>
      </c>
      <c r="JHG62" s="87" t="str">
        <f>IF(ISNUMBER(outYear),JHG37+JHG42+#REF!+JHG59,"")</f>
        <v/>
      </c>
      <c r="JHH62" s="87" t="str">
        <f>IF(ISNUMBER(outYear),JHH37+JHH42+#REF!+JHH59,"")</f>
        <v/>
      </c>
      <c r="JHI62" s="87" t="str">
        <f>IF(ISNUMBER(outYear),JHI37+JHI42+#REF!+JHI59,"")</f>
        <v/>
      </c>
      <c r="JHJ62" s="87" t="str">
        <f>IF(ISNUMBER(outYear),JHJ37+JHJ42+#REF!+JHJ59,"")</f>
        <v/>
      </c>
      <c r="JHK62" s="87" t="str">
        <f>IF(ISNUMBER(outYear),JHK37+JHK42+#REF!+JHK59,"")</f>
        <v/>
      </c>
      <c r="JHL62" s="87" t="str">
        <f>IF(ISNUMBER(outYear),JHL37+JHL42+#REF!+JHL59,"")</f>
        <v/>
      </c>
      <c r="JHM62" s="87" t="str">
        <f>IF(ISNUMBER(outYear),JHM37+JHM42+#REF!+JHM59,"")</f>
        <v/>
      </c>
      <c r="JHN62" s="87" t="str">
        <f>IF(ISNUMBER(outYear),JHN37+JHN42+#REF!+JHN59,"")</f>
        <v/>
      </c>
      <c r="JHO62" s="87" t="str">
        <f>IF(ISNUMBER(outYear),JHO37+JHO42+#REF!+JHO59,"")</f>
        <v/>
      </c>
      <c r="JHP62" s="87" t="str">
        <f>IF(ISNUMBER(outYear),JHP37+JHP42+#REF!+JHP59,"")</f>
        <v/>
      </c>
      <c r="JHQ62" s="87" t="str">
        <f>IF(ISNUMBER(outYear),JHQ37+JHQ42+#REF!+JHQ59,"")</f>
        <v/>
      </c>
      <c r="JHR62" s="87" t="str">
        <f>IF(ISNUMBER(outYear),JHR37+JHR42+#REF!+JHR59,"")</f>
        <v/>
      </c>
      <c r="JHS62" s="87" t="str">
        <f>IF(ISNUMBER(outYear),JHS37+JHS42+#REF!+JHS59,"")</f>
        <v/>
      </c>
      <c r="JHT62" s="87" t="str">
        <f>IF(ISNUMBER(outYear),JHT37+JHT42+#REF!+JHT59,"")</f>
        <v/>
      </c>
      <c r="JHU62" s="87" t="str">
        <f>IF(ISNUMBER(outYear),JHU37+JHU42+#REF!+JHU59,"")</f>
        <v/>
      </c>
      <c r="JHV62" s="87" t="str">
        <f>IF(ISNUMBER(outYear),JHV37+JHV42+#REF!+JHV59,"")</f>
        <v/>
      </c>
      <c r="JHW62" s="87" t="str">
        <f>IF(ISNUMBER(outYear),JHW37+JHW42+#REF!+JHW59,"")</f>
        <v/>
      </c>
      <c r="JHX62" s="87" t="str">
        <f>IF(ISNUMBER(outYear),JHX37+JHX42+#REF!+JHX59,"")</f>
        <v/>
      </c>
      <c r="JHY62" s="87" t="str">
        <f>IF(ISNUMBER(outYear),JHY37+JHY42+#REF!+JHY59,"")</f>
        <v/>
      </c>
      <c r="JHZ62" s="87" t="str">
        <f>IF(ISNUMBER(outYear),JHZ37+JHZ42+#REF!+JHZ59,"")</f>
        <v/>
      </c>
      <c r="JIA62" s="87" t="str">
        <f>IF(ISNUMBER(outYear),JIA37+JIA42+#REF!+JIA59,"")</f>
        <v/>
      </c>
      <c r="JIB62" s="87" t="str">
        <f>IF(ISNUMBER(outYear),JIB37+JIB42+#REF!+JIB59,"")</f>
        <v/>
      </c>
      <c r="JIC62" s="87" t="str">
        <f>IF(ISNUMBER(outYear),JIC37+JIC42+#REF!+JIC59,"")</f>
        <v/>
      </c>
      <c r="JID62" s="87" t="str">
        <f>IF(ISNUMBER(outYear),JID37+JID42+#REF!+JID59,"")</f>
        <v/>
      </c>
      <c r="JIE62" s="87" t="str">
        <f>IF(ISNUMBER(outYear),JIE37+JIE42+#REF!+JIE59,"")</f>
        <v/>
      </c>
      <c r="JIF62" s="87" t="str">
        <f>IF(ISNUMBER(outYear),JIF37+JIF42+#REF!+JIF59,"")</f>
        <v/>
      </c>
      <c r="JIG62" s="87" t="str">
        <f>IF(ISNUMBER(outYear),JIG37+JIG42+#REF!+JIG59,"")</f>
        <v/>
      </c>
      <c r="JIH62" s="87" t="str">
        <f>IF(ISNUMBER(outYear),JIH37+JIH42+#REF!+JIH59,"")</f>
        <v/>
      </c>
      <c r="JII62" s="87" t="str">
        <f>IF(ISNUMBER(outYear),JII37+JII42+#REF!+JII59,"")</f>
        <v/>
      </c>
      <c r="JIJ62" s="87" t="str">
        <f>IF(ISNUMBER(outYear),JIJ37+JIJ42+#REF!+JIJ59,"")</f>
        <v/>
      </c>
      <c r="JIK62" s="87" t="str">
        <f>IF(ISNUMBER(outYear),JIK37+JIK42+#REF!+JIK59,"")</f>
        <v/>
      </c>
      <c r="JIL62" s="87" t="str">
        <f>IF(ISNUMBER(outYear),JIL37+JIL42+#REF!+JIL59,"")</f>
        <v/>
      </c>
      <c r="JIM62" s="87" t="str">
        <f>IF(ISNUMBER(outYear),JIM37+JIM42+#REF!+JIM59,"")</f>
        <v/>
      </c>
      <c r="JIN62" s="87" t="str">
        <f>IF(ISNUMBER(outYear),JIN37+JIN42+#REF!+JIN59,"")</f>
        <v/>
      </c>
      <c r="JIO62" s="87" t="str">
        <f>IF(ISNUMBER(outYear),JIO37+JIO42+#REF!+JIO59,"")</f>
        <v/>
      </c>
      <c r="JIP62" s="87" t="str">
        <f>IF(ISNUMBER(outYear),JIP37+JIP42+#REF!+JIP59,"")</f>
        <v/>
      </c>
      <c r="JIQ62" s="87" t="str">
        <f>IF(ISNUMBER(outYear),JIQ37+JIQ42+#REF!+JIQ59,"")</f>
        <v/>
      </c>
      <c r="JIR62" s="87" t="str">
        <f>IF(ISNUMBER(outYear),JIR37+JIR42+#REF!+JIR59,"")</f>
        <v/>
      </c>
      <c r="JIS62" s="87" t="str">
        <f>IF(ISNUMBER(outYear),JIS37+JIS42+#REF!+JIS59,"")</f>
        <v/>
      </c>
      <c r="JIT62" s="87" t="str">
        <f>IF(ISNUMBER(outYear),JIT37+JIT42+#REF!+JIT59,"")</f>
        <v/>
      </c>
      <c r="JIU62" s="87" t="str">
        <f>IF(ISNUMBER(outYear),JIU37+JIU42+#REF!+JIU59,"")</f>
        <v/>
      </c>
      <c r="JIV62" s="87" t="str">
        <f>IF(ISNUMBER(outYear),JIV37+JIV42+#REF!+JIV59,"")</f>
        <v/>
      </c>
      <c r="JIW62" s="87" t="str">
        <f>IF(ISNUMBER(outYear),JIW37+JIW42+#REF!+JIW59,"")</f>
        <v/>
      </c>
      <c r="JIX62" s="87" t="str">
        <f>IF(ISNUMBER(outYear),JIX37+JIX42+#REF!+JIX59,"")</f>
        <v/>
      </c>
      <c r="JIY62" s="87" t="str">
        <f>IF(ISNUMBER(outYear),JIY37+JIY42+#REF!+JIY59,"")</f>
        <v/>
      </c>
      <c r="JIZ62" s="87" t="str">
        <f>IF(ISNUMBER(outYear),JIZ37+JIZ42+#REF!+JIZ59,"")</f>
        <v/>
      </c>
      <c r="JJA62" s="87" t="str">
        <f>IF(ISNUMBER(outYear),JJA37+JJA42+#REF!+JJA59,"")</f>
        <v/>
      </c>
      <c r="JJB62" s="87" t="str">
        <f>IF(ISNUMBER(outYear),JJB37+JJB42+#REF!+JJB59,"")</f>
        <v/>
      </c>
      <c r="JJC62" s="87" t="str">
        <f>IF(ISNUMBER(outYear),JJC37+JJC42+#REF!+JJC59,"")</f>
        <v/>
      </c>
      <c r="JJD62" s="87" t="str">
        <f>IF(ISNUMBER(outYear),JJD37+JJD42+#REF!+JJD59,"")</f>
        <v/>
      </c>
      <c r="JJE62" s="87" t="str">
        <f>IF(ISNUMBER(outYear),JJE37+JJE42+#REF!+JJE59,"")</f>
        <v/>
      </c>
      <c r="JJF62" s="87" t="str">
        <f>IF(ISNUMBER(outYear),JJF37+JJF42+#REF!+JJF59,"")</f>
        <v/>
      </c>
      <c r="JJG62" s="87" t="str">
        <f>IF(ISNUMBER(outYear),JJG37+JJG42+#REF!+JJG59,"")</f>
        <v/>
      </c>
      <c r="JJH62" s="87" t="str">
        <f>IF(ISNUMBER(outYear),JJH37+JJH42+#REF!+JJH59,"")</f>
        <v/>
      </c>
      <c r="JJI62" s="87" t="str">
        <f>IF(ISNUMBER(outYear),JJI37+JJI42+#REF!+JJI59,"")</f>
        <v/>
      </c>
      <c r="JJJ62" s="87" t="str">
        <f>IF(ISNUMBER(outYear),JJJ37+JJJ42+#REF!+JJJ59,"")</f>
        <v/>
      </c>
      <c r="JJK62" s="87" t="str">
        <f>IF(ISNUMBER(outYear),JJK37+JJK42+#REF!+JJK59,"")</f>
        <v/>
      </c>
      <c r="JJL62" s="87" t="str">
        <f>IF(ISNUMBER(outYear),JJL37+JJL42+#REF!+JJL59,"")</f>
        <v/>
      </c>
      <c r="JJM62" s="87" t="str">
        <f>IF(ISNUMBER(outYear),JJM37+JJM42+#REF!+JJM59,"")</f>
        <v/>
      </c>
      <c r="JJN62" s="87" t="str">
        <f>IF(ISNUMBER(outYear),JJN37+JJN42+#REF!+JJN59,"")</f>
        <v/>
      </c>
      <c r="JJO62" s="87" t="str">
        <f>IF(ISNUMBER(outYear),JJO37+JJO42+#REF!+JJO59,"")</f>
        <v/>
      </c>
      <c r="JJP62" s="87" t="str">
        <f>IF(ISNUMBER(outYear),JJP37+JJP42+#REF!+JJP59,"")</f>
        <v/>
      </c>
      <c r="JJQ62" s="87" t="str">
        <f>IF(ISNUMBER(outYear),JJQ37+JJQ42+#REF!+JJQ59,"")</f>
        <v/>
      </c>
      <c r="JJR62" s="87" t="str">
        <f>IF(ISNUMBER(outYear),JJR37+JJR42+#REF!+JJR59,"")</f>
        <v/>
      </c>
      <c r="JJS62" s="87" t="str">
        <f>IF(ISNUMBER(outYear),JJS37+JJS42+#REF!+JJS59,"")</f>
        <v/>
      </c>
      <c r="JJT62" s="87" t="str">
        <f>IF(ISNUMBER(outYear),JJT37+JJT42+#REF!+JJT59,"")</f>
        <v/>
      </c>
      <c r="JJU62" s="87" t="str">
        <f>IF(ISNUMBER(outYear),JJU37+JJU42+#REF!+JJU59,"")</f>
        <v/>
      </c>
      <c r="JJV62" s="87" t="str">
        <f>IF(ISNUMBER(outYear),JJV37+JJV42+#REF!+JJV59,"")</f>
        <v/>
      </c>
      <c r="JJW62" s="87" t="str">
        <f>IF(ISNUMBER(outYear),JJW37+JJW42+#REF!+JJW59,"")</f>
        <v/>
      </c>
      <c r="JJX62" s="87" t="str">
        <f>IF(ISNUMBER(outYear),JJX37+JJX42+#REF!+JJX59,"")</f>
        <v/>
      </c>
      <c r="JJY62" s="87" t="str">
        <f>IF(ISNUMBER(outYear),JJY37+JJY42+#REF!+JJY59,"")</f>
        <v/>
      </c>
      <c r="JJZ62" s="87" t="str">
        <f>IF(ISNUMBER(outYear),JJZ37+JJZ42+#REF!+JJZ59,"")</f>
        <v/>
      </c>
      <c r="JKA62" s="87" t="str">
        <f>IF(ISNUMBER(outYear),JKA37+JKA42+#REF!+JKA59,"")</f>
        <v/>
      </c>
      <c r="JKB62" s="87" t="str">
        <f>IF(ISNUMBER(outYear),JKB37+JKB42+#REF!+JKB59,"")</f>
        <v/>
      </c>
      <c r="JKC62" s="87" t="str">
        <f>IF(ISNUMBER(outYear),JKC37+JKC42+#REF!+JKC59,"")</f>
        <v/>
      </c>
      <c r="JKD62" s="87" t="str">
        <f>IF(ISNUMBER(outYear),JKD37+JKD42+#REF!+JKD59,"")</f>
        <v/>
      </c>
      <c r="JKE62" s="87" t="str">
        <f>IF(ISNUMBER(outYear),JKE37+JKE42+#REF!+JKE59,"")</f>
        <v/>
      </c>
      <c r="JKF62" s="87" t="str">
        <f>IF(ISNUMBER(outYear),JKF37+JKF42+#REF!+JKF59,"")</f>
        <v/>
      </c>
      <c r="JKG62" s="87" t="str">
        <f>IF(ISNUMBER(outYear),JKG37+JKG42+#REF!+JKG59,"")</f>
        <v/>
      </c>
      <c r="JKH62" s="87" t="str">
        <f>IF(ISNUMBER(outYear),JKH37+JKH42+#REF!+JKH59,"")</f>
        <v/>
      </c>
      <c r="JKI62" s="87" t="str">
        <f>IF(ISNUMBER(outYear),JKI37+JKI42+#REF!+JKI59,"")</f>
        <v/>
      </c>
      <c r="JKJ62" s="87" t="str">
        <f>IF(ISNUMBER(outYear),JKJ37+JKJ42+#REF!+JKJ59,"")</f>
        <v/>
      </c>
      <c r="JKK62" s="87" t="str">
        <f>IF(ISNUMBER(outYear),JKK37+JKK42+#REF!+JKK59,"")</f>
        <v/>
      </c>
      <c r="JKL62" s="87" t="str">
        <f>IF(ISNUMBER(outYear),JKL37+JKL42+#REF!+JKL59,"")</f>
        <v/>
      </c>
      <c r="JKM62" s="87" t="str">
        <f>IF(ISNUMBER(outYear),JKM37+JKM42+#REF!+JKM59,"")</f>
        <v/>
      </c>
      <c r="JKN62" s="87" t="str">
        <f>IF(ISNUMBER(outYear),JKN37+JKN42+#REF!+JKN59,"")</f>
        <v/>
      </c>
      <c r="JKO62" s="87" t="str">
        <f>IF(ISNUMBER(outYear),JKO37+JKO42+#REF!+JKO59,"")</f>
        <v/>
      </c>
      <c r="JKP62" s="87" t="str">
        <f>IF(ISNUMBER(outYear),JKP37+JKP42+#REF!+JKP59,"")</f>
        <v/>
      </c>
      <c r="JKQ62" s="87" t="str">
        <f>IF(ISNUMBER(outYear),JKQ37+JKQ42+#REF!+JKQ59,"")</f>
        <v/>
      </c>
      <c r="JKR62" s="87" t="str">
        <f>IF(ISNUMBER(outYear),JKR37+JKR42+#REF!+JKR59,"")</f>
        <v/>
      </c>
      <c r="JKS62" s="87" t="str">
        <f>IF(ISNUMBER(outYear),JKS37+JKS42+#REF!+JKS59,"")</f>
        <v/>
      </c>
      <c r="JKT62" s="87" t="str">
        <f>IF(ISNUMBER(outYear),JKT37+JKT42+#REF!+JKT59,"")</f>
        <v/>
      </c>
      <c r="JKU62" s="87" t="str">
        <f>IF(ISNUMBER(outYear),JKU37+JKU42+#REF!+JKU59,"")</f>
        <v/>
      </c>
      <c r="JKV62" s="87" t="str">
        <f>IF(ISNUMBER(outYear),JKV37+JKV42+#REF!+JKV59,"")</f>
        <v/>
      </c>
      <c r="JKW62" s="87" t="str">
        <f>IF(ISNUMBER(outYear),JKW37+JKW42+#REF!+JKW59,"")</f>
        <v/>
      </c>
      <c r="JKX62" s="87" t="str">
        <f>IF(ISNUMBER(outYear),JKX37+JKX42+#REF!+JKX59,"")</f>
        <v/>
      </c>
      <c r="JKY62" s="87" t="str">
        <f>IF(ISNUMBER(outYear),JKY37+JKY42+#REF!+JKY59,"")</f>
        <v/>
      </c>
      <c r="JKZ62" s="87" t="str">
        <f>IF(ISNUMBER(outYear),JKZ37+JKZ42+#REF!+JKZ59,"")</f>
        <v/>
      </c>
      <c r="JLA62" s="87" t="str">
        <f>IF(ISNUMBER(outYear),JLA37+JLA42+#REF!+JLA59,"")</f>
        <v/>
      </c>
      <c r="JLB62" s="87" t="str">
        <f>IF(ISNUMBER(outYear),JLB37+JLB42+#REF!+JLB59,"")</f>
        <v/>
      </c>
      <c r="JLC62" s="87" t="str">
        <f>IF(ISNUMBER(outYear),JLC37+JLC42+#REF!+JLC59,"")</f>
        <v/>
      </c>
      <c r="JLD62" s="87" t="str">
        <f>IF(ISNUMBER(outYear),JLD37+JLD42+#REF!+JLD59,"")</f>
        <v/>
      </c>
      <c r="JLE62" s="87" t="str">
        <f>IF(ISNUMBER(outYear),JLE37+JLE42+#REF!+JLE59,"")</f>
        <v/>
      </c>
      <c r="JLF62" s="87" t="str">
        <f>IF(ISNUMBER(outYear),JLF37+JLF42+#REF!+JLF59,"")</f>
        <v/>
      </c>
      <c r="JLG62" s="87" t="str">
        <f>IF(ISNUMBER(outYear),JLG37+JLG42+#REF!+JLG59,"")</f>
        <v/>
      </c>
      <c r="JLH62" s="87" t="str">
        <f>IF(ISNUMBER(outYear),JLH37+JLH42+#REF!+JLH59,"")</f>
        <v/>
      </c>
      <c r="JLI62" s="87" t="str">
        <f>IF(ISNUMBER(outYear),JLI37+JLI42+#REF!+JLI59,"")</f>
        <v/>
      </c>
      <c r="JLJ62" s="87" t="str">
        <f>IF(ISNUMBER(outYear),JLJ37+JLJ42+#REF!+JLJ59,"")</f>
        <v/>
      </c>
      <c r="JLK62" s="87" t="str">
        <f>IF(ISNUMBER(outYear),JLK37+JLK42+#REF!+JLK59,"")</f>
        <v/>
      </c>
      <c r="JLL62" s="87" t="str">
        <f>IF(ISNUMBER(outYear),JLL37+JLL42+#REF!+JLL59,"")</f>
        <v/>
      </c>
      <c r="JLM62" s="87" t="str">
        <f>IF(ISNUMBER(outYear),JLM37+JLM42+#REF!+JLM59,"")</f>
        <v/>
      </c>
      <c r="JLN62" s="87" t="str">
        <f>IF(ISNUMBER(outYear),JLN37+JLN42+#REF!+JLN59,"")</f>
        <v/>
      </c>
      <c r="JLO62" s="87" t="str">
        <f>IF(ISNUMBER(outYear),JLO37+JLO42+#REF!+JLO59,"")</f>
        <v/>
      </c>
      <c r="JLP62" s="87" t="str">
        <f>IF(ISNUMBER(outYear),JLP37+JLP42+#REF!+JLP59,"")</f>
        <v/>
      </c>
      <c r="JLQ62" s="87" t="str">
        <f>IF(ISNUMBER(outYear),JLQ37+JLQ42+#REF!+JLQ59,"")</f>
        <v/>
      </c>
      <c r="JLR62" s="87" t="str">
        <f>IF(ISNUMBER(outYear),JLR37+JLR42+#REF!+JLR59,"")</f>
        <v/>
      </c>
      <c r="JLS62" s="87" t="str">
        <f>IF(ISNUMBER(outYear),JLS37+JLS42+#REF!+JLS59,"")</f>
        <v/>
      </c>
      <c r="JLT62" s="87" t="str">
        <f>IF(ISNUMBER(outYear),JLT37+JLT42+#REF!+JLT59,"")</f>
        <v/>
      </c>
      <c r="JLU62" s="87" t="str">
        <f>IF(ISNUMBER(outYear),JLU37+JLU42+#REF!+JLU59,"")</f>
        <v/>
      </c>
      <c r="JLV62" s="87" t="str">
        <f>IF(ISNUMBER(outYear),JLV37+JLV42+#REF!+JLV59,"")</f>
        <v/>
      </c>
      <c r="JLW62" s="87" t="str">
        <f>IF(ISNUMBER(outYear),JLW37+JLW42+#REF!+JLW59,"")</f>
        <v/>
      </c>
      <c r="JLX62" s="87" t="str">
        <f>IF(ISNUMBER(outYear),JLX37+JLX42+#REF!+JLX59,"")</f>
        <v/>
      </c>
      <c r="JLY62" s="87" t="str">
        <f>IF(ISNUMBER(outYear),JLY37+JLY42+#REF!+JLY59,"")</f>
        <v/>
      </c>
      <c r="JLZ62" s="87" t="str">
        <f>IF(ISNUMBER(outYear),JLZ37+JLZ42+#REF!+JLZ59,"")</f>
        <v/>
      </c>
      <c r="JMA62" s="87" t="str">
        <f>IF(ISNUMBER(outYear),JMA37+JMA42+#REF!+JMA59,"")</f>
        <v/>
      </c>
      <c r="JMB62" s="87" t="str">
        <f>IF(ISNUMBER(outYear),JMB37+JMB42+#REF!+JMB59,"")</f>
        <v/>
      </c>
      <c r="JMC62" s="87" t="str">
        <f>IF(ISNUMBER(outYear),JMC37+JMC42+#REF!+JMC59,"")</f>
        <v/>
      </c>
      <c r="JMD62" s="87" t="str">
        <f>IF(ISNUMBER(outYear),JMD37+JMD42+#REF!+JMD59,"")</f>
        <v/>
      </c>
      <c r="JME62" s="87" t="str">
        <f>IF(ISNUMBER(outYear),JME37+JME42+#REF!+JME59,"")</f>
        <v/>
      </c>
      <c r="JMF62" s="87" t="str">
        <f>IF(ISNUMBER(outYear),JMF37+JMF42+#REF!+JMF59,"")</f>
        <v/>
      </c>
      <c r="JMG62" s="87" t="str">
        <f>IF(ISNUMBER(outYear),JMG37+JMG42+#REF!+JMG59,"")</f>
        <v/>
      </c>
      <c r="JMH62" s="87" t="str">
        <f>IF(ISNUMBER(outYear),JMH37+JMH42+#REF!+JMH59,"")</f>
        <v/>
      </c>
      <c r="JMI62" s="87" t="str">
        <f>IF(ISNUMBER(outYear),JMI37+JMI42+#REF!+JMI59,"")</f>
        <v/>
      </c>
      <c r="JMJ62" s="87" t="str">
        <f>IF(ISNUMBER(outYear),JMJ37+JMJ42+#REF!+JMJ59,"")</f>
        <v/>
      </c>
      <c r="JMK62" s="87" t="str">
        <f>IF(ISNUMBER(outYear),JMK37+JMK42+#REF!+JMK59,"")</f>
        <v/>
      </c>
      <c r="JML62" s="87" t="str">
        <f>IF(ISNUMBER(outYear),JML37+JML42+#REF!+JML59,"")</f>
        <v/>
      </c>
      <c r="JMM62" s="87" t="str">
        <f>IF(ISNUMBER(outYear),JMM37+JMM42+#REF!+JMM59,"")</f>
        <v/>
      </c>
      <c r="JMN62" s="87" t="str">
        <f>IF(ISNUMBER(outYear),JMN37+JMN42+#REF!+JMN59,"")</f>
        <v/>
      </c>
      <c r="JMO62" s="87" t="str">
        <f>IF(ISNUMBER(outYear),JMO37+JMO42+#REF!+JMO59,"")</f>
        <v/>
      </c>
      <c r="JMP62" s="87" t="str">
        <f>IF(ISNUMBER(outYear),JMP37+JMP42+#REF!+JMP59,"")</f>
        <v/>
      </c>
      <c r="JMQ62" s="87" t="str">
        <f>IF(ISNUMBER(outYear),JMQ37+JMQ42+#REF!+JMQ59,"")</f>
        <v/>
      </c>
      <c r="JMR62" s="87" t="str">
        <f>IF(ISNUMBER(outYear),JMR37+JMR42+#REF!+JMR59,"")</f>
        <v/>
      </c>
      <c r="JMS62" s="87" t="str">
        <f>IF(ISNUMBER(outYear),JMS37+JMS42+#REF!+JMS59,"")</f>
        <v/>
      </c>
      <c r="JMT62" s="87" t="str">
        <f>IF(ISNUMBER(outYear),JMT37+JMT42+#REF!+JMT59,"")</f>
        <v/>
      </c>
      <c r="JMU62" s="87" t="str">
        <f>IF(ISNUMBER(outYear),JMU37+JMU42+#REF!+JMU59,"")</f>
        <v/>
      </c>
      <c r="JMV62" s="87" t="str">
        <f>IF(ISNUMBER(outYear),JMV37+JMV42+#REF!+JMV59,"")</f>
        <v/>
      </c>
      <c r="JMW62" s="87" t="str">
        <f>IF(ISNUMBER(outYear),JMW37+JMW42+#REF!+JMW59,"")</f>
        <v/>
      </c>
      <c r="JMX62" s="87" t="str">
        <f>IF(ISNUMBER(outYear),JMX37+JMX42+#REF!+JMX59,"")</f>
        <v/>
      </c>
      <c r="JMY62" s="87" t="str">
        <f>IF(ISNUMBER(outYear),JMY37+JMY42+#REF!+JMY59,"")</f>
        <v/>
      </c>
      <c r="JMZ62" s="87" t="str">
        <f>IF(ISNUMBER(outYear),JMZ37+JMZ42+#REF!+JMZ59,"")</f>
        <v/>
      </c>
      <c r="JNA62" s="87" t="str">
        <f>IF(ISNUMBER(outYear),JNA37+JNA42+#REF!+JNA59,"")</f>
        <v/>
      </c>
      <c r="JNB62" s="87" t="str">
        <f>IF(ISNUMBER(outYear),JNB37+JNB42+#REF!+JNB59,"")</f>
        <v/>
      </c>
      <c r="JNC62" s="87" t="str">
        <f>IF(ISNUMBER(outYear),JNC37+JNC42+#REF!+JNC59,"")</f>
        <v/>
      </c>
      <c r="JND62" s="87" t="str">
        <f>IF(ISNUMBER(outYear),JND37+JND42+#REF!+JND59,"")</f>
        <v/>
      </c>
      <c r="JNE62" s="87" t="str">
        <f>IF(ISNUMBER(outYear),JNE37+JNE42+#REF!+JNE59,"")</f>
        <v/>
      </c>
      <c r="JNF62" s="87" t="str">
        <f>IF(ISNUMBER(outYear),JNF37+JNF42+#REF!+JNF59,"")</f>
        <v/>
      </c>
      <c r="JNG62" s="87" t="str">
        <f>IF(ISNUMBER(outYear),JNG37+JNG42+#REF!+JNG59,"")</f>
        <v/>
      </c>
      <c r="JNH62" s="87" t="str">
        <f>IF(ISNUMBER(outYear),JNH37+JNH42+#REF!+JNH59,"")</f>
        <v/>
      </c>
      <c r="JNI62" s="87" t="str">
        <f>IF(ISNUMBER(outYear),JNI37+JNI42+#REF!+JNI59,"")</f>
        <v/>
      </c>
      <c r="JNJ62" s="87" t="str">
        <f>IF(ISNUMBER(outYear),JNJ37+JNJ42+#REF!+JNJ59,"")</f>
        <v/>
      </c>
      <c r="JNK62" s="87" t="str">
        <f>IF(ISNUMBER(outYear),JNK37+JNK42+#REF!+JNK59,"")</f>
        <v/>
      </c>
      <c r="JNL62" s="87" t="str">
        <f>IF(ISNUMBER(outYear),JNL37+JNL42+#REF!+JNL59,"")</f>
        <v/>
      </c>
      <c r="JNM62" s="87" t="str">
        <f>IF(ISNUMBER(outYear),JNM37+JNM42+#REF!+JNM59,"")</f>
        <v/>
      </c>
      <c r="JNN62" s="87" t="str">
        <f>IF(ISNUMBER(outYear),JNN37+JNN42+#REF!+JNN59,"")</f>
        <v/>
      </c>
      <c r="JNO62" s="87" t="str">
        <f>IF(ISNUMBER(outYear),JNO37+JNO42+#REF!+JNO59,"")</f>
        <v/>
      </c>
      <c r="JNP62" s="87" t="str">
        <f>IF(ISNUMBER(outYear),JNP37+JNP42+#REF!+JNP59,"")</f>
        <v/>
      </c>
      <c r="JNQ62" s="87" t="str">
        <f>IF(ISNUMBER(outYear),JNQ37+JNQ42+#REF!+JNQ59,"")</f>
        <v/>
      </c>
      <c r="JNR62" s="87" t="str">
        <f>IF(ISNUMBER(outYear),JNR37+JNR42+#REF!+JNR59,"")</f>
        <v/>
      </c>
      <c r="JNS62" s="87" t="str">
        <f>IF(ISNUMBER(outYear),JNS37+JNS42+#REF!+JNS59,"")</f>
        <v/>
      </c>
      <c r="JNT62" s="87" t="str">
        <f>IF(ISNUMBER(outYear),JNT37+JNT42+#REF!+JNT59,"")</f>
        <v/>
      </c>
      <c r="JNU62" s="87" t="str">
        <f>IF(ISNUMBER(outYear),JNU37+JNU42+#REF!+JNU59,"")</f>
        <v/>
      </c>
      <c r="JNV62" s="87" t="str">
        <f>IF(ISNUMBER(outYear),JNV37+JNV42+#REF!+JNV59,"")</f>
        <v/>
      </c>
      <c r="JNW62" s="87" t="str">
        <f>IF(ISNUMBER(outYear),JNW37+JNW42+#REF!+JNW59,"")</f>
        <v/>
      </c>
      <c r="JNX62" s="87" t="str">
        <f>IF(ISNUMBER(outYear),JNX37+JNX42+#REF!+JNX59,"")</f>
        <v/>
      </c>
      <c r="JNY62" s="87" t="str">
        <f>IF(ISNUMBER(outYear),JNY37+JNY42+#REF!+JNY59,"")</f>
        <v/>
      </c>
      <c r="JNZ62" s="87" t="str">
        <f>IF(ISNUMBER(outYear),JNZ37+JNZ42+#REF!+JNZ59,"")</f>
        <v/>
      </c>
      <c r="JOA62" s="87" t="str">
        <f>IF(ISNUMBER(outYear),JOA37+JOA42+#REF!+JOA59,"")</f>
        <v/>
      </c>
      <c r="JOB62" s="87" t="str">
        <f>IF(ISNUMBER(outYear),JOB37+JOB42+#REF!+JOB59,"")</f>
        <v/>
      </c>
      <c r="JOC62" s="87" t="str">
        <f>IF(ISNUMBER(outYear),JOC37+JOC42+#REF!+JOC59,"")</f>
        <v/>
      </c>
      <c r="JOD62" s="87" t="str">
        <f>IF(ISNUMBER(outYear),JOD37+JOD42+#REF!+JOD59,"")</f>
        <v/>
      </c>
      <c r="JOE62" s="87" t="str">
        <f>IF(ISNUMBER(outYear),JOE37+JOE42+#REF!+JOE59,"")</f>
        <v/>
      </c>
      <c r="JOF62" s="87" t="str">
        <f>IF(ISNUMBER(outYear),JOF37+JOF42+#REF!+JOF59,"")</f>
        <v/>
      </c>
      <c r="JOG62" s="87" t="str">
        <f>IF(ISNUMBER(outYear),JOG37+JOG42+#REF!+JOG59,"")</f>
        <v/>
      </c>
      <c r="JOH62" s="87" t="str">
        <f>IF(ISNUMBER(outYear),JOH37+JOH42+#REF!+JOH59,"")</f>
        <v/>
      </c>
      <c r="JOI62" s="87" t="str">
        <f>IF(ISNUMBER(outYear),JOI37+JOI42+#REF!+JOI59,"")</f>
        <v/>
      </c>
      <c r="JOJ62" s="87" t="str">
        <f>IF(ISNUMBER(outYear),JOJ37+JOJ42+#REF!+JOJ59,"")</f>
        <v/>
      </c>
      <c r="JOK62" s="87" t="str">
        <f>IF(ISNUMBER(outYear),JOK37+JOK42+#REF!+JOK59,"")</f>
        <v/>
      </c>
      <c r="JOL62" s="87" t="str">
        <f>IF(ISNUMBER(outYear),JOL37+JOL42+#REF!+JOL59,"")</f>
        <v/>
      </c>
      <c r="JOM62" s="87" t="str">
        <f>IF(ISNUMBER(outYear),JOM37+JOM42+#REF!+JOM59,"")</f>
        <v/>
      </c>
      <c r="JON62" s="87" t="str">
        <f>IF(ISNUMBER(outYear),JON37+JON42+#REF!+JON59,"")</f>
        <v/>
      </c>
      <c r="JOO62" s="87" t="str">
        <f>IF(ISNUMBER(outYear),JOO37+JOO42+#REF!+JOO59,"")</f>
        <v/>
      </c>
      <c r="JOP62" s="87" t="str">
        <f>IF(ISNUMBER(outYear),JOP37+JOP42+#REF!+JOP59,"")</f>
        <v/>
      </c>
      <c r="JOQ62" s="87" t="str">
        <f>IF(ISNUMBER(outYear),JOQ37+JOQ42+#REF!+JOQ59,"")</f>
        <v/>
      </c>
      <c r="JOR62" s="87" t="str">
        <f>IF(ISNUMBER(outYear),JOR37+JOR42+#REF!+JOR59,"")</f>
        <v/>
      </c>
      <c r="JOS62" s="87" t="str">
        <f>IF(ISNUMBER(outYear),JOS37+JOS42+#REF!+JOS59,"")</f>
        <v/>
      </c>
      <c r="JOT62" s="87" t="str">
        <f>IF(ISNUMBER(outYear),JOT37+JOT42+#REF!+JOT59,"")</f>
        <v/>
      </c>
      <c r="JOU62" s="87" t="str">
        <f>IF(ISNUMBER(outYear),JOU37+JOU42+#REF!+JOU59,"")</f>
        <v/>
      </c>
      <c r="JOV62" s="87" t="str">
        <f>IF(ISNUMBER(outYear),JOV37+JOV42+#REF!+JOV59,"")</f>
        <v/>
      </c>
      <c r="JOW62" s="87" t="str">
        <f>IF(ISNUMBER(outYear),JOW37+JOW42+#REF!+JOW59,"")</f>
        <v/>
      </c>
      <c r="JOX62" s="87" t="str">
        <f>IF(ISNUMBER(outYear),JOX37+JOX42+#REF!+JOX59,"")</f>
        <v/>
      </c>
      <c r="JOY62" s="87" t="str">
        <f>IF(ISNUMBER(outYear),JOY37+JOY42+#REF!+JOY59,"")</f>
        <v/>
      </c>
      <c r="JOZ62" s="87" t="str">
        <f>IF(ISNUMBER(outYear),JOZ37+JOZ42+#REF!+JOZ59,"")</f>
        <v/>
      </c>
      <c r="JPA62" s="87" t="str">
        <f>IF(ISNUMBER(outYear),JPA37+JPA42+#REF!+JPA59,"")</f>
        <v/>
      </c>
      <c r="JPB62" s="87" t="str">
        <f>IF(ISNUMBER(outYear),JPB37+JPB42+#REF!+JPB59,"")</f>
        <v/>
      </c>
      <c r="JPC62" s="87" t="str">
        <f>IF(ISNUMBER(outYear),JPC37+JPC42+#REF!+JPC59,"")</f>
        <v/>
      </c>
      <c r="JPD62" s="87" t="str">
        <f>IF(ISNUMBER(outYear),JPD37+JPD42+#REF!+JPD59,"")</f>
        <v/>
      </c>
      <c r="JPE62" s="87" t="str">
        <f>IF(ISNUMBER(outYear),JPE37+JPE42+#REF!+JPE59,"")</f>
        <v/>
      </c>
      <c r="JPF62" s="87" t="str">
        <f>IF(ISNUMBER(outYear),JPF37+JPF42+#REF!+JPF59,"")</f>
        <v/>
      </c>
      <c r="JPG62" s="87" t="str">
        <f>IF(ISNUMBER(outYear),JPG37+JPG42+#REF!+JPG59,"")</f>
        <v/>
      </c>
      <c r="JPH62" s="87" t="str">
        <f>IF(ISNUMBER(outYear),JPH37+JPH42+#REF!+JPH59,"")</f>
        <v/>
      </c>
      <c r="JPI62" s="87" t="str">
        <f>IF(ISNUMBER(outYear),JPI37+JPI42+#REF!+JPI59,"")</f>
        <v/>
      </c>
      <c r="JPJ62" s="87" t="str">
        <f>IF(ISNUMBER(outYear),JPJ37+JPJ42+#REF!+JPJ59,"")</f>
        <v/>
      </c>
      <c r="JPK62" s="87" t="str">
        <f>IF(ISNUMBER(outYear),JPK37+JPK42+#REF!+JPK59,"")</f>
        <v/>
      </c>
      <c r="JPL62" s="87" t="str">
        <f>IF(ISNUMBER(outYear),JPL37+JPL42+#REF!+JPL59,"")</f>
        <v/>
      </c>
      <c r="JPM62" s="87" t="str">
        <f>IF(ISNUMBER(outYear),JPM37+JPM42+#REF!+JPM59,"")</f>
        <v/>
      </c>
      <c r="JPN62" s="87" t="str">
        <f>IF(ISNUMBER(outYear),JPN37+JPN42+#REF!+JPN59,"")</f>
        <v/>
      </c>
      <c r="JPO62" s="87" t="str">
        <f>IF(ISNUMBER(outYear),JPO37+JPO42+#REF!+JPO59,"")</f>
        <v/>
      </c>
      <c r="JPP62" s="87" t="str">
        <f>IF(ISNUMBER(outYear),JPP37+JPP42+#REF!+JPP59,"")</f>
        <v/>
      </c>
      <c r="JPQ62" s="87" t="str">
        <f>IF(ISNUMBER(outYear),JPQ37+JPQ42+#REF!+JPQ59,"")</f>
        <v/>
      </c>
      <c r="JPR62" s="87" t="str">
        <f>IF(ISNUMBER(outYear),JPR37+JPR42+#REF!+JPR59,"")</f>
        <v/>
      </c>
      <c r="JPS62" s="87" t="str">
        <f>IF(ISNUMBER(outYear),JPS37+JPS42+#REF!+JPS59,"")</f>
        <v/>
      </c>
      <c r="JPT62" s="87" t="str">
        <f>IF(ISNUMBER(outYear),JPT37+JPT42+#REF!+JPT59,"")</f>
        <v/>
      </c>
      <c r="JPU62" s="87" t="str">
        <f>IF(ISNUMBER(outYear),JPU37+JPU42+#REF!+JPU59,"")</f>
        <v/>
      </c>
      <c r="JPV62" s="87" t="str">
        <f>IF(ISNUMBER(outYear),JPV37+JPV42+#REF!+JPV59,"")</f>
        <v/>
      </c>
      <c r="JPW62" s="87" t="str">
        <f>IF(ISNUMBER(outYear),JPW37+JPW42+#REF!+JPW59,"")</f>
        <v/>
      </c>
      <c r="JPX62" s="87" t="str">
        <f>IF(ISNUMBER(outYear),JPX37+JPX42+#REF!+JPX59,"")</f>
        <v/>
      </c>
      <c r="JPY62" s="87" t="str">
        <f>IF(ISNUMBER(outYear),JPY37+JPY42+#REF!+JPY59,"")</f>
        <v/>
      </c>
      <c r="JPZ62" s="87" t="str">
        <f>IF(ISNUMBER(outYear),JPZ37+JPZ42+#REF!+JPZ59,"")</f>
        <v/>
      </c>
      <c r="JQA62" s="87" t="str">
        <f>IF(ISNUMBER(outYear),JQA37+JQA42+#REF!+JQA59,"")</f>
        <v/>
      </c>
      <c r="JQB62" s="87" t="str">
        <f>IF(ISNUMBER(outYear),JQB37+JQB42+#REF!+JQB59,"")</f>
        <v/>
      </c>
      <c r="JQC62" s="87" t="str">
        <f>IF(ISNUMBER(outYear),JQC37+JQC42+#REF!+JQC59,"")</f>
        <v/>
      </c>
      <c r="JQD62" s="87" t="str">
        <f>IF(ISNUMBER(outYear),JQD37+JQD42+#REF!+JQD59,"")</f>
        <v/>
      </c>
      <c r="JQE62" s="87" t="str">
        <f>IF(ISNUMBER(outYear),JQE37+JQE42+#REF!+JQE59,"")</f>
        <v/>
      </c>
      <c r="JQF62" s="87" t="str">
        <f>IF(ISNUMBER(outYear),JQF37+JQF42+#REF!+JQF59,"")</f>
        <v/>
      </c>
      <c r="JQG62" s="87" t="str">
        <f>IF(ISNUMBER(outYear),JQG37+JQG42+#REF!+JQG59,"")</f>
        <v/>
      </c>
      <c r="JQH62" s="87" t="str">
        <f>IF(ISNUMBER(outYear),JQH37+JQH42+#REF!+JQH59,"")</f>
        <v/>
      </c>
      <c r="JQI62" s="87" t="str">
        <f>IF(ISNUMBER(outYear),JQI37+JQI42+#REF!+JQI59,"")</f>
        <v/>
      </c>
      <c r="JQJ62" s="87" t="str">
        <f>IF(ISNUMBER(outYear),JQJ37+JQJ42+#REF!+JQJ59,"")</f>
        <v/>
      </c>
      <c r="JQK62" s="87" t="str">
        <f>IF(ISNUMBER(outYear),JQK37+JQK42+#REF!+JQK59,"")</f>
        <v/>
      </c>
      <c r="JQL62" s="87" t="str">
        <f>IF(ISNUMBER(outYear),JQL37+JQL42+#REF!+JQL59,"")</f>
        <v/>
      </c>
      <c r="JQM62" s="87" t="str">
        <f>IF(ISNUMBER(outYear),JQM37+JQM42+#REF!+JQM59,"")</f>
        <v/>
      </c>
      <c r="JQN62" s="87" t="str">
        <f>IF(ISNUMBER(outYear),JQN37+JQN42+#REF!+JQN59,"")</f>
        <v/>
      </c>
      <c r="JQO62" s="87" t="str">
        <f>IF(ISNUMBER(outYear),JQO37+JQO42+#REF!+JQO59,"")</f>
        <v/>
      </c>
      <c r="JQP62" s="87" t="str">
        <f>IF(ISNUMBER(outYear),JQP37+JQP42+#REF!+JQP59,"")</f>
        <v/>
      </c>
      <c r="JQQ62" s="87" t="str">
        <f>IF(ISNUMBER(outYear),JQQ37+JQQ42+#REF!+JQQ59,"")</f>
        <v/>
      </c>
      <c r="JQR62" s="87" t="str">
        <f>IF(ISNUMBER(outYear),JQR37+JQR42+#REF!+JQR59,"")</f>
        <v/>
      </c>
      <c r="JQS62" s="87" t="str">
        <f>IF(ISNUMBER(outYear),JQS37+JQS42+#REF!+JQS59,"")</f>
        <v/>
      </c>
      <c r="JQT62" s="87" t="str">
        <f>IF(ISNUMBER(outYear),JQT37+JQT42+#REF!+JQT59,"")</f>
        <v/>
      </c>
      <c r="JQU62" s="87" t="str">
        <f>IF(ISNUMBER(outYear),JQU37+JQU42+#REF!+JQU59,"")</f>
        <v/>
      </c>
      <c r="JQV62" s="87" t="str">
        <f>IF(ISNUMBER(outYear),JQV37+JQV42+#REF!+JQV59,"")</f>
        <v/>
      </c>
      <c r="JQW62" s="87" t="str">
        <f>IF(ISNUMBER(outYear),JQW37+JQW42+#REF!+JQW59,"")</f>
        <v/>
      </c>
      <c r="JQX62" s="87" t="str">
        <f>IF(ISNUMBER(outYear),JQX37+JQX42+#REF!+JQX59,"")</f>
        <v/>
      </c>
      <c r="JQY62" s="87" t="str">
        <f>IF(ISNUMBER(outYear),JQY37+JQY42+#REF!+JQY59,"")</f>
        <v/>
      </c>
      <c r="JQZ62" s="87" t="str">
        <f>IF(ISNUMBER(outYear),JQZ37+JQZ42+#REF!+JQZ59,"")</f>
        <v/>
      </c>
      <c r="JRA62" s="87" t="str">
        <f>IF(ISNUMBER(outYear),JRA37+JRA42+#REF!+JRA59,"")</f>
        <v/>
      </c>
      <c r="JRB62" s="87" t="str">
        <f>IF(ISNUMBER(outYear),JRB37+JRB42+#REF!+JRB59,"")</f>
        <v/>
      </c>
      <c r="JRC62" s="87" t="str">
        <f>IF(ISNUMBER(outYear),JRC37+JRC42+#REF!+JRC59,"")</f>
        <v/>
      </c>
      <c r="JRD62" s="87" t="str">
        <f>IF(ISNUMBER(outYear),JRD37+JRD42+#REF!+JRD59,"")</f>
        <v/>
      </c>
      <c r="JRE62" s="87" t="str">
        <f>IF(ISNUMBER(outYear),JRE37+JRE42+#REF!+JRE59,"")</f>
        <v/>
      </c>
      <c r="JRF62" s="87" t="str">
        <f>IF(ISNUMBER(outYear),JRF37+JRF42+#REF!+JRF59,"")</f>
        <v/>
      </c>
      <c r="JRG62" s="87" t="str">
        <f>IF(ISNUMBER(outYear),JRG37+JRG42+#REF!+JRG59,"")</f>
        <v/>
      </c>
      <c r="JRH62" s="87" t="str">
        <f>IF(ISNUMBER(outYear),JRH37+JRH42+#REF!+JRH59,"")</f>
        <v/>
      </c>
      <c r="JRI62" s="87" t="str">
        <f>IF(ISNUMBER(outYear),JRI37+JRI42+#REF!+JRI59,"")</f>
        <v/>
      </c>
      <c r="JRJ62" s="87" t="str">
        <f>IF(ISNUMBER(outYear),JRJ37+JRJ42+#REF!+JRJ59,"")</f>
        <v/>
      </c>
      <c r="JRK62" s="87" t="str">
        <f>IF(ISNUMBER(outYear),JRK37+JRK42+#REF!+JRK59,"")</f>
        <v/>
      </c>
      <c r="JRL62" s="87" t="str">
        <f>IF(ISNUMBER(outYear),JRL37+JRL42+#REF!+JRL59,"")</f>
        <v/>
      </c>
      <c r="JRM62" s="87" t="str">
        <f>IF(ISNUMBER(outYear),JRM37+JRM42+#REF!+JRM59,"")</f>
        <v/>
      </c>
      <c r="JRN62" s="87" t="str">
        <f>IF(ISNUMBER(outYear),JRN37+JRN42+#REF!+JRN59,"")</f>
        <v/>
      </c>
      <c r="JRO62" s="87" t="str">
        <f>IF(ISNUMBER(outYear),JRO37+JRO42+#REF!+JRO59,"")</f>
        <v/>
      </c>
      <c r="JRP62" s="87" t="str">
        <f>IF(ISNUMBER(outYear),JRP37+JRP42+#REF!+JRP59,"")</f>
        <v/>
      </c>
      <c r="JRQ62" s="87" t="str">
        <f>IF(ISNUMBER(outYear),JRQ37+JRQ42+#REF!+JRQ59,"")</f>
        <v/>
      </c>
      <c r="JRR62" s="87" t="str">
        <f>IF(ISNUMBER(outYear),JRR37+JRR42+#REF!+JRR59,"")</f>
        <v/>
      </c>
      <c r="JRS62" s="87" t="str">
        <f>IF(ISNUMBER(outYear),JRS37+JRS42+#REF!+JRS59,"")</f>
        <v/>
      </c>
      <c r="JRT62" s="87" t="str">
        <f>IF(ISNUMBER(outYear),JRT37+JRT42+#REF!+JRT59,"")</f>
        <v/>
      </c>
      <c r="JRU62" s="87" t="str">
        <f>IF(ISNUMBER(outYear),JRU37+JRU42+#REF!+JRU59,"")</f>
        <v/>
      </c>
      <c r="JRV62" s="87" t="str">
        <f>IF(ISNUMBER(outYear),JRV37+JRV42+#REF!+JRV59,"")</f>
        <v/>
      </c>
      <c r="JRW62" s="87" t="str">
        <f>IF(ISNUMBER(outYear),JRW37+JRW42+#REF!+JRW59,"")</f>
        <v/>
      </c>
      <c r="JRX62" s="87" t="str">
        <f>IF(ISNUMBER(outYear),JRX37+JRX42+#REF!+JRX59,"")</f>
        <v/>
      </c>
      <c r="JRY62" s="87" t="str">
        <f>IF(ISNUMBER(outYear),JRY37+JRY42+#REF!+JRY59,"")</f>
        <v/>
      </c>
      <c r="JRZ62" s="87" t="str">
        <f>IF(ISNUMBER(outYear),JRZ37+JRZ42+#REF!+JRZ59,"")</f>
        <v/>
      </c>
      <c r="JSA62" s="87" t="str">
        <f>IF(ISNUMBER(outYear),JSA37+JSA42+#REF!+JSA59,"")</f>
        <v/>
      </c>
      <c r="JSB62" s="87" t="str">
        <f>IF(ISNUMBER(outYear),JSB37+JSB42+#REF!+JSB59,"")</f>
        <v/>
      </c>
      <c r="JSC62" s="87" t="str">
        <f>IF(ISNUMBER(outYear),JSC37+JSC42+#REF!+JSC59,"")</f>
        <v/>
      </c>
      <c r="JSD62" s="87" t="str">
        <f>IF(ISNUMBER(outYear),JSD37+JSD42+#REF!+JSD59,"")</f>
        <v/>
      </c>
      <c r="JSE62" s="87" t="str">
        <f>IF(ISNUMBER(outYear),JSE37+JSE42+#REF!+JSE59,"")</f>
        <v/>
      </c>
      <c r="JSF62" s="87" t="str">
        <f>IF(ISNUMBER(outYear),JSF37+JSF42+#REF!+JSF59,"")</f>
        <v/>
      </c>
      <c r="JSG62" s="87" t="str">
        <f>IF(ISNUMBER(outYear),JSG37+JSG42+#REF!+JSG59,"")</f>
        <v/>
      </c>
      <c r="JSH62" s="87" t="str">
        <f>IF(ISNUMBER(outYear),JSH37+JSH42+#REF!+JSH59,"")</f>
        <v/>
      </c>
      <c r="JSI62" s="87" t="str">
        <f>IF(ISNUMBER(outYear),JSI37+JSI42+#REF!+JSI59,"")</f>
        <v/>
      </c>
      <c r="JSJ62" s="87" t="str">
        <f>IF(ISNUMBER(outYear),JSJ37+JSJ42+#REF!+JSJ59,"")</f>
        <v/>
      </c>
      <c r="JSK62" s="87" t="str">
        <f>IF(ISNUMBER(outYear),JSK37+JSK42+#REF!+JSK59,"")</f>
        <v/>
      </c>
      <c r="JSL62" s="87" t="str">
        <f>IF(ISNUMBER(outYear),JSL37+JSL42+#REF!+JSL59,"")</f>
        <v/>
      </c>
      <c r="JSM62" s="87" t="str">
        <f>IF(ISNUMBER(outYear),JSM37+JSM42+#REF!+JSM59,"")</f>
        <v/>
      </c>
      <c r="JSN62" s="87" t="str">
        <f>IF(ISNUMBER(outYear),JSN37+JSN42+#REF!+JSN59,"")</f>
        <v/>
      </c>
      <c r="JSO62" s="87" t="str">
        <f>IF(ISNUMBER(outYear),JSO37+JSO42+#REF!+JSO59,"")</f>
        <v/>
      </c>
      <c r="JSP62" s="87" t="str">
        <f>IF(ISNUMBER(outYear),JSP37+JSP42+#REF!+JSP59,"")</f>
        <v/>
      </c>
      <c r="JSQ62" s="87" t="str">
        <f>IF(ISNUMBER(outYear),JSQ37+JSQ42+#REF!+JSQ59,"")</f>
        <v/>
      </c>
      <c r="JSR62" s="87" t="str">
        <f>IF(ISNUMBER(outYear),JSR37+JSR42+#REF!+JSR59,"")</f>
        <v/>
      </c>
      <c r="JSS62" s="87" t="str">
        <f>IF(ISNUMBER(outYear),JSS37+JSS42+#REF!+JSS59,"")</f>
        <v/>
      </c>
      <c r="JST62" s="87" t="str">
        <f>IF(ISNUMBER(outYear),JST37+JST42+#REF!+JST59,"")</f>
        <v/>
      </c>
      <c r="JSU62" s="87" t="str">
        <f>IF(ISNUMBER(outYear),JSU37+JSU42+#REF!+JSU59,"")</f>
        <v/>
      </c>
      <c r="JSV62" s="87" t="str">
        <f>IF(ISNUMBER(outYear),JSV37+JSV42+#REF!+JSV59,"")</f>
        <v/>
      </c>
      <c r="JSW62" s="87" t="str">
        <f>IF(ISNUMBER(outYear),JSW37+JSW42+#REF!+JSW59,"")</f>
        <v/>
      </c>
      <c r="JSX62" s="87" t="str">
        <f>IF(ISNUMBER(outYear),JSX37+JSX42+#REF!+JSX59,"")</f>
        <v/>
      </c>
      <c r="JSY62" s="87" t="str">
        <f>IF(ISNUMBER(outYear),JSY37+JSY42+#REF!+JSY59,"")</f>
        <v/>
      </c>
      <c r="JSZ62" s="87" t="str">
        <f>IF(ISNUMBER(outYear),JSZ37+JSZ42+#REF!+JSZ59,"")</f>
        <v/>
      </c>
      <c r="JTA62" s="87" t="str">
        <f>IF(ISNUMBER(outYear),JTA37+JTA42+#REF!+JTA59,"")</f>
        <v/>
      </c>
      <c r="JTB62" s="87" t="str">
        <f>IF(ISNUMBER(outYear),JTB37+JTB42+#REF!+JTB59,"")</f>
        <v/>
      </c>
      <c r="JTC62" s="87" t="str">
        <f>IF(ISNUMBER(outYear),JTC37+JTC42+#REF!+JTC59,"")</f>
        <v/>
      </c>
      <c r="JTD62" s="87" t="str">
        <f>IF(ISNUMBER(outYear),JTD37+JTD42+#REF!+JTD59,"")</f>
        <v/>
      </c>
      <c r="JTE62" s="87" t="str">
        <f>IF(ISNUMBER(outYear),JTE37+JTE42+#REF!+JTE59,"")</f>
        <v/>
      </c>
      <c r="JTF62" s="87" t="str">
        <f>IF(ISNUMBER(outYear),JTF37+JTF42+#REF!+JTF59,"")</f>
        <v/>
      </c>
      <c r="JTG62" s="87" t="str">
        <f>IF(ISNUMBER(outYear),JTG37+JTG42+#REF!+JTG59,"")</f>
        <v/>
      </c>
      <c r="JTH62" s="87" t="str">
        <f>IF(ISNUMBER(outYear),JTH37+JTH42+#REF!+JTH59,"")</f>
        <v/>
      </c>
      <c r="JTI62" s="87" t="str">
        <f>IF(ISNUMBER(outYear),JTI37+JTI42+#REF!+JTI59,"")</f>
        <v/>
      </c>
      <c r="JTJ62" s="87" t="str">
        <f>IF(ISNUMBER(outYear),JTJ37+JTJ42+#REF!+JTJ59,"")</f>
        <v/>
      </c>
      <c r="JTK62" s="87" t="str">
        <f>IF(ISNUMBER(outYear),JTK37+JTK42+#REF!+JTK59,"")</f>
        <v/>
      </c>
      <c r="JTL62" s="87" t="str">
        <f>IF(ISNUMBER(outYear),JTL37+JTL42+#REF!+JTL59,"")</f>
        <v/>
      </c>
      <c r="JTM62" s="87" t="str">
        <f>IF(ISNUMBER(outYear),JTM37+JTM42+#REF!+JTM59,"")</f>
        <v/>
      </c>
      <c r="JTN62" s="87" t="str">
        <f>IF(ISNUMBER(outYear),JTN37+JTN42+#REF!+JTN59,"")</f>
        <v/>
      </c>
      <c r="JTO62" s="87" t="str">
        <f>IF(ISNUMBER(outYear),JTO37+JTO42+#REF!+JTO59,"")</f>
        <v/>
      </c>
      <c r="JTP62" s="87" t="str">
        <f>IF(ISNUMBER(outYear),JTP37+JTP42+#REF!+JTP59,"")</f>
        <v/>
      </c>
      <c r="JTQ62" s="87" t="str">
        <f>IF(ISNUMBER(outYear),JTQ37+JTQ42+#REF!+JTQ59,"")</f>
        <v/>
      </c>
      <c r="JTR62" s="87" t="str">
        <f>IF(ISNUMBER(outYear),JTR37+JTR42+#REF!+JTR59,"")</f>
        <v/>
      </c>
      <c r="JTS62" s="87" t="str">
        <f>IF(ISNUMBER(outYear),JTS37+JTS42+#REF!+JTS59,"")</f>
        <v/>
      </c>
      <c r="JTT62" s="87" t="str">
        <f>IF(ISNUMBER(outYear),JTT37+JTT42+#REF!+JTT59,"")</f>
        <v/>
      </c>
      <c r="JTU62" s="87" t="str">
        <f>IF(ISNUMBER(outYear),JTU37+JTU42+#REF!+JTU59,"")</f>
        <v/>
      </c>
      <c r="JTV62" s="87" t="str">
        <f>IF(ISNUMBER(outYear),JTV37+JTV42+#REF!+JTV59,"")</f>
        <v/>
      </c>
      <c r="JTW62" s="87" t="str">
        <f>IF(ISNUMBER(outYear),JTW37+JTW42+#REF!+JTW59,"")</f>
        <v/>
      </c>
      <c r="JTX62" s="87" t="str">
        <f>IF(ISNUMBER(outYear),JTX37+JTX42+#REF!+JTX59,"")</f>
        <v/>
      </c>
      <c r="JTY62" s="87" t="str">
        <f>IF(ISNUMBER(outYear),JTY37+JTY42+#REF!+JTY59,"")</f>
        <v/>
      </c>
      <c r="JTZ62" s="87" t="str">
        <f>IF(ISNUMBER(outYear),JTZ37+JTZ42+#REF!+JTZ59,"")</f>
        <v/>
      </c>
      <c r="JUA62" s="87" t="str">
        <f>IF(ISNUMBER(outYear),JUA37+JUA42+#REF!+JUA59,"")</f>
        <v/>
      </c>
      <c r="JUB62" s="87" t="str">
        <f>IF(ISNUMBER(outYear),JUB37+JUB42+#REF!+JUB59,"")</f>
        <v/>
      </c>
      <c r="JUC62" s="87" t="str">
        <f>IF(ISNUMBER(outYear),JUC37+JUC42+#REF!+JUC59,"")</f>
        <v/>
      </c>
      <c r="JUD62" s="87" t="str">
        <f>IF(ISNUMBER(outYear),JUD37+JUD42+#REF!+JUD59,"")</f>
        <v/>
      </c>
      <c r="JUE62" s="87" t="str">
        <f>IF(ISNUMBER(outYear),JUE37+JUE42+#REF!+JUE59,"")</f>
        <v/>
      </c>
      <c r="JUF62" s="87" t="str">
        <f>IF(ISNUMBER(outYear),JUF37+JUF42+#REF!+JUF59,"")</f>
        <v/>
      </c>
      <c r="JUG62" s="87" t="str">
        <f>IF(ISNUMBER(outYear),JUG37+JUG42+#REF!+JUG59,"")</f>
        <v/>
      </c>
      <c r="JUH62" s="87" t="str">
        <f>IF(ISNUMBER(outYear),JUH37+JUH42+#REF!+JUH59,"")</f>
        <v/>
      </c>
      <c r="JUI62" s="87" t="str">
        <f>IF(ISNUMBER(outYear),JUI37+JUI42+#REF!+JUI59,"")</f>
        <v/>
      </c>
      <c r="JUJ62" s="87" t="str">
        <f>IF(ISNUMBER(outYear),JUJ37+JUJ42+#REF!+JUJ59,"")</f>
        <v/>
      </c>
      <c r="JUK62" s="87" t="str">
        <f>IF(ISNUMBER(outYear),JUK37+JUK42+#REF!+JUK59,"")</f>
        <v/>
      </c>
      <c r="JUL62" s="87" t="str">
        <f>IF(ISNUMBER(outYear),JUL37+JUL42+#REF!+JUL59,"")</f>
        <v/>
      </c>
      <c r="JUM62" s="87" t="str">
        <f>IF(ISNUMBER(outYear),JUM37+JUM42+#REF!+JUM59,"")</f>
        <v/>
      </c>
      <c r="JUN62" s="87" t="str">
        <f>IF(ISNUMBER(outYear),JUN37+JUN42+#REF!+JUN59,"")</f>
        <v/>
      </c>
      <c r="JUO62" s="87" t="str">
        <f>IF(ISNUMBER(outYear),JUO37+JUO42+#REF!+JUO59,"")</f>
        <v/>
      </c>
      <c r="JUP62" s="87" t="str">
        <f>IF(ISNUMBER(outYear),JUP37+JUP42+#REF!+JUP59,"")</f>
        <v/>
      </c>
      <c r="JUQ62" s="87" t="str">
        <f>IF(ISNUMBER(outYear),JUQ37+JUQ42+#REF!+JUQ59,"")</f>
        <v/>
      </c>
      <c r="JUR62" s="87" t="str">
        <f>IF(ISNUMBER(outYear),JUR37+JUR42+#REF!+JUR59,"")</f>
        <v/>
      </c>
      <c r="JUS62" s="87" t="str">
        <f>IF(ISNUMBER(outYear),JUS37+JUS42+#REF!+JUS59,"")</f>
        <v/>
      </c>
      <c r="JUT62" s="87" t="str">
        <f>IF(ISNUMBER(outYear),JUT37+JUT42+#REF!+JUT59,"")</f>
        <v/>
      </c>
      <c r="JUU62" s="87" t="str">
        <f>IF(ISNUMBER(outYear),JUU37+JUU42+#REF!+JUU59,"")</f>
        <v/>
      </c>
      <c r="JUV62" s="87" t="str">
        <f>IF(ISNUMBER(outYear),JUV37+JUV42+#REF!+JUV59,"")</f>
        <v/>
      </c>
      <c r="JUW62" s="87" t="str">
        <f>IF(ISNUMBER(outYear),JUW37+JUW42+#REF!+JUW59,"")</f>
        <v/>
      </c>
      <c r="JUX62" s="87" t="str">
        <f>IF(ISNUMBER(outYear),JUX37+JUX42+#REF!+JUX59,"")</f>
        <v/>
      </c>
      <c r="JUY62" s="87" t="str">
        <f>IF(ISNUMBER(outYear),JUY37+JUY42+#REF!+JUY59,"")</f>
        <v/>
      </c>
      <c r="JUZ62" s="87" t="str">
        <f>IF(ISNUMBER(outYear),JUZ37+JUZ42+#REF!+JUZ59,"")</f>
        <v/>
      </c>
      <c r="JVA62" s="87" t="str">
        <f>IF(ISNUMBER(outYear),JVA37+JVA42+#REF!+JVA59,"")</f>
        <v/>
      </c>
      <c r="JVB62" s="87" t="str">
        <f>IF(ISNUMBER(outYear),JVB37+JVB42+#REF!+JVB59,"")</f>
        <v/>
      </c>
      <c r="JVC62" s="87" t="str">
        <f>IF(ISNUMBER(outYear),JVC37+JVC42+#REF!+JVC59,"")</f>
        <v/>
      </c>
      <c r="JVD62" s="87" t="str">
        <f>IF(ISNUMBER(outYear),JVD37+JVD42+#REF!+JVD59,"")</f>
        <v/>
      </c>
      <c r="JVE62" s="87" t="str">
        <f>IF(ISNUMBER(outYear),JVE37+JVE42+#REF!+JVE59,"")</f>
        <v/>
      </c>
      <c r="JVF62" s="87" t="str">
        <f>IF(ISNUMBER(outYear),JVF37+JVF42+#REF!+JVF59,"")</f>
        <v/>
      </c>
      <c r="JVG62" s="87" t="str">
        <f>IF(ISNUMBER(outYear),JVG37+JVG42+#REF!+JVG59,"")</f>
        <v/>
      </c>
      <c r="JVH62" s="87" t="str">
        <f>IF(ISNUMBER(outYear),JVH37+JVH42+#REF!+JVH59,"")</f>
        <v/>
      </c>
      <c r="JVI62" s="87" t="str">
        <f>IF(ISNUMBER(outYear),JVI37+JVI42+#REF!+JVI59,"")</f>
        <v/>
      </c>
      <c r="JVJ62" s="87" t="str">
        <f>IF(ISNUMBER(outYear),JVJ37+JVJ42+#REF!+JVJ59,"")</f>
        <v/>
      </c>
      <c r="JVK62" s="87" t="str">
        <f>IF(ISNUMBER(outYear),JVK37+JVK42+#REF!+JVK59,"")</f>
        <v/>
      </c>
      <c r="JVL62" s="87" t="str">
        <f>IF(ISNUMBER(outYear),JVL37+JVL42+#REF!+JVL59,"")</f>
        <v/>
      </c>
      <c r="JVM62" s="87" t="str">
        <f>IF(ISNUMBER(outYear),JVM37+JVM42+#REF!+JVM59,"")</f>
        <v/>
      </c>
      <c r="JVN62" s="87" t="str">
        <f>IF(ISNUMBER(outYear),JVN37+JVN42+#REF!+JVN59,"")</f>
        <v/>
      </c>
      <c r="JVO62" s="87" t="str">
        <f>IF(ISNUMBER(outYear),JVO37+JVO42+#REF!+JVO59,"")</f>
        <v/>
      </c>
      <c r="JVP62" s="87" t="str">
        <f>IF(ISNUMBER(outYear),JVP37+JVP42+#REF!+JVP59,"")</f>
        <v/>
      </c>
      <c r="JVQ62" s="87" t="str">
        <f>IF(ISNUMBER(outYear),JVQ37+JVQ42+#REF!+JVQ59,"")</f>
        <v/>
      </c>
      <c r="JVR62" s="87" t="str">
        <f>IF(ISNUMBER(outYear),JVR37+JVR42+#REF!+JVR59,"")</f>
        <v/>
      </c>
      <c r="JVS62" s="87" t="str">
        <f>IF(ISNUMBER(outYear),JVS37+JVS42+#REF!+JVS59,"")</f>
        <v/>
      </c>
      <c r="JVT62" s="87" t="str">
        <f>IF(ISNUMBER(outYear),JVT37+JVT42+#REF!+JVT59,"")</f>
        <v/>
      </c>
      <c r="JVU62" s="87" t="str">
        <f>IF(ISNUMBER(outYear),JVU37+JVU42+#REF!+JVU59,"")</f>
        <v/>
      </c>
      <c r="JVV62" s="87" t="str">
        <f>IF(ISNUMBER(outYear),JVV37+JVV42+#REF!+JVV59,"")</f>
        <v/>
      </c>
      <c r="JVW62" s="87" t="str">
        <f>IF(ISNUMBER(outYear),JVW37+JVW42+#REF!+JVW59,"")</f>
        <v/>
      </c>
      <c r="JVX62" s="87" t="str">
        <f>IF(ISNUMBER(outYear),JVX37+JVX42+#REF!+JVX59,"")</f>
        <v/>
      </c>
      <c r="JVY62" s="87" t="str">
        <f>IF(ISNUMBER(outYear),JVY37+JVY42+#REF!+JVY59,"")</f>
        <v/>
      </c>
      <c r="JVZ62" s="87" t="str">
        <f>IF(ISNUMBER(outYear),JVZ37+JVZ42+#REF!+JVZ59,"")</f>
        <v/>
      </c>
      <c r="JWA62" s="87" t="str">
        <f>IF(ISNUMBER(outYear),JWA37+JWA42+#REF!+JWA59,"")</f>
        <v/>
      </c>
      <c r="JWB62" s="87" t="str">
        <f>IF(ISNUMBER(outYear),JWB37+JWB42+#REF!+JWB59,"")</f>
        <v/>
      </c>
      <c r="JWC62" s="87" t="str">
        <f>IF(ISNUMBER(outYear),JWC37+JWC42+#REF!+JWC59,"")</f>
        <v/>
      </c>
      <c r="JWD62" s="87" t="str">
        <f>IF(ISNUMBER(outYear),JWD37+JWD42+#REF!+JWD59,"")</f>
        <v/>
      </c>
      <c r="JWE62" s="87" t="str">
        <f>IF(ISNUMBER(outYear),JWE37+JWE42+#REF!+JWE59,"")</f>
        <v/>
      </c>
      <c r="JWF62" s="87" t="str">
        <f>IF(ISNUMBER(outYear),JWF37+JWF42+#REF!+JWF59,"")</f>
        <v/>
      </c>
      <c r="JWG62" s="87" t="str">
        <f>IF(ISNUMBER(outYear),JWG37+JWG42+#REF!+JWG59,"")</f>
        <v/>
      </c>
      <c r="JWH62" s="87" t="str">
        <f>IF(ISNUMBER(outYear),JWH37+JWH42+#REF!+JWH59,"")</f>
        <v/>
      </c>
      <c r="JWI62" s="87" t="str">
        <f>IF(ISNUMBER(outYear),JWI37+JWI42+#REF!+JWI59,"")</f>
        <v/>
      </c>
      <c r="JWJ62" s="87" t="str">
        <f>IF(ISNUMBER(outYear),JWJ37+JWJ42+#REF!+JWJ59,"")</f>
        <v/>
      </c>
      <c r="JWK62" s="87" t="str">
        <f>IF(ISNUMBER(outYear),JWK37+JWK42+#REF!+JWK59,"")</f>
        <v/>
      </c>
      <c r="JWL62" s="87" t="str">
        <f>IF(ISNUMBER(outYear),JWL37+JWL42+#REF!+JWL59,"")</f>
        <v/>
      </c>
      <c r="JWM62" s="87" t="str">
        <f>IF(ISNUMBER(outYear),JWM37+JWM42+#REF!+JWM59,"")</f>
        <v/>
      </c>
      <c r="JWN62" s="87" t="str">
        <f>IF(ISNUMBER(outYear),JWN37+JWN42+#REF!+JWN59,"")</f>
        <v/>
      </c>
      <c r="JWO62" s="87" t="str">
        <f>IF(ISNUMBER(outYear),JWO37+JWO42+#REF!+JWO59,"")</f>
        <v/>
      </c>
      <c r="JWP62" s="87" t="str">
        <f>IF(ISNUMBER(outYear),JWP37+JWP42+#REF!+JWP59,"")</f>
        <v/>
      </c>
      <c r="JWQ62" s="87" t="str">
        <f>IF(ISNUMBER(outYear),JWQ37+JWQ42+#REF!+JWQ59,"")</f>
        <v/>
      </c>
      <c r="JWR62" s="87" t="str">
        <f>IF(ISNUMBER(outYear),JWR37+JWR42+#REF!+JWR59,"")</f>
        <v/>
      </c>
      <c r="JWS62" s="87" t="str">
        <f>IF(ISNUMBER(outYear),JWS37+JWS42+#REF!+JWS59,"")</f>
        <v/>
      </c>
      <c r="JWT62" s="87" t="str">
        <f>IF(ISNUMBER(outYear),JWT37+JWT42+#REF!+JWT59,"")</f>
        <v/>
      </c>
      <c r="JWU62" s="87" t="str">
        <f>IF(ISNUMBER(outYear),JWU37+JWU42+#REF!+JWU59,"")</f>
        <v/>
      </c>
      <c r="JWV62" s="87" t="str">
        <f>IF(ISNUMBER(outYear),JWV37+JWV42+#REF!+JWV59,"")</f>
        <v/>
      </c>
      <c r="JWW62" s="87" t="str">
        <f>IF(ISNUMBER(outYear),JWW37+JWW42+#REF!+JWW59,"")</f>
        <v/>
      </c>
      <c r="JWX62" s="87" t="str">
        <f>IF(ISNUMBER(outYear),JWX37+JWX42+#REF!+JWX59,"")</f>
        <v/>
      </c>
      <c r="JWY62" s="87" t="str">
        <f>IF(ISNUMBER(outYear),JWY37+JWY42+#REF!+JWY59,"")</f>
        <v/>
      </c>
      <c r="JWZ62" s="87" t="str">
        <f>IF(ISNUMBER(outYear),JWZ37+JWZ42+#REF!+JWZ59,"")</f>
        <v/>
      </c>
      <c r="JXA62" s="87" t="str">
        <f>IF(ISNUMBER(outYear),JXA37+JXA42+#REF!+JXA59,"")</f>
        <v/>
      </c>
      <c r="JXB62" s="87" t="str">
        <f>IF(ISNUMBER(outYear),JXB37+JXB42+#REF!+JXB59,"")</f>
        <v/>
      </c>
      <c r="JXC62" s="87" t="str">
        <f>IF(ISNUMBER(outYear),JXC37+JXC42+#REF!+JXC59,"")</f>
        <v/>
      </c>
      <c r="JXD62" s="87" t="str">
        <f>IF(ISNUMBER(outYear),JXD37+JXD42+#REF!+JXD59,"")</f>
        <v/>
      </c>
      <c r="JXE62" s="87" t="str">
        <f>IF(ISNUMBER(outYear),JXE37+JXE42+#REF!+JXE59,"")</f>
        <v/>
      </c>
      <c r="JXF62" s="87" t="str">
        <f>IF(ISNUMBER(outYear),JXF37+JXF42+#REF!+JXF59,"")</f>
        <v/>
      </c>
      <c r="JXG62" s="87" t="str">
        <f>IF(ISNUMBER(outYear),JXG37+JXG42+#REF!+JXG59,"")</f>
        <v/>
      </c>
      <c r="JXH62" s="87" t="str">
        <f>IF(ISNUMBER(outYear),JXH37+JXH42+#REF!+JXH59,"")</f>
        <v/>
      </c>
      <c r="JXI62" s="87" t="str">
        <f>IF(ISNUMBER(outYear),JXI37+JXI42+#REF!+JXI59,"")</f>
        <v/>
      </c>
      <c r="JXJ62" s="87" t="str">
        <f>IF(ISNUMBER(outYear),JXJ37+JXJ42+#REF!+JXJ59,"")</f>
        <v/>
      </c>
      <c r="JXK62" s="87" t="str">
        <f>IF(ISNUMBER(outYear),JXK37+JXK42+#REF!+JXK59,"")</f>
        <v/>
      </c>
      <c r="JXL62" s="87" t="str">
        <f>IF(ISNUMBER(outYear),JXL37+JXL42+#REF!+JXL59,"")</f>
        <v/>
      </c>
      <c r="JXM62" s="87" t="str">
        <f>IF(ISNUMBER(outYear),JXM37+JXM42+#REF!+JXM59,"")</f>
        <v/>
      </c>
      <c r="JXN62" s="87" t="str">
        <f>IF(ISNUMBER(outYear),JXN37+JXN42+#REF!+JXN59,"")</f>
        <v/>
      </c>
      <c r="JXO62" s="87" t="str">
        <f>IF(ISNUMBER(outYear),JXO37+JXO42+#REF!+JXO59,"")</f>
        <v/>
      </c>
      <c r="JXP62" s="87" t="str">
        <f>IF(ISNUMBER(outYear),JXP37+JXP42+#REF!+JXP59,"")</f>
        <v/>
      </c>
      <c r="JXQ62" s="87" t="str">
        <f>IF(ISNUMBER(outYear),JXQ37+JXQ42+#REF!+JXQ59,"")</f>
        <v/>
      </c>
      <c r="JXR62" s="87" t="str">
        <f>IF(ISNUMBER(outYear),JXR37+JXR42+#REF!+JXR59,"")</f>
        <v/>
      </c>
      <c r="JXS62" s="87" t="str">
        <f>IF(ISNUMBER(outYear),JXS37+JXS42+#REF!+JXS59,"")</f>
        <v/>
      </c>
      <c r="JXT62" s="87" t="str">
        <f>IF(ISNUMBER(outYear),JXT37+JXT42+#REF!+JXT59,"")</f>
        <v/>
      </c>
      <c r="JXU62" s="87" t="str">
        <f>IF(ISNUMBER(outYear),JXU37+JXU42+#REF!+JXU59,"")</f>
        <v/>
      </c>
      <c r="JXV62" s="87" t="str">
        <f>IF(ISNUMBER(outYear),JXV37+JXV42+#REF!+JXV59,"")</f>
        <v/>
      </c>
      <c r="JXW62" s="87" t="str">
        <f>IF(ISNUMBER(outYear),JXW37+JXW42+#REF!+JXW59,"")</f>
        <v/>
      </c>
      <c r="JXX62" s="87" t="str">
        <f>IF(ISNUMBER(outYear),JXX37+JXX42+#REF!+JXX59,"")</f>
        <v/>
      </c>
      <c r="JXY62" s="87" t="str">
        <f>IF(ISNUMBER(outYear),JXY37+JXY42+#REF!+JXY59,"")</f>
        <v/>
      </c>
      <c r="JXZ62" s="87" t="str">
        <f>IF(ISNUMBER(outYear),JXZ37+JXZ42+#REF!+JXZ59,"")</f>
        <v/>
      </c>
      <c r="JYA62" s="87" t="str">
        <f>IF(ISNUMBER(outYear),JYA37+JYA42+#REF!+JYA59,"")</f>
        <v/>
      </c>
      <c r="JYB62" s="87" t="str">
        <f>IF(ISNUMBER(outYear),JYB37+JYB42+#REF!+JYB59,"")</f>
        <v/>
      </c>
      <c r="JYC62" s="87" t="str">
        <f>IF(ISNUMBER(outYear),JYC37+JYC42+#REF!+JYC59,"")</f>
        <v/>
      </c>
      <c r="JYD62" s="87" t="str">
        <f>IF(ISNUMBER(outYear),JYD37+JYD42+#REF!+JYD59,"")</f>
        <v/>
      </c>
      <c r="JYE62" s="87" t="str">
        <f>IF(ISNUMBER(outYear),JYE37+JYE42+#REF!+JYE59,"")</f>
        <v/>
      </c>
      <c r="JYF62" s="87" t="str">
        <f>IF(ISNUMBER(outYear),JYF37+JYF42+#REF!+JYF59,"")</f>
        <v/>
      </c>
      <c r="JYG62" s="87" t="str">
        <f>IF(ISNUMBER(outYear),JYG37+JYG42+#REF!+JYG59,"")</f>
        <v/>
      </c>
      <c r="JYH62" s="87" t="str">
        <f>IF(ISNUMBER(outYear),JYH37+JYH42+#REF!+JYH59,"")</f>
        <v/>
      </c>
      <c r="JYI62" s="87" t="str">
        <f>IF(ISNUMBER(outYear),JYI37+JYI42+#REF!+JYI59,"")</f>
        <v/>
      </c>
      <c r="JYJ62" s="87" t="str">
        <f>IF(ISNUMBER(outYear),JYJ37+JYJ42+#REF!+JYJ59,"")</f>
        <v/>
      </c>
      <c r="JYK62" s="87" t="str">
        <f>IF(ISNUMBER(outYear),JYK37+JYK42+#REF!+JYK59,"")</f>
        <v/>
      </c>
      <c r="JYL62" s="87" t="str">
        <f>IF(ISNUMBER(outYear),JYL37+JYL42+#REF!+JYL59,"")</f>
        <v/>
      </c>
      <c r="JYM62" s="87" t="str">
        <f>IF(ISNUMBER(outYear),JYM37+JYM42+#REF!+JYM59,"")</f>
        <v/>
      </c>
      <c r="JYN62" s="87" t="str">
        <f>IF(ISNUMBER(outYear),JYN37+JYN42+#REF!+JYN59,"")</f>
        <v/>
      </c>
      <c r="JYO62" s="87" t="str">
        <f>IF(ISNUMBER(outYear),JYO37+JYO42+#REF!+JYO59,"")</f>
        <v/>
      </c>
      <c r="JYP62" s="87" t="str">
        <f>IF(ISNUMBER(outYear),JYP37+JYP42+#REF!+JYP59,"")</f>
        <v/>
      </c>
      <c r="JYQ62" s="87" t="str">
        <f>IF(ISNUMBER(outYear),JYQ37+JYQ42+#REF!+JYQ59,"")</f>
        <v/>
      </c>
      <c r="JYR62" s="87" t="str">
        <f>IF(ISNUMBER(outYear),JYR37+JYR42+#REF!+JYR59,"")</f>
        <v/>
      </c>
      <c r="JYS62" s="87" t="str">
        <f>IF(ISNUMBER(outYear),JYS37+JYS42+#REF!+JYS59,"")</f>
        <v/>
      </c>
      <c r="JYT62" s="87" t="str">
        <f>IF(ISNUMBER(outYear),JYT37+JYT42+#REF!+JYT59,"")</f>
        <v/>
      </c>
      <c r="JYU62" s="87" t="str">
        <f>IF(ISNUMBER(outYear),JYU37+JYU42+#REF!+JYU59,"")</f>
        <v/>
      </c>
      <c r="JYV62" s="87" t="str">
        <f>IF(ISNUMBER(outYear),JYV37+JYV42+#REF!+JYV59,"")</f>
        <v/>
      </c>
      <c r="JYW62" s="87" t="str">
        <f>IF(ISNUMBER(outYear),JYW37+JYW42+#REF!+JYW59,"")</f>
        <v/>
      </c>
      <c r="JYX62" s="87" t="str">
        <f>IF(ISNUMBER(outYear),JYX37+JYX42+#REF!+JYX59,"")</f>
        <v/>
      </c>
      <c r="JYY62" s="87" t="str">
        <f>IF(ISNUMBER(outYear),JYY37+JYY42+#REF!+JYY59,"")</f>
        <v/>
      </c>
      <c r="JYZ62" s="87" t="str">
        <f>IF(ISNUMBER(outYear),JYZ37+JYZ42+#REF!+JYZ59,"")</f>
        <v/>
      </c>
      <c r="JZA62" s="87" t="str">
        <f>IF(ISNUMBER(outYear),JZA37+JZA42+#REF!+JZA59,"")</f>
        <v/>
      </c>
      <c r="JZB62" s="87" t="str">
        <f>IF(ISNUMBER(outYear),JZB37+JZB42+#REF!+JZB59,"")</f>
        <v/>
      </c>
      <c r="JZC62" s="87" t="str">
        <f>IF(ISNUMBER(outYear),JZC37+JZC42+#REF!+JZC59,"")</f>
        <v/>
      </c>
      <c r="JZD62" s="87" t="str">
        <f>IF(ISNUMBER(outYear),JZD37+JZD42+#REF!+JZD59,"")</f>
        <v/>
      </c>
      <c r="JZE62" s="87" t="str">
        <f>IF(ISNUMBER(outYear),JZE37+JZE42+#REF!+JZE59,"")</f>
        <v/>
      </c>
      <c r="JZF62" s="87" t="str">
        <f>IF(ISNUMBER(outYear),JZF37+JZF42+#REF!+JZF59,"")</f>
        <v/>
      </c>
      <c r="JZG62" s="87" t="str">
        <f>IF(ISNUMBER(outYear),JZG37+JZG42+#REF!+JZG59,"")</f>
        <v/>
      </c>
      <c r="JZH62" s="87" t="str">
        <f>IF(ISNUMBER(outYear),JZH37+JZH42+#REF!+JZH59,"")</f>
        <v/>
      </c>
      <c r="JZI62" s="87" t="str">
        <f>IF(ISNUMBER(outYear),JZI37+JZI42+#REF!+JZI59,"")</f>
        <v/>
      </c>
      <c r="JZJ62" s="87" t="str">
        <f>IF(ISNUMBER(outYear),JZJ37+JZJ42+#REF!+JZJ59,"")</f>
        <v/>
      </c>
      <c r="JZK62" s="87" t="str">
        <f>IF(ISNUMBER(outYear),JZK37+JZK42+#REF!+JZK59,"")</f>
        <v/>
      </c>
      <c r="JZL62" s="87" t="str">
        <f>IF(ISNUMBER(outYear),JZL37+JZL42+#REF!+JZL59,"")</f>
        <v/>
      </c>
      <c r="JZM62" s="87" t="str">
        <f>IF(ISNUMBER(outYear),JZM37+JZM42+#REF!+JZM59,"")</f>
        <v/>
      </c>
      <c r="JZN62" s="87" t="str">
        <f>IF(ISNUMBER(outYear),JZN37+JZN42+#REF!+JZN59,"")</f>
        <v/>
      </c>
      <c r="JZO62" s="87" t="str">
        <f>IF(ISNUMBER(outYear),JZO37+JZO42+#REF!+JZO59,"")</f>
        <v/>
      </c>
      <c r="JZP62" s="87" t="str">
        <f>IF(ISNUMBER(outYear),JZP37+JZP42+#REF!+JZP59,"")</f>
        <v/>
      </c>
      <c r="JZQ62" s="87" t="str">
        <f>IF(ISNUMBER(outYear),JZQ37+JZQ42+#REF!+JZQ59,"")</f>
        <v/>
      </c>
      <c r="JZR62" s="87" t="str">
        <f>IF(ISNUMBER(outYear),JZR37+JZR42+#REF!+JZR59,"")</f>
        <v/>
      </c>
      <c r="JZS62" s="87" t="str">
        <f>IF(ISNUMBER(outYear),JZS37+JZS42+#REF!+JZS59,"")</f>
        <v/>
      </c>
      <c r="JZT62" s="87" t="str">
        <f>IF(ISNUMBER(outYear),JZT37+JZT42+#REF!+JZT59,"")</f>
        <v/>
      </c>
      <c r="JZU62" s="87" t="str">
        <f>IF(ISNUMBER(outYear),JZU37+JZU42+#REF!+JZU59,"")</f>
        <v/>
      </c>
      <c r="JZV62" s="87" t="str">
        <f>IF(ISNUMBER(outYear),JZV37+JZV42+#REF!+JZV59,"")</f>
        <v/>
      </c>
      <c r="JZW62" s="87" t="str">
        <f>IF(ISNUMBER(outYear),JZW37+JZW42+#REF!+JZW59,"")</f>
        <v/>
      </c>
      <c r="JZX62" s="87" t="str">
        <f>IF(ISNUMBER(outYear),JZX37+JZX42+#REF!+JZX59,"")</f>
        <v/>
      </c>
      <c r="JZY62" s="87" t="str">
        <f>IF(ISNUMBER(outYear),JZY37+JZY42+#REF!+JZY59,"")</f>
        <v/>
      </c>
      <c r="JZZ62" s="87" t="str">
        <f>IF(ISNUMBER(outYear),JZZ37+JZZ42+#REF!+JZZ59,"")</f>
        <v/>
      </c>
      <c r="KAA62" s="87" t="str">
        <f>IF(ISNUMBER(outYear),KAA37+KAA42+#REF!+KAA59,"")</f>
        <v/>
      </c>
      <c r="KAB62" s="87" t="str">
        <f>IF(ISNUMBER(outYear),KAB37+KAB42+#REF!+KAB59,"")</f>
        <v/>
      </c>
      <c r="KAC62" s="87" t="str">
        <f>IF(ISNUMBER(outYear),KAC37+KAC42+#REF!+KAC59,"")</f>
        <v/>
      </c>
      <c r="KAD62" s="87" t="str">
        <f>IF(ISNUMBER(outYear),KAD37+KAD42+#REF!+KAD59,"")</f>
        <v/>
      </c>
      <c r="KAE62" s="87" t="str">
        <f>IF(ISNUMBER(outYear),KAE37+KAE42+#REF!+KAE59,"")</f>
        <v/>
      </c>
      <c r="KAF62" s="87" t="str">
        <f>IF(ISNUMBER(outYear),KAF37+KAF42+#REF!+KAF59,"")</f>
        <v/>
      </c>
      <c r="KAG62" s="87" t="str">
        <f>IF(ISNUMBER(outYear),KAG37+KAG42+#REF!+KAG59,"")</f>
        <v/>
      </c>
      <c r="KAH62" s="87" t="str">
        <f>IF(ISNUMBER(outYear),KAH37+KAH42+#REF!+KAH59,"")</f>
        <v/>
      </c>
      <c r="KAI62" s="87" t="str">
        <f>IF(ISNUMBER(outYear),KAI37+KAI42+#REF!+KAI59,"")</f>
        <v/>
      </c>
      <c r="KAJ62" s="87" t="str">
        <f>IF(ISNUMBER(outYear),KAJ37+KAJ42+#REF!+KAJ59,"")</f>
        <v/>
      </c>
      <c r="KAK62" s="87" t="str">
        <f>IF(ISNUMBER(outYear),KAK37+KAK42+#REF!+KAK59,"")</f>
        <v/>
      </c>
      <c r="KAL62" s="87" t="str">
        <f>IF(ISNUMBER(outYear),KAL37+KAL42+#REF!+KAL59,"")</f>
        <v/>
      </c>
      <c r="KAM62" s="87" t="str">
        <f>IF(ISNUMBER(outYear),KAM37+KAM42+#REF!+KAM59,"")</f>
        <v/>
      </c>
      <c r="KAN62" s="87" t="str">
        <f>IF(ISNUMBER(outYear),KAN37+KAN42+#REF!+KAN59,"")</f>
        <v/>
      </c>
      <c r="KAO62" s="87" t="str">
        <f>IF(ISNUMBER(outYear),KAO37+KAO42+#REF!+KAO59,"")</f>
        <v/>
      </c>
      <c r="KAP62" s="87" t="str">
        <f>IF(ISNUMBER(outYear),KAP37+KAP42+#REF!+KAP59,"")</f>
        <v/>
      </c>
      <c r="KAQ62" s="87" t="str">
        <f>IF(ISNUMBER(outYear),KAQ37+KAQ42+#REF!+KAQ59,"")</f>
        <v/>
      </c>
      <c r="KAR62" s="87" t="str">
        <f>IF(ISNUMBER(outYear),KAR37+KAR42+#REF!+KAR59,"")</f>
        <v/>
      </c>
      <c r="KAS62" s="87" t="str">
        <f>IF(ISNUMBER(outYear),KAS37+KAS42+#REF!+KAS59,"")</f>
        <v/>
      </c>
      <c r="KAT62" s="87" t="str">
        <f>IF(ISNUMBER(outYear),KAT37+KAT42+#REF!+KAT59,"")</f>
        <v/>
      </c>
      <c r="KAU62" s="87" t="str">
        <f>IF(ISNUMBER(outYear),KAU37+KAU42+#REF!+KAU59,"")</f>
        <v/>
      </c>
      <c r="KAV62" s="87" t="str">
        <f>IF(ISNUMBER(outYear),KAV37+KAV42+#REF!+KAV59,"")</f>
        <v/>
      </c>
      <c r="KAW62" s="87" t="str">
        <f>IF(ISNUMBER(outYear),KAW37+KAW42+#REF!+KAW59,"")</f>
        <v/>
      </c>
      <c r="KAX62" s="87" t="str">
        <f>IF(ISNUMBER(outYear),KAX37+KAX42+#REF!+KAX59,"")</f>
        <v/>
      </c>
      <c r="KAY62" s="87" t="str">
        <f>IF(ISNUMBER(outYear),KAY37+KAY42+#REF!+KAY59,"")</f>
        <v/>
      </c>
      <c r="KAZ62" s="87" t="str">
        <f>IF(ISNUMBER(outYear),KAZ37+KAZ42+#REF!+KAZ59,"")</f>
        <v/>
      </c>
      <c r="KBA62" s="87" t="str">
        <f>IF(ISNUMBER(outYear),KBA37+KBA42+#REF!+KBA59,"")</f>
        <v/>
      </c>
      <c r="KBB62" s="87" t="str">
        <f>IF(ISNUMBER(outYear),KBB37+KBB42+#REF!+KBB59,"")</f>
        <v/>
      </c>
      <c r="KBC62" s="87" t="str">
        <f>IF(ISNUMBER(outYear),KBC37+KBC42+#REF!+KBC59,"")</f>
        <v/>
      </c>
      <c r="KBD62" s="87" t="str">
        <f>IF(ISNUMBER(outYear),KBD37+KBD42+#REF!+KBD59,"")</f>
        <v/>
      </c>
      <c r="KBE62" s="87" t="str">
        <f>IF(ISNUMBER(outYear),KBE37+KBE42+#REF!+KBE59,"")</f>
        <v/>
      </c>
      <c r="KBF62" s="87" t="str">
        <f>IF(ISNUMBER(outYear),KBF37+KBF42+#REF!+KBF59,"")</f>
        <v/>
      </c>
      <c r="KBG62" s="87" t="str">
        <f>IF(ISNUMBER(outYear),KBG37+KBG42+#REF!+KBG59,"")</f>
        <v/>
      </c>
      <c r="KBH62" s="87" t="str">
        <f>IF(ISNUMBER(outYear),KBH37+KBH42+#REF!+KBH59,"")</f>
        <v/>
      </c>
      <c r="KBI62" s="87" t="str">
        <f>IF(ISNUMBER(outYear),KBI37+KBI42+#REF!+KBI59,"")</f>
        <v/>
      </c>
      <c r="KBJ62" s="87" t="str">
        <f>IF(ISNUMBER(outYear),KBJ37+KBJ42+#REF!+KBJ59,"")</f>
        <v/>
      </c>
      <c r="KBK62" s="87" t="str">
        <f>IF(ISNUMBER(outYear),KBK37+KBK42+#REF!+KBK59,"")</f>
        <v/>
      </c>
      <c r="KBL62" s="87" t="str">
        <f>IF(ISNUMBER(outYear),KBL37+KBL42+#REF!+KBL59,"")</f>
        <v/>
      </c>
      <c r="KBM62" s="87" t="str">
        <f>IF(ISNUMBER(outYear),KBM37+KBM42+#REF!+KBM59,"")</f>
        <v/>
      </c>
      <c r="KBN62" s="87" t="str">
        <f>IF(ISNUMBER(outYear),KBN37+KBN42+#REF!+KBN59,"")</f>
        <v/>
      </c>
      <c r="KBO62" s="87" t="str">
        <f>IF(ISNUMBER(outYear),KBO37+KBO42+#REF!+KBO59,"")</f>
        <v/>
      </c>
      <c r="KBP62" s="87" t="str">
        <f>IF(ISNUMBER(outYear),KBP37+KBP42+#REF!+KBP59,"")</f>
        <v/>
      </c>
      <c r="KBQ62" s="87" t="str">
        <f>IF(ISNUMBER(outYear),KBQ37+KBQ42+#REF!+KBQ59,"")</f>
        <v/>
      </c>
      <c r="KBR62" s="87" t="str">
        <f>IF(ISNUMBER(outYear),KBR37+KBR42+#REF!+KBR59,"")</f>
        <v/>
      </c>
      <c r="KBS62" s="87" t="str">
        <f>IF(ISNUMBER(outYear),KBS37+KBS42+#REF!+KBS59,"")</f>
        <v/>
      </c>
      <c r="KBT62" s="87" t="str">
        <f>IF(ISNUMBER(outYear),KBT37+KBT42+#REF!+KBT59,"")</f>
        <v/>
      </c>
      <c r="KBU62" s="87" t="str">
        <f>IF(ISNUMBER(outYear),KBU37+KBU42+#REF!+KBU59,"")</f>
        <v/>
      </c>
      <c r="KBV62" s="87" t="str">
        <f>IF(ISNUMBER(outYear),KBV37+KBV42+#REF!+KBV59,"")</f>
        <v/>
      </c>
      <c r="KBW62" s="87" t="str">
        <f>IF(ISNUMBER(outYear),KBW37+KBW42+#REF!+KBW59,"")</f>
        <v/>
      </c>
      <c r="KBX62" s="87" t="str">
        <f>IF(ISNUMBER(outYear),KBX37+KBX42+#REF!+KBX59,"")</f>
        <v/>
      </c>
      <c r="KBY62" s="87" t="str">
        <f>IF(ISNUMBER(outYear),KBY37+KBY42+#REF!+KBY59,"")</f>
        <v/>
      </c>
      <c r="KBZ62" s="87" t="str">
        <f>IF(ISNUMBER(outYear),KBZ37+KBZ42+#REF!+KBZ59,"")</f>
        <v/>
      </c>
      <c r="KCA62" s="87" t="str">
        <f>IF(ISNUMBER(outYear),KCA37+KCA42+#REF!+KCA59,"")</f>
        <v/>
      </c>
      <c r="KCB62" s="87" t="str">
        <f>IF(ISNUMBER(outYear),KCB37+KCB42+#REF!+KCB59,"")</f>
        <v/>
      </c>
      <c r="KCC62" s="87" t="str">
        <f>IF(ISNUMBER(outYear),KCC37+KCC42+#REF!+KCC59,"")</f>
        <v/>
      </c>
      <c r="KCD62" s="87" t="str">
        <f>IF(ISNUMBER(outYear),KCD37+KCD42+#REF!+KCD59,"")</f>
        <v/>
      </c>
      <c r="KCE62" s="87" t="str">
        <f>IF(ISNUMBER(outYear),KCE37+KCE42+#REF!+KCE59,"")</f>
        <v/>
      </c>
      <c r="KCF62" s="87" t="str">
        <f>IF(ISNUMBER(outYear),KCF37+KCF42+#REF!+KCF59,"")</f>
        <v/>
      </c>
      <c r="KCG62" s="87" t="str">
        <f>IF(ISNUMBER(outYear),KCG37+KCG42+#REF!+KCG59,"")</f>
        <v/>
      </c>
      <c r="KCH62" s="87" t="str">
        <f>IF(ISNUMBER(outYear),KCH37+KCH42+#REF!+KCH59,"")</f>
        <v/>
      </c>
      <c r="KCI62" s="87" t="str">
        <f>IF(ISNUMBER(outYear),KCI37+KCI42+#REF!+KCI59,"")</f>
        <v/>
      </c>
      <c r="KCJ62" s="87" t="str">
        <f>IF(ISNUMBER(outYear),KCJ37+KCJ42+#REF!+KCJ59,"")</f>
        <v/>
      </c>
      <c r="KCK62" s="87" t="str">
        <f>IF(ISNUMBER(outYear),KCK37+KCK42+#REF!+KCK59,"")</f>
        <v/>
      </c>
      <c r="KCL62" s="87" t="str">
        <f>IF(ISNUMBER(outYear),KCL37+KCL42+#REF!+KCL59,"")</f>
        <v/>
      </c>
      <c r="KCM62" s="87" t="str">
        <f>IF(ISNUMBER(outYear),KCM37+KCM42+#REF!+KCM59,"")</f>
        <v/>
      </c>
      <c r="KCN62" s="87" t="str">
        <f>IF(ISNUMBER(outYear),KCN37+KCN42+#REF!+KCN59,"")</f>
        <v/>
      </c>
      <c r="KCO62" s="87" t="str">
        <f>IF(ISNUMBER(outYear),KCO37+KCO42+#REF!+KCO59,"")</f>
        <v/>
      </c>
      <c r="KCP62" s="87" t="str">
        <f>IF(ISNUMBER(outYear),KCP37+KCP42+#REF!+KCP59,"")</f>
        <v/>
      </c>
      <c r="KCQ62" s="87" t="str">
        <f>IF(ISNUMBER(outYear),KCQ37+KCQ42+#REF!+KCQ59,"")</f>
        <v/>
      </c>
      <c r="KCR62" s="87" t="str">
        <f>IF(ISNUMBER(outYear),KCR37+KCR42+#REF!+KCR59,"")</f>
        <v/>
      </c>
      <c r="KCS62" s="87" t="str">
        <f>IF(ISNUMBER(outYear),KCS37+KCS42+#REF!+KCS59,"")</f>
        <v/>
      </c>
      <c r="KCT62" s="87" t="str">
        <f>IF(ISNUMBER(outYear),KCT37+KCT42+#REF!+KCT59,"")</f>
        <v/>
      </c>
      <c r="KCU62" s="87" t="str">
        <f>IF(ISNUMBER(outYear),KCU37+KCU42+#REF!+KCU59,"")</f>
        <v/>
      </c>
      <c r="KCV62" s="87" t="str">
        <f>IF(ISNUMBER(outYear),KCV37+KCV42+#REF!+KCV59,"")</f>
        <v/>
      </c>
      <c r="KCW62" s="87" t="str">
        <f>IF(ISNUMBER(outYear),KCW37+KCW42+#REF!+KCW59,"")</f>
        <v/>
      </c>
      <c r="KCX62" s="87" t="str">
        <f>IF(ISNUMBER(outYear),KCX37+KCX42+#REF!+KCX59,"")</f>
        <v/>
      </c>
      <c r="KCY62" s="87" t="str">
        <f>IF(ISNUMBER(outYear),KCY37+KCY42+#REF!+KCY59,"")</f>
        <v/>
      </c>
      <c r="KCZ62" s="87" t="str">
        <f>IF(ISNUMBER(outYear),KCZ37+KCZ42+#REF!+KCZ59,"")</f>
        <v/>
      </c>
      <c r="KDA62" s="87" t="str">
        <f>IF(ISNUMBER(outYear),KDA37+KDA42+#REF!+KDA59,"")</f>
        <v/>
      </c>
      <c r="KDB62" s="87" t="str">
        <f>IF(ISNUMBER(outYear),KDB37+KDB42+#REF!+KDB59,"")</f>
        <v/>
      </c>
      <c r="KDC62" s="87" t="str">
        <f>IF(ISNUMBER(outYear),KDC37+KDC42+#REF!+KDC59,"")</f>
        <v/>
      </c>
      <c r="KDD62" s="87" t="str">
        <f>IF(ISNUMBER(outYear),KDD37+KDD42+#REF!+KDD59,"")</f>
        <v/>
      </c>
      <c r="KDE62" s="87" t="str">
        <f>IF(ISNUMBER(outYear),KDE37+KDE42+#REF!+KDE59,"")</f>
        <v/>
      </c>
      <c r="KDF62" s="87" t="str">
        <f>IF(ISNUMBER(outYear),KDF37+KDF42+#REF!+KDF59,"")</f>
        <v/>
      </c>
      <c r="KDG62" s="87" t="str">
        <f>IF(ISNUMBER(outYear),KDG37+KDG42+#REF!+KDG59,"")</f>
        <v/>
      </c>
      <c r="KDH62" s="87" t="str">
        <f>IF(ISNUMBER(outYear),KDH37+KDH42+#REF!+KDH59,"")</f>
        <v/>
      </c>
      <c r="KDI62" s="87" t="str">
        <f>IF(ISNUMBER(outYear),KDI37+KDI42+#REF!+KDI59,"")</f>
        <v/>
      </c>
      <c r="KDJ62" s="87" t="str">
        <f>IF(ISNUMBER(outYear),KDJ37+KDJ42+#REF!+KDJ59,"")</f>
        <v/>
      </c>
      <c r="KDK62" s="87" t="str">
        <f>IF(ISNUMBER(outYear),KDK37+KDK42+#REF!+KDK59,"")</f>
        <v/>
      </c>
      <c r="KDL62" s="87" t="str">
        <f>IF(ISNUMBER(outYear),KDL37+KDL42+#REF!+KDL59,"")</f>
        <v/>
      </c>
      <c r="KDM62" s="87" t="str">
        <f>IF(ISNUMBER(outYear),KDM37+KDM42+#REF!+KDM59,"")</f>
        <v/>
      </c>
      <c r="KDN62" s="87" t="str">
        <f>IF(ISNUMBER(outYear),KDN37+KDN42+#REF!+KDN59,"")</f>
        <v/>
      </c>
      <c r="KDO62" s="87" t="str">
        <f>IF(ISNUMBER(outYear),KDO37+KDO42+#REF!+KDO59,"")</f>
        <v/>
      </c>
      <c r="KDP62" s="87" t="str">
        <f>IF(ISNUMBER(outYear),KDP37+KDP42+#REF!+KDP59,"")</f>
        <v/>
      </c>
      <c r="KDQ62" s="87" t="str">
        <f>IF(ISNUMBER(outYear),KDQ37+KDQ42+#REF!+KDQ59,"")</f>
        <v/>
      </c>
      <c r="KDR62" s="87" t="str">
        <f>IF(ISNUMBER(outYear),KDR37+KDR42+#REF!+KDR59,"")</f>
        <v/>
      </c>
      <c r="KDS62" s="87" t="str">
        <f>IF(ISNUMBER(outYear),KDS37+KDS42+#REF!+KDS59,"")</f>
        <v/>
      </c>
      <c r="KDT62" s="87" t="str">
        <f>IF(ISNUMBER(outYear),KDT37+KDT42+#REF!+KDT59,"")</f>
        <v/>
      </c>
      <c r="KDU62" s="87" t="str">
        <f>IF(ISNUMBER(outYear),KDU37+KDU42+#REF!+KDU59,"")</f>
        <v/>
      </c>
      <c r="KDV62" s="87" t="str">
        <f>IF(ISNUMBER(outYear),KDV37+KDV42+#REF!+KDV59,"")</f>
        <v/>
      </c>
      <c r="KDW62" s="87" t="str">
        <f>IF(ISNUMBER(outYear),KDW37+KDW42+#REF!+KDW59,"")</f>
        <v/>
      </c>
      <c r="KDX62" s="87" t="str">
        <f>IF(ISNUMBER(outYear),KDX37+KDX42+#REF!+KDX59,"")</f>
        <v/>
      </c>
      <c r="KDY62" s="87" t="str">
        <f>IF(ISNUMBER(outYear),KDY37+KDY42+#REF!+KDY59,"")</f>
        <v/>
      </c>
      <c r="KDZ62" s="87" t="str">
        <f>IF(ISNUMBER(outYear),KDZ37+KDZ42+#REF!+KDZ59,"")</f>
        <v/>
      </c>
      <c r="KEA62" s="87" t="str">
        <f>IF(ISNUMBER(outYear),KEA37+KEA42+#REF!+KEA59,"")</f>
        <v/>
      </c>
      <c r="KEB62" s="87" t="str">
        <f>IF(ISNUMBER(outYear),KEB37+KEB42+#REF!+KEB59,"")</f>
        <v/>
      </c>
      <c r="KEC62" s="87" t="str">
        <f>IF(ISNUMBER(outYear),KEC37+KEC42+#REF!+KEC59,"")</f>
        <v/>
      </c>
      <c r="KED62" s="87" t="str">
        <f>IF(ISNUMBER(outYear),KED37+KED42+#REF!+KED59,"")</f>
        <v/>
      </c>
      <c r="KEE62" s="87" t="str">
        <f>IF(ISNUMBER(outYear),KEE37+KEE42+#REF!+KEE59,"")</f>
        <v/>
      </c>
      <c r="KEF62" s="87" t="str">
        <f>IF(ISNUMBER(outYear),KEF37+KEF42+#REF!+KEF59,"")</f>
        <v/>
      </c>
      <c r="KEG62" s="87" t="str">
        <f>IF(ISNUMBER(outYear),KEG37+KEG42+#REF!+KEG59,"")</f>
        <v/>
      </c>
      <c r="KEH62" s="87" t="str">
        <f>IF(ISNUMBER(outYear),KEH37+KEH42+#REF!+KEH59,"")</f>
        <v/>
      </c>
      <c r="KEI62" s="87" t="str">
        <f>IF(ISNUMBER(outYear),KEI37+KEI42+#REF!+KEI59,"")</f>
        <v/>
      </c>
      <c r="KEJ62" s="87" t="str">
        <f>IF(ISNUMBER(outYear),KEJ37+KEJ42+#REF!+KEJ59,"")</f>
        <v/>
      </c>
      <c r="KEK62" s="87" t="str">
        <f>IF(ISNUMBER(outYear),KEK37+KEK42+#REF!+KEK59,"")</f>
        <v/>
      </c>
      <c r="KEL62" s="87" t="str">
        <f>IF(ISNUMBER(outYear),KEL37+KEL42+#REF!+KEL59,"")</f>
        <v/>
      </c>
      <c r="KEM62" s="87" t="str">
        <f>IF(ISNUMBER(outYear),KEM37+KEM42+#REF!+KEM59,"")</f>
        <v/>
      </c>
      <c r="KEN62" s="87" t="str">
        <f>IF(ISNUMBER(outYear),KEN37+KEN42+#REF!+KEN59,"")</f>
        <v/>
      </c>
      <c r="KEO62" s="87" t="str">
        <f>IF(ISNUMBER(outYear),KEO37+KEO42+#REF!+KEO59,"")</f>
        <v/>
      </c>
      <c r="KEP62" s="87" t="str">
        <f>IF(ISNUMBER(outYear),KEP37+KEP42+#REF!+KEP59,"")</f>
        <v/>
      </c>
      <c r="KEQ62" s="87" t="str">
        <f>IF(ISNUMBER(outYear),KEQ37+KEQ42+#REF!+KEQ59,"")</f>
        <v/>
      </c>
      <c r="KER62" s="87" t="str">
        <f>IF(ISNUMBER(outYear),KER37+KER42+#REF!+KER59,"")</f>
        <v/>
      </c>
      <c r="KES62" s="87" t="str">
        <f>IF(ISNUMBER(outYear),KES37+KES42+#REF!+KES59,"")</f>
        <v/>
      </c>
      <c r="KET62" s="87" t="str">
        <f>IF(ISNUMBER(outYear),KET37+KET42+#REF!+KET59,"")</f>
        <v/>
      </c>
      <c r="KEU62" s="87" t="str">
        <f>IF(ISNUMBER(outYear),KEU37+KEU42+#REF!+KEU59,"")</f>
        <v/>
      </c>
      <c r="KEV62" s="87" t="str">
        <f>IF(ISNUMBER(outYear),KEV37+KEV42+#REF!+KEV59,"")</f>
        <v/>
      </c>
      <c r="KEW62" s="87" t="str">
        <f>IF(ISNUMBER(outYear),KEW37+KEW42+#REF!+KEW59,"")</f>
        <v/>
      </c>
      <c r="KEX62" s="87" t="str">
        <f>IF(ISNUMBER(outYear),KEX37+KEX42+#REF!+KEX59,"")</f>
        <v/>
      </c>
      <c r="KEY62" s="87" t="str">
        <f>IF(ISNUMBER(outYear),KEY37+KEY42+#REF!+KEY59,"")</f>
        <v/>
      </c>
      <c r="KEZ62" s="87" t="str">
        <f>IF(ISNUMBER(outYear),KEZ37+KEZ42+#REF!+KEZ59,"")</f>
        <v/>
      </c>
      <c r="KFA62" s="87" t="str">
        <f>IF(ISNUMBER(outYear),KFA37+KFA42+#REF!+KFA59,"")</f>
        <v/>
      </c>
      <c r="KFB62" s="87" t="str">
        <f>IF(ISNUMBER(outYear),KFB37+KFB42+#REF!+KFB59,"")</f>
        <v/>
      </c>
      <c r="KFC62" s="87" t="str">
        <f>IF(ISNUMBER(outYear),KFC37+KFC42+#REF!+KFC59,"")</f>
        <v/>
      </c>
      <c r="KFD62" s="87" t="str">
        <f>IF(ISNUMBER(outYear),KFD37+KFD42+#REF!+KFD59,"")</f>
        <v/>
      </c>
      <c r="KFE62" s="87" t="str">
        <f>IF(ISNUMBER(outYear),KFE37+KFE42+#REF!+KFE59,"")</f>
        <v/>
      </c>
      <c r="KFF62" s="87" t="str">
        <f>IF(ISNUMBER(outYear),KFF37+KFF42+#REF!+KFF59,"")</f>
        <v/>
      </c>
      <c r="KFG62" s="87" t="str">
        <f>IF(ISNUMBER(outYear),KFG37+KFG42+#REF!+KFG59,"")</f>
        <v/>
      </c>
      <c r="KFH62" s="87" t="str">
        <f>IF(ISNUMBER(outYear),KFH37+KFH42+#REF!+KFH59,"")</f>
        <v/>
      </c>
      <c r="KFI62" s="87" t="str">
        <f>IF(ISNUMBER(outYear),KFI37+KFI42+#REF!+KFI59,"")</f>
        <v/>
      </c>
      <c r="KFJ62" s="87" t="str">
        <f>IF(ISNUMBER(outYear),KFJ37+KFJ42+#REF!+KFJ59,"")</f>
        <v/>
      </c>
      <c r="KFK62" s="87" t="str">
        <f>IF(ISNUMBER(outYear),KFK37+KFK42+#REF!+KFK59,"")</f>
        <v/>
      </c>
      <c r="KFL62" s="87" t="str">
        <f>IF(ISNUMBER(outYear),KFL37+KFL42+#REF!+KFL59,"")</f>
        <v/>
      </c>
      <c r="KFM62" s="87" t="str">
        <f>IF(ISNUMBER(outYear),KFM37+KFM42+#REF!+KFM59,"")</f>
        <v/>
      </c>
      <c r="KFN62" s="87" t="str">
        <f>IF(ISNUMBER(outYear),KFN37+KFN42+#REF!+KFN59,"")</f>
        <v/>
      </c>
      <c r="KFO62" s="87" t="str">
        <f>IF(ISNUMBER(outYear),KFO37+KFO42+#REF!+KFO59,"")</f>
        <v/>
      </c>
      <c r="KFP62" s="87" t="str">
        <f>IF(ISNUMBER(outYear),KFP37+KFP42+#REF!+KFP59,"")</f>
        <v/>
      </c>
      <c r="KFQ62" s="87" t="str">
        <f>IF(ISNUMBER(outYear),KFQ37+KFQ42+#REF!+KFQ59,"")</f>
        <v/>
      </c>
      <c r="KFR62" s="87" t="str">
        <f>IF(ISNUMBER(outYear),KFR37+KFR42+#REF!+KFR59,"")</f>
        <v/>
      </c>
      <c r="KFS62" s="87" t="str">
        <f>IF(ISNUMBER(outYear),KFS37+KFS42+#REF!+KFS59,"")</f>
        <v/>
      </c>
      <c r="KFT62" s="87" t="str">
        <f>IF(ISNUMBER(outYear),KFT37+KFT42+#REF!+KFT59,"")</f>
        <v/>
      </c>
      <c r="KFU62" s="87" t="str">
        <f>IF(ISNUMBER(outYear),KFU37+KFU42+#REF!+KFU59,"")</f>
        <v/>
      </c>
      <c r="KFV62" s="87" t="str">
        <f>IF(ISNUMBER(outYear),KFV37+KFV42+#REF!+KFV59,"")</f>
        <v/>
      </c>
      <c r="KFW62" s="87" t="str">
        <f>IF(ISNUMBER(outYear),KFW37+KFW42+#REF!+KFW59,"")</f>
        <v/>
      </c>
      <c r="KFX62" s="87" t="str">
        <f>IF(ISNUMBER(outYear),KFX37+KFX42+#REF!+KFX59,"")</f>
        <v/>
      </c>
      <c r="KFY62" s="87" t="str">
        <f>IF(ISNUMBER(outYear),KFY37+KFY42+#REF!+KFY59,"")</f>
        <v/>
      </c>
      <c r="KFZ62" s="87" t="str">
        <f>IF(ISNUMBER(outYear),KFZ37+KFZ42+#REF!+KFZ59,"")</f>
        <v/>
      </c>
      <c r="KGA62" s="87" t="str">
        <f>IF(ISNUMBER(outYear),KGA37+KGA42+#REF!+KGA59,"")</f>
        <v/>
      </c>
      <c r="KGB62" s="87" t="str">
        <f>IF(ISNUMBER(outYear),KGB37+KGB42+#REF!+KGB59,"")</f>
        <v/>
      </c>
      <c r="KGC62" s="87" t="str">
        <f>IF(ISNUMBER(outYear),KGC37+KGC42+#REF!+KGC59,"")</f>
        <v/>
      </c>
      <c r="KGD62" s="87" t="str">
        <f>IF(ISNUMBER(outYear),KGD37+KGD42+#REF!+KGD59,"")</f>
        <v/>
      </c>
      <c r="KGE62" s="87" t="str">
        <f>IF(ISNUMBER(outYear),KGE37+KGE42+#REF!+KGE59,"")</f>
        <v/>
      </c>
      <c r="KGF62" s="87" t="str">
        <f>IF(ISNUMBER(outYear),KGF37+KGF42+#REF!+KGF59,"")</f>
        <v/>
      </c>
      <c r="KGG62" s="87" t="str">
        <f>IF(ISNUMBER(outYear),KGG37+KGG42+#REF!+KGG59,"")</f>
        <v/>
      </c>
      <c r="KGH62" s="87" t="str">
        <f>IF(ISNUMBER(outYear),KGH37+KGH42+#REF!+KGH59,"")</f>
        <v/>
      </c>
      <c r="KGI62" s="87" t="str">
        <f>IF(ISNUMBER(outYear),KGI37+KGI42+#REF!+KGI59,"")</f>
        <v/>
      </c>
      <c r="KGJ62" s="87" t="str">
        <f>IF(ISNUMBER(outYear),KGJ37+KGJ42+#REF!+KGJ59,"")</f>
        <v/>
      </c>
      <c r="KGK62" s="87" t="str">
        <f>IF(ISNUMBER(outYear),KGK37+KGK42+#REF!+KGK59,"")</f>
        <v/>
      </c>
      <c r="KGL62" s="87" t="str">
        <f>IF(ISNUMBER(outYear),KGL37+KGL42+#REF!+KGL59,"")</f>
        <v/>
      </c>
      <c r="KGM62" s="87" t="str">
        <f>IF(ISNUMBER(outYear),KGM37+KGM42+#REF!+KGM59,"")</f>
        <v/>
      </c>
      <c r="KGN62" s="87" t="str">
        <f>IF(ISNUMBER(outYear),KGN37+KGN42+#REF!+KGN59,"")</f>
        <v/>
      </c>
      <c r="KGO62" s="87" t="str">
        <f>IF(ISNUMBER(outYear),KGO37+KGO42+#REF!+KGO59,"")</f>
        <v/>
      </c>
      <c r="KGP62" s="87" t="str">
        <f>IF(ISNUMBER(outYear),KGP37+KGP42+#REF!+KGP59,"")</f>
        <v/>
      </c>
      <c r="KGQ62" s="87" t="str">
        <f>IF(ISNUMBER(outYear),KGQ37+KGQ42+#REF!+KGQ59,"")</f>
        <v/>
      </c>
      <c r="KGR62" s="87" t="str">
        <f>IF(ISNUMBER(outYear),KGR37+KGR42+#REF!+KGR59,"")</f>
        <v/>
      </c>
      <c r="KGS62" s="87" t="str">
        <f>IF(ISNUMBER(outYear),KGS37+KGS42+#REF!+KGS59,"")</f>
        <v/>
      </c>
      <c r="KGT62" s="87" t="str">
        <f>IF(ISNUMBER(outYear),KGT37+KGT42+#REF!+KGT59,"")</f>
        <v/>
      </c>
      <c r="KGU62" s="87" t="str">
        <f>IF(ISNUMBER(outYear),KGU37+KGU42+#REF!+KGU59,"")</f>
        <v/>
      </c>
      <c r="KGV62" s="87" t="str">
        <f>IF(ISNUMBER(outYear),KGV37+KGV42+#REF!+KGV59,"")</f>
        <v/>
      </c>
      <c r="KGW62" s="87" t="str">
        <f>IF(ISNUMBER(outYear),KGW37+KGW42+#REF!+KGW59,"")</f>
        <v/>
      </c>
      <c r="KGX62" s="87" t="str">
        <f>IF(ISNUMBER(outYear),KGX37+KGX42+#REF!+KGX59,"")</f>
        <v/>
      </c>
      <c r="KGY62" s="87" t="str">
        <f>IF(ISNUMBER(outYear),KGY37+KGY42+#REF!+KGY59,"")</f>
        <v/>
      </c>
      <c r="KGZ62" s="87" t="str">
        <f>IF(ISNUMBER(outYear),KGZ37+KGZ42+#REF!+KGZ59,"")</f>
        <v/>
      </c>
      <c r="KHA62" s="87" t="str">
        <f>IF(ISNUMBER(outYear),KHA37+KHA42+#REF!+KHA59,"")</f>
        <v/>
      </c>
      <c r="KHB62" s="87" t="str">
        <f>IF(ISNUMBER(outYear),KHB37+KHB42+#REF!+KHB59,"")</f>
        <v/>
      </c>
      <c r="KHC62" s="87" t="str">
        <f>IF(ISNUMBER(outYear),KHC37+KHC42+#REF!+KHC59,"")</f>
        <v/>
      </c>
      <c r="KHD62" s="87" t="str">
        <f>IF(ISNUMBER(outYear),KHD37+KHD42+#REF!+KHD59,"")</f>
        <v/>
      </c>
      <c r="KHE62" s="87" t="str">
        <f>IF(ISNUMBER(outYear),KHE37+KHE42+#REF!+KHE59,"")</f>
        <v/>
      </c>
      <c r="KHF62" s="87" t="str">
        <f>IF(ISNUMBER(outYear),KHF37+KHF42+#REF!+KHF59,"")</f>
        <v/>
      </c>
      <c r="KHG62" s="87" t="str">
        <f>IF(ISNUMBER(outYear),KHG37+KHG42+#REF!+KHG59,"")</f>
        <v/>
      </c>
      <c r="KHH62" s="87" t="str">
        <f>IF(ISNUMBER(outYear),KHH37+KHH42+#REF!+KHH59,"")</f>
        <v/>
      </c>
      <c r="KHI62" s="87" t="str">
        <f>IF(ISNUMBER(outYear),KHI37+KHI42+#REF!+KHI59,"")</f>
        <v/>
      </c>
      <c r="KHJ62" s="87" t="str">
        <f>IF(ISNUMBER(outYear),KHJ37+KHJ42+#REF!+KHJ59,"")</f>
        <v/>
      </c>
      <c r="KHK62" s="87" t="str">
        <f>IF(ISNUMBER(outYear),KHK37+KHK42+#REF!+KHK59,"")</f>
        <v/>
      </c>
      <c r="KHL62" s="87" t="str">
        <f>IF(ISNUMBER(outYear),KHL37+KHL42+#REF!+KHL59,"")</f>
        <v/>
      </c>
      <c r="KHM62" s="87" t="str">
        <f>IF(ISNUMBER(outYear),KHM37+KHM42+#REF!+KHM59,"")</f>
        <v/>
      </c>
      <c r="KHN62" s="87" t="str">
        <f>IF(ISNUMBER(outYear),KHN37+KHN42+#REF!+KHN59,"")</f>
        <v/>
      </c>
      <c r="KHO62" s="87" t="str">
        <f>IF(ISNUMBER(outYear),KHO37+KHO42+#REF!+KHO59,"")</f>
        <v/>
      </c>
      <c r="KHP62" s="87" t="str">
        <f>IF(ISNUMBER(outYear),KHP37+KHP42+#REF!+KHP59,"")</f>
        <v/>
      </c>
      <c r="KHQ62" s="87" t="str">
        <f>IF(ISNUMBER(outYear),KHQ37+KHQ42+#REF!+KHQ59,"")</f>
        <v/>
      </c>
      <c r="KHR62" s="87" t="str">
        <f>IF(ISNUMBER(outYear),KHR37+KHR42+#REF!+KHR59,"")</f>
        <v/>
      </c>
      <c r="KHS62" s="87" t="str">
        <f>IF(ISNUMBER(outYear),KHS37+KHS42+#REF!+KHS59,"")</f>
        <v/>
      </c>
      <c r="KHT62" s="87" t="str">
        <f>IF(ISNUMBER(outYear),KHT37+KHT42+#REF!+KHT59,"")</f>
        <v/>
      </c>
      <c r="KHU62" s="87" t="str">
        <f>IF(ISNUMBER(outYear),KHU37+KHU42+#REF!+KHU59,"")</f>
        <v/>
      </c>
      <c r="KHV62" s="87" t="str">
        <f>IF(ISNUMBER(outYear),KHV37+KHV42+#REF!+KHV59,"")</f>
        <v/>
      </c>
      <c r="KHW62" s="87" t="str">
        <f>IF(ISNUMBER(outYear),KHW37+KHW42+#REF!+KHW59,"")</f>
        <v/>
      </c>
      <c r="KHX62" s="87" t="str">
        <f>IF(ISNUMBER(outYear),KHX37+KHX42+#REF!+KHX59,"")</f>
        <v/>
      </c>
      <c r="KHY62" s="87" t="str">
        <f>IF(ISNUMBER(outYear),KHY37+KHY42+#REF!+KHY59,"")</f>
        <v/>
      </c>
      <c r="KHZ62" s="87" t="str">
        <f>IF(ISNUMBER(outYear),KHZ37+KHZ42+#REF!+KHZ59,"")</f>
        <v/>
      </c>
      <c r="KIA62" s="87" t="str">
        <f>IF(ISNUMBER(outYear),KIA37+KIA42+#REF!+KIA59,"")</f>
        <v/>
      </c>
      <c r="KIB62" s="87" t="str">
        <f>IF(ISNUMBER(outYear),KIB37+KIB42+#REF!+KIB59,"")</f>
        <v/>
      </c>
      <c r="KIC62" s="87" t="str">
        <f>IF(ISNUMBER(outYear),KIC37+KIC42+#REF!+KIC59,"")</f>
        <v/>
      </c>
      <c r="KID62" s="87" t="str">
        <f>IF(ISNUMBER(outYear),KID37+KID42+#REF!+KID59,"")</f>
        <v/>
      </c>
      <c r="KIE62" s="87" t="str">
        <f>IF(ISNUMBER(outYear),KIE37+KIE42+#REF!+KIE59,"")</f>
        <v/>
      </c>
      <c r="KIF62" s="87" t="str">
        <f>IF(ISNUMBER(outYear),KIF37+KIF42+#REF!+KIF59,"")</f>
        <v/>
      </c>
      <c r="KIG62" s="87" t="str">
        <f>IF(ISNUMBER(outYear),KIG37+KIG42+#REF!+KIG59,"")</f>
        <v/>
      </c>
      <c r="KIH62" s="87" t="str">
        <f>IF(ISNUMBER(outYear),KIH37+KIH42+#REF!+KIH59,"")</f>
        <v/>
      </c>
      <c r="KII62" s="87" t="str">
        <f>IF(ISNUMBER(outYear),KII37+KII42+#REF!+KII59,"")</f>
        <v/>
      </c>
      <c r="KIJ62" s="87" t="str">
        <f>IF(ISNUMBER(outYear),KIJ37+KIJ42+#REF!+KIJ59,"")</f>
        <v/>
      </c>
      <c r="KIK62" s="87" t="str">
        <f>IF(ISNUMBER(outYear),KIK37+KIK42+#REF!+KIK59,"")</f>
        <v/>
      </c>
      <c r="KIL62" s="87" t="str">
        <f>IF(ISNUMBER(outYear),KIL37+KIL42+#REF!+KIL59,"")</f>
        <v/>
      </c>
      <c r="KIM62" s="87" t="str">
        <f>IF(ISNUMBER(outYear),KIM37+KIM42+#REF!+KIM59,"")</f>
        <v/>
      </c>
      <c r="KIN62" s="87" t="str">
        <f>IF(ISNUMBER(outYear),KIN37+KIN42+#REF!+KIN59,"")</f>
        <v/>
      </c>
      <c r="KIO62" s="87" t="str">
        <f>IF(ISNUMBER(outYear),KIO37+KIO42+#REF!+KIO59,"")</f>
        <v/>
      </c>
      <c r="KIP62" s="87" t="str">
        <f>IF(ISNUMBER(outYear),KIP37+KIP42+#REF!+KIP59,"")</f>
        <v/>
      </c>
      <c r="KIQ62" s="87" t="str">
        <f>IF(ISNUMBER(outYear),KIQ37+KIQ42+#REF!+KIQ59,"")</f>
        <v/>
      </c>
      <c r="KIR62" s="87" t="str">
        <f>IF(ISNUMBER(outYear),KIR37+KIR42+#REF!+KIR59,"")</f>
        <v/>
      </c>
      <c r="KIS62" s="87" t="str">
        <f>IF(ISNUMBER(outYear),KIS37+KIS42+#REF!+KIS59,"")</f>
        <v/>
      </c>
      <c r="KIT62" s="87" t="str">
        <f>IF(ISNUMBER(outYear),KIT37+KIT42+#REF!+KIT59,"")</f>
        <v/>
      </c>
      <c r="KIU62" s="87" t="str">
        <f>IF(ISNUMBER(outYear),KIU37+KIU42+#REF!+KIU59,"")</f>
        <v/>
      </c>
      <c r="KIV62" s="87" t="str">
        <f>IF(ISNUMBER(outYear),KIV37+KIV42+#REF!+KIV59,"")</f>
        <v/>
      </c>
      <c r="KIW62" s="87" t="str">
        <f>IF(ISNUMBER(outYear),KIW37+KIW42+#REF!+KIW59,"")</f>
        <v/>
      </c>
      <c r="KIX62" s="87" t="str">
        <f>IF(ISNUMBER(outYear),KIX37+KIX42+#REF!+KIX59,"")</f>
        <v/>
      </c>
      <c r="KIY62" s="87" t="str">
        <f>IF(ISNUMBER(outYear),KIY37+KIY42+#REF!+KIY59,"")</f>
        <v/>
      </c>
      <c r="KIZ62" s="87" t="str">
        <f>IF(ISNUMBER(outYear),KIZ37+KIZ42+#REF!+KIZ59,"")</f>
        <v/>
      </c>
      <c r="KJA62" s="87" t="str">
        <f>IF(ISNUMBER(outYear),KJA37+KJA42+#REF!+KJA59,"")</f>
        <v/>
      </c>
      <c r="KJB62" s="87" t="str">
        <f>IF(ISNUMBER(outYear),KJB37+KJB42+#REF!+KJB59,"")</f>
        <v/>
      </c>
      <c r="KJC62" s="87" t="str">
        <f>IF(ISNUMBER(outYear),KJC37+KJC42+#REF!+KJC59,"")</f>
        <v/>
      </c>
      <c r="KJD62" s="87" t="str">
        <f>IF(ISNUMBER(outYear),KJD37+KJD42+#REF!+KJD59,"")</f>
        <v/>
      </c>
      <c r="KJE62" s="87" t="str">
        <f>IF(ISNUMBER(outYear),KJE37+KJE42+#REF!+KJE59,"")</f>
        <v/>
      </c>
      <c r="KJF62" s="87" t="str">
        <f>IF(ISNUMBER(outYear),KJF37+KJF42+#REF!+KJF59,"")</f>
        <v/>
      </c>
      <c r="KJG62" s="87" t="str">
        <f>IF(ISNUMBER(outYear),KJG37+KJG42+#REF!+KJG59,"")</f>
        <v/>
      </c>
      <c r="KJH62" s="87" t="str">
        <f>IF(ISNUMBER(outYear),KJH37+KJH42+#REF!+KJH59,"")</f>
        <v/>
      </c>
      <c r="KJI62" s="87" t="str">
        <f>IF(ISNUMBER(outYear),KJI37+KJI42+#REF!+KJI59,"")</f>
        <v/>
      </c>
      <c r="KJJ62" s="87" t="str">
        <f>IF(ISNUMBER(outYear),KJJ37+KJJ42+#REF!+KJJ59,"")</f>
        <v/>
      </c>
      <c r="KJK62" s="87" t="str">
        <f>IF(ISNUMBER(outYear),KJK37+KJK42+#REF!+KJK59,"")</f>
        <v/>
      </c>
      <c r="KJL62" s="87" t="str">
        <f>IF(ISNUMBER(outYear),KJL37+KJL42+#REF!+KJL59,"")</f>
        <v/>
      </c>
      <c r="KJM62" s="87" t="str">
        <f>IF(ISNUMBER(outYear),KJM37+KJM42+#REF!+KJM59,"")</f>
        <v/>
      </c>
      <c r="KJN62" s="87" t="str">
        <f>IF(ISNUMBER(outYear),KJN37+KJN42+#REF!+KJN59,"")</f>
        <v/>
      </c>
      <c r="KJO62" s="87" t="str">
        <f>IF(ISNUMBER(outYear),KJO37+KJO42+#REF!+KJO59,"")</f>
        <v/>
      </c>
      <c r="KJP62" s="87" t="str">
        <f>IF(ISNUMBER(outYear),KJP37+KJP42+#REF!+KJP59,"")</f>
        <v/>
      </c>
      <c r="KJQ62" s="87" t="str">
        <f>IF(ISNUMBER(outYear),KJQ37+KJQ42+#REF!+KJQ59,"")</f>
        <v/>
      </c>
      <c r="KJR62" s="87" t="str">
        <f>IF(ISNUMBER(outYear),KJR37+KJR42+#REF!+KJR59,"")</f>
        <v/>
      </c>
      <c r="KJS62" s="87" t="str">
        <f>IF(ISNUMBER(outYear),KJS37+KJS42+#REF!+KJS59,"")</f>
        <v/>
      </c>
      <c r="KJT62" s="87" t="str">
        <f>IF(ISNUMBER(outYear),KJT37+KJT42+#REF!+KJT59,"")</f>
        <v/>
      </c>
      <c r="KJU62" s="87" t="str">
        <f>IF(ISNUMBER(outYear),KJU37+KJU42+#REF!+KJU59,"")</f>
        <v/>
      </c>
      <c r="KJV62" s="87" t="str">
        <f>IF(ISNUMBER(outYear),KJV37+KJV42+#REF!+KJV59,"")</f>
        <v/>
      </c>
      <c r="KJW62" s="87" t="str">
        <f>IF(ISNUMBER(outYear),KJW37+KJW42+#REF!+KJW59,"")</f>
        <v/>
      </c>
      <c r="KJX62" s="87" t="str">
        <f>IF(ISNUMBER(outYear),KJX37+KJX42+#REF!+KJX59,"")</f>
        <v/>
      </c>
      <c r="KJY62" s="87" t="str">
        <f>IF(ISNUMBER(outYear),KJY37+KJY42+#REF!+KJY59,"")</f>
        <v/>
      </c>
      <c r="KJZ62" s="87" t="str">
        <f>IF(ISNUMBER(outYear),KJZ37+KJZ42+#REF!+KJZ59,"")</f>
        <v/>
      </c>
      <c r="KKA62" s="87" t="str">
        <f>IF(ISNUMBER(outYear),KKA37+KKA42+#REF!+KKA59,"")</f>
        <v/>
      </c>
      <c r="KKB62" s="87" t="str">
        <f>IF(ISNUMBER(outYear),KKB37+KKB42+#REF!+KKB59,"")</f>
        <v/>
      </c>
      <c r="KKC62" s="87" t="str">
        <f>IF(ISNUMBER(outYear),KKC37+KKC42+#REF!+KKC59,"")</f>
        <v/>
      </c>
      <c r="KKD62" s="87" t="str">
        <f>IF(ISNUMBER(outYear),KKD37+KKD42+#REF!+KKD59,"")</f>
        <v/>
      </c>
      <c r="KKE62" s="87" t="str">
        <f>IF(ISNUMBER(outYear),KKE37+KKE42+#REF!+KKE59,"")</f>
        <v/>
      </c>
      <c r="KKF62" s="87" t="str">
        <f>IF(ISNUMBER(outYear),KKF37+KKF42+#REF!+KKF59,"")</f>
        <v/>
      </c>
      <c r="KKG62" s="87" t="str">
        <f>IF(ISNUMBER(outYear),KKG37+KKG42+#REF!+KKG59,"")</f>
        <v/>
      </c>
      <c r="KKH62" s="87" t="str">
        <f>IF(ISNUMBER(outYear),KKH37+KKH42+#REF!+KKH59,"")</f>
        <v/>
      </c>
      <c r="KKI62" s="87" t="str">
        <f>IF(ISNUMBER(outYear),KKI37+KKI42+#REF!+KKI59,"")</f>
        <v/>
      </c>
      <c r="KKJ62" s="87" t="str">
        <f>IF(ISNUMBER(outYear),KKJ37+KKJ42+#REF!+KKJ59,"")</f>
        <v/>
      </c>
      <c r="KKK62" s="87" t="str">
        <f>IF(ISNUMBER(outYear),KKK37+KKK42+#REF!+KKK59,"")</f>
        <v/>
      </c>
      <c r="KKL62" s="87" t="str">
        <f>IF(ISNUMBER(outYear),KKL37+KKL42+#REF!+KKL59,"")</f>
        <v/>
      </c>
      <c r="KKM62" s="87" t="str">
        <f>IF(ISNUMBER(outYear),KKM37+KKM42+#REF!+KKM59,"")</f>
        <v/>
      </c>
      <c r="KKN62" s="87" t="str">
        <f>IF(ISNUMBER(outYear),KKN37+KKN42+#REF!+KKN59,"")</f>
        <v/>
      </c>
      <c r="KKO62" s="87" t="str">
        <f>IF(ISNUMBER(outYear),KKO37+KKO42+#REF!+KKO59,"")</f>
        <v/>
      </c>
      <c r="KKP62" s="87" t="str">
        <f>IF(ISNUMBER(outYear),KKP37+KKP42+#REF!+KKP59,"")</f>
        <v/>
      </c>
      <c r="KKQ62" s="87" t="str">
        <f>IF(ISNUMBER(outYear),KKQ37+KKQ42+#REF!+KKQ59,"")</f>
        <v/>
      </c>
      <c r="KKR62" s="87" t="str">
        <f>IF(ISNUMBER(outYear),KKR37+KKR42+#REF!+KKR59,"")</f>
        <v/>
      </c>
      <c r="KKS62" s="87" t="str">
        <f>IF(ISNUMBER(outYear),KKS37+KKS42+#REF!+KKS59,"")</f>
        <v/>
      </c>
      <c r="KKT62" s="87" t="str">
        <f>IF(ISNUMBER(outYear),KKT37+KKT42+#REF!+KKT59,"")</f>
        <v/>
      </c>
      <c r="KKU62" s="87" t="str">
        <f>IF(ISNUMBER(outYear),KKU37+KKU42+#REF!+KKU59,"")</f>
        <v/>
      </c>
      <c r="KKV62" s="87" t="str">
        <f>IF(ISNUMBER(outYear),KKV37+KKV42+#REF!+KKV59,"")</f>
        <v/>
      </c>
      <c r="KKW62" s="87" t="str">
        <f>IF(ISNUMBER(outYear),KKW37+KKW42+#REF!+KKW59,"")</f>
        <v/>
      </c>
      <c r="KKX62" s="87" t="str">
        <f>IF(ISNUMBER(outYear),KKX37+KKX42+#REF!+KKX59,"")</f>
        <v/>
      </c>
      <c r="KKY62" s="87" t="str">
        <f>IF(ISNUMBER(outYear),KKY37+KKY42+#REF!+KKY59,"")</f>
        <v/>
      </c>
      <c r="KKZ62" s="87" t="str">
        <f>IF(ISNUMBER(outYear),KKZ37+KKZ42+#REF!+KKZ59,"")</f>
        <v/>
      </c>
      <c r="KLA62" s="87" t="str">
        <f>IF(ISNUMBER(outYear),KLA37+KLA42+#REF!+KLA59,"")</f>
        <v/>
      </c>
      <c r="KLB62" s="87" t="str">
        <f>IF(ISNUMBER(outYear),KLB37+KLB42+#REF!+KLB59,"")</f>
        <v/>
      </c>
      <c r="KLC62" s="87" t="str">
        <f>IF(ISNUMBER(outYear),KLC37+KLC42+#REF!+KLC59,"")</f>
        <v/>
      </c>
      <c r="KLD62" s="87" t="str">
        <f>IF(ISNUMBER(outYear),KLD37+KLD42+#REF!+KLD59,"")</f>
        <v/>
      </c>
      <c r="KLE62" s="87" t="str">
        <f>IF(ISNUMBER(outYear),KLE37+KLE42+#REF!+KLE59,"")</f>
        <v/>
      </c>
      <c r="KLF62" s="87" t="str">
        <f>IF(ISNUMBER(outYear),KLF37+KLF42+#REF!+KLF59,"")</f>
        <v/>
      </c>
      <c r="KLG62" s="87" t="str">
        <f>IF(ISNUMBER(outYear),KLG37+KLG42+#REF!+KLG59,"")</f>
        <v/>
      </c>
      <c r="KLH62" s="87" t="str">
        <f>IF(ISNUMBER(outYear),KLH37+KLH42+#REF!+KLH59,"")</f>
        <v/>
      </c>
      <c r="KLI62" s="87" t="str">
        <f>IF(ISNUMBER(outYear),KLI37+KLI42+#REF!+KLI59,"")</f>
        <v/>
      </c>
      <c r="KLJ62" s="87" t="str">
        <f>IF(ISNUMBER(outYear),KLJ37+KLJ42+#REF!+KLJ59,"")</f>
        <v/>
      </c>
      <c r="KLK62" s="87" t="str">
        <f>IF(ISNUMBER(outYear),KLK37+KLK42+#REF!+KLK59,"")</f>
        <v/>
      </c>
      <c r="KLL62" s="87" t="str">
        <f>IF(ISNUMBER(outYear),KLL37+KLL42+#REF!+KLL59,"")</f>
        <v/>
      </c>
      <c r="KLM62" s="87" t="str">
        <f>IF(ISNUMBER(outYear),KLM37+KLM42+#REF!+KLM59,"")</f>
        <v/>
      </c>
      <c r="KLN62" s="87" t="str">
        <f>IF(ISNUMBER(outYear),KLN37+KLN42+#REF!+KLN59,"")</f>
        <v/>
      </c>
      <c r="KLO62" s="87" t="str">
        <f>IF(ISNUMBER(outYear),KLO37+KLO42+#REF!+KLO59,"")</f>
        <v/>
      </c>
      <c r="KLP62" s="87" t="str">
        <f>IF(ISNUMBER(outYear),KLP37+KLP42+#REF!+KLP59,"")</f>
        <v/>
      </c>
      <c r="KLQ62" s="87" t="str">
        <f>IF(ISNUMBER(outYear),KLQ37+KLQ42+#REF!+KLQ59,"")</f>
        <v/>
      </c>
      <c r="KLR62" s="87" t="str">
        <f>IF(ISNUMBER(outYear),KLR37+KLR42+#REF!+KLR59,"")</f>
        <v/>
      </c>
      <c r="KLS62" s="87" t="str">
        <f>IF(ISNUMBER(outYear),KLS37+KLS42+#REF!+KLS59,"")</f>
        <v/>
      </c>
      <c r="KLT62" s="87" t="str">
        <f>IF(ISNUMBER(outYear),KLT37+KLT42+#REF!+KLT59,"")</f>
        <v/>
      </c>
      <c r="KLU62" s="87" t="str">
        <f>IF(ISNUMBER(outYear),KLU37+KLU42+#REF!+KLU59,"")</f>
        <v/>
      </c>
      <c r="KLV62" s="87" t="str">
        <f>IF(ISNUMBER(outYear),KLV37+KLV42+#REF!+KLV59,"")</f>
        <v/>
      </c>
      <c r="KLW62" s="87" t="str">
        <f>IF(ISNUMBER(outYear),KLW37+KLW42+#REF!+KLW59,"")</f>
        <v/>
      </c>
      <c r="KLX62" s="87" t="str">
        <f>IF(ISNUMBER(outYear),KLX37+KLX42+#REF!+KLX59,"")</f>
        <v/>
      </c>
      <c r="KLY62" s="87" t="str">
        <f>IF(ISNUMBER(outYear),KLY37+KLY42+#REF!+KLY59,"")</f>
        <v/>
      </c>
      <c r="KLZ62" s="87" t="str">
        <f>IF(ISNUMBER(outYear),KLZ37+KLZ42+#REF!+KLZ59,"")</f>
        <v/>
      </c>
      <c r="KMA62" s="87" t="str">
        <f>IF(ISNUMBER(outYear),KMA37+KMA42+#REF!+KMA59,"")</f>
        <v/>
      </c>
      <c r="KMB62" s="87" t="str">
        <f>IF(ISNUMBER(outYear),KMB37+KMB42+#REF!+KMB59,"")</f>
        <v/>
      </c>
      <c r="KMC62" s="87" t="str">
        <f>IF(ISNUMBER(outYear),KMC37+KMC42+#REF!+KMC59,"")</f>
        <v/>
      </c>
      <c r="KMD62" s="87" t="str">
        <f>IF(ISNUMBER(outYear),KMD37+KMD42+#REF!+KMD59,"")</f>
        <v/>
      </c>
      <c r="KME62" s="87" t="str">
        <f>IF(ISNUMBER(outYear),KME37+KME42+#REF!+KME59,"")</f>
        <v/>
      </c>
      <c r="KMF62" s="87" t="str">
        <f>IF(ISNUMBER(outYear),KMF37+KMF42+#REF!+KMF59,"")</f>
        <v/>
      </c>
      <c r="KMG62" s="87" t="str">
        <f>IF(ISNUMBER(outYear),KMG37+KMG42+#REF!+KMG59,"")</f>
        <v/>
      </c>
      <c r="KMH62" s="87" t="str">
        <f>IF(ISNUMBER(outYear),KMH37+KMH42+#REF!+KMH59,"")</f>
        <v/>
      </c>
      <c r="KMI62" s="87" t="str">
        <f>IF(ISNUMBER(outYear),KMI37+KMI42+#REF!+KMI59,"")</f>
        <v/>
      </c>
      <c r="KMJ62" s="87" t="str">
        <f>IF(ISNUMBER(outYear),KMJ37+KMJ42+#REF!+KMJ59,"")</f>
        <v/>
      </c>
      <c r="KMK62" s="87" t="str">
        <f>IF(ISNUMBER(outYear),KMK37+KMK42+#REF!+KMK59,"")</f>
        <v/>
      </c>
      <c r="KML62" s="87" t="str">
        <f>IF(ISNUMBER(outYear),KML37+KML42+#REF!+KML59,"")</f>
        <v/>
      </c>
      <c r="KMM62" s="87" t="str">
        <f>IF(ISNUMBER(outYear),KMM37+KMM42+#REF!+KMM59,"")</f>
        <v/>
      </c>
      <c r="KMN62" s="87" t="str">
        <f>IF(ISNUMBER(outYear),KMN37+KMN42+#REF!+KMN59,"")</f>
        <v/>
      </c>
      <c r="KMO62" s="87" t="str">
        <f>IF(ISNUMBER(outYear),KMO37+KMO42+#REF!+KMO59,"")</f>
        <v/>
      </c>
      <c r="KMP62" s="87" t="str">
        <f>IF(ISNUMBER(outYear),KMP37+KMP42+#REF!+KMP59,"")</f>
        <v/>
      </c>
      <c r="KMQ62" s="87" t="str">
        <f>IF(ISNUMBER(outYear),KMQ37+KMQ42+#REF!+KMQ59,"")</f>
        <v/>
      </c>
      <c r="KMR62" s="87" t="str">
        <f>IF(ISNUMBER(outYear),KMR37+KMR42+#REF!+KMR59,"")</f>
        <v/>
      </c>
      <c r="KMS62" s="87" t="str">
        <f>IF(ISNUMBER(outYear),KMS37+KMS42+#REF!+KMS59,"")</f>
        <v/>
      </c>
      <c r="KMT62" s="87" t="str">
        <f>IF(ISNUMBER(outYear),KMT37+KMT42+#REF!+KMT59,"")</f>
        <v/>
      </c>
      <c r="KMU62" s="87" t="str">
        <f>IF(ISNUMBER(outYear),KMU37+KMU42+#REF!+KMU59,"")</f>
        <v/>
      </c>
      <c r="KMV62" s="87" t="str">
        <f>IF(ISNUMBER(outYear),KMV37+KMV42+#REF!+KMV59,"")</f>
        <v/>
      </c>
      <c r="KMW62" s="87" t="str">
        <f>IF(ISNUMBER(outYear),KMW37+KMW42+#REF!+KMW59,"")</f>
        <v/>
      </c>
      <c r="KMX62" s="87" t="str">
        <f>IF(ISNUMBER(outYear),KMX37+KMX42+#REF!+KMX59,"")</f>
        <v/>
      </c>
      <c r="KMY62" s="87" t="str">
        <f>IF(ISNUMBER(outYear),KMY37+KMY42+#REF!+KMY59,"")</f>
        <v/>
      </c>
      <c r="KMZ62" s="87" t="str">
        <f>IF(ISNUMBER(outYear),KMZ37+KMZ42+#REF!+KMZ59,"")</f>
        <v/>
      </c>
      <c r="KNA62" s="87" t="str">
        <f>IF(ISNUMBER(outYear),KNA37+KNA42+#REF!+KNA59,"")</f>
        <v/>
      </c>
      <c r="KNB62" s="87" t="str">
        <f>IF(ISNUMBER(outYear),KNB37+KNB42+#REF!+KNB59,"")</f>
        <v/>
      </c>
      <c r="KNC62" s="87" t="str">
        <f>IF(ISNUMBER(outYear),KNC37+KNC42+#REF!+KNC59,"")</f>
        <v/>
      </c>
      <c r="KND62" s="87" t="str">
        <f>IF(ISNUMBER(outYear),KND37+KND42+#REF!+KND59,"")</f>
        <v/>
      </c>
      <c r="KNE62" s="87" t="str">
        <f>IF(ISNUMBER(outYear),KNE37+KNE42+#REF!+KNE59,"")</f>
        <v/>
      </c>
      <c r="KNF62" s="87" t="str">
        <f>IF(ISNUMBER(outYear),KNF37+KNF42+#REF!+KNF59,"")</f>
        <v/>
      </c>
      <c r="KNG62" s="87" t="str">
        <f>IF(ISNUMBER(outYear),KNG37+KNG42+#REF!+KNG59,"")</f>
        <v/>
      </c>
      <c r="KNH62" s="87" t="str">
        <f>IF(ISNUMBER(outYear),KNH37+KNH42+#REF!+KNH59,"")</f>
        <v/>
      </c>
      <c r="KNI62" s="87" t="str">
        <f>IF(ISNUMBER(outYear),KNI37+KNI42+#REF!+KNI59,"")</f>
        <v/>
      </c>
      <c r="KNJ62" s="87" t="str">
        <f>IF(ISNUMBER(outYear),KNJ37+KNJ42+#REF!+KNJ59,"")</f>
        <v/>
      </c>
      <c r="KNK62" s="87" t="str">
        <f>IF(ISNUMBER(outYear),KNK37+KNK42+#REF!+KNK59,"")</f>
        <v/>
      </c>
      <c r="KNL62" s="87" t="str">
        <f>IF(ISNUMBER(outYear),KNL37+KNL42+#REF!+KNL59,"")</f>
        <v/>
      </c>
      <c r="KNM62" s="87" t="str">
        <f>IF(ISNUMBER(outYear),KNM37+KNM42+#REF!+KNM59,"")</f>
        <v/>
      </c>
      <c r="KNN62" s="87" t="str">
        <f>IF(ISNUMBER(outYear),KNN37+KNN42+#REF!+KNN59,"")</f>
        <v/>
      </c>
      <c r="KNO62" s="87" t="str">
        <f>IF(ISNUMBER(outYear),KNO37+KNO42+#REF!+KNO59,"")</f>
        <v/>
      </c>
      <c r="KNP62" s="87" t="str">
        <f>IF(ISNUMBER(outYear),KNP37+KNP42+#REF!+KNP59,"")</f>
        <v/>
      </c>
      <c r="KNQ62" s="87" t="str">
        <f>IF(ISNUMBER(outYear),KNQ37+KNQ42+#REF!+KNQ59,"")</f>
        <v/>
      </c>
      <c r="KNR62" s="87" t="str">
        <f>IF(ISNUMBER(outYear),KNR37+KNR42+#REF!+KNR59,"")</f>
        <v/>
      </c>
      <c r="KNS62" s="87" t="str">
        <f>IF(ISNUMBER(outYear),KNS37+KNS42+#REF!+KNS59,"")</f>
        <v/>
      </c>
      <c r="KNT62" s="87" t="str">
        <f>IF(ISNUMBER(outYear),KNT37+KNT42+#REF!+KNT59,"")</f>
        <v/>
      </c>
      <c r="KNU62" s="87" t="str">
        <f>IF(ISNUMBER(outYear),KNU37+KNU42+#REF!+KNU59,"")</f>
        <v/>
      </c>
      <c r="KNV62" s="87" t="str">
        <f>IF(ISNUMBER(outYear),KNV37+KNV42+#REF!+KNV59,"")</f>
        <v/>
      </c>
      <c r="KNW62" s="87" t="str">
        <f>IF(ISNUMBER(outYear),KNW37+KNW42+#REF!+KNW59,"")</f>
        <v/>
      </c>
      <c r="KNX62" s="87" t="str">
        <f>IF(ISNUMBER(outYear),KNX37+KNX42+#REF!+KNX59,"")</f>
        <v/>
      </c>
      <c r="KNY62" s="87" t="str">
        <f>IF(ISNUMBER(outYear),KNY37+KNY42+#REF!+KNY59,"")</f>
        <v/>
      </c>
      <c r="KNZ62" s="87" t="str">
        <f>IF(ISNUMBER(outYear),KNZ37+KNZ42+#REF!+KNZ59,"")</f>
        <v/>
      </c>
      <c r="KOA62" s="87" t="str">
        <f>IF(ISNUMBER(outYear),KOA37+KOA42+#REF!+KOA59,"")</f>
        <v/>
      </c>
      <c r="KOB62" s="87" t="str">
        <f>IF(ISNUMBER(outYear),KOB37+KOB42+#REF!+KOB59,"")</f>
        <v/>
      </c>
      <c r="KOC62" s="87" t="str">
        <f>IF(ISNUMBER(outYear),KOC37+KOC42+#REF!+KOC59,"")</f>
        <v/>
      </c>
      <c r="KOD62" s="87" t="str">
        <f>IF(ISNUMBER(outYear),KOD37+KOD42+#REF!+KOD59,"")</f>
        <v/>
      </c>
      <c r="KOE62" s="87" t="str">
        <f>IF(ISNUMBER(outYear),KOE37+KOE42+#REF!+KOE59,"")</f>
        <v/>
      </c>
      <c r="KOF62" s="87" t="str">
        <f>IF(ISNUMBER(outYear),KOF37+KOF42+#REF!+KOF59,"")</f>
        <v/>
      </c>
      <c r="KOG62" s="87" t="str">
        <f>IF(ISNUMBER(outYear),KOG37+KOG42+#REF!+KOG59,"")</f>
        <v/>
      </c>
      <c r="KOH62" s="87" t="str">
        <f>IF(ISNUMBER(outYear),KOH37+KOH42+#REF!+KOH59,"")</f>
        <v/>
      </c>
      <c r="KOI62" s="87" t="str">
        <f>IF(ISNUMBER(outYear),KOI37+KOI42+#REF!+KOI59,"")</f>
        <v/>
      </c>
      <c r="KOJ62" s="87" t="str">
        <f>IF(ISNUMBER(outYear),KOJ37+KOJ42+#REF!+KOJ59,"")</f>
        <v/>
      </c>
      <c r="KOK62" s="87" t="str">
        <f>IF(ISNUMBER(outYear),KOK37+KOK42+#REF!+KOK59,"")</f>
        <v/>
      </c>
      <c r="KOL62" s="87" t="str">
        <f>IF(ISNUMBER(outYear),KOL37+KOL42+#REF!+KOL59,"")</f>
        <v/>
      </c>
      <c r="KOM62" s="87" t="str">
        <f>IF(ISNUMBER(outYear),KOM37+KOM42+#REF!+KOM59,"")</f>
        <v/>
      </c>
      <c r="KON62" s="87" t="str">
        <f>IF(ISNUMBER(outYear),KON37+KON42+#REF!+KON59,"")</f>
        <v/>
      </c>
      <c r="KOO62" s="87" t="str">
        <f>IF(ISNUMBER(outYear),KOO37+KOO42+#REF!+KOO59,"")</f>
        <v/>
      </c>
      <c r="KOP62" s="87" t="str">
        <f>IF(ISNUMBER(outYear),KOP37+KOP42+#REF!+KOP59,"")</f>
        <v/>
      </c>
      <c r="KOQ62" s="87" t="str">
        <f>IF(ISNUMBER(outYear),KOQ37+KOQ42+#REF!+KOQ59,"")</f>
        <v/>
      </c>
      <c r="KOR62" s="87" t="str">
        <f>IF(ISNUMBER(outYear),KOR37+KOR42+#REF!+KOR59,"")</f>
        <v/>
      </c>
      <c r="KOS62" s="87" t="str">
        <f>IF(ISNUMBER(outYear),KOS37+KOS42+#REF!+KOS59,"")</f>
        <v/>
      </c>
      <c r="KOT62" s="87" t="str">
        <f>IF(ISNUMBER(outYear),KOT37+KOT42+#REF!+KOT59,"")</f>
        <v/>
      </c>
      <c r="KOU62" s="87" t="str">
        <f>IF(ISNUMBER(outYear),KOU37+KOU42+#REF!+KOU59,"")</f>
        <v/>
      </c>
      <c r="KOV62" s="87" t="str">
        <f>IF(ISNUMBER(outYear),KOV37+KOV42+#REF!+KOV59,"")</f>
        <v/>
      </c>
      <c r="KOW62" s="87" t="str">
        <f>IF(ISNUMBER(outYear),KOW37+KOW42+#REF!+KOW59,"")</f>
        <v/>
      </c>
      <c r="KOX62" s="87" t="str">
        <f>IF(ISNUMBER(outYear),KOX37+KOX42+#REF!+KOX59,"")</f>
        <v/>
      </c>
      <c r="KOY62" s="87" t="str">
        <f>IF(ISNUMBER(outYear),KOY37+KOY42+#REF!+KOY59,"")</f>
        <v/>
      </c>
      <c r="KOZ62" s="87" t="str">
        <f>IF(ISNUMBER(outYear),KOZ37+KOZ42+#REF!+KOZ59,"")</f>
        <v/>
      </c>
      <c r="KPA62" s="87" t="str">
        <f>IF(ISNUMBER(outYear),KPA37+KPA42+#REF!+KPA59,"")</f>
        <v/>
      </c>
      <c r="KPB62" s="87" t="str">
        <f>IF(ISNUMBER(outYear),KPB37+KPB42+#REF!+KPB59,"")</f>
        <v/>
      </c>
      <c r="KPC62" s="87" t="str">
        <f>IF(ISNUMBER(outYear),KPC37+KPC42+#REF!+KPC59,"")</f>
        <v/>
      </c>
      <c r="KPD62" s="87" t="str">
        <f>IF(ISNUMBER(outYear),KPD37+KPD42+#REF!+KPD59,"")</f>
        <v/>
      </c>
      <c r="KPE62" s="87" t="str">
        <f>IF(ISNUMBER(outYear),KPE37+KPE42+#REF!+KPE59,"")</f>
        <v/>
      </c>
      <c r="KPF62" s="87" t="str">
        <f>IF(ISNUMBER(outYear),KPF37+KPF42+#REF!+KPF59,"")</f>
        <v/>
      </c>
      <c r="KPG62" s="87" t="str">
        <f>IF(ISNUMBER(outYear),KPG37+KPG42+#REF!+KPG59,"")</f>
        <v/>
      </c>
      <c r="KPH62" s="87" t="str">
        <f>IF(ISNUMBER(outYear),KPH37+KPH42+#REF!+KPH59,"")</f>
        <v/>
      </c>
      <c r="KPI62" s="87" t="str">
        <f>IF(ISNUMBER(outYear),KPI37+KPI42+#REF!+KPI59,"")</f>
        <v/>
      </c>
      <c r="KPJ62" s="87" t="str">
        <f>IF(ISNUMBER(outYear),KPJ37+KPJ42+#REF!+KPJ59,"")</f>
        <v/>
      </c>
      <c r="KPK62" s="87" t="str">
        <f>IF(ISNUMBER(outYear),KPK37+KPK42+#REF!+KPK59,"")</f>
        <v/>
      </c>
      <c r="KPL62" s="87" t="str">
        <f>IF(ISNUMBER(outYear),KPL37+KPL42+#REF!+KPL59,"")</f>
        <v/>
      </c>
      <c r="KPM62" s="87" t="str">
        <f>IF(ISNUMBER(outYear),KPM37+KPM42+#REF!+KPM59,"")</f>
        <v/>
      </c>
      <c r="KPN62" s="87" t="str">
        <f>IF(ISNUMBER(outYear),KPN37+KPN42+#REF!+KPN59,"")</f>
        <v/>
      </c>
      <c r="KPO62" s="87" t="str">
        <f>IF(ISNUMBER(outYear),KPO37+KPO42+#REF!+KPO59,"")</f>
        <v/>
      </c>
      <c r="KPP62" s="87" t="str">
        <f>IF(ISNUMBER(outYear),KPP37+KPP42+#REF!+KPP59,"")</f>
        <v/>
      </c>
      <c r="KPQ62" s="87" t="str">
        <f>IF(ISNUMBER(outYear),KPQ37+KPQ42+#REF!+KPQ59,"")</f>
        <v/>
      </c>
      <c r="KPR62" s="87" t="str">
        <f>IF(ISNUMBER(outYear),KPR37+KPR42+#REF!+KPR59,"")</f>
        <v/>
      </c>
      <c r="KPS62" s="87" t="str">
        <f>IF(ISNUMBER(outYear),KPS37+KPS42+#REF!+KPS59,"")</f>
        <v/>
      </c>
      <c r="KPT62" s="87" t="str">
        <f>IF(ISNUMBER(outYear),KPT37+KPT42+#REF!+KPT59,"")</f>
        <v/>
      </c>
      <c r="KPU62" s="87" t="str">
        <f>IF(ISNUMBER(outYear),KPU37+KPU42+#REF!+KPU59,"")</f>
        <v/>
      </c>
      <c r="KPV62" s="87" t="str">
        <f>IF(ISNUMBER(outYear),KPV37+KPV42+#REF!+KPV59,"")</f>
        <v/>
      </c>
      <c r="KPW62" s="87" t="str">
        <f>IF(ISNUMBER(outYear),KPW37+KPW42+#REF!+KPW59,"")</f>
        <v/>
      </c>
      <c r="KPX62" s="87" t="str">
        <f>IF(ISNUMBER(outYear),KPX37+KPX42+#REF!+KPX59,"")</f>
        <v/>
      </c>
      <c r="KPY62" s="87" t="str">
        <f>IF(ISNUMBER(outYear),KPY37+KPY42+#REF!+KPY59,"")</f>
        <v/>
      </c>
      <c r="KPZ62" s="87" t="str">
        <f>IF(ISNUMBER(outYear),KPZ37+KPZ42+#REF!+KPZ59,"")</f>
        <v/>
      </c>
      <c r="KQA62" s="87" t="str">
        <f>IF(ISNUMBER(outYear),KQA37+KQA42+#REF!+KQA59,"")</f>
        <v/>
      </c>
      <c r="KQB62" s="87" t="str">
        <f>IF(ISNUMBER(outYear),KQB37+KQB42+#REF!+KQB59,"")</f>
        <v/>
      </c>
      <c r="KQC62" s="87" t="str">
        <f>IF(ISNUMBER(outYear),KQC37+KQC42+#REF!+KQC59,"")</f>
        <v/>
      </c>
      <c r="KQD62" s="87" t="str">
        <f>IF(ISNUMBER(outYear),KQD37+KQD42+#REF!+KQD59,"")</f>
        <v/>
      </c>
      <c r="KQE62" s="87" t="str">
        <f>IF(ISNUMBER(outYear),KQE37+KQE42+#REF!+KQE59,"")</f>
        <v/>
      </c>
      <c r="KQF62" s="87" t="str">
        <f>IF(ISNUMBER(outYear),KQF37+KQF42+#REF!+KQF59,"")</f>
        <v/>
      </c>
      <c r="KQG62" s="87" t="str">
        <f>IF(ISNUMBER(outYear),KQG37+KQG42+#REF!+KQG59,"")</f>
        <v/>
      </c>
      <c r="KQH62" s="87" t="str">
        <f>IF(ISNUMBER(outYear),KQH37+KQH42+#REF!+KQH59,"")</f>
        <v/>
      </c>
      <c r="KQI62" s="87" t="str">
        <f>IF(ISNUMBER(outYear),KQI37+KQI42+#REF!+KQI59,"")</f>
        <v/>
      </c>
      <c r="KQJ62" s="87" t="str">
        <f>IF(ISNUMBER(outYear),KQJ37+KQJ42+#REF!+KQJ59,"")</f>
        <v/>
      </c>
      <c r="KQK62" s="87" t="str">
        <f>IF(ISNUMBER(outYear),KQK37+KQK42+#REF!+KQK59,"")</f>
        <v/>
      </c>
      <c r="KQL62" s="87" t="str">
        <f>IF(ISNUMBER(outYear),KQL37+KQL42+#REF!+KQL59,"")</f>
        <v/>
      </c>
      <c r="KQM62" s="87" t="str">
        <f>IF(ISNUMBER(outYear),KQM37+KQM42+#REF!+KQM59,"")</f>
        <v/>
      </c>
      <c r="KQN62" s="87" t="str">
        <f>IF(ISNUMBER(outYear),KQN37+KQN42+#REF!+KQN59,"")</f>
        <v/>
      </c>
      <c r="KQO62" s="87" t="str">
        <f>IF(ISNUMBER(outYear),KQO37+KQO42+#REF!+KQO59,"")</f>
        <v/>
      </c>
      <c r="KQP62" s="87" t="str">
        <f>IF(ISNUMBER(outYear),KQP37+KQP42+#REF!+KQP59,"")</f>
        <v/>
      </c>
      <c r="KQQ62" s="87" t="str">
        <f>IF(ISNUMBER(outYear),KQQ37+KQQ42+#REF!+KQQ59,"")</f>
        <v/>
      </c>
      <c r="KQR62" s="87" t="str">
        <f>IF(ISNUMBER(outYear),KQR37+KQR42+#REF!+KQR59,"")</f>
        <v/>
      </c>
      <c r="KQS62" s="87" t="str">
        <f>IF(ISNUMBER(outYear),KQS37+KQS42+#REF!+KQS59,"")</f>
        <v/>
      </c>
      <c r="KQT62" s="87" t="str">
        <f>IF(ISNUMBER(outYear),KQT37+KQT42+#REF!+KQT59,"")</f>
        <v/>
      </c>
      <c r="KQU62" s="87" t="str">
        <f>IF(ISNUMBER(outYear),KQU37+KQU42+#REF!+KQU59,"")</f>
        <v/>
      </c>
      <c r="KQV62" s="87" t="str">
        <f>IF(ISNUMBER(outYear),KQV37+KQV42+#REF!+KQV59,"")</f>
        <v/>
      </c>
      <c r="KQW62" s="87" t="str">
        <f>IF(ISNUMBER(outYear),KQW37+KQW42+#REF!+KQW59,"")</f>
        <v/>
      </c>
      <c r="KQX62" s="87" t="str">
        <f>IF(ISNUMBER(outYear),KQX37+KQX42+#REF!+KQX59,"")</f>
        <v/>
      </c>
      <c r="KQY62" s="87" t="str">
        <f>IF(ISNUMBER(outYear),KQY37+KQY42+#REF!+KQY59,"")</f>
        <v/>
      </c>
      <c r="KQZ62" s="87" t="str">
        <f>IF(ISNUMBER(outYear),KQZ37+KQZ42+#REF!+KQZ59,"")</f>
        <v/>
      </c>
      <c r="KRA62" s="87" t="str">
        <f>IF(ISNUMBER(outYear),KRA37+KRA42+#REF!+KRA59,"")</f>
        <v/>
      </c>
      <c r="KRB62" s="87" t="str">
        <f>IF(ISNUMBER(outYear),KRB37+KRB42+#REF!+KRB59,"")</f>
        <v/>
      </c>
      <c r="KRC62" s="87" t="str">
        <f>IF(ISNUMBER(outYear),KRC37+KRC42+#REF!+KRC59,"")</f>
        <v/>
      </c>
      <c r="KRD62" s="87" t="str">
        <f>IF(ISNUMBER(outYear),KRD37+KRD42+#REF!+KRD59,"")</f>
        <v/>
      </c>
      <c r="KRE62" s="87" t="str">
        <f>IF(ISNUMBER(outYear),KRE37+KRE42+#REF!+KRE59,"")</f>
        <v/>
      </c>
      <c r="KRF62" s="87" t="str">
        <f>IF(ISNUMBER(outYear),KRF37+KRF42+#REF!+KRF59,"")</f>
        <v/>
      </c>
      <c r="KRG62" s="87" t="str">
        <f>IF(ISNUMBER(outYear),KRG37+KRG42+#REF!+KRG59,"")</f>
        <v/>
      </c>
      <c r="KRH62" s="87" t="str">
        <f>IF(ISNUMBER(outYear),KRH37+KRH42+#REF!+KRH59,"")</f>
        <v/>
      </c>
      <c r="KRI62" s="87" t="str">
        <f>IF(ISNUMBER(outYear),KRI37+KRI42+#REF!+KRI59,"")</f>
        <v/>
      </c>
      <c r="KRJ62" s="87" t="str">
        <f>IF(ISNUMBER(outYear),KRJ37+KRJ42+#REF!+KRJ59,"")</f>
        <v/>
      </c>
      <c r="KRK62" s="87" t="str">
        <f>IF(ISNUMBER(outYear),KRK37+KRK42+#REF!+KRK59,"")</f>
        <v/>
      </c>
      <c r="KRL62" s="87" t="str">
        <f>IF(ISNUMBER(outYear),KRL37+KRL42+#REF!+KRL59,"")</f>
        <v/>
      </c>
      <c r="KRM62" s="87" t="str">
        <f>IF(ISNUMBER(outYear),KRM37+KRM42+#REF!+KRM59,"")</f>
        <v/>
      </c>
      <c r="KRN62" s="87" t="str">
        <f>IF(ISNUMBER(outYear),KRN37+KRN42+#REF!+KRN59,"")</f>
        <v/>
      </c>
      <c r="KRO62" s="87" t="str">
        <f>IF(ISNUMBER(outYear),KRO37+KRO42+#REF!+KRO59,"")</f>
        <v/>
      </c>
      <c r="KRP62" s="87" t="str">
        <f>IF(ISNUMBER(outYear),KRP37+KRP42+#REF!+KRP59,"")</f>
        <v/>
      </c>
      <c r="KRQ62" s="87" t="str">
        <f>IF(ISNUMBER(outYear),KRQ37+KRQ42+#REF!+KRQ59,"")</f>
        <v/>
      </c>
      <c r="KRR62" s="87" t="str">
        <f>IF(ISNUMBER(outYear),KRR37+KRR42+#REF!+KRR59,"")</f>
        <v/>
      </c>
      <c r="KRS62" s="87" t="str">
        <f>IF(ISNUMBER(outYear),KRS37+KRS42+#REF!+KRS59,"")</f>
        <v/>
      </c>
      <c r="KRT62" s="87" t="str">
        <f>IF(ISNUMBER(outYear),KRT37+KRT42+#REF!+KRT59,"")</f>
        <v/>
      </c>
      <c r="KRU62" s="87" t="str">
        <f>IF(ISNUMBER(outYear),KRU37+KRU42+#REF!+KRU59,"")</f>
        <v/>
      </c>
      <c r="KRV62" s="87" t="str">
        <f>IF(ISNUMBER(outYear),KRV37+KRV42+#REF!+KRV59,"")</f>
        <v/>
      </c>
      <c r="KRW62" s="87" t="str">
        <f>IF(ISNUMBER(outYear),KRW37+KRW42+#REF!+KRW59,"")</f>
        <v/>
      </c>
      <c r="KRX62" s="87" t="str">
        <f>IF(ISNUMBER(outYear),KRX37+KRX42+#REF!+KRX59,"")</f>
        <v/>
      </c>
      <c r="KRY62" s="87" t="str">
        <f>IF(ISNUMBER(outYear),KRY37+KRY42+#REF!+KRY59,"")</f>
        <v/>
      </c>
      <c r="KRZ62" s="87" t="str">
        <f>IF(ISNUMBER(outYear),KRZ37+KRZ42+#REF!+KRZ59,"")</f>
        <v/>
      </c>
      <c r="KSA62" s="87" t="str">
        <f>IF(ISNUMBER(outYear),KSA37+KSA42+#REF!+KSA59,"")</f>
        <v/>
      </c>
      <c r="KSB62" s="87" t="str">
        <f>IF(ISNUMBER(outYear),KSB37+KSB42+#REF!+KSB59,"")</f>
        <v/>
      </c>
      <c r="KSC62" s="87" t="str">
        <f>IF(ISNUMBER(outYear),KSC37+KSC42+#REF!+KSC59,"")</f>
        <v/>
      </c>
      <c r="KSD62" s="87" t="str">
        <f>IF(ISNUMBER(outYear),KSD37+KSD42+#REF!+KSD59,"")</f>
        <v/>
      </c>
      <c r="KSE62" s="87" t="str">
        <f>IF(ISNUMBER(outYear),KSE37+KSE42+#REF!+KSE59,"")</f>
        <v/>
      </c>
      <c r="KSF62" s="87" t="str">
        <f>IF(ISNUMBER(outYear),KSF37+KSF42+#REF!+KSF59,"")</f>
        <v/>
      </c>
      <c r="KSG62" s="87" t="str">
        <f>IF(ISNUMBER(outYear),KSG37+KSG42+#REF!+KSG59,"")</f>
        <v/>
      </c>
      <c r="KSH62" s="87" t="str">
        <f>IF(ISNUMBER(outYear),KSH37+KSH42+#REF!+KSH59,"")</f>
        <v/>
      </c>
      <c r="KSI62" s="87" t="str">
        <f>IF(ISNUMBER(outYear),KSI37+KSI42+#REF!+KSI59,"")</f>
        <v/>
      </c>
      <c r="KSJ62" s="87" t="str">
        <f>IF(ISNUMBER(outYear),KSJ37+KSJ42+#REF!+KSJ59,"")</f>
        <v/>
      </c>
      <c r="KSK62" s="87" t="str">
        <f>IF(ISNUMBER(outYear),KSK37+KSK42+#REF!+KSK59,"")</f>
        <v/>
      </c>
      <c r="KSL62" s="87" t="str">
        <f>IF(ISNUMBER(outYear),KSL37+KSL42+#REF!+KSL59,"")</f>
        <v/>
      </c>
      <c r="KSM62" s="87" t="str">
        <f>IF(ISNUMBER(outYear),KSM37+KSM42+#REF!+KSM59,"")</f>
        <v/>
      </c>
      <c r="KSN62" s="87" t="str">
        <f>IF(ISNUMBER(outYear),KSN37+KSN42+#REF!+KSN59,"")</f>
        <v/>
      </c>
      <c r="KSO62" s="87" t="str">
        <f>IF(ISNUMBER(outYear),KSO37+KSO42+#REF!+KSO59,"")</f>
        <v/>
      </c>
      <c r="KSP62" s="87" t="str">
        <f>IF(ISNUMBER(outYear),KSP37+KSP42+#REF!+KSP59,"")</f>
        <v/>
      </c>
      <c r="KSQ62" s="87" t="str">
        <f>IF(ISNUMBER(outYear),KSQ37+KSQ42+#REF!+KSQ59,"")</f>
        <v/>
      </c>
      <c r="KSR62" s="87" t="str">
        <f>IF(ISNUMBER(outYear),KSR37+KSR42+#REF!+KSR59,"")</f>
        <v/>
      </c>
      <c r="KSS62" s="87" t="str">
        <f>IF(ISNUMBER(outYear),KSS37+KSS42+#REF!+KSS59,"")</f>
        <v/>
      </c>
      <c r="KST62" s="87" t="str">
        <f>IF(ISNUMBER(outYear),KST37+KST42+#REF!+KST59,"")</f>
        <v/>
      </c>
      <c r="KSU62" s="87" t="str">
        <f>IF(ISNUMBER(outYear),KSU37+KSU42+#REF!+KSU59,"")</f>
        <v/>
      </c>
      <c r="KSV62" s="87" t="str">
        <f>IF(ISNUMBER(outYear),KSV37+KSV42+#REF!+KSV59,"")</f>
        <v/>
      </c>
      <c r="KSW62" s="87" t="str">
        <f>IF(ISNUMBER(outYear),KSW37+KSW42+#REF!+KSW59,"")</f>
        <v/>
      </c>
      <c r="KSX62" s="87" t="str">
        <f>IF(ISNUMBER(outYear),KSX37+KSX42+#REF!+KSX59,"")</f>
        <v/>
      </c>
      <c r="KSY62" s="87" t="str">
        <f>IF(ISNUMBER(outYear),KSY37+KSY42+#REF!+KSY59,"")</f>
        <v/>
      </c>
      <c r="KSZ62" s="87" t="str">
        <f>IF(ISNUMBER(outYear),KSZ37+KSZ42+#REF!+KSZ59,"")</f>
        <v/>
      </c>
      <c r="KTA62" s="87" t="str">
        <f>IF(ISNUMBER(outYear),KTA37+KTA42+#REF!+KTA59,"")</f>
        <v/>
      </c>
      <c r="KTB62" s="87" t="str">
        <f>IF(ISNUMBER(outYear),KTB37+KTB42+#REF!+KTB59,"")</f>
        <v/>
      </c>
      <c r="KTC62" s="87" t="str">
        <f>IF(ISNUMBER(outYear),KTC37+KTC42+#REF!+KTC59,"")</f>
        <v/>
      </c>
      <c r="KTD62" s="87" t="str">
        <f>IF(ISNUMBER(outYear),KTD37+KTD42+#REF!+KTD59,"")</f>
        <v/>
      </c>
      <c r="KTE62" s="87" t="str">
        <f>IF(ISNUMBER(outYear),KTE37+KTE42+#REF!+KTE59,"")</f>
        <v/>
      </c>
      <c r="KTF62" s="87" t="str">
        <f>IF(ISNUMBER(outYear),KTF37+KTF42+#REF!+KTF59,"")</f>
        <v/>
      </c>
      <c r="KTG62" s="87" t="str">
        <f>IF(ISNUMBER(outYear),KTG37+KTG42+#REF!+KTG59,"")</f>
        <v/>
      </c>
      <c r="KTH62" s="87" t="str">
        <f>IF(ISNUMBER(outYear),KTH37+KTH42+#REF!+KTH59,"")</f>
        <v/>
      </c>
      <c r="KTI62" s="87" t="str">
        <f>IF(ISNUMBER(outYear),KTI37+KTI42+#REF!+KTI59,"")</f>
        <v/>
      </c>
      <c r="KTJ62" s="87" t="str">
        <f>IF(ISNUMBER(outYear),KTJ37+KTJ42+#REF!+KTJ59,"")</f>
        <v/>
      </c>
      <c r="KTK62" s="87" t="str">
        <f>IF(ISNUMBER(outYear),KTK37+KTK42+#REF!+KTK59,"")</f>
        <v/>
      </c>
      <c r="KTL62" s="87" t="str">
        <f>IF(ISNUMBER(outYear),KTL37+KTL42+#REF!+KTL59,"")</f>
        <v/>
      </c>
      <c r="KTM62" s="87" t="str">
        <f>IF(ISNUMBER(outYear),KTM37+KTM42+#REF!+KTM59,"")</f>
        <v/>
      </c>
      <c r="KTN62" s="87" t="str">
        <f>IF(ISNUMBER(outYear),KTN37+KTN42+#REF!+KTN59,"")</f>
        <v/>
      </c>
      <c r="KTO62" s="87" t="str">
        <f>IF(ISNUMBER(outYear),KTO37+KTO42+#REF!+KTO59,"")</f>
        <v/>
      </c>
      <c r="KTP62" s="87" t="str">
        <f>IF(ISNUMBER(outYear),KTP37+KTP42+#REF!+KTP59,"")</f>
        <v/>
      </c>
      <c r="KTQ62" s="87" t="str">
        <f>IF(ISNUMBER(outYear),KTQ37+KTQ42+#REF!+KTQ59,"")</f>
        <v/>
      </c>
      <c r="KTR62" s="87" t="str">
        <f>IF(ISNUMBER(outYear),KTR37+KTR42+#REF!+KTR59,"")</f>
        <v/>
      </c>
      <c r="KTS62" s="87" t="str">
        <f>IF(ISNUMBER(outYear),KTS37+KTS42+#REF!+KTS59,"")</f>
        <v/>
      </c>
      <c r="KTT62" s="87" t="str">
        <f>IF(ISNUMBER(outYear),KTT37+KTT42+#REF!+KTT59,"")</f>
        <v/>
      </c>
      <c r="KTU62" s="87" t="str">
        <f>IF(ISNUMBER(outYear),KTU37+KTU42+#REF!+KTU59,"")</f>
        <v/>
      </c>
      <c r="KTV62" s="87" t="str">
        <f>IF(ISNUMBER(outYear),KTV37+KTV42+#REF!+KTV59,"")</f>
        <v/>
      </c>
      <c r="KTW62" s="87" t="str">
        <f>IF(ISNUMBER(outYear),KTW37+KTW42+#REF!+KTW59,"")</f>
        <v/>
      </c>
      <c r="KTX62" s="87" t="str">
        <f>IF(ISNUMBER(outYear),KTX37+KTX42+#REF!+KTX59,"")</f>
        <v/>
      </c>
      <c r="KTY62" s="87" t="str">
        <f>IF(ISNUMBER(outYear),KTY37+KTY42+#REF!+KTY59,"")</f>
        <v/>
      </c>
      <c r="KTZ62" s="87" t="str">
        <f>IF(ISNUMBER(outYear),KTZ37+KTZ42+#REF!+KTZ59,"")</f>
        <v/>
      </c>
      <c r="KUA62" s="87" t="str">
        <f>IF(ISNUMBER(outYear),KUA37+KUA42+#REF!+KUA59,"")</f>
        <v/>
      </c>
      <c r="KUB62" s="87" t="str">
        <f>IF(ISNUMBER(outYear),KUB37+KUB42+#REF!+KUB59,"")</f>
        <v/>
      </c>
      <c r="KUC62" s="87" t="str">
        <f>IF(ISNUMBER(outYear),KUC37+KUC42+#REF!+KUC59,"")</f>
        <v/>
      </c>
      <c r="KUD62" s="87" t="str">
        <f>IF(ISNUMBER(outYear),KUD37+KUD42+#REF!+KUD59,"")</f>
        <v/>
      </c>
      <c r="KUE62" s="87" t="str">
        <f>IF(ISNUMBER(outYear),KUE37+KUE42+#REF!+KUE59,"")</f>
        <v/>
      </c>
      <c r="KUF62" s="87" t="str">
        <f>IF(ISNUMBER(outYear),KUF37+KUF42+#REF!+KUF59,"")</f>
        <v/>
      </c>
      <c r="KUG62" s="87" t="str">
        <f>IF(ISNUMBER(outYear),KUG37+KUG42+#REF!+KUG59,"")</f>
        <v/>
      </c>
      <c r="KUH62" s="87" t="str">
        <f>IF(ISNUMBER(outYear),KUH37+KUH42+#REF!+KUH59,"")</f>
        <v/>
      </c>
      <c r="KUI62" s="87" t="str">
        <f>IF(ISNUMBER(outYear),KUI37+KUI42+#REF!+KUI59,"")</f>
        <v/>
      </c>
      <c r="KUJ62" s="87" t="str">
        <f>IF(ISNUMBER(outYear),KUJ37+KUJ42+#REF!+KUJ59,"")</f>
        <v/>
      </c>
      <c r="KUK62" s="87" t="str">
        <f>IF(ISNUMBER(outYear),KUK37+KUK42+#REF!+KUK59,"")</f>
        <v/>
      </c>
      <c r="KUL62" s="87" t="str">
        <f>IF(ISNUMBER(outYear),KUL37+KUL42+#REF!+KUL59,"")</f>
        <v/>
      </c>
      <c r="KUM62" s="87" t="str">
        <f>IF(ISNUMBER(outYear),KUM37+KUM42+#REF!+KUM59,"")</f>
        <v/>
      </c>
      <c r="KUN62" s="87" t="str">
        <f>IF(ISNUMBER(outYear),KUN37+KUN42+#REF!+KUN59,"")</f>
        <v/>
      </c>
      <c r="KUO62" s="87" t="str">
        <f>IF(ISNUMBER(outYear),KUO37+KUO42+#REF!+KUO59,"")</f>
        <v/>
      </c>
      <c r="KUP62" s="87" t="str">
        <f>IF(ISNUMBER(outYear),KUP37+KUP42+#REF!+KUP59,"")</f>
        <v/>
      </c>
      <c r="KUQ62" s="87" t="str">
        <f>IF(ISNUMBER(outYear),KUQ37+KUQ42+#REF!+KUQ59,"")</f>
        <v/>
      </c>
      <c r="KUR62" s="87" t="str">
        <f>IF(ISNUMBER(outYear),KUR37+KUR42+#REF!+KUR59,"")</f>
        <v/>
      </c>
      <c r="KUS62" s="87" t="str">
        <f>IF(ISNUMBER(outYear),KUS37+KUS42+#REF!+KUS59,"")</f>
        <v/>
      </c>
      <c r="KUT62" s="87" t="str">
        <f>IF(ISNUMBER(outYear),KUT37+KUT42+#REF!+KUT59,"")</f>
        <v/>
      </c>
      <c r="KUU62" s="87" t="str">
        <f>IF(ISNUMBER(outYear),KUU37+KUU42+#REF!+KUU59,"")</f>
        <v/>
      </c>
      <c r="KUV62" s="87" t="str">
        <f>IF(ISNUMBER(outYear),KUV37+KUV42+#REF!+KUV59,"")</f>
        <v/>
      </c>
      <c r="KUW62" s="87" t="str">
        <f>IF(ISNUMBER(outYear),KUW37+KUW42+#REF!+KUW59,"")</f>
        <v/>
      </c>
      <c r="KUX62" s="87" t="str">
        <f>IF(ISNUMBER(outYear),KUX37+KUX42+#REF!+KUX59,"")</f>
        <v/>
      </c>
      <c r="KUY62" s="87" t="str">
        <f>IF(ISNUMBER(outYear),KUY37+KUY42+#REF!+KUY59,"")</f>
        <v/>
      </c>
      <c r="KUZ62" s="87" t="str">
        <f>IF(ISNUMBER(outYear),KUZ37+KUZ42+#REF!+KUZ59,"")</f>
        <v/>
      </c>
      <c r="KVA62" s="87" t="str">
        <f>IF(ISNUMBER(outYear),KVA37+KVA42+#REF!+KVA59,"")</f>
        <v/>
      </c>
      <c r="KVB62" s="87" t="str">
        <f>IF(ISNUMBER(outYear),KVB37+KVB42+#REF!+KVB59,"")</f>
        <v/>
      </c>
      <c r="KVC62" s="87" t="str">
        <f>IF(ISNUMBER(outYear),KVC37+KVC42+#REF!+KVC59,"")</f>
        <v/>
      </c>
      <c r="KVD62" s="87" t="str">
        <f>IF(ISNUMBER(outYear),KVD37+KVD42+#REF!+KVD59,"")</f>
        <v/>
      </c>
      <c r="KVE62" s="87" t="str">
        <f>IF(ISNUMBER(outYear),KVE37+KVE42+#REF!+KVE59,"")</f>
        <v/>
      </c>
      <c r="KVF62" s="87" t="str">
        <f>IF(ISNUMBER(outYear),KVF37+KVF42+#REF!+KVF59,"")</f>
        <v/>
      </c>
      <c r="KVG62" s="87" t="str">
        <f>IF(ISNUMBER(outYear),KVG37+KVG42+#REF!+KVG59,"")</f>
        <v/>
      </c>
      <c r="KVH62" s="87" t="str">
        <f>IF(ISNUMBER(outYear),KVH37+KVH42+#REF!+KVH59,"")</f>
        <v/>
      </c>
      <c r="KVI62" s="87" t="str">
        <f>IF(ISNUMBER(outYear),KVI37+KVI42+#REF!+KVI59,"")</f>
        <v/>
      </c>
      <c r="KVJ62" s="87" t="str">
        <f>IF(ISNUMBER(outYear),KVJ37+KVJ42+#REF!+KVJ59,"")</f>
        <v/>
      </c>
      <c r="KVK62" s="87" t="str">
        <f>IF(ISNUMBER(outYear),KVK37+KVK42+#REF!+KVK59,"")</f>
        <v/>
      </c>
      <c r="KVL62" s="87" t="str">
        <f>IF(ISNUMBER(outYear),KVL37+KVL42+#REF!+KVL59,"")</f>
        <v/>
      </c>
      <c r="KVM62" s="87" t="str">
        <f>IF(ISNUMBER(outYear),KVM37+KVM42+#REF!+KVM59,"")</f>
        <v/>
      </c>
      <c r="KVN62" s="87" t="str">
        <f>IF(ISNUMBER(outYear),KVN37+KVN42+#REF!+KVN59,"")</f>
        <v/>
      </c>
      <c r="KVO62" s="87" t="str">
        <f>IF(ISNUMBER(outYear),KVO37+KVO42+#REF!+KVO59,"")</f>
        <v/>
      </c>
      <c r="KVP62" s="87" t="str">
        <f>IF(ISNUMBER(outYear),KVP37+KVP42+#REF!+KVP59,"")</f>
        <v/>
      </c>
      <c r="KVQ62" s="87" t="str">
        <f>IF(ISNUMBER(outYear),KVQ37+KVQ42+#REF!+KVQ59,"")</f>
        <v/>
      </c>
      <c r="KVR62" s="87" t="str">
        <f>IF(ISNUMBER(outYear),KVR37+KVR42+#REF!+KVR59,"")</f>
        <v/>
      </c>
      <c r="KVS62" s="87" t="str">
        <f>IF(ISNUMBER(outYear),KVS37+KVS42+#REF!+KVS59,"")</f>
        <v/>
      </c>
      <c r="KVT62" s="87" t="str">
        <f>IF(ISNUMBER(outYear),KVT37+KVT42+#REF!+KVT59,"")</f>
        <v/>
      </c>
      <c r="KVU62" s="87" t="str">
        <f>IF(ISNUMBER(outYear),KVU37+KVU42+#REF!+KVU59,"")</f>
        <v/>
      </c>
      <c r="KVV62" s="87" t="str">
        <f>IF(ISNUMBER(outYear),KVV37+KVV42+#REF!+KVV59,"")</f>
        <v/>
      </c>
      <c r="KVW62" s="87" t="str">
        <f>IF(ISNUMBER(outYear),KVW37+KVW42+#REF!+KVW59,"")</f>
        <v/>
      </c>
      <c r="KVX62" s="87" t="str">
        <f>IF(ISNUMBER(outYear),KVX37+KVX42+#REF!+KVX59,"")</f>
        <v/>
      </c>
      <c r="KVY62" s="87" t="str">
        <f>IF(ISNUMBER(outYear),KVY37+KVY42+#REF!+KVY59,"")</f>
        <v/>
      </c>
      <c r="KVZ62" s="87" t="str">
        <f>IF(ISNUMBER(outYear),KVZ37+KVZ42+#REF!+KVZ59,"")</f>
        <v/>
      </c>
      <c r="KWA62" s="87" t="str">
        <f>IF(ISNUMBER(outYear),KWA37+KWA42+#REF!+KWA59,"")</f>
        <v/>
      </c>
      <c r="KWB62" s="87" t="str">
        <f>IF(ISNUMBER(outYear),KWB37+KWB42+#REF!+KWB59,"")</f>
        <v/>
      </c>
      <c r="KWC62" s="87" t="str">
        <f>IF(ISNUMBER(outYear),KWC37+KWC42+#REF!+KWC59,"")</f>
        <v/>
      </c>
      <c r="KWD62" s="87" t="str">
        <f>IF(ISNUMBER(outYear),KWD37+KWD42+#REF!+KWD59,"")</f>
        <v/>
      </c>
      <c r="KWE62" s="87" t="str">
        <f>IF(ISNUMBER(outYear),KWE37+KWE42+#REF!+KWE59,"")</f>
        <v/>
      </c>
      <c r="KWF62" s="87" t="str">
        <f>IF(ISNUMBER(outYear),KWF37+KWF42+#REF!+KWF59,"")</f>
        <v/>
      </c>
      <c r="KWG62" s="87" t="str">
        <f>IF(ISNUMBER(outYear),KWG37+KWG42+#REF!+KWG59,"")</f>
        <v/>
      </c>
      <c r="KWH62" s="87" t="str">
        <f>IF(ISNUMBER(outYear),KWH37+KWH42+#REF!+KWH59,"")</f>
        <v/>
      </c>
      <c r="KWI62" s="87" t="str">
        <f>IF(ISNUMBER(outYear),KWI37+KWI42+#REF!+KWI59,"")</f>
        <v/>
      </c>
      <c r="KWJ62" s="87" t="str">
        <f>IF(ISNUMBER(outYear),KWJ37+KWJ42+#REF!+KWJ59,"")</f>
        <v/>
      </c>
      <c r="KWK62" s="87" t="str">
        <f>IF(ISNUMBER(outYear),KWK37+KWK42+#REF!+KWK59,"")</f>
        <v/>
      </c>
      <c r="KWL62" s="87" t="str">
        <f>IF(ISNUMBER(outYear),KWL37+KWL42+#REF!+KWL59,"")</f>
        <v/>
      </c>
      <c r="KWM62" s="87" t="str">
        <f>IF(ISNUMBER(outYear),KWM37+KWM42+#REF!+KWM59,"")</f>
        <v/>
      </c>
      <c r="KWN62" s="87" t="str">
        <f>IF(ISNUMBER(outYear),KWN37+KWN42+#REF!+KWN59,"")</f>
        <v/>
      </c>
      <c r="KWO62" s="87" t="str">
        <f>IF(ISNUMBER(outYear),KWO37+KWO42+#REF!+KWO59,"")</f>
        <v/>
      </c>
      <c r="KWP62" s="87" t="str">
        <f>IF(ISNUMBER(outYear),KWP37+KWP42+#REF!+KWP59,"")</f>
        <v/>
      </c>
      <c r="KWQ62" s="87" t="str">
        <f>IF(ISNUMBER(outYear),KWQ37+KWQ42+#REF!+KWQ59,"")</f>
        <v/>
      </c>
      <c r="KWR62" s="87" t="str">
        <f>IF(ISNUMBER(outYear),KWR37+KWR42+#REF!+KWR59,"")</f>
        <v/>
      </c>
      <c r="KWS62" s="87" t="str">
        <f>IF(ISNUMBER(outYear),KWS37+KWS42+#REF!+KWS59,"")</f>
        <v/>
      </c>
      <c r="KWT62" s="87" t="str">
        <f>IF(ISNUMBER(outYear),KWT37+KWT42+#REF!+KWT59,"")</f>
        <v/>
      </c>
      <c r="KWU62" s="87" t="str">
        <f>IF(ISNUMBER(outYear),KWU37+KWU42+#REF!+KWU59,"")</f>
        <v/>
      </c>
      <c r="KWV62" s="87" t="str">
        <f>IF(ISNUMBER(outYear),KWV37+KWV42+#REF!+KWV59,"")</f>
        <v/>
      </c>
      <c r="KWW62" s="87" t="str">
        <f>IF(ISNUMBER(outYear),KWW37+KWW42+#REF!+KWW59,"")</f>
        <v/>
      </c>
      <c r="KWX62" s="87" t="str">
        <f>IF(ISNUMBER(outYear),KWX37+KWX42+#REF!+KWX59,"")</f>
        <v/>
      </c>
      <c r="KWY62" s="87" t="str">
        <f>IF(ISNUMBER(outYear),KWY37+KWY42+#REF!+KWY59,"")</f>
        <v/>
      </c>
      <c r="KWZ62" s="87" t="str">
        <f>IF(ISNUMBER(outYear),KWZ37+KWZ42+#REF!+KWZ59,"")</f>
        <v/>
      </c>
      <c r="KXA62" s="87" t="str">
        <f>IF(ISNUMBER(outYear),KXA37+KXA42+#REF!+KXA59,"")</f>
        <v/>
      </c>
      <c r="KXB62" s="87" t="str">
        <f>IF(ISNUMBER(outYear),KXB37+KXB42+#REF!+KXB59,"")</f>
        <v/>
      </c>
      <c r="KXC62" s="87" t="str">
        <f>IF(ISNUMBER(outYear),KXC37+KXC42+#REF!+KXC59,"")</f>
        <v/>
      </c>
      <c r="KXD62" s="87" t="str">
        <f>IF(ISNUMBER(outYear),KXD37+KXD42+#REF!+KXD59,"")</f>
        <v/>
      </c>
      <c r="KXE62" s="87" t="str">
        <f>IF(ISNUMBER(outYear),KXE37+KXE42+#REF!+KXE59,"")</f>
        <v/>
      </c>
      <c r="KXF62" s="87" t="str">
        <f>IF(ISNUMBER(outYear),KXF37+KXF42+#REF!+KXF59,"")</f>
        <v/>
      </c>
      <c r="KXG62" s="87" t="str">
        <f>IF(ISNUMBER(outYear),KXG37+KXG42+#REF!+KXG59,"")</f>
        <v/>
      </c>
      <c r="KXH62" s="87" t="str">
        <f>IF(ISNUMBER(outYear),KXH37+KXH42+#REF!+KXH59,"")</f>
        <v/>
      </c>
      <c r="KXI62" s="87" t="str">
        <f>IF(ISNUMBER(outYear),KXI37+KXI42+#REF!+KXI59,"")</f>
        <v/>
      </c>
      <c r="KXJ62" s="87" t="str">
        <f>IF(ISNUMBER(outYear),KXJ37+KXJ42+#REF!+KXJ59,"")</f>
        <v/>
      </c>
      <c r="KXK62" s="87" t="str">
        <f>IF(ISNUMBER(outYear),KXK37+KXK42+#REF!+KXK59,"")</f>
        <v/>
      </c>
      <c r="KXL62" s="87" t="str">
        <f>IF(ISNUMBER(outYear),KXL37+KXL42+#REF!+KXL59,"")</f>
        <v/>
      </c>
      <c r="KXM62" s="87" t="str">
        <f>IF(ISNUMBER(outYear),KXM37+KXM42+#REF!+KXM59,"")</f>
        <v/>
      </c>
      <c r="KXN62" s="87" t="str">
        <f>IF(ISNUMBER(outYear),KXN37+KXN42+#REF!+KXN59,"")</f>
        <v/>
      </c>
      <c r="KXO62" s="87" t="str">
        <f>IF(ISNUMBER(outYear),KXO37+KXO42+#REF!+KXO59,"")</f>
        <v/>
      </c>
      <c r="KXP62" s="87" t="str">
        <f>IF(ISNUMBER(outYear),KXP37+KXP42+#REF!+KXP59,"")</f>
        <v/>
      </c>
      <c r="KXQ62" s="87" t="str">
        <f>IF(ISNUMBER(outYear),KXQ37+KXQ42+#REF!+KXQ59,"")</f>
        <v/>
      </c>
      <c r="KXR62" s="87" t="str">
        <f>IF(ISNUMBER(outYear),KXR37+KXR42+#REF!+KXR59,"")</f>
        <v/>
      </c>
      <c r="KXS62" s="87" t="str">
        <f>IF(ISNUMBER(outYear),KXS37+KXS42+#REF!+KXS59,"")</f>
        <v/>
      </c>
      <c r="KXT62" s="87" t="str">
        <f>IF(ISNUMBER(outYear),KXT37+KXT42+#REF!+KXT59,"")</f>
        <v/>
      </c>
      <c r="KXU62" s="87" t="str">
        <f>IF(ISNUMBER(outYear),KXU37+KXU42+#REF!+KXU59,"")</f>
        <v/>
      </c>
      <c r="KXV62" s="87" t="str">
        <f>IF(ISNUMBER(outYear),KXV37+KXV42+#REF!+KXV59,"")</f>
        <v/>
      </c>
      <c r="KXW62" s="87" t="str">
        <f>IF(ISNUMBER(outYear),KXW37+KXW42+#REF!+KXW59,"")</f>
        <v/>
      </c>
      <c r="KXX62" s="87" t="str">
        <f>IF(ISNUMBER(outYear),KXX37+KXX42+#REF!+KXX59,"")</f>
        <v/>
      </c>
      <c r="KXY62" s="87" t="str">
        <f>IF(ISNUMBER(outYear),KXY37+KXY42+#REF!+KXY59,"")</f>
        <v/>
      </c>
      <c r="KXZ62" s="87" t="str">
        <f>IF(ISNUMBER(outYear),KXZ37+KXZ42+#REF!+KXZ59,"")</f>
        <v/>
      </c>
      <c r="KYA62" s="87" t="str">
        <f>IF(ISNUMBER(outYear),KYA37+KYA42+#REF!+KYA59,"")</f>
        <v/>
      </c>
      <c r="KYB62" s="87" t="str">
        <f>IF(ISNUMBER(outYear),KYB37+KYB42+#REF!+KYB59,"")</f>
        <v/>
      </c>
      <c r="KYC62" s="87" t="str">
        <f>IF(ISNUMBER(outYear),KYC37+KYC42+#REF!+KYC59,"")</f>
        <v/>
      </c>
      <c r="KYD62" s="87" t="str">
        <f>IF(ISNUMBER(outYear),KYD37+KYD42+#REF!+KYD59,"")</f>
        <v/>
      </c>
      <c r="KYE62" s="87" t="str">
        <f>IF(ISNUMBER(outYear),KYE37+KYE42+#REF!+KYE59,"")</f>
        <v/>
      </c>
      <c r="KYF62" s="87" t="str">
        <f>IF(ISNUMBER(outYear),KYF37+KYF42+#REF!+KYF59,"")</f>
        <v/>
      </c>
      <c r="KYG62" s="87" t="str">
        <f>IF(ISNUMBER(outYear),KYG37+KYG42+#REF!+KYG59,"")</f>
        <v/>
      </c>
      <c r="KYH62" s="87" t="str">
        <f>IF(ISNUMBER(outYear),KYH37+KYH42+#REF!+KYH59,"")</f>
        <v/>
      </c>
      <c r="KYI62" s="87" t="str">
        <f>IF(ISNUMBER(outYear),KYI37+KYI42+#REF!+KYI59,"")</f>
        <v/>
      </c>
      <c r="KYJ62" s="87" t="str">
        <f>IF(ISNUMBER(outYear),KYJ37+KYJ42+#REF!+KYJ59,"")</f>
        <v/>
      </c>
      <c r="KYK62" s="87" t="str">
        <f>IF(ISNUMBER(outYear),KYK37+KYK42+#REF!+KYK59,"")</f>
        <v/>
      </c>
      <c r="KYL62" s="87" t="str">
        <f>IF(ISNUMBER(outYear),KYL37+KYL42+#REF!+KYL59,"")</f>
        <v/>
      </c>
      <c r="KYM62" s="87" t="str">
        <f>IF(ISNUMBER(outYear),KYM37+KYM42+#REF!+KYM59,"")</f>
        <v/>
      </c>
      <c r="KYN62" s="87" t="str">
        <f>IF(ISNUMBER(outYear),KYN37+KYN42+#REF!+KYN59,"")</f>
        <v/>
      </c>
      <c r="KYO62" s="87" t="str">
        <f>IF(ISNUMBER(outYear),KYO37+KYO42+#REF!+KYO59,"")</f>
        <v/>
      </c>
      <c r="KYP62" s="87" t="str">
        <f>IF(ISNUMBER(outYear),KYP37+KYP42+#REF!+KYP59,"")</f>
        <v/>
      </c>
      <c r="KYQ62" s="87" t="str">
        <f>IF(ISNUMBER(outYear),KYQ37+KYQ42+#REF!+KYQ59,"")</f>
        <v/>
      </c>
      <c r="KYR62" s="87" t="str">
        <f>IF(ISNUMBER(outYear),KYR37+KYR42+#REF!+KYR59,"")</f>
        <v/>
      </c>
      <c r="KYS62" s="87" t="str">
        <f>IF(ISNUMBER(outYear),KYS37+KYS42+#REF!+KYS59,"")</f>
        <v/>
      </c>
      <c r="KYT62" s="87" t="str">
        <f>IF(ISNUMBER(outYear),KYT37+KYT42+#REF!+KYT59,"")</f>
        <v/>
      </c>
      <c r="KYU62" s="87" t="str">
        <f>IF(ISNUMBER(outYear),KYU37+KYU42+#REF!+KYU59,"")</f>
        <v/>
      </c>
      <c r="KYV62" s="87" t="str">
        <f>IF(ISNUMBER(outYear),KYV37+KYV42+#REF!+KYV59,"")</f>
        <v/>
      </c>
      <c r="KYW62" s="87" t="str">
        <f>IF(ISNUMBER(outYear),KYW37+KYW42+#REF!+KYW59,"")</f>
        <v/>
      </c>
      <c r="KYX62" s="87" t="str">
        <f>IF(ISNUMBER(outYear),KYX37+KYX42+#REF!+KYX59,"")</f>
        <v/>
      </c>
      <c r="KYY62" s="87" t="str">
        <f>IF(ISNUMBER(outYear),KYY37+KYY42+#REF!+KYY59,"")</f>
        <v/>
      </c>
      <c r="KYZ62" s="87" t="str">
        <f>IF(ISNUMBER(outYear),KYZ37+KYZ42+#REF!+KYZ59,"")</f>
        <v/>
      </c>
      <c r="KZA62" s="87" t="str">
        <f>IF(ISNUMBER(outYear),KZA37+KZA42+#REF!+KZA59,"")</f>
        <v/>
      </c>
      <c r="KZB62" s="87" t="str">
        <f>IF(ISNUMBER(outYear),KZB37+KZB42+#REF!+KZB59,"")</f>
        <v/>
      </c>
      <c r="KZC62" s="87" t="str">
        <f>IF(ISNUMBER(outYear),KZC37+KZC42+#REF!+KZC59,"")</f>
        <v/>
      </c>
      <c r="KZD62" s="87" t="str">
        <f>IF(ISNUMBER(outYear),KZD37+KZD42+#REF!+KZD59,"")</f>
        <v/>
      </c>
      <c r="KZE62" s="87" t="str">
        <f>IF(ISNUMBER(outYear),KZE37+KZE42+#REF!+KZE59,"")</f>
        <v/>
      </c>
      <c r="KZF62" s="87" t="str">
        <f>IF(ISNUMBER(outYear),KZF37+KZF42+#REF!+KZF59,"")</f>
        <v/>
      </c>
      <c r="KZG62" s="87" t="str">
        <f>IF(ISNUMBER(outYear),KZG37+KZG42+#REF!+KZG59,"")</f>
        <v/>
      </c>
      <c r="KZH62" s="87" t="str">
        <f>IF(ISNUMBER(outYear),KZH37+KZH42+#REF!+KZH59,"")</f>
        <v/>
      </c>
      <c r="KZI62" s="87" t="str">
        <f>IF(ISNUMBER(outYear),KZI37+KZI42+#REF!+KZI59,"")</f>
        <v/>
      </c>
      <c r="KZJ62" s="87" t="str">
        <f>IF(ISNUMBER(outYear),KZJ37+KZJ42+#REF!+KZJ59,"")</f>
        <v/>
      </c>
      <c r="KZK62" s="87" t="str">
        <f>IF(ISNUMBER(outYear),KZK37+KZK42+#REF!+KZK59,"")</f>
        <v/>
      </c>
      <c r="KZL62" s="87" t="str">
        <f>IF(ISNUMBER(outYear),KZL37+KZL42+#REF!+KZL59,"")</f>
        <v/>
      </c>
      <c r="KZM62" s="87" t="str">
        <f>IF(ISNUMBER(outYear),KZM37+KZM42+#REF!+KZM59,"")</f>
        <v/>
      </c>
      <c r="KZN62" s="87" t="str">
        <f>IF(ISNUMBER(outYear),KZN37+KZN42+#REF!+KZN59,"")</f>
        <v/>
      </c>
      <c r="KZO62" s="87" t="str">
        <f>IF(ISNUMBER(outYear),KZO37+KZO42+#REF!+KZO59,"")</f>
        <v/>
      </c>
      <c r="KZP62" s="87" t="str">
        <f>IF(ISNUMBER(outYear),KZP37+KZP42+#REF!+KZP59,"")</f>
        <v/>
      </c>
      <c r="KZQ62" s="87" t="str">
        <f>IF(ISNUMBER(outYear),KZQ37+KZQ42+#REF!+KZQ59,"")</f>
        <v/>
      </c>
      <c r="KZR62" s="87" t="str">
        <f>IF(ISNUMBER(outYear),KZR37+KZR42+#REF!+KZR59,"")</f>
        <v/>
      </c>
      <c r="KZS62" s="87" t="str">
        <f>IF(ISNUMBER(outYear),KZS37+KZS42+#REF!+KZS59,"")</f>
        <v/>
      </c>
      <c r="KZT62" s="87" t="str">
        <f>IF(ISNUMBER(outYear),KZT37+KZT42+#REF!+KZT59,"")</f>
        <v/>
      </c>
      <c r="KZU62" s="87" t="str">
        <f>IF(ISNUMBER(outYear),KZU37+KZU42+#REF!+KZU59,"")</f>
        <v/>
      </c>
      <c r="KZV62" s="87" t="str">
        <f>IF(ISNUMBER(outYear),KZV37+KZV42+#REF!+KZV59,"")</f>
        <v/>
      </c>
      <c r="KZW62" s="87" t="str">
        <f>IF(ISNUMBER(outYear),KZW37+KZW42+#REF!+KZW59,"")</f>
        <v/>
      </c>
      <c r="KZX62" s="87" t="str">
        <f>IF(ISNUMBER(outYear),KZX37+KZX42+#REF!+KZX59,"")</f>
        <v/>
      </c>
      <c r="KZY62" s="87" t="str">
        <f>IF(ISNUMBER(outYear),KZY37+KZY42+#REF!+KZY59,"")</f>
        <v/>
      </c>
      <c r="KZZ62" s="87" t="str">
        <f>IF(ISNUMBER(outYear),KZZ37+KZZ42+#REF!+KZZ59,"")</f>
        <v/>
      </c>
      <c r="LAA62" s="87" t="str">
        <f>IF(ISNUMBER(outYear),LAA37+LAA42+#REF!+LAA59,"")</f>
        <v/>
      </c>
      <c r="LAB62" s="87" t="str">
        <f>IF(ISNUMBER(outYear),LAB37+LAB42+#REF!+LAB59,"")</f>
        <v/>
      </c>
      <c r="LAC62" s="87" t="str">
        <f>IF(ISNUMBER(outYear),LAC37+LAC42+#REF!+LAC59,"")</f>
        <v/>
      </c>
      <c r="LAD62" s="87" t="str">
        <f>IF(ISNUMBER(outYear),LAD37+LAD42+#REF!+LAD59,"")</f>
        <v/>
      </c>
      <c r="LAE62" s="87" t="str">
        <f>IF(ISNUMBER(outYear),LAE37+LAE42+#REF!+LAE59,"")</f>
        <v/>
      </c>
      <c r="LAF62" s="87" t="str">
        <f>IF(ISNUMBER(outYear),LAF37+LAF42+#REF!+LAF59,"")</f>
        <v/>
      </c>
      <c r="LAG62" s="87" t="str">
        <f>IF(ISNUMBER(outYear),LAG37+LAG42+#REF!+LAG59,"")</f>
        <v/>
      </c>
      <c r="LAH62" s="87" t="str">
        <f>IF(ISNUMBER(outYear),LAH37+LAH42+#REF!+LAH59,"")</f>
        <v/>
      </c>
      <c r="LAI62" s="87" t="str">
        <f>IF(ISNUMBER(outYear),LAI37+LAI42+#REF!+LAI59,"")</f>
        <v/>
      </c>
      <c r="LAJ62" s="87" t="str">
        <f>IF(ISNUMBER(outYear),LAJ37+LAJ42+#REF!+LAJ59,"")</f>
        <v/>
      </c>
      <c r="LAK62" s="87" t="str">
        <f>IF(ISNUMBER(outYear),LAK37+LAK42+#REF!+LAK59,"")</f>
        <v/>
      </c>
      <c r="LAL62" s="87" t="str">
        <f>IF(ISNUMBER(outYear),LAL37+LAL42+#REF!+LAL59,"")</f>
        <v/>
      </c>
      <c r="LAM62" s="87" t="str">
        <f>IF(ISNUMBER(outYear),LAM37+LAM42+#REF!+LAM59,"")</f>
        <v/>
      </c>
      <c r="LAN62" s="87" t="str">
        <f>IF(ISNUMBER(outYear),LAN37+LAN42+#REF!+LAN59,"")</f>
        <v/>
      </c>
      <c r="LAO62" s="87" t="str">
        <f>IF(ISNUMBER(outYear),LAO37+LAO42+#REF!+LAO59,"")</f>
        <v/>
      </c>
      <c r="LAP62" s="87" t="str">
        <f>IF(ISNUMBER(outYear),LAP37+LAP42+#REF!+LAP59,"")</f>
        <v/>
      </c>
      <c r="LAQ62" s="87" t="str">
        <f>IF(ISNUMBER(outYear),LAQ37+LAQ42+#REF!+LAQ59,"")</f>
        <v/>
      </c>
      <c r="LAR62" s="87" t="str">
        <f>IF(ISNUMBER(outYear),LAR37+LAR42+#REF!+LAR59,"")</f>
        <v/>
      </c>
      <c r="LAS62" s="87" t="str">
        <f>IF(ISNUMBER(outYear),LAS37+LAS42+#REF!+LAS59,"")</f>
        <v/>
      </c>
      <c r="LAT62" s="87" t="str">
        <f>IF(ISNUMBER(outYear),LAT37+LAT42+#REF!+LAT59,"")</f>
        <v/>
      </c>
      <c r="LAU62" s="87" t="str">
        <f>IF(ISNUMBER(outYear),LAU37+LAU42+#REF!+LAU59,"")</f>
        <v/>
      </c>
      <c r="LAV62" s="87" t="str">
        <f>IF(ISNUMBER(outYear),LAV37+LAV42+#REF!+LAV59,"")</f>
        <v/>
      </c>
      <c r="LAW62" s="87" t="str">
        <f>IF(ISNUMBER(outYear),LAW37+LAW42+#REF!+LAW59,"")</f>
        <v/>
      </c>
      <c r="LAX62" s="87" t="str">
        <f>IF(ISNUMBER(outYear),LAX37+LAX42+#REF!+LAX59,"")</f>
        <v/>
      </c>
      <c r="LAY62" s="87" t="str">
        <f>IF(ISNUMBER(outYear),LAY37+LAY42+#REF!+LAY59,"")</f>
        <v/>
      </c>
      <c r="LAZ62" s="87" t="str">
        <f>IF(ISNUMBER(outYear),LAZ37+LAZ42+#REF!+LAZ59,"")</f>
        <v/>
      </c>
      <c r="LBA62" s="87" t="str">
        <f>IF(ISNUMBER(outYear),LBA37+LBA42+#REF!+LBA59,"")</f>
        <v/>
      </c>
      <c r="LBB62" s="87" t="str">
        <f>IF(ISNUMBER(outYear),LBB37+LBB42+#REF!+LBB59,"")</f>
        <v/>
      </c>
      <c r="LBC62" s="87" t="str">
        <f>IF(ISNUMBER(outYear),LBC37+LBC42+#REF!+LBC59,"")</f>
        <v/>
      </c>
      <c r="LBD62" s="87" t="str">
        <f>IF(ISNUMBER(outYear),LBD37+LBD42+#REF!+LBD59,"")</f>
        <v/>
      </c>
      <c r="LBE62" s="87" t="str">
        <f>IF(ISNUMBER(outYear),LBE37+LBE42+#REF!+LBE59,"")</f>
        <v/>
      </c>
      <c r="LBF62" s="87" t="str">
        <f>IF(ISNUMBER(outYear),LBF37+LBF42+#REF!+LBF59,"")</f>
        <v/>
      </c>
      <c r="LBG62" s="87" t="str">
        <f>IF(ISNUMBER(outYear),LBG37+LBG42+#REF!+LBG59,"")</f>
        <v/>
      </c>
      <c r="LBH62" s="87" t="str">
        <f>IF(ISNUMBER(outYear),LBH37+LBH42+#REF!+LBH59,"")</f>
        <v/>
      </c>
      <c r="LBI62" s="87" t="str">
        <f>IF(ISNUMBER(outYear),LBI37+LBI42+#REF!+LBI59,"")</f>
        <v/>
      </c>
      <c r="LBJ62" s="87" t="str">
        <f>IF(ISNUMBER(outYear),LBJ37+LBJ42+#REF!+LBJ59,"")</f>
        <v/>
      </c>
      <c r="LBK62" s="87" t="str">
        <f>IF(ISNUMBER(outYear),LBK37+LBK42+#REF!+LBK59,"")</f>
        <v/>
      </c>
      <c r="LBL62" s="87" t="str">
        <f>IF(ISNUMBER(outYear),LBL37+LBL42+#REF!+LBL59,"")</f>
        <v/>
      </c>
      <c r="LBM62" s="87" t="str">
        <f>IF(ISNUMBER(outYear),LBM37+LBM42+#REF!+LBM59,"")</f>
        <v/>
      </c>
      <c r="LBN62" s="87" t="str">
        <f>IF(ISNUMBER(outYear),LBN37+LBN42+#REF!+LBN59,"")</f>
        <v/>
      </c>
      <c r="LBO62" s="87" t="str">
        <f>IF(ISNUMBER(outYear),LBO37+LBO42+#REF!+LBO59,"")</f>
        <v/>
      </c>
      <c r="LBP62" s="87" t="str">
        <f>IF(ISNUMBER(outYear),LBP37+LBP42+#REF!+LBP59,"")</f>
        <v/>
      </c>
      <c r="LBQ62" s="87" t="str">
        <f>IF(ISNUMBER(outYear),LBQ37+LBQ42+#REF!+LBQ59,"")</f>
        <v/>
      </c>
      <c r="LBR62" s="87" t="str">
        <f>IF(ISNUMBER(outYear),LBR37+LBR42+#REF!+LBR59,"")</f>
        <v/>
      </c>
      <c r="LBS62" s="87" t="str">
        <f>IF(ISNUMBER(outYear),LBS37+LBS42+#REF!+LBS59,"")</f>
        <v/>
      </c>
      <c r="LBT62" s="87" t="str">
        <f>IF(ISNUMBER(outYear),LBT37+LBT42+#REF!+LBT59,"")</f>
        <v/>
      </c>
      <c r="LBU62" s="87" t="str">
        <f>IF(ISNUMBER(outYear),LBU37+LBU42+#REF!+LBU59,"")</f>
        <v/>
      </c>
      <c r="LBV62" s="87" t="str">
        <f>IF(ISNUMBER(outYear),LBV37+LBV42+#REF!+LBV59,"")</f>
        <v/>
      </c>
      <c r="LBW62" s="87" t="str">
        <f>IF(ISNUMBER(outYear),LBW37+LBW42+#REF!+LBW59,"")</f>
        <v/>
      </c>
      <c r="LBX62" s="87" t="str">
        <f>IF(ISNUMBER(outYear),LBX37+LBX42+#REF!+LBX59,"")</f>
        <v/>
      </c>
      <c r="LBY62" s="87" t="str">
        <f>IF(ISNUMBER(outYear),LBY37+LBY42+#REF!+LBY59,"")</f>
        <v/>
      </c>
      <c r="LBZ62" s="87" t="str">
        <f>IF(ISNUMBER(outYear),LBZ37+LBZ42+#REF!+LBZ59,"")</f>
        <v/>
      </c>
      <c r="LCA62" s="87" t="str">
        <f>IF(ISNUMBER(outYear),LCA37+LCA42+#REF!+LCA59,"")</f>
        <v/>
      </c>
      <c r="LCB62" s="87" t="str">
        <f>IF(ISNUMBER(outYear),LCB37+LCB42+#REF!+LCB59,"")</f>
        <v/>
      </c>
      <c r="LCC62" s="87" t="str">
        <f>IF(ISNUMBER(outYear),LCC37+LCC42+#REF!+LCC59,"")</f>
        <v/>
      </c>
      <c r="LCD62" s="87" t="str">
        <f>IF(ISNUMBER(outYear),LCD37+LCD42+#REF!+LCD59,"")</f>
        <v/>
      </c>
      <c r="LCE62" s="87" t="str">
        <f>IF(ISNUMBER(outYear),LCE37+LCE42+#REF!+LCE59,"")</f>
        <v/>
      </c>
      <c r="LCF62" s="87" t="str">
        <f>IF(ISNUMBER(outYear),LCF37+LCF42+#REF!+LCF59,"")</f>
        <v/>
      </c>
      <c r="LCG62" s="87" t="str">
        <f>IF(ISNUMBER(outYear),LCG37+LCG42+#REF!+LCG59,"")</f>
        <v/>
      </c>
      <c r="LCH62" s="87" t="str">
        <f>IF(ISNUMBER(outYear),LCH37+LCH42+#REF!+LCH59,"")</f>
        <v/>
      </c>
      <c r="LCI62" s="87" t="str">
        <f>IF(ISNUMBER(outYear),LCI37+LCI42+#REF!+LCI59,"")</f>
        <v/>
      </c>
      <c r="LCJ62" s="87" t="str">
        <f>IF(ISNUMBER(outYear),LCJ37+LCJ42+#REF!+LCJ59,"")</f>
        <v/>
      </c>
      <c r="LCK62" s="87" t="str">
        <f>IF(ISNUMBER(outYear),LCK37+LCK42+#REF!+LCK59,"")</f>
        <v/>
      </c>
      <c r="LCL62" s="87" t="str">
        <f>IF(ISNUMBER(outYear),LCL37+LCL42+#REF!+LCL59,"")</f>
        <v/>
      </c>
      <c r="LCM62" s="87" t="str">
        <f>IF(ISNUMBER(outYear),LCM37+LCM42+#REF!+LCM59,"")</f>
        <v/>
      </c>
      <c r="LCN62" s="87" t="str">
        <f>IF(ISNUMBER(outYear),LCN37+LCN42+#REF!+LCN59,"")</f>
        <v/>
      </c>
      <c r="LCO62" s="87" t="str">
        <f>IF(ISNUMBER(outYear),LCO37+LCO42+#REF!+LCO59,"")</f>
        <v/>
      </c>
      <c r="LCP62" s="87" t="str">
        <f>IF(ISNUMBER(outYear),LCP37+LCP42+#REF!+LCP59,"")</f>
        <v/>
      </c>
      <c r="LCQ62" s="87" t="str">
        <f>IF(ISNUMBER(outYear),LCQ37+LCQ42+#REF!+LCQ59,"")</f>
        <v/>
      </c>
      <c r="LCR62" s="87" t="str">
        <f>IF(ISNUMBER(outYear),LCR37+LCR42+#REF!+LCR59,"")</f>
        <v/>
      </c>
      <c r="LCS62" s="87" t="str">
        <f>IF(ISNUMBER(outYear),LCS37+LCS42+#REF!+LCS59,"")</f>
        <v/>
      </c>
      <c r="LCT62" s="87" t="str">
        <f>IF(ISNUMBER(outYear),LCT37+LCT42+#REF!+LCT59,"")</f>
        <v/>
      </c>
      <c r="LCU62" s="87" t="str">
        <f>IF(ISNUMBER(outYear),LCU37+LCU42+#REF!+LCU59,"")</f>
        <v/>
      </c>
      <c r="LCV62" s="87" t="str">
        <f>IF(ISNUMBER(outYear),LCV37+LCV42+#REF!+LCV59,"")</f>
        <v/>
      </c>
      <c r="LCW62" s="87" t="str">
        <f>IF(ISNUMBER(outYear),LCW37+LCW42+#REF!+LCW59,"")</f>
        <v/>
      </c>
      <c r="LCX62" s="87" t="str">
        <f>IF(ISNUMBER(outYear),LCX37+LCX42+#REF!+LCX59,"")</f>
        <v/>
      </c>
      <c r="LCY62" s="87" t="str">
        <f>IF(ISNUMBER(outYear),LCY37+LCY42+#REF!+LCY59,"")</f>
        <v/>
      </c>
      <c r="LCZ62" s="87" t="str">
        <f>IF(ISNUMBER(outYear),LCZ37+LCZ42+#REF!+LCZ59,"")</f>
        <v/>
      </c>
      <c r="LDA62" s="87" t="str">
        <f>IF(ISNUMBER(outYear),LDA37+LDA42+#REF!+LDA59,"")</f>
        <v/>
      </c>
      <c r="LDB62" s="87" t="str">
        <f>IF(ISNUMBER(outYear),LDB37+LDB42+#REF!+LDB59,"")</f>
        <v/>
      </c>
      <c r="LDC62" s="87" t="str">
        <f>IF(ISNUMBER(outYear),LDC37+LDC42+#REF!+LDC59,"")</f>
        <v/>
      </c>
      <c r="LDD62" s="87" t="str">
        <f>IF(ISNUMBER(outYear),LDD37+LDD42+#REF!+LDD59,"")</f>
        <v/>
      </c>
      <c r="LDE62" s="87" t="str">
        <f>IF(ISNUMBER(outYear),LDE37+LDE42+#REF!+LDE59,"")</f>
        <v/>
      </c>
      <c r="LDF62" s="87" t="str">
        <f>IF(ISNUMBER(outYear),LDF37+LDF42+#REF!+LDF59,"")</f>
        <v/>
      </c>
      <c r="LDG62" s="87" t="str">
        <f>IF(ISNUMBER(outYear),LDG37+LDG42+#REF!+LDG59,"")</f>
        <v/>
      </c>
      <c r="LDH62" s="87" t="str">
        <f>IF(ISNUMBER(outYear),LDH37+LDH42+#REF!+LDH59,"")</f>
        <v/>
      </c>
      <c r="LDI62" s="87" t="str">
        <f>IF(ISNUMBER(outYear),LDI37+LDI42+#REF!+LDI59,"")</f>
        <v/>
      </c>
      <c r="LDJ62" s="87" t="str">
        <f>IF(ISNUMBER(outYear),LDJ37+LDJ42+#REF!+LDJ59,"")</f>
        <v/>
      </c>
      <c r="LDK62" s="87" t="str">
        <f>IF(ISNUMBER(outYear),LDK37+LDK42+#REF!+LDK59,"")</f>
        <v/>
      </c>
      <c r="LDL62" s="87" t="str">
        <f>IF(ISNUMBER(outYear),LDL37+LDL42+#REF!+LDL59,"")</f>
        <v/>
      </c>
      <c r="LDM62" s="87" t="str">
        <f>IF(ISNUMBER(outYear),LDM37+LDM42+#REF!+LDM59,"")</f>
        <v/>
      </c>
      <c r="LDN62" s="87" t="str">
        <f>IF(ISNUMBER(outYear),LDN37+LDN42+#REF!+LDN59,"")</f>
        <v/>
      </c>
      <c r="LDO62" s="87" t="str">
        <f>IF(ISNUMBER(outYear),LDO37+LDO42+#REF!+LDO59,"")</f>
        <v/>
      </c>
      <c r="LDP62" s="87" t="str">
        <f>IF(ISNUMBER(outYear),LDP37+LDP42+#REF!+LDP59,"")</f>
        <v/>
      </c>
      <c r="LDQ62" s="87" t="str">
        <f>IF(ISNUMBER(outYear),LDQ37+LDQ42+#REF!+LDQ59,"")</f>
        <v/>
      </c>
      <c r="LDR62" s="87" t="str">
        <f>IF(ISNUMBER(outYear),LDR37+LDR42+#REF!+LDR59,"")</f>
        <v/>
      </c>
      <c r="LDS62" s="87" t="str">
        <f>IF(ISNUMBER(outYear),LDS37+LDS42+#REF!+LDS59,"")</f>
        <v/>
      </c>
      <c r="LDT62" s="87" t="str">
        <f>IF(ISNUMBER(outYear),LDT37+LDT42+#REF!+LDT59,"")</f>
        <v/>
      </c>
      <c r="LDU62" s="87" t="str">
        <f>IF(ISNUMBER(outYear),LDU37+LDU42+#REF!+LDU59,"")</f>
        <v/>
      </c>
      <c r="LDV62" s="87" t="str">
        <f>IF(ISNUMBER(outYear),LDV37+LDV42+#REF!+LDV59,"")</f>
        <v/>
      </c>
      <c r="LDW62" s="87" t="str">
        <f>IF(ISNUMBER(outYear),LDW37+LDW42+#REF!+LDW59,"")</f>
        <v/>
      </c>
      <c r="LDX62" s="87" t="str">
        <f>IF(ISNUMBER(outYear),LDX37+LDX42+#REF!+LDX59,"")</f>
        <v/>
      </c>
      <c r="LDY62" s="87" t="str">
        <f>IF(ISNUMBER(outYear),LDY37+LDY42+#REF!+LDY59,"")</f>
        <v/>
      </c>
      <c r="LDZ62" s="87" t="str">
        <f>IF(ISNUMBER(outYear),LDZ37+LDZ42+#REF!+LDZ59,"")</f>
        <v/>
      </c>
      <c r="LEA62" s="87" t="str">
        <f>IF(ISNUMBER(outYear),LEA37+LEA42+#REF!+LEA59,"")</f>
        <v/>
      </c>
      <c r="LEB62" s="87" t="str">
        <f>IF(ISNUMBER(outYear),LEB37+LEB42+#REF!+LEB59,"")</f>
        <v/>
      </c>
      <c r="LEC62" s="87" t="str">
        <f>IF(ISNUMBER(outYear),LEC37+LEC42+#REF!+LEC59,"")</f>
        <v/>
      </c>
      <c r="LED62" s="87" t="str">
        <f>IF(ISNUMBER(outYear),LED37+LED42+#REF!+LED59,"")</f>
        <v/>
      </c>
      <c r="LEE62" s="87" t="str">
        <f>IF(ISNUMBER(outYear),LEE37+LEE42+#REF!+LEE59,"")</f>
        <v/>
      </c>
      <c r="LEF62" s="87" t="str">
        <f>IF(ISNUMBER(outYear),LEF37+LEF42+#REF!+LEF59,"")</f>
        <v/>
      </c>
      <c r="LEG62" s="87" t="str">
        <f>IF(ISNUMBER(outYear),LEG37+LEG42+#REF!+LEG59,"")</f>
        <v/>
      </c>
      <c r="LEH62" s="87" t="str">
        <f>IF(ISNUMBER(outYear),LEH37+LEH42+#REF!+LEH59,"")</f>
        <v/>
      </c>
      <c r="LEI62" s="87" t="str">
        <f>IF(ISNUMBER(outYear),LEI37+LEI42+#REF!+LEI59,"")</f>
        <v/>
      </c>
      <c r="LEJ62" s="87" t="str">
        <f>IF(ISNUMBER(outYear),LEJ37+LEJ42+#REF!+LEJ59,"")</f>
        <v/>
      </c>
      <c r="LEK62" s="87" t="str">
        <f>IF(ISNUMBER(outYear),LEK37+LEK42+#REF!+LEK59,"")</f>
        <v/>
      </c>
      <c r="LEL62" s="87" t="str">
        <f>IF(ISNUMBER(outYear),LEL37+LEL42+#REF!+LEL59,"")</f>
        <v/>
      </c>
      <c r="LEM62" s="87" t="str">
        <f>IF(ISNUMBER(outYear),LEM37+LEM42+#REF!+LEM59,"")</f>
        <v/>
      </c>
      <c r="LEN62" s="87" t="str">
        <f>IF(ISNUMBER(outYear),LEN37+LEN42+#REF!+LEN59,"")</f>
        <v/>
      </c>
      <c r="LEO62" s="87" t="str">
        <f>IF(ISNUMBER(outYear),LEO37+LEO42+#REF!+LEO59,"")</f>
        <v/>
      </c>
      <c r="LEP62" s="87" t="str">
        <f>IF(ISNUMBER(outYear),LEP37+LEP42+#REF!+LEP59,"")</f>
        <v/>
      </c>
      <c r="LEQ62" s="87" t="str">
        <f>IF(ISNUMBER(outYear),LEQ37+LEQ42+#REF!+LEQ59,"")</f>
        <v/>
      </c>
      <c r="LER62" s="87" t="str">
        <f>IF(ISNUMBER(outYear),LER37+LER42+#REF!+LER59,"")</f>
        <v/>
      </c>
      <c r="LES62" s="87" t="str">
        <f>IF(ISNUMBER(outYear),LES37+LES42+#REF!+LES59,"")</f>
        <v/>
      </c>
      <c r="LET62" s="87" t="str">
        <f>IF(ISNUMBER(outYear),LET37+LET42+#REF!+LET59,"")</f>
        <v/>
      </c>
      <c r="LEU62" s="87" t="str">
        <f>IF(ISNUMBER(outYear),LEU37+LEU42+#REF!+LEU59,"")</f>
        <v/>
      </c>
      <c r="LEV62" s="87" t="str">
        <f>IF(ISNUMBER(outYear),LEV37+LEV42+#REF!+LEV59,"")</f>
        <v/>
      </c>
      <c r="LEW62" s="87" t="str">
        <f>IF(ISNUMBER(outYear),LEW37+LEW42+#REF!+LEW59,"")</f>
        <v/>
      </c>
      <c r="LEX62" s="87" t="str">
        <f>IF(ISNUMBER(outYear),LEX37+LEX42+#REF!+LEX59,"")</f>
        <v/>
      </c>
      <c r="LEY62" s="87" t="str">
        <f>IF(ISNUMBER(outYear),LEY37+LEY42+#REF!+LEY59,"")</f>
        <v/>
      </c>
      <c r="LEZ62" s="87" t="str">
        <f>IF(ISNUMBER(outYear),LEZ37+LEZ42+#REF!+LEZ59,"")</f>
        <v/>
      </c>
      <c r="LFA62" s="87" t="str">
        <f>IF(ISNUMBER(outYear),LFA37+LFA42+#REF!+LFA59,"")</f>
        <v/>
      </c>
      <c r="LFB62" s="87" t="str">
        <f>IF(ISNUMBER(outYear),LFB37+LFB42+#REF!+LFB59,"")</f>
        <v/>
      </c>
      <c r="LFC62" s="87" t="str">
        <f>IF(ISNUMBER(outYear),LFC37+LFC42+#REF!+LFC59,"")</f>
        <v/>
      </c>
      <c r="LFD62" s="87" t="str">
        <f>IF(ISNUMBER(outYear),LFD37+LFD42+#REF!+LFD59,"")</f>
        <v/>
      </c>
      <c r="LFE62" s="87" t="str">
        <f>IF(ISNUMBER(outYear),LFE37+LFE42+#REF!+LFE59,"")</f>
        <v/>
      </c>
      <c r="LFF62" s="87" t="str">
        <f>IF(ISNUMBER(outYear),LFF37+LFF42+#REF!+LFF59,"")</f>
        <v/>
      </c>
      <c r="LFG62" s="87" t="str">
        <f>IF(ISNUMBER(outYear),LFG37+LFG42+#REF!+LFG59,"")</f>
        <v/>
      </c>
      <c r="LFH62" s="87" t="str">
        <f>IF(ISNUMBER(outYear),LFH37+LFH42+#REF!+LFH59,"")</f>
        <v/>
      </c>
      <c r="LFI62" s="87" t="str">
        <f>IF(ISNUMBER(outYear),LFI37+LFI42+#REF!+LFI59,"")</f>
        <v/>
      </c>
      <c r="LFJ62" s="87" t="str">
        <f>IF(ISNUMBER(outYear),LFJ37+LFJ42+#REF!+LFJ59,"")</f>
        <v/>
      </c>
      <c r="LFK62" s="87" t="str">
        <f>IF(ISNUMBER(outYear),LFK37+LFK42+#REF!+LFK59,"")</f>
        <v/>
      </c>
      <c r="LFL62" s="87" t="str">
        <f>IF(ISNUMBER(outYear),LFL37+LFL42+#REF!+LFL59,"")</f>
        <v/>
      </c>
      <c r="LFM62" s="87" t="str">
        <f>IF(ISNUMBER(outYear),LFM37+LFM42+#REF!+LFM59,"")</f>
        <v/>
      </c>
      <c r="LFN62" s="87" t="str">
        <f>IF(ISNUMBER(outYear),LFN37+LFN42+#REF!+LFN59,"")</f>
        <v/>
      </c>
      <c r="LFO62" s="87" t="str">
        <f>IF(ISNUMBER(outYear),LFO37+LFO42+#REF!+LFO59,"")</f>
        <v/>
      </c>
      <c r="LFP62" s="87" t="str">
        <f>IF(ISNUMBER(outYear),LFP37+LFP42+#REF!+LFP59,"")</f>
        <v/>
      </c>
      <c r="LFQ62" s="87" t="str">
        <f>IF(ISNUMBER(outYear),LFQ37+LFQ42+#REF!+LFQ59,"")</f>
        <v/>
      </c>
      <c r="LFR62" s="87" t="str">
        <f>IF(ISNUMBER(outYear),LFR37+LFR42+#REF!+LFR59,"")</f>
        <v/>
      </c>
      <c r="LFS62" s="87" t="str">
        <f>IF(ISNUMBER(outYear),LFS37+LFS42+#REF!+LFS59,"")</f>
        <v/>
      </c>
      <c r="LFT62" s="87" t="str">
        <f>IF(ISNUMBER(outYear),LFT37+LFT42+#REF!+LFT59,"")</f>
        <v/>
      </c>
      <c r="LFU62" s="87" t="str">
        <f>IF(ISNUMBER(outYear),LFU37+LFU42+#REF!+LFU59,"")</f>
        <v/>
      </c>
      <c r="LFV62" s="87" t="str">
        <f>IF(ISNUMBER(outYear),LFV37+LFV42+#REF!+LFV59,"")</f>
        <v/>
      </c>
      <c r="LFW62" s="87" t="str">
        <f>IF(ISNUMBER(outYear),LFW37+LFW42+#REF!+LFW59,"")</f>
        <v/>
      </c>
      <c r="LFX62" s="87" t="str">
        <f>IF(ISNUMBER(outYear),LFX37+LFX42+#REF!+LFX59,"")</f>
        <v/>
      </c>
      <c r="LFY62" s="87" t="str">
        <f>IF(ISNUMBER(outYear),LFY37+LFY42+#REF!+LFY59,"")</f>
        <v/>
      </c>
      <c r="LFZ62" s="87" t="str">
        <f>IF(ISNUMBER(outYear),LFZ37+LFZ42+#REF!+LFZ59,"")</f>
        <v/>
      </c>
      <c r="LGA62" s="87" t="str">
        <f>IF(ISNUMBER(outYear),LGA37+LGA42+#REF!+LGA59,"")</f>
        <v/>
      </c>
      <c r="LGB62" s="87" t="str">
        <f>IF(ISNUMBER(outYear),LGB37+LGB42+#REF!+LGB59,"")</f>
        <v/>
      </c>
      <c r="LGC62" s="87" t="str">
        <f>IF(ISNUMBER(outYear),LGC37+LGC42+#REF!+LGC59,"")</f>
        <v/>
      </c>
      <c r="LGD62" s="87" t="str">
        <f>IF(ISNUMBER(outYear),LGD37+LGD42+#REF!+LGD59,"")</f>
        <v/>
      </c>
      <c r="LGE62" s="87" t="str">
        <f>IF(ISNUMBER(outYear),LGE37+LGE42+#REF!+LGE59,"")</f>
        <v/>
      </c>
      <c r="LGF62" s="87" t="str">
        <f>IF(ISNUMBER(outYear),LGF37+LGF42+#REF!+LGF59,"")</f>
        <v/>
      </c>
      <c r="LGG62" s="87" t="str">
        <f>IF(ISNUMBER(outYear),LGG37+LGG42+#REF!+LGG59,"")</f>
        <v/>
      </c>
      <c r="LGH62" s="87" t="str">
        <f>IF(ISNUMBER(outYear),LGH37+LGH42+#REF!+LGH59,"")</f>
        <v/>
      </c>
      <c r="LGI62" s="87" t="str">
        <f>IF(ISNUMBER(outYear),LGI37+LGI42+#REF!+LGI59,"")</f>
        <v/>
      </c>
      <c r="LGJ62" s="87" t="str">
        <f>IF(ISNUMBER(outYear),LGJ37+LGJ42+#REF!+LGJ59,"")</f>
        <v/>
      </c>
      <c r="LGK62" s="87" t="str">
        <f>IF(ISNUMBER(outYear),LGK37+LGK42+#REF!+LGK59,"")</f>
        <v/>
      </c>
      <c r="LGL62" s="87" t="str">
        <f>IF(ISNUMBER(outYear),LGL37+LGL42+#REF!+LGL59,"")</f>
        <v/>
      </c>
      <c r="LGM62" s="87" t="str">
        <f>IF(ISNUMBER(outYear),LGM37+LGM42+#REF!+LGM59,"")</f>
        <v/>
      </c>
      <c r="LGN62" s="87" t="str">
        <f>IF(ISNUMBER(outYear),LGN37+LGN42+#REF!+LGN59,"")</f>
        <v/>
      </c>
      <c r="LGO62" s="87" t="str">
        <f>IF(ISNUMBER(outYear),LGO37+LGO42+#REF!+LGO59,"")</f>
        <v/>
      </c>
      <c r="LGP62" s="87" t="str">
        <f>IF(ISNUMBER(outYear),LGP37+LGP42+#REF!+LGP59,"")</f>
        <v/>
      </c>
      <c r="LGQ62" s="87" t="str">
        <f>IF(ISNUMBER(outYear),LGQ37+LGQ42+#REF!+LGQ59,"")</f>
        <v/>
      </c>
      <c r="LGR62" s="87" t="str">
        <f>IF(ISNUMBER(outYear),LGR37+LGR42+#REF!+LGR59,"")</f>
        <v/>
      </c>
      <c r="LGS62" s="87" t="str">
        <f>IF(ISNUMBER(outYear),LGS37+LGS42+#REF!+LGS59,"")</f>
        <v/>
      </c>
      <c r="LGT62" s="87" t="str">
        <f>IF(ISNUMBER(outYear),LGT37+LGT42+#REF!+LGT59,"")</f>
        <v/>
      </c>
      <c r="LGU62" s="87" t="str">
        <f>IF(ISNUMBER(outYear),LGU37+LGU42+#REF!+LGU59,"")</f>
        <v/>
      </c>
      <c r="LGV62" s="87" t="str">
        <f>IF(ISNUMBER(outYear),LGV37+LGV42+#REF!+LGV59,"")</f>
        <v/>
      </c>
      <c r="LGW62" s="87" t="str">
        <f>IF(ISNUMBER(outYear),LGW37+LGW42+#REF!+LGW59,"")</f>
        <v/>
      </c>
      <c r="LGX62" s="87" t="str">
        <f>IF(ISNUMBER(outYear),LGX37+LGX42+#REF!+LGX59,"")</f>
        <v/>
      </c>
      <c r="LGY62" s="87" t="str">
        <f>IF(ISNUMBER(outYear),LGY37+LGY42+#REF!+LGY59,"")</f>
        <v/>
      </c>
      <c r="LGZ62" s="87" t="str">
        <f>IF(ISNUMBER(outYear),LGZ37+LGZ42+#REF!+LGZ59,"")</f>
        <v/>
      </c>
      <c r="LHA62" s="87" t="str">
        <f>IF(ISNUMBER(outYear),LHA37+LHA42+#REF!+LHA59,"")</f>
        <v/>
      </c>
      <c r="LHB62" s="87" t="str">
        <f>IF(ISNUMBER(outYear),LHB37+LHB42+#REF!+LHB59,"")</f>
        <v/>
      </c>
      <c r="LHC62" s="87" t="str">
        <f>IF(ISNUMBER(outYear),LHC37+LHC42+#REF!+LHC59,"")</f>
        <v/>
      </c>
      <c r="LHD62" s="87" t="str">
        <f>IF(ISNUMBER(outYear),LHD37+LHD42+#REF!+LHD59,"")</f>
        <v/>
      </c>
      <c r="LHE62" s="87" t="str">
        <f>IF(ISNUMBER(outYear),LHE37+LHE42+#REF!+LHE59,"")</f>
        <v/>
      </c>
      <c r="LHF62" s="87" t="str">
        <f>IF(ISNUMBER(outYear),LHF37+LHF42+#REF!+LHF59,"")</f>
        <v/>
      </c>
      <c r="LHG62" s="87" t="str">
        <f>IF(ISNUMBER(outYear),LHG37+LHG42+#REF!+LHG59,"")</f>
        <v/>
      </c>
      <c r="LHH62" s="87" t="str">
        <f>IF(ISNUMBER(outYear),LHH37+LHH42+#REF!+LHH59,"")</f>
        <v/>
      </c>
      <c r="LHI62" s="87" t="str">
        <f>IF(ISNUMBER(outYear),LHI37+LHI42+#REF!+LHI59,"")</f>
        <v/>
      </c>
      <c r="LHJ62" s="87" t="str">
        <f>IF(ISNUMBER(outYear),LHJ37+LHJ42+#REF!+LHJ59,"")</f>
        <v/>
      </c>
      <c r="LHK62" s="87" t="str">
        <f>IF(ISNUMBER(outYear),LHK37+LHK42+#REF!+LHK59,"")</f>
        <v/>
      </c>
      <c r="LHL62" s="87" t="str">
        <f>IF(ISNUMBER(outYear),LHL37+LHL42+#REF!+LHL59,"")</f>
        <v/>
      </c>
      <c r="LHM62" s="87" t="str">
        <f>IF(ISNUMBER(outYear),LHM37+LHM42+#REF!+LHM59,"")</f>
        <v/>
      </c>
      <c r="LHN62" s="87" t="str">
        <f>IF(ISNUMBER(outYear),LHN37+LHN42+#REF!+LHN59,"")</f>
        <v/>
      </c>
      <c r="LHO62" s="87" t="str">
        <f>IF(ISNUMBER(outYear),LHO37+LHO42+#REF!+LHO59,"")</f>
        <v/>
      </c>
      <c r="LHP62" s="87" t="str">
        <f>IF(ISNUMBER(outYear),LHP37+LHP42+#REF!+LHP59,"")</f>
        <v/>
      </c>
      <c r="LHQ62" s="87" t="str">
        <f>IF(ISNUMBER(outYear),LHQ37+LHQ42+#REF!+LHQ59,"")</f>
        <v/>
      </c>
      <c r="LHR62" s="87" t="str">
        <f>IF(ISNUMBER(outYear),LHR37+LHR42+#REF!+LHR59,"")</f>
        <v/>
      </c>
      <c r="LHS62" s="87" t="str">
        <f>IF(ISNUMBER(outYear),LHS37+LHS42+#REF!+LHS59,"")</f>
        <v/>
      </c>
      <c r="LHT62" s="87" t="str">
        <f>IF(ISNUMBER(outYear),LHT37+LHT42+#REF!+LHT59,"")</f>
        <v/>
      </c>
      <c r="LHU62" s="87" t="str">
        <f>IF(ISNUMBER(outYear),LHU37+LHU42+#REF!+LHU59,"")</f>
        <v/>
      </c>
      <c r="LHV62" s="87" t="str">
        <f>IF(ISNUMBER(outYear),LHV37+LHV42+#REF!+LHV59,"")</f>
        <v/>
      </c>
      <c r="LHW62" s="87" t="str">
        <f>IF(ISNUMBER(outYear),LHW37+LHW42+#REF!+LHW59,"")</f>
        <v/>
      </c>
      <c r="LHX62" s="87" t="str">
        <f>IF(ISNUMBER(outYear),LHX37+LHX42+#REF!+LHX59,"")</f>
        <v/>
      </c>
      <c r="LHY62" s="87" t="str">
        <f>IF(ISNUMBER(outYear),LHY37+LHY42+#REF!+LHY59,"")</f>
        <v/>
      </c>
      <c r="LHZ62" s="87" t="str">
        <f>IF(ISNUMBER(outYear),LHZ37+LHZ42+#REF!+LHZ59,"")</f>
        <v/>
      </c>
      <c r="LIA62" s="87" t="str">
        <f>IF(ISNUMBER(outYear),LIA37+LIA42+#REF!+LIA59,"")</f>
        <v/>
      </c>
      <c r="LIB62" s="87" t="str">
        <f>IF(ISNUMBER(outYear),LIB37+LIB42+#REF!+LIB59,"")</f>
        <v/>
      </c>
      <c r="LIC62" s="87" t="str">
        <f>IF(ISNUMBER(outYear),LIC37+LIC42+#REF!+LIC59,"")</f>
        <v/>
      </c>
      <c r="LID62" s="87" t="str">
        <f>IF(ISNUMBER(outYear),LID37+LID42+#REF!+LID59,"")</f>
        <v/>
      </c>
      <c r="LIE62" s="87" t="str">
        <f>IF(ISNUMBER(outYear),LIE37+LIE42+#REF!+LIE59,"")</f>
        <v/>
      </c>
      <c r="LIF62" s="87" t="str">
        <f>IF(ISNUMBER(outYear),LIF37+LIF42+#REF!+LIF59,"")</f>
        <v/>
      </c>
      <c r="LIG62" s="87" t="str">
        <f>IF(ISNUMBER(outYear),LIG37+LIG42+#REF!+LIG59,"")</f>
        <v/>
      </c>
      <c r="LIH62" s="87" t="str">
        <f>IF(ISNUMBER(outYear),LIH37+LIH42+#REF!+LIH59,"")</f>
        <v/>
      </c>
      <c r="LII62" s="87" t="str">
        <f>IF(ISNUMBER(outYear),LII37+LII42+#REF!+LII59,"")</f>
        <v/>
      </c>
      <c r="LIJ62" s="87" t="str">
        <f>IF(ISNUMBER(outYear),LIJ37+LIJ42+#REF!+LIJ59,"")</f>
        <v/>
      </c>
      <c r="LIK62" s="87" t="str">
        <f>IF(ISNUMBER(outYear),LIK37+LIK42+#REF!+LIK59,"")</f>
        <v/>
      </c>
      <c r="LIL62" s="87" t="str">
        <f>IF(ISNUMBER(outYear),LIL37+LIL42+#REF!+LIL59,"")</f>
        <v/>
      </c>
      <c r="LIM62" s="87" t="str">
        <f>IF(ISNUMBER(outYear),LIM37+LIM42+#REF!+LIM59,"")</f>
        <v/>
      </c>
      <c r="LIN62" s="87" t="str">
        <f>IF(ISNUMBER(outYear),LIN37+LIN42+#REF!+LIN59,"")</f>
        <v/>
      </c>
      <c r="LIO62" s="87" t="str">
        <f>IF(ISNUMBER(outYear),LIO37+LIO42+#REF!+LIO59,"")</f>
        <v/>
      </c>
      <c r="LIP62" s="87" t="str">
        <f>IF(ISNUMBER(outYear),LIP37+LIP42+#REF!+LIP59,"")</f>
        <v/>
      </c>
      <c r="LIQ62" s="87" t="str">
        <f>IF(ISNUMBER(outYear),LIQ37+LIQ42+#REF!+LIQ59,"")</f>
        <v/>
      </c>
      <c r="LIR62" s="87" t="str">
        <f>IF(ISNUMBER(outYear),LIR37+LIR42+#REF!+LIR59,"")</f>
        <v/>
      </c>
      <c r="LIS62" s="87" t="str">
        <f>IF(ISNUMBER(outYear),LIS37+LIS42+#REF!+LIS59,"")</f>
        <v/>
      </c>
      <c r="LIT62" s="87" t="str">
        <f>IF(ISNUMBER(outYear),LIT37+LIT42+#REF!+LIT59,"")</f>
        <v/>
      </c>
      <c r="LIU62" s="87" t="str">
        <f>IF(ISNUMBER(outYear),LIU37+LIU42+#REF!+LIU59,"")</f>
        <v/>
      </c>
      <c r="LIV62" s="87" t="str">
        <f>IF(ISNUMBER(outYear),LIV37+LIV42+#REF!+LIV59,"")</f>
        <v/>
      </c>
      <c r="LIW62" s="87" t="str">
        <f>IF(ISNUMBER(outYear),LIW37+LIW42+#REF!+LIW59,"")</f>
        <v/>
      </c>
      <c r="LIX62" s="87" t="str">
        <f>IF(ISNUMBER(outYear),LIX37+LIX42+#REF!+LIX59,"")</f>
        <v/>
      </c>
      <c r="LIY62" s="87" t="str">
        <f>IF(ISNUMBER(outYear),LIY37+LIY42+#REF!+LIY59,"")</f>
        <v/>
      </c>
      <c r="LIZ62" s="87" t="str">
        <f>IF(ISNUMBER(outYear),LIZ37+LIZ42+#REF!+LIZ59,"")</f>
        <v/>
      </c>
      <c r="LJA62" s="87" t="str">
        <f>IF(ISNUMBER(outYear),LJA37+LJA42+#REF!+LJA59,"")</f>
        <v/>
      </c>
      <c r="LJB62" s="87" t="str">
        <f>IF(ISNUMBER(outYear),LJB37+LJB42+#REF!+LJB59,"")</f>
        <v/>
      </c>
      <c r="LJC62" s="87" t="str">
        <f>IF(ISNUMBER(outYear),LJC37+LJC42+#REF!+LJC59,"")</f>
        <v/>
      </c>
      <c r="LJD62" s="87" t="str">
        <f>IF(ISNUMBER(outYear),LJD37+LJD42+#REF!+LJD59,"")</f>
        <v/>
      </c>
      <c r="LJE62" s="87" t="str">
        <f>IF(ISNUMBER(outYear),LJE37+LJE42+#REF!+LJE59,"")</f>
        <v/>
      </c>
      <c r="LJF62" s="87" t="str">
        <f>IF(ISNUMBER(outYear),LJF37+LJF42+#REF!+LJF59,"")</f>
        <v/>
      </c>
      <c r="LJG62" s="87" t="str">
        <f>IF(ISNUMBER(outYear),LJG37+LJG42+#REF!+LJG59,"")</f>
        <v/>
      </c>
      <c r="LJH62" s="87" t="str">
        <f>IF(ISNUMBER(outYear),LJH37+LJH42+#REF!+LJH59,"")</f>
        <v/>
      </c>
      <c r="LJI62" s="87" t="str">
        <f>IF(ISNUMBER(outYear),LJI37+LJI42+#REF!+LJI59,"")</f>
        <v/>
      </c>
      <c r="LJJ62" s="87" t="str">
        <f>IF(ISNUMBER(outYear),LJJ37+LJJ42+#REF!+LJJ59,"")</f>
        <v/>
      </c>
      <c r="LJK62" s="87" t="str">
        <f>IF(ISNUMBER(outYear),LJK37+LJK42+#REF!+LJK59,"")</f>
        <v/>
      </c>
      <c r="LJL62" s="87" t="str">
        <f>IF(ISNUMBER(outYear),LJL37+LJL42+#REF!+LJL59,"")</f>
        <v/>
      </c>
      <c r="LJM62" s="87" t="str">
        <f>IF(ISNUMBER(outYear),LJM37+LJM42+#REF!+LJM59,"")</f>
        <v/>
      </c>
      <c r="LJN62" s="87" t="str">
        <f>IF(ISNUMBER(outYear),LJN37+LJN42+#REF!+LJN59,"")</f>
        <v/>
      </c>
      <c r="LJO62" s="87" t="str">
        <f>IF(ISNUMBER(outYear),LJO37+LJO42+#REF!+LJO59,"")</f>
        <v/>
      </c>
      <c r="LJP62" s="87" t="str">
        <f>IF(ISNUMBER(outYear),LJP37+LJP42+#REF!+LJP59,"")</f>
        <v/>
      </c>
      <c r="LJQ62" s="87" t="str">
        <f>IF(ISNUMBER(outYear),LJQ37+LJQ42+#REF!+LJQ59,"")</f>
        <v/>
      </c>
      <c r="LJR62" s="87" t="str">
        <f>IF(ISNUMBER(outYear),LJR37+LJR42+#REF!+LJR59,"")</f>
        <v/>
      </c>
      <c r="LJS62" s="87" t="str">
        <f>IF(ISNUMBER(outYear),LJS37+LJS42+#REF!+LJS59,"")</f>
        <v/>
      </c>
      <c r="LJT62" s="87" t="str">
        <f>IF(ISNUMBER(outYear),LJT37+LJT42+#REF!+LJT59,"")</f>
        <v/>
      </c>
      <c r="LJU62" s="87" t="str">
        <f>IF(ISNUMBER(outYear),LJU37+LJU42+#REF!+LJU59,"")</f>
        <v/>
      </c>
      <c r="LJV62" s="87" t="str">
        <f>IF(ISNUMBER(outYear),LJV37+LJV42+#REF!+LJV59,"")</f>
        <v/>
      </c>
      <c r="LJW62" s="87" t="str">
        <f>IF(ISNUMBER(outYear),LJW37+LJW42+#REF!+LJW59,"")</f>
        <v/>
      </c>
      <c r="LJX62" s="87" t="str">
        <f>IF(ISNUMBER(outYear),LJX37+LJX42+#REF!+LJX59,"")</f>
        <v/>
      </c>
      <c r="LJY62" s="87" t="str">
        <f>IF(ISNUMBER(outYear),LJY37+LJY42+#REF!+LJY59,"")</f>
        <v/>
      </c>
      <c r="LJZ62" s="87" t="str">
        <f>IF(ISNUMBER(outYear),LJZ37+LJZ42+#REF!+LJZ59,"")</f>
        <v/>
      </c>
      <c r="LKA62" s="87" t="str">
        <f>IF(ISNUMBER(outYear),LKA37+LKA42+#REF!+LKA59,"")</f>
        <v/>
      </c>
      <c r="LKB62" s="87" t="str">
        <f>IF(ISNUMBER(outYear),LKB37+LKB42+#REF!+LKB59,"")</f>
        <v/>
      </c>
      <c r="LKC62" s="87" t="str">
        <f>IF(ISNUMBER(outYear),LKC37+LKC42+#REF!+LKC59,"")</f>
        <v/>
      </c>
      <c r="LKD62" s="87" t="str">
        <f>IF(ISNUMBER(outYear),LKD37+LKD42+#REF!+LKD59,"")</f>
        <v/>
      </c>
      <c r="LKE62" s="87" t="str">
        <f>IF(ISNUMBER(outYear),LKE37+LKE42+#REF!+LKE59,"")</f>
        <v/>
      </c>
      <c r="LKF62" s="87" t="str">
        <f>IF(ISNUMBER(outYear),LKF37+LKF42+#REF!+LKF59,"")</f>
        <v/>
      </c>
      <c r="LKG62" s="87" t="str">
        <f>IF(ISNUMBER(outYear),LKG37+LKG42+#REF!+LKG59,"")</f>
        <v/>
      </c>
      <c r="LKH62" s="87" t="str">
        <f>IF(ISNUMBER(outYear),LKH37+LKH42+#REF!+LKH59,"")</f>
        <v/>
      </c>
      <c r="LKI62" s="87" t="str">
        <f>IF(ISNUMBER(outYear),LKI37+LKI42+#REF!+LKI59,"")</f>
        <v/>
      </c>
      <c r="LKJ62" s="87" t="str">
        <f>IF(ISNUMBER(outYear),LKJ37+LKJ42+#REF!+LKJ59,"")</f>
        <v/>
      </c>
      <c r="LKK62" s="87" t="str">
        <f>IF(ISNUMBER(outYear),LKK37+LKK42+#REF!+LKK59,"")</f>
        <v/>
      </c>
      <c r="LKL62" s="87" t="str">
        <f>IF(ISNUMBER(outYear),LKL37+LKL42+#REF!+LKL59,"")</f>
        <v/>
      </c>
      <c r="LKM62" s="87" t="str">
        <f>IF(ISNUMBER(outYear),LKM37+LKM42+#REF!+LKM59,"")</f>
        <v/>
      </c>
      <c r="LKN62" s="87" t="str">
        <f>IF(ISNUMBER(outYear),LKN37+LKN42+#REF!+LKN59,"")</f>
        <v/>
      </c>
      <c r="LKO62" s="87" t="str">
        <f>IF(ISNUMBER(outYear),LKO37+LKO42+#REF!+LKO59,"")</f>
        <v/>
      </c>
      <c r="LKP62" s="87" t="str">
        <f>IF(ISNUMBER(outYear),LKP37+LKP42+#REF!+LKP59,"")</f>
        <v/>
      </c>
      <c r="LKQ62" s="87" t="str">
        <f>IF(ISNUMBER(outYear),LKQ37+LKQ42+#REF!+LKQ59,"")</f>
        <v/>
      </c>
      <c r="LKR62" s="87" t="str">
        <f>IF(ISNUMBER(outYear),LKR37+LKR42+#REF!+LKR59,"")</f>
        <v/>
      </c>
      <c r="LKS62" s="87" t="str">
        <f>IF(ISNUMBER(outYear),LKS37+LKS42+#REF!+LKS59,"")</f>
        <v/>
      </c>
      <c r="LKT62" s="87" t="str">
        <f>IF(ISNUMBER(outYear),LKT37+LKT42+#REF!+LKT59,"")</f>
        <v/>
      </c>
      <c r="LKU62" s="87" t="str">
        <f>IF(ISNUMBER(outYear),LKU37+LKU42+#REF!+LKU59,"")</f>
        <v/>
      </c>
      <c r="LKV62" s="87" t="str">
        <f>IF(ISNUMBER(outYear),LKV37+LKV42+#REF!+LKV59,"")</f>
        <v/>
      </c>
      <c r="LKW62" s="87" t="str">
        <f>IF(ISNUMBER(outYear),LKW37+LKW42+#REF!+LKW59,"")</f>
        <v/>
      </c>
      <c r="LKX62" s="87" t="str">
        <f>IF(ISNUMBER(outYear),LKX37+LKX42+#REF!+LKX59,"")</f>
        <v/>
      </c>
      <c r="LKY62" s="87" t="str">
        <f>IF(ISNUMBER(outYear),LKY37+LKY42+#REF!+LKY59,"")</f>
        <v/>
      </c>
      <c r="LKZ62" s="87" t="str">
        <f>IF(ISNUMBER(outYear),LKZ37+LKZ42+#REF!+LKZ59,"")</f>
        <v/>
      </c>
      <c r="LLA62" s="87" t="str">
        <f>IF(ISNUMBER(outYear),LLA37+LLA42+#REF!+LLA59,"")</f>
        <v/>
      </c>
      <c r="LLB62" s="87" t="str">
        <f>IF(ISNUMBER(outYear),LLB37+LLB42+#REF!+LLB59,"")</f>
        <v/>
      </c>
      <c r="LLC62" s="87" t="str">
        <f>IF(ISNUMBER(outYear),LLC37+LLC42+#REF!+LLC59,"")</f>
        <v/>
      </c>
      <c r="LLD62" s="87" t="str">
        <f>IF(ISNUMBER(outYear),LLD37+LLD42+#REF!+LLD59,"")</f>
        <v/>
      </c>
      <c r="LLE62" s="87" t="str">
        <f>IF(ISNUMBER(outYear),LLE37+LLE42+#REF!+LLE59,"")</f>
        <v/>
      </c>
      <c r="LLF62" s="87" t="str">
        <f>IF(ISNUMBER(outYear),LLF37+LLF42+#REF!+LLF59,"")</f>
        <v/>
      </c>
      <c r="LLG62" s="87" t="str">
        <f>IF(ISNUMBER(outYear),LLG37+LLG42+#REF!+LLG59,"")</f>
        <v/>
      </c>
      <c r="LLH62" s="87" t="str">
        <f>IF(ISNUMBER(outYear),LLH37+LLH42+#REF!+LLH59,"")</f>
        <v/>
      </c>
      <c r="LLI62" s="87" t="str">
        <f>IF(ISNUMBER(outYear),LLI37+LLI42+#REF!+LLI59,"")</f>
        <v/>
      </c>
      <c r="LLJ62" s="87" t="str">
        <f>IF(ISNUMBER(outYear),LLJ37+LLJ42+#REF!+LLJ59,"")</f>
        <v/>
      </c>
      <c r="LLK62" s="87" t="str">
        <f>IF(ISNUMBER(outYear),LLK37+LLK42+#REF!+LLK59,"")</f>
        <v/>
      </c>
      <c r="LLL62" s="87" t="str">
        <f>IF(ISNUMBER(outYear),LLL37+LLL42+#REF!+LLL59,"")</f>
        <v/>
      </c>
      <c r="LLM62" s="87" t="str">
        <f>IF(ISNUMBER(outYear),LLM37+LLM42+#REF!+LLM59,"")</f>
        <v/>
      </c>
      <c r="LLN62" s="87" t="str">
        <f>IF(ISNUMBER(outYear),LLN37+LLN42+#REF!+LLN59,"")</f>
        <v/>
      </c>
      <c r="LLO62" s="87" t="str">
        <f>IF(ISNUMBER(outYear),LLO37+LLO42+#REF!+LLO59,"")</f>
        <v/>
      </c>
      <c r="LLP62" s="87" t="str">
        <f>IF(ISNUMBER(outYear),LLP37+LLP42+#REF!+LLP59,"")</f>
        <v/>
      </c>
      <c r="LLQ62" s="87" t="str">
        <f>IF(ISNUMBER(outYear),LLQ37+LLQ42+#REF!+LLQ59,"")</f>
        <v/>
      </c>
      <c r="LLR62" s="87" t="str">
        <f>IF(ISNUMBER(outYear),LLR37+LLR42+#REF!+LLR59,"")</f>
        <v/>
      </c>
      <c r="LLS62" s="87" t="str">
        <f>IF(ISNUMBER(outYear),LLS37+LLS42+#REF!+LLS59,"")</f>
        <v/>
      </c>
      <c r="LLT62" s="87" t="str">
        <f>IF(ISNUMBER(outYear),LLT37+LLT42+#REF!+LLT59,"")</f>
        <v/>
      </c>
      <c r="LLU62" s="87" t="str">
        <f>IF(ISNUMBER(outYear),LLU37+LLU42+#REF!+LLU59,"")</f>
        <v/>
      </c>
      <c r="LLV62" s="87" t="str">
        <f>IF(ISNUMBER(outYear),LLV37+LLV42+#REF!+LLV59,"")</f>
        <v/>
      </c>
      <c r="LLW62" s="87" t="str">
        <f>IF(ISNUMBER(outYear),LLW37+LLW42+#REF!+LLW59,"")</f>
        <v/>
      </c>
      <c r="LLX62" s="87" t="str">
        <f>IF(ISNUMBER(outYear),LLX37+LLX42+#REF!+LLX59,"")</f>
        <v/>
      </c>
      <c r="LLY62" s="87" t="str">
        <f>IF(ISNUMBER(outYear),LLY37+LLY42+#REF!+LLY59,"")</f>
        <v/>
      </c>
      <c r="LLZ62" s="87" t="str">
        <f>IF(ISNUMBER(outYear),LLZ37+LLZ42+#REF!+LLZ59,"")</f>
        <v/>
      </c>
      <c r="LMA62" s="87" t="str">
        <f>IF(ISNUMBER(outYear),LMA37+LMA42+#REF!+LMA59,"")</f>
        <v/>
      </c>
      <c r="LMB62" s="87" t="str">
        <f>IF(ISNUMBER(outYear),LMB37+LMB42+#REF!+LMB59,"")</f>
        <v/>
      </c>
      <c r="LMC62" s="87" t="str">
        <f>IF(ISNUMBER(outYear),LMC37+LMC42+#REF!+LMC59,"")</f>
        <v/>
      </c>
      <c r="LMD62" s="87" t="str">
        <f>IF(ISNUMBER(outYear),LMD37+LMD42+#REF!+LMD59,"")</f>
        <v/>
      </c>
      <c r="LME62" s="87" t="str">
        <f>IF(ISNUMBER(outYear),LME37+LME42+#REF!+LME59,"")</f>
        <v/>
      </c>
      <c r="LMF62" s="87" t="str">
        <f>IF(ISNUMBER(outYear),LMF37+LMF42+#REF!+LMF59,"")</f>
        <v/>
      </c>
      <c r="LMG62" s="87" t="str">
        <f>IF(ISNUMBER(outYear),LMG37+LMG42+#REF!+LMG59,"")</f>
        <v/>
      </c>
      <c r="LMH62" s="87" t="str">
        <f>IF(ISNUMBER(outYear),LMH37+LMH42+#REF!+LMH59,"")</f>
        <v/>
      </c>
      <c r="LMI62" s="87" t="str">
        <f>IF(ISNUMBER(outYear),LMI37+LMI42+#REF!+LMI59,"")</f>
        <v/>
      </c>
      <c r="LMJ62" s="87" t="str">
        <f>IF(ISNUMBER(outYear),LMJ37+LMJ42+#REF!+LMJ59,"")</f>
        <v/>
      </c>
      <c r="LMK62" s="87" t="str">
        <f>IF(ISNUMBER(outYear),LMK37+LMK42+#REF!+LMK59,"")</f>
        <v/>
      </c>
      <c r="LML62" s="87" t="str">
        <f>IF(ISNUMBER(outYear),LML37+LML42+#REF!+LML59,"")</f>
        <v/>
      </c>
      <c r="LMM62" s="87" t="str">
        <f>IF(ISNUMBER(outYear),LMM37+LMM42+#REF!+LMM59,"")</f>
        <v/>
      </c>
      <c r="LMN62" s="87" t="str">
        <f>IF(ISNUMBER(outYear),LMN37+LMN42+#REF!+LMN59,"")</f>
        <v/>
      </c>
      <c r="LMO62" s="87" t="str">
        <f>IF(ISNUMBER(outYear),LMO37+LMO42+#REF!+LMO59,"")</f>
        <v/>
      </c>
      <c r="LMP62" s="87" t="str">
        <f>IF(ISNUMBER(outYear),LMP37+LMP42+#REF!+LMP59,"")</f>
        <v/>
      </c>
      <c r="LMQ62" s="87" t="str">
        <f>IF(ISNUMBER(outYear),LMQ37+LMQ42+#REF!+LMQ59,"")</f>
        <v/>
      </c>
      <c r="LMR62" s="87" t="str">
        <f>IF(ISNUMBER(outYear),LMR37+LMR42+#REF!+LMR59,"")</f>
        <v/>
      </c>
      <c r="LMS62" s="87" t="str">
        <f>IF(ISNUMBER(outYear),LMS37+LMS42+#REF!+LMS59,"")</f>
        <v/>
      </c>
      <c r="LMT62" s="87" t="str">
        <f>IF(ISNUMBER(outYear),LMT37+LMT42+#REF!+LMT59,"")</f>
        <v/>
      </c>
      <c r="LMU62" s="87" t="str">
        <f>IF(ISNUMBER(outYear),LMU37+LMU42+#REF!+LMU59,"")</f>
        <v/>
      </c>
      <c r="LMV62" s="87" t="str">
        <f>IF(ISNUMBER(outYear),LMV37+LMV42+#REF!+LMV59,"")</f>
        <v/>
      </c>
      <c r="LMW62" s="87" t="str">
        <f>IF(ISNUMBER(outYear),LMW37+LMW42+#REF!+LMW59,"")</f>
        <v/>
      </c>
      <c r="LMX62" s="87" t="str">
        <f>IF(ISNUMBER(outYear),LMX37+LMX42+#REF!+LMX59,"")</f>
        <v/>
      </c>
      <c r="LMY62" s="87" t="str">
        <f>IF(ISNUMBER(outYear),LMY37+LMY42+#REF!+LMY59,"")</f>
        <v/>
      </c>
      <c r="LMZ62" s="87" t="str">
        <f>IF(ISNUMBER(outYear),LMZ37+LMZ42+#REF!+LMZ59,"")</f>
        <v/>
      </c>
      <c r="LNA62" s="87" t="str">
        <f>IF(ISNUMBER(outYear),LNA37+LNA42+#REF!+LNA59,"")</f>
        <v/>
      </c>
      <c r="LNB62" s="87" t="str">
        <f>IF(ISNUMBER(outYear),LNB37+LNB42+#REF!+LNB59,"")</f>
        <v/>
      </c>
      <c r="LNC62" s="87" t="str">
        <f>IF(ISNUMBER(outYear),LNC37+LNC42+#REF!+LNC59,"")</f>
        <v/>
      </c>
      <c r="LND62" s="87" t="str">
        <f>IF(ISNUMBER(outYear),LND37+LND42+#REF!+LND59,"")</f>
        <v/>
      </c>
      <c r="LNE62" s="87" t="str">
        <f>IF(ISNUMBER(outYear),LNE37+LNE42+#REF!+LNE59,"")</f>
        <v/>
      </c>
      <c r="LNF62" s="87" t="str">
        <f>IF(ISNUMBER(outYear),LNF37+LNF42+#REF!+LNF59,"")</f>
        <v/>
      </c>
      <c r="LNG62" s="87" t="str">
        <f>IF(ISNUMBER(outYear),LNG37+LNG42+#REF!+LNG59,"")</f>
        <v/>
      </c>
      <c r="LNH62" s="87" t="str">
        <f>IF(ISNUMBER(outYear),LNH37+LNH42+#REF!+LNH59,"")</f>
        <v/>
      </c>
      <c r="LNI62" s="87" t="str">
        <f>IF(ISNUMBER(outYear),LNI37+LNI42+#REF!+LNI59,"")</f>
        <v/>
      </c>
      <c r="LNJ62" s="87" t="str">
        <f>IF(ISNUMBER(outYear),LNJ37+LNJ42+#REF!+LNJ59,"")</f>
        <v/>
      </c>
      <c r="LNK62" s="87" t="str">
        <f>IF(ISNUMBER(outYear),LNK37+LNK42+#REF!+LNK59,"")</f>
        <v/>
      </c>
      <c r="LNL62" s="87" t="str">
        <f>IF(ISNUMBER(outYear),LNL37+LNL42+#REF!+LNL59,"")</f>
        <v/>
      </c>
      <c r="LNM62" s="87" t="str">
        <f>IF(ISNUMBER(outYear),LNM37+LNM42+#REF!+LNM59,"")</f>
        <v/>
      </c>
      <c r="LNN62" s="87" t="str">
        <f>IF(ISNUMBER(outYear),LNN37+LNN42+#REF!+LNN59,"")</f>
        <v/>
      </c>
      <c r="LNO62" s="87" t="str">
        <f>IF(ISNUMBER(outYear),LNO37+LNO42+#REF!+LNO59,"")</f>
        <v/>
      </c>
      <c r="LNP62" s="87" t="str">
        <f>IF(ISNUMBER(outYear),LNP37+LNP42+#REF!+LNP59,"")</f>
        <v/>
      </c>
      <c r="LNQ62" s="87" t="str">
        <f>IF(ISNUMBER(outYear),LNQ37+LNQ42+#REF!+LNQ59,"")</f>
        <v/>
      </c>
      <c r="LNR62" s="87" t="str">
        <f>IF(ISNUMBER(outYear),LNR37+LNR42+#REF!+LNR59,"")</f>
        <v/>
      </c>
      <c r="LNS62" s="87" t="str">
        <f>IF(ISNUMBER(outYear),LNS37+LNS42+#REF!+LNS59,"")</f>
        <v/>
      </c>
      <c r="LNT62" s="87" t="str">
        <f>IF(ISNUMBER(outYear),LNT37+LNT42+#REF!+LNT59,"")</f>
        <v/>
      </c>
      <c r="LNU62" s="87" t="str">
        <f>IF(ISNUMBER(outYear),LNU37+LNU42+#REF!+LNU59,"")</f>
        <v/>
      </c>
      <c r="LNV62" s="87" t="str">
        <f>IF(ISNUMBER(outYear),LNV37+LNV42+#REF!+LNV59,"")</f>
        <v/>
      </c>
      <c r="LNW62" s="87" t="str">
        <f>IF(ISNUMBER(outYear),LNW37+LNW42+#REF!+LNW59,"")</f>
        <v/>
      </c>
      <c r="LNX62" s="87" t="str">
        <f>IF(ISNUMBER(outYear),LNX37+LNX42+#REF!+LNX59,"")</f>
        <v/>
      </c>
      <c r="LNY62" s="87" t="str">
        <f>IF(ISNUMBER(outYear),LNY37+LNY42+#REF!+LNY59,"")</f>
        <v/>
      </c>
      <c r="LNZ62" s="87" t="str">
        <f>IF(ISNUMBER(outYear),LNZ37+LNZ42+#REF!+LNZ59,"")</f>
        <v/>
      </c>
      <c r="LOA62" s="87" t="str">
        <f>IF(ISNUMBER(outYear),LOA37+LOA42+#REF!+LOA59,"")</f>
        <v/>
      </c>
      <c r="LOB62" s="87" t="str">
        <f>IF(ISNUMBER(outYear),LOB37+LOB42+#REF!+LOB59,"")</f>
        <v/>
      </c>
      <c r="LOC62" s="87" t="str">
        <f>IF(ISNUMBER(outYear),LOC37+LOC42+#REF!+LOC59,"")</f>
        <v/>
      </c>
      <c r="LOD62" s="87" t="str">
        <f>IF(ISNUMBER(outYear),LOD37+LOD42+#REF!+LOD59,"")</f>
        <v/>
      </c>
      <c r="LOE62" s="87" t="str">
        <f>IF(ISNUMBER(outYear),LOE37+LOE42+#REF!+LOE59,"")</f>
        <v/>
      </c>
      <c r="LOF62" s="87" t="str">
        <f>IF(ISNUMBER(outYear),LOF37+LOF42+#REF!+LOF59,"")</f>
        <v/>
      </c>
      <c r="LOG62" s="87" t="str">
        <f>IF(ISNUMBER(outYear),LOG37+LOG42+#REF!+LOG59,"")</f>
        <v/>
      </c>
      <c r="LOH62" s="87" t="str">
        <f>IF(ISNUMBER(outYear),LOH37+LOH42+#REF!+LOH59,"")</f>
        <v/>
      </c>
      <c r="LOI62" s="87" t="str">
        <f>IF(ISNUMBER(outYear),LOI37+LOI42+#REF!+LOI59,"")</f>
        <v/>
      </c>
      <c r="LOJ62" s="87" t="str">
        <f>IF(ISNUMBER(outYear),LOJ37+LOJ42+#REF!+LOJ59,"")</f>
        <v/>
      </c>
      <c r="LOK62" s="87" t="str">
        <f>IF(ISNUMBER(outYear),LOK37+LOK42+#REF!+LOK59,"")</f>
        <v/>
      </c>
      <c r="LOL62" s="87" t="str">
        <f>IF(ISNUMBER(outYear),LOL37+LOL42+#REF!+LOL59,"")</f>
        <v/>
      </c>
      <c r="LOM62" s="87" t="str">
        <f>IF(ISNUMBER(outYear),LOM37+LOM42+#REF!+LOM59,"")</f>
        <v/>
      </c>
      <c r="LON62" s="87" t="str">
        <f>IF(ISNUMBER(outYear),LON37+LON42+#REF!+LON59,"")</f>
        <v/>
      </c>
      <c r="LOO62" s="87" t="str">
        <f>IF(ISNUMBER(outYear),LOO37+LOO42+#REF!+LOO59,"")</f>
        <v/>
      </c>
      <c r="LOP62" s="87" t="str">
        <f>IF(ISNUMBER(outYear),LOP37+LOP42+#REF!+LOP59,"")</f>
        <v/>
      </c>
      <c r="LOQ62" s="87" t="str">
        <f>IF(ISNUMBER(outYear),LOQ37+LOQ42+#REF!+LOQ59,"")</f>
        <v/>
      </c>
      <c r="LOR62" s="87" t="str">
        <f>IF(ISNUMBER(outYear),LOR37+LOR42+#REF!+LOR59,"")</f>
        <v/>
      </c>
      <c r="LOS62" s="87" t="str">
        <f>IF(ISNUMBER(outYear),LOS37+LOS42+#REF!+LOS59,"")</f>
        <v/>
      </c>
      <c r="LOT62" s="87" t="str">
        <f>IF(ISNUMBER(outYear),LOT37+LOT42+#REF!+LOT59,"")</f>
        <v/>
      </c>
      <c r="LOU62" s="87" t="str">
        <f>IF(ISNUMBER(outYear),LOU37+LOU42+#REF!+LOU59,"")</f>
        <v/>
      </c>
      <c r="LOV62" s="87" t="str">
        <f>IF(ISNUMBER(outYear),LOV37+LOV42+#REF!+LOV59,"")</f>
        <v/>
      </c>
      <c r="LOW62" s="87" t="str">
        <f>IF(ISNUMBER(outYear),LOW37+LOW42+#REF!+LOW59,"")</f>
        <v/>
      </c>
      <c r="LOX62" s="87" t="str">
        <f>IF(ISNUMBER(outYear),LOX37+LOX42+#REF!+LOX59,"")</f>
        <v/>
      </c>
      <c r="LOY62" s="87" t="str">
        <f>IF(ISNUMBER(outYear),LOY37+LOY42+#REF!+LOY59,"")</f>
        <v/>
      </c>
      <c r="LOZ62" s="87" t="str">
        <f>IF(ISNUMBER(outYear),LOZ37+LOZ42+#REF!+LOZ59,"")</f>
        <v/>
      </c>
      <c r="LPA62" s="87" t="str">
        <f>IF(ISNUMBER(outYear),LPA37+LPA42+#REF!+LPA59,"")</f>
        <v/>
      </c>
      <c r="LPB62" s="87" t="str">
        <f>IF(ISNUMBER(outYear),LPB37+LPB42+#REF!+LPB59,"")</f>
        <v/>
      </c>
      <c r="LPC62" s="87" t="str">
        <f>IF(ISNUMBER(outYear),LPC37+LPC42+#REF!+LPC59,"")</f>
        <v/>
      </c>
      <c r="LPD62" s="87" t="str">
        <f>IF(ISNUMBER(outYear),LPD37+LPD42+#REF!+LPD59,"")</f>
        <v/>
      </c>
      <c r="LPE62" s="87" t="str">
        <f>IF(ISNUMBER(outYear),LPE37+LPE42+#REF!+LPE59,"")</f>
        <v/>
      </c>
      <c r="LPF62" s="87" t="str">
        <f>IF(ISNUMBER(outYear),LPF37+LPF42+#REF!+LPF59,"")</f>
        <v/>
      </c>
      <c r="LPG62" s="87" t="str">
        <f>IF(ISNUMBER(outYear),LPG37+LPG42+#REF!+LPG59,"")</f>
        <v/>
      </c>
      <c r="LPH62" s="87" t="str">
        <f>IF(ISNUMBER(outYear),LPH37+LPH42+#REF!+LPH59,"")</f>
        <v/>
      </c>
      <c r="LPI62" s="87" t="str">
        <f>IF(ISNUMBER(outYear),LPI37+LPI42+#REF!+LPI59,"")</f>
        <v/>
      </c>
      <c r="LPJ62" s="87" t="str">
        <f>IF(ISNUMBER(outYear),LPJ37+LPJ42+#REF!+LPJ59,"")</f>
        <v/>
      </c>
      <c r="LPK62" s="87" t="str">
        <f>IF(ISNUMBER(outYear),LPK37+LPK42+#REF!+LPK59,"")</f>
        <v/>
      </c>
      <c r="LPL62" s="87" t="str">
        <f>IF(ISNUMBER(outYear),LPL37+LPL42+#REF!+LPL59,"")</f>
        <v/>
      </c>
      <c r="LPM62" s="87" t="str">
        <f>IF(ISNUMBER(outYear),LPM37+LPM42+#REF!+LPM59,"")</f>
        <v/>
      </c>
      <c r="LPN62" s="87" t="str">
        <f>IF(ISNUMBER(outYear),LPN37+LPN42+#REF!+LPN59,"")</f>
        <v/>
      </c>
      <c r="LPO62" s="87" t="str">
        <f>IF(ISNUMBER(outYear),LPO37+LPO42+#REF!+LPO59,"")</f>
        <v/>
      </c>
      <c r="LPP62" s="87" t="str">
        <f>IF(ISNUMBER(outYear),LPP37+LPP42+#REF!+LPP59,"")</f>
        <v/>
      </c>
      <c r="LPQ62" s="87" t="str">
        <f>IF(ISNUMBER(outYear),LPQ37+LPQ42+#REF!+LPQ59,"")</f>
        <v/>
      </c>
      <c r="LPR62" s="87" t="str">
        <f>IF(ISNUMBER(outYear),LPR37+LPR42+#REF!+LPR59,"")</f>
        <v/>
      </c>
      <c r="LPS62" s="87" t="str">
        <f>IF(ISNUMBER(outYear),LPS37+LPS42+#REF!+LPS59,"")</f>
        <v/>
      </c>
      <c r="LPT62" s="87" t="str">
        <f>IF(ISNUMBER(outYear),LPT37+LPT42+#REF!+LPT59,"")</f>
        <v/>
      </c>
      <c r="LPU62" s="87" t="str">
        <f>IF(ISNUMBER(outYear),LPU37+LPU42+#REF!+LPU59,"")</f>
        <v/>
      </c>
      <c r="LPV62" s="87" t="str">
        <f>IF(ISNUMBER(outYear),LPV37+LPV42+#REF!+LPV59,"")</f>
        <v/>
      </c>
      <c r="LPW62" s="87" t="str">
        <f>IF(ISNUMBER(outYear),LPW37+LPW42+#REF!+LPW59,"")</f>
        <v/>
      </c>
      <c r="LPX62" s="87" t="str">
        <f>IF(ISNUMBER(outYear),LPX37+LPX42+#REF!+LPX59,"")</f>
        <v/>
      </c>
      <c r="LPY62" s="87" t="str">
        <f>IF(ISNUMBER(outYear),LPY37+LPY42+#REF!+LPY59,"")</f>
        <v/>
      </c>
      <c r="LPZ62" s="87" t="str">
        <f>IF(ISNUMBER(outYear),LPZ37+LPZ42+#REF!+LPZ59,"")</f>
        <v/>
      </c>
      <c r="LQA62" s="87" t="str">
        <f>IF(ISNUMBER(outYear),LQA37+LQA42+#REF!+LQA59,"")</f>
        <v/>
      </c>
      <c r="LQB62" s="87" t="str">
        <f>IF(ISNUMBER(outYear),LQB37+LQB42+#REF!+LQB59,"")</f>
        <v/>
      </c>
      <c r="LQC62" s="87" t="str">
        <f>IF(ISNUMBER(outYear),LQC37+LQC42+#REF!+LQC59,"")</f>
        <v/>
      </c>
      <c r="LQD62" s="87" t="str">
        <f>IF(ISNUMBER(outYear),LQD37+LQD42+#REF!+LQD59,"")</f>
        <v/>
      </c>
      <c r="LQE62" s="87" t="str">
        <f>IF(ISNUMBER(outYear),LQE37+LQE42+#REF!+LQE59,"")</f>
        <v/>
      </c>
      <c r="LQF62" s="87" t="str">
        <f>IF(ISNUMBER(outYear),LQF37+LQF42+#REF!+LQF59,"")</f>
        <v/>
      </c>
      <c r="LQG62" s="87" t="str">
        <f>IF(ISNUMBER(outYear),LQG37+LQG42+#REF!+LQG59,"")</f>
        <v/>
      </c>
      <c r="LQH62" s="87" t="str">
        <f>IF(ISNUMBER(outYear),LQH37+LQH42+#REF!+LQH59,"")</f>
        <v/>
      </c>
      <c r="LQI62" s="87" t="str">
        <f>IF(ISNUMBER(outYear),LQI37+LQI42+#REF!+LQI59,"")</f>
        <v/>
      </c>
      <c r="LQJ62" s="87" t="str">
        <f>IF(ISNUMBER(outYear),LQJ37+LQJ42+#REF!+LQJ59,"")</f>
        <v/>
      </c>
      <c r="LQK62" s="87" t="str">
        <f>IF(ISNUMBER(outYear),LQK37+LQK42+#REF!+LQK59,"")</f>
        <v/>
      </c>
      <c r="LQL62" s="87" t="str">
        <f>IF(ISNUMBER(outYear),LQL37+LQL42+#REF!+LQL59,"")</f>
        <v/>
      </c>
      <c r="LQM62" s="87" t="str">
        <f>IF(ISNUMBER(outYear),LQM37+LQM42+#REF!+LQM59,"")</f>
        <v/>
      </c>
      <c r="LQN62" s="87" t="str">
        <f>IF(ISNUMBER(outYear),LQN37+LQN42+#REF!+LQN59,"")</f>
        <v/>
      </c>
      <c r="LQO62" s="87" t="str">
        <f>IF(ISNUMBER(outYear),LQO37+LQO42+#REF!+LQO59,"")</f>
        <v/>
      </c>
      <c r="LQP62" s="87" t="str">
        <f>IF(ISNUMBER(outYear),LQP37+LQP42+#REF!+LQP59,"")</f>
        <v/>
      </c>
      <c r="LQQ62" s="87" t="str">
        <f>IF(ISNUMBER(outYear),LQQ37+LQQ42+#REF!+LQQ59,"")</f>
        <v/>
      </c>
      <c r="LQR62" s="87" t="str">
        <f>IF(ISNUMBER(outYear),LQR37+LQR42+#REF!+LQR59,"")</f>
        <v/>
      </c>
      <c r="LQS62" s="87" t="str">
        <f>IF(ISNUMBER(outYear),LQS37+LQS42+#REF!+LQS59,"")</f>
        <v/>
      </c>
      <c r="LQT62" s="87" t="str">
        <f>IF(ISNUMBER(outYear),LQT37+LQT42+#REF!+LQT59,"")</f>
        <v/>
      </c>
      <c r="LQU62" s="87" t="str">
        <f>IF(ISNUMBER(outYear),LQU37+LQU42+#REF!+LQU59,"")</f>
        <v/>
      </c>
      <c r="LQV62" s="87" t="str">
        <f>IF(ISNUMBER(outYear),LQV37+LQV42+#REF!+LQV59,"")</f>
        <v/>
      </c>
      <c r="LQW62" s="87" t="str">
        <f>IF(ISNUMBER(outYear),LQW37+LQW42+#REF!+LQW59,"")</f>
        <v/>
      </c>
      <c r="LQX62" s="87" t="str">
        <f>IF(ISNUMBER(outYear),LQX37+LQX42+#REF!+LQX59,"")</f>
        <v/>
      </c>
      <c r="LQY62" s="87" t="str">
        <f>IF(ISNUMBER(outYear),LQY37+LQY42+#REF!+LQY59,"")</f>
        <v/>
      </c>
      <c r="LQZ62" s="87" t="str">
        <f>IF(ISNUMBER(outYear),LQZ37+LQZ42+#REF!+LQZ59,"")</f>
        <v/>
      </c>
      <c r="LRA62" s="87" t="str">
        <f>IF(ISNUMBER(outYear),LRA37+LRA42+#REF!+LRA59,"")</f>
        <v/>
      </c>
      <c r="LRB62" s="87" t="str">
        <f>IF(ISNUMBER(outYear),LRB37+LRB42+#REF!+LRB59,"")</f>
        <v/>
      </c>
      <c r="LRC62" s="87" t="str">
        <f>IF(ISNUMBER(outYear),LRC37+LRC42+#REF!+LRC59,"")</f>
        <v/>
      </c>
      <c r="LRD62" s="87" t="str">
        <f>IF(ISNUMBER(outYear),LRD37+LRD42+#REF!+LRD59,"")</f>
        <v/>
      </c>
      <c r="LRE62" s="87" t="str">
        <f>IF(ISNUMBER(outYear),LRE37+LRE42+#REF!+LRE59,"")</f>
        <v/>
      </c>
      <c r="LRF62" s="87" t="str">
        <f>IF(ISNUMBER(outYear),LRF37+LRF42+#REF!+LRF59,"")</f>
        <v/>
      </c>
      <c r="LRG62" s="87" t="str">
        <f>IF(ISNUMBER(outYear),LRG37+LRG42+#REF!+LRG59,"")</f>
        <v/>
      </c>
      <c r="LRH62" s="87" t="str">
        <f>IF(ISNUMBER(outYear),LRH37+LRH42+#REF!+LRH59,"")</f>
        <v/>
      </c>
      <c r="LRI62" s="87" t="str">
        <f>IF(ISNUMBER(outYear),LRI37+LRI42+#REF!+LRI59,"")</f>
        <v/>
      </c>
      <c r="LRJ62" s="87" t="str">
        <f>IF(ISNUMBER(outYear),LRJ37+LRJ42+#REF!+LRJ59,"")</f>
        <v/>
      </c>
      <c r="LRK62" s="87" t="str">
        <f>IF(ISNUMBER(outYear),LRK37+LRK42+#REF!+LRK59,"")</f>
        <v/>
      </c>
      <c r="LRL62" s="87" t="str">
        <f>IF(ISNUMBER(outYear),LRL37+LRL42+#REF!+LRL59,"")</f>
        <v/>
      </c>
      <c r="LRM62" s="87" t="str">
        <f>IF(ISNUMBER(outYear),LRM37+LRM42+#REF!+LRM59,"")</f>
        <v/>
      </c>
      <c r="LRN62" s="87" t="str">
        <f>IF(ISNUMBER(outYear),LRN37+LRN42+#REF!+LRN59,"")</f>
        <v/>
      </c>
      <c r="LRO62" s="87" t="str">
        <f>IF(ISNUMBER(outYear),LRO37+LRO42+#REF!+LRO59,"")</f>
        <v/>
      </c>
      <c r="LRP62" s="87" t="str">
        <f>IF(ISNUMBER(outYear),LRP37+LRP42+#REF!+LRP59,"")</f>
        <v/>
      </c>
      <c r="LRQ62" s="87" t="str">
        <f>IF(ISNUMBER(outYear),LRQ37+LRQ42+#REF!+LRQ59,"")</f>
        <v/>
      </c>
      <c r="LRR62" s="87" t="str">
        <f>IF(ISNUMBER(outYear),LRR37+LRR42+#REF!+LRR59,"")</f>
        <v/>
      </c>
      <c r="LRS62" s="87" t="str">
        <f>IF(ISNUMBER(outYear),LRS37+LRS42+#REF!+LRS59,"")</f>
        <v/>
      </c>
      <c r="LRT62" s="87" t="str">
        <f>IF(ISNUMBER(outYear),LRT37+LRT42+#REF!+LRT59,"")</f>
        <v/>
      </c>
      <c r="LRU62" s="87" t="str">
        <f>IF(ISNUMBER(outYear),LRU37+LRU42+#REF!+LRU59,"")</f>
        <v/>
      </c>
      <c r="LRV62" s="87" t="str">
        <f>IF(ISNUMBER(outYear),LRV37+LRV42+#REF!+LRV59,"")</f>
        <v/>
      </c>
      <c r="LRW62" s="87" t="str">
        <f>IF(ISNUMBER(outYear),LRW37+LRW42+#REF!+LRW59,"")</f>
        <v/>
      </c>
      <c r="LRX62" s="87" t="str">
        <f>IF(ISNUMBER(outYear),LRX37+LRX42+#REF!+LRX59,"")</f>
        <v/>
      </c>
      <c r="LRY62" s="87" t="str">
        <f>IF(ISNUMBER(outYear),LRY37+LRY42+#REF!+LRY59,"")</f>
        <v/>
      </c>
      <c r="LRZ62" s="87" t="str">
        <f>IF(ISNUMBER(outYear),LRZ37+LRZ42+#REF!+LRZ59,"")</f>
        <v/>
      </c>
      <c r="LSA62" s="87" t="str">
        <f>IF(ISNUMBER(outYear),LSA37+LSA42+#REF!+LSA59,"")</f>
        <v/>
      </c>
      <c r="LSB62" s="87" t="str">
        <f>IF(ISNUMBER(outYear),LSB37+LSB42+#REF!+LSB59,"")</f>
        <v/>
      </c>
      <c r="LSC62" s="87" t="str">
        <f>IF(ISNUMBER(outYear),LSC37+LSC42+#REF!+LSC59,"")</f>
        <v/>
      </c>
      <c r="LSD62" s="87" t="str">
        <f>IF(ISNUMBER(outYear),LSD37+LSD42+#REF!+LSD59,"")</f>
        <v/>
      </c>
      <c r="LSE62" s="87" t="str">
        <f>IF(ISNUMBER(outYear),LSE37+LSE42+#REF!+LSE59,"")</f>
        <v/>
      </c>
      <c r="LSF62" s="87" t="str">
        <f>IF(ISNUMBER(outYear),LSF37+LSF42+#REF!+LSF59,"")</f>
        <v/>
      </c>
      <c r="LSG62" s="87" t="str">
        <f>IF(ISNUMBER(outYear),LSG37+LSG42+#REF!+LSG59,"")</f>
        <v/>
      </c>
      <c r="LSH62" s="87" t="str">
        <f>IF(ISNUMBER(outYear),LSH37+LSH42+#REF!+LSH59,"")</f>
        <v/>
      </c>
      <c r="LSI62" s="87" t="str">
        <f>IF(ISNUMBER(outYear),LSI37+LSI42+#REF!+LSI59,"")</f>
        <v/>
      </c>
      <c r="LSJ62" s="87" t="str">
        <f>IF(ISNUMBER(outYear),LSJ37+LSJ42+#REF!+LSJ59,"")</f>
        <v/>
      </c>
      <c r="LSK62" s="87" t="str">
        <f>IF(ISNUMBER(outYear),LSK37+LSK42+#REF!+LSK59,"")</f>
        <v/>
      </c>
      <c r="LSL62" s="87" t="str">
        <f>IF(ISNUMBER(outYear),LSL37+LSL42+#REF!+LSL59,"")</f>
        <v/>
      </c>
      <c r="LSM62" s="87" t="str">
        <f>IF(ISNUMBER(outYear),LSM37+LSM42+#REF!+LSM59,"")</f>
        <v/>
      </c>
      <c r="LSN62" s="87" t="str">
        <f>IF(ISNUMBER(outYear),LSN37+LSN42+#REF!+LSN59,"")</f>
        <v/>
      </c>
      <c r="LSO62" s="87" t="str">
        <f>IF(ISNUMBER(outYear),LSO37+LSO42+#REF!+LSO59,"")</f>
        <v/>
      </c>
      <c r="LSP62" s="87" t="str">
        <f>IF(ISNUMBER(outYear),LSP37+LSP42+#REF!+LSP59,"")</f>
        <v/>
      </c>
      <c r="LSQ62" s="87" t="str">
        <f>IF(ISNUMBER(outYear),LSQ37+LSQ42+#REF!+LSQ59,"")</f>
        <v/>
      </c>
      <c r="LSR62" s="87" t="str">
        <f>IF(ISNUMBER(outYear),LSR37+LSR42+#REF!+LSR59,"")</f>
        <v/>
      </c>
      <c r="LSS62" s="87" t="str">
        <f>IF(ISNUMBER(outYear),LSS37+LSS42+#REF!+LSS59,"")</f>
        <v/>
      </c>
      <c r="LST62" s="87" t="str">
        <f>IF(ISNUMBER(outYear),LST37+LST42+#REF!+LST59,"")</f>
        <v/>
      </c>
      <c r="LSU62" s="87" t="str">
        <f>IF(ISNUMBER(outYear),LSU37+LSU42+#REF!+LSU59,"")</f>
        <v/>
      </c>
      <c r="LSV62" s="87" t="str">
        <f>IF(ISNUMBER(outYear),LSV37+LSV42+#REF!+LSV59,"")</f>
        <v/>
      </c>
      <c r="LSW62" s="87" t="str">
        <f>IF(ISNUMBER(outYear),LSW37+LSW42+#REF!+LSW59,"")</f>
        <v/>
      </c>
      <c r="LSX62" s="87" t="str">
        <f>IF(ISNUMBER(outYear),LSX37+LSX42+#REF!+LSX59,"")</f>
        <v/>
      </c>
      <c r="LSY62" s="87" t="str">
        <f>IF(ISNUMBER(outYear),LSY37+LSY42+#REF!+LSY59,"")</f>
        <v/>
      </c>
      <c r="LSZ62" s="87" t="str">
        <f>IF(ISNUMBER(outYear),LSZ37+LSZ42+#REF!+LSZ59,"")</f>
        <v/>
      </c>
      <c r="LTA62" s="87" t="str">
        <f>IF(ISNUMBER(outYear),LTA37+LTA42+#REF!+LTA59,"")</f>
        <v/>
      </c>
      <c r="LTB62" s="87" t="str">
        <f>IF(ISNUMBER(outYear),LTB37+LTB42+#REF!+LTB59,"")</f>
        <v/>
      </c>
      <c r="LTC62" s="87" t="str">
        <f>IF(ISNUMBER(outYear),LTC37+LTC42+#REF!+LTC59,"")</f>
        <v/>
      </c>
      <c r="LTD62" s="87" t="str">
        <f>IF(ISNUMBER(outYear),LTD37+LTD42+#REF!+LTD59,"")</f>
        <v/>
      </c>
      <c r="LTE62" s="87" t="str">
        <f>IF(ISNUMBER(outYear),LTE37+LTE42+#REF!+LTE59,"")</f>
        <v/>
      </c>
      <c r="LTF62" s="87" t="str">
        <f>IF(ISNUMBER(outYear),LTF37+LTF42+#REF!+LTF59,"")</f>
        <v/>
      </c>
      <c r="LTG62" s="87" t="str">
        <f>IF(ISNUMBER(outYear),LTG37+LTG42+#REF!+LTG59,"")</f>
        <v/>
      </c>
      <c r="LTH62" s="87" t="str">
        <f>IF(ISNUMBER(outYear),LTH37+LTH42+#REF!+LTH59,"")</f>
        <v/>
      </c>
      <c r="LTI62" s="87" t="str">
        <f>IF(ISNUMBER(outYear),LTI37+LTI42+#REF!+LTI59,"")</f>
        <v/>
      </c>
      <c r="LTJ62" s="87" t="str">
        <f>IF(ISNUMBER(outYear),LTJ37+LTJ42+#REF!+LTJ59,"")</f>
        <v/>
      </c>
      <c r="LTK62" s="87" t="str">
        <f>IF(ISNUMBER(outYear),LTK37+LTK42+#REF!+LTK59,"")</f>
        <v/>
      </c>
      <c r="LTL62" s="87" t="str">
        <f>IF(ISNUMBER(outYear),LTL37+LTL42+#REF!+LTL59,"")</f>
        <v/>
      </c>
      <c r="LTM62" s="87" t="str">
        <f>IF(ISNUMBER(outYear),LTM37+LTM42+#REF!+LTM59,"")</f>
        <v/>
      </c>
      <c r="LTN62" s="87" t="str">
        <f>IF(ISNUMBER(outYear),LTN37+LTN42+#REF!+LTN59,"")</f>
        <v/>
      </c>
      <c r="LTO62" s="87" t="str">
        <f>IF(ISNUMBER(outYear),LTO37+LTO42+#REF!+LTO59,"")</f>
        <v/>
      </c>
      <c r="LTP62" s="87" t="str">
        <f>IF(ISNUMBER(outYear),LTP37+LTP42+#REF!+LTP59,"")</f>
        <v/>
      </c>
      <c r="LTQ62" s="87" t="str">
        <f>IF(ISNUMBER(outYear),LTQ37+LTQ42+#REF!+LTQ59,"")</f>
        <v/>
      </c>
      <c r="LTR62" s="87" t="str">
        <f>IF(ISNUMBER(outYear),LTR37+LTR42+#REF!+LTR59,"")</f>
        <v/>
      </c>
      <c r="LTS62" s="87" t="str">
        <f>IF(ISNUMBER(outYear),LTS37+LTS42+#REF!+LTS59,"")</f>
        <v/>
      </c>
      <c r="LTT62" s="87" t="str">
        <f>IF(ISNUMBER(outYear),LTT37+LTT42+#REF!+LTT59,"")</f>
        <v/>
      </c>
      <c r="LTU62" s="87" t="str">
        <f>IF(ISNUMBER(outYear),LTU37+LTU42+#REF!+LTU59,"")</f>
        <v/>
      </c>
      <c r="LTV62" s="87" t="str">
        <f>IF(ISNUMBER(outYear),LTV37+LTV42+#REF!+LTV59,"")</f>
        <v/>
      </c>
      <c r="LTW62" s="87" t="str">
        <f>IF(ISNUMBER(outYear),LTW37+LTW42+#REF!+LTW59,"")</f>
        <v/>
      </c>
      <c r="LTX62" s="87" t="str">
        <f>IF(ISNUMBER(outYear),LTX37+LTX42+#REF!+LTX59,"")</f>
        <v/>
      </c>
      <c r="LTY62" s="87" t="str">
        <f>IF(ISNUMBER(outYear),LTY37+LTY42+#REF!+LTY59,"")</f>
        <v/>
      </c>
      <c r="LTZ62" s="87" t="str">
        <f>IF(ISNUMBER(outYear),LTZ37+LTZ42+#REF!+LTZ59,"")</f>
        <v/>
      </c>
      <c r="LUA62" s="87" t="str">
        <f>IF(ISNUMBER(outYear),LUA37+LUA42+#REF!+LUA59,"")</f>
        <v/>
      </c>
      <c r="LUB62" s="87" t="str">
        <f>IF(ISNUMBER(outYear),LUB37+LUB42+#REF!+LUB59,"")</f>
        <v/>
      </c>
      <c r="LUC62" s="87" t="str">
        <f>IF(ISNUMBER(outYear),LUC37+LUC42+#REF!+LUC59,"")</f>
        <v/>
      </c>
      <c r="LUD62" s="87" t="str">
        <f>IF(ISNUMBER(outYear),LUD37+LUD42+#REF!+LUD59,"")</f>
        <v/>
      </c>
      <c r="LUE62" s="87" t="str">
        <f>IF(ISNUMBER(outYear),LUE37+LUE42+#REF!+LUE59,"")</f>
        <v/>
      </c>
      <c r="LUF62" s="87" t="str">
        <f>IF(ISNUMBER(outYear),LUF37+LUF42+#REF!+LUF59,"")</f>
        <v/>
      </c>
      <c r="LUG62" s="87" t="str">
        <f>IF(ISNUMBER(outYear),LUG37+LUG42+#REF!+LUG59,"")</f>
        <v/>
      </c>
      <c r="LUH62" s="87" t="str">
        <f>IF(ISNUMBER(outYear),LUH37+LUH42+#REF!+LUH59,"")</f>
        <v/>
      </c>
      <c r="LUI62" s="87" t="str">
        <f>IF(ISNUMBER(outYear),LUI37+LUI42+#REF!+LUI59,"")</f>
        <v/>
      </c>
      <c r="LUJ62" s="87" t="str">
        <f>IF(ISNUMBER(outYear),LUJ37+LUJ42+#REF!+LUJ59,"")</f>
        <v/>
      </c>
      <c r="LUK62" s="87" t="str">
        <f>IF(ISNUMBER(outYear),LUK37+LUK42+#REF!+LUK59,"")</f>
        <v/>
      </c>
      <c r="LUL62" s="87" t="str">
        <f>IF(ISNUMBER(outYear),LUL37+LUL42+#REF!+LUL59,"")</f>
        <v/>
      </c>
      <c r="LUM62" s="87" t="str">
        <f>IF(ISNUMBER(outYear),LUM37+LUM42+#REF!+LUM59,"")</f>
        <v/>
      </c>
      <c r="LUN62" s="87" t="str">
        <f>IF(ISNUMBER(outYear),LUN37+LUN42+#REF!+LUN59,"")</f>
        <v/>
      </c>
      <c r="LUO62" s="87" t="str">
        <f>IF(ISNUMBER(outYear),LUO37+LUO42+#REF!+LUO59,"")</f>
        <v/>
      </c>
      <c r="LUP62" s="87" t="str">
        <f>IF(ISNUMBER(outYear),LUP37+LUP42+#REF!+LUP59,"")</f>
        <v/>
      </c>
      <c r="LUQ62" s="87" t="str">
        <f>IF(ISNUMBER(outYear),LUQ37+LUQ42+#REF!+LUQ59,"")</f>
        <v/>
      </c>
      <c r="LUR62" s="87" t="str">
        <f>IF(ISNUMBER(outYear),LUR37+LUR42+#REF!+LUR59,"")</f>
        <v/>
      </c>
      <c r="LUS62" s="87" t="str">
        <f>IF(ISNUMBER(outYear),LUS37+LUS42+#REF!+LUS59,"")</f>
        <v/>
      </c>
      <c r="LUT62" s="87" t="str">
        <f>IF(ISNUMBER(outYear),LUT37+LUT42+#REF!+LUT59,"")</f>
        <v/>
      </c>
      <c r="LUU62" s="87" t="str">
        <f>IF(ISNUMBER(outYear),LUU37+LUU42+#REF!+LUU59,"")</f>
        <v/>
      </c>
      <c r="LUV62" s="87" t="str">
        <f>IF(ISNUMBER(outYear),LUV37+LUV42+#REF!+LUV59,"")</f>
        <v/>
      </c>
      <c r="LUW62" s="87" t="str">
        <f>IF(ISNUMBER(outYear),LUW37+LUW42+#REF!+LUW59,"")</f>
        <v/>
      </c>
      <c r="LUX62" s="87" t="str">
        <f>IF(ISNUMBER(outYear),LUX37+LUX42+#REF!+LUX59,"")</f>
        <v/>
      </c>
      <c r="LUY62" s="87" t="str">
        <f>IF(ISNUMBER(outYear),LUY37+LUY42+#REF!+LUY59,"")</f>
        <v/>
      </c>
      <c r="LUZ62" s="87" t="str">
        <f>IF(ISNUMBER(outYear),LUZ37+LUZ42+#REF!+LUZ59,"")</f>
        <v/>
      </c>
      <c r="LVA62" s="87" t="str">
        <f>IF(ISNUMBER(outYear),LVA37+LVA42+#REF!+LVA59,"")</f>
        <v/>
      </c>
      <c r="LVB62" s="87" t="str">
        <f>IF(ISNUMBER(outYear),LVB37+LVB42+#REF!+LVB59,"")</f>
        <v/>
      </c>
      <c r="LVC62" s="87" t="str">
        <f>IF(ISNUMBER(outYear),LVC37+LVC42+#REF!+LVC59,"")</f>
        <v/>
      </c>
      <c r="LVD62" s="87" t="str">
        <f>IF(ISNUMBER(outYear),LVD37+LVD42+#REF!+LVD59,"")</f>
        <v/>
      </c>
      <c r="LVE62" s="87" t="str">
        <f>IF(ISNUMBER(outYear),LVE37+LVE42+#REF!+LVE59,"")</f>
        <v/>
      </c>
      <c r="LVF62" s="87" t="str">
        <f>IF(ISNUMBER(outYear),LVF37+LVF42+#REF!+LVF59,"")</f>
        <v/>
      </c>
      <c r="LVG62" s="87" t="str">
        <f>IF(ISNUMBER(outYear),LVG37+LVG42+#REF!+LVG59,"")</f>
        <v/>
      </c>
      <c r="LVH62" s="87" t="str">
        <f>IF(ISNUMBER(outYear),LVH37+LVH42+#REF!+LVH59,"")</f>
        <v/>
      </c>
      <c r="LVI62" s="87" t="str">
        <f>IF(ISNUMBER(outYear),LVI37+LVI42+#REF!+LVI59,"")</f>
        <v/>
      </c>
      <c r="LVJ62" s="87" t="str">
        <f>IF(ISNUMBER(outYear),LVJ37+LVJ42+#REF!+LVJ59,"")</f>
        <v/>
      </c>
      <c r="LVK62" s="87" t="str">
        <f>IF(ISNUMBER(outYear),LVK37+LVK42+#REF!+LVK59,"")</f>
        <v/>
      </c>
      <c r="LVL62" s="87" t="str">
        <f>IF(ISNUMBER(outYear),LVL37+LVL42+#REF!+LVL59,"")</f>
        <v/>
      </c>
      <c r="LVM62" s="87" t="str">
        <f>IF(ISNUMBER(outYear),LVM37+LVM42+#REF!+LVM59,"")</f>
        <v/>
      </c>
      <c r="LVN62" s="87" t="str">
        <f>IF(ISNUMBER(outYear),LVN37+LVN42+#REF!+LVN59,"")</f>
        <v/>
      </c>
      <c r="LVO62" s="87" t="str">
        <f>IF(ISNUMBER(outYear),LVO37+LVO42+#REF!+LVO59,"")</f>
        <v/>
      </c>
      <c r="LVP62" s="87" t="str">
        <f>IF(ISNUMBER(outYear),LVP37+LVP42+#REF!+LVP59,"")</f>
        <v/>
      </c>
      <c r="LVQ62" s="87" t="str">
        <f>IF(ISNUMBER(outYear),LVQ37+LVQ42+#REF!+LVQ59,"")</f>
        <v/>
      </c>
      <c r="LVR62" s="87" t="str">
        <f>IF(ISNUMBER(outYear),LVR37+LVR42+#REF!+LVR59,"")</f>
        <v/>
      </c>
      <c r="LVS62" s="87" t="str">
        <f>IF(ISNUMBER(outYear),LVS37+LVS42+#REF!+LVS59,"")</f>
        <v/>
      </c>
      <c r="LVT62" s="87" t="str">
        <f>IF(ISNUMBER(outYear),LVT37+LVT42+#REF!+LVT59,"")</f>
        <v/>
      </c>
      <c r="LVU62" s="87" t="str">
        <f>IF(ISNUMBER(outYear),LVU37+LVU42+#REF!+LVU59,"")</f>
        <v/>
      </c>
      <c r="LVV62" s="87" t="str">
        <f>IF(ISNUMBER(outYear),LVV37+LVV42+#REF!+LVV59,"")</f>
        <v/>
      </c>
      <c r="LVW62" s="87" t="str">
        <f>IF(ISNUMBER(outYear),LVW37+LVW42+#REF!+LVW59,"")</f>
        <v/>
      </c>
      <c r="LVX62" s="87" t="str">
        <f>IF(ISNUMBER(outYear),LVX37+LVX42+#REF!+LVX59,"")</f>
        <v/>
      </c>
      <c r="LVY62" s="87" t="str">
        <f>IF(ISNUMBER(outYear),LVY37+LVY42+#REF!+LVY59,"")</f>
        <v/>
      </c>
      <c r="LVZ62" s="87" t="str">
        <f>IF(ISNUMBER(outYear),LVZ37+LVZ42+#REF!+LVZ59,"")</f>
        <v/>
      </c>
      <c r="LWA62" s="87" t="str">
        <f>IF(ISNUMBER(outYear),LWA37+LWA42+#REF!+LWA59,"")</f>
        <v/>
      </c>
      <c r="LWB62" s="87" t="str">
        <f>IF(ISNUMBER(outYear),LWB37+LWB42+#REF!+LWB59,"")</f>
        <v/>
      </c>
      <c r="LWC62" s="87" t="str">
        <f>IF(ISNUMBER(outYear),LWC37+LWC42+#REF!+LWC59,"")</f>
        <v/>
      </c>
      <c r="LWD62" s="87" t="str">
        <f>IF(ISNUMBER(outYear),LWD37+LWD42+#REF!+LWD59,"")</f>
        <v/>
      </c>
      <c r="LWE62" s="87" t="str">
        <f>IF(ISNUMBER(outYear),LWE37+LWE42+#REF!+LWE59,"")</f>
        <v/>
      </c>
      <c r="LWF62" s="87" t="str">
        <f>IF(ISNUMBER(outYear),LWF37+LWF42+#REF!+LWF59,"")</f>
        <v/>
      </c>
      <c r="LWG62" s="87" t="str">
        <f>IF(ISNUMBER(outYear),LWG37+LWG42+#REF!+LWG59,"")</f>
        <v/>
      </c>
      <c r="LWH62" s="87" t="str">
        <f>IF(ISNUMBER(outYear),LWH37+LWH42+#REF!+LWH59,"")</f>
        <v/>
      </c>
      <c r="LWI62" s="87" t="str">
        <f>IF(ISNUMBER(outYear),LWI37+LWI42+#REF!+LWI59,"")</f>
        <v/>
      </c>
      <c r="LWJ62" s="87" t="str">
        <f>IF(ISNUMBER(outYear),LWJ37+LWJ42+#REF!+LWJ59,"")</f>
        <v/>
      </c>
      <c r="LWK62" s="87" t="str">
        <f>IF(ISNUMBER(outYear),LWK37+LWK42+#REF!+LWK59,"")</f>
        <v/>
      </c>
      <c r="LWL62" s="87" t="str">
        <f>IF(ISNUMBER(outYear),LWL37+LWL42+#REF!+LWL59,"")</f>
        <v/>
      </c>
      <c r="LWM62" s="87" t="str">
        <f>IF(ISNUMBER(outYear),LWM37+LWM42+#REF!+LWM59,"")</f>
        <v/>
      </c>
      <c r="LWN62" s="87" t="str">
        <f>IF(ISNUMBER(outYear),LWN37+LWN42+#REF!+LWN59,"")</f>
        <v/>
      </c>
      <c r="LWO62" s="87" t="str">
        <f>IF(ISNUMBER(outYear),LWO37+LWO42+#REF!+LWO59,"")</f>
        <v/>
      </c>
      <c r="LWP62" s="87" t="str">
        <f>IF(ISNUMBER(outYear),LWP37+LWP42+#REF!+LWP59,"")</f>
        <v/>
      </c>
      <c r="LWQ62" s="87" t="str">
        <f>IF(ISNUMBER(outYear),LWQ37+LWQ42+#REF!+LWQ59,"")</f>
        <v/>
      </c>
      <c r="LWR62" s="87" t="str">
        <f>IF(ISNUMBER(outYear),LWR37+LWR42+#REF!+LWR59,"")</f>
        <v/>
      </c>
      <c r="LWS62" s="87" t="str">
        <f>IF(ISNUMBER(outYear),LWS37+LWS42+#REF!+LWS59,"")</f>
        <v/>
      </c>
      <c r="LWT62" s="87" t="str">
        <f>IF(ISNUMBER(outYear),LWT37+LWT42+#REF!+LWT59,"")</f>
        <v/>
      </c>
      <c r="LWU62" s="87" t="str">
        <f>IF(ISNUMBER(outYear),LWU37+LWU42+#REF!+LWU59,"")</f>
        <v/>
      </c>
      <c r="LWV62" s="87" t="str">
        <f>IF(ISNUMBER(outYear),LWV37+LWV42+#REF!+LWV59,"")</f>
        <v/>
      </c>
      <c r="LWW62" s="87" t="str">
        <f>IF(ISNUMBER(outYear),LWW37+LWW42+#REF!+LWW59,"")</f>
        <v/>
      </c>
      <c r="LWX62" s="87" t="str">
        <f>IF(ISNUMBER(outYear),LWX37+LWX42+#REF!+LWX59,"")</f>
        <v/>
      </c>
      <c r="LWY62" s="87" t="str">
        <f>IF(ISNUMBER(outYear),LWY37+LWY42+#REF!+LWY59,"")</f>
        <v/>
      </c>
      <c r="LWZ62" s="87" t="str">
        <f>IF(ISNUMBER(outYear),LWZ37+LWZ42+#REF!+LWZ59,"")</f>
        <v/>
      </c>
      <c r="LXA62" s="87" t="str">
        <f>IF(ISNUMBER(outYear),LXA37+LXA42+#REF!+LXA59,"")</f>
        <v/>
      </c>
      <c r="LXB62" s="87" t="str">
        <f>IF(ISNUMBER(outYear),LXB37+LXB42+#REF!+LXB59,"")</f>
        <v/>
      </c>
      <c r="LXC62" s="87" t="str">
        <f>IF(ISNUMBER(outYear),LXC37+LXC42+#REF!+LXC59,"")</f>
        <v/>
      </c>
      <c r="LXD62" s="87" t="str">
        <f>IF(ISNUMBER(outYear),LXD37+LXD42+#REF!+LXD59,"")</f>
        <v/>
      </c>
      <c r="LXE62" s="87" t="str">
        <f>IF(ISNUMBER(outYear),LXE37+LXE42+#REF!+LXE59,"")</f>
        <v/>
      </c>
      <c r="LXF62" s="87" t="str">
        <f>IF(ISNUMBER(outYear),LXF37+LXF42+#REF!+LXF59,"")</f>
        <v/>
      </c>
      <c r="LXG62" s="87" t="str">
        <f>IF(ISNUMBER(outYear),LXG37+LXG42+#REF!+LXG59,"")</f>
        <v/>
      </c>
      <c r="LXH62" s="87" t="str">
        <f>IF(ISNUMBER(outYear),LXH37+LXH42+#REF!+LXH59,"")</f>
        <v/>
      </c>
      <c r="LXI62" s="87" t="str">
        <f>IF(ISNUMBER(outYear),LXI37+LXI42+#REF!+LXI59,"")</f>
        <v/>
      </c>
      <c r="LXJ62" s="87" t="str">
        <f>IF(ISNUMBER(outYear),LXJ37+LXJ42+#REF!+LXJ59,"")</f>
        <v/>
      </c>
      <c r="LXK62" s="87" t="str">
        <f>IF(ISNUMBER(outYear),LXK37+LXK42+#REF!+LXK59,"")</f>
        <v/>
      </c>
      <c r="LXL62" s="87" t="str">
        <f>IF(ISNUMBER(outYear),LXL37+LXL42+#REF!+LXL59,"")</f>
        <v/>
      </c>
      <c r="LXM62" s="87" t="str">
        <f>IF(ISNUMBER(outYear),LXM37+LXM42+#REF!+LXM59,"")</f>
        <v/>
      </c>
      <c r="LXN62" s="87" t="str">
        <f>IF(ISNUMBER(outYear),LXN37+LXN42+#REF!+LXN59,"")</f>
        <v/>
      </c>
      <c r="LXO62" s="87" t="str">
        <f>IF(ISNUMBER(outYear),LXO37+LXO42+#REF!+LXO59,"")</f>
        <v/>
      </c>
      <c r="LXP62" s="87" t="str">
        <f>IF(ISNUMBER(outYear),LXP37+LXP42+#REF!+LXP59,"")</f>
        <v/>
      </c>
      <c r="LXQ62" s="87" t="str">
        <f>IF(ISNUMBER(outYear),LXQ37+LXQ42+#REF!+LXQ59,"")</f>
        <v/>
      </c>
      <c r="LXR62" s="87" t="str">
        <f>IF(ISNUMBER(outYear),LXR37+LXR42+#REF!+LXR59,"")</f>
        <v/>
      </c>
      <c r="LXS62" s="87" t="str">
        <f>IF(ISNUMBER(outYear),LXS37+LXS42+#REF!+LXS59,"")</f>
        <v/>
      </c>
      <c r="LXT62" s="87" t="str">
        <f>IF(ISNUMBER(outYear),LXT37+LXT42+#REF!+LXT59,"")</f>
        <v/>
      </c>
      <c r="LXU62" s="87" t="str">
        <f>IF(ISNUMBER(outYear),LXU37+LXU42+#REF!+LXU59,"")</f>
        <v/>
      </c>
      <c r="LXV62" s="87" t="str">
        <f>IF(ISNUMBER(outYear),LXV37+LXV42+#REF!+LXV59,"")</f>
        <v/>
      </c>
      <c r="LXW62" s="87" t="str">
        <f>IF(ISNUMBER(outYear),LXW37+LXW42+#REF!+LXW59,"")</f>
        <v/>
      </c>
      <c r="LXX62" s="87" t="str">
        <f>IF(ISNUMBER(outYear),LXX37+LXX42+#REF!+LXX59,"")</f>
        <v/>
      </c>
      <c r="LXY62" s="87" t="str">
        <f>IF(ISNUMBER(outYear),LXY37+LXY42+#REF!+LXY59,"")</f>
        <v/>
      </c>
      <c r="LXZ62" s="87" t="str">
        <f>IF(ISNUMBER(outYear),LXZ37+LXZ42+#REF!+LXZ59,"")</f>
        <v/>
      </c>
      <c r="LYA62" s="87" t="str">
        <f>IF(ISNUMBER(outYear),LYA37+LYA42+#REF!+LYA59,"")</f>
        <v/>
      </c>
      <c r="LYB62" s="87" t="str">
        <f>IF(ISNUMBER(outYear),LYB37+LYB42+#REF!+LYB59,"")</f>
        <v/>
      </c>
      <c r="LYC62" s="87" t="str">
        <f>IF(ISNUMBER(outYear),LYC37+LYC42+#REF!+LYC59,"")</f>
        <v/>
      </c>
      <c r="LYD62" s="87" t="str">
        <f>IF(ISNUMBER(outYear),LYD37+LYD42+#REF!+LYD59,"")</f>
        <v/>
      </c>
      <c r="LYE62" s="87" t="str">
        <f>IF(ISNUMBER(outYear),LYE37+LYE42+#REF!+LYE59,"")</f>
        <v/>
      </c>
      <c r="LYF62" s="87" t="str">
        <f>IF(ISNUMBER(outYear),LYF37+LYF42+#REF!+LYF59,"")</f>
        <v/>
      </c>
      <c r="LYG62" s="87" t="str">
        <f>IF(ISNUMBER(outYear),LYG37+LYG42+#REF!+LYG59,"")</f>
        <v/>
      </c>
      <c r="LYH62" s="87" t="str">
        <f>IF(ISNUMBER(outYear),LYH37+LYH42+#REF!+LYH59,"")</f>
        <v/>
      </c>
      <c r="LYI62" s="87" t="str">
        <f>IF(ISNUMBER(outYear),LYI37+LYI42+#REF!+LYI59,"")</f>
        <v/>
      </c>
      <c r="LYJ62" s="87" t="str">
        <f>IF(ISNUMBER(outYear),LYJ37+LYJ42+#REF!+LYJ59,"")</f>
        <v/>
      </c>
      <c r="LYK62" s="87" t="str">
        <f>IF(ISNUMBER(outYear),LYK37+LYK42+#REF!+LYK59,"")</f>
        <v/>
      </c>
      <c r="LYL62" s="87" t="str">
        <f>IF(ISNUMBER(outYear),LYL37+LYL42+#REF!+LYL59,"")</f>
        <v/>
      </c>
      <c r="LYM62" s="87" t="str">
        <f>IF(ISNUMBER(outYear),LYM37+LYM42+#REF!+LYM59,"")</f>
        <v/>
      </c>
      <c r="LYN62" s="87" t="str">
        <f>IF(ISNUMBER(outYear),LYN37+LYN42+#REF!+LYN59,"")</f>
        <v/>
      </c>
      <c r="LYO62" s="87" t="str">
        <f>IF(ISNUMBER(outYear),LYO37+LYO42+#REF!+LYO59,"")</f>
        <v/>
      </c>
      <c r="LYP62" s="87" t="str">
        <f>IF(ISNUMBER(outYear),LYP37+LYP42+#REF!+LYP59,"")</f>
        <v/>
      </c>
      <c r="LYQ62" s="87" t="str">
        <f>IF(ISNUMBER(outYear),LYQ37+LYQ42+#REF!+LYQ59,"")</f>
        <v/>
      </c>
      <c r="LYR62" s="87" t="str">
        <f>IF(ISNUMBER(outYear),LYR37+LYR42+#REF!+LYR59,"")</f>
        <v/>
      </c>
      <c r="LYS62" s="87" t="str">
        <f>IF(ISNUMBER(outYear),LYS37+LYS42+#REF!+LYS59,"")</f>
        <v/>
      </c>
      <c r="LYT62" s="87" t="str">
        <f>IF(ISNUMBER(outYear),LYT37+LYT42+#REF!+LYT59,"")</f>
        <v/>
      </c>
      <c r="LYU62" s="87" t="str">
        <f>IF(ISNUMBER(outYear),LYU37+LYU42+#REF!+LYU59,"")</f>
        <v/>
      </c>
      <c r="LYV62" s="87" t="str">
        <f>IF(ISNUMBER(outYear),LYV37+LYV42+#REF!+LYV59,"")</f>
        <v/>
      </c>
      <c r="LYW62" s="87" t="str">
        <f>IF(ISNUMBER(outYear),LYW37+LYW42+#REF!+LYW59,"")</f>
        <v/>
      </c>
      <c r="LYX62" s="87" t="str">
        <f>IF(ISNUMBER(outYear),LYX37+LYX42+#REF!+LYX59,"")</f>
        <v/>
      </c>
      <c r="LYY62" s="87" t="str">
        <f>IF(ISNUMBER(outYear),LYY37+LYY42+#REF!+LYY59,"")</f>
        <v/>
      </c>
      <c r="LYZ62" s="87" t="str">
        <f>IF(ISNUMBER(outYear),LYZ37+LYZ42+#REF!+LYZ59,"")</f>
        <v/>
      </c>
      <c r="LZA62" s="87" t="str">
        <f>IF(ISNUMBER(outYear),LZA37+LZA42+#REF!+LZA59,"")</f>
        <v/>
      </c>
      <c r="LZB62" s="87" t="str">
        <f>IF(ISNUMBER(outYear),LZB37+LZB42+#REF!+LZB59,"")</f>
        <v/>
      </c>
      <c r="LZC62" s="87" t="str">
        <f>IF(ISNUMBER(outYear),LZC37+LZC42+#REF!+LZC59,"")</f>
        <v/>
      </c>
      <c r="LZD62" s="87" t="str">
        <f>IF(ISNUMBER(outYear),LZD37+LZD42+#REF!+LZD59,"")</f>
        <v/>
      </c>
      <c r="LZE62" s="87" t="str">
        <f>IF(ISNUMBER(outYear),LZE37+LZE42+#REF!+LZE59,"")</f>
        <v/>
      </c>
      <c r="LZF62" s="87" t="str">
        <f>IF(ISNUMBER(outYear),LZF37+LZF42+#REF!+LZF59,"")</f>
        <v/>
      </c>
      <c r="LZG62" s="87" t="str">
        <f>IF(ISNUMBER(outYear),LZG37+LZG42+#REF!+LZG59,"")</f>
        <v/>
      </c>
      <c r="LZH62" s="87" t="str">
        <f>IF(ISNUMBER(outYear),LZH37+LZH42+#REF!+LZH59,"")</f>
        <v/>
      </c>
      <c r="LZI62" s="87" t="str">
        <f>IF(ISNUMBER(outYear),LZI37+LZI42+#REF!+LZI59,"")</f>
        <v/>
      </c>
      <c r="LZJ62" s="87" t="str">
        <f>IF(ISNUMBER(outYear),LZJ37+LZJ42+#REF!+LZJ59,"")</f>
        <v/>
      </c>
      <c r="LZK62" s="87" t="str">
        <f>IF(ISNUMBER(outYear),LZK37+LZK42+#REF!+LZK59,"")</f>
        <v/>
      </c>
      <c r="LZL62" s="87" t="str">
        <f>IF(ISNUMBER(outYear),LZL37+LZL42+#REF!+LZL59,"")</f>
        <v/>
      </c>
      <c r="LZM62" s="87" t="str">
        <f>IF(ISNUMBER(outYear),LZM37+LZM42+#REF!+LZM59,"")</f>
        <v/>
      </c>
      <c r="LZN62" s="87" t="str">
        <f>IF(ISNUMBER(outYear),LZN37+LZN42+#REF!+LZN59,"")</f>
        <v/>
      </c>
      <c r="LZO62" s="87" t="str">
        <f>IF(ISNUMBER(outYear),LZO37+LZO42+#REF!+LZO59,"")</f>
        <v/>
      </c>
      <c r="LZP62" s="87" t="str">
        <f>IF(ISNUMBER(outYear),LZP37+LZP42+#REF!+LZP59,"")</f>
        <v/>
      </c>
      <c r="LZQ62" s="87" t="str">
        <f>IF(ISNUMBER(outYear),LZQ37+LZQ42+#REF!+LZQ59,"")</f>
        <v/>
      </c>
      <c r="LZR62" s="87" t="str">
        <f>IF(ISNUMBER(outYear),LZR37+LZR42+#REF!+LZR59,"")</f>
        <v/>
      </c>
      <c r="LZS62" s="87" t="str">
        <f>IF(ISNUMBER(outYear),LZS37+LZS42+#REF!+LZS59,"")</f>
        <v/>
      </c>
      <c r="LZT62" s="87" t="str">
        <f>IF(ISNUMBER(outYear),LZT37+LZT42+#REF!+LZT59,"")</f>
        <v/>
      </c>
      <c r="LZU62" s="87" t="str">
        <f>IF(ISNUMBER(outYear),LZU37+LZU42+#REF!+LZU59,"")</f>
        <v/>
      </c>
      <c r="LZV62" s="87" t="str">
        <f>IF(ISNUMBER(outYear),LZV37+LZV42+#REF!+LZV59,"")</f>
        <v/>
      </c>
      <c r="LZW62" s="87" t="str">
        <f>IF(ISNUMBER(outYear),LZW37+LZW42+#REF!+LZW59,"")</f>
        <v/>
      </c>
      <c r="LZX62" s="87" t="str">
        <f>IF(ISNUMBER(outYear),LZX37+LZX42+#REF!+LZX59,"")</f>
        <v/>
      </c>
      <c r="LZY62" s="87" t="str">
        <f>IF(ISNUMBER(outYear),LZY37+LZY42+#REF!+LZY59,"")</f>
        <v/>
      </c>
      <c r="LZZ62" s="87" t="str">
        <f>IF(ISNUMBER(outYear),LZZ37+LZZ42+#REF!+LZZ59,"")</f>
        <v/>
      </c>
      <c r="MAA62" s="87" t="str">
        <f>IF(ISNUMBER(outYear),MAA37+MAA42+#REF!+MAA59,"")</f>
        <v/>
      </c>
      <c r="MAB62" s="87" t="str">
        <f>IF(ISNUMBER(outYear),MAB37+MAB42+#REF!+MAB59,"")</f>
        <v/>
      </c>
      <c r="MAC62" s="87" t="str">
        <f>IF(ISNUMBER(outYear),MAC37+MAC42+#REF!+MAC59,"")</f>
        <v/>
      </c>
      <c r="MAD62" s="87" t="str">
        <f>IF(ISNUMBER(outYear),MAD37+MAD42+#REF!+MAD59,"")</f>
        <v/>
      </c>
      <c r="MAE62" s="87" t="str">
        <f>IF(ISNUMBER(outYear),MAE37+MAE42+#REF!+MAE59,"")</f>
        <v/>
      </c>
      <c r="MAF62" s="87" t="str">
        <f>IF(ISNUMBER(outYear),MAF37+MAF42+#REF!+MAF59,"")</f>
        <v/>
      </c>
      <c r="MAG62" s="87" t="str">
        <f>IF(ISNUMBER(outYear),MAG37+MAG42+#REF!+MAG59,"")</f>
        <v/>
      </c>
      <c r="MAH62" s="87" t="str">
        <f>IF(ISNUMBER(outYear),MAH37+MAH42+#REF!+MAH59,"")</f>
        <v/>
      </c>
      <c r="MAI62" s="87" t="str">
        <f>IF(ISNUMBER(outYear),MAI37+MAI42+#REF!+MAI59,"")</f>
        <v/>
      </c>
      <c r="MAJ62" s="87" t="str">
        <f>IF(ISNUMBER(outYear),MAJ37+MAJ42+#REF!+MAJ59,"")</f>
        <v/>
      </c>
      <c r="MAK62" s="87" t="str">
        <f>IF(ISNUMBER(outYear),MAK37+MAK42+#REF!+MAK59,"")</f>
        <v/>
      </c>
      <c r="MAL62" s="87" t="str">
        <f>IF(ISNUMBER(outYear),MAL37+MAL42+#REF!+MAL59,"")</f>
        <v/>
      </c>
      <c r="MAM62" s="87" t="str">
        <f>IF(ISNUMBER(outYear),MAM37+MAM42+#REF!+MAM59,"")</f>
        <v/>
      </c>
      <c r="MAN62" s="87" t="str">
        <f>IF(ISNUMBER(outYear),MAN37+MAN42+#REF!+MAN59,"")</f>
        <v/>
      </c>
      <c r="MAO62" s="87" t="str">
        <f>IF(ISNUMBER(outYear),MAO37+MAO42+#REF!+MAO59,"")</f>
        <v/>
      </c>
      <c r="MAP62" s="87" t="str">
        <f>IF(ISNUMBER(outYear),MAP37+MAP42+#REF!+MAP59,"")</f>
        <v/>
      </c>
      <c r="MAQ62" s="87" t="str">
        <f>IF(ISNUMBER(outYear),MAQ37+MAQ42+#REF!+MAQ59,"")</f>
        <v/>
      </c>
      <c r="MAR62" s="87" t="str">
        <f>IF(ISNUMBER(outYear),MAR37+MAR42+#REF!+MAR59,"")</f>
        <v/>
      </c>
      <c r="MAS62" s="87" t="str">
        <f>IF(ISNUMBER(outYear),MAS37+MAS42+#REF!+MAS59,"")</f>
        <v/>
      </c>
      <c r="MAT62" s="87" t="str">
        <f>IF(ISNUMBER(outYear),MAT37+MAT42+#REF!+MAT59,"")</f>
        <v/>
      </c>
      <c r="MAU62" s="87" t="str">
        <f>IF(ISNUMBER(outYear),MAU37+MAU42+#REF!+MAU59,"")</f>
        <v/>
      </c>
      <c r="MAV62" s="87" t="str">
        <f>IF(ISNUMBER(outYear),MAV37+MAV42+#REF!+MAV59,"")</f>
        <v/>
      </c>
      <c r="MAW62" s="87" t="str">
        <f>IF(ISNUMBER(outYear),MAW37+MAW42+#REF!+MAW59,"")</f>
        <v/>
      </c>
      <c r="MAX62" s="87" t="str">
        <f>IF(ISNUMBER(outYear),MAX37+MAX42+#REF!+MAX59,"")</f>
        <v/>
      </c>
      <c r="MAY62" s="87" t="str">
        <f>IF(ISNUMBER(outYear),MAY37+MAY42+#REF!+MAY59,"")</f>
        <v/>
      </c>
      <c r="MAZ62" s="87" t="str">
        <f>IF(ISNUMBER(outYear),MAZ37+MAZ42+#REF!+MAZ59,"")</f>
        <v/>
      </c>
      <c r="MBA62" s="87" t="str">
        <f>IF(ISNUMBER(outYear),MBA37+MBA42+#REF!+MBA59,"")</f>
        <v/>
      </c>
      <c r="MBB62" s="87" t="str">
        <f>IF(ISNUMBER(outYear),MBB37+MBB42+#REF!+MBB59,"")</f>
        <v/>
      </c>
      <c r="MBC62" s="87" t="str">
        <f>IF(ISNUMBER(outYear),MBC37+MBC42+#REF!+MBC59,"")</f>
        <v/>
      </c>
      <c r="MBD62" s="87" t="str">
        <f>IF(ISNUMBER(outYear),MBD37+MBD42+#REF!+MBD59,"")</f>
        <v/>
      </c>
      <c r="MBE62" s="87" t="str">
        <f>IF(ISNUMBER(outYear),MBE37+MBE42+#REF!+MBE59,"")</f>
        <v/>
      </c>
      <c r="MBF62" s="87" t="str">
        <f>IF(ISNUMBER(outYear),MBF37+MBF42+#REF!+MBF59,"")</f>
        <v/>
      </c>
      <c r="MBG62" s="87" t="str">
        <f>IF(ISNUMBER(outYear),MBG37+MBG42+#REF!+MBG59,"")</f>
        <v/>
      </c>
      <c r="MBH62" s="87" t="str">
        <f>IF(ISNUMBER(outYear),MBH37+MBH42+#REF!+MBH59,"")</f>
        <v/>
      </c>
      <c r="MBI62" s="87" t="str">
        <f>IF(ISNUMBER(outYear),MBI37+MBI42+#REF!+MBI59,"")</f>
        <v/>
      </c>
      <c r="MBJ62" s="87" t="str">
        <f>IF(ISNUMBER(outYear),MBJ37+MBJ42+#REF!+MBJ59,"")</f>
        <v/>
      </c>
      <c r="MBK62" s="87" t="str">
        <f>IF(ISNUMBER(outYear),MBK37+MBK42+#REF!+MBK59,"")</f>
        <v/>
      </c>
      <c r="MBL62" s="87" t="str">
        <f>IF(ISNUMBER(outYear),MBL37+MBL42+#REF!+MBL59,"")</f>
        <v/>
      </c>
      <c r="MBM62" s="87" t="str">
        <f>IF(ISNUMBER(outYear),MBM37+MBM42+#REF!+MBM59,"")</f>
        <v/>
      </c>
      <c r="MBN62" s="87" t="str">
        <f>IF(ISNUMBER(outYear),MBN37+MBN42+#REF!+MBN59,"")</f>
        <v/>
      </c>
      <c r="MBO62" s="87" t="str">
        <f>IF(ISNUMBER(outYear),MBO37+MBO42+#REF!+MBO59,"")</f>
        <v/>
      </c>
      <c r="MBP62" s="87" t="str">
        <f>IF(ISNUMBER(outYear),MBP37+MBP42+#REF!+MBP59,"")</f>
        <v/>
      </c>
      <c r="MBQ62" s="87" t="str">
        <f>IF(ISNUMBER(outYear),MBQ37+MBQ42+#REF!+MBQ59,"")</f>
        <v/>
      </c>
      <c r="MBR62" s="87" t="str">
        <f>IF(ISNUMBER(outYear),MBR37+MBR42+#REF!+MBR59,"")</f>
        <v/>
      </c>
      <c r="MBS62" s="87" t="str">
        <f>IF(ISNUMBER(outYear),MBS37+MBS42+#REF!+MBS59,"")</f>
        <v/>
      </c>
      <c r="MBT62" s="87" t="str">
        <f>IF(ISNUMBER(outYear),MBT37+MBT42+#REF!+MBT59,"")</f>
        <v/>
      </c>
      <c r="MBU62" s="87" t="str">
        <f>IF(ISNUMBER(outYear),MBU37+MBU42+#REF!+MBU59,"")</f>
        <v/>
      </c>
      <c r="MBV62" s="87" t="str">
        <f>IF(ISNUMBER(outYear),MBV37+MBV42+#REF!+MBV59,"")</f>
        <v/>
      </c>
      <c r="MBW62" s="87" t="str">
        <f>IF(ISNUMBER(outYear),MBW37+MBW42+#REF!+MBW59,"")</f>
        <v/>
      </c>
      <c r="MBX62" s="87" t="str">
        <f>IF(ISNUMBER(outYear),MBX37+MBX42+#REF!+MBX59,"")</f>
        <v/>
      </c>
      <c r="MBY62" s="87" t="str">
        <f>IF(ISNUMBER(outYear),MBY37+MBY42+#REF!+MBY59,"")</f>
        <v/>
      </c>
      <c r="MBZ62" s="87" t="str">
        <f>IF(ISNUMBER(outYear),MBZ37+MBZ42+#REF!+MBZ59,"")</f>
        <v/>
      </c>
      <c r="MCA62" s="87" t="str">
        <f>IF(ISNUMBER(outYear),MCA37+MCA42+#REF!+MCA59,"")</f>
        <v/>
      </c>
      <c r="MCB62" s="87" t="str">
        <f>IF(ISNUMBER(outYear),MCB37+MCB42+#REF!+MCB59,"")</f>
        <v/>
      </c>
      <c r="MCC62" s="87" t="str">
        <f>IF(ISNUMBER(outYear),MCC37+MCC42+#REF!+MCC59,"")</f>
        <v/>
      </c>
      <c r="MCD62" s="87" t="str">
        <f>IF(ISNUMBER(outYear),MCD37+MCD42+#REF!+MCD59,"")</f>
        <v/>
      </c>
      <c r="MCE62" s="87" t="str">
        <f>IF(ISNUMBER(outYear),MCE37+MCE42+#REF!+MCE59,"")</f>
        <v/>
      </c>
      <c r="MCF62" s="87" t="str">
        <f>IF(ISNUMBER(outYear),MCF37+MCF42+#REF!+MCF59,"")</f>
        <v/>
      </c>
      <c r="MCG62" s="87" t="str">
        <f>IF(ISNUMBER(outYear),MCG37+MCG42+#REF!+MCG59,"")</f>
        <v/>
      </c>
      <c r="MCH62" s="87" t="str">
        <f>IF(ISNUMBER(outYear),MCH37+MCH42+#REF!+MCH59,"")</f>
        <v/>
      </c>
      <c r="MCI62" s="87" t="str">
        <f>IF(ISNUMBER(outYear),MCI37+MCI42+#REF!+MCI59,"")</f>
        <v/>
      </c>
      <c r="MCJ62" s="87" t="str">
        <f>IF(ISNUMBER(outYear),MCJ37+MCJ42+#REF!+MCJ59,"")</f>
        <v/>
      </c>
      <c r="MCK62" s="87" t="str">
        <f>IF(ISNUMBER(outYear),MCK37+MCK42+#REF!+MCK59,"")</f>
        <v/>
      </c>
      <c r="MCL62" s="87" t="str">
        <f>IF(ISNUMBER(outYear),MCL37+MCL42+#REF!+MCL59,"")</f>
        <v/>
      </c>
      <c r="MCM62" s="87" t="str">
        <f>IF(ISNUMBER(outYear),MCM37+MCM42+#REF!+MCM59,"")</f>
        <v/>
      </c>
      <c r="MCN62" s="87" t="str">
        <f>IF(ISNUMBER(outYear),MCN37+MCN42+#REF!+MCN59,"")</f>
        <v/>
      </c>
      <c r="MCO62" s="87" t="str">
        <f>IF(ISNUMBER(outYear),MCO37+MCO42+#REF!+MCO59,"")</f>
        <v/>
      </c>
      <c r="MCP62" s="87" t="str">
        <f>IF(ISNUMBER(outYear),MCP37+MCP42+#REF!+MCP59,"")</f>
        <v/>
      </c>
      <c r="MCQ62" s="87" t="str">
        <f>IF(ISNUMBER(outYear),MCQ37+MCQ42+#REF!+MCQ59,"")</f>
        <v/>
      </c>
      <c r="MCR62" s="87" t="str">
        <f>IF(ISNUMBER(outYear),MCR37+MCR42+#REF!+MCR59,"")</f>
        <v/>
      </c>
      <c r="MCS62" s="87" t="str">
        <f>IF(ISNUMBER(outYear),MCS37+MCS42+#REF!+MCS59,"")</f>
        <v/>
      </c>
      <c r="MCT62" s="87" t="str">
        <f>IF(ISNUMBER(outYear),MCT37+MCT42+#REF!+MCT59,"")</f>
        <v/>
      </c>
      <c r="MCU62" s="87" t="str">
        <f>IF(ISNUMBER(outYear),MCU37+MCU42+#REF!+MCU59,"")</f>
        <v/>
      </c>
      <c r="MCV62" s="87" t="str">
        <f>IF(ISNUMBER(outYear),MCV37+MCV42+#REF!+MCV59,"")</f>
        <v/>
      </c>
      <c r="MCW62" s="87" t="str">
        <f>IF(ISNUMBER(outYear),MCW37+MCW42+#REF!+MCW59,"")</f>
        <v/>
      </c>
      <c r="MCX62" s="87" t="str">
        <f>IF(ISNUMBER(outYear),MCX37+MCX42+#REF!+MCX59,"")</f>
        <v/>
      </c>
      <c r="MCY62" s="87" t="str">
        <f>IF(ISNUMBER(outYear),MCY37+MCY42+#REF!+MCY59,"")</f>
        <v/>
      </c>
      <c r="MCZ62" s="87" t="str">
        <f>IF(ISNUMBER(outYear),MCZ37+MCZ42+#REF!+MCZ59,"")</f>
        <v/>
      </c>
      <c r="MDA62" s="87" t="str">
        <f>IF(ISNUMBER(outYear),MDA37+MDA42+#REF!+MDA59,"")</f>
        <v/>
      </c>
      <c r="MDB62" s="87" t="str">
        <f>IF(ISNUMBER(outYear),MDB37+MDB42+#REF!+MDB59,"")</f>
        <v/>
      </c>
      <c r="MDC62" s="87" t="str">
        <f>IF(ISNUMBER(outYear),MDC37+MDC42+#REF!+MDC59,"")</f>
        <v/>
      </c>
      <c r="MDD62" s="87" t="str">
        <f>IF(ISNUMBER(outYear),MDD37+MDD42+#REF!+MDD59,"")</f>
        <v/>
      </c>
      <c r="MDE62" s="87" t="str">
        <f>IF(ISNUMBER(outYear),MDE37+MDE42+#REF!+MDE59,"")</f>
        <v/>
      </c>
      <c r="MDF62" s="87" t="str">
        <f>IF(ISNUMBER(outYear),MDF37+MDF42+#REF!+MDF59,"")</f>
        <v/>
      </c>
      <c r="MDG62" s="87" t="str">
        <f>IF(ISNUMBER(outYear),MDG37+MDG42+#REF!+MDG59,"")</f>
        <v/>
      </c>
      <c r="MDH62" s="87" t="str">
        <f>IF(ISNUMBER(outYear),MDH37+MDH42+#REF!+MDH59,"")</f>
        <v/>
      </c>
      <c r="MDI62" s="87" t="str">
        <f>IF(ISNUMBER(outYear),MDI37+MDI42+#REF!+MDI59,"")</f>
        <v/>
      </c>
      <c r="MDJ62" s="87" t="str">
        <f>IF(ISNUMBER(outYear),MDJ37+MDJ42+#REF!+MDJ59,"")</f>
        <v/>
      </c>
      <c r="MDK62" s="87" t="str">
        <f>IF(ISNUMBER(outYear),MDK37+MDK42+#REF!+MDK59,"")</f>
        <v/>
      </c>
      <c r="MDL62" s="87" t="str">
        <f>IF(ISNUMBER(outYear),MDL37+MDL42+#REF!+MDL59,"")</f>
        <v/>
      </c>
      <c r="MDM62" s="87" t="str">
        <f>IF(ISNUMBER(outYear),MDM37+MDM42+#REF!+MDM59,"")</f>
        <v/>
      </c>
      <c r="MDN62" s="87" t="str">
        <f>IF(ISNUMBER(outYear),MDN37+MDN42+#REF!+MDN59,"")</f>
        <v/>
      </c>
      <c r="MDO62" s="87" t="str">
        <f>IF(ISNUMBER(outYear),MDO37+MDO42+#REF!+MDO59,"")</f>
        <v/>
      </c>
      <c r="MDP62" s="87" t="str">
        <f>IF(ISNUMBER(outYear),MDP37+MDP42+#REF!+MDP59,"")</f>
        <v/>
      </c>
      <c r="MDQ62" s="87" t="str">
        <f>IF(ISNUMBER(outYear),MDQ37+MDQ42+#REF!+MDQ59,"")</f>
        <v/>
      </c>
      <c r="MDR62" s="87" t="str">
        <f>IF(ISNUMBER(outYear),MDR37+MDR42+#REF!+MDR59,"")</f>
        <v/>
      </c>
      <c r="MDS62" s="87" t="str">
        <f>IF(ISNUMBER(outYear),MDS37+MDS42+#REF!+MDS59,"")</f>
        <v/>
      </c>
      <c r="MDT62" s="87" t="str">
        <f>IF(ISNUMBER(outYear),MDT37+MDT42+#REF!+MDT59,"")</f>
        <v/>
      </c>
      <c r="MDU62" s="87" t="str">
        <f>IF(ISNUMBER(outYear),MDU37+MDU42+#REF!+MDU59,"")</f>
        <v/>
      </c>
      <c r="MDV62" s="87" t="str">
        <f>IF(ISNUMBER(outYear),MDV37+MDV42+#REF!+MDV59,"")</f>
        <v/>
      </c>
      <c r="MDW62" s="87" t="str">
        <f>IF(ISNUMBER(outYear),MDW37+MDW42+#REF!+MDW59,"")</f>
        <v/>
      </c>
      <c r="MDX62" s="87" t="str">
        <f>IF(ISNUMBER(outYear),MDX37+MDX42+#REF!+MDX59,"")</f>
        <v/>
      </c>
      <c r="MDY62" s="87" t="str">
        <f>IF(ISNUMBER(outYear),MDY37+MDY42+#REF!+MDY59,"")</f>
        <v/>
      </c>
      <c r="MDZ62" s="87" t="str">
        <f>IF(ISNUMBER(outYear),MDZ37+MDZ42+#REF!+MDZ59,"")</f>
        <v/>
      </c>
      <c r="MEA62" s="87" t="str">
        <f>IF(ISNUMBER(outYear),MEA37+MEA42+#REF!+MEA59,"")</f>
        <v/>
      </c>
      <c r="MEB62" s="87" t="str">
        <f>IF(ISNUMBER(outYear),MEB37+MEB42+#REF!+MEB59,"")</f>
        <v/>
      </c>
      <c r="MEC62" s="87" t="str">
        <f>IF(ISNUMBER(outYear),MEC37+MEC42+#REF!+MEC59,"")</f>
        <v/>
      </c>
      <c r="MED62" s="87" t="str">
        <f>IF(ISNUMBER(outYear),MED37+MED42+#REF!+MED59,"")</f>
        <v/>
      </c>
      <c r="MEE62" s="87" t="str">
        <f>IF(ISNUMBER(outYear),MEE37+MEE42+#REF!+MEE59,"")</f>
        <v/>
      </c>
      <c r="MEF62" s="87" t="str">
        <f>IF(ISNUMBER(outYear),MEF37+MEF42+#REF!+MEF59,"")</f>
        <v/>
      </c>
      <c r="MEG62" s="87" t="str">
        <f>IF(ISNUMBER(outYear),MEG37+MEG42+#REF!+MEG59,"")</f>
        <v/>
      </c>
      <c r="MEH62" s="87" t="str">
        <f>IF(ISNUMBER(outYear),MEH37+MEH42+#REF!+MEH59,"")</f>
        <v/>
      </c>
      <c r="MEI62" s="87" t="str">
        <f>IF(ISNUMBER(outYear),MEI37+MEI42+#REF!+MEI59,"")</f>
        <v/>
      </c>
      <c r="MEJ62" s="87" t="str">
        <f>IF(ISNUMBER(outYear),MEJ37+MEJ42+#REF!+MEJ59,"")</f>
        <v/>
      </c>
      <c r="MEK62" s="87" t="str">
        <f>IF(ISNUMBER(outYear),MEK37+MEK42+#REF!+MEK59,"")</f>
        <v/>
      </c>
      <c r="MEL62" s="87" t="str">
        <f>IF(ISNUMBER(outYear),MEL37+MEL42+#REF!+MEL59,"")</f>
        <v/>
      </c>
      <c r="MEM62" s="87" t="str">
        <f>IF(ISNUMBER(outYear),MEM37+MEM42+#REF!+MEM59,"")</f>
        <v/>
      </c>
      <c r="MEN62" s="87" t="str">
        <f>IF(ISNUMBER(outYear),MEN37+MEN42+#REF!+MEN59,"")</f>
        <v/>
      </c>
      <c r="MEO62" s="87" t="str">
        <f>IF(ISNUMBER(outYear),MEO37+MEO42+#REF!+MEO59,"")</f>
        <v/>
      </c>
      <c r="MEP62" s="87" t="str">
        <f>IF(ISNUMBER(outYear),MEP37+MEP42+#REF!+MEP59,"")</f>
        <v/>
      </c>
      <c r="MEQ62" s="87" t="str">
        <f>IF(ISNUMBER(outYear),MEQ37+MEQ42+#REF!+MEQ59,"")</f>
        <v/>
      </c>
      <c r="MER62" s="87" t="str">
        <f>IF(ISNUMBER(outYear),MER37+MER42+#REF!+MER59,"")</f>
        <v/>
      </c>
      <c r="MES62" s="87" t="str">
        <f>IF(ISNUMBER(outYear),MES37+MES42+#REF!+MES59,"")</f>
        <v/>
      </c>
      <c r="MET62" s="87" t="str">
        <f>IF(ISNUMBER(outYear),MET37+MET42+#REF!+MET59,"")</f>
        <v/>
      </c>
      <c r="MEU62" s="87" t="str">
        <f>IF(ISNUMBER(outYear),MEU37+MEU42+#REF!+MEU59,"")</f>
        <v/>
      </c>
      <c r="MEV62" s="87" t="str">
        <f>IF(ISNUMBER(outYear),MEV37+MEV42+#REF!+MEV59,"")</f>
        <v/>
      </c>
      <c r="MEW62" s="87" t="str">
        <f>IF(ISNUMBER(outYear),MEW37+MEW42+#REF!+MEW59,"")</f>
        <v/>
      </c>
      <c r="MEX62" s="87" t="str">
        <f>IF(ISNUMBER(outYear),MEX37+MEX42+#REF!+MEX59,"")</f>
        <v/>
      </c>
      <c r="MEY62" s="87" t="str">
        <f>IF(ISNUMBER(outYear),MEY37+MEY42+#REF!+MEY59,"")</f>
        <v/>
      </c>
      <c r="MEZ62" s="87" t="str">
        <f>IF(ISNUMBER(outYear),MEZ37+MEZ42+#REF!+MEZ59,"")</f>
        <v/>
      </c>
      <c r="MFA62" s="87" t="str">
        <f>IF(ISNUMBER(outYear),MFA37+MFA42+#REF!+MFA59,"")</f>
        <v/>
      </c>
      <c r="MFB62" s="87" t="str">
        <f>IF(ISNUMBER(outYear),MFB37+MFB42+#REF!+MFB59,"")</f>
        <v/>
      </c>
      <c r="MFC62" s="87" t="str">
        <f>IF(ISNUMBER(outYear),MFC37+MFC42+#REF!+MFC59,"")</f>
        <v/>
      </c>
      <c r="MFD62" s="87" t="str">
        <f>IF(ISNUMBER(outYear),MFD37+MFD42+#REF!+MFD59,"")</f>
        <v/>
      </c>
      <c r="MFE62" s="87" t="str">
        <f>IF(ISNUMBER(outYear),MFE37+MFE42+#REF!+MFE59,"")</f>
        <v/>
      </c>
      <c r="MFF62" s="87" t="str">
        <f>IF(ISNUMBER(outYear),MFF37+MFF42+#REF!+MFF59,"")</f>
        <v/>
      </c>
      <c r="MFG62" s="87" t="str">
        <f>IF(ISNUMBER(outYear),MFG37+MFG42+#REF!+MFG59,"")</f>
        <v/>
      </c>
      <c r="MFH62" s="87" t="str">
        <f>IF(ISNUMBER(outYear),MFH37+MFH42+#REF!+MFH59,"")</f>
        <v/>
      </c>
      <c r="MFI62" s="87" t="str">
        <f>IF(ISNUMBER(outYear),MFI37+MFI42+#REF!+MFI59,"")</f>
        <v/>
      </c>
      <c r="MFJ62" s="87" t="str">
        <f>IF(ISNUMBER(outYear),MFJ37+MFJ42+#REF!+MFJ59,"")</f>
        <v/>
      </c>
      <c r="MFK62" s="87" t="str">
        <f>IF(ISNUMBER(outYear),MFK37+MFK42+#REF!+MFK59,"")</f>
        <v/>
      </c>
      <c r="MFL62" s="87" t="str">
        <f>IF(ISNUMBER(outYear),MFL37+MFL42+#REF!+MFL59,"")</f>
        <v/>
      </c>
      <c r="MFM62" s="87" t="str">
        <f>IF(ISNUMBER(outYear),MFM37+MFM42+#REF!+MFM59,"")</f>
        <v/>
      </c>
      <c r="MFN62" s="87" t="str">
        <f>IF(ISNUMBER(outYear),MFN37+MFN42+#REF!+MFN59,"")</f>
        <v/>
      </c>
      <c r="MFO62" s="87" t="str">
        <f>IF(ISNUMBER(outYear),MFO37+MFO42+#REF!+MFO59,"")</f>
        <v/>
      </c>
      <c r="MFP62" s="87" t="str">
        <f>IF(ISNUMBER(outYear),MFP37+MFP42+#REF!+MFP59,"")</f>
        <v/>
      </c>
      <c r="MFQ62" s="87" t="str">
        <f>IF(ISNUMBER(outYear),MFQ37+MFQ42+#REF!+MFQ59,"")</f>
        <v/>
      </c>
      <c r="MFR62" s="87" t="str">
        <f>IF(ISNUMBER(outYear),MFR37+MFR42+#REF!+MFR59,"")</f>
        <v/>
      </c>
      <c r="MFS62" s="87" t="str">
        <f>IF(ISNUMBER(outYear),MFS37+MFS42+#REF!+MFS59,"")</f>
        <v/>
      </c>
      <c r="MFT62" s="87" t="str">
        <f>IF(ISNUMBER(outYear),MFT37+MFT42+#REF!+MFT59,"")</f>
        <v/>
      </c>
      <c r="MFU62" s="87" t="str">
        <f>IF(ISNUMBER(outYear),MFU37+MFU42+#REF!+MFU59,"")</f>
        <v/>
      </c>
      <c r="MFV62" s="87" t="str">
        <f>IF(ISNUMBER(outYear),MFV37+MFV42+#REF!+MFV59,"")</f>
        <v/>
      </c>
      <c r="MFW62" s="87" t="str">
        <f>IF(ISNUMBER(outYear),MFW37+MFW42+#REF!+MFW59,"")</f>
        <v/>
      </c>
      <c r="MFX62" s="87" t="str">
        <f>IF(ISNUMBER(outYear),MFX37+MFX42+#REF!+MFX59,"")</f>
        <v/>
      </c>
      <c r="MFY62" s="87" t="str">
        <f>IF(ISNUMBER(outYear),MFY37+MFY42+#REF!+MFY59,"")</f>
        <v/>
      </c>
      <c r="MFZ62" s="87" t="str">
        <f>IF(ISNUMBER(outYear),MFZ37+MFZ42+#REF!+MFZ59,"")</f>
        <v/>
      </c>
      <c r="MGA62" s="87" t="str">
        <f>IF(ISNUMBER(outYear),MGA37+MGA42+#REF!+MGA59,"")</f>
        <v/>
      </c>
      <c r="MGB62" s="87" t="str">
        <f>IF(ISNUMBER(outYear),MGB37+MGB42+#REF!+MGB59,"")</f>
        <v/>
      </c>
      <c r="MGC62" s="87" t="str">
        <f>IF(ISNUMBER(outYear),MGC37+MGC42+#REF!+MGC59,"")</f>
        <v/>
      </c>
      <c r="MGD62" s="87" t="str">
        <f>IF(ISNUMBER(outYear),MGD37+MGD42+#REF!+MGD59,"")</f>
        <v/>
      </c>
      <c r="MGE62" s="87" t="str">
        <f>IF(ISNUMBER(outYear),MGE37+MGE42+#REF!+MGE59,"")</f>
        <v/>
      </c>
      <c r="MGF62" s="87" t="str">
        <f>IF(ISNUMBER(outYear),MGF37+MGF42+#REF!+MGF59,"")</f>
        <v/>
      </c>
      <c r="MGG62" s="87" t="str">
        <f>IF(ISNUMBER(outYear),MGG37+MGG42+#REF!+MGG59,"")</f>
        <v/>
      </c>
      <c r="MGH62" s="87" t="str">
        <f>IF(ISNUMBER(outYear),MGH37+MGH42+#REF!+MGH59,"")</f>
        <v/>
      </c>
      <c r="MGI62" s="87" t="str">
        <f>IF(ISNUMBER(outYear),MGI37+MGI42+#REF!+MGI59,"")</f>
        <v/>
      </c>
      <c r="MGJ62" s="87" t="str">
        <f>IF(ISNUMBER(outYear),MGJ37+MGJ42+#REF!+MGJ59,"")</f>
        <v/>
      </c>
      <c r="MGK62" s="87" t="str">
        <f>IF(ISNUMBER(outYear),MGK37+MGK42+#REF!+MGK59,"")</f>
        <v/>
      </c>
      <c r="MGL62" s="87" t="str">
        <f>IF(ISNUMBER(outYear),MGL37+MGL42+#REF!+MGL59,"")</f>
        <v/>
      </c>
      <c r="MGM62" s="87" t="str">
        <f>IF(ISNUMBER(outYear),MGM37+MGM42+#REF!+MGM59,"")</f>
        <v/>
      </c>
      <c r="MGN62" s="87" t="str">
        <f>IF(ISNUMBER(outYear),MGN37+MGN42+#REF!+MGN59,"")</f>
        <v/>
      </c>
      <c r="MGO62" s="87" t="str">
        <f>IF(ISNUMBER(outYear),MGO37+MGO42+#REF!+MGO59,"")</f>
        <v/>
      </c>
      <c r="MGP62" s="87" t="str">
        <f>IF(ISNUMBER(outYear),MGP37+MGP42+#REF!+MGP59,"")</f>
        <v/>
      </c>
      <c r="MGQ62" s="87" t="str">
        <f>IF(ISNUMBER(outYear),MGQ37+MGQ42+#REF!+MGQ59,"")</f>
        <v/>
      </c>
      <c r="MGR62" s="87" t="str">
        <f>IF(ISNUMBER(outYear),MGR37+MGR42+#REF!+MGR59,"")</f>
        <v/>
      </c>
      <c r="MGS62" s="87" t="str">
        <f>IF(ISNUMBER(outYear),MGS37+MGS42+#REF!+MGS59,"")</f>
        <v/>
      </c>
      <c r="MGT62" s="87" t="str">
        <f>IF(ISNUMBER(outYear),MGT37+MGT42+#REF!+MGT59,"")</f>
        <v/>
      </c>
      <c r="MGU62" s="87" t="str">
        <f>IF(ISNUMBER(outYear),MGU37+MGU42+#REF!+MGU59,"")</f>
        <v/>
      </c>
      <c r="MGV62" s="87" t="str">
        <f>IF(ISNUMBER(outYear),MGV37+MGV42+#REF!+MGV59,"")</f>
        <v/>
      </c>
      <c r="MGW62" s="87" t="str">
        <f>IF(ISNUMBER(outYear),MGW37+MGW42+#REF!+MGW59,"")</f>
        <v/>
      </c>
      <c r="MGX62" s="87" t="str">
        <f>IF(ISNUMBER(outYear),MGX37+MGX42+#REF!+MGX59,"")</f>
        <v/>
      </c>
      <c r="MGY62" s="87" t="str">
        <f>IF(ISNUMBER(outYear),MGY37+MGY42+#REF!+MGY59,"")</f>
        <v/>
      </c>
      <c r="MGZ62" s="87" t="str">
        <f>IF(ISNUMBER(outYear),MGZ37+MGZ42+#REF!+MGZ59,"")</f>
        <v/>
      </c>
      <c r="MHA62" s="87" t="str">
        <f>IF(ISNUMBER(outYear),MHA37+MHA42+#REF!+MHA59,"")</f>
        <v/>
      </c>
      <c r="MHB62" s="87" t="str">
        <f>IF(ISNUMBER(outYear),MHB37+MHB42+#REF!+MHB59,"")</f>
        <v/>
      </c>
      <c r="MHC62" s="87" t="str">
        <f>IF(ISNUMBER(outYear),MHC37+MHC42+#REF!+MHC59,"")</f>
        <v/>
      </c>
      <c r="MHD62" s="87" t="str">
        <f>IF(ISNUMBER(outYear),MHD37+MHD42+#REF!+MHD59,"")</f>
        <v/>
      </c>
      <c r="MHE62" s="87" t="str">
        <f>IF(ISNUMBER(outYear),MHE37+MHE42+#REF!+MHE59,"")</f>
        <v/>
      </c>
      <c r="MHF62" s="87" t="str">
        <f>IF(ISNUMBER(outYear),MHF37+MHF42+#REF!+MHF59,"")</f>
        <v/>
      </c>
      <c r="MHG62" s="87" t="str">
        <f>IF(ISNUMBER(outYear),MHG37+MHG42+#REF!+MHG59,"")</f>
        <v/>
      </c>
      <c r="MHH62" s="87" t="str">
        <f>IF(ISNUMBER(outYear),MHH37+MHH42+#REF!+MHH59,"")</f>
        <v/>
      </c>
      <c r="MHI62" s="87" t="str">
        <f>IF(ISNUMBER(outYear),MHI37+MHI42+#REF!+MHI59,"")</f>
        <v/>
      </c>
      <c r="MHJ62" s="87" t="str">
        <f>IF(ISNUMBER(outYear),MHJ37+MHJ42+#REF!+MHJ59,"")</f>
        <v/>
      </c>
      <c r="MHK62" s="87" t="str">
        <f>IF(ISNUMBER(outYear),MHK37+MHK42+#REF!+MHK59,"")</f>
        <v/>
      </c>
      <c r="MHL62" s="87" t="str">
        <f>IF(ISNUMBER(outYear),MHL37+MHL42+#REF!+MHL59,"")</f>
        <v/>
      </c>
      <c r="MHM62" s="87" t="str">
        <f>IF(ISNUMBER(outYear),MHM37+MHM42+#REF!+MHM59,"")</f>
        <v/>
      </c>
      <c r="MHN62" s="87" t="str">
        <f>IF(ISNUMBER(outYear),MHN37+MHN42+#REF!+MHN59,"")</f>
        <v/>
      </c>
      <c r="MHO62" s="87" t="str">
        <f>IF(ISNUMBER(outYear),MHO37+MHO42+#REF!+MHO59,"")</f>
        <v/>
      </c>
      <c r="MHP62" s="87" t="str">
        <f>IF(ISNUMBER(outYear),MHP37+MHP42+#REF!+MHP59,"")</f>
        <v/>
      </c>
      <c r="MHQ62" s="87" t="str">
        <f>IF(ISNUMBER(outYear),MHQ37+MHQ42+#REF!+MHQ59,"")</f>
        <v/>
      </c>
      <c r="MHR62" s="87" t="str">
        <f>IF(ISNUMBER(outYear),MHR37+MHR42+#REF!+MHR59,"")</f>
        <v/>
      </c>
      <c r="MHS62" s="87" t="str">
        <f>IF(ISNUMBER(outYear),MHS37+MHS42+#REF!+MHS59,"")</f>
        <v/>
      </c>
      <c r="MHT62" s="87" t="str">
        <f>IF(ISNUMBER(outYear),MHT37+MHT42+#REF!+MHT59,"")</f>
        <v/>
      </c>
      <c r="MHU62" s="87" t="str">
        <f>IF(ISNUMBER(outYear),MHU37+MHU42+#REF!+MHU59,"")</f>
        <v/>
      </c>
      <c r="MHV62" s="87" t="str">
        <f>IF(ISNUMBER(outYear),MHV37+MHV42+#REF!+MHV59,"")</f>
        <v/>
      </c>
      <c r="MHW62" s="87" t="str">
        <f>IF(ISNUMBER(outYear),MHW37+MHW42+#REF!+MHW59,"")</f>
        <v/>
      </c>
      <c r="MHX62" s="87" t="str">
        <f>IF(ISNUMBER(outYear),MHX37+MHX42+#REF!+MHX59,"")</f>
        <v/>
      </c>
      <c r="MHY62" s="87" t="str">
        <f>IF(ISNUMBER(outYear),MHY37+MHY42+#REF!+MHY59,"")</f>
        <v/>
      </c>
      <c r="MHZ62" s="87" t="str">
        <f>IF(ISNUMBER(outYear),MHZ37+MHZ42+#REF!+MHZ59,"")</f>
        <v/>
      </c>
      <c r="MIA62" s="87" t="str">
        <f>IF(ISNUMBER(outYear),MIA37+MIA42+#REF!+MIA59,"")</f>
        <v/>
      </c>
      <c r="MIB62" s="87" t="str">
        <f>IF(ISNUMBER(outYear),MIB37+MIB42+#REF!+MIB59,"")</f>
        <v/>
      </c>
      <c r="MIC62" s="87" t="str">
        <f>IF(ISNUMBER(outYear),MIC37+MIC42+#REF!+MIC59,"")</f>
        <v/>
      </c>
      <c r="MID62" s="87" t="str">
        <f>IF(ISNUMBER(outYear),MID37+MID42+#REF!+MID59,"")</f>
        <v/>
      </c>
      <c r="MIE62" s="87" t="str">
        <f>IF(ISNUMBER(outYear),MIE37+MIE42+#REF!+MIE59,"")</f>
        <v/>
      </c>
      <c r="MIF62" s="87" t="str">
        <f>IF(ISNUMBER(outYear),MIF37+MIF42+#REF!+MIF59,"")</f>
        <v/>
      </c>
      <c r="MIG62" s="87" t="str">
        <f>IF(ISNUMBER(outYear),MIG37+MIG42+#REF!+MIG59,"")</f>
        <v/>
      </c>
      <c r="MIH62" s="87" t="str">
        <f>IF(ISNUMBER(outYear),MIH37+MIH42+#REF!+MIH59,"")</f>
        <v/>
      </c>
      <c r="MII62" s="87" t="str">
        <f>IF(ISNUMBER(outYear),MII37+MII42+#REF!+MII59,"")</f>
        <v/>
      </c>
      <c r="MIJ62" s="87" t="str">
        <f>IF(ISNUMBER(outYear),MIJ37+MIJ42+#REF!+MIJ59,"")</f>
        <v/>
      </c>
      <c r="MIK62" s="87" t="str">
        <f>IF(ISNUMBER(outYear),MIK37+MIK42+#REF!+MIK59,"")</f>
        <v/>
      </c>
      <c r="MIL62" s="87" t="str">
        <f>IF(ISNUMBER(outYear),MIL37+MIL42+#REF!+MIL59,"")</f>
        <v/>
      </c>
      <c r="MIM62" s="87" t="str">
        <f>IF(ISNUMBER(outYear),MIM37+MIM42+#REF!+MIM59,"")</f>
        <v/>
      </c>
      <c r="MIN62" s="87" t="str">
        <f>IF(ISNUMBER(outYear),MIN37+MIN42+#REF!+MIN59,"")</f>
        <v/>
      </c>
      <c r="MIO62" s="87" t="str">
        <f>IF(ISNUMBER(outYear),MIO37+MIO42+#REF!+MIO59,"")</f>
        <v/>
      </c>
      <c r="MIP62" s="87" t="str">
        <f>IF(ISNUMBER(outYear),MIP37+MIP42+#REF!+MIP59,"")</f>
        <v/>
      </c>
      <c r="MIQ62" s="87" t="str">
        <f>IF(ISNUMBER(outYear),MIQ37+MIQ42+#REF!+MIQ59,"")</f>
        <v/>
      </c>
      <c r="MIR62" s="87" t="str">
        <f>IF(ISNUMBER(outYear),MIR37+MIR42+#REF!+MIR59,"")</f>
        <v/>
      </c>
      <c r="MIS62" s="87" t="str">
        <f>IF(ISNUMBER(outYear),MIS37+MIS42+#REF!+MIS59,"")</f>
        <v/>
      </c>
      <c r="MIT62" s="87" t="str">
        <f>IF(ISNUMBER(outYear),MIT37+MIT42+#REF!+MIT59,"")</f>
        <v/>
      </c>
      <c r="MIU62" s="87" t="str">
        <f>IF(ISNUMBER(outYear),MIU37+MIU42+#REF!+MIU59,"")</f>
        <v/>
      </c>
      <c r="MIV62" s="87" t="str">
        <f>IF(ISNUMBER(outYear),MIV37+MIV42+#REF!+MIV59,"")</f>
        <v/>
      </c>
      <c r="MIW62" s="87" t="str">
        <f>IF(ISNUMBER(outYear),MIW37+MIW42+#REF!+MIW59,"")</f>
        <v/>
      </c>
      <c r="MIX62" s="87" t="str">
        <f>IF(ISNUMBER(outYear),MIX37+MIX42+#REF!+MIX59,"")</f>
        <v/>
      </c>
      <c r="MIY62" s="87" t="str">
        <f>IF(ISNUMBER(outYear),MIY37+MIY42+#REF!+MIY59,"")</f>
        <v/>
      </c>
      <c r="MIZ62" s="87" t="str">
        <f>IF(ISNUMBER(outYear),MIZ37+MIZ42+#REF!+MIZ59,"")</f>
        <v/>
      </c>
      <c r="MJA62" s="87" t="str">
        <f>IF(ISNUMBER(outYear),MJA37+MJA42+#REF!+MJA59,"")</f>
        <v/>
      </c>
      <c r="MJB62" s="87" t="str">
        <f>IF(ISNUMBER(outYear),MJB37+MJB42+#REF!+MJB59,"")</f>
        <v/>
      </c>
      <c r="MJC62" s="87" t="str">
        <f>IF(ISNUMBER(outYear),MJC37+MJC42+#REF!+MJC59,"")</f>
        <v/>
      </c>
      <c r="MJD62" s="87" t="str">
        <f>IF(ISNUMBER(outYear),MJD37+MJD42+#REF!+MJD59,"")</f>
        <v/>
      </c>
      <c r="MJE62" s="87" t="str">
        <f>IF(ISNUMBER(outYear),MJE37+MJE42+#REF!+MJE59,"")</f>
        <v/>
      </c>
      <c r="MJF62" s="87" t="str">
        <f>IF(ISNUMBER(outYear),MJF37+MJF42+#REF!+MJF59,"")</f>
        <v/>
      </c>
      <c r="MJG62" s="87" t="str">
        <f>IF(ISNUMBER(outYear),MJG37+MJG42+#REF!+MJG59,"")</f>
        <v/>
      </c>
      <c r="MJH62" s="87" t="str">
        <f>IF(ISNUMBER(outYear),MJH37+MJH42+#REF!+MJH59,"")</f>
        <v/>
      </c>
      <c r="MJI62" s="87" t="str">
        <f>IF(ISNUMBER(outYear),MJI37+MJI42+#REF!+MJI59,"")</f>
        <v/>
      </c>
      <c r="MJJ62" s="87" t="str">
        <f>IF(ISNUMBER(outYear),MJJ37+MJJ42+#REF!+MJJ59,"")</f>
        <v/>
      </c>
      <c r="MJK62" s="87" t="str">
        <f>IF(ISNUMBER(outYear),MJK37+MJK42+#REF!+MJK59,"")</f>
        <v/>
      </c>
      <c r="MJL62" s="87" t="str">
        <f>IF(ISNUMBER(outYear),MJL37+MJL42+#REF!+MJL59,"")</f>
        <v/>
      </c>
      <c r="MJM62" s="87" t="str">
        <f>IF(ISNUMBER(outYear),MJM37+MJM42+#REF!+MJM59,"")</f>
        <v/>
      </c>
      <c r="MJN62" s="87" t="str">
        <f>IF(ISNUMBER(outYear),MJN37+MJN42+#REF!+MJN59,"")</f>
        <v/>
      </c>
      <c r="MJO62" s="87" t="str">
        <f>IF(ISNUMBER(outYear),MJO37+MJO42+#REF!+MJO59,"")</f>
        <v/>
      </c>
      <c r="MJP62" s="87" t="str">
        <f>IF(ISNUMBER(outYear),MJP37+MJP42+#REF!+MJP59,"")</f>
        <v/>
      </c>
      <c r="MJQ62" s="87" t="str">
        <f>IF(ISNUMBER(outYear),MJQ37+MJQ42+#REF!+MJQ59,"")</f>
        <v/>
      </c>
      <c r="MJR62" s="87" t="str">
        <f>IF(ISNUMBER(outYear),MJR37+MJR42+#REF!+MJR59,"")</f>
        <v/>
      </c>
      <c r="MJS62" s="87" t="str">
        <f>IF(ISNUMBER(outYear),MJS37+MJS42+#REF!+MJS59,"")</f>
        <v/>
      </c>
      <c r="MJT62" s="87" t="str">
        <f>IF(ISNUMBER(outYear),MJT37+MJT42+#REF!+MJT59,"")</f>
        <v/>
      </c>
      <c r="MJU62" s="87" t="str">
        <f>IF(ISNUMBER(outYear),MJU37+MJU42+#REF!+MJU59,"")</f>
        <v/>
      </c>
      <c r="MJV62" s="87" t="str">
        <f>IF(ISNUMBER(outYear),MJV37+MJV42+#REF!+MJV59,"")</f>
        <v/>
      </c>
      <c r="MJW62" s="87" t="str">
        <f>IF(ISNUMBER(outYear),MJW37+MJW42+#REF!+MJW59,"")</f>
        <v/>
      </c>
      <c r="MJX62" s="87" t="str">
        <f>IF(ISNUMBER(outYear),MJX37+MJX42+#REF!+MJX59,"")</f>
        <v/>
      </c>
      <c r="MJY62" s="87" t="str">
        <f>IF(ISNUMBER(outYear),MJY37+MJY42+#REF!+MJY59,"")</f>
        <v/>
      </c>
      <c r="MJZ62" s="87" t="str">
        <f>IF(ISNUMBER(outYear),MJZ37+MJZ42+#REF!+MJZ59,"")</f>
        <v/>
      </c>
      <c r="MKA62" s="87" t="str">
        <f>IF(ISNUMBER(outYear),MKA37+MKA42+#REF!+MKA59,"")</f>
        <v/>
      </c>
      <c r="MKB62" s="87" t="str">
        <f>IF(ISNUMBER(outYear),MKB37+MKB42+#REF!+MKB59,"")</f>
        <v/>
      </c>
      <c r="MKC62" s="87" t="str">
        <f>IF(ISNUMBER(outYear),MKC37+MKC42+#REF!+MKC59,"")</f>
        <v/>
      </c>
      <c r="MKD62" s="87" t="str">
        <f>IF(ISNUMBER(outYear),MKD37+MKD42+#REF!+MKD59,"")</f>
        <v/>
      </c>
      <c r="MKE62" s="87" t="str">
        <f>IF(ISNUMBER(outYear),MKE37+MKE42+#REF!+MKE59,"")</f>
        <v/>
      </c>
      <c r="MKF62" s="87" t="str">
        <f>IF(ISNUMBER(outYear),MKF37+MKF42+#REF!+MKF59,"")</f>
        <v/>
      </c>
      <c r="MKG62" s="87" t="str">
        <f>IF(ISNUMBER(outYear),MKG37+MKG42+#REF!+MKG59,"")</f>
        <v/>
      </c>
      <c r="MKH62" s="87" t="str">
        <f>IF(ISNUMBER(outYear),MKH37+MKH42+#REF!+MKH59,"")</f>
        <v/>
      </c>
      <c r="MKI62" s="87" t="str">
        <f>IF(ISNUMBER(outYear),MKI37+MKI42+#REF!+MKI59,"")</f>
        <v/>
      </c>
      <c r="MKJ62" s="87" t="str">
        <f>IF(ISNUMBER(outYear),MKJ37+MKJ42+#REF!+MKJ59,"")</f>
        <v/>
      </c>
      <c r="MKK62" s="87" t="str">
        <f>IF(ISNUMBER(outYear),MKK37+MKK42+#REF!+MKK59,"")</f>
        <v/>
      </c>
      <c r="MKL62" s="87" t="str">
        <f>IF(ISNUMBER(outYear),MKL37+MKL42+#REF!+MKL59,"")</f>
        <v/>
      </c>
      <c r="MKM62" s="87" t="str">
        <f>IF(ISNUMBER(outYear),MKM37+MKM42+#REF!+MKM59,"")</f>
        <v/>
      </c>
      <c r="MKN62" s="87" t="str">
        <f>IF(ISNUMBER(outYear),MKN37+MKN42+#REF!+MKN59,"")</f>
        <v/>
      </c>
      <c r="MKO62" s="87" t="str">
        <f>IF(ISNUMBER(outYear),MKO37+MKO42+#REF!+MKO59,"")</f>
        <v/>
      </c>
      <c r="MKP62" s="87" t="str">
        <f>IF(ISNUMBER(outYear),MKP37+MKP42+#REF!+MKP59,"")</f>
        <v/>
      </c>
      <c r="MKQ62" s="87" t="str">
        <f>IF(ISNUMBER(outYear),MKQ37+MKQ42+#REF!+MKQ59,"")</f>
        <v/>
      </c>
      <c r="MKR62" s="87" t="str">
        <f>IF(ISNUMBER(outYear),MKR37+MKR42+#REF!+MKR59,"")</f>
        <v/>
      </c>
      <c r="MKS62" s="87" t="str">
        <f>IF(ISNUMBER(outYear),MKS37+MKS42+#REF!+MKS59,"")</f>
        <v/>
      </c>
      <c r="MKT62" s="87" t="str">
        <f>IF(ISNUMBER(outYear),MKT37+MKT42+#REF!+MKT59,"")</f>
        <v/>
      </c>
      <c r="MKU62" s="87" t="str">
        <f>IF(ISNUMBER(outYear),MKU37+MKU42+#REF!+MKU59,"")</f>
        <v/>
      </c>
      <c r="MKV62" s="87" t="str">
        <f>IF(ISNUMBER(outYear),MKV37+MKV42+#REF!+MKV59,"")</f>
        <v/>
      </c>
      <c r="MKW62" s="87" t="str">
        <f>IF(ISNUMBER(outYear),MKW37+MKW42+#REF!+MKW59,"")</f>
        <v/>
      </c>
      <c r="MKX62" s="87" t="str">
        <f>IF(ISNUMBER(outYear),MKX37+MKX42+#REF!+MKX59,"")</f>
        <v/>
      </c>
      <c r="MKY62" s="87" t="str">
        <f>IF(ISNUMBER(outYear),MKY37+MKY42+#REF!+MKY59,"")</f>
        <v/>
      </c>
      <c r="MKZ62" s="87" t="str">
        <f>IF(ISNUMBER(outYear),MKZ37+MKZ42+#REF!+MKZ59,"")</f>
        <v/>
      </c>
      <c r="MLA62" s="87" t="str">
        <f>IF(ISNUMBER(outYear),MLA37+MLA42+#REF!+MLA59,"")</f>
        <v/>
      </c>
      <c r="MLB62" s="87" t="str">
        <f>IF(ISNUMBER(outYear),MLB37+MLB42+#REF!+MLB59,"")</f>
        <v/>
      </c>
      <c r="MLC62" s="87" t="str">
        <f>IF(ISNUMBER(outYear),MLC37+MLC42+#REF!+MLC59,"")</f>
        <v/>
      </c>
      <c r="MLD62" s="87" t="str">
        <f>IF(ISNUMBER(outYear),MLD37+MLD42+#REF!+MLD59,"")</f>
        <v/>
      </c>
      <c r="MLE62" s="87" t="str">
        <f>IF(ISNUMBER(outYear),MLE37+MLE42+#REF!+MLE59,"")</f>
        <v/>
      </c>
      <c r="MLF62" s="87" t="str">
        <f>IF(ISNUMBER(outYear),MLF37+MLF42+#REF!+MLF59,"")</f>
        <v/>
      </c>
      <c r="MLG62" s="87" t="str">
        <f>IF(ISNUMBER(outYear),MLG37+MLG42+#REF!+MLG59,"")</f>
        <v/>
      </c>
      <c r="MLH62" s="87" t="str">
        <f>IF(ISNUMBER(outYear),MLH37+MLH42+#REF!+MLH59,"")</f>
        <v/>
      </c>
      <c r="MLI62" s="87" t="str">
        <f>IF(ISNUMBER(outYear),MLI37+MLI42+#REF!+MLI59,"")</f>
        <v/>
      </c>
      <c r="MLJ62" s="87" t="str">
        <f>IF(ISNUMBER(outYear),MLJ37+MLJ42+#REF!+MLJ59,"")</f>
        <v/>
      </c>
      <c r="MLK62" s="87" t="str">
        <f>IF(ISNUMBER(outYear),MLK37+MLK42+#REF!+MLK59,"")</f>
        <v/>
      </c>
      <c r="MLL62" s="87" t="str">
        <f>IF(ISNUMBER(outYear),MLL37+MLL42+#REF!+MLL59,"")</f>
        <v/>
      </c>
      <c r="MLM62" s="87" t="str">
        <f>IF(ISNUMBER(outYear),MLM37+MLM42+#REF!+MLM59,"")</f>
        <v/>
      </c>
      <c r="MLN62" s="87" t="str">
        <f>IF(ISNUMBER(outYear),MLN37+MLN42+#REF!+MLN59,"")</f>
        <v/>
      </c>
      <c r="MLO62" s="87" t="str">
        <f>IF(ISNUMBER(outYear),MLO37+MLO42+#REF!+MLO59,"")</f>
        <v/>
      </c>
      <c r="MLP62" s="87" t="str">
        <f>IF(ISNUMBER(outYear),MLP37+MLP42+#REF!+MLP59,"")</f>
        <v/>
      </c>
      <c r="MLQ62" s="87" t="str">
        <f>IF(ISNUMBER(outYear),MLQ37+MLQ42+#REF!+MLQ59,"")</f>
        <v/>
      </c>
      <c r="MLR62" s="87" t="str">
        <f>IF(ISNUMBER(outYear),MLR37+MLR42+#REF!+MLR59,"")</f>
        <v/>
      </c>
      <c r="MLS62" s="87" t="str">
        <f>IF(ISNUMBER(outYear),MLS37+MLS42+#REF!+MLS59,"")</f>
        <v/>
      </c>
      <c r="MLT62" s="87" t="str">
        <f>IF(ISNUMBER(outYear),MLT37+MLT42+#REF!+MLT59,"")</f>
        <v/>
      </c>
      <c r="MLU62" s="87" t="str">
        <f>IF(ISNUMBER(outYear),MLU37+MLU42+#REF!+MLU59,"")</f>
        <v/>
      </c>
      <c r="MLV62" s="87" t="str">
        <f>IF(ISNUMBER(outYear),MLV37+MLV42+#REF!+MLV59,"")</f>
        <v/>
      </c>
      <c r="MLW62" s="87" t="str">
        <f>IF(ISNUMBER(outYear),MLW37+MLW42+#REF!+MLW59,"")</f>
        <v/>
      </c>
      <c r="MLX62" s="87" t="str">
        <f>IF(ISNUMBER(outYear),MLX37+MLX42+#REF!+MLX59,"")</f>
        <v/>
      </c>
      <c r="MLY62" s="87" t="str">
        <f>IF(ISNUMBER(outYear),MLY37+MLY42+#REF!+MLY59,"")</f>
        <v/>
      </c>
      <c r="MLZ62" s="87" t="str">
        <f>IF(ISNUMBER(outYear),MLZ37+MLZ42+#REF!+MLZ59,"")</f>
        <v/>
      </c>
      <c r="MMA62" s="87" t="str">
        <f>IF(ISNUMBER(outYear),MMA37+MMA42+#REF!+MMA59,"")</f>
        <v/>
      </c>
      <c r="MMB62" s="87" t="str">
        <f>IF(ISNUMBER(outYear),MMB37+MMB42+#REF!+MMB59,"")</f>
        <v/>
      </c>
      <c r="MMC62" s="87" t="str">
        <f>IF(ISNUMBER(outYear),MMC37+MMC42+#REF!+MMC59,"")</f>
        <v/>
      </c>
      <c r="MMD62" s="87" t="str">
        <f>IF(ISNUMBER(outYear),MMD37+MMD42+#REF!+MMD59,"")</f>
        <v/>
      </c>
      <c r="MME62" s="87" t="str">
        <f>IF(ISNUMBER(outYear),MME37+MME42+#REF!+MME59,"")</f>
        <v/>
      </c>
      <c r="MMF62" s="87" t="str">
        <f>IF(ISNUMBER(outYear),MMF37+MMF42+#REF!+MMF59,"")</f>
        <v/>
      </c>
      <c r="MMG62" s="87" t="str">
        <f>IF(ISNUMBER(outYear),MMG37+MMG42+#REF!+MMG59,"")</f>
        <v/>
      </c>
      <c r="MMH62" s="87" t="str">
        <f>IF(ISNUMBER(outYear),MMH37+MMH42+#REF!+MMH59,"")</f>
        <v/>
      </c>
      <c r="MMI62" s="87" t="str">
        <f>IF(ISNUMBER(outYear),MMI37+MMI42+#REF!+MMI59,"")</f>
        <v/>
      </c>
      <c r="MMJ62" s="87" t="str">
        <f>IF(ISNUMBER(outYear),MMJ37+MMJ42+#REF!+MMJ59,"")</f>
        <v/>
      </c>
      <c r="MMK62" s="87" t="str">
        <f>IF(ISNUMBER(outYear),MMK37+MMK42+#REF!+MMK59,"")</f>
        <v/>
      </c>
      <c r="MML62" s="87" t="str">
        <f>IF(ISNUMBER(outYear),MML37+MML42+#REF!+MML59,"")</f>
        <v/>
      </c>
      <c r="MMM62" s="87" t="str">
        <f>IF(ISNUMBER(outYear),MMM37+MMM42+#REF!+MMM59,"")</f>
        <v/>
      </c>
      <c r="MMN62" s="87" t="str">
        <f>IF(ISNUMBER(outYear),MMN37+MMN42+#REF!+MMN59,"")</f>
        <v/>
      </c>
      <c r="MMO62" s="87" t="str">
        <f>IF(ISNUMBER(outYear),MMO37+MMO42+#REF!+MMO59,"")</f>
        <v/>
      </c>
      <c r="MMP62" s="87" t="str">
        <f>IF(ISNUMBER(outYear),MMP37+MMP42+#REF!+MMP59,"")</f>
        <v/>
      </c>
      <c r="MMQ62" s="87" t="str">
        <f>IF(ISNUMBER(outYear),MMQ37+MMQ42+#REF!+MMQ59,"")</f>
        <v/>
      </c>
      <c r="MMR62" s="87" t="str">
        <f>IF(ISNUMBER(outYear),MMR37+MMR42+#REF!+MMR59,"")</f>
        <v/>
      </c>
      <c r="MMS62" s="87" t="str">
        <f>IF(ISNUMBER(outYear),MMS37+MMS42+#REF!+MMS59,"")</f>
        <v/>
      </c>
      <c r="MMT62" s="87" t="str">
        <f>IF(ISNUMBER(outYear),MMT37+MMT42+#REF!+MMT59,"")</f>
        <v/>
      </c>
      <c r="MMU62" s="87" t="str">
        <f>IF(ISNUMBER(outYear),MMU37+MMU42+#REF!+MMU59,"")</f>
        <v/>
      </c>
      <c r="MMV62" s="87" t="str">
        <f>IF(ISNUMBER(outYear),MMV37+MMV42+#REF!+MMV59,"")</f>
        <v/>
      </c>
      <c r="MMW62" s="87" t="str">
        <f>IF(ISNUMBER(outYear),MMW37+MMW42+#REF!+MMW59,"")</f>
        <v/>
      </c>
      <c r="MMX62" s="87" t="str">
        <f>IF(ISNUMBER(outYear),MMX37+MMX42+#REF!+MMX59,"")</f>
        <v/>
      </c>
      <c r="MMY62" s="87" t="str">
        <f>IF(ISNUMBER(outYear),MMY37+MMY42+#REF!+MMY59,"")</f>
        <v/>
      </c>
      <c r="MMZ62" s="87" t="str">
        <f>IF(ISNUMBER(outYear),MMZ37+MMZ42+#REF!+MMZ59,"")</f>
        <v/>
      </c>
      <c r="MNA62" s="87" t="str">
        <f>IF(ISNUMBER(outYear),MNA37+MNA42+#REF!+MNA59,"")</f>
        <v/>
      </c>
      <c r="MNB62" s="87" t="str">
        <f>IF(ISNUMBER(outYear),MNB37+MNB42+#REF!+MNB59,"")</f>
        <v/>
      </c>
      <c r="MNC62" s="87" t="str">
        <f>IF(ISNUMBER(outYear),MNC37+MNC42+#REF!+MNC59,"")</f>
        <v/>
      </c>
      <c r="MND62" s="87" t="str">
        <f>IF(ISNUMBER(outYear),MND37+MND42+#REF!+MND59,"")</f>
        <v/>
      </c>
      <c r="MNE62" s="87" t="str">
        <f>IF(ISNUMBER(outYear),MNE37+MNE42+#REF!+MNE59,"")</f>
        <v/>
      </c>
      <c r="MNF62" s="87" t="str">
        <f>IF(ISNUMBER(outYear),MNF37+MNF42+#REF!+MNF59,"")</f>
        <v/>
      </c>
      <c r="MNG62" s="87" t="str">
        <f>IF(ISNUMBER(outYear),MNG37+MNG42+#REF!+MNG59,"")</f>
        <v/>
      </c>
      <c r="MNH62" s="87" t="str">
        <f>IF(ISNUMBER(outYear),MNH37+MNH42+#REF!+MNH59,"")</f>
        <v/>
      </c>
      <c r="MNI62" s="87" t="str">
        <f>IF(ISNUMBER(outYear),MNI37+MNI42+#REF!+MNI59,"")</f>
        <v/>
      </c>
      <c r="MNJ62" s="87" t="str">
        <f>IF(ISNUMBER(outYear),MNJ37+MNJ42+#REF!+MNJ59,"")</f>
        <v/>
      </c>
      <c r="MNK62" s="87" t="str">
        <f>IF(ISNUMBER(outYear),MNK37+MNK42+#REF!+MNK59,"")</f>
        <v/>
      </c>
      <c r="MNL62" s="87" t="str">
        <f>IF(ISNUMBER(outYear),MNL37+MNL42+#REF!+MNL59,"")</f>
        <v/>
      </c>
      <c r="MNM62" s="87" t="str">
        <f>IF(ISNUMBER(outYear),MNM37+MNM42+#REF!+MNM59,"")</f>
        <v/>
      </c>
      <c r="MNN62" s="87" t="str">
        <f>IF(ISNUMBER(outYear),MNN37+MNN42+#REF!+MNN59,"")</f>
        <v/>
      </c>
      <c r="MNO62" s="87" t="str">
        <f>IF(ISNUMBER(outYear),MNO37+MNO42+#REF!+MNO59,"")</f>
        <v/>
      </c>
      <c r="MNP62" s="87" t="str">
        <f>IF(ISNUMBER(outYear),MNP37+MNP42+#REF!+MNP59,"")</f>
        <v/>
      </c>
      <c r="MNQ62" s="87" t="str">
        <f>IF(ISNUMBER(outYear),MNQ37+MNQ42+#REF!+MNQ59,"")</f>
        <v/>
      </c>
      <c r="MNR62" s="87" t="str">
        <f>IF(ISNUMBER(outYear),MNR37+MNR42+#REF!+MNR59,"")</f>
        <v/>
      </c>
      <c r="MNS62" s="87" t="str">
        <f>IF(ISNUMBER(outYear),MNS37+MNS42+#REF!+MNS59,"")</f>
        <v/>
      </c>
      <c r="MNT62" s="87" t="str">
        <f>IF(ISNUMBER(outYear),MNT37+MNT42+#REF!+MNT59,"")</f>
        <v/>
      </c>
      <c r="MNU62" s="87" t="str">
        <f>IF(ISNUMBER(outYear),MNU37+MNU42+#REF!+MNU59,"")</f>
        <v/>
      </c>
      <c r="MNV62" s="87" t="str">
        <f>IF(ISNUMBER(outYear),MNV37+MNV42+#REF!+MNV59,"")</f>
        <v/>
      </c>
      <c r="MNW62" s="87" t="str">
        <f>IF(ISNUMBER(outYear),MNW37+MNW42+#REF!+MNW59,"")</f>
        <v/>
      </c>
      <c r="MNX62" s="87" t="str">
        <f>IF(ISNUMBER(outYear),MNX37+MNX42+#REF!+MNX59,"")</f>
        <v/>
      </c>
      <c r="MNY62" s="87" t="str">
        <f>IF(ISNUMBER(outYear),MNY37+MNY42+#REF!+MNY59,"")</f>
        <v/>
      </c>
      <c r="MNZ62" s="87" t="str">
        <f>IF(ISNUMBER(outYear),MNZ37+MNZ42+#REF!+MNZ59,"")</f>
        <v/>
      </c>
      <c r="MOA62" s="87" t="str">
        <f>IF(ISNUMBER(outYear),MOA37+MOA42+#REF!+MOA59,"")</f>
        <v/>
      </c>
      <c r="MOB62" s="87" t="str">
        <f>IF(ISNUMBER(outYear),MOB37+MOB42+#REF!+MOB59,"")</f>
        <v/>
      </c>
      <c r="MOC62" s="87" t="str">
        <f>IF(ISNUMBER(outYear),MOC37+MOC42+#REF!+MOC59,"")</f>
        <v/>
      </c>
      <c r="MOD62" s="87" t="str">
        <f>IF(ISNUMBER(outYear),MOD37+MOD42+#REF!+MOD59,"")</f>
        <v/>
      </c>
      <c r="MOE62" s="87" t="str">
        <f>IF(ISNUMBER(outYear),MOE37+MOE42+#REF!+MOE59,"")</f>
        <v/>
      </c>
      <c r="MOF62" s="87" t="str">
        <f>IF(ISNUMBER(outYear),MOF37+MOF42+#REF!+MOF59,"")</f>
        <v/>
      </c>
      <c r="MOG62" s="87" t="str">
        <f>IF(ISNUMBER(outYear),MOG37+MOG42+#REF!+MOG59,"")</f>
        <v/>
      </c>
      <c r="MOH62" s="87" t="str">
        <f>IF(ISNUMBER(outYear),MOH37+MOH42+#REF!+MOH59,"")</f>
        <v/>
      </c>
      <c r="MOI62" s="87" t="str">
        <f>IF(ISNUMBER(outYear),MOI37+MOI42+#REF!+MOI59,"")</f>
        <v/>
      </c>
      <c r="MOJ62" s="87" t="str">
        <f>IF(ISNUMBER(outYear),MOJ37+MOJ42+#REF!+MOJ59,"")</f>
        <v/>
      </c>
      <c r="MOK62" s="87" t="str">
        <f>IF(ISNUMBER(outYear),MOK37+MOK42+#REF!+MOK59,"")</f>
        <v/>
      </c>
      <c r="MOL62" s="87" t="str">
        <f>IF(ISNUMBER(outYear),MOL37+MOL42+#REF!+MOL59,"")</f>
        <v/>
      </c>
      <c r="MOM62" s="87" t="str">
        <f>IF(ISNUMBER(outYear),MOM37+MOM42+#REF!+MOM59,"")</f>
        <v/>
      </c>
      <c r="MON62" s="87" t="str">
        <f>IF(ISNUMBER(outYear),MON37+MON42+#REF!+MON59,"")</f>
        <v/>
      </c>
      <c r="MOO62" s="87" t="str">
        <f>IF(ISNUMBER(outYear),MOO37+MOO42+#REF!+MOO59,"")</f>
        <v/>
      </c>
      <c r="MOP62" s="87" t="str">
        <f>IF(ISNUMBER(outYear),MOP37+MOP42+#REF!+MOP59,"")</f>
        <v/>
      </c>
      <c r="MOQ62" s="87" t="str">
        <f>IF(ISNUMBER(outYear),MOQ37+MOQ42+#REF!+MOQ59,"")</f>
        <v/>
      </c>
      <c r="MOR62" s="87" t="str">
        <f>IF(ISNUMBER(outYear),MOR37+MOR42+#REF!+MOR59,"")</f>
        <v/>
      </c>
      <c r="MOS62" s="87" t="str">
        <f>IF(ISNUMBER(outYear),MOS37+MOS42+#REF!+MOS59,"")</f>
        <v/>
      </c>
      <c r="MOT62" s="87" t="str">
        <f>IF(ISNUMBER(outYear),MOT37+MOT42+#REF!+MOT59,"")</f>
        <v/>
      </c>
      <c r="MOU62" s="87" t="str">
        <f>IF(ISNUMBER(outYear),MOU37+MOU42+#REF!+MOU59,"")</f>
        <v/>
      </c>
      <c r="MOV62" s="87" t="str">
        <f>IF(ISNUMBER(outYear),MOV37+MOV42+#REF!+MOV59,"")</f>
        <v/>
      </c>
      <c r="MOW62" s="87" t="str">
        <f>IF(ISNUMBER(outYear),MOW37+MOW42+#REF!+MOW59,"")</f>
        <v/>
      </c>
      <c r="MOX62" s="87" t="str">
        <f>IF(ISNUMBER(outYear),MOX37+MOX42+#REF!+MOX59,"")</f>
        <v/>
      </c>
      <c r="MOY62" s="87" t="str">
        <f>IF(ISNUMBER(outYear),MOY37+MOY42+#REF!+MOY59,"")</f>
        <v/>
      </c>
      <c r="MOZ62" s="87" t="str">
        <f>IF(ISNUMBER(outYear),MOZ37+MOZ42+#REF!+MOZ59,"")</f>
        <v/>
      </c>
      <c r="MPA62" s="87" t="str">
        <f>IF(ISNUMBER(outYear),MPA37+MPA42+#REF!+MPA59,"")</f>
        <v/>
      </c>
      <c r="MPB62" s="87" t="str">
        <f>IF(ISNUMBER(outYear),MPB37+MPB42+#REF!+MPB59,"")</f>
        <v/>
      </c>
      <c r="MPC62" s="87" t="str">
        <f>IF(ISNUMBER(outYear),MPC37+MPC42+#REF!+MPC59,"")</f>
        <v/>
      </c>
      <c r="MPD62" s="87" t="str">
        <f>IF(ISNUMBER(outYear),MPD37+MPD42+#REF!+MPD59,"")</f>
        <v/>
      </c>
      <c r="MPE62" s="87" t="str">
        <f>IF(ISNUMBER(outYear),MPE37+MPE42+#REF!+MPE59,"")</f>
        <v/>
      </c>
      <c r="MPF62" s="87" t="str">
        <f>IF(ISNUMBER(outYear),MPF37+MPF42+#REF!+MPF59,"")</f>
        <v/>
      </c>
      <c r="MPG62" s="87" t="str">
        <f>IF(ISNUMBER(outYear),MPG37+MPG42+#REF!+MPG59,"")</f>
        <v/>
      </c>
      <c r="MPH62" s="87" t="str">
        <f>IF(ISNUMBER(outYear),MPH37+MPH42+#REF!+MPH59,"")</f>
        <v/>
      </c>
      <c r="MPI62" s="87" t="str">
        <f>IF(ISNUMBER(outYear),MPI37+MPI42+#REF!+MPI59,"")</f>
        <v/>
      </c>
      <c r="MPJ62" s="87" t="str">
        <f>IF(ISNUMBER(outYear),MPJ37+MPJ42+#REF!+MPJ59,"")</f>
        <v/>
      </c>
      <c r="MPK62" s="87" t="str">
        <f>IF(ISNUMBER(outYear),MPK37+MPK42+#REF!+MPK59,"")</f>
        <v/>
      </c>
      <c r="MPL62" s="87" t="str">
        <f>IF(ISNUMBER(outYear),MPL37+MPL42+#REF!+MPL59,"")</f>
        <v/>
      </c>
      <c r="MPM62" s="87" t="str">
        <f>IF(ISNUMBER(outYear),MPM37+MPM42+#REF!+MPM59,"")</f>
        <v/>
      </c>
      <c r="MPN62" s="87" t="str">
        <f>IF(ISNUMBER(outYear),MPN37+MPN42+#REF!+MPN59,"")</f>
        <v/>
      </c>
      <c r="MPO62" s="87" t="str">
        <f>IF(ISNUMBER(outYear),MPO37+MPO42+#REF!+MPO59,"")</f>
        <v/>
      </c>
      <c r="MPP62" s="87" t="str">
        <f>IF(ISNUMBER(outYear),MPP37+MPP42+#REF!+MPP59,"")</f>
        <v/>
      </c>
      <c r="MPQ62" s="87" t="str">
        <f>IF(ISNUMBER(outYear),MPQ37+MPQ42+#REF!+MPQ59,"")</f>
        <v/>
      </c>
      <c r="MPR62" s="87" t="str">
        <f>IF(ISNUMBER(outYear),MPR37+MPR42+#REF!+MPR59,"")</f>
        <v/>
      </c>
      <c r="MPS62" s="87" t="str">
        <f>IF(ISNUMBER(outYear),MPS37+MPS42+#REF!+MPS59,"")</f>
        <v/>
      </c>
      <c r="MPT62" s="87" t="str">
        <f>IF(ISNUMBER(outYear),MPT37+MPT42+#REF!+MPT59,"")</f>
        <v/>
      </c>
      <c r="MPU62" s="87" t="str">
        <f>IF(ISNUMBER(outYear),MPU37+MPU42+#REF!+MPU59,"")</f>
        <v/>
      </c>
      <c r="MPV62" s="87" t="str">
        <f>IF(ISNUMBER(outYear),MPV37+MPV42+#REF!+MPV59,"")</f>
        <v/>
      </c>
      <c r="MPW62" s="87" t="str">
        <f>IF(ISNUMBER(outYear),MPW37+MPW42+#REF!+MPW59,"")</f>
        <v/>
      </c>
      <c r="MPX62" s="87" t="str">
        <f>IF(ISNUMBER(outYear),MPX37+MPX42+#REF!+MPX59,"")</f>
        <v/>
      </c>
      <c r="MPY62" s="87" t="str">
        <f>IF(ISNUMBER(outYear),MPY37+MPY42+#REF!+MPY59,"")</f>
        <v/>
      </c>
      <c r="MPZ62" s="87" t="str">
        <f>IF(ISNUMBER(outYear),MPZ37+MPZ42+#REF!+MPZ59,"")</f>
        <v/>
      </c>
      <c r="MQA62" s="87" t="str">
        <f>IF(ISNUMBER(outYear),MQA37+MQA42+#REF!+MQA59,"")</f>
        <v/>
      </c>
      <c r="MQB62" s="87" t="str">
        <f>IF(ISNUMBER(outYear),MQB37+MQB42+#REF!+MQB59,"")</f>
        <v/>
      </c>
      <c r="MQC62" s="87" t="str">
        <f>IF(ISNUMBER(outYear),MQC37+MQC42+#REF!+MQC59,"")</f>
        <v/>
      </c>
      <c r="MQD62" s="87" t="str">
        <f>IF(ISNUMBER(outYear),MQD37+MQD42+#REF!+MQD59,"")</f>
        <v/>
      </c>
      <c r="MQE62" s="87" t="str">
        <f>IF(ISNUMBER(outYear),MQE37+MQE42+#REF!+MQE59,"")</f>
        <v/>
      </c>
      <c r="MQF62" s="87" t="str">
        <f>IF(ISNUMBER(outYear),MQF37+MQF42+#REF!+MQF59,"")</f>
        <v/>
      </c>
      <c r="MQG62" s="87" t="str">
        <f>IF(ISNUMBER(outYear),MQG37+MQG42+#REF!+MQG59,"")</f>
        <v/>
      </c>
      <c r="MQH62" s="87" t="str">
        <f>IF(ISNUMBER(outYear),MQH37+MQH42+#REF!+MQH59,"")</f>
        <v/>
      </c>
      <c r="MQI62" s="87" t="str">
        <f>IF(ISNUMBER(outYear),MQI37+MQI42+#REF!+MQI59,"")</f>
        <v/>
      </c>
      <c r="MQJ62" s="87" t="str">
        <f>IF(ISNUMBER(outYear),MQJ37+MQJ42+#REF!+MQJ59,"")</f>
        <v/>
      </c>
      <c r="MQK62" s="87" t="str">
        <f>IF(ISNUMBER(outYear),MQK37+MQK42+#REF!+MQK59,"")</f>
        <v/>
      </c>
      <c r="MQL62" s="87" t="str">
        <f>IF(ISNUMBER(outYear),MQL37+MQL42+#REF!+MQL59,"")</f>
        <v/>
      </c>
      <c r="MQM62" s="87" t="str">
        <f>IF(ISNUMBER(outYear),MQM37+MQM42+#REF!+MQM59,"")</f>
        <v/>
      </c>
      <c r="MQN62" s="87" t="str">
        <f>IF(ISNUMBER(outYear),MQN37+MQN42+#REF!+MQN59,"")</f>
        <v/>
      </c>
      <c r="MQO62" s="87" t="str">
        <f>IF(ISNUMBER(outYear),MQO37+MQO42+#REF!+MQO59,"")</f>
        <v/>
      </c>
      <c r="MQP62" s="87" t="str">
        <f>IF(ISNUMBER(outYear),MQP37+MQP42+#REF!+MQP59,"")</f>
        <v/>
      </c>
      <c r="MQQ62" s="87" t="str">
        <f>IF(ISNUMBER(outYear),MQQ37+MQQ42+#REF!+MQQ59,"")</f>
        <v/>
      </c>
      <c r="MQR62" s="87" t="str">
        <f>IF(ISNUMBER(outYear),MQR37+MQR42+#REF!+MQR59,"")</f>
        <v/>
      </c>
      <c r="MQS62" s="87" t="str">
        <f>IF(ISNUMBER(outYear),MQS37+MQS42+#REF!+MQS59,"")</f>
        <v/>
      </c>
      <c r="MQT62" s="87" t="str">
        <f>IF(ISNUMBER(outYear),MQT37+MQT42+#REF!+MQT59,"")</f>
        <v/>
      </c>
      <c r="MQU62" s="87" t="str">
        <f>IF(ISNUMBER(outYear),MQU37+MQU42+#REF!+MQU59,"")</f>
        <v/>
      </c>
      <c r="MQV62" s="87" t="str">
        <f>IF(ISNUMBER(outYear),MQV37+MQV42+#REF!+MQV59,"")</f>
        <v/>
      </c>
      <c r="MQW62" s="87" t="str">
        <f>IF(ISNUMBER(outYear),MQW37+MQW42+#REF!+MQW59,"")</f>
        <v/>
      </c>
      <c r="MQX62" s="87" t="str">
        <f>IF(ISNUMBER(outYear),MQX37+MQX42+#REF!+MQX59,"")</f>
        <v/>
      </c>
      <c r="MQY62" s="87" t="str">
        <f>IF(ISNUMBER(outYear),MQY37+MQY42+#REF!+MQY59,"")</f>
        <v/>
      </c>
      <c r="MQZ62" s="87" t="str">
        <f>IF(ISNUMBER(outYear),MQZ37+MQZ42+#REF!+MQZ59,"")</f>
        <v/>
      </c>
      <c r="MRA62" s="87" t="str">
        <f>IF(ISNUMBER(outYear),MRA37+MRA42+#REF!+MRA59,"")</f>
        <v/>
      </c>
      <c r="MRB62" s="87" t="str">
        <f>IF(ISNUMBER(outYear),MRB37+MRB42+#REF!+MRB59,"")</f>
        <v/>
      </c>
      <c r="MRC62" s="87" t="str">
        <f>IF(ISNUMBER(outYear),MRC37+MRC42+#REF!+MRC59,"")</f>
        <v/>
      </c>
      <c r="MRD62" s="87" t="str">
        <f>IF(ISNUMBER(outYear),MRD37+MRD42+#REF!+MRD59,"")</f>
        <v/>
      </c>
      <c r="MRE62" s="87" t="str">
        <f>IF(ISNUMBER(outYear),MRE37+MRE42+#REF!+MRE59,"")</f>
        <v/>
      </c>
      <c r="MRF62" s="87" t="str">
        <f>IF(ISNUMBER(outYear),MRF37+MRF42+#REF!+MRF59,"")</f>
        <v/>
      </c>
      <c r="MRG62" s="87" t="str">
        <f>IF(ISNUMBER(outYear),MRG37+MRG42+#REF!+MRG59,"")</f>
        <v/>
      </c>
      <c r="MRH62" s="87" t="str">
        <f>IF(ISNUMBER(outYear),MRH37+MRH42+#REF!+MRH59,"")</f>
        <v/>
      </c>
      <c r="MRI62" s="87" t="str">
        <f>IF(ISNUMBER(outYear),MRI37+MRI42+#REF!+MRI59,"")</f>
        <v/>
      </c>
      <c r="MRJ62" s="87" t="str">
        <f>IF(ISNUMBER(outYear),MRJ37+MRJ42+#REF!+MRJ59,"")</f>
        <v/>
      </c>
      <c r="MRK62" s="87" t="str">
        <f>IF(ISNUMBER(outYear),MRK37+MRK42+#REF!+MRK59,"")</f>
        <v/>
      </c>
      <c r="MRL62" s="87" t="str">
        <f>IF(ISNUMBER(outYear),MRL37+MRL42+#REF!+MRL59,"")</f>
        <v/>
      </c>
      <c r="MRM62" s="87" t="str">
        <f>IF(ISNUMBER(outYear),MRM37+MRM42+#REF!+MRM59,"")</f>
        <v/>
      </c>
      <c r="MRN62" s="87" t="str">
        <f>IF(ISNUMBER(outYear),MRN37+MRN42+#REF!+MRN59,"")</f>
        <v/>
      </c>
      <c r="MRO62" s="87" t="str">
        <f>IF(ISNUMBER(outYear),MRO37+MRO42+#REF!+MRO59,"")</f>
        <v/>
      </c>
      <c r="MRP62" s="87" t="str">
        <f>IF(ISNUMBER(outYear),MRP37+MRP42+#REF!+MRP59,"")</f>
        <v/>
      </c>
      <c r="MRQ62" s="87" t="str">
        <f>IF(ISNUMBER(outYear),MRQ37+MRQ42+#REF!+MRQ59,"")</f>
        <v/>
      </c>
      <c r="MRR62" s="87" t="str">
        <f>IF(ISNUMBER(outYear),MRR37+MRR42+#REF!+MRR59,"")</f>
        <v/>
      </c>
      <c r="MRS62" s="87" t="str">
        <f>IF(ISNUMBER(outYear),MRS37+MRS42+#REF!+MRS59,"")</f>
        <v/>
      </c>
      <c r="MRT62" s="87" t="str">
        <f>IF(ISNUMBER(outYear),MRT37+MRT42+#REF!+MRT59,"")</f>
        <v/>
      </c>
      <c r="MRU62" s="87" t="str">
        <f>IF(ISNUMBER(outYear),MRU37+MRU42+#REF!+MRU59,"")</f>
        <v/>
      </c>
      <c r="MRV62" s="87" t="str">
        <f>IF(ISNUMBER(outYear),MRV37+MRV42+#REF!+MRV59,"")</f>
        <v/>
      </c>
      <c r="MRW62" s="87" t="str">
        <f>IF(ISNUMBER(outYear),MRW37+MRW42+#REF!+MRW59,"")</f>
        <v/>
      </c>
      <c r="MRX62" s="87" t="str">
        <f>IF(ISNUMBER(outYear),MRX37+MRX42+#REF!+MRX59,"")</f>
        <v/>
      </c>
      <c r="MRY62" s="87" t="str">
        <f>IF(ISNUMBER(outYear),MRY37+MRY42+#REF!+MRY59,"")</f>
        <v/>
      </c>
      <c r="MRZ62" s="87" t="str">
        <f>IF(ISNUMBER(outYear),MRZ37+MRZ42+#REF!+MRZ59,"")</f>
        <v/>
      </c>
      <c r="MSA62" s="87" t="str">
        <f>IF(ISNUMBER(outYear),MSA37+MSA42+#REF!+MSA59,"")</f>
        <v/>
      </c>
      <c r="MSB62" s="87" t="str">
        <f>IF(ISNUMBER(outYear),MSB37+MSB42+#REF!+MSB59,"")</f>
        <v/>
      </c>
      <c r="MSC62" s="87" t="str">
        <f>IF(ISNUMBER(outYear),MSC37+MSC42+#REF!+MSC59,"")</f>
        <v/>
      </c>
      <c r="MSD62" s="87" t="str">
        <f>IF(ISNUMBER(outYear),MSD37+MSD42+#REF!+MSD59,"")</f>
        <v/>
      </c>
      <c r="MSE62" s="87" t="str">
        <f>IF(ISNUMBER(outYear),MSE37+MSE42+#REF!+MSE59,"")</f>
        <v/>
      </c>
      <c r="MSF62" s="87" t="str">
        <f>IF(ISNUMBER(outYear),MSF37+MSF42+#REF!+MSF59,"")</f>
        <v/>
      </c>
      <c r="MSG62" s="87" t="str">
        <f>IF(ISNUMBER(outYear),MSG37+MSG42+#REF!+MSG59,"")</f>
        <v/>
      </c>
      <c r="MSH62" s="87" t="str">
        <f>IF(ISNUMBER(outYear),MSH37+MSH42+#REF!+MSH59,"")</f>
        <v/>
      </c>
      <c r="MSI62" s="87" t="str">
        <f>IF(ISNUMBER(outYear),MSI37+MSI42+#REF!+MSI59,"")</f>
        <v/>
      </c>
      <c r="MSJ62" s="87" t="str">
        <f>IF(ISNUMBER(outYear),MSJ37+MSJ42+#REF!+MSJ59,"")</f>
        <v/>
      </c>
      <c r="MSK62" s="87" t="str">
        <f>IF(ISNUMBER(outYear),MSK37+MSK42+#REF!+MSK59,"")</f>
        <v/>
      </c>
      <c r="MSL62" s="87" t="str">
        <f>IF(ISNUMBER(outYear),MSL37+MSL42+#REF!+MSL59,"")</f>
        <v/>
      </c>
      <c r="MSM62" s="87" t="str">
        <f>IF(ISNUMBER(outYear),MSM37+MSM42+#REF!+MSM59,"")</f>
        <v/>
      </c>
      <c r="MSN62" s="87" t="str">
        <f>IF(ISNUMBER(outYear),MSN37+MSN42+#REF!+MSN59,"")</f>
        <v/>
      </c>
      <c r="MSO62" s="87" t="str">
        <f>IF(ISNUMBER(outYear),MSO37+MSO42+#REF!+MSO59,"")</f>
        <v/>
      </c>
      <c r="MSP62" s="87" t="str">
        <f>IF(ISNUMBER(outYear),MSP37+MSP42+#REF!+MSP59,"")</f>
        <v/>
      </c>
      <c r="MSQ62" s="87" t="str">
        <f>IF(ISNUMBER(outYear),MSQ37+MSQ42+#REF!+MSQ59,"")</f>
        <v/>
      </c>
      <c r="MSR62" s="87" t="str">
        <f>IF(ISNUMBER(outYear),MSR37+MSR42+#REF!+MSR59,"")</f>
        <v/>
      </c>
      <c r="MSS62" s="87" t="str">
        <f>IF(ISNUMBER(outYear),MSS37+MSS42+#REF!+MSS59,"")</f>
        <v/>
      </c>
      <c r="MST62" s="87" t="str">
        <f>IF(ISNUMBER(outYear),MST37+MST42+#REF!+MST59,"")</f>
        <v/>
      </c>
      <c r="MSU62" s="87" t="str">
        <f>IF(ISNUMBER(outYear),MSU37+MSU42+#REF!+MSU59,"")</f>
        <v/>
      </c>
      <c r="MSV62" s="87" t="str">
        <f>IF(ISNUMBER(outYear),MSV37+MSV42+#REF!+MSV59,"")</f>
        <v/>
      </c>
      <c r="MSW62" s="87" t="str">
        <f>IF(ISNUMBER(outYear),MSW37+MSW42+#REF!+MSW59,"")</f>
        <v/>
      </c>
      <c r="MSX62" s="87" t="str">
        <f>IF(ISNUMBER(outYear),MSX37+MSX42+#REF!+MSX59,"")</f>
        <v/>
      </c>
      <c r="MSY62" s="87" t="str">
        <f>IF(ISNUMBER(outYear),MSY37+MSY42+#REF!+MSY59,"")</f>
        <v/>
      </c>
      <c r="MSZ62" s="87" t="str">
        <f>IF(ISNUMBER(outYear),MSZ37+MSZ42+#REF!+MSZ59,"")</f>
        <v/>
      </c>
      <c r="MTA62" s="87" t="str">
        <f>IF(ISNUMBER(outYear),MTA37+MTA42+#REF!+MTA59,"")</f>
        <v/>
      </c>
      <c r="MTB62" s="87" t="str">
        <f>IF(ISNUMBER(outYear),MTB37+MTB42+#REF!+MTB59,"")</f>
        <v/>
      </c>
      <c r="MTC62" s="87" t="str">
        <f>IF(ISNUMBER(outYear),MTC37+MTC42+#REF!+MTC59,"")</f>
        <v/>
      </c>
      <c r="MTD62" s="87" t="str">
        <f>IF(ISNUMBER(outYear),MTD37+MTD42+#REF!+MTD59,"")</f>
        <v/>
      </c>
      <c r="MTE62" s="87" t="str">
        <f>IF(ISNUMBER(outYear),MTE37+MTE42+#REF!+MTE59,"")</f>
        <v/>
      </c>
      <c r="MTF62" s="87" t="str">
        <f>IF(ISNUMBER(outYear),MTF37+MTF42+#REF!+MTF59,"")</f>
        <v/>
      </c>
      <c r="MTG62" s="87" t="str">
        <f>IF(ISNUMBER(outYear),MTG37+MTG42+#REF!+MTG59,"")</f>
        <v/>
      </c>
      <c r="MTH62" s="87" t="str">
        <f>IF(ISNUMBER(outYear),MTH37+MTH42+#REF!+MTH59,"")</f>
        <v/>
      </c>
      <c r="MTI62" s="87" t="str">
        <f>IF(ISNUMBER(outYear),MTI37+MTI42+#REF!+MTI59,"")</f>
        <v/>
      </c>
      <c r="MTJ62" s="87" t="str">
        <f>IF(ISNUMBER(outYear),MTJ37+MTJ42+#REF!+MTJ59,"")</f>
        <v/>
      </c>
      <c r="MTK62" s="87" t="str">
        <f>IF(ISNUMBER(outYear),MTK37+MTK42+#REF!+MTK59,"")</f>
        <v/>
      </c>
      <c r="MTL62" s="87" t="str">
        <f>IF(ISNUMBER(outYear),MTL37+MTL42+#REF!+MTL59,"")</f>
        <v/>
      </c>
      <c r="MTM62" s="87" t="str">
        <f>IF(ISNUMBER(outYear),MTM37+MTM42+#REF!+MTM59,"")</f>
        <v/>
      </c>
      <c r="MTN62" s="87" t="str">
        <f>IF(ISNUMBER(outYear),MTN37+MTN42+#REF!+MTN59,"")</f>
        <v/>
      </c>
      <c r="MTO62" s="87" t="str">
        <f>IF(ISNUMBER(outYear),MTO37+MTO42+#REF!+MTO59,"")</f>
        <v/>
      </c>
      <c r="MTP62" s="87" t="str">
        <f>IF(ISNUMBER(outYear),MTP37+MTP42+#REF!+MTP59,"")</f>
        <v/>
      </c>
      <c r="MTQ62" s="87" t="str">
        <f>IF(ISNUMBER(outYear),MTQ37+MTQ42+#REF!+MTQ59,"")</f>
        <v/>
      </c>
      <c r="MTR62" s="87" t="str">
        <f>IF(ISNUMBER(outYear),MTR37+MTR42+#REF!+MTR59,"")</f>
        <v/>
      </c>
      <c r="MTS62" s="87" t="str">
        <f>IF(ISNUMBER(outYear),MTS37+MTS42+#REF!+MTS59,"")</f>
        <v/>
      </c>
      <c r="MTT62" s="87" t="str">
        <f>IF(ISNUMBER(outYear),MTT37+MTT42+#REF!+MTT59,"")</f>
        <v/>
      </c>
      <c r="MTU62" s="87" t="str">
        <f>IF(ISNUMBER(outYear),MTU37+MTU42+#REF!+MTU59,"")</f>
        <v/>
      </c>
      <c r="MTV62" s="87" t="str">
        <f>IF(ISNUMBER(outYear),MTV37+MTV42+#REF!+MTV59,"")</f>
        <v/>
      </c>
      <c r="MTW62" s="87" t="str">
        <f>IF(ISNUMBER(outYear),MTW37+MTW42+#REF!+MTW59,"")</f>
        <v/>
      </c>
      <c r="MTX62" s="87" t="str">
        <f>IF(ISNUMBER(outYear),MTX37+MTX42+#REF!+MTX59,"")</f>
        <v/>
      </c>
      <c r="MTY62" s="87" t="str">
        <f>IF(ISNUMBER(outYear),MTY37+MTY42+#REF!+MTY59,"")</f>
        <v/>
      </c>
      <c r="MTZ62" s="87" t="str">
        <f>IF(ISNUMBER(outYear),MTZ37+MTZ42+#REF!+MTZ59,"")</f>
        <v/>
      </c>
      <c r="MUA62" s="87" t="str">
        <f>IF(ISNUMBER(outYear),MUA37+MUA42+#REF!+MUA59,"")</f>
        <v/>
      </c>
      <c r="MUB62" s="87" t="str">
        <f>IF(ISNUMBER(outYear),MUB37+MUB42+#REF!+MUB59,"")</f>
        <v/>
      </c>
      <c r="MUC62" s="87" t="str">
        <f>IF(ISNUMBER(outYear),MUC37+MUC42+#REF!+MUC59,"")</f>
        <v/>
      </c>
      <c r="MUD62" s="87" t="str">
        <f>IF(ISNUMBER(outYear),MUD37+MUD42+#REF!+MUD59,"")</f>
        <v/>
      </c>
      <c r="MUE62" s="87" t="str">
        <f>IF(ISNUMBER(outYear),MUE37+MUE42+#REF!+MUE59,"")</f>
        <v/>
      </c>
      <c r="MUF62" s="87" t="str">
        <f>IF(ISNUMBER(outYear),MUF37+MUF42+#REF!+MUF59,"")</f>
        <v/>
      </c>
      <c r="MUG62" s="87" t="str">
        <f>IF(ISNUMBER(outYear),MUG37+MUG42+#REF!+MUG59,"")</f>
        <v/>
      </c>
      <c r="MUH62" s="87" t="str">
        <f>IF(ISNUMBER(outYear),MUH37+MUH42+#REF!+MUH59,"")</f>
        <v/>
      </c>
      <c r="MUI62" s="87" t="str">
        <f>IF(ISNUMBER(outYear),MUI37+MUI42+#REF!+MUI59,"")</f>
        <v/>
      </c>
      <c r="MUJ62" s="87" t="str">
        <f>IF(ISNUMBER(outYear),MUJ37+MUJ42+#REF!+MUJ59,"")</f>
        <v/>
      </c>
      <c r="MUK62" s="87" t="str">
        <f>IF(ISNUMBER(outYear),MUK37+MUK42+#REF!+MUK59,"")</f>
        <v/>
      </c>
      <c r="MUL62" s="87" t="str">
        <f>IF(ISNUMBER(outYear),MUL37+MUL42+#REF!+MUL59,"")</f>
        <v/>
      </c>
      <c r="MUM62" s="87" t="str">
        <f>IF(ISNUMBER(outYear),MUM37+MUM42+#REF!+MUM59,"")</f>
        <v/>
      </c>
      <c r="MUN62" s="87" t="str">
        <f>IF(ISNUMBER(outYear),MUN37+MUN42+#REF!+MUN59,"")</f>
        <v/>
      </c>
      <c r="MUO62" s="87" t="str">
        <f>IF(ISNUMBER(outYear),MUO37+MUO42+#REF!+MUO59,"")</f>
        <v/>
      </c>
      <c r="MUP62" s="87" t="str">
        <f>IF(ISNUMBER(outYear),MUP37+MUP42+#REF!+MUP59,"")</f>
        <v/>
      </c>
      <c r="MUQ62" s="87" t="str">
        <f>IF(ISNUMBER(outYear),MUQ37+MUQ42+#REF!+MUQ59,"")</f>
        <v/>
      </c>
      <c r="MUR62" s="87" t="str">
        <f>IF(ISNUMBER(outYear),MUR37+MUR42+#REF!+MUR59,"")</f>
        <v/>
      </c>
      <c r="MUS62" s="87" t="str">
        <f>IF(ISNUMBER(outYear),MUS37+MUS42+#REF!+MUS59,"")</f>
        <v/>
      </c>
      <c r="MUT62" s="87" t="str">
        <f>IF(ISNUMBER(outYear),MUT37+MUT42+#REF!+MUT59,"")</f>
        <v/>
      </c>
      <c r="MUU62" s="87" t="str">
        <f>IF(ISNUMBER(outYear),MUU37+MUU42+#REF!+MUU59,"")</f>
        <v/>
      </c>
      <c r="MUV62" s="87" t="str">
        <f>IF(ISNUMBER(outYear),MUV37+MUV42+#REF!+MUV59,"")</f>
        <v/>
      </c>
      <c r="MUW62" s="87" t="str">
        <f>IF(ISNUMBER(outYear),MUW37+MUW42+#REF!+MUW59,"")</f>
        <v/>
      </c>
      <c r="MUX62" s="87" t="str">
        <f>IF(ISNUMBER(outYear),MUX37+MUX42+#REF!+MUX59,"")</f>
        <v/>
      </c>
      <c r="MUY62" s="87" t="str">
        <f>IF(ISNUMBER(outYear),MUY37+MUY42+#REF!+MUY59,"")</f>
        <v/>
      </c>
      <c r="MUZ62" s="87" t="str">
        <f>IF(ISNUMBER(outYear),MUZ37+MUZ42+#REF!+MUZ59,"")</f>
        <v/>
      </c>
      <c r="MVA62" s="87" t="str">
        <f>IF(ISNUMBER(outYear),MVA37+MVA42+#REF!+MVA59,"")</f>
        <v/>
      </c>
      <c r="MVB62" s="87" t="str">
        <f>IF(ISNUMBER(outYear),MVB37+MVB42+#REF!+MVB59,"")</f>
        <v/>
      </c>
      <c r="MVC62" s="87" t="str">
        <f>IF(ISNUMBER(outYear),MVC37+MVC42+#REF!+MVC59,"")</f>
        <v/>
      </c>
      <c r="MVD62" s="87" t="str">
        <f>IF(ISNUMBER(outYear),MVD37+MVD42+#REF!+MVD59,"")</f>
        <v/>
      </c>
      <c r="MVE62" s="87" t="str">
        <f>IF(ISNUMBER(outYear),MVE37+MVE42+#REF!+MVE59,"")</f>
        <v/>
      </c>
      <c r="MVF62" s="87" t="str">
        <f>IF(ISNUMBER(outYear),MVF37+MVF42+#REF!+MVF59,"")</f>
        <v/>
      </c>
      <c r="MVG62" s="87" t="str">
        <f>IF(ISNUMBER(outYear),MVG37+MVG42+#REF!+MVG59,"")</f>
        <v/>
      </c>
      <c r="MVH62" s="87" t="str">
        <f>IF(ISNUMBER(outYear),MVH37+MVH42+#REF!+MVH59,"")</f>
        <v/>
      </c>
      <c r="MVI62" s="87" t="str">
        <f>IF(ISNUMBER(outYear),MVI37+MVI42+#REF!+MVI59,"")</f>
        <v/>
      </c>
      <c r="MVJ62" s="87" t="str">
        <f>IF(ISNUMBER(outYear),MVJ37+MVJ42+#REF!+MVJ59,"")</f>
        <v/>
      </c>
      <c r="MVK62" s="87" t="str">
        <f>IF(ISNUMBER(outYear),MVK37+MVK42+#REF!+MVK59,"")</f>
        <v/>
      </c>
      <c r="MVL62" s="87" t="str">
        <f>IF(ISNUMBER(outYear),MVL37+MVL42+#REF!+MVL59,"")</f>
        <v/>
      </c>
      <c r="MVM62" s="87" t="str">
        <f>IF(ISNUMBER(outYear),MVM37+MVM42+#REF!+MVM59,"")</f>
        <v/>
      </c>
      <c r="MVN62" s="87" t="str">
        <f>IF(ISNUMBER(outYear),MVN37+MVN42+#REF!+MVN59,"")</f>
        <v/>
      </c>
      <c r="MVO62" s="87" t="str">
        <f>IF(ISNUMBER(outYear),MVO37+MVO42+#REF!+MVO59,"")</f>
        <v/>
      </c>
      <c r="MVP62" s="87" t="str">
        <f>IF(ISNUMBER(outYear),MVP37+MVP42+#REF!+MVP59,"")</f>
        <v/>
      </c>
      <c r="MVQ62" s="87" t="str">
        <f>IF(ISNUMBER(outYear),MVQ37+MVQ42+#REF!+MVQ59,"")</f>
        <v/>
      </c>
      <c r="MVR62" s="87" t="str">
        <f>IF(ISNUMBER(outYear),MVR37+MVR42+#REF!+MVR59,"")</f>
        <v/>
      </c>
      <c r="MVS62" s="87" t="str">
        <f>IF(ISNUMBER(outYear),MVS37+MVS42+#REF!+MVS59,"")</f>
        <v/>
      </c>
      <c r="MVT62" s="87" t="str">
        <f>IF(ISNUMBER(outYear),MVT37+MVT42+#REF!+MVT59,"")</f>
        <v/>
      </c>
      <c r="MVU62" s="87" t="str">
        <f>IF(ISNUMBER(outYear),MVU37+MVU42+#REF!+MVU59,"")</f>
        <v/>
      </c>
      <c r="MVV62" s="87" t="str">
        <f>IF(ISNUMBER(outYear),MVV37+MVV42+#REF!+MVV59,"")</f>
        <v/>
      </c>
      <c r="MVW62" s="87" t="str">
        <f>IF(ISNUMBER(outYear),MVW37+MVW42+#REF!+MVW59,"")</f>
        <v/>
      </c>
      <c r="MVX62" s="87" t="str">
        <f>IF(ISNUMBER(outYear),MVX37+MVX42+#REF!+MVX59,"")</f>
        <v/>
      </c>
      <c r="MVY62" s="87" t="str">
        <f>IF(ISNUMBER(outYear),MVY37+MVY42+#REF!+MVY59,"")</f>
        <v/>
      </c>
      <c r="MVZ62" s="87" t="str">
        <f>IF(ISNUMBER(outYear),MVZ37+MVZ42+#REF!+MVZ59,"")</f>
        <v/>
      </c>
      <c r="MWA62" s="87" t="str">
        <f>IF(ISNUMBER(outYear),MWA37+MWA42+#REF!+MWA59,"")</f>
        <v/>
      </c>
      <c r="MWB62" s="87" t="str">
        <f>IF(ISNUMBER(outYear),MWB37+MWB42+#REF!+MWB59,"")</f>
        <v/>
      </c>
      <c r="MWC62" s="87" t="str">
        <f>IF(ISNUMBER(outYear),MWC37+MWC42+#REF!+MWC59,"")</f>
        <v/>
      </c>
      <c r="MWD62" s="87" t="str">
        <f>IF(ISNUMBER(outYear),MWD37+MWD42+#REF!+MWD59,"")</f>
        <v/>
      </c>
      <c r="MWE62" s="87" t="str">
        <f>IF(ISNUMBER(outYear),MWE37+MWE42+#REF!+MWE59,"")</f>
        <v/>
      </c>
      <c r="MWF62" s="87" t="str">
        <f>IF(ISNUMBER(outYear),MWF37+MWF42+#REF!+MWF59,"")</f>
        <v/>
      </c>
      <c r="MWG62" s="87" t="str">
        <f>IF(ISNUMBER(outYear),MWG37+MWG42+#REF!+MWG59,"")</f>
        <v/>
      </c>
      <c r="MWH62" s="87" t="str">
        <f>IF(ISNUMBER(outYear),MWH37+MWH42+#REF!+MWH59,"")</f>
        <v/>
      </c>
      <c r="MWI62" s="87" t="str">
        <f>IF(ISNUMBER(outYear),MWI37+MWI42+#REF!+MWI59,"")</f>
        <v/>
      </c>
      <c r="MWJ62" s="87" t="str">
        <f>IF(ISNUMBER(outYear),MWJ37+MWJ42+#REF!+MWJ59,"")</f>
        <v/>
      </c>
      <c r="MWK62" s="87" t="str">
        <f>IF(ISNUMBER(outYear),MWK37+MWK42+#REF!+MWK59,"")</f>
        <v/>
      </c>
      <c r="MWL62" s="87" t="str">
        <f>IF(ISNUMBER(outYear),MWL37+MWL42+#REF!+MWL59,"")</f>
        <v/>
      </c>
      <c r="MWM62" s="87" t="str">
        <f>IF(ISNUMBER(outYear),MWM37+MWM42+#REF!+MWM59,"")</f>
        <v/>
      </c>
      <c r="MWN62" s="87" t="str">
        <f>IF(ISNUMBER(outYear),MWN37+MWN42+#REF!+MWN59,"")</f>
        <v/>
      </c>
      <c r="MWO62" s="87" t="str">
        <f>IF(ISNUMBER(outYear),MWO37+MWO42+#REF!+MWO59,"")</f>
        <v/>
      </c>
      <c r="MWP62" s="87" t="str">
        <f>IF(ISNUMBER(outYear),MWP37+MWP42+#REF!+MWP59,"")</f>
        <v/>
      </c>
      <c r="MWQ62" s="87" t="str">
        <f>IF(ISNUMBER(outYear),MWQ37+MWQ42+#REF!+MWQ59,"")</f>
        <v/>
      </c>
      <c r="MWR62" s="87" t="str">
        <f>IF(ISNUMBER(outYear),MWR37+MWR42+#REF!+MWR59,"")</f>
        <v/>
      </c>
      <c r="MWS62" s="87" t="str">
        <f>IF(ISNUMBER(outYear),MWS37+MWS42+#REF!+MWS59,"")</f>
        <v/>
      </c>
      <c r="MWT62" s="87" t="str">
        <f>IF(ISNUMBER(outYear),MWT37+MWT42+#REF!+MWT59,"")</f>
        <v/>
      </c>
      <c r="MWU62" s="87" t="str">
        <f>IF(ISNUMBER(outYear),MWU37+MWU42+#REF!+MWU59,"")</f>
        <v/>
      </c>
      <c r="MWV62" s="87" t="str">
        <f>IF(ISNUMBER(outYear),MWV37+MWV42+#REF!+MWV59,"")</f>
        <v/>
      </c>
      <c r="MWW62" s="87" t="str">
        <f>IF(ISNUMBER(outYear),MWW37+MWW42+#REF!+MWW59,"")</f>
        <v/>
      </c>
      <c r="MWX62" s="87" t="str">
        <f>IF(ISNUMBER(outYear),MWX37+MWX42+#REF!+MWX59,"")</f>
        <v/>
      </c>
      <c r="MWY62" s="87" t="str">
        <f>IF(ISNUMBER(outYear),MWY37+MWY42+#REF!+MWY59,"")</f>
        <v/>
      </c>
      <c r="MWZ62" s="87" t="str">
        <f>IF(ISNUMBER(outYear),MWZ37+MWZ42+#REF!+MWZ59,"")</f>
        <v/>
      </c>
      <c r="MXA62" s="87" t="str">
        <f>IF(ISNUMBER(outYear),MXA37+MXA42+#REF!+MXA59,"")</f>
        <v/>
      </c>
      <c r="MXB62" s="87" t="str">
        <f>IF(ISNUMBER(outYear),MXB37+MXB42+#REF!+MXB59,"")</f>
        <v/>
      </c>
      <c r="MXC62" s="87" t="str">
        <f>IF(ISNUMBER(outYear),MXC37+MXC42+#REF!+MXC59,"")</f>
        <v/>
      </c>
      <c r="MXD62" s="87" t="str">
        <f>IF(ISNUMBER(outYear),MXD37+MXD42+#REF!+MXD59,"")</f>
        <v/>
      </c>
      <c r="MXE62" s="87" t="str">
        <f>IF(ISNUMBER(outYear),MXE37+MXE42+#REF!+MXE59,"")</f>
        <v/>
      </c>
      <c r="MXF62" s="87" t="str">
        <f>IF(ISNUMBER(outYear),MXF37+MXF42+#REF!+MXF59,"")</f>
        <v/>
      </c>
      <c r="MXG62" s="87" t="str">
        <f>IF(ISNUMBER(outYear),MXG37+MXG42+#REF!+MXG59,"")</f>
        <v/>
      </c>
      <c r="MXH62" s="87" t="str">
        <f>IF(ISNUMBER(outYear),MXH37+MXH42+#REF!+MXH59,"")</f>
        <v/>
      </c>
      <c r="MXI62" s="87" t="str">
        <f>IF(ISNUMBER(outYear),MXI37+MXI42+#REF!+MXI59,"")</f>
        <v/>
      </c>
      <c r="MXJ62" s="87" t="str">
        <f>IF(ISNUMBER(outYear),MXJ37+MXJ42+#REF!+MXJ59,"")</f>
        <v/>
      </c>
      <c r="MXK62" s="87" t="str">
        <f>IF(ISNUMBER(outYear),MXK37+MXK42+#REF!+MXK59,"")</f>
        <v/>
      </c>
      <c r="MXL62" s="87" t="str">
        <f>IF(ISNUMBER(outYear),MXL37+MXL42+#REF!+MXL59,"")</f>
        <v/>
      </c>
      <c r="MXM62" s="87" t="str">
        <f>IF(ISNUMBER(outYear),MXM37+MXM42+#REF!+MXM59,"")</f>
        <v/>
      </c>
      <c r="MXN62" s="87" t="str">
        <f>IF(ISNUMBER(outYear),MXN37+MXN42+#REF!+MXN59,"")</f>
        <v/>
      </c>
      <c r="MXO62" s="87" t="str">
        <f>IF(ISNUMBER(outYear),MXO37+MXO42+#REF!+MXO59,"")</f>
        <v/>
      </c>
      <c r="MXP62" s="87" t="str">
        <f>IF(ISNUMBER(outYear),MXP37+MXP42+#REF!+MXP59,"")</f>
        <v/>
      </c>
      <c r="MXQ62" s="87" t="str">
        <f>IF(ISNUMBER(outYear),MXQ37+MXQ42+#REF!+MXQ59,"")</f>
        <v/>
      </c>
      <c r="MXR62" s="87" t="str">
        <f>IF(ISNUMBER(outYear),MXR37+MXR42+#REF!+MXR59,"")</f>
        <v/>
      </c>
      <c r="MXS62" s="87" t="str">
        <f>IF(ISNUMBER(outYear),MXS37+MXS42+#REF!+MXS59,"")</f>
        <v/>
      </c>
      <c r="MXT62" s="87" t="str">
        <f>IF(ISNUMBER(outYear),MXT37+MXT42+#REF!+MXT59,"")</f>
        <v/>
      </c>
      <c r="MXU62" s="87" t="str">
        <f>IF(ISNUMBER(outYear),MXU37+MXU42+#REF!+MXU59,"")</f>
        <v/>
      </c>
      <c r="MXV62" s="87" t="str">
        <f>IF(ISNUMBER(outYear),MXV37+MXV42+#REF!+MXV59,"")</f>
        <v/>
      </c>
      <c r="MXW62" s="87" t="str">
        <f>IF(ISNUMBER(outYear),MXW37+MXW42+#REF!+MXW59,"")</f>
        <v/>
      </c>
      <c r="MXX62" s="87" t="str">
        <f>IF(ISNUMBER(outYear),MXX37+MXX42+#REF!+MXX59,"")</f>
        <v/>
      </c>
      <c r="MXY62" s="87" t="str">
        <f>IF(ISNUMBER(outYear),MXY37+MXY42+#REF!+MXY59,"")</f>
        <v/>
      </c>
      <c r="MXZ62" s="87" t="str">
        <f>IF(ISNUMBER(outYear),MXZ37+MXZ42+#REF!+MXZ59,"")</f>
        <v/>
      </c>
      <c r="MYA62" s="87" t="str">
        <f>IF(ISNUMBER(outYear),MYA37+MYA42+#REF!+MYA59,"")</f>
        <v/>
      </c>
      <c r="MYB62" s="87" t="str">
        <f>IF(ISNUMBER(outYear),MYB37+MYB42+#REF!+MYB59,"")</f>
        <v/>
      </c>
      <c r="MYC62" s="87" t="str">
        <f>IF(ISNUMBER(outYear),MYC37+MYC42+#REF!+MYC59,"")</f>
        <v/>
      </c>
      <c r="MYD62" s="87" t="str">
        <f>IF(ISNUMBER(outYear),MYD37+MYD42+#REF!+MYD59,"")</f>
        <v/>
      </c>
      <c r="MYE62" s="87" t="str">
        <f>IF(ISNUMBER(outYear),MYE37+MYE42+#REF!+MYE59,"")</f>
        <v/>
      </c>
      <c r="MYF62" s="87" t="str">
        <f>IF(ISNUMBER(outYear),MYF37+MYF42+#REF!+MYF59,"")</f>
        <v/>
      </c>
      <c r="MYG62" s="87" t="str">
        <f>IF(ISNUMBER(outYear),MYG37+MYG42+#REF!+MYG59,"")</f>
        <v/>
      </c>
      <c r="MYH62" s="87" t="str">
        <f>IF(ISNUMBER(outYear),MYH37+MYH42+#REF!+MYH59,"")</f>
        <v/>
      </c>
      <c r="MYI62" s="87" t="str">
        <f>IF(ISNUMBER(outYear),MYI37+MYI42+#REF!+MYI59,"")</f>
        <v/>
      </c>
      <c r="MYJ62" s="87" t="str">
        <f>IF(ISNUMBER(outYear),MYJ37+MYJ42+#REF!+MYJ59,"")</f>
        <v/>
      </c>
      <c r="MYK62" s="87" t="str">
        <f>IF(ISNUMBER(outYear),MYK37+MYK42+#REF!+MYK59,"")</f>
        <v/>
      </c>
      <c r="MYL62" s="87" t="str">
        <f>IF(ISNUMBER(outYear),MYL37+MYL42+#REF!+MYL59,"")</f>
        <v/>
      </c>
      <c r="MYM62" s="87" t="str">
        <f>IF(ISNUMBER(outYear),MYM37+MYM42+#REF!+MYM59,"")</f>
        <v/>
      </c>
      <c r="MYN62" s="87" t="str">
        <f>IF(ISNUMBER(outYear),MYN37+MYN42+#REF!+MYN59,"")</f>
        <v/>
      </c>
      <c r="MYO62" s="87" t="str">
        <f>IF(ISNUMBER(outYear),MYO37+MYO42+#REF!+MYO59,"")</f>
        <v/>
      </c>
      <c r="MYP62" s="87" t="str">
        <f>IF(ISNUMBER(outYear),MYP37+MYP42+#REF!+MYP59,"")</f>
        <v/>
      </c>
      <c r="MYQ62" s="87" t="str">
        <f>IF(ISNUMBER(outYear),MYQ37+MYQ42+#REF!+MYQ59,"")</f>
        <v/>
      </c>
      <c r="MYR62" s="87" t="str">
        <f>IF(ISNUMBER(outYear),MYR37+MYR42+#REF!+MYR59,"")</f>
        <v/>
      </c>
      <c r="MYS62" s="87" t="str">
        <f>IF(ISNUMBER(outYear),MYS37+MYS42+#REF!+MYS59,"")</f>
        <v/>
      </c>
      <c r="MYT62" s="87" t="str">
        <f>IF(ISNUMBER(outYear),MYT37+MYT42+#REF!+MYT59,"")</f>
        <v/>
      </c>
      <c r="MYU62" s="87" t="str">
        <f>IF(ISNUMBER(outYear),MYU37+MYU42+#REF!+MYU59,"")</f>
        <v/>
      </c>
      <c r="MYV62" s="87" t="str">
        <f>IF(ISNUMBER(outYear),MYV37+MYV42+#REF!+MYV59,"")</f>
        <v/>
      </c>
      <c r="MYW62" s="87" t="str">
        <f>IF(ISNUMBER(outYear),MYW37+MYW42+#REF!+MYW59,"")</f>
        <v/>
      </c>
      <c r="MYX62" s="87" t="str">
        <f>IF(ISNUMBER(outYear),MYX37+MYX42+#REF!+MYX59,"")</f>
        <v/>
      </c>
      <c r="MYY62" s="87" t="str">
        <f>IF(ISNUMBER(outYear),MYY37+MYY42+#REF!+MYY59,"")</f>
        <v/>
      </c>
      <c r="MYZ62" s="87" t="str">
        <f>IF(ISNUMBER(outYear),MYZ37+MYZ42+#REF!+MYZ59,"")</f>
        <v/>
      </c>
      <c r="MZA62" s="87" t="str">
        <f>IF(ISNUMBER(outYear),MZA37+MZA42+#REF!+MZA59,"")</f>
        <v/>
      </c>
      <c r="MZB62" s="87" t="str">
        <f>IF(ISNUMBER(outYear),MZB37+MZB42+#REF!+MZB59,"")</f>
        <v/>
      </c>
      <c r="MZC62" s="87" t="str">
        <f>IF(ISNUMBER(outYear),MZC37+MZC42+#REF!+MZC59,"")</f>
        <v/>
      </c>
      <c r="MZD62" s="87" t="str">
        <f>IF(ISNUMBER(outYear),MZD37+MZD42+#REF!+MZD59,"")</f>
        <v/>
      </c>
      <c r="MZE62" s="87" t="str">
        <f>IF(ISNUMBER(outYear),MZE37+MZE42+#REF!+MZE59,"")</f>
        <v/>
      </c>
      <c r="MZF62" s="87" t="str">
        <f>IF(ISNUMBER(outYear),MZF37+MZF42+#REF!+MZF59,"")</f>
        <v/>
      </c>
      <c r="MZG62" s="87" t="str">
        <f>IF(ISNUMBER(outYear),MZG37+MZG42+#REF!+MZG59,"")</f>
        <v/>
      </c>
      <c r="MZH62" s="87" t="str">
        <f>IF(ISNUMBER(outYear),MZH37+MZH42+#REF!+MZH59,"")</f>
        <v/>
      </c>
      <c r="MZI62" s="87" t="str">
        <f>IF(ISNUMBER(outYear),MZI37+MZI42+#REF!+MZI59,"")</f>
        <v/>
      </c>
      <c r="MZJ62" s="87" t="str">
        <f>IF(ISNUMBER(outYear),MZJ37+MZJ42+#REF!+MZJ59,"")</f>
        <v/>
      </c>
      <c r="MZK62" s="87" t="str">
        <f>IF(ISNUMBER(outYear),MZK37+MZK42+#REF!+MZK59,"")</f>
        <v/>
      </c>
      <c r="MZL62" s="87" t="str">
        <f>IF(ISNUMBER(outYear),MZL37+MZL42+#REF!+MZL59,"")</f>
        <v/>
      </c>
      <c r="MZM62" s="87" t="str">
        <f>IF(ISNUMBER(outYear),MZM37+MZM42+#REF!+MZM59,"")</f>
        <v/>
      </c>
      <c r="MZN62" s="87" t="str">
        <f>IF(ISNUMBER(outYear),MZN37+MZN42+#REF!+MZN59,"")</f>
        <v/>
      </c>
      <c r="MZO62" s="87" t="str">
        <f>IF(ISNUMBER(outYear),MZO37+MZO42+#REF!+MZO59,"")</f>
        <v/>
      </c>
      <c r="MZP62" s="87" t="str">
        <f>IF(ISNUMBER(outYear),MZP37+MZP42+#REF!+MZP59,"")</f>
        <v/>
      </c>
      <c r="MZQ62" s="87" t="str">
        <f>IF(ISNUMBER(outYear),MZQ37+MZQ42+#REF!+MZQ59,"")</f>
        <v/>
      </c>
      <c r="MZR62" s="87" t="str">
        <f>IF(ISNUMBER(outYear),MZR37+MZR42+#REF!+MZR59,"")</f>
        <v/>
      </c>
      <c r="MZS62" s="87" t="str">
        <f>IF(ISNUMBER(outYear),MZS37+MZS42+#REF!+MZS59,"")</f>
        <v/>
      </c>
      <c r="MZT62" s="87" t="str">
        <f>IF(ISNUMBER(outYear),MZT37+MZT42+#REF!+MZT59,"")</f>
        <v/>
      </c>
      <c r="MZU62" s="87" t="str">
        <f>IF(ISNUMBER(outYear),MZU37+MZU42+#REF!+MZU59,"")</f>
        <v/>
      </c>
      <c r="MZV62" s="87" t="str">
        <f>IF(ISNUMBER(outYear),MZV37+MZV42+#REF!+MZV59,"")</f>
        <v/>
      </c>
      <c r="MZW62" s="87" t="str">
        <f>IF(ISNUMBER(outYear),MZW37+MZW42+#REF!+MZW59,"")</f>
        <v/>
      </c>
      <c r="MZX62" s="87" t="str">
        <f>IF(ISNUMBER(outYear),MZX37+MZX42+#REF!+MZX59,"")</f>
        <v/>
      </c>
      <c r="MZY62" s="87" t="str">
        <f>IF(ISNUMBER(outYear),MZY37+MZY42+#REF!+MZY59,"")</f>
        <v/>
      </c>
      <c r="MZZ62" s="87" t="str">
        <f>IF(ISNUMBER(outYear),MZZ37+MZZ42+#REF!+MZZ59,"")</f>
        <v/>
      </c>
      <c r="NAA62" s="87" t="str">
        <f>IF(ISNUMBER(outYear),NAA37+NAA42+#REF!+NAA59,"")</f>
        <v/>
      </c>
      <c r="NAB62" s="87" t="str">
        <f>IF(ISNUMBER(outYear),NAB37+NAB42+#REF!+NAB59,"")</f>
        <v/>
      </c>
      <c r="NAC62" s="87" t="str">
        <f>IF(ISNUMBER(outYear),NAC37+NAC42+#REF!+NAC59,"")</f>
        <v/>
      </c>
      <c r="NAD62" s="87" t="str">
        <f>IF(ISNUMBER(outYear),NAD37+NAD42+#REF!+NAD59,"")</f>
        <v/>
      </c>
      <c r="NAE62" s="87" t="str">
        <f>IF(ISNUMBER(outYear),NAE37+NAE42+#REF!+NAE59,"")</f>
        <v/>
      </c>
      <c r="NAF62" s="87" t="str">
        <f>IF(ISNUMBER(outYear),NAF37+NAF42+#REF!+NAF59,"")</f>
        <v/>
      </c>
      <c r="NAG62" s="87" t="str">
        <f>IF(ISNUMBER(outYear),NAG37+NAG42+#REF!+NAG59,"")</f>
        <v/>
      </c>
      <c r="NAH62" s="87" t="str">
        <f>IF(ISNUMBER(outYear),NAH37+NAH42+#REF!+NAH59,"")</f>
        <v/>
      </c>
      <c r="NAI62" s="87" t="str">
        <f>IF(ISNUMBER(outYear),NAI37+NAI42+#REF!+NAI59,"")</f>
        <v/>
      </c>
      <c r="NAJ62" s="87" t="str">
        <f>IF(ISNUMBER(outYear),NAJ37+NAJ42+#REF!+NAJ59,"")</f>
        <v/>
      </c>
      <c r="NAK62" s="87" t="str">
        <f>IF(ISNUMBER(outYear),NAK37+NAK42+#REF!+NAK59,"")</f>
        <v/>
      </c>
      <c r="NAL62" s="87" t="str">
        <f>IF(ISNUMBER(outYear),NAL37+NAL42+#REF!+NAL59,"")</f>
        <v/>
      </c>
      <c r="NAM62" s="87" t="str">
        <f>IF(ISNUMBER(outYear),NAM37+NAM42+#REF!+NAM59,"")</f>
        <v/>
      </c>
      <c r="NAN62" s="87" t="str">
        <f>IF(ISNUMBER(outYear),NAN37+NAN42+#REF!+NAN59,"")</f>
        <v/>
      </c>
      <c r="NAO62" s="87" t="str">
        <f>IF(ISNUMBER(outYear),NAO37+NAO42+#REF!+NAO59,"")</f>
        <v/>
      </c>
      <c r="NAP62" s="87" t="str">
        <f>IF(ISNUMBER(outYear),NAP37+NAP42+#REF!+NAP59,"")</f>
        <v/>
      </c>
      <c r="NAQ62" s="87" t="str">
        <f>IF(ISNUMBER(outYear),NAQ37+NAQ42+#REF!+NAQ59,"")</f>
        <v/>
      </c>
      <c r="NAR62" s="87" t="str">
        <f>IF(ISNUMBER(outYear),NAR37+NAR42+#REF!+NAR59,"")</f>
        <v/>
      </c>
      <c r="NAS62" s="87" t="str">
        <f>IF(ISNUMBER(outYear),NAS37+NAS42+#REF!+NAS59,"")</f>
        <v/>
      </c>
      <c r="NAT62" s="87" t="str">
        <f>IF(ISNUMBER(outYear),NAT37+NAT42+#REF!+NAT59,"")</f>
        <v/>
      </c>
      <c r="NAU62" s="87" t="str">
        <f>IF(ISNUMBER(outYear),NAU37+NAU42+#REF!+NAU59,"")</f>
        <v/>
      </c>
      <c r="NAV62" s="87" t="str">
        <f>IF(ISNUMBER(outYear),NAV37+NAV42+#REF!+NAV59,"")</f>
        <v/>
      </c>
      <c r="NAW62" s="87" t="str">
        <f>IF(ISNUMBER(outYear),NAW37+NAW42+#REF!+NAW59,"")</f>
        <v/>
      </c>
      <c r="NAX62" s="87" t="str">
        <f>IF(ISNUMBER(outYear),NAX37+NAX42+#REF!+NAX59,"")</f>
        <v/>
      </c>
      <c r="NAY62" s="87" t="str">
        <f>IF(ISNUMBER(outYear),NAY37+NAY42+#REF!+NAY59,"")</f>
        <v/>
      </c>
      <c r="NAZ62" s="87" t="str">
        <f>IF(ISNUMBER(outYear),NAZ37+NAZ42+#REF!+NAZ59,"")</f>
        <v/>
      </c>
      <c r="NBA62" s="87" t="str">
        <f>IF(ISNUMBER(outYear),NBA37+NBA42+#REF!+NBA59,"")</f>
        <v/>
      </c>
      <c r="NBB62" s="87" t="str">
        <f>IF(ISNUMBER(outYear),NBB37+NBB42+#REF!+NBB59,"")</f>
        <v/>
      </c>
      <c r="NBC62" s="87" t="str">
        <f>IF(ISNUMBER(outYear),NBC37+NBC42+#REF!+NBC59,"")</f>
        <v/>
      </c>
      <c r="NBD62" s="87" t="str">
        <f>IF(ISNUMBER(outYear),NBD37+NBD42+#REF!+NBD59,"")</f>
        <v/>
      </c>
      <c r="NBE62" s="87" t="str">
        <f>IF(ISNUMBER(outYear),NBE37+NBE42+#REF!+NBE59,"")</f>
        <v/>
      </c>
      <c r="NBF62" s="87" t="str">
        <f>IF(ISNUMBER(outYear),NBF37+NBF42+#REF!+NBF59,"")</f>
        <v/>
      </c>
      <c r="NBG62" s="87" t="str">
        <f>IF(ISNUMBER(outYear),NBG37+NBG42+#REF!+NBG59,"")</f>
        <v/>
      </c>
      <c r="NBH62" s="87" t="str">
        <f>IF(ISNUMBER(outYear),NBH37+NBH42+#REF!+NBH59,"")</f>
        <v/>
      </c>
      <c r="NBI62" s="87" t="str">
        <f>IF(ISNUMBER(outYear),NBI37+NBI42+#REF!+NBI59,"")</f>
        <v/>
      </c>
      <c r="NBJ62" s="87" t="str">
        <f>IF(ISNUMBER(outYear),NBJ37+NBJ42+#REF!+NBJ59,"")</f>
        <v/>
      </c>
      <c r="NBK62" s="87" t="str">
        <f>IF(ISNUMBER(outYear),NBK37+NBK42+#REF!+NBK59,"")</f>
        <v/>
      </c>
      <c r="NBL62" s="87" t="str">
        <f>IF(ISNUMBER(outYear),NBL37+NBL42+#REF!+NBL59,"")</f>
        <v/>
      </c>
      <c r="NBM62" s="87" t="str">
        <f>IF(ISNUMBER(outYear),NBM37+NBM42+#REF!+NBM59,"")</f>
        <v/>
      </c>
      <c r="NBN62" s="87" t="str">
        <f>IF(ISNUMBER(outYear),NBN37+NBN42+#REF!+NBN59,"")</f>
        <v/>
      </c>
      <c r="NBO62" s="87" t="str">
        <f>IF(ISNUMBER(outYear),NBO37+NBO42+#REF!+NBO59,"")</f>
        <v/>
      </c>
      <c r="NBP62" s="87" t="str">
        <f>IF(ISNUMBER(outYear),NBP37+NBP42+#REF!+NBP59,"")</f>
        <v/>
      </c>
      <c r="NBQ62" s="87" t="str">
        <f>IF(ISNUMBER(outYear),NBQ37+NBQ42+#REF!+NBQ59,"")</f>
        <v/>
      </c>
      <c r="NBR62" s="87" t="str">
        <f>IF(ISNUMBER(outYear),NBR37+NBR42+#REF!+NBR59,"")</f>
        <v/>
      </c>
      <c r="NBS62" s="87" t="str">
        <f>IF(ISNUMBER(outYear),NBS37+NBS42+#REF!+NBS59,"")</f>
        <v/>
      </c>
      <c r="NBT62" s="87" t="str">
        <f>IF(ISNUMBER(outYear),NBT37+NBT42+#REF!+NBT59,"")</f>
        <v/>
      </c>
      <c r="NBU62" s="87" t="str">
        <f>IF(ISNUMBER(outYear),NBU37+NBU42+#REF!+NBU59,"")</f>
        <v/>
      </c>
      <c r="NBV62" s="87" t="str">
        <f>IF(ISNUMBER(outYear),NBV37+NBV42+#REF!+NBV59,"")</f>
        <v/>
      </c>
      <c r="NBW62" s="87" t="str">
        <f>IF(ISNUMBER(outYear),NBW37+NBW42+#REF!+NBW59,"")</f>
        <v/>
      </c>
      <c r="NBX62" s="87" t="str">
        <f>IF(ISNUMBER(outYear),NBX37+NBX42+#REF!+NBX59,"")</f>
        <v/>
      </c>
      <c r="NBY62" s="87" t="str">
        <f>IF(ISNUMBER(outYear),NBY37+NBY42+#REF!+NBY59,"")</f>
        <v/>
      </c>
      <c r="NBZ62" s="87" t="str">
        <f>IF(ISNUMBER(outYear),NBZ37+NBZ42+#REF!+NBZ59,"")</f>
        <v/>
      </c>
      <c r="NCA62" s="87" t="str">
        <f>IF(ISNUMBER(outYear),NCA37+NCA42+#REF!+NCA59,"")</f>
        <v/>
      </c>
      <c r="NCB62" s="87" t="str">
        <f>IF(ISNUMBER(outYear),NCB37+NCB42+#REF!+NCB59,"")</f>
        <v/>
      </c>
      <c r="NCC62" s="87" t="str">
        <f>IF(ISNUMBER(outYear),NCC37+NCC42+#REF!+NCC59,"")</f>
        <v/>
      </c>
      <c r="NCD62" s="87" t="str">
        <f>IF(ISNUMBER(outYear),NCD37+NCD42+#REF!+NCD59,"")</f>
        <v/>
      </c>
      <c r="NCE62" s="87" t="str">
        <f>IF(ISNUMBER(outYear),NCE37+NCE42+#REF!+NCE59,"")</f>
        <v/>
      </c>
      <c r="NCF62" s="87" t="str">
        <f>IF(ISNUMBER(outYear),NCF37+NCF42+#REF!+NCF59,"")</f>
        <v/>
      </c>
      <c r="NCG62" s="87" t="str">
        <f>IF(ISNUMBER(outYear),NCG37+NCG42+#REF!+NCG59,"")</f>
        <v/>
      </c>
      <c r="NCH62" s="87" t="str">
        <f>IF(ISNUMBER(outYear),NCH37+NCH42+#REF!+NCH59,"")</f>
        <v/>
      </c>
      <c r="NCI62" s="87" t="str">
        <f>IF(ISNUMBER(outYear),NCI37+NCI42+#REF!+NCI59,"")</f>
        <v/>
      </c>
      <c r="NCJ62" s="87" t="str">
        <f>IF(ISNUMBER(outYear),NCJ37+NCJ42+#REF!+NCJ59,"")</f>
        <v/>
      </c>
      <c r="NCK62" s="87" t="str">
        <f>IF(ISNUMBER(outYear),NCK37+NCK42+#REF!+NCK59,"")</f>
        <v/>
      </c>
      <c r="NCL62" s="87" t="str">
        <f>IF(ISNUMBER(outYear),NCL37+NCL42+#REF!+NCL59,"")</f>
        <v/>
      </c>
      <c r="NCM62" s="87" t="str">
        <f>IF(ISNUMBER(outYear),NCM37+NCM42+#REF!+NCM59,"")</f>
        <v/>
      </c>
      <c r="NCN62" s="87" t="str">
        <f>IF(ISNUMBER(outYear),NCN37+NCN42+#REF!+NCN59,"")</f>
        <v/>
      </c>
      <c r="NCO62" s="87" t="str">
        <f>IF(ISNUMBER(outYear),NCO37+NCO42+#REF!+NCO59,"")</f>
        <v/>
      </c>
      <c r="NCP62" s="87" t="str">
        <f>IF(ISNUMBER(outYear),NCP37+NCP42+#REF!+NCP59,"")</f>
        <v/>
      </c>
      <c r="NCQ62" s="87" t="str">
        <f>IF(ISNUMBER(outYear),NCQ37+NCQ42+#REF!+NCQ59,"")</f>
        <v/>
      </c>
      <c r="NCR62" s="87" t="str">
        <f>IF(ISNUMBER(outYear),NCR37+NCR42+#REF!+NCR59,"")</f>
        <v/>
      </c>
      <c r="NCS62" s="87" t="str">
        <f>IF(ISNUMBER(outYear),NCS37+NCS42+#REF!+NCS59,"")</f>
        <v/>
      </c>
      <c r="NCT62" s="87" t="str">
        <f>IF(ISNUMBER(outYear),NCT37+NCT42+#REF!+NCT59,"")</f>
        <v/>
      </c>
      <c r="NCU62" s="87" t="str">
        <f>IF(ISNUMBER(outYear),NCU37+NCU42+#REF!+NCU59,"")</f>
        <v/>
      </c>
      <c r="NCV62" s="87" t="str">
        <f>IF(ISNUMBER(outYear),NCV37+NCV42+#REF!+NCV59,"")</f>
        <v/>
      </c>
      <c r="NCW62" s="87" t="str">
        <f>IF(ISNUMBER(outYear),NCW37+NCW42+#REF!+NCW59,"")</f>
        <v/>
      </c>
      <c r="NCX62" s="87" t="str">
        <f>IF(ISNUMBER(outYear),NCX37+NCX42+#REF!+NCX59,"")</f>
        <v/>
      </c>
      <c r="NCY62" s="87" t="str">
        <f>IF(ISNUMBER(outYear),NCY37+NCY42+#REF!+NCY59,"")</f>
        <v/>
      </c>
      <c r="NCZ62" s="87" t="str">
        <f>IF(ISNUMBER(outYear),NCZ37+NCZ42+#REF!+NCZ59,"")</f>
        <v/>
      </c>
      <c r="NDA62" s="87" t="str">
        <f>IF(ISNUMBER(outYear),NDA37+NDA42+#REF!+NDA59,"")</f>
        <v/>
      </c>
      <c r="NDB62" s="87" t="str">
        <f>IF(ISNUMBER(outYear),NDB37+NDB42+#REF!+NDB59,"")</f>
        <v/>
      </c>
      <c r="NDC62" s="87" t="str">
        <f>IF(ISNUMBER(outYear),NDC37+NDC42+#REF!+NDC59,"")</f>
        <v/>
      </c>
      <c r="NDD62" s="87" t="str">
        <f>IF(ISNUMBER(outYear),NDD37+NDD42+#REF!+NDD59,"")</f>
        <v/>
      </c>
      <c r="NDE62" s="87" t="str">
        <f>IF(ISNUMBER(outYear),NDE37+NDE42+#REF!+NDE59,"")</f>
        <v/>
      </c>
      <c r="NDF62" s="87" t="str">
        <f>IF(ISNUMBER(outYear),NDF37+NDF42+#REF!+NDF59,"")</f>
        <v/>
      </c>
      <c r="NDG62" s="87" t="str">
        <f>IF(ISNUMBER(outYear),NDG37+NDG42+#REF!+NDG59,"")</f>
        <v/>
      </c>
      <c r="NDH62" s="87" t="str">
        <f>IF(ISNUMBER(outYear),NDH37+NDH42+#REF!+NDH59,"")</f>
        <v/>
      </c>
      <c r="NDI62" s="87" t="str">
        <f>IF(ISNUMBER(outYear),NDI37+NDI42+#REF!+NDI59,"")</f>
        <v/>
      </c>
      <c r="NDJ62" s="87" t="str">
        <f>IF(ISNUMBER(outYear),NDJ37+NDJ42+#REF!+NDJ59,"")</f>
        <v/>
      </c>
      <c r="NDK62" s="87" t="str">
        <f>IF(ISNUMBER(outYear),NDK37+NDK42+#REF!+NDK59,"")</f>
        <v/>
      </c>
      <c r="NDL62" s="87" t="str">
        <f>IF(ISNUMBER(outYear),NDL37+NDL42+#REF!+NDL59,"")</f>
        <v/>
      </c>
      <c r="NDM62" s="87" t="str">
        <f>IF(ISNUMBER(outYear),NDM37+NDM42+#REF!+NDM59,"")</f>
        <v/>
      </c>
      <c r="NDN62" s="87" t="str">
        <f>IF(ISNUMBER(outYear),NDN37+NDN42+#REF!+NDN59,"")</f>
        <v/>
      </c>
      <c r="NDO62" s="87" t="str">
        <f>IF(ISNUMBER(outYear),NDO37+NDO42+#REF!+NDO59,"")</f>
        <v/>
      </c>
      <c r="NDP62" s="87" t="str">
        <f>IF(ISNUMBER(outYear),NDP37+NDP42+#REF!+NDP59,"")</f>
        <v/>
      </c>
      <c r="NDQ62" s="87" t="str">
        <f>IF(ISNUMBER(outYear),NDQ37+NDQ42+#REF!+NDQ59,"")</f>
        <v/>
      </c>
      <c r="NDR62" s="87" t="str">
        <f>IF(ISNUMBER(outYear),NDR37+NDR42+#REF!+NDR59,"")</f>
        <v/>
      </c>
      <c r="NDS62" s="87" t="str">
        <f>IF(ISNUMBER(outYear),NDS37+NDS42+#REF!+NDS59,"")</f>
        <v/>
      </c>
      <c r="NDT62" s="87" t="str">
        <f>IF(ISNUMBER(outYear),NDT37+NDT42+#REF!+NDT59,"")</f>
        <v/>
      </c>
      <c r="NDU62" s="87" t="str">
        <f>IF(ISNUMBER(outYear),NDU37+NDU42+#REF!+NDU59,"")</f>
        <v/>
      </c>
      <c r="NDV62" s="87" t="str">
        <f>IF(ISNUMBER(outYear),NDV37+NDV42+#REF!+NDV59,"")</f>
        <v/>
      </c>
      <c r="NDW62" s="87" t="str">
        <f>IF(ISNUMBER(outYear),NDW37+NDW42+#REF!+NDW59,"")</f>
        <v/>
      </c>
      <c r="NDX62" s="87" t="str">
        <f>IF(ISNUMBER(outYear),NDX37+NDX42+#REF!+NDX59,"")</f>
        <v/>
      </c>
      <c r="NDY62" s="87" t="str">
        <f>IF(ISNUMBER(outYear),NDY37+NDY42+#REF!+NDY59,"")</f>
        <v/>
      </c>
      <c r="NDZ62" s="87" t="str">
        <f>IF(ISNUMBER(outYear),NDZ37+NDZ42+#REF!+NDZ59,"")</f>
        <v/>
      </c>
      <c r="NEA62" s="87" t="str">
        <f>IF(ISNUMBER(outYear),NEA37+NEA42+#REF!+NEA59,"")</f>
        <v/>
      </c>
      <c r="NEB62" s="87" t="str">
        <f>IF(ISNUMBER(outYear),NEB37+NEB42+#REF!+NEB59,"")</f>
        <v/>
      </c>
      <c r="NEC62" s="87" t="str">
        <f>IF(ISNUMBER(outYear),NEC37+NEC42+#REF!+NEC59,"")</f>
        <v/>
      </c>
      <c r="NED62" s="87" t="str">
        <f>IF(ISNUMBER(outYear),NED37+NED42+#REF!+NED59,"")</f>
        <v/>
      </c>
      <c r="NEE62" s="87" t="str">
        <f>IF(ISNUMBER(outYear),NEE37+NEE42+#REF!+NEE59,"")</f>
        <v/>
      </c>
      <c r="NEF62" s="87" t="str">
        <f>IF(ISNUMBER(outYear),NEF37+NEF42+#REF!+NEF59,"")</f>
        <v/>
      </c>
      <c r="NEG62" s="87" t="str">
        <f>IF(ISNUMBER(outYear),NEG37+NEG42+#REF!+NEG59,"")</f>
        <v/>
      </c>
      <c r="NEH62" s="87" t="str">
        <f>IF(ISNUMBER(outYear),NEH37+NEH42+#REF!+NEH59,"")</f>
        <v/>
      </c>
      <c r="NEI62" s="87" t="str">
        <f>IF(ISNUMBER(outYear),NEI37+NEI42+#REF!+NEI59,"")</f>
        <v/>
      </c>
      <c r="NEJ62" s="87" t="str">
        <f>IF(ISNUMBER(outYear),NEJ37+NEJ42+#REF!+NEJ59,"")</f>
        <v/>
      </c>
      <c r="NEK62" s="87" t="str">
        <f>IF(ISNUMBER(outYear),NEK37+NEK42+#REF!+NEK59,"")</f>
        <v/>
      </c>
      <c r="NEL62" s="87" t="str">
        <f>IF(ISNUMBER(outYear),NEL37+NEL42+#REF!+NEL59,"")</f>
        <v/>
      </c>
      <c r="NEM62" s="87" t="str">
        <f>IF(ISNUMBER(outYear),NEM37+NEM42+#REF!+NEM59,"")</f>
        <v/>
      </c>
      <c r="NEN62" s="87" t="str">
        <f>IF(ISNUMBER(outYear),NEN37+NEN42+#REF!+NEN59,"")</f>
        <v/>
      </c>
      <c r="NEO62" s="87" t="str">
        <f>IF(ISNUMBER(outYear),NEO37+NEO42+#REF!+NEO59,"")</f>
        <v/>
      </c>
      <c r="NEP62" s="87" t="str">
        <f>IF(ISNUMBER(outYear),NEP37+NEP42+#REF!+NEP59,"")</f>
        <v/>
      </c>
      <c r="NEQ62" s="87" t="str">
        <f>IF(ISNUMBER(outYear),NEQ37+NEQ42+#REF!+NEQ59,"")</f>
        <v/>
      </c>
      <c r="NER62" s="87" t="str">
        <f>IF(ISNUMBER(outYear),NER37+NER42+#REF!+NER59,"")</f>
        <v/>
      </c>
      <c r="NES62" s="87" t="str">
        <f>IF(ISNUMBER(outYear),NES37+NES42+#REF!+NES59,"")</f>
        <v/>
      </c>
      <c r="NET62" s="87" t="str">
        <f>IF(ISNUMBER(outYear),NET37+NET42+#REF!+NET59,"")</f>
        <v/>
      </c>
      <c r="NEU62" s="87" t="str">
        <f>IF(ISNUMBER(outYear),NEU37+NEU42+#REF!+NEU59,"")</f>
        <v/>
      </c>
      <c r="NEV62" s="87" t="str">
        <f>IF(ISNUMBER(outYear),NEV37+NEV42+#REF!+NEV59,"")</f>
        <v/>
      </c>
      <c r="NEW62" s="87" t="str">
        <f>IF(ISNUMBER(outYear),NEW37+NEW42+#REF!+NEW59,"")</f>
        <v/>
      </c>
      <c r="NEX62" s="87" t="str">
        <f>IF(ISNUMBER(outYear),NEX37+NEX42+#REF!+NEX59,"")</f>
        <v/>
      </c>
      <c r="NEY62" s="87" t="str">
        <f>IF(ISNUMBER(outYear),NEY37+NEY42+#REF!+NEY59,"")</f>
        <v/>
      </c>
      <c r="NEZ62" s="87" t="str">
        <f>IF(ISNUMBER(outYear),NEZ37+NEZ42+#REF!+NEZ59,"")</f>
        <v/>
      </c>
      <c r="NFA62" s="87" t="str">
        <f>IF(ISNUMBER(outYear),NFA37+NFA42+#REF!+NFA59,"")</f>
        <v/>
      </c>
      <c r="NFB62" s="87" t="str">
        <f>IF(ISNUMBER(outYear),NFB37+NFB42+#REF!+NFB59,"")</f>
        <v/>
      </c>
      <c r="NFC62" s="87" t="str">
        <f>IF(ISNUMBER(outYear),NFC37+NFC42+#REF!+NFC59,"")</f>
        <v/>
      </c>
      <c r="NFD62" s="87" t="str">
        <f>IF(ISNUMBER(outYear),NFD37+NFD42+#REF!+NFD59,"")</f>
        <v/>
      </c>
      <c r="NFE62" s="87" t="str">
        <f>IF(ISNUMBER(outYear),NFE37+NFE42+#REF!+NFE59,"")</f>
        <v/>
      </c>
      <c r="NFF62" s="87" t="str">
        <f>IF(ISNUMBER(outYear),NFF37+NFF42+#REF!+NFF59,"")</f>
        <v/>
      </c>
      <c r="NFG62" s="87" t="str">
        <f>IF(ISNUMBER(outYear),NFG37+NFG42+#REF!+NFG59,"")</f>
        <v/>
      </c>
      <c r="NFH62" s="87" t="str">
        <f>IF(ISNUMBER(outYear),NFH37+NFH42+#REF!+NFH59,"")</f>
        <v/>
      </c>
      <c r="NFI62" s="87" t="str">
        <f>IF(ISNUMBER(outYear),NFI37+NFI42+#REF!+NFI59,"")</f>
        <v/>
      </c>
      <c r="NFJ62" s="87" t="str">
        <f>IF(ISNUMBER(outYear),NFJ37+NFJ42+#REF!+NFJ59,"")</f>
        <v/>
      </c>
      <c r="NFK62" s="87" t="str">
        <f>IF(ISNUMBER(outYear),NFK37+NFK42+#REF!+NFK59,"")</f>
        <v/>
      </c>
      <c r="NFL62" s="87" t="str">
        <f>IF(ISNUMBER(outYear),NFL37+NFL42+#REF!+NFL59,"")</f>
        <v/>
      </c>
      <c r="NFM62" s="87" t="str">
        <f>IF(ISNUMBER(outYear),NFM37+NFM42+#REF!+NFM59,"")</f>
        <v/>
      </c>
      <c r="NFN62" s="87" t="str">
        <f>IF(ISNUMBER(outYear),NFN37+NFN42+#REF!+NFN59,"")</f>
        <v/>
      </c>
      <c r="NFO62" s="87" t="str">
        <f>IF(ISNUMBER(outYear),NFO37+NFO42+#REF!+NFO59,"")</f>
        <v/>
      </c>
      <c r="NFP62" s="87" t="str">
        <f>IF(ISNUMBER(outYear),NFP37+NFP42+#REF!+NFP59,"")</f>
        <v/>
      </c>
      <c r="NFQ62" s="87" t="str">
        <f>IF(ISNUMBER(outYear),NFQ37+NFQ42+#REF!+NFQ59,"")</f>
        <v/>
      </c>
      <c r="NFR62" s="87" t="str">
        <f>IF(ISNUMBER(outYear),NFR37+NFR42+#REF!+NFR59,"")</f>
        <v/>
      </c>
      <c r="NFS62" s="87" t="str">
        <f>IF(ISNUMBER(outYear),NFS37+NFS42+#REF!+NFS59,"")</f>
        <v/>
      </c>
      <c r="NFT62" s="87" t="str">
        <f>IF(ISNUMBER(outYear),NFT37+NFT42+#REF!+NFT59,"")</f>
        <v/>
      </c>
      <c r="NFU62" s="87" t="str">
        <f>IF(ISNUMBER(outYear),NFU37+NFU42+#REF!+NFU59,"")</f>
        <v/>
      </c>
      <c r="NFV62" s="87" t="str">
        <f>IF(ISNUMBER(outYear),NFV37+NFV42+#REF!+NFV59,"")</f>
        <v/>
      </c>
      <c r="NFW62" s="87" t="str">
        <f>IF(ISNUMBER(outYear),NFW37+NFW42+#REF!+NFW59,"")</f>
        <v/>
      </c>
      <c r="NFX62" s="87" t="str">
        <f>IF(ISNUMBER(outYear),NFX37+NFX42+#REF!+NFX59,"")</f>
        <v/>
      </c>
      <c r="NFY62" s="87" t="str">
        <f>IF(ISNUMBER(outYear),NFY37+NFY42+#REF!+NFY59,"")</f>
        <v/>
      </c>
      <c r="NFZ62" s="87" t="str">
        <f>IF(ISNUMBER(outYear),NFZ37+NFZ42+#REF!+NFZ59,"")</f>
        <v/>
      </c>
      <c r="NGA62" s="87" t="str">
        <f>IF(ISNUMBER(outYear),NGA37+NGA42+#REF!+NGA59,"")</f>
        <v/>
      </c>
      <c r="NGB62" s="87" t="str">
        <f>IF(ISNUMBER(outYear),NGB37+NGB42+#REF!+NGB59,"")</f>
        <v/>
      </c>
      <c r="NGC62" s="87" t="str">
        <f>IF(ISNUMBER(outYear),NGC37+NGC42+#REF!+NGC59,"")</f>
        <v/>
      </c>
      <c r="NGD62" s="87" t="str">
        <f>IF(ISNUMBER(outYear),NGD37+NGD42+#REF!+NGD59,"")</f>
        <v/>
      </c>
      <c r="NGE62" s="87" t="str">
        <f>IF(ISNUMBER(outYear),NGE37+NGE42+#REF!+NGE59,"")</f>
        <v/>
      </c>
      <c r="NGF62" s="87" t="str">
        <f>IF(ISNUMBER(outYear),NGF37+NGF42+#REF!+NGF59,"")</f>
        <v/>
      </c>
      <c r="NGG62" s="87" t="str">
        <f>IF(ISNUMBER(outYear),NGG37+NGG42+#REF!+NGG59,"")</f>
        <v/>
      </c>
      <c r="NGH62" s="87" t="str">
        <f>IF(ISNUMBER(outYear),NGH37+NGH42+#REF!+NGH59,"")</f>
        <v/>
      </c>
      <c r="NGI62" s="87" t="str">
        <f>IF(ISNUMBER(outYear),NGI37+NGI42+#REF!+NGI59,"")</f>
        <v/>
      </c>
      <c r="NGJ62" s="87" t="str">
        <f>IF(ISNUMBER(outYear),NGJ37+NGJ42+#REF!+NGJ59,"")</f>
        <v/>
      </c>
      <c r="NGK62" s="87" t="str">
        <f>IF(ISNUMBER(outYear),NGK37+NGK42+#REF!+NGK59,"")</f>
        <v/>
      </c>
      <c r="NGL62" s="87" t="str">
        <f>IF(ISNUMBER(outYear),NGL37+NGL42+#REF!+NGL59,"")</f>
        <v/>
      </c>
      <c r="NGM62" s="87" t="str">
        <f>IF(ISNUMBER(outYear),NGM37+NGM42+#REF!+NGM59,"")</f>
        <v/>
      </c>
      <c r="NGN62" s="87" t="str">
        <f>IF(ISNUMBER(outYear),NGN37+NGN42+#REF!+NGN59,"")</f>
        <v/>
      </c>
      <c r="NGO62" s="87" t="str">
        <f>IF(ISNUMBER(outYear),NGO37+NGO42+#REF!+NGO59,"")</f>
        <v/>
      </c>
      <c r="NGP62" s="87" t="str">
        <f>IF(ISNUMBER(outYear),NGP37+NGP42+#REF!+NGP59,"")</f>
        <v/>
      </c>
      <c r="NGQ62" s="87" t="str">
        <f>IF(ISNUMBER(outYear),NGQ37+NGQ42+#REF!+NGQ59,"")</f>
        <v/>
      </c>
      <c r="NGR62" s="87" t="str">
        <f>IF(ISNUMBER(outYear),NGR37+NGR42+#REF!+NGR59,"")</f>
        <v/>
      </c>
      <c r="NGS62" s="87" t="str">
        <f>IF(ISNUMBER(outYear),NGS37+NGS42+#REF!+NGS59,"")</f>
        <v/>
      </c>
      <c r="NGT62" s="87" t="str">
        <f>IF(ISNUMBER(outYear),NGT37+NGT42+#REF!+NGT59,"")</f>
        <v/>
      </c>
      <c r="NGU62" s="87" t="str">
        <f>IF(ISNUMBER(outYear),NGU37+NGU42+#REF!+NGU59,"")</f>
        <v/>
      </c>
      <c r="NGV62" s="87" t="str">
        <f>IF(ISNUMBER(outYear),NGV37+NGV42+#REF!+NGV59,"")</f>
        <v/>
      </c>
      <c r="NGW62" s="87" t="str">
        <f>IF(ISNUMBER(outYear),NGW37+NGW42+#REF!+NGW59,"")</f>
        <v/>
      </c>
      <c r="NGX62" s="87" t="str">
        <f>IF(ISNUMBER(outYear),NGX37+NGX42+#REF!+NGX59,"")</f>
        <v/>
      </c>
      <c r="NGY62" s="87" t="str">
        <f>IF(ISNUMBER(outYear),NGY37+NGY42+#REF!+NGY59,"")</f>
        <v/>
      </c>
      <c r="NGZ62" s="87" t="str">
        <f>IF(ISNUMBER(outYear),NGZ37+NGZ42+#REF!+NGZ59,"")</f>
        <v/>
      </c>
      <c r="NHA62" s="87" t="str">
        <f>IF(ISNUMBER(outYear),NHA37+NHA42+#REF!+NHA59,"")</f>
        <v/>
      </c>
      <c r="NHB62" s="87" t="str">
        <f>IF(ISNUMBER(outYear),NHB37+NHB42+#REF!+NHB59,"")</f>
        <v/>
      </c>
      <c r="NHC62" s="87" t="str">
        <f>IF(ISNUMBER(outYear),NHC37+NHC42+#REF!+NHC59,"")</f>
        <v/>
      </c>
      <c r="NHD62" s="87" t="str">
        <f>IF(ISNUMBER(outYear),NHD37+NHD42+#REF!+NHD59,"")</f>
        <v/>
      </c>
      <c r="NHE62" s="87" t="str">
        <f>IF(ISNUMBER(outYear),NHE37+NHE42+#REF!+NHE59,"")</f>
        <v/>
      </c>
      <c r="NHF62" s="87" t="str">
        <f>IF(ISNUMBER(outYear),NHF37+NHF42+#REF!+NHF59,"")</f>
        <v/>
      </c>
      <c r="NHG62" s="87" t="str">
        <f>IF(ISNUMBER(outYear),NHG37+NHG42+#REF!+NHG59,"")</f>
        <v/>
      </c>
      <c r="NHH62" s="87" t="str">
        <f>IF(ISNUMBER(outYear),NHH37+NHH42+#REF!+NHH59,"")</f>
        <v/>
      </c>
      <c r="NHI62" s="87" t="str">
        <f>IF(ISNUMBER(outYear),NHI37+NHI42+#REF!+NHI59,"")</f>
        <v/>
      </c>
      <c r="NHJ62" s="87" t="str">
        <f>IF(ISNUMBER(outYear),NHJ37+NHJ42+#REF!+NHJ59,"")</f>
        <v/>
      </c>
      <c r="NHK62" s="87" t="str">
        <f>IF(ISNUMBER(outYear),NHK37+NHK42+#REF!+NHK59,"")</f>
        <v/>
      </c>
      <c r="NHL62" s="87" t="str">
        <f>IF(ISNUMBER(outYear),NHL37+NHL42+#REF!+NHL59,"")</f>
        <v/>
      </c>
      <c r="NHM62" s="87" t="str">
        <f>IF(ISNUMBER(outYear),NHM37+NHM42+#REF!+NHM59,"")</f>
        <v/>
      </c>
      <c r="NHN62" s="87" t="str">
        <f>IF(ISNUMBER(outYear),NHN37+NHN42+#REF!+NHN59,"")</f>
        <v/>
      </c>
      <c r="NHO62" s="87" t="str">
        <f>IF(ISNUMBER(outYear),NHO37+NHO42+#REF!+NHO59,"")</f>
        <v/>
      </c>
      <c r="NHP62" s="87" t="str">
        <f>IF(ISNUMBER(outYear),NHP37+NHP42+#REF!+NHP59,"")</f>
        <v/>
      </c>
      <c r="NHQ62" s="87" t="str">
        <f>IF(ISNUMBER(outYear),NHQ37+NHQ42+#REF!+NHQ59,"")</f>
        <v/>
      </c>
      <c r="NHR62" s="87" t="str">
        <f>IF(ISNUMBER(outYear),NHR37+NHR42+#REF!+NHR59,"")</f>
        <v/>
      </c>
      <c r="NHS62" s="87" t="str">
        <f>IF(ISNUMBER(outYear),NHS37+NHS42+#REF!+NHS59,"")</f>
        <v/>
      </c>
      <c r="NHT62" s="87" t="str">
        <f>IF(ISNUMBER(outYear),NHT37+NHT42+#REF!+NHT59,"")</f>
        <v/>
      </c>
      <c r="NHU62" s="87" t="str">
        <f>IF(ISNUMBER(outYear),NHU37+NHU42+#REF!+NHU59,"")</f>
        <v/>
      </c>
      <c r="NHV62" s="87" t="str">
        <f>IF(ISNUMBER(outYear),NHV37+NHV42+#REF!+NHV59,"")</f>
        <v/>
      </c>
      <c r="NHW62" s="87" t="str">
        <f>IF(ISNUMBER(outYear),NHW37+NHW42+#REF!+NHW59,"")</f>
        <v/>
      </c>
      <c r="NHX62" s="87" t="str">
        <f>IF(ISNUMBER(outYear),NHX37+NHX42+#REF!+NHX59,"")</f>
        <v/>
      </c>
      <c r="NHY62" s="87" t="str">
        <f>IF(ISNUMBER(outYear),NHY37+NHY42+#REF!+NHY59,"")</f>
        <v/>
      </c>
      <c r="NHZ62" s="87" t="str">
        <f>IF(ISNUMBER(outYear),NHZ37+NHZ42+#REF!+NHZ59,"")</f>
        <v/>
      </c>
      <c r="NIA62" s="87" t="str">
        <f>IF(ISNUMBER(outYear),NIA37+NIA42+#REF!+NIA59,"")</f>
        <v/>
      </c>
      <c r="NIB62" s="87" t="str">
        <f>IF(ISNUMBER(outYear),NIB37+NIB42+#REF!+NIB59,"")</f>
        <v/>
      </c>
      <c r="NIC62" s="87" t="str">
        <f>IF(ISNUMBER(outYear),NIC37+NIC42+#REF!+NIC59,"")</f>
        <v/>
      </c>
      <c r="NID62" s="87" t="str">
        <f>IF(ISNUMBER(outYear),NID37+NID42+#REF!+NID59,"")</f>
        <v/>
      </c>
      <c r="NIE62" s="87" t="str">
        <f>IF(ISNUMBER(outYear),NIE37+NIE42+#REF!+NIE59,"")</f>
        <v/>
      </c>
      <c r="NIF62" s="87" t="str">
        <f>IF(ISNUMBER(outYear),NIF37+NIF42+#REF!+NIF59,"")</f>
        <v/>
      </c>
      <c r="NIG62" s="87" t="str">
        <f>IF(ISNUMBER(outYear),NIG37+NIG42+#REF!+NIG59,"")</f>
        <v/>
      </c>
      <c r="NIH62" s="87" t="str">
        <f>IF(ISNUMBER(outYear),NIH37+NIH42+#REF!+NIH59,"")</f>
        <v/>
      </c>
      <c r="NII62" s="87" t="str">
        <f>IF(ISNUMBER(outYear),NII37+NII42+#REF!+NII59,"")</f>
        <v/>
      </c>
      <c r="NIJ62" s="87" t="str">
        <f>IF(ISNUMBER(outYear),NIJ37+NIJ42+#REF!+NIJ59,"")</f>
        <v/>
      </c>
      <c r="NIK62" s="87" t="str">
        <f>IF(ISNUMBER(outYear),NIK37+NIK42+#REF!+NIK59,"")</f>
        <v/>
      </c>
      <c r="NIL62" s="87" t="str">
        <f>IF(ISNUMBER(outYear),NIL37+NIL42+#REF!+NIL59,"")</f>
        <v/>
      </c>
      <c r="NIM62" s="87" t="str">
        <f>IF(ISNUMBER(outYear),NIM37+NIM42+#REF!+NIM59,"")</f>
        <v/>
      </c>
      <c r="NIN62" s="87" t="str">
        <f>IF(ISNUMBER(outYear),NIN37+NIN42+#REF!+NIN59,"")</f>
        <v/>
      </c>
      <c r="NIO62" s="87" t="str">
        <f>IF(ISNUMBER(outYear),NIO37+NIO42+#REF!+NIO59,"")</f>
        <v/>
      </c>
      <c r="NIP62" s="87" t="str">
        <f>IF(ISNUMBER(outYear),NIP37+NIP42+#REF!+NIP59,"")</f>
        <v/>
      </c>
      <c r="NIQ62" s="87" t="str">
        <f>IF(ISNUMBER(outYear),NIQ37+NIQ42+#REF!+NIQ59,"")</f>
        <v/>
      </c>
      <c r="NIR62" s="87" t="str">
        <f>IF(ISNUMBER(outYear),NIR37+NIR42+#REF!+NIR59,"")</f>
        <v/>
      </c>
      <c r="NIS62" s="87" t="str">
        <f>IF(ISNUMBER(outYear),NIS37+NIS42+#REF!+NIS59,"")</f>
        <v/>
      </c>
      <c r="NIT62" s="87" t="str">
        <f>IF(ISNUMBER(outYear),NIT37+NIT42+#REF!+NIT59,"")</f>
        <v/>
      </c>
      <c r="NIU62" s="87" t="str">
        <f>IF(ISNUMBER(outYear),NIU37+NIU42+#REF!+NIU59,"")</f>
        <v/>
      </c>
      <c r="NIV62" s="87" t="str">
        <f>IF(ISNUMBER(outYear),NIV37+NIV42+#REF!+NIV59,"")</f>
        <v/>
      </c>
      <c r="NIW62" s="87" t="str">
        <f>IF(ISNUMBER(outYear),NIW37+NIW42+#REF!+NIW59,"")</f>
        <v/>
      </c>
      <c r="NIX62" s="87" t="str">
        <f>IF(ISNUMBER(outYear),NIX37+NIX42+#REF!+NIX59,"")</f>
        <v/>
      </c>
      <c r="NIY62" s="87" t="str">
        <f>IF(ISNUMBER(outYear),NIY37+NIY42+#REF!+NIY59,"")</f>
        <v/>
      </c>
      <c r="NIZ62" s="87" t="str">
        <f>IF(ISNUMBER(outYear),NIZ37+NIZ42+#REF!+NIZ59,"")</f>
        <v/>
      </c>
      <c r="NJA62" s="87" t="str">
        <f>IF(ISNUMBER(outYear),NJA37+NJA42+#REF!+NJA59,"")</f>
        <v/>
      </c>
      <c r="NJB62" s="87" t="str">
        <f>IF(ISNUMBER(outYear),NJB37+NJB42+#REF!+NJB59,"")</f>
        <v/>
      </c>
      <c r="NJC62" s="87" t="str">
        <f>IF(ISNUMBER(outYear),NJC37+NJC42+#REF!+NJC59,"")</f>
        <v/>
      </c>
      <c r="NJD62" s="87" t="str">
        <f>IF(ISNUMBER(outYear),NJD37+NJD42+#REF!+NJD59,"")</f>
        <v/>
      </c>
      <c r="NJE62" s="87" t="str">
        <f>IF(ISNUMBER(outYear),NJE37+NJE42+#REF!+NJE59,"")</f>
        <v/>
      </c>
      <c r="NJF62" s="87" t="str">
        <f>IF(ISNUMBER(outYear),NJF37+NJF42+#REF!+NJF59,"")</f>
        <v/>
      </c>
      <c r="NJG62" s="87" t="str">
        <f>IF(ISNUMBER(outYear),NJG37+NJG42+#REF!+NJG59,"")</f>
        <v/>
      </c>
      <c r="NJH62" s="87" t="str">
        <f>IF(ISNUMBER(outYear),NJH37+NJH42+#REF!+NJH59,"")</f>
        <v/>
      </c>
      <c r="NJI62" s="87" t="str">
        <f>IF(ISNUMBER(outYear),NJI37+NJI42+#REF!+NJI59,"")</f>
        <v/>
      </c>
      <c r="NJJ62" s="87" t="str">
        <f>IF(ISNUMBER(outYear),NJJ37+NJJ42+#REF!+NJJ59,"")</f>
        <v/>
      </c>
      <c r="NJK62" s="87" t="str">
        <f>IF(ISNUMBER(outYear),NJK37+NJK42+#REF!+NJK59,"")</f>
        <v/>
      </c>
      <c r="NJL62" s="87" t="str">
        <f>IF(ISNUMBER(outYear),NJL37+NJL42+#REF!+NJL59,"")</f>
        <v/>
      </c>
      <c r="NJM62" s="87" t="str">
        <f>IF(ISNUMBER(outYear),NJM37+NJM42+#REF!+NJM59,"")</f>
        <v/>
      </c>
      <c r="NJN62" s="87" t="str">
        <f>IF(ISNUMBER(outYear),NJN37+NJN42+#REF!+NJN59,"")</f>
        <v/>
      </c>
      <c r="NJO62" s="87" t="str">
        <f>IF(ISNUMBER(outYear),NJO37+NJO42+#REF!+NJO59,"")</f>
        <v/>
      </c>
      <c r="NJP62" s="87" t="str">
        <f>IF(ISNUMBER(outYear),NJP37+NJP42+#REF!+NJP59,"")</f>
        <v/>
      </c>
      <c r="NJQ62" s="87" t="str">
        <f>IF(ISNUMBER(outYear),NJQ37+NJQ42+#REF!+NJQ59,"")</f>
        <v/>
      </c>
      <c r="NJR62" s="87" t="str">
        <f>IF(ISNUMBER(outYear),NJR37+NJR42+#REF!+NJR59,"")</f>
        <v/>
      </c>
      <c r="NJS62" s="87" t="str">
        <f>IF(ISNUMBER(outYear),NJS37+NJS42+#REF!+NJS59,"")</f>
        <v/>
      </c>
      <c r="NJT62" s="87" t="str">
        <f>IF(ISNUMBER(outYear),NJT37+NJT42+#REF!+NJT59,"")</f>
        <v/>
      </c>
      <c r="NJU62" s="87" t="str">
        <f>IF(ISNUMBER(outYear),NJU37+NJU42+#REF!+NJU59,"")</f>
        <v/>
      </c>
      <c r="NJV62" s="87" t="str">
        <f>IF(ISNUMBER(outYear),NJV37+NJV42+#REF!+NJV59,"")</f>
        <v/>
      </c>
      <c r="NJW62" s="87" t="str">
        <f>IF(ISNUMBER(outYear),NJW37+NJW42+#REF!+NJW59,"")</f>
        <v/>
      </c>
      <c r="NJX62" s="87" t="str">
        <f>IF(ISNUMBER(outYear),NJX37+NJX42+#REF!+NJX59,"")</f>
        <v/>
      </c>
      <c r="NJY62" s="87" t="str">
        <f>IF(ISNUMBER(outYear),NJY37+NJY42+#REF!+NJY59,"")</f>
        <v/>
      </c>
      <c r="NJZ62" s="87" t="str">
        <f>IF(ISNUMBER(outYear),NJZ37+NJZ42+#REF!+NJZ59,"")</f>
        <v/>
      </c>
      <c r="NKA62" s="87" t="str">
        <f>IF(ISNUMBER(outYear),NKA37+NKA42+#REF!+NKA59,"")</f>
        <v/>
      </c>
      <c r="NKB62" s="87" t="str">
        <f>IF(ISNUMBER(outYear),NKB37+NKB42+#REF!+NKB59,"")</f>
        <v/>
      </c>
      <c r="NKC62" s="87" t="str">
        <f>IF(ISNUMBER(outYear),NKC37+NKC42+#REF!+NKC59,"")</f>
        <v/>
      </c>
      <c r="NKD62" s="87" t="str">
        <f>IF(ISNUMBER(outYear),NKD37+NKD42+#REF!+NKD59,"")</f>
        <v/>
      </c>
      <c r="NKE62" s="87" t="str">
        <f>IF(ISNUMBER(outYear),NKE37+NKE42+#REF!+NKE59,"")</f>
        <v/>
      </c>
      <c r="NKF62" s="87" t="str">
        <f>IF(ISNUMBER(outYear),NKF37+NKF42+#REF!+NKF59,"")</f>
        <v/>
      </c>
      <c r="NKG62" s="87" t="str">
        <f>IF(ISNUMBER(outYear),NKG37+NKG42+#REF!+NKG59,"")</f>
        <v/>
      </c>
      <c r="NKH62" s="87" t="str">
        <f>IF(ISNUMBER(outYear),NKH37+NKH42+#REF!+NKH59,"")</f>
        <v/>
      </c>
      <c r="NKI62" s="87" t="str">
        <f>IF(ISNUMBER(outYear),NKI37+NKI42+#REF!+NKI59,"")</f>
        <v/>
      </c>
      <c r="NKJ62" s="87" t="str">
        <f>IF(ISNUMBER(outYear),NKJ37+NKJ42+#REF!+NKJ59,"")</f>
        <v/>
      </c>
      <c r="NKK62" s="87" t="str">
        <f>IF(ISNUMBER(outYear),NKK37+NKK42+#REF!+NKK59,"")</f>
        <v/>
      </c>
      <c r="NKL62" s="87" t="str">
        <f>IF(ISNUMBER(outYear),NKL37+NKL42+#REF!+NKL59,"")</f>
        <v/>
      </c>
      <c r="NKM62" s="87" t="str">
        <f>IF(ISNUMBER(outYear),NKM37+NKM42+#REF!+NKM59,"")</f>
        <v/>
      </c>
      <c r="NKN62" s="87" t="str">
        <f>IF(ISNUMBER(outYear),NKN37+NKN42+#REF!+NKN59,"")</f>
        <v/>
      </c>
      <c r="NKO62" s="87" t="str">
        <f>IF(ISNUMBER(outYear),NKO37+NKO42+#REF!+NKO59,"")</f>
        <v/>
      </c>
      <c r="NKP62" s="87" t="str">
        <f>IF(ISNUMBER(outYear),NKP37+NKP42+#REF!+NKP59,"")</f>
        <v/>
      </c>
      <c r="NKQ62" s="87" t="str">
        <f>IF(ISNUMBER(outYear),NKQ37+NKQ42+#REF!+NKQ59,"")</f>
        <v/>
      </c>
      <c r="NKR62" s="87" t="str">
        <f>IF(ISNUMBER(outYear),NKR37+NKR42+#REF!+NKR59,"")</f>
        <v/>
      </c>
      <c r="NKS62" s="87" t="str">
        <f>IF(ISNUMBER(outYear),NKS37+NKS42+#REF!+NKS59,"")</f>
        <v/>
      </c>
      <c r="NKT62" s="87" t="str">
        <f>IF(ISNUMBER(outYear),NKT37+NKT42+#REF!+NKT59,"")</f>
        <v/>
      </c>
      <c r="NKU62" s="87" t="str">
        <f>IF(ISNUMBER(outYear),NKU37+NKU42+#REF!+NKU59,"")</f>
        <v/>
      </c>
      <c r="NKV62" s="87" t="str">
        <f>IF(ISNUMBER(outYear),NKV37+NKV42+#REF!+NKV59,"")</f>
        <v/>
      </c>
      <c r="NKW62" s="87" t="str">
        <f>IF(ISNUMBER(outYear),NKW37+NKW42+#REF!+NKW59,"")</f>
        <v/>
      </c>
      <c r="NKX62" s="87" t="str">
        <f>IF(ISNUMBER(outYear),NKX37+NKX42+#REF!+NKX59,"")</f>
        <v/>
      </c>
      <c r="NKY62" s="87" t="str">
        <f>IF(ISNUMBER(outYear),NKY37+NKY42+#REF!+NKY59,"")</f>
        <v/>
      </c>
      <c r="NKZ62" s="87" t="str">
        <f>IF(ISNUMBER(outYear),NKZ37+NKZ42+#REF!+NKZ59,"")</f>
        <v/>
      </c>
      <c r="NLA62" s="87" t="str">
        <f>IF(ISNUMBER(outYear),NLA37+NLA42+#REF!+NLA59,"")</f>
        <v/>
      </c>
      <c r="NLB62" s="87" t="str">
        <f>IF(ISNUMBER(outYear),NLB37+NLB42+#REF!+NLB59,"")</f>
        <v/>
      </c>
      <c r="NLC62" s="87" t="str">
        <f>IF(ISNUMBER(outYear),NLC37+NLC42+#REF!+NLC59,"")</f>
        <v/>
      </c>
      <c r="NLD62" s="87" t="str">
        <f>IF(ISNUMBER(outYear),NLD37+NLD42+#REF!+NLD59,"")</f>
        <v/>
      </c>
      <c r="NLE62" s="87" t="str">
        <f>IF(ISNUMBER(outYear),NLE37+NLE42+#REF!+NLE59,"")</f>
        <v/>
      </c>
      <c r="NLF62" s="87" t="str">
        <f>IF(ISNUMBER(outYear),NLF37+NLF42+#REF!+NLF59,"")</f>
        <v/>
      </c>
      <c r="NLG62" s="87" t="str">
        <f>IF(ISNUMBER(outYear),NLG37+NLG42+#REF!+NLG59,"")</f>
        <v/>
      </c>
      <c r="NLH62" s="87" t="str">
        <f>IF(ISNUMBER(outYear),NLH37+NLH42+#REF!+NLH59,"")</f>
        <v/>
      </c>
      <c r="NLI62" s="87" t="str">
        <f>IF(ISNUMBER(outYear),NLI37+NLI42+#REF!+NLI59,"")</f>
        <v/>
      </c>
      <c r="NLJ62" s="87" t="str">
        <f>IF(ISNUMBER(outYear),NLJ37+NLJ42+#REF!+NLJ59,"")</f>
        <v/>
      </c>
      <c r="NLK62" s="87" t="str">
        <f>IF(ISNUMBER(outYear),NLK37+NLK42+#REF!+NLK59,"")</f>
        <v/>
      </c>
      <c r="NLL62" s="87" t="str">
        <f>IF(ISNUMBER(outYear),NLL37+NLL42+#REF!+NLL59,"")</f>
        <v/>
      </c>
      <c r="NLM62" s="87" t="str">
        <f>IF(ISNUMBER(outYear),NLM37+NLM42+#REF!+NLM59,"")</f>
        <v/>
      </c>
      <c r="NLN62" s="87" t="str">
        <f>IF(ISNUMBER(outYear),NLN37+NLN42+#REF!+NLN59,"")</f>
        <v/>
      </c>
      <c r="NLO62" s="87" t="str">
        <f>IF(ISNUMBER(outYear),NLO37+NLO42+#REF!+NLO59,"")</f>
        <v/>
      </c>
      <c r="NLP62" s="87" t="str">
        <f>IF(ISNUMBER(outYear),NLP37+NLP42+#REF!+NLP59,"")</f>
        <v/>
      </c>
      <c r="NLQ62" s="87" t="str">
        <f>IF(ISNUMBER(outYear),NLQ37+NLQ42+#REF!+NLQ59,"")</f>
        <v/>
      </c>
      <c r="NLR62" s="87" t="str">
        <f>IF(ISNUMBER(outYear),NLR37+NLR42+#REF!+NLR59,"")</f>
        <v/>
      </c>
      <c r="NLS62" s="87" t="str">
        <f>IF(ISNUMBER(outYear),NLS37+NLS42+#REF!+NLS59,"")</f>
        <v/>
      </c>
      <c r="NLT62" s="87" t="str">
        <f>IF(ISNUMBER(outYear),NLT37+NLT42+#REF!+NLT59,"")</f>
        <v/>
      </c>
      <c r="NLU62" s="87" t="str">
        <f>IF(ISNUMBER(outYear),NLU37+NLU42+#REF!+NLU59,"")</f>
        <v/>
      </c>
      <c r="NLV62" s="87" t="str">
        <f>IF(ISNUMBER(outYear),NLV37+NLV42+#REF!+NLV59,"")</f>
        <v/>
      </c>
      <c r="NLW62" s="87" t="str">
        <f>IF(ISNUMBER(outYear),NLW37+NLW42+#REF!+NLW59,"")</f>
        <v/>
      </c>
      <c r="NLX62" s="87" t="str">
        <f>IF(ISNUMBER(outYear),NLX37+NLX42+#REF!+NLX59,"")</f>
        <v/>
      </c>
      <c r="NLY62" s="87" t="str">
        <f>IF(ISNUMBER(outYear),NLY37+NLY42+#REF!+NLY59,"")</f>
        <v/>
      </c>
      <c r="NLZ62" s="87" t="str">
        <f>IF(ISNUMBER(outYear),NLZ37+NLZ42+#REF!+NLZ59,"")</f>
        <v/>
      </c>
      <c r="NMA62" s="87" t="str">
        <f>IF(ISNUMBER(outYear),NMA37+NMA42+#REF!+NMA59,"")</f>
        <v/>
      </c>
      <c r="NMB62" s="87" t="str">
        <f>IF(ISNUMBER(outYear),NMB37+NMB42+#REF!+NMB59,"")</f>
        <v/>
      </c>
      <c r="NMC62" s="87" t="str">
        <f>IF(ISNUMBER(outYear),NMC37+NMC42+#REF!+NMC59,"")</f>
        <v/>
      </c>
      <c r="NMD62" s="87" t="str">
        <f>IF(ISNUMBER(outYear),NMD37+NMD42+#REF!+NMD59,"")</f>
        <v/>
      </c>
      <c r="NME62" s="87" t="str">
        <f>IF(ISNUMBER(outYear),NME37+NME42+#REF!+NME59,"")</f>
        <v/>
      </c>
      <c r="NMF62" s="87" t="str">
        <f>IF(ISNUMBER(outYear),NMF37+NMF42+#REF!+NMF59,"")</f>
        <v/>
      </c>
      <c r="NMG62" s="87" t="str">
        <f>IF(ISNUMBER(outYear),NMG37+NMG42+#REF!+NMG59,"")</f>
        <v/>
      </c>
      <c r="NMH62" s="87" t="str">
        <f>IF(ISNUMBER(outYear),NMH37+NMH42+#REF!+NMH59,"")</f>
        <v/>
      </c>
      <c r="NMI62" s="87" t="str">
        <f>IF(ISNUMBER(outYear),NMI37+NMI42+#REF!+NMI59,"")</f>
        <v/>
      </c>
      <c r="NMJ62" s="87" t="str">
        <f>IF(ISNUMBER(outYear),NMJ37+NMJ42+#REF!+NMJ59,"")</f>
        <v/>
      </c>
      <c r="NMK62" s="87" t="str">
        <f>IF(ISNUMBER(outYear),NMK37+NMK42+#REF!+NMK59,"")</f>
        <v/>
      </c>
      <c r="NML62" s="87" t="str">
        <f>IF(ISNUMBER(outYear),NML37+NML42+#REF!+NML59,"")</f>
        <v/>
      </c>
      <c r="NMM62" s="87" t="str">
        <f>IF(ISNUMBER(outYear),NMM37+NMM42+#REF!+NMM59,"")</f>
        <v/>
      </c>
      <c r="NMN62" s="87" t="str">
        <f>IF(ISNUMBER(outYear),NMN37+NMN42+#REF!+NMN59,"")</f>
        <v/>
      </c>
      <c r="NMO62" s="87" t="str">
        <f>IF(ISNUMBER(outYear),NMO37+NMO42+#REF!+NMO59,"")</f>
        <v/>
      </c>
      <c r="NMP62" s="87" t="str">
        <f>IF(ISNUMBER(outYear),NMP37+NMP42+#REF!+NMP59,"")</f>
        <v/>
      </c>
      <c r="NMQ62" s="87" t="str">
        <f>IF(ISNUMBER(outYear),NMQ37+NMQ42+#REF!+NMQ59,"")</f>
        <v/>
      </c>
      <c r="NMR62" s="87" t="str">
        <f>IF(ISNUMBER(outYear),NMR37+NMR42+#REF!+NMR59,"")</f>
        <v/>
      </c>
      <c r="NMS62" s="87" t="str">
        <f>IF(ISNUMBER(outYear),NMS37+NMS42+#REF!+NMS59,"")</f>
        <v/>
      </c>
      <c r="NMT62" s="87" t="str">
        <f>IF(ISNUMBER(outYear),NMT37+NMT42+#REF!+NMT59,"")</f>
        <v/>
      </c>
      <c r="NMU62" s="87" t="str">
        <f>IF(ISNUMBER(outYear),NMU37+NMU42+#REF!+NMU59,"")</f>
        <v/>
      </c>
      <c r="NMV62" s="87" t="str">
        <f>IF(ISNUMBER(outYear),NMV37+NMV42+#REF!+NMV59,"")</f>
        <v/>
      </c>
      <c r="NMW62" s="87" t="str">
        <f>IF(ISNUMBER(outYear),NMW37+NMW42+#REF!+NMW59,"")</f>
        <v/>
      </c>
      <c r="NMX62" s="87" t="str">
        <f>IF(ISNUMBER(outYear),NMX37+NMX42+#REF!+NMX59,"")</f>
        <v/>
      </c>
      <c r="NMY62" s="87" t="str">
        <f>IF(ISNUMBER(outYear),NMY37+NMY42+#REF!+NMY59,"")</f>
        <v/>
      </c>
      <c r="NMZ62" s="87" t="str">
        <f>IF(ISNUMBER(outYear),NMZ37+NMZ42+#REF!+NMZ59,"")</f>
        <v/>
      </c>
      <c r="NNA62" s="87" t="str">
        <f>IF(ISNUMBER(outYear),NNA37+NNA42+#REF!+NNA59,"")</f>
        <v/>
      </c>
      <c r="NNB62" s="87" t="str">
        <f>IF(ISNUMBER(outYear),NNB37+NNB42+#REF!+NNB59,"")</f>
        <v/>
      </c>
      <c r="NNC62" s="87" t="str">
        <f>IF(ISNUMBER(outYear),NNC37+NNC42+#REF!+NNC59,"")</f>
        <v/>
      </c>
      <c r="NND62" s="87" t="str">
        <f>IF(ISNUMBER(outYear),NND37+NND42+#REF!+NND59,"")</f>
        <v/>
      </c>
      <c r="NNE62" s="87" t="str">
        <f>IF(ISNUMBER(outYear),NNE37+NNE42+#REF!+NNE59,"")</f>
        <v/>
      </c>
      <c r="NNF62" s="87" t="str">
        <f>IF(ISNUMBER(outYear),NNF37+NNF42+#REF!+NNF59,"")</f>
        <v/>
      </c>
      <c r="NNG62" s="87" t="str">
        <f>IF(ISNUMBER(outYear),NNG37+NNG42+#REF!+NNG59,"")</f>
        <v/>
      </c>
      <c r="NNH62" s="87" t="str">
        <f>IF(ISNUMBER(outYear),NNH37+NNH42+#REF!+NNH59,"")</f>
        <v/>
      </c>
      <c r="NNI62" s="87" t="str">
        <f>IF(ISNUMBER(outYear),NNI37+NNI42+#REF!+NNI59,"")</f>
        <v/>
      </c>
      <c r="NNJ62" s="87" t="str">
        <f>IF(ISNUMBER(outYear),NNJ37+NNJ42+#REF!+NNJ59,"")</f>
        <v/>
      </c>
      <c r="NNK62" s="87" t="str">
        <f>IF(ISNUMBER(outYear),NNK37+NNK42+#REF!+NNK59,"")</f>
        <v/>
      </c>
      <c r="NNL62" s="87" t="str">
        <f>IF(ISNUMBER(outYear),NNL37+NNL42+#REF!+NNL59,"")</f>
        <v/>
      </c>
      <c r="NNM62" s="87" t="str">
        <f>IF(ISNUMBER(outYear),NNM37+NNM42+#REF!+NNM59,"")</f>
        <v/>
      </c>
      <c r="NNN62" s="87" t="str">
        <f>IF(ISNUMBER(outYear),NNN37+NNN42+#REF!+NNN59,"")</f>
        <v/>
      </c>
      <c r="NNO62" s="87" t="str">
        <f>IF(ISNUMBER(outYear),NNO37+NNO42+#REF!+NNO59,"")</f>
        <v/>
      </c>
      <c r="NNP62" s="87" t="str">
        <f>IF(ISNUMBER(outYear),NNP37+NNP42+#REF!+NNP59,"")</f>
        <v/>
      </c>
      <c r="NNQ62" s="87" t="str">
        <f>IF(ISNUMBER(outYear),NNQ37+NNQ42+#REF!+NNQ59,"")</f>
        <v/>
      </c>
      <c r="NNR62" s="87" t="str">
        <f>IF(ISNUMBER(outYear),NNR37+NNR42+#REF!+NNR59,"")</f>
        <v/>
      </c>
      <c r="NNS62" s="87" t="str">
        <f>IF(ISNUMBER(outYear),NNS37+NNS42+#REF!+NNS59,"")</f>
        <v/>
      </c>
      <c r="NNT62" s="87" t="str">
        <f>IF(ISNUMBER(outYear),NNT37+NNT42+#REF!+NNT59,"")</f>
        <v/>
      </c>
      <c r="NNU62" s="87" t="str">
        <f>IF(ISNUMBER(outYear),NNU37+NNU42+#REF!+NNU59,"")</f>
        <v/>
      </c>
      <c r="NNV62" s="87" t="str">
        <f>IF(ISNUMBER(outYear),NNV37+NNV42+#REF!+NNV59,"")</f>
        <v/>
      </c>
      <c r="NNW62" s="87" t="str">
        <f>IF(ISNUMBER(outYear),NNW37+NNW42+#REF!+NNW59,"")</f>
        <v/>
      </c>
      <c r="NNX62" s="87" t="str">
        <f>IF(ISNUMBER(outYear),NNX37+NNX42+#REF!+NNX59,"")</f>
        <v/>
      </c>
      <c r="NNY62" s="87" t="str">
        <f>IF(ISNUMBER(outYear),NNY37+NNY42+#REF!+NNY59,"")</f>
        <v/>
      </c>
      <c r="NNZ62" s="87" t="str">
        <f>IF(ISNUMBER(outYear),NNZ37+NNZ42+#REF!+NNZ59,"")</f>
        <v/>
      </c>
      <c r="NOA62" s="87" t="str">
        <f>IF(ISNUMBER(outYear),NOA37+NOA42+#REF!+NOA59,"")</f>
        <v/>
      </c>
      <c r="NOB62" s="87" t="str">
        <f>IF(ISNUMBER(outYear),NOB37+NOB42+#REF!+NOB59,"")</f>
        <v/>
      </c>
      <c r="NOC62" s="87" t="str">
        <f>IF(ISNUMBER(outYear),NOC37+NOC42+#REF!+NOC59,"")</f>
        <v/>
      </c>
      <c r="NOD62" s="87" t="str">
        <f>IF(ISNUMBER(outYear),NOD37+NOD42+#REF!+NOD59,"")</f>
        <v/>
      </c>
      <c r="NOE62" s="87" t="str">
        <f>IF(ISNUMBER(outYear),NOE37+NOE42+#REF!+NOE59,"")</f>
        <v/>
      </c>
      <c r="NOF62" s="87" t="str">
        <f>IF(ISNUMBER(outYear),NOF37+NOF42+#REF!+NOF59,"")</f>
        <v/>
      </c>
      <c r="NOG62" s="87" t="str">
        <f>IF(ISNUMBER(outYear),NOG37+NOG42+#REF!+NOG59,"")</f>
        <v/>
      </c>
      <c r="NOH62" s="87" t="str">
        <f>IF(ISNUMBER(outYear),NOH37+NOH42+#REF!+NOH59,"")</f>
        <v/>
      </c>
      <c r="NOI62" s="87" t="str">
        <f>IF(ISNUMBER(outYear),NOI37+NOI42+#REF!+NOI59,"")</f>
        <v/>
      </c>
      <c r="NOJ62" s="87" t="str">
        <f>IF(ISNUMBER(outYear),NOJ37+NOJ42+#REF!+NOJ59,"")</f>
        <v/>
      </c>
      <c r="NOK62" s="87" t="str">
        <f>IF(ISNUMBER(outYear),NOK37+NOK42+#REF!+NOK59,"")</f>
        <v/>
      </c>
      <c r="NOL62" s="87" t="str">
        <f>IF(ISNUMBER(outYear),NOL37+NOL42+#REF!+NOL59,"")</f>
        <v/>
      </c>
      <c r="NOM62" s="87" t="str">
        <f>IF(ISNUMBER(outYear),NOM37+NOM42+#REF!+NOM59,"")</f>
        <v/>
      </c>
      <c r="NON62" s="87" t="str">
        <f>IF(ISNUMBER(outYear),NON37+NON42+#REF!+NON59,"")</f>
        <v/>
      </c>
      <c r="NOO62" s="87" t="str">
        <f>IF(ISNUMBER(outYear),NOO37+NOO42+#REF!+NOO59,"")</f>
        <v/>
      </c>
      <c r="NOP62" s="87" t="str">
        <f>IF(ISNUMBER(outYear),NOP37+NOP42+#REF!+NOP59,"")</f>
        <v/>
      </c>
      <c r="NOQ62" s="87" t="str">
        <f>IF(ISNUMBER(outYear),NOQ37+NOQ42+#REF!+NOQ59,"")</f>
        <v/>
      </c>
      <c r="NOR62" s="87" t="str">
        <f>IF(ISNUMBER(outYear),NOR37+NOR42+#REF!+NOR59,"")</f>
        <v/>
      </c>
      <c r="NOS62" s="87" t="str">
        <f>IF(ISNUMBER(outYear),NOS37+NOS42+#REF!+NOS59,"")</f>
        <v/>
      </c>
      <c r="NOT62" s="87" t="str">
        <f>IF(ISNUMBER(outYear),NOT37+NOT42+#REF!+NOT59,"")</f>
        <v/>
      </c>
      <c r="NOU62" s="87" t="str">
        <f>IF(ISNUMBER(outYear),NOU37+NOU42+#REF!+NOU59,"")</f>
        <v/>
      </c>
      <c r="NOV62" s="87" t="str">
        <f>IF(ISNUMBER(outYear),NOV37+NOV42+#REF!+NOV59,"")</f>
        <v/>
      </c>
      <c r="NOW62" s="87" t="str">
        <f>IF(ISNUMBER(outYear),NOW37+NOW42+#REF!+NOW59,"")</f>
        <v/>
      </c>
      <c r="NOX62" s="87" t="str">
        <f>IF(ISNUMBER(outYear),NOX37+NOX42+#REF!+NOX59,"")</f>
        <v/>
      </c>
      <c r="NOY62" s="87" t="str">
        <f>IF(ISNUMBER(outYear),NOY37+NOY42+#REF!+NOY59,"")</f>
        <v/>
      </c>
      <c r="NOZ62" s="87" t="str">
        <f>IF(ISNUMBER(outYear),NOZ37+NOZ42+#REF!+NOZ59,"")</f>
        <v/>
      </c>
      <c r="NPA62" s="87" t="str">
        <f>IF(ISNUMBER(outYear),NPA37+NPA42+#REF!+NPA59,"")</f>
        <v/>
      </c>
      <c r="NPB62" s="87" t="str">
        <f>IF(ISNUMBER(outYear),NPB37+NPB42+#REF!+NPB59,"")</f>
        <v/>
      </c>
      <c r="NPC62" s="87" t="str">
        <f>IF(ISNUMBER(outYear),NPC37+NPC42+#REF!+NPC59,"")</f>
        <v/>
      </c>
      <c r="NPD62" s="87" t="str">
        <f>IF(ISNUMBER(outYear),NPD37+NPD42+#REF!+NPD59,"")</f>
        <v/>
      </c>
      <c r="NPE62" s="87" t="str">
        <f>IF(ISNUMBER(outYear),NPE37+NPE42+#REF!+NPE59,"")</f>
        <v/>
      </c>
      <c r="NPF62" s="87" t="str">
        <f>IF(ISNUMBER(outYear),NPF37+NPF42+#REF!+NPF59,"")</f>
        <v/>
      </c>
      <c r="NPG62" s="87" t="str">
        <f>IF(ISNUMBER(outYear),NPG37+NPG42+#REF!+NPG59,"")</f>
        <v/>
      </c>
      <c r="NPH62" s="87" t="str">
        <f>IF(ISNUMBER(outYear),NPH37+NPH42+#REF!+NPH59,"")</f>
        <v/>
      </c>
      <c r="NPI62" s="87" t="str">
        <f>IF(ISNUMBER(outYear),NPI37+NPI42+#REF!+NPI59,"")</f>
        <v/>
      </c>
      <c r="NPJ62" s="87" t="str">
        <f>IF(ISNUMBER(outYear),NPJ37+NPJ42+#REF!+NPJ59,"")</f>
        <v/>
      </c>
      <c r="NPK62" s="87" t="str">
        <f>IF(ISNUMBER(outYear),NPK37+NPK42+#REF!+NPK59,"")</f>
        <v/>
      </c>
      <c r="NPL62" s="87" t="str">
        <f>IF(ISNUMBER(outYear),NPL37+NPL42+#REF!+NPL59,"")</f>
        <v/>
      </c>
      <c r="NPM62" s="87" t="str">
        <f>IF(ISNUMBER(outYear),NPM37+NPM42+#REF!+NPM59,"")</f>
        <v/>
      </c>
      <c r="NPN62" s="87" t="str">
        <f>IF(ISNUMBER(outYear),NPN37+NPN42+#REF!+NPN59,"")</f>
        <v/>
      </c>
      <c r="NPO62" s="87" t="str">
        <f>IF(ISNUMBER(outYear),NPO37+NPO42+#REF!+NPO59,"")</f>
        <v/>
      </c>
      <c r="NPP62" s="87" t="str">
        <f>IF(ISNUMBER(outYear),NPP37+NPP42+#REF!+NPP59,"")</f>
        <v/>
      </c>
      <c r="NPQ62" s="87" t="str">
        <f>IF(ISNUMBER(outYear),NPQ37+NPQ42+#REF!+NPQ59,"")</f>
        <v/>
      </c>
      <c r="NPR62" s="87" t="str">
        <f>IF(ISNUMBER(outYear),NPR37+NPR42+#REF!+NPR59,"")</f>
        <v/>
      </c>
      <c r="NPS62" s="87" t="str">
        <f>IF(ISNUMBER(outYear),NPS37+NPS42+#REF!+NPS59,"")</f>
        <v/>
      </c>
      <c r="NPT62" s="87" t="str">
        <f>IF(ISNUMBER(outYear),NPT37+NPT42+#REF!+NPT59,"")</f>
        <v/>
      </c>
      <c r="NPU62" s="87" t="str">
        <f>IF(ISNUMBER(outYear),NPU37+NPU42+#REF!+NPU59,"")</f>
        <v/>
      </c>
      <c r="NPV62" s="87" t="str">
        <f>IF(ISNUMBER(outYear),NPV37+NPV42+#REF!+NPV59,"")</f>
        <v/>
      </c>
      <c r="NPW62" s="87" t="str">
        <f>IF(ISNUMBER(outYear),NPW37+NPW42+#REF!+NPW59,"")</f>
        <v/>
      </c>
      <c r="NPX62" s="87" t="str">
        <f>IF(ISNUMBER(outYear),NPX37+NPX42+#REF!+NPX59,"")</f>
        <v/>
      </c>
      <c r="NPY62" s="87" t="str">
        <f>IF(ISNUMBER(outYear),NPY37+NPY42+#REF!+NPY59,"")</f>
        <v/>
      </c>
      <c r="NPZ62" s="87" t="str">
        <f>IF(ISNUMBER(outYear),NPZ37+NPZ42+#REF!+NPZ59,"")</f>
        <v/>
      </c>
      <c r="NQA62" s="87" t="str">
        <f>IF(ISNUMBER(outYear),NQA37+NQA42+#REF!+NQA59,"")</f>
        <v/>
      </c>
      <c r="NQB62" s="87" t="str">
        <f>IF(ISNUMBER(outYear),NQB37+NQB42+#REF!+NQB59,"")</f>
        <v/>
      </c>
      <c r="NQC62" s="87" t="str">
        <f>IF(ISNUMBER(outYear),NQC37+NQC42+#REF!+NQC59,"")</f>
        <v/>
      </c>
      <c r="NQD62" s="87" t="str">
        <f>IF(ISNUMBER(outYear),NQD37+NQD42+#REF!+NQD59,"")</f>
        <v/>
      </c>
      <c r="NQE62" s="87" t="str">
        <f>IF(ISNUMBER(outYear),NQE37+NQE42+#REF!+NQE59,"")</f>
        <v/>
      </c>
      <c r="NQF62" s="87" t="str">
        <f>IF(ISNUMBER(outYear),NQF37+NQF42+#REF!+NQF59,"")</f>
        <v/>
      </c>
      <c r="NQG62" s="87" t="str">
        <f>IF(ISNUMBER(outYear),NQG37+NQG42+#REF!+NQG59,"")</f>
        <v/>
      </c>
      <c r="NQH62" s="87" t="str">
        <f>IF(ISNUMBER(outYear),NQH37+NQH42+#REF!+NQH59,"")</f>
        <v/>
      </c>
      <c r="NQI62" s="87" t="str">
        <f>IF(ISNUMBER(outYear),NQI37+NQI42+#REF!+NQI59,"")</f>
        <v/>
      </c>
      <c r="NQJ62" s="87" t="str">
        <f>IF(ISNUMBER(outYear),NQJ37+NQJ42+#REF!+NQJ59,"")</f>
        <v/>
      </c>
      <c r="NQK62" s="87" t="str">
        <f>IF(ISNUMBER(outYear),NQK37+NQK42+#REF!+NQK59,"")</f>
        <v/>
      </c>
      <c r="NQL62" s="87" t="str">
        <f>IF(ISNUMBER(outYear),NQL37+NQL42+#REF!+NQL59,"")</f>
        <v/>
      </c>
      <c r="NQM62" s="87" t="str">
        <f>IF(ISNUMBER(outYear),NQM37+NQM42+#REF!+NQM59,"")</f>
        <v/>
      </c>
      <c r="NQN62" s="87" t="str">
        <f>IF(ISNUMBER(outYear),NQN37+NQN42+#REF!+NQN59,"")</f>
        <v/>
      </c>
      <c r="NQO62" s="87" t="str">
        <f>IF(ISNUMBER(outYear),NQO37+NQO42+#REF!+NQO59,"")</f>
        <v/>
      </c>
      <c r="NQP62" s="87" t="str">
        <f>IF(ISNUMBER(outYear),NQP37+NQP42+#REF!+NQP59,"")</f>
        <v/>
      </c>
      <c r="NQQ62" s="87" t="str">
        <f>IF(ISNUMBER(outYear),NQQ37+NQQ42+#REF!+NQQ59,"")</f>
        <v/>
      </c>
      <c r="NQR62" s="87" t="str">
        <f>IF(ISNUMBER(outYear),NQR37+NQR42+#REF!+NQR59,"")</f>
        <v/>
      </c>
      <c r="NQS62" s="87" t="str">
        <f>IF(ISNUMBER(outYear),NQS37+NQS42+#REF!+NQS59,"")</f>
        <v/>
      </c>
      <c r="NQT62" s="87" t="str">
        <f>IF(ISNUMBER(outYear),NQT37+NQT42+#REF!+NQT59,"")</f>
        <v/>
      </c>
      <c r="NQU62" s="87" t="str">
        <f>IF(ISNUMBER(outYear),NQU37+NQU42+#REF!+NQU59,"")</f>
        <v/>
      </c>
      <c r="NQV62" s="87" t="str">
        <f>IF(ISNUMBER(outYear),NQV37+NQV42+#REF!+NQV59,"")</f>
        <v/>
      </c>
      <c r="NQW62" s="87" t="str">
        <f>IF(ISNUMBER(outYear),NQW37+NQW42+#REF!+NQW59,"")</f>
        <v/>
      </c>
      <c r="NQX62" s="87" t="str">
        <f>IF(ISNUMBER(outYear),NQX37+NQX42+#REF!+NQX59,"")</f>
        <v/>
      </c>
      <c r="NQY62" s="87" t="str">
        <f>IF(ISNUMBER(outYear),NQY37+NQY42+#REF!+NQY59,"")</f>
        <v/>
      </c>
      <c r="NQZ62" s="87" t="str">
        <f>IF(ISNUMBER(outYear),NQZ37+NQZ42+#REF!+NQZ59,"")</f>
        <v/>
      </c>
      <c r="NRA62" s="87" t="str">
        <f>IF(ISNUMBER(outYear),NRA37+NRA42+#REF!+NRA59,"")</f>
        <v/>
      </c>
      <c r="NRB62" s="87" t="str">
        <f>IF(ISNUMBER(outYear),NRB37+NRB42+#REF!+NRB59,"")</f>
        <v/>
      </c>
      <c r="NRC62" s="87" t="str">
        <f>IF(ISNUMBER(outYear),NRC37+NRC42+#REF!+NRC59,"")</f>
        <v/>
      </c>
      <c r="NRD62" s="87" t="str">
        <f>IF(ISNUMBER(outYear),NRD37+NRD42+#REF!+NRD59,"")</f>
        <v/>
      </c>
      <c r="NRE62" s="87" t="str">
        <f>IF(ISNUMBER(outYear),NRE37+NRE42+#REF!+NRE59,"")</f>
        <v/>
      </c>
      <c r="NRF62" s="87" t="str">
        <f>IF(ISNUMBER(outYear),NRF37+NRF42+#REF!+NRF59,"")</f>
        <v/>
      </c>
      <c r="NRG62" s="87" t="str">
        <f>IF(ISNUMBER(outYear),NRG37+NRG42+#REF!+NRG59,"")</f>
        <v/>
      </c>
      <c r="NRH62" s="87" t="str">
        <f>IF(ISNUMBER(outYear),NRH37+NRH42+#REF!+NRH59,"")</f>
        <v/>
      </c>
      <c r="NRI62" s="87" t="str">
        <f>IF(ISNUMBER(outYear),NRI37+NRI42+#REF!+NRI59,"")</f>
        <v/>
      </c>
      <c r="NRJ62" s="87" t="str">
        <f>IF(ISNUMBER(outYear),NRJ37+NRJ42+#REF!+NRJ59,"")</f>
        <v/>
      </c>
      <c r="NRK62" s="87" t="str">
        <f>IF(ISNUMBER(outYear),NRK37+NRK42+#REF!+NRK59,"")</f>
        <v/>
      </c>
      <c r="NRL62" s="87" t="str">
        <f>IF(ISNUMBER(outYear),NRL37+NRL42+#REF!+NRL59,"")</f>
        <v/>
      </c>
      <c r="NRM62" s="87" t="str">
        <f>IF(ISNUMBER(outYear),NRM37+NRM42+#REF!+NRM59,"")</f>
        <v/>
      </c>
      <c r="NRN62" s="87" t="str">
        <f>IF(ISNUMBER(outYear),NRN37+NRN42+#REF!+NRN59,"")</f>
        <v/>
      </c>
      <c r="NRO62" s="87" t="str">
        <f>IF(ISNUMBER(outYear),NRO37+NRO42+#REF!+NRO59,"")</f>
        <v/>
      </c>
      <c r="NRP62" s="87" t="str">
        <f>IF(ISNUMBER(outYear),NRP37+NRP42+#REF!+NRP59,"")</f>
        <v/>
      </c>
      <c r="NRQ62" s="87" t="str">
        <f>IF(ISNUMBER(outYear),NRQ37+NRQ42+#REF!+NRQ59,"")</f>
        <v/>
      </c>
      <c r="NRR62" s="87" t="str">
        <f>IF(ISNUMBER(outYear),NRR37+NRR42+#REF!+NRR59,"")</f>
        <v/>
      </c>
      <c r="NRS62" s="87" t="str">
        <f>IF(ISNUMBER(outYear),NRS37+NRS42+#REF!+NRS59,"")</f>
        <v/>
      </c>
      <c r="NRT62" s="87" t="str">
        <f>IF(ISNUMBER(outYear),NRT37+NRT42+#REF!+NRT59,"")</f>
        <v/>
      </c>
      <c r="NRU62" s="87" t="str">
        <f>IF(ISNUMBER(outYear),NRU37+NRU42+#REF!+NRU59,"")</f>
        <v/>
      </c>
      <c r="NRV62" s="87" t="str">
        <f>IF(ISNUMBER(outYear),NRV37+NRV42+#REF!+NRV59,"")</f>
        <v/>
      </c>
      <c r="NRW62" s="87" t="str">
        <f>IF(ISNUMBER(outYear),NRW37+NRW42+#REF!+NRW59,"")</f>
        <v/>
      </c>
      <c r="NRX62" s="87" t="str">
        <f>IF(ISNUMBER(outYear),NRX37+NRX42+#REF!+NRX59,"")</f>
        <v/>
      </c>
      <c r="NRY62" s="87" t="str">
        <f>IF(ISNUMBER(outYear),NRY37+NRY42+#REF!+NRY59,"")</f>
        <v/>
      </c>
      <c r="NRZ62" s="87" t="str">
        <f>IF(ISNUMBER(outYear),NRZ37+NRZ42+#REF!+NRZ59,"")</f>
        <v/>
      </c>
      <c r="NSA62" s="87" t="str">
        <f>IF(ISNUMBER(outYear),NSA37+NSA42+#REF!+NSA59,"")</f>
        <v/>
      </c>
      <c r="NSB62" s="87" t="str">
        <f>IF(ISNUMBER(outYear),NSB37+NSB42+#REF!+NSB59,"")</f>
        <v/>
      </c>
      <c r="NSC62" s="87" t="str">
        <f>IF(ISNUMBER(outYear),NSC37+NSC42+#REF!+NSC59,"")</f>
        <v/>
      </c>
      <c r="NSD62" s="87" t="str">
        <f>IF(ISNUMBER(outYear),NSD37+NSD42+#REF!+NSD59,"")</f>
        <v/>
      </c>
      <c r="NSE62" s="87" t="str">
        <f>IF(ISNUMBER(outYear),NSE37+NSE42+#REF!+NSE59,"")</f>
        <v/>
      </c>
      <c r="NSF62" s="87" t="str">
        <f>IF(ISNUMBER(outYear),NSF37+NSF42+#REF!+NSF59,"")</f>
        <v/>
      </c>
      <c r="NSG62" s="87" t="str">
        <f>IF(ISNUMBER(outYear),NSG37+NSG42+#REF!+NSG59,"")</f>
        <v/>
      </c>
      <c r="NSH62" s="87" t="str">
        <f>IF(ISNUMBER(outYear),NSH37+NSH42+#REF!+NSH59,"")</f>
        <v/>
      </c>
      <c r="NSI62" s="87" t="str">
        <f>IF(ISNUMBER(outYear),NSI37+NSI42+#REF!+NSI59,"")</f>
        <v/>
      </c>
      <c r="NSJ62" s="87" t="str">
        <f>IF(ISNUMBER(outYear),NSJ37+NSJ42+#REF!+NSJ59,"")</f>
        <v/>
      </c>
      <c r="NSK62" s="87" t="str">
        <f>IF(ISNUMBER(outYear),NSK37+NSK42+#REF!+NSK59,"")</f>
        <v/>
      </c>
      <c r="NSL62" s="87" t="str">
        <f>IF(ISNUMBER(outYear),NSL37+NSL42+#REF!+NSL59,"")</f>
        <v/>
      </c>
      <c r="NSM62" s="87" t="str">
        <f>IF(ISNUMBER(outYear),NSM37+NSM42+#REF!+NSM59,"")</f>
        <v/>
      </c>
      <c r="NSN62" s="87" t="str">
        <f>IF(ISNUMBER(outYear),NSN37+NSN42+#REF!+NSN59,"")</f>
        <v/>
      </c>
      <c r="NSO62" s="87" t="str">
        <f>IF(ISNUMBER(outYear),NSO37+NSO42+#REF!+NSO59,"")</f>
        <v/>
      </c>
      <c r="NSP62" s="87" t="str">
        <f>IF(ISNUMBER(outYear),NSP37+NSP42+#REF!+NSP59,"")</f>
        <v/>
      </c>
      <c r="NSQ62" s="87" t="str">
        <f>IF(ISNUMBER(outYear),NSQ37+NSQ42+#REF!+NSQ59,"")</f>
        <v/>
      </c>
      <c r="NSR62" s="87" t="str">
        <f>IF(ISNUMBER(outYear),NSR37+NSR42+#REF!+NSR59,"")</f>
        <v/>
      </c>
      <c r="NSS62" s="87" t="str">
        <f>IF(ISNUMBER(outYear),NSS37+NSS42+#REF!+NSS59,"")</f>
        <v/>
      </c>
      <c r="NST62" s="87" t="str">
        <f>IF(ISNUMBER(outYear),NST37+NST42+#REF!+NST59,"")</f>
        <v/>
      </c>
      <c r="NSU62" s="87" t="str">
        <f>IF(ISNUMBER(outYear),NSU37+NSU42+#REF!+NSU59,"")</f>
        <v/>
      </c>
      <c r="NSV62" s="87" t="str">
        <f>IF(ISNUMBER(outYear),NSV37+NSV42+#REF!+NSV59,"")</f>
        <v/>
      </c>
      <c r="NSW62" s="87" t="str">
        <f>IF(ISNUMBER(outYear),NSW37+NSW42+#REF!+NSW59,"")</f>
        <v/>
      </c>
      <c r="NSX62" s="87" t="str">
        <f>IF(ISNUMBER(outYear),NSX37+NSX42+#REF!+NSX59,"")</f>
        <v/>
      </c>
      <c r="NSY62" s="87" t="str">
        <f>IF(ISNUMBER(outYear),NSY37+NSY42+#REF!+NSY59,"")</f>
        <v/>
      </c>
      <c r="NSZ62" s="87" t="str">
        <f>IF(ISNUMBER(outYear),NSZ37+NSZ42+#REF!+NSZ59,"")</f>
        <v/>
      </c>
      <c r="NTA62" s="87" t="str">
        <f>IF(ISNUMBER(outYear),NTA37+NTA42+#REF!+NTA59,"")</f>
        <v/>
      </c>
      <c r="NTB62" s="87" t="str">
        <f>IF(ISNUMBER(outYear),NTB37+NTB42+#REF!+NTB59,"")</f>
        <v/>
      </c>
      <c r="NTC62" s="87" t="str">
        <f>IF(ISNUMBER(outYear),NTC37+NTC42+#REF!+NTC59,"")</f>
        <v/>
      </c>
      <c r="NTD62" s="87" t="str">
        <f>IF(ISNUMBER(outYear),NTD37+NTD42+#REF!+NTD59,"")</f>
        <v/>
      </c>
      <c r="NTE62" s="87" t="str">
        <f>IF(ISNUMBER(outYear),NTE37+NTE42+#REF!+NTE59,"")</f>
        <v/>
      </c>
      <c r="NTF62" s="87" t="str">
        <f>IF(ISNUMBER(outYear),NTF37+NTF42+#REF!+NTF59,"")</f>
        <v/>
      </c>
      <c r="NTG62" s="87" t="str">
        <f>IF(ISNUMBER(outYear),NTG37+NTG42+#REF!+NTG59,"")</f>
        <v/>
      </c>
      <c r="NTH62" s="87" t="str">
        <f>IF(ISNUMBER(outYear),NTH37+NTH42+#REF!+NTH59,"")</f>
        <v/>
      </c>
      <c r="NTI62" s="87" t="str">
        <f>IF(ISNUMBER(outYear),NTI37+NTI42+#REF!+NTI59,"")</f>
        <v/>
      </c>
      <c r="NTJ62" s="87" t="str">
        <f>IF(ISNUMBER(outYear),NTJ37+NTJ42+#REF!+NTJ59,"")</f>
        <v/>
      </c>
      <c r="NTK62" s="87" t="str">
        <f>IF(ISNUMBER(outYear),NTK37+NTK42+#REF!+NTK59,"")</f>
        <v/>
      </c>
      <c r="NTL62" s="87" t="str">
        <f>IF(ISNUMBER(outYear),NTL37+NTL42+#REF!+NTL59,"")</f>
        <v/>
      </c>
      <c r="NTM62" s="87" t="str">
        <f>IF(ISNUMBER(outYear),NTM37+NTM42+#REF!+NTM59,"")</f>
        <v/>
      </c>
      <c r="NTN62" s="87" t="str">
        <f>IF(ISNUMBER(outYear),NTN37+NTN42+#REF!+NTN59,"")</f>
        <v/>
      </c>
      <c r="NTO62" s="87" t="str">
        <f>IF(ISNUMBER(outYear),NTO37+NTO42+#REF!+NTO59,"")</f>
        <v/>
      </c>
      <c r="NTP62" s="87" t="str">
        <f>IF(ISNUMBER(outYear),NTP37+NTP42+#REF!+NTP59,"")</f>
        <v/>
      </c>
      <c r="NTQ62" s="87" t="str">
        <f>IF(ISNUMBER(outYear),NTQ37+NTQ42+#REF!+NTQ59,"")</f>
        <v/>
      </c>
      <c r="NTR62" s="87" t="str">
        <f>IF(ISNUMBER(outYear),NTR37+NTR42+#REF!+NTR59,"")</f>
        <v/>
      </c>
      <c r="NTS62" s="87" t="str">
        <f>IF(ISNUMBER(outYear),NTS37+NTS42+#REF!+NTS59,"")</f>
        <v/>
      </c>
      <c r="NTT62" s="87" t="str">
        <f>IF(ISNUMBER(outYear),NTT37+NTT42+#REF!+NTT59,"")</f>
        <v/>
      </c>
      <c r="NTU62" s="87" t="str">
        <f>IF(ISNUMBER(outYear),NTU37+NTU42+#REF!+NTU59,"")</f>
        <v/>
      </c>
      <c r="NTV62" s="87" t="str">
        <f>IF(ISNUMBER(outYear),NTV37+NTV42+#REF!+NTV59,"")</f>
        <v/>
      </c>
      <c r="NTW62" s="87" t="str">
        <f>IF(ISNUMBER(outYear),NTW37+NTW42+#REF!+NTW59,"")</f>
        <v/>
      </c>
      <c r="NTX62" s="87" t="str">
        <f>IF(ISNUMBER(outYear),NTX37+NTX42+#REF!+NTX59,"")</f>
        <v/>
      </c>
      <c r="NTY62" s="87" t="str">
        <f>IF(ISNUMBER(outYear),NTY37+NTY42+#REF!+NTY59,"")</f>
        <v/>
      </c>
      <c r="NTZ62" s="87" t="str">
        <f>IF(ISNUMBER(outYear),NTZ37+NTZ42+#REF!+NTZ59,"")</f>
        <v/>
      </c>
      <c r="NUA62" s="87" t="str">
        <f>IF(ISNUMBER(outYear),NUA37+NUA42+#REF!+NUA59,"")</f>
        <v/>
      </c>
      <c r="NUB62" s="87" t="str">
        <f>IF(ISNUMBER(outYear),NUB37+NUB42+#REF!+NUB59,"")</f>
        <v/>
      </c>
      <c r="NUC62" s="87" t="str">
        <f>IF(ISNUMBER(outYear),NUC37+NUC42+#REF!+NUC59,"")</f>
        <v/>
      </c>
      <c r="NUD62" s="87" t="str">
        <f>IF(ISNUMBER(outYear),NUD37+NUD42+#REF!+NUD59,"")</f>
        <v/>
      </c>
      <c r="NUE62" s="87" t="str">
        <f>IF(ISNUMBER(outYear),NUE37+NUE42+#REF!+NUE59,"")</f>
        <v/>
      </c>
      <c r="NUF62" s="87" t="str">
        <f>IF(ISNUMBER(outYear),NUF37+NUF42+#REF!+NUF59,"")</f>
        <v/>
      </c>
      <c r="NUG62" s="87" t="str">
        <f>IF(ISNUMBER(outYear),NUG37+NUG42+#REF!+NUG59,"")</f>
        <v/>
      </c>
      <c r="NUH62" s="87" t="str">
        <f>IF(ISNUMBER(outYear),NUH37+NUH42+#REF!+NUH59,"")</f>
        <v/>
      </c>
      <c r="NUI62" s="87" t="str">
        <f>IF(ISNUMBER(outYear),NUI37+NUI42+#REF!+NUI59,"")</f>
        <v/>
      </c>
      <c r="NUJ62" s="87" t="str">
        <f>IF(ISNUMBER(outYear),NUJ37+NUJ42+#REF!+NUJ59,"")</f>
        <v/>
      </c>
      <c r="NUK62" s="87" t="str">
        <f>IF(ISNUMBER(outYear),NUK37+NUK42+#REF!+NUK59,"")</f>
        <v/>
      </c>
      <c r="NUL62" s="87" t="str">
        <f>IF(ISNUMBER(outYear),NUL37+NUL42+#REF!+NUL59,"")</f>
        <v/>
      </c>
      <c r="NUM62" s="87" t="str">
        <f>IF(ISNUMBER(outYear),NUM37+NUM42+#REF!+NUM59,"")</f>
        <v/>
      </c>
      <c r="NUN62" s="87" t="str">
        <f>IF(ISNUMBER(outYear),NUN37+NUN42+#REF!+NUN59,"")</f>
        <v/>
      </c>
      <c r="NUO62" s="87" t="str">
        <f>IF(ISNUMBER(outYear),NUO37+NUO42+#REF!+NUO59,"")</f>
        <v/>
      </c>
      <c r="NUP62" s="87" t="str">
        <f>IF(ISNUMBER(outYear),NUP37+NUP42+#REF!+NUP59,"")</f>
        <v/>
      </c>
      <c r="NUQ62" s="87" t="str">
        <f>IF(ISNUMBER(outYear),NUQ37+NUQ42+#REF!+NUQ59,"")</f>
        <v/>
      </c>
      <c r="NUR62" s="87" t="str">
        <f>IF(ISNUMBER(outYear),NUR37+NUR42+#REF!+NUR59,"")</f>
        <v/>
      </c>
      <c r="NUS62" s="87" t="str">
        <f>IF(ISNUMBER(outYear),NUS37+NUS42+#REF!+NUS59,"")</f>
        <v/>
      </c>
      <c r="NUT62" s="87" t="str">
        <f>IF(ISNUMBER(outYear),NUT37+NUT42+#REF!+NUT59,"")</f>
        <v/>
      </c>
      <c r="NUU62" s="87" t="str">
        <f>IF(ISNUMBER(outYear),NUU37+NUU42+#REF!+NUU59,"")</f>
        <v/>
      </c>
      <c r="NUV62" s="87" t="str">
        <f>IF(ISNUMBER(outYear),NUV37+NUV42+#REF!+NUV59,"")</f>
        <v/>
      </c>
      <c r="NUW62" s="87" t="str">
        <f>IF(ISNUMBER(outYear),NUW37+NUW42+#REF!+NUW59,"")</f>
        <v/>
      </c>
      <c r="NUX62" s="87" t="str">
        <f>IF(ISNUMBER(outYear),NUX37+NUX42+#REF!+NUX59,"")</f>
        <v/>
      </c>
      <c r="NUY62" s="87" t="str">
        <f>IF(ISNUMBER(outYear),NUY37+NUY42+#REF!+NUY59,"")</f>
        <v/>
      </c>
      <c r="NUZ62" s="87" t="str">
        <f>IF(ISNUMBER(outYear),NUZ37+NUZ42+#REF!+NUZ59,"")</f>
        <v/>
      </c>
      <c r="NVA62" s="87" t="str">
        <f>IF(ISNUMBER(outYear),NVA37+NVA42+#REF!+NVA59,"")</f>
        <v/>
      </c>
      <c r="NVB62" s="87" t="str">
        <f>IF(ISNUMBER(outYear),NVB37+NVB42+#REF!+NVB59,"")</f>
        <v/>
      </c>
      <c r="NVC62" s="87" t="str">
        <f>IF(ISNUMBER(outYear),NVC37+NVC42+#REF!+NVC59,"")</f>
        <v/>
      </c>
      <c r="NVD62" s="87" t="str">
        <f>IF(ISNUMBER(outYear),NVD37+NVD42+#REF!+NVD59,"")</f>
        <v/>
      </c>
      <c r="NVE62" s="87" t="str">
        <f>IF(ISNUMBER(outYear),NVE37+NVE42+#REF!+NVE59,"")</f>
        <v/>
      </c>
      <c r="NVF62" s="87" t="str">
        <f>IF(ISNUMBER(outYear),NVF37+NVF42+#REF!+NVF59,"")</f>
        <v/>
      </c>
      <c r="NVG62" s="87" t="str">
        <f>IF(ISNUMBER(outYear),NVG37+NVG42+#REF!+NVG59,"")</f>
        <v/>
      </c>
      <c r="NVH62" s="87" t="str">
        <f>IF(ISNUMBER(outYear),NVH37+NVH42+#REF!+NVH59,"")</f>
        <v/>
      </c>
      <c r="NVI62" s="87" t="str">
        <f>IF(ISNUMBER(outYear),NVI37+NVI42+#REF!+NVI59,"")</f>
        <v/>
      </c>
      <c r="NVJ62" s="87" t="str">
        <f>IF(ISNUMBER(outYear),NVJ37+NVJ42+#REF!+NVJ59,"")</f>
        <v/>
      </c>
      <c r="NVK62" s="87" t="str">
        <f>IF(ISNUMBER(outYear),NVK37+NVK42+#REF!+NVK59,"")</f>
        <v/>
      </c>
      <c r="NVL62" s="87" t="str">
        <f>IF(ISNUMBER(outYear),NVL37+NVL42+#REF!+NVL59,"")</f>
        <v/>
      </c>
      <c r="NVM62" s="87" t="str">
        <f>IF(ISNUMBER(outYear),NVM37+NVM42+#REF!+NVM59,"")</f>
        <v/>
      </c>
      <c r="NVN62" s="87" t="str">
        <f>IF(ISNUMBER(outYear),NVN37+NVN42+#REF!+NVN59,"")</f>
        <v/>
      </c>
      <c r="NVO62" s="87" t="str">
        <f>IF(ISNUMBER(outYear),NVO37+NVO42+#REF!+NVO59,"")</f>
        <v/>
      </c>
      <c r="NVP62" s="87" t="str">
        <f>IF(ISNUMBER(outYear),NVP37+NVP42+#REF!+NVP59,"")</f>
        <v/>
      </c>
      <c r="NVQ62" s="87" t="str">
        <f>IF(ISNUMBER(outYear),NVQ37+NVQ42+#REF!+NVQ59,"")</f>
        <v/>
      </c>
      <c r="NVR62" s="87" t="str">
        <f>IF(ISNUMBER(outYear),NVR37+NVR42+#REF!+NVR59,"")</f>
        <v/>
      </c>
      <c r="NVS62" s="87" t="str">
        <f>IF(ISNUMBER(outYear),NVS37+NVS42+#REF!+NVS59,"")</f>
        <v/>
      </c>
      <c r="NVT62" s="87" t="str">
        <f>IF(ISNUMBER(outYear),NVT37+NVT42+#REF!+NVT59,"")</f>
        <v/>
      </c>
      <c r="NVU62" s="87" t="str">
        <f>IF(ISNUMBER(outYear),NVU37+NVU42+#REF!+NVU59,"")</f>
        <v/>
      </c>
      <c r="NVV62" s="87" t="str">
        <f>IF(ISNUMBER(outYear),NVV37+NVV42+#REF!+NVV59,"")</f>
        <v/>
      </c>
      <c r="NVW62" s="87" t="str">
        <f>IF(ISNUMBER(outYear),NVW37+NVW42+#REF!+NVW59,"")</f>
        <v/>
      </c>
      <c r="NVX62" s="87" t="str">
        <f>IF(ISNUMBER(outYear),NVX37+NVX42+#REF!+NVX59,"")</f>
        <v/>
      </c>
      <c r="NVY62" s="87" t="str">
        <f>IF(ISNUMBER(outYear),NVY37+NVY42+#REF!+NVY59,"")</f>
        <v/>
      </c>
      <c r="NVZ62" s="87" t="str">
        <f>IF(ISNUMBER(outYear),NVZ37+NVZ42+#REF!+NVZ59,"")</f>
        <v/>
      </c>
      <c r="NWA62" s="87" t="str">
        <f>IF(ISNUMBER(outYear),NWA37+NWA42+#REF!+NWA59,"")</f>
        <v/>
      </c>
      <c r="NWB62" s="87" t="str">
        <f>IF(ISNUMBER(outYear),NWB37+NWB42+#REF!+NWB59,"")</f>
        <v/>
      </c>
      <c r="NWC62" s="87" t="str">
        <f>IF(ISNUMBER(outYear),NWC37+NWC42+#REF!+NWC59,"")</f>
        <v/>
      </c>
      <c r="NWD62" s="87" t="str">
        <f>IF(ISNUMBER(outYear),NWD37+NWD42+#REF!+NWD59,"")</f>
        <v/>
      </c>
      <c r="NWE62" s="87" t="str">
        <f>IF(ISNUMBER(outYear),NWE37+NWE42+#REF!+NWE59,"")</f>
        <v/>
      </c>
      <c r="NWF62" s="87" t="str">
        <f>IF(ISNUMBER(outYear),NWF37+NWF42+#REF!+NWF59,"")</f>
        <v/>
      </c>
      <c r="NWG62" s="87" t="str">
        <f>IF(ISNUMBER(outYear),NWG37+NWG42+#REF!+NWG59,"")</f>
        <v/>
      </c>
      <c r="NWH62" s="87" t="str">
        <f>IF(ISNUMBER(outYear),NWH37+NWH42+#REF!+NWH59,"")</f>
        <v/>
      </c>
      <c r="NWI62" s="87" t="str">
        <f>IF(ISNUMBER(outYear),NWI37+NWI42+#REF!+NWI59,"")</f>
        <v/>
      </c>
      <c r="NWJ62" s="87" t="str">
        <f>IF(ISNUMBER(outYear),NWJ37+NWJ42+#REF!+NWJ59,"")</f>
        <v/>
      </c>
      <c r="NWK62" s="87" t="str">
        <f>IF(ISNUMBER(outYear),NWK37+NWK42+#REF!+NWK59,"")</f>
        <v/>
      </c>
      <c r="NWL62" s="87" t="str">
        <f>IF(ISNUMBER(outYear),NWL37+NWL42+#REF!+NWL59,"")</f>
        <v/>
      </c>
      <c r="NWM62" s="87" t="str">
        <f>IF(ISNUMBER(outYear),NWM37+NWM42+#REF!+NWM59,"")</f>
        <v/>
      </c>
      <c r="NWN62" s="87" t="str">
        <f>IF(ISNUMBER(outYear),NWN37+NWN42+#REF!+NWN59,"")</f>
        <v/>
      </c>
      <c r="NWO62" s="87" t="str">
        <f>IF(ISNUMBER(outYear),NWO37+NWO42+#REF!+NWO59,"")</f>
        <v/>
      </c>
      <c r="NWP62" s="87" t="str">
        <f>IF(ISNUMBER(outYear),NWP37+NWP42+#REF!+NWP59,"")</f>
        <v/>
      </c>
      <c r="NWQ62" s="87" t="str">
        <f>IF(ISNUMBER(outYear),NWQ37+NWQ42+#REF!+NWQ59,"")</f>
        <v/>
      </c>
      <c r="NWR62" s="87" t="str">
        <f>IF(ISNUMBER(outYear),NWR37+NWR42+#REF!+NWR59,"")</f>
        <v/>
      </c>
      <c r="NWS62" s="87" t="str">
        <f>IF(ISNUMBER(outYear),NWS37+NWS42+#REF!+NWS59,"")</f>
        <v/>
      </c>
      <c r="NWT62" s="87" t="str">
        <f>IF(ISNUMBER(outYear),NWT37+NWT42+#REF!+NWT59,"")</f>
        <v/>
      </c>
      <c r="NWU62" s="87" t="str">
        <f>IF(ISNUMBER(outYear),NWU37+NWU42+#REF!+NWU59,"")</f>
        <v/>
      </c>
      <c r="NWV62" s="87" t="str">
        <f>IF(ISNUMBER(outYear),NWV37+NWV42+#REF!+NWV59,"")</f>
        <v/>
      </c>
      <c r="NWW62" s="87" t="str">
        <f>IF(ISNUMBER(outYear),NWW37+NWW42+#REF!+NWW59,"")</f>
        <v/>
      </c>
      <c r="NWX62" s="87" t="str">
        <f>IF(ISNUMBER(outYear),NWX37+NWX42+#REF!+NWX59,"")</f>
        <v/>
      </c>
      <c r="NWY62" s="87" t="str">
        <f>IF(ISNUMBER(outYear),NWY37+NWY42+#REF!+NWY59,"")</f>
        <v/>
      </c>
      <c r="NWZ62" s="87" t="str">
        <f>IF(ISNUMBER(outYear),NWZ37+NWZ42+#REF!+NWZ59,"")</f>
        <v/>
      </c>
      <c r="NXA62" s="87" t="str">
        <f>IF(ISNUMBER(outYear),NXA37+NXA42+#REF!+NXA59,"")</f>
        <v/>
      </c>
      <c r="NXB62" s="87" t="str">
        <f>IF(ISNUMBER(outYear),NXB37+NXB42+#REF!+NXB59,"")</f>
        <v/>
      </c>
      <c r="NXC62" s="87" t="str">
        <f>IF(ISNUMBER(outYear),NXC37+NXC42+#REF!+NXC59,"")</f>
        <v/>
      </c>
      <c r="NXD62" s="87" t="str">
        <f>IF(ISNUMBER(outYear),NXD37+NXD42+#REF!+NXD59,"")</f>
        <v/>
      </c>
      <c r="NXE62" s="87" t="str">
        <f>IF(ISNUMBER(outYear),NXE37+NXE42+#REF!+NXE59,"")</f>
        <v/>
      </c>
      <c r="NXF62" s="87" t="str">
        <f>IF(ISNUMBER(outYear),NXF37+NXF42+#REF!+NXF59,"")</f>
        <v/>
      </c>
      <c r="NXG62" s="87" t="str">
        <f>IF(ISNUMBER(outYear),NXG37+NXG42+#REF!+NXG59,"")</f>
        <v/>
      </c>
      <c r="NXH62" s="87" t="str">
        <f>IF(ISNUMBER(outYear),NXH37+NXH42+#REF!+NXH59,"")</f>
        <v/>
      </c>
      <c r="NXI62" s="87" t="str">
        <f>IF(ISNUMBER(outYear),NXI37+NXI42+#REF!+NXI59,"")</f>
        <v/>
      </c>
      <c r="NXJ62" s="87" t="str">
        <f>IF(ISNUMBER(outYear),NXJ37+NXJ42+#REF!+NXJ59,"")</f>
        <v/>
      </c>
      <c r="NXK62" s="87" t="str">
        <f>IF(ISNUMBER(outYear),NXK37+NXK42+#REF!+NXK59,"")</f>
        <v/>
      </c>
      <c r="NXL62" s="87" t="str">
        <f>IF(ISNUMBER(outYear),NXL37+NXL42+#REF!+NXL59,"")</f>
        <v/>
      </c>
      <c r="NXM62" s="87" t="str">
        <f>IF(ISNUMBER(outYear),NXM37+NXM42+#REF!+NXM59,"")</f>
        <v/>
      </c>
      <c r="NXN62" s="87" t="str">
        <f>IF(ISNUMBER(outYear),NXN37+NXN42+#REF!+NXN59,"")</f>
        <v/>
      </c>
      <c r="NXO62" s="87" t="str">
        <f>IF(ISNUMBER(outYear),NXO37+NXO42+#REF!+NXO59,"")</f>
        <v/>
      </c>
      <c r="NXP62" s="87" t="str">
        <f>IF(ISNUMBER(outYear),NXP37+NXP42+#REF!+NXP59,"")</f>
        <v/>
      </c>
      <c r="NXQ62" s="87" t="str">
        <f>IF(ISNUMBER(outYear),NXQ37+NXQ42+#REF!+NXQ59,"")</f>
        <v/>
      </c>
      <c r="NXR62" s="87" t="str">
        <f>IF(ISNUMBER(outYear),NXR37+NXR42+#REF!+NXR59,"")</f>
        <v/>
      </c>
      <c r="NXS62" s="87" t="str">
        <f>IF(ISNUMBER(outYear),NXS37+NXS42+#REF!+NXS59,"")</f>
        <v/>
      </c>
      <c r="NXT62" s="87" t="str">
        <f>IF(ISNUMBER(outYear),NXT37+NXT42+#REF!+NXT59,"")</f>
        <v/>
      </c>
      <c r="NXU62" s="87" t="str">
        <f>IF(ISNUMBER(outYear),NXU37+NXU42+#REF!+NXU59,"")</f>
        <v/>
      </c>
      <c r="NXV62" s="87" t="str">
        <f>IF(ISNUMBER(outYear),NXV37+NXV42+#REF!+NXV59,"")</f>
        <v/>
      </c>
      <c r="NXW62" s="87" t="str">
        <f>IF(ISNUMBER(outYear),NXW37+NXW42+#REF!+NXW59,"")</f>
        <v/>
      </c>
      <c r="NXX62" s="87" t="str">
        <f>IF(ISNUMBER(outYear),NXX37+NXX42+#REF!+NXX59,"")</f>
        <v/>
      </c>
      <c r="NXY62" s="87" t="str">
        <f>IF(ISNUMBER(outYear),NXY37+NXY42+#REF!+NXY59,"")</f>
        <v/>
      </c>
      <c r="NXZ62" s="87" t="str">
        <f>IF(ISNUMBER(outYear),NXZ37+NXZ42+#REF!+NXZ59,"")</f>
        <v/>
      </c>
      <c r="NYA62" s="87" t="str">
        <f>IF(ISNUMBER(outYear),NYA37+NYA42+#REF!+NYA59,"")</f>
        <v/>
      </c>
      <c r="NYB62" s="87" t="str">
        <f>IF(ISNUMBER(outYear),NYB37+NYB42+#REF!+NYB59,"")</f>
        <v/>
      </c>
      <c r="NYC62" s="87" t="str">
        <f>IF(ISNUMBER(outYear),NYC37+NYC42+#REF!+NYC59,"")</f>
        <v/>
      </c>
      <c r="NYD62" s="87" t="str">
        <f>IF(ISNUMBER(outYear),NYD37+NYD42+#REF!+NYD59,"")</f>
        <v/>
      </c>
      <c r="NYE62" s="87" t="str">
        <f>IF(ISNUMBER(outYear),NYE37+NYE42+#REF!+NYE59,"")</f>
        <v/>
      </c>
      <c r="NYF62" s="87" t="str">
        <f>IF(ISNUMBER(outYear),NYF37+NYF42+#REF!+NYF59,"")</f>
        <v/>
      </c>
      <c r="NYG62" s="87" t="str">
        <f>IF(ISNUMBER(outYear),NYG37+NYG42+#REF!+NYG59,"")</f>
        <v/>
      </c>
      <c r="NYH62" s="87" t="str">
        <f>IF(ISNUMBER(outYear),NYH37+NYH42+#REF!+NYH59,"")</f>
        <v/>
      </c>
      <c r="NYI62" s="87" t="str">
        <f>IF(ISNUMBER(outYear),NYI37+NYI42+#REF!+NYI59,"")</f>
        <v/>
      </c>
      <c r="NYJ62" s="87" t="str">
        <f>IF(ISNUMBER(outYear),NYJ37+NYJ42+#REF!+NYJ59,"")</f>
        <v/>
      </c>
      <c r="NYK62" s="87" t="str">
        <f>IF(ISNUMBER(outYear),NYK37+NYK42+#REF!+NYK59,"")</f>
        <v/>
      </c>
      <c r="NYL62" s="87" t="str">
        <f>IF(ISNUMBER(outYear),NYL37+NYL42+#REF!+NYL59,"")</f>
        <v/>
      </c>
      <c r="NYM62" s="87" t="str">
        <f>IF(ISNUMBER(outYear),NYM37+NYM42+#REF!+NYM59,"")</f>
        <v/>
      </c>
      <c r="NYN62" s="87" t="str">
        <f>IF(ISNUMBER(outYear),NYN37+NYN42+#REF!+NYN59,"")</f>
        <v/>
      </c>
      <c r="NYO62" s="87" t="str">
        <f>IF(ISNUMBER(outYear),NYO37+NYO42+#REF!+NYO59,"")</f>
        <v/>
      </c>
      <c r="NYP62" s="87" t="str">
        <f>IF(ISNUMBER(outYear),NYP37+NYP42+#REF!+NYP59,"")</f>
        <v/>
      </c>
      <c r="NYQ62" s="87" t="str">
        <f>IF(ISNUMBER(outYear),NYQ37+NYQ42+#REF!+NYQ59,"")</f>
        <v/>
      </c>
      <c r="NYR62" s="87" t="str">
        <f>IF(ISNUMBER(outYear),NYR37+NYR42+#REF!+NYR59,"")</f>
        <v/>
      </c>
      <c r="NYS62" s="87" t="str">
        <f>IF(ISNUMBER(outYear),NYS37+NYS42+#REF!+NYS59,"")</f>
        <v/>
      </c>
      <c r="NYT62" s="87" t="str">
        <f>IF(ISNUMBER(outYear),NYT37+NYT42+#REF!+NYT59,"")</f>
        <v/>
      </c>
      <c r="NYU62" s="87" t="str">
        <f>IF(ISNUMBER(outYear),NYU37+NYU42+#REF!+NYU59,"")</f>
        <v/>
      </c>
      <c r="NYV62" s="87" t="str">
        <f>IF(ISNUMBER(outYear),NYV37+NYV42+#REF!+NYV59,"")</f>
        <v/>
      </c>
      <c r="NYW62" s="87" t="str">
        <f>IF(ISNUMBER(outYear),NYW37+NYW42+#REF!+NYW59,"")</f>
        <v/>
      </c>
      <c r="NYX62" s="87" t="str">
        <f>IF(ISNUMBER(outYear),NYX37+NYX42+#REF!+NYX59,"")</f>
        <v/>
      </c>
      <c r="NYY62" s="87" t="str">
        <f>IF(ISNUMBER(outYear),NYY37+NYY42+#REF!+NYY59,"")</f>
        <v/>
      </c>
      <c r="NYZ62" s="87" t="str">
        <f>IF(ISNUMBER(outYear),NYZ37+NYZ42+#REF!+NYZ59,"")</f>
        <v/>
      </c>
      <c r="NZA62" s="87" t="str">
        <f>IF(ISNUMBER(outYear),NZA37+NZA42+#REF!+NZA59,"")</f>
        <v/>
      </c>
      <c r="NZB62" s="87" t="str">
        <f>IF(ISNUMBER(outYear),NZB37+NZB42+#REF!+NZB59,"")</f>
        <v/>
      </c>
      <c r="NZC62" s="87" t="str">
        <f>IF(ISNUMBER(outYear),NZC37+NZC42+#REF!+NZC59,"")</f>
        <v/>
      </c>
      <c r="NZD62" s="87" t="str">
        <f>IF(ISNUMBER(outYear),NZD37+NZD42+#REF!+NZD59,"")</f>
        <v/>
      </c>
      <c r="NZE62" s="87" t="str">
        <f>IF(ISNUMBER(outYear),NZE37+NZE42+#REF!+NZE59,"")</f>
        <v/>
      </c>
      <c r="NZF62" s="87" t="str">
        <f>IF(ISNUMBER(outYear),NZF37+NZF42+#REF!+NZF59,"")</f>
        <v/>
      </c>
      <c r="NZG62" s="87" t="str">
        <f>IF(ISNUMBER(outYear),NZG37+NZG42+#REF!+NZG59,"")</f>
        <v/>
      </c>
      <c r="NZH62" s="87" t="str">
        <f>IF(ISNUMBER(outYear),NZH37+NZH42+#REF!+NZH59,"")</f>
        <v/>
      </c>
      <c r="NZI62" s="87" t="str">
        <f>IF(ISNUMBER(outYear),NZI37+NZI42+#REF!+NZI59,"")</f>
        <v/>
      </c>
      <c r="NZJ62" s="87" t="str">
        <f>IF(ISNUMBER(outYear),NZJ37+NZJ42+#REF!+NZJ59,"")</f>
        <v/>
      </c>
      <c r="NZK62" s="87" t="str">
        <f>IF(ISNUMBER(outYear),NZK37+NZK42+#REF!+NZK59,"")</f>
        <v/>
      </c>
      <c r="NZL62" s="87" t="str">
        <f>IF(ISNUMBER(outYear),NZL37+NZL42+#REF!+NZL59,"")</f>
        <v/>
      </c>
      <c r="NZM62" s="87" t="str">
        <f>IF(ISNUMBER(outYear),NZM37+NZM42+#REF!+NZM59,"")</f>
        <v/>
      </c>
      <c r="NZN62" s="87" t="str">
        <f>IF(ISNUMBER(outYear),NZN37+NZN42+#REF!+NZN59,"")</f>
        <v/>
      </c>
      <c r="NZO62" s="87" t="str">
        <f>IF(ISNUMBER(outYear),NZO37+NZO42+#REF!+NZO59,"")</f>
        <v/>
      </c>
      <c r="NZP62" s="87" t="str">
        <f>IF(ISNUMBER(outYear),NZP37+NZP42+#REF!+NZP59,"")</f>
        <v/>
      </c>
      <c r="NZQ62" s="87" t="str">
        <f>IF(ISNUMBER(outYear),NZQ37+NZQ42+#REF!+NZQ59,"")</f>
        <v/>
      </c>
      <c r="NZR62" s="87" t="str">
        <f>IF(ISNUMBER(outYear),NZR37+NZR42+#REF!+NZR59,"")</f>
        <v/>
      </c>
      <c r="NZS62" s="87" t="str">
        <f>IF(ISNUMBER(outYear),NZS37+NZS42+#REF!+NZS59,"")</f>
        <v/>
      </c>
      <c r="NZT62" s="87" t="str">
        <f>IF(ISNUMBER(outYear),NZT37+NZT42+#REF!+NZT59,"")</f>
        <v/>
      </c>
      <c r="NZU62" s="87" t="str">
        <f>IF(ISNUMBER(outYear),NZU37+NZU42+#REF!+NZU59,"")</f>
        <v/>
      </c>
      <c r="NZV62" s="87" t="str">
        <f>IF(ISNUMBER(outYear),NZV37+NZV42+#REF!+NZV59,"")</f>
        <v/>
      </c>
      <c r="NZW62" s="87" t="str">
        <f>IF(ISNUMBER(outYear),NZW37+NZW42+#REF!+NZW59,"")</f>
        <v/>
      </c>
      <c r="NZX62" s="87" t="str">
        <f>IF(ISNUMBER(outYear),NZX37+NZX42+#REF!+NZX59,"")</f>
        <v/>
      </c>
      <c r="NZY62" s="87" t="str">
        <f>IF(ISNUMBER(outYear),NZY37+NZY42+#REF!+NZY59,"")</f>
        <v/>
      </c>
      <c r="NZZ62" s="87" t="str">
        <f>IF(ISNUMBER(outYear),NZZ37+NZZ42+#REF!+NZZ59,"")</f>
        <v/>
      </c>
      <c r="OAA62" s="87" t="str">
        <f>IF(ISNUMBER(outYear),OAA37+OAA42+#REF!+OAA59,"")</f>
        <v/>
      </c>
      <c r="OAB62" s="87" t="str">
        <f>IF(ISNUMBER(outYear),OAB37+OAB42+#REF!+OAB59,"")</f>
        <v/>
      </c>
      <c r="OAC62" s="87" t="str">
        <f>IF(ISNUMBER(outYear),OAC37+OAC42+#REF!+OAC59,"")</f>
        <v/>
      </c>
      <c r="OAD62" s="87" t="str">
        <f>IF(ISNUMBER(outYear),OAD37+OAD42+#REF!+OAD59,"")</f>
        <v/>
      </c>
      <c r="OAE62" s="87" t="str">
        <f>IF(ISNUMBER(outYear),OAE37+OAE42+#REF!+OAE59,"")</f>
        <v/>
      </c>
      <c r="OAF62" s="87" t="str">
        <f>IF(ISNUMBER(outYear),OAF37+OAF42+#REF!+OAF59,"")</f>
        <v/>
      </c>
      <c r="OAG62" s="87" t="str">
        <f>IF(ISNUMBER(outYear),OAG37+OAG42+#REF!+OAG59,"")</f>
        <v/>
      </c>
      <c r="OAH62" s="87" t="str">
        <f>IF(ISNUMBER(outYear),OAH37+OAH42+#REF!+OAH59,"")</f>
        <v/>
      </c>
      <c r="OAI62" s="87" t="str">
        <f>IF(ISNUMBER(outYear),OAI37+OAI42+#REF!+OAI59,"")</f>
        <v/>
      </c>
      <c r="OAJ62" s="87" t="str">
        <f>IF(ISNUMBER(outYear),OAJ37+OAJ42+#REF!+OAJ59,"")</f>
        <v/>
      </c>
      <c r="OAK62" s="87" t="str">
        <f>IF(ISNUMBER(outYear),OAK37+OAK42+#REF!+OAK59,"")</f>
        <v/>
      </c>
      <c r="OAL62" s="87" t="str">
        <f>IF(ISNUMBER(outYear),OAL37+OAL42+#REF!+OAL59,"")</f>
        <v/>
      </c>
      <c r="OAM62" s="87" t="str">
        <f>IF(ISNUMBER(outYear),OAM37+OAM42+#REF!+OAM59,"")</f>
        <v/>
      </c>
      <c r="OAN62" s="87" t="str">
        <f>IF(ISNUMBER(outYear),OAN37+OAN42+#REF!+OAN59,"")</f>
        <v/>
      </c>
      <c r="OAO62" s="87" t="str">
        <f>IF(ISNUMBER(outYear),OAO37+OAO42+#REF!+OAO59,"")</f>
        <v/>
      </c>
      <c r="OAP62" s="87" t="str">
        <f>IF(ISNUMBER(outYear),OAP37+OAP42+#REF!+OAP59,"")</f>
        <v/>
      </c>
      <c r="OAQ62" s="87" t="str">
        <f>IF(ISNUMBER(outYear),OAQ37+OAQ42+#REF!+OAQ59,"")</f>
        <v/>
      </c>
      <c r="OAR62" s="87" t="str">
        <f>IF(ISNUMBER(outYear),OAR37+OAR42+#REF!+OAR59,"")</f>
        <v/>
      </c>
      <c r="OAS62" s="87" t="str">
        <f>IF(ISNUMBER(outYear),OAS37+OAS42+#REF!+OAS59,"")</f>
        <v/>
      </c>
      <c r="OAT62" s="87" t="str">
        <f>IF(ISNUMBER(outYear),OAT37+OAT42+#REF!+OAT59,"")</f>
        <v/>
      </c>
      <c r="OAU62" s="87" t="str">
        <f>IF(ISNUMBER(outYear),OAU37+OAU42+#REF!+OAU59,"")</f>
        <v/>
      </c>
      <c r="OAV62" s="87" t="str">
        <f>IF(ISNUMBER(outYear),OAV37+OAV42+#REF!+OAV59,"")</f>
        <v/>
      </c>
      <c r="OAW62" s="87" t="str">
        <f>IF(ISNUMBER(outYear),OAW37+OAW42+#REF!+OAW59,"")</f>
        <v/>
      </c>
      <c r="OAX62" s="87" t="str">
        <f>IF(ISNUMBER(outYear),OAX37+OAX42+#REF!+OAX59,"")</f>
        <v/>
      </c>
      <c r="OAY62" s="87" t="str">
        <f>IF(ISNUMBER(outYear),OAY37+OAY42+#REF!+OAY59,"")</f>
        <v/>
      </c>
      <c r="OAZ62" s="87" t="str">
        <f>IF(ISNUMBER(outYear),OAZ37+OAZ42+#REF!+OAZ59,"")</f>
        <v/>
      </c>
      <c r="OBA62" s="87" t="str">
        <f>IF(ISNUMBER(outYear),OBA37+OBA42+#REF!+OBA59,"")</f>
        <v/>
      </c>
      <c r="OBB62" s="87" t="str">
        <f>IF(ISNUMBER(outYear),OBB37+OBB42+#REF!+OBB59,"")</f>
        <v/>
      </c>
      <c r="OBC62" s="87" t="str">
        <f>IF(ISNUMBER(outYear),OBC37+OBC42+#REF!+OBC59,"")</f>
        <v/>
      </c>
      <c r="OBD62" s="87" t="str">
        <f>IF(ISNUMBER(outYear),OBD37+OBD42+#REF!+OBD59,"")</f>
        <v/>
      </c>
      <c r="OBE62" s="87" t="str">
        <f>IF(ISNUMBER(outYear),OBE37+OBE42+#REF!+OBE59,"")</f>
        <v/>
      </c>
      <c r="OBF62" s="87" t="str">
        <f>IF(ISNUMBER(outYear),OBF37+OBF42+#REF!+OBF59,"")</f>
        <v/>
      </c>
      <c r="OBG62" s="87" t="str">
        <f>IF(ISNUMBER(outYear),OBG37+OBG42+#REF!+OBG59,"")</f>
        <v/>
      </c>
      <c r="OBH62" s="87" t="str">
        <f>IF(ISNUMBER(outYear),OBH37+OBH42+#REF!+OBH59,"")</f>
        <v/>
      </c>
      <c r="OBI62" s="87" t="str">
        <f>IF(ISNUMBER(outYear),OBI37+OBI42+#REF!+OBI59,"")</f>
        <v/>
      </c>
      <c r="OBJ62" s="87" t="str">
        <f>IF(ISNUMBER(outYear),OBJ37+OBJ42+#REF!+OBJ59,"")</f>
        <v/>
      </c>
      <c r="OBK62" s="87" t="str">
        <f>IF(ISNUMBER(outYear),OBK37+OBK42+#REF!+OBK59,"")</f>
        <v/>
      </c>
      <c r="OBL62" s="87" t="str">
        <f>IF(ISNUMBER(outYear),OBL37+OBL42+#REF!+OBL59,"")</f>
        <v/>
      </c>
      <c r="OBM62" s="87" t="str">
        <f>IF(ISNUMBER(outYear),OBM37+OBM42+#REF!+OBM59,"")</f>
        <v/>
      </c>
      <c r="OBN62" s="87" t="str">
        <f>IF(ISNUMBER(outYear),OBN37+OBN42+#REF!+OBN59,"")</f>
        <v/>
      </c>
      <c r="OBO62" s="87" t="str">
        <f>IF(ISNUMBER(outYear),OBO37+OBO42+#REF!+OBO59,"")</f>
        <v/>
      </c>
      <c r="OBP62" s="87" t="str">
        <f>IF(ISNUMBER(outYear),OBP37+OBP42+#REF!+OBP59,"")</f>
        <v/>
      </c>
      <c r="OBQ62" s="87" t="str">
        <f>IF(ISNUMBER(outYear),OBQ37+OBQ42+#REF!+OBQ59,"")</f>
        <v/>
      </c>
      <c r="OBR62" s="87" t="str">
        <f>IF(ISNUMBER(outYear),OBR37+OBR42+#REF!+OBR59,"")</f>
        <v/>
      </c>
      <c r="OBS62" s="87" t="str">
        <f>IF(ISNUMBER(outYear),OBS37+OBS42+#REF!+OBS59,"")</f>
        <v/>
      </c>
      <c r="OBT62" s="87" t="str">
        <f>IF(ISNUMBER(outYear),OBT37+OBT42+#REF!+OBT59,"")</f>
        <v/>
      </c>
      <c r="OBU62" s="87" t="str">
        <f>IF(ISNUMBER(outYear),OBU37+OBU42+#REF!+OBU59,"")</f>
        <v/>
      </c>
      <c r="OBV62" s="87" t="str">
        <f>IF(ISNUMBER(outYear),OBV37+OBV42+#REF!+OBV59,"")</f>
        <v/>
      </c>
      <c r="OBW62" s="87" t="str">
        <f>IF(ISNUMBER(outYear),OBW37+OBW42+#REF!+OBW59,"")</f>
        <v/>
      </c>
      <c r="OBX62" s="87" t="str">
        <f>IF(ISNUMBER(outYear),OBX37+OBX42+#REF!+OBX59,"")</f>
        <v/>
      </c>
      <c r="OBY62" s="87" t="str">
        <f>IF(ISNUMBER(outYear),OBY37+OBY42+#REF!+OBY59,"")</f>
        <v/>
      </c>
      <c r="OBZ62" s="87" t="str">
        <f>IF(ISNUMBER(outYear),OBZ37+OBZ42+#REF!+OBZ59,"")</f>
        <v/>
      </c>
      <c r="OCA62" s="87" t="str">
        <f>IF(ISNUMBER(outYear),OCA37+OCA42+#REF!+OCA59,"")</f>
        <v/>
      </c>
      <c r="OCB62" s="87" t="str">
        <f>IF(ISNUMBER(outYear),OCB37+OCB42+#REF!+OCB59,"")</f>
        <v/>
      </c>
      <c r="OCC62" s="87" t="str">
        <f>IF(ISNUMBER(outYear),OCC37+OCC42+#REF!+OCC59,"")</f>
        <v/>
      </c>
      <c r="OCD62" s="87" t="str">
        <f>IF(ISNUMBER(outYear),OCD37+OCD42+#REF!+OCD59,"")</f>
        <v/>
      </c>
      <c r="OCE62" s="87" t="str">
        <f>IF(ISNUMBER(outYear),OCE37+OCE42+#REF!+OCE59,"")</f>
        <v/>
      </c>
      <c r="OCF62" s="87" t="str">
        <f>IF(ISNUMBER(outYear),OCF37+OCF42+#REF!+OCF59,"")</f>
        <v/>
      </c>
      <c r="OCG62" s="87" t="str">
        <f>IF(ISNUMBER(outYear),OCG37+OCG42+#REF!+OCG59,"")</f>
        <v/>
      </c>
      <c r="OCH62" s="87" t="str">
        <f>IF(ISNUMBER(outYear),OCH37+OCH42+#REF!+OCH59,"")</f>
        <v/>
      </c>
      <c r="OCI62" s="87" t="str">
        <f>IF(ISNUMBER(outYear),OCI37+OCI42+#REF!+OCI59,"")</f>
        <v/>
      </c>
      <c r="OCJ62" s="87" t="str">
        <f>IF(ISNUMBER(outYear),OCJ37+OCJ42+#REF!+OCJ59,"")</f>
        <v/>
      </c>
      <c r="OCK62" s="87" t="str">
        <f>IF(ISNUMBER(outYear),OCK37+OCK42+#REF!+OCK59,"")</f>
        <v/>
      </c>
      <c r="OCL62" s="87" t="str">
        <f>IF(ISNUMBER(outYear),OCL37+OCL42+#REF!+OCL59,"")</f>
        <v/>
      </c>
      <c r="OCM62" s="87" t="str">
        <f>IF(ISNUMBER(outYear),OCM37+OCM42+#REF!+OCM59,"")</f>
        <v/>
      </c>
      <c r="OCN62" s="87" t="str">
        <f>IF(ISNUMBER(outYear),OCN37+OCN42+#REF!+OCN59,"")</f>
        <v/>
      </c>
      <c r="OCO62" s="87" t="str">
        <f>IF(ISNUMBER(outYear),OCO37+OCO42+#REF!+OCO59,"")</f>
        <v/>
      </c>
      <c r="OCP62" s="87" t="str">
        <f>IF(ISNUMBER(outYear),OCP37+OCP42+#REF!+OCP59,"")</f>
        <v/>
      </c>
      <c r="OCQ62" s="87" t="str">
        <f>IF(ISNUMBER(outYear),OCQ37+OCQ42+#REF!+OCQ59,"")</f>
        <v/>
      </c>
      <c r="OCR62" s="87" t="str">
        <f>IF(ISNUMBER(outYear),OCR37+OCR42+#REF!+OCR59,"")</f>
        <v/>
      </c>
      <c r="OCS62" s="87" t="str">
        <f>IF(ISNUMBER(outYear),OCS37+OCS42+#REF!+OCS59,"")</f>
        <v/>
      </c>
      <c r="OCT62" s="87" t="str">
        <f>IF(ISNUMBER(outYear),OCT37+OCT42+#REF!+OCT59,"")</f>
        <v/>
      </c>
      <c r="OCU62" s="87" t="str">
        <f>IF(ISNUMBER(outYear),OCU37+OCU42+#REF!+OCU59,"")</f>
        <v/>
      </c>
      <c r="OCV62" s="87" t="str">
        <f>IF(ISNUMBER(outYear),OCV37+OCV42+#REF!+OCV59,"")</f>
        <v/>
      </c>
      <c r="OCW62" s="87" t="str">
        <f>IF(ISNUMBER(outYear),OCW37+OCW42+#REF!+OCW59,"")</f>
        <v/>
      </c>
      <c r="OCX62" s="87" t="str">
        <f>IF(ISNUMBER(outYear),OCX37+OCX42+#REF!+OCX59,"")</f>
        <v/>
      </c>
      <c r="OCY62" s="87" t="str">
        <f>IF(ISNUMBER(outYear),OCY37+OCY42+#REF!+OCY59,"")</f>
        <v/>
      </c>
      <c r="OCZ62" s="87" t="str">
        <f>IF(ISNUMBER(outYear),OCZ37+OCZ42+#REF!+OCZ59,"")</f>
        <v/>
      </c>
      <c r="ODA62" s="87" t="str">
        <f>IF(ISNUMBER(outYear),ODA37+ODA42+#REF!+ODA59,"")</f>
        <v/>
      </c>
      <c r="ODB62" s="87" t="str">
        <f>IF(ISNUMBER(outYear),ODB37+ODB42+#REF!+ODB59,"")</f>
        <v/>
      </c>
      <c r="ODC62" s="87" t="str">
        <f>IF(ISNUMBER(outYear),ODC37+ODC42+#REF!+ODC59,"")</f>
        <v/>
      </c>
      <c r="ODD62" s="87" t="str">
        <f>IF(ISNUMBER(outYear),ODD37+ODD42+#REF!+ODD59,"")</f>
        <v/>
      </c>
      <c r="ODE62" s="87" t="str">
        <f>IF(ISNUMBER(outYear),ODE37+ODE42+#REF!+ODE59,"")</f>
        <v/>
      </c>
      <c r="ODF62" s="87" t="str">
        <f>IF(ISNUMBER(outYear),ODF37+ODF42+#REF!+ODF59,"")</f>
        <v/>
      </c>
      <c r="ODG62" s="87" t="str">
        <f>IF(ISNUMBER(outYear),ODG37+ODG42+#REF!+ODG59,"")</f>
        <v/>
      </c>
      <c r="ODH62" s="87" t="str">
        <f>IF(ISNUMBER(outYear),ODH37+ODH42+#REF!+ODH59,"")</f>
        <v/>
      </c>
      <c r="ODI62" s="87" t="str">
        <f>IF(ISNUMBER(outYear),ODI37+ODI42+#REF!+ODI59,"")</f>
        <v/>
      </c>
      <c r="ODJ62" s="87" t="str">
        <f>IF(ISNUMBER(outYear),ODJ37+ODJ42+#REF!+ODJ59,"")</f>
        <v/>
      </c>
      <c r="ODK62" s="87" t="str">
        <f>IF(ISNUMBER(outYear),ODK37+ODK42+#REF!+ODK59,"")</f>
        <v/>
      </c>
      <c r="ODL62" s="87" t="str">
        <f>IF(ISNUMBER(outYear),ODL37+ODL42+#REF!+ODL59,"")</f>
        <v/>
      </c>
      <c r="ODM62" s="87" t="str">
        <f>IF(ISNUMBER(outYear),ODM37+ODM42+#REF!+ODM59,"")</f>
        <v/>
      </c>
      <c r="ODN62" s="87" t="str">
        <f>IF(ISNUMBER(outYear),ODN37+ODN42+#REF!+ODN59,"")</f>
        <v/>
      </c>
      <c r="ODO62" s="87" t="str">
        <f>IF(ISNUMBER(outYear),ODO37+ODO42+#REF!+ODO59,"")</f>
        <v/>
      </c>
      <c r="ODP62" s="87" t="str">
        <f>IF(ISNUMBER(outYear),ODP37+ODP42+#REF!+ODP59,"")</f>
        <v/>
      </c>
      <c r="ODQ62" s="87" t="str">
        <f>IF(ISNUMBER(outYear),ODQ37+ODQ42+#REF!+ODQ59,"")</f>
        <v/>
      </c>
      <c r="ODR62" s="87" t="str">
        <f>IF(ISNUMBER(outYear),ODR37+ODR42+#REF!+ODR59,"")</f>
        <v/>
      </c>
      <c r="ODS62" s="87" t="str">
        <f>IF(ISNUMBER(outYear),ODS37+ODS42+#REF!+ODS59,"")</f>
        <v/>
      </c>
      <c r="ODT62" s="87" t="str">
        <f>IF(ISNUMBER(outYear),ODT37+ODT42+#REF!+ODT59,"")</f>
        <v/>
      </c>
      <c r="ODU62" s="87" t="str">
        <f>IF(ISNUMBER(outYear),ODU37+ODU42+#REF!+ODU59,"")</f>
        <v/>
      </c>
      <c r="ODV62" s="87" t="str">
        <f>IF(ISNUMBER(outYear),ODV37+ODV42+#REF!+ODV59,"")</f>
        <v/>
      </c>
      <c r="ODW62" s="87" t="str">
        <f>IF(ISNUMBER(outYear),ODW37+ODW42+#REF!+ODW59,"")</f>
        <v/>
      </c>
      <c r="ODX62" s="87" t="str">
        <f>IF(ISNUMBER(outYear),ODX37+ODX42+#REF!+ODX59,"")</f>
        <v/>
      </c>
      <c r="ODY62" s="87" t="str">
        <f>IF(ISNUMBER(outYear),ODY37+ODY42+#REF!+ODY59,"")</f>
        <v/>
      </c>
      <c r="ODZ62" s="87" t="str">
        <f>IF(ISNUMBER(outYear),ODZ37+ODZ42+#REF!+ODZ59,"")</f>
        <v/>
      </c>
      <c r="OEA62" s="87" t="str">
        <f>IF(ISNUMBER(outYear),OEA37+OEA42+#REF!+OEA59,"")</f>
        <v/>
      </c>
      <c r="OEB62" s="87" t="str">
        <f>IF(ISNUMBER(outYear),OEB37+OEB42+#REF!+OEB59,"")</f>
        <v/>
      </c>
      <c r="OEC62" s="87" t="str">
        <f>IF(ISNUMBER(outYear),OEC37+OEC42+#REF!+OEC59,"")</f>
        <v/>
      </c>
      <c r="OED62" s="87" t="str">
        <f>IF(ISNUMBER(outYear),OED37+OED42+#REF!+OED59,"")</f>
        <v/>
      </c>
      <c r="OEE62" s="87" t="str">
        <f>IF(ISNUMBER(outYear),OEE37+OEE42+#REF!+OEE59,"")</f>
        <v/>
      </c>
      <c r="OEF62" s="87" t="str">
        <f>IF(ISNUMBER(outYear),OEF37+OEF42+#REF!+OEF59,"")</f>
        <v/>
      </c>
      <c r="OEG62" s="87" t="str">
        <f>IF(ISNUMBER(outYear),OEG37+OEG42+#REF!+OEG59,"")</f>
        <v/>
      </c>
      <c r="OEH62" s="87" t="str">
        <f>IF(ISNUMBER(outYear),OEH37+OEH42+#REF!+OEH59,"")</f>
        <v/>
      </c>
      <c r="OEI62" s="87" t="str">
        <f>IF(ISNUMBER(outYear),OEI37+OEI42+#REF!+OEI59,"")</f>
        <v/>
      </c>
      <c r="OEJ62" s="87" t="str">
        <f>IF(ISNUMBER(outYear),OEJ37+OEJ42+#REF!+OEJ59,"")</f>
        <v/>
      </c>
      <c r="OEK62" s="87" t="str">
        <f>IF(ISNUMBER(outYear),OEK37+OEK42+#REF!+OEK59,"")</f>
        <v/>
      </c>
      <c r="OEL62" s="87" t="str">
        <f>IF(ISNUMBER(outYear),OEL37+OEL42+#REF!+OEL59,"")</f>
        <v/>
      </c>
      <c r="OEM62" s="87" t="str">
        <f>IF(ISNUMBER(outYear),OEM37+OEM42+#REF!+OEM59,"")</f>
        <v/>
      </c>
      <c r="OEN62" s="87" t="str">
        <f>IF(ISNUMBER(outYear),OEN37+OEN42+#REF!+OEN59,"")</f>
        <v/>
      </c>
      <c r="OEO62" s="87" t="str">
        <f>IF(ISNUMBER(outYear),OEO37+OEO42+#REF!+OEO59,"")</f>
        <v/>
      </c>
      <c r="OEP62" s="87" t="str">
        <f>IF(ISNUMBER(outYear),OEP37+OEP42+#REF!+OEP59,"")</f>
        <v/>
      </c>
      <c r="OEQ62" s="87" t="str">
        <f>IF(ISNUMBER(outYear),OEQ37+OEQ42+#REF!+OEQ59,"")</f>
        <v/>
      </c>
      <c r="OER62" s="87" t="str">
        <f>IF(ISNUMBER(outYear),OER37+OER42+#REF!+OER59,"")</f>
        <v/>
      </c>
      <c r="OES62" s="87" t="str">
        <f>IF(ISNUMBER(outYear),OES37+OES42+#REF!+OES59,"")</f>
        <v/>
      </c>
      <c r="OET62" s="87" t="str">
        <f>IF(ISNUMBER(outYear),OET37+OET42+#REF!+OET59,"")</f>
        <v/>
      </c>
      <c r="OEU62" s="87" t="str">
        <f>IF(ISNUMBER(outYear),OEU37+OEU42+#REF!+OEU59,"")</f>
        <v/>
      </c>
      <c r="OEV62" s="87" t="str">
        <f>IF(ISNUMBER(outYear),OEV37+OEV42+#REF!+OEV59,"")</f>
        <v/>
      </c>
      <c r="OEW62" s="87" t="str">
        <f>IF(ISNUMBER(outYear),OEW37+OEW42+#REF!+OEW59,"")</f>
        <v/>
      </c>
      <c r="OEX62" s="87" t="str">
        <f>IF(ISNUMBER(outYear),OEX37+OEX42+#REF!+OEX59,"")</f>
        <v/>
      </c>
      <c r="OEY62" s="87" t="str">
        <f>IF(ISNUMBER(outYear),OEY37+OEY42+#REF!+OEY59,"")</f>
        <v/>
      </c>
      <c r="OEZ62" s="87" t="str">
        <f>IF(ISNUMBER(outYear),OEZ37+OEZ42+#REF!+OEZ59,"")</f>
        <v/>
      </c>
      <c r="OFA62" s="87" t="str">
        <f>IF(ISNUMBER(outYear),OFA37+OFA42+#REF!+OFA59,"")</f>
        <v/>
      </c>
      <c r="OFB62" s="87" t="str">
        <f>IF(ISNUMBER(outYear),OFB37+OFB42+#REF!+OFB59,"")</f>
        <v/>
      </c>
      <c r="OFC62" s="87" t="str">
        <f>IF(ISNUMBER(outYear),OFC37+OFC42+#REF!+OFC59,"")</f>
        <v/>
      </c>
      <c r="OFD62" s="87" t="str">
        <f>IF(ISNUMBER(outYear),OFD37+OFD42+#REF!+OFD59,"")</f>
        <v/>
      </c>
      <c r="OFE62" s="87" t="str">
        <f>IF(ISNUMBER(outYear),OFE37+OFE42+#REF!+OFE59,"")</f>
        <v/>
      </c>
      <c r="OFF62" s="87" t="str">
        <f>IF(ISNUMBER(outYear),OFF37+OFF42+#REF!+OFF59,"")</f>
        <v/>
      </c>
      <c r="OFG62" s="87" t="str">
        <f>IF(ISNUMBER(outYear),OFG37+OFG42+#REF!+OFG59,"")</f>
        <v/>
      </c>
      <c r="OFH62" s="87" t="str">
        <f>IF(ISNUMBER(outYear),OFH37+OFH42+#REF!+OFH59,"")</f>
        <v/>
      </c>
      <c r="OFI62" s="87" t="str">
        <f>IF(ISNUMBER(outYear),OFI37+OFI42+#REF!+OFI59,"")</f>
        <v/>
      </c>
      <c r="OFJ62" s="87" t="str">
        <f>IF(ISNUMBER(outYear),OFJ37+OFJ42+#REF!+OFJ59,"")</f>
        <v/>
      </c>
      <c r="OFK62" s="87" t="str">
        <f>IF(ISNUMBER(outYear),OFK37+OFK42+#REF!+OFK59,"")</f>
        <v/>
      </c>
      <c r="OFL62" s="87" t="str">
        <f>IF(ISNUMBER(outYear),OFL37+OFL42+#REF!+OFL59,"")</f>
        <v/>
      </c>
      <c r="OFM62" s="87" t="str">
        <f>IF(ISNUMBER(outYear),OFM37+OFM42+#REF!+OFM59,"")</f>
        <v/>
      </c>
      <c r="OFN62" s="87" t="str">
        <f>IF(ISNUMBER(outYear),OFN37+OFN42+#REF!+OFN59,"")</f>
        <v/>
      </c>
      <c r="OFO62" s="87" t="str">
        <f>IF(ISNUMBER(outYear),OFO37+OFO42+#REF!+OFO59,"")</f>
        <v/>
      </c>
      <c r="OFP62" s="87" t="str">
        <f>IF(ISNUMBER(outYear),OFP37+OFP42+#REF!+OFP59,"")</f>
        <v/>
      </c>
      <c r="OFQ62" s="87" t="str">
        <f>IF(ISNUMBER(outYear),OFQ37+OFQ42+#REF!+OFQ59,"")</f>
        <v/>
      </c>
      <c r="OFR62" s="87" t="str">
        <f>IF(ISNUMBER(outYear),OFR37+OFR42+#REF!+OFR59,"")</f>
        <v/>
      </c>
      <c r="OFS62" s="87" t="str">
        <f>IF(ISNUMBER(outYear),OFS37+OFS42+#REF!+OFS59,"")</f>
        <v/>
      </c>
      <c r="OFT62" s="87" t="str">
        <f>IF(ISNUMBER(outYear),OFT37+OFT42+#REF!+OFT59,"")</f>
        <v/>
      </c>
      <c r="OFU62" s="87" t="str">
        <f>IF(ISNUMBER(outYear),OFU37+OFU42+#REF!+OFU59,"")</f>
        <v/>
      </c>
      <c r="OFV62" s="87" t="str">
        <f>IF(ISNUMBER(outYear),OFV37+OFV42+#REF!+OFV59,"")</f>
        <v/>
      </c>
      <c r="OFW62" s="87" t="str">
        <f>IF(ISNUMBER(outYear),OFW37+OFW42+#REF!+OFW59,"")</f>
        <v/>
      </c>
      <c r="OFX62" s="87" t="str">
        <f>IF(ISNUMBER(outYear),OFX37+OFX42+#REF!+OFX59,"")</f>
        <v/>
      </c>
      <c r="OFY62" s="87" t="str">
        <f>IF(ISNUMBER(outYear),OFY37+OFY42+#REF!+OFY59,"")</f>
        <v/>
      </c>
      <c r="OFZ62" s="87" t="str">
        <f>IF(ISNUMBER(outYear),OFZ37+OFZ42+#REF!+OFZ59,"")</f>
        <v/>
      </c>
      <c r="OGA62" s="87" t="str">
        <f>IF(ISNUMBER(outYear),OGA37+OGA42+#REF!+OGA59,"")</f>
        <v/>
      </c>
      <c r="OGB62" s="87" t="str">
        <f>IF(ISNUMBER(outYear),OGB37+OGB42+#REF!+OGB59,"")</f>
        <v/>
      </c>
      <c r="OGC62" s="87" t="str">
        <f>IF(ISNUMBER(outYear),OGC37+OGC42+#REF!+OGC59,"")</f>
        <v/>
      </c>
      <c r="OGD62" s="87" t="str">
        <f>IF(ISNUMBER(outYear),OGD37+OGD42+#REF!+OGD59,"")</f>
        <v/>
      </c>
      <c r="OGE62" s="87" t="str">
        <f>IF(ISNUMBER(outYear),OGE37+OGE42+#REF!+OGE59,"")</f>
        <v/>
      </c>
      <c r="OGF62" s="87" t="str">
        <f>IF(ISNUMBER(outYear),OGF37+OGF42+#REF!+OGF59,"")</f>
        <v/>
      </c>
      <c r="OGG62" s="87" t="str">
        <f>IF(ISNUMBER(outYear),OGG37+OGG42+#REF!+OGG59,"")</f>
        <v/>
      </c>
      <c r="OGH62" s="87" t="str">
        <f>IF(ISNUMBER(outYear),OGH37+OGH42+#REF!+OGH59,"")</f>
        <v/>
      </c>
      <c r="OGI62" s="87" t="str">
        <f>IF(ISNUMBER(outYear),OGI37+OGI42+#REF!+OGI59,"")</f>
        <v/>
      </c>
      <c r="OGJ62" s="87" t="str">
        <f>IF(ISNUMBER(outYear),OGJ37+OGJ42+#REF!+OGJ59,"")</f>
        <v/>
      </c>
      <c r="OGK62" s="87" t="str">
        <f>IF(ISNUMBER(outYear),OGK37+OGK42+#REF!+OGK59,"")</f>
        <v/>
      </c>
      <c r="OGL62" s="87" t="str">
        <f>IF(ISNUMBER(outYear),OGL37+OGL42+#REF!+OGL59,"")</f>
        <v/>
      </c>
      <c r="OGM62" s="87" t="str">
        <f>IF(ISNUMBER(outYear),OGM37+OGM42+#REF!+OGM59,"")</f>
        <v/>
      </c>
      <c r="OGN62" s="87" t="str">
        <f>IF(ISNUMBER(outYear),OGN37+OGN42+#REF!+OGN59,"")</f>
        <v/>
      </c>
      <c r="OGO62" s="87" t="str">
        <f>IF(ISNUMBER(outYear),OGO37+OGO42+#REF!+OGO59,"")</f>
        <v/>
      </c>
      <c r="OGP62" s="87" t="str">
        <f>IF(ISNUMBER(outYear),OGP37+OGP42+#REF!+OGP59,"")</f>
        <v/>
      </c>
      <c r="OGQ62" s="87" t="str">
        <f>IF(ISNUMBER(outYear),OGQ37+OGQ42+#REF!+OGQ59,"")</f>
        <v/>
      </c>
      <c r="OGR62" s="87" t="str">
        <f>IF(ISNUMBER(outYear),OGR37+OGR42+#REF!+OGR59,"")</f>
        <v/>
      </c>
      <c r="OGS62" s="87" t="str">
        <f>IF(ISNUMBER(outYear),OGS37+OGS42+#REF!+OGS59,"")</f>
        <v/>
      </c>
      <c r="OGT62" s="87" t="str">
        <f>IF(ISNUMBER(outYear),OGT37+OGT42+#REF!+OGT59,"")</f>
        <v/>
      </c>
      <c r="OGU62" s="87" t="str">
        <f>IF(ISNUMBER(outYear),OGU37+OGU42+#REF!+OGU59,"")</f>
        <v/>
      </c>
      <c r="OGV62" s="87" t="str">
        <f>IF(ISNUMBER(outYear),OGV37+OGV42+#REF!+OGV59,"")</f>
        <v/>
      </c>
      <c r="OGW62" s="87" t="str">
        <f>IF(ISNUMBER(outYear),OGW37+OGW42+#REF!+OGW59,"")</f>
        <v/>
      </c>
      <c r="OGX62" s="87" t="str">
        <f>IF(ISNUMBER(outYear),OGX37+OGX42+#REF!+OGX59,"")</f>
        <v/>
      </c>
      <c r="OGY62" s="87" t="str">
        <f>IF(ISNUMBER(outYear),OGY37+OGY42+#REF!+OGY59,"")</f>
        <v/>
      </c>
      <c r="OGZ62" s="87" t="str">
        <f>IF(ISNUMBER(outYear),OGZ37+OGZ42+#REF!+OGZ59,"")</f>
        <v/>
      </c>
      <c r="OHA62" s="87" t="str">
        <f>IF(ISNUMBER(outYear),OHA37+OHA42+#REF!+OHA59,"")</f>
        <v/>
      </c>
      <c r="OHB62" s="87" t="str">
        <f>IF(ISNUMBER(outYear),OHB37+OHB42+#REF!+OHB59,"")</f>
        <v/>
      </c>
      <c r="OHC62" s="87" t="str">
        <f>IF(ISNUMBER(outYear),OHC37+OHC42+#REF!+OHC59,"")</f>
        <v/>
      </c>
      <c r="OHD62" s="87" t="str">
        <f>IF(ISNUMBER(outYear),OHD37+OHD42+#REF!+OHD59,"")</f>
        <v/>
      </c>
      <c r="OHE62" s="87" t="str">
        <f>IF(ISNUMBER(outYear),OHE37+OHE42+#REF!+OHE59,"")</f>
        <v/>
      </c>
      <c r="OHF62" s="87" t="str">
        <f>IF(ISNUMBER(outYear),OHF37+OHF42+#REF!+OHF59,"")</f>
        <v/>
      </c>
      <c r="OHG62" s="87" t="str">
        <f>IF(ISNUMBER(outYear),OHG37+OHG42+#REF!+OHG59,"")</f>
        <v/>
      </c>
      <c r="OHH62" s="87" t="str">
        <f>IF(ISNUMBER(outYear),OHH37+OHH42+#REF!+OHH59,"")</f>
        <v/>
      </c>
      <c r="OHI62" s="87" t="str">
        <f>IF(ISNUMBER(outYear),OHI37+OHI42+#REF!+OHI59,"")</f>
        <v/>
      </c>
      <c r="OHJ62" s="87" t="str">
        <f>IF(ISNUMBER(outYear),OHJ37+OHJ42+#REF!+OHJ59,"")</f>
        <v/>
      </c>
      <c r="OHK62" s="87" t="str">
        <f>IF(ISNUMBER(outYear),OHK37+OHK42+#REF!+OHK59,"")</f>
        <v/>
      </c>
      <c r="OHL62" s="87" t="str">
        <f>IF(ISNUMBER(outYear),OHL37+OHL42+#REF!+OHL59,"")</f>
        <v/>
      </c>
      <c r="OHM62" s="87" t="str">
        <f>IF(ISNUMBER(outYear),OHM37+OHM42+#REF!+OHM59,"")</f>
        <v/>
      </c>
      <c r="OHN62" s="87" t="str">
        <f>IF(ISNUMBER(outYear),OHN37+OHN42+#REF!+OHN59,"")</f>
        <v/>
      </c>
      <c r="OHO62" s="87" t="str">
        <f>IF(ISNUMBER(outYear),OHO37+OHO42+#REF!+OHO59,"")</f>
        <v/>
      </c>
      <c r="OHP62" s="87" t="str">
        <f>IF(ISNUMBER(outYear),OHP37+OHP42+#REF!+OHP59,"")</f>
        <v/>
      </c>
      <c r="OHQ62" s="87" t="str">
        <f>IF(ISNUMBER(outYear),OHQ37+OHQ42+#REF!+OHQ59,"")</f>
        <v/>
      </c>
      <c r="OHR62" s="87" t="str">
        <f>IF(ISNUMBER(outYear),OHR37+OHR42+#REF!+OHR59,"")</f>
        <v/>
      </c>
      <c r="OHS62" s="87" t="str">
        <f>IF(ISNUMBER(outYear),OHS37+OHS42+#REF!+OHS59,"")</f>
        <v/>
      </c>
      <c r="OHT62" s="87" t="str">
        <f>IF(ISNUMBER(outYear),OHT37+OHT42+#REF!+OHT59,"")</f>
        <v/>
      </c>
      <c r="OHU62" s="87" t="str">
        <f>IF(ISNUMBER(outYear),OHU37+OHU42+#REF!+OHU59,"")</f>
        <v/>
      </c>
      <c r="OHV62" s="87" t="str">
        <f>IF(ISNUMBER(outYear),OHV37+OHV42+#REF!+OHV59,"")</f>
        <v/>
      </c>
      <c r="OHW62" s="87" t="str">
        <f>IF(ISNUMBER(outYear),OHW37+OHW42+#REF!+OHW59,"")</f>
        <v/>
      </c>
      <c r="OHX62" s="87" t="str">
        <f>IF(ISNUMBER(outYear),OHX37+OHX42+#REF!+OHX59,"")</f>
        <v/>
      </c>
      <c r="OHY62" s="87" t="str">
        <f>IF(ISNUMBER(outYear),OHY37+OHY42+#REF!+OHY59,"")</f>
        <v/>
      </c>
      <c r="OHZ62" s="87" t="str">
        <f>IF(ISNUMBER(outYear),OHZ37+OHZ42+#REF!+OHZ59,"")</f>
        <v/>
      </c>
      <c r="OIA62" s="87" t="str">
        <f>IF(ISNUMBER(outYear),OIA37+OIA42+#REF!+OIA59,"")</f>
        <v/>
      </c>
      <c r="OIB62" s="87" t="str">
        <f>IF(ISNUMBER(outYear),OIB37+OIB42+#REF!+OIB59,"")</f>
        <v/>
      </c>
      <c r="OIC62" s="87" t="str">
        <f>IF(ISNUMBER(outYear),OIC37+OIC42+#REF!+OIC59,"")</f>
        <v/>
      </c>
      <c r="OID62" s="87" t="str">
        <f>IF(ISNUMBER(outYear),OID37+OID42+#REF!+OID59,"")</f>
        <v/>
      </c>
      <c r="OIE62" s="87" t="str">
        <f>IF(ISNUMBER(outYear),OIE37+OIE42+#REF!+OIE59,"")</f>
        <v/>
      </c>
      <c r="OIF62" s="87" t="str">
        <f>IF(ISNUMBER(outYear),OIF37+OIF42+#REF!+OIF59,"")</f>
        <v/>
      </c>
      <c r="OIG62" s="87" t="str">
        <f>IF(ISNUMBER(outYear),OIG37+OIG42+#REF!+OIG59,"")</f>
        <v/>
      </c>
      <c r="OIH62" s="87" t="str">
        <f>IF(ISNUMBER(outYear),OIH37+OIH42+#REF!+OIH59,"")</f>
        <v/>
      </c>
      <c r="OII62" s="87" t="str">
        <f>IF(ISNUMBER(outYear),OII37+OII42+#REF!+OII59,"")</f>
        <v/>
      </c>
      <c r="OIJ62" s="87" t="str">
        <f>IF(ISNUMBER(outYear),OIJ37+OIJ42+#REF!+OIJ59,"")</f>
        <v/>
      </c>
      <c r="OIK62" s="87" t="str">
        <f>IF(ISNUMBER(outYear),OIK37+OIK42+#REF!+OIK59,"")</f>
        <v/>
      </c>
      <c r="OIL62" s="87" t="str">
        <f>IF(ISNUMBER(outYear),OIL37+OIL42+#REF!+OIL59,"")</f>
        <v/>
      </c>
      <c r="OIM62" s="87" t="str">
        <f>IF(ISNUMBER(outYear),OIM37+OIM42+#REF!+OIM59,"")</f>
        <v/>
      </c>
      <c r="OIN62" s="87" t="str">
        <f>IF(ISNUMBER(outYear),OIN37+OIN42+#REF!+OIN59,"")</f>
        <v/>
      </c>
      <c r="OIO62" s="87" t="str">
        <f>IF(ISNUMBER(outYear),OIO37+OIO42+#REF!+OIO59,"")</f>
        <v/>
      </c>
      <c r="OIP62" s="87" t="str">
        <f>IF(ISNUMBER(outYear),OIP37+OIP42+#REF!+OIP59,"")</f>
        <v/>
      </c>
      <c r="OIQ62" s="87" t="str">
        <f>IF(ISNUMBER(outYear),OIQ37+OIQ42+#REF!+OIQ59,"")</f>
        <v/>
      </c>
      <c r="OIR62" s="87" t="str">
        <f>IF(ISNUMBER(outYear),OIR37+OIR42+#REF!+OIR59,"")</f>
        <v/>
      </c>
      <c r="OIS62" s="87" t="str">
        <f>IF(ISNUMBER(outYear),OIS37+OIS42+#REF!+OIS59,"")</f>
        <v/>
      </c>
      <c r="OIT62" s="87" t="str">
        <f>IF(ISNUMBER(outYear),OIT37+OIT42+#REF!+OIT59,"")</f>
        <v/>
      </c>
      <c r="OIU62" s="87" t="str">
        <f>IF(ISNUMBER(outYear),OIU37+OIU42+#REF!+OIU59,"")</f>
        <v/>
      </c>
      <c r="OIV62" s="87" t="str">
        <f>IF(ISNUMBER(outYear),OIV37+OIV42+#REF!+OIV59,"")</f>
        <v/>
      </c>
      <c r="OIW62" s="87" t="str">
        <f>IF(ISNUMBER(outYear),OIW37+OIW42+#REF!+OIW59,"")</f>
        <v/>
      </c>
      <c r="OIX62" s="87" t="str">
        <f>IF(ISNUMBER(outYear),OIX37+OIX42+#REF!+OIX59,"")</f>
        <v/>
      </c>
      <c r="OIY62" s="87" t="str">
        <f>IF(ISNUMBER(outYear),OIY37+OIY42+#REF!+OIY59,"")</f>
        <v/>
      </c>
      <c r="OIZ62" s="87" t="str">
        <f>IF(ISNUMBER(outYear),OIZ37+OIZ42+#REF!+OIZ59,"")</f>
        <v/>
      </c>
      <c r="OJA62" s="87" t="str">
        <f>IF(ISNUMBER(outYear),OJA37+OJA42+#REF!+OJA59,"")</f>
        <v/>
      </c>
      <c r="OJB62" s="87" t="str">
        <f>IF(ISNUMBER(outYear),OJB37+OJB42+#REF!+OJB59,"")</f>
        <v/>
      </c>
      <c r="OJC62" s="87" t="str">
        <f>IF(ISNUMBER(outYear),OJC37+OJC42+#REF!+OJC59,"")</f>
        <v/>
      </c>
      <c r="OJD62" s="87" t="str">
        <f>IF(ISNUMBER(outYear),OJD37+OJD42+#REF!+OJD59,"")</f>
        <v/>
      </c>
      <c r="OJE62" s="87" t="str">
        <f>IF(ISNUMBER(outYear),OJE37+OJE42+#REF!+OJE59,"")</f>
        <v/>
      </c>
      <c r="OJF62" s="87" t="str">
        <f>IF(ISNUMBER(outYear),OJF37+OJF42+#REF!+OJF59,"")</f>
        <v/>
      </c>
      <c r="OJG62" s="87" t="str">
        <f>IF(ISNUMBER(outYear),OJG37+OJG42+#REF!+OJG59,"")</f>
        <v/>
      </c>
      <c r="OJH62" s="87" t="str">
        <f>IF(ISNUMBER(outYear),OJH37+OJH42+#REF!+OJH59,"")</f>
        <v/>
      </c>
      <c r="OJI62" s="87" t="str">
        <f>IF(ISNUMBER(outYear),OJI37+OJI42+#REF!+OJI59,"")</f>
        <v/>
      </c>
      <c r="OJJ62" s="87" t="str">
        <f>IF(ISNUMBER(outYear),OJJ37+OJJ42+#REF!+OJJ59,"")</f>
        <v/>
      </c>
      <c r="OJK62" s="87" t="str">
        <f>IF(ISNUMBER(outYear),OJK37+OJK42+#REF!+OJK59,"")</f>
        <v/>
      </c>
      <c r="OJL62" s="87" t="str">
        <f>IF(ISNUMBER(outYear),OJL37+OJL42+#REF!+OJL59,"")</f>
        <v/>
      </c>
      <c r="OJM62" s="87" t="str">
        <f>IF(ISNUMBER(outYear),OJM37+OJM42+#REF!+OJM59,"")</f>
        <v/>
      </c>
      <c r="OJN62" s="87" t="str">
        <f>IF(ISNUMBER(outYear),OJN37+OJN42+#REF!+OJN59,"")</f>
        <v/>
      </c>
      <c r="OJO62" s="87" t="str">
        <f>IF(ISNUMBER(outYear),OJO37+OJO42+#REF!+OJO59,"")</f>
        <v/>
      </c>
      <c r="OJP62" s="87" t="str">
        <f>IF(ISNUMBER(outYear),OJP37+OJP42+#REF!+OJP59,"")</f>
        <v/>
      </c>
      <c r="OJQ62" s="87" t="str">
        <f>IF(ISNUMBER(outYear),OJQ37+OJQ42+#REF!+OJQ59,"")</f>
        <v/>
      </c>
      <c r="OJR62" s="87" t="str">
        <f>IF(ISNUMBER(outYear),OJR37+OJR42+#REF!+OJR59,"")</f>
        <v/>
      </c>
      <c r="OJS62" s="87" t="str">
        <f>IF(ISNUMBER(outYear),OJS37+OJS42+#REF!+OJS59,"")</f>
        <v/>
      </c>
      <c r="OJT62" s="87" t="str">
        <f>IF(ISNUMBER(outYear),OJT37+OJT42+#REF!+OJT59,"")</f>
        <v/>
      </c>
      <c r="OJU62" s="87" t="str">
        <f>IF(ISNUMBER(outYear),OJU37+OJU42+#REF!+OJU59,"")</f>
        <v/>
      </c>
      <c r="OJV62" s="87" t="str">
        <f>IF(ISNUMBER(outYear),OJV37+OJV42+#REF!+OJV59,"")</f>
        <v/>
      </c>
      <c r="OJW62" s="87" t="str">
        <f>IF(ISNUMBER(outYear),OJW37+OJW42+#REF!+OJW59,"")</f>
        <v/>
      </c>
      <c r="OJX62" s="87" t="str">
        <f>IF(ISNUMBER(outYear),OJX37+OJX42+#REF!+OJX59,"")</f>
        <v/>
      </c>
      <c r="OJY62" s="87" t="str">
        <f>IF(ISNUMBER(outYear),OJY37+OJY42+#REF!+OJY59,"")</f>
        <v/>
      </c>
      <c r="OJZ62" s="87" t="str">
        <f>IF(ISNUMBER(outYear),OJZ37+OJZ42+#REF!+OJZ59,"")</f>
        <v/>
      </c>
      <c r="OKA62" s="87" t="str">
        <f>IF(ISNUMBER(outYear),OKA37+OKA42+#REF!+OKA59,"")</f>
        <v/>
      </c>
      <c r="OKB62" s="87" t="str">
        <f>IF(ISNUMBER(outYear),OKB37+OKB42+#REF!+OKB59,"")</f>
        <v/>
      </c>
      <c r="OKC62" s="87" t="str">
        <f>IF(ISNUMBER(outYear),OKC37+OKC42+#REF!+OKC59,"")</f>
        <v/>
      </c>
      <c r="OKD62" s="87" t="str">
        <f>IF(ISNUMBER(outYear),OKD37+OKD42+#REF!+OKD59,"")</f>
        <v/>
      </c>
      <c r="OKE62" s="87" t="str">
        <f>IF(ISNUMBER(outYear),OKE37+OKE42+#REF!+OKE59,"")</f>
        <v/>
      </c>
      <c r="OKF62" s="87" t="str">
        <f>IF(ISNUMBER(outYear),OKF37+OKF42+#REF!+OKF59,"")</f>
        <v/>
      </c>
      <c r="OKG62" s="87" t="str">
        <f>IF(ISNUMBER(outYear),OKG37+OKG42+#REF!+OKG59,"")</f>
        <v/>
      </c>
      <c r="OKH62" s="87" t="str">
        <f>IF(ISNUMBER(outYear),OKH37+OKH42+#REF!+OKH59,"")</f>
        <v/>
      </c>
      <c r="OKI62" s="87" t="str">
        <f>IF(ISNUMBER(outYear),OKI37+OKI42+#REF!+OKI59,"")</f>
        <v/>
      </c>
      <c r="OKJ62" s="87" t="str">
        <f>IF(ISNUMBER(outYear),OKJ37+OKJ42+#REF!+OKJ59,"")</f>
        <v/>
      </c>
      <c r="OKK62" s="87" t="str">
        <f>IF(ISNUMBER(outYear),OKK37+OKK42+#REF!+OKK59,"")</f>
        <v/>
      </c>
      <c r="OKL62" s="87" t="str">
        <f>IF(ISNUMBER(outYear),OKL37+OKL42+#REF!+OKL59,"")</f>
        <v/>
      </c>
      <c r="OKM62" s="87" t="str">
        <f>IF(ISNUMBER(outYear),OKM37+OKM42+#REF!+OKM59,"")</f>
        <v/>
      </c>
      <c r="OKN62" s="87" t="str">
        <f>IF(ISNUMBER(outYear),OKN37+OKN42+#REF!+OKN59,"")</f>
        <v/>
      </c>
      <c r="OKO62" s="87" t="str">
        <f>IF(ISNUMBER(outYear),OKO37+OKO42+#REF!+OKO59,"")</f>
        <v/>
      </c>
      <c r="OKP62" s="87" t="str">
        <f>IF(ISNUMBER(outYear),OKP37+OKP42+#REF!+OKP59,"")</f>
        <v/>
      </c>
      <c r="OKQ62" s="87" t="str">
        <f>IF(ISNUMBER(outYear),OKQ37+OKQ42+#REF!+OKQ59,"")</f>
        <v/>
      </c>
      <c r="OKR62" s="87" t="str">
        <f>IF(ISNUMBER(outYear),OKR37+OKR42+#REF!+OKR59,"")</f>
        <v/>
      </c>
      <c r="OKS62" s="87" t="str">
        <f>IF(ISNUMBER(outYear),OKS37+OKS42+#REF!+OKS59,"")</f>
        <v/>
      </c>
      <c r="OKT62" s="87" t="str">
        <f>IF(ISNUMBER(outYear),OKT37+OKT42+#REF!+OKT59,"")</f>
        <v/>
      </c>
      <c r="OKU62" s="87" t="str">
        <f>IF(ISNUMBER(outYear),OKU37+OKU42+#REF!+OKU59,"")</f>
        <v/>
      </c>
      <c r="OKV62" s="87" t="str">
        <f>IF(ISNUMBER(outYear),OKV37+OKV42+#REF!+OKV59,"")</f>
        <v/>
      </c>
      <c r="OKW62" s="87" t="str">
        <f>IF(ISNUMBER(outYear),OKW37+OKW42+#REF!+OKW59,"")</f>
        <v/>
      </c>
      <c r="OKX62" s="87" t="str">
        <f>IF(ISNUMBER(outYear),OKX37+OKX42+#REF!+OKX59,"")</f>
        <v/>
      </c>
      <c r="OKY62" s="87" t="str">
        <f>IF(ISNUMBER(outYear),OKY37+OKY42+#REF!+OKY59,"")</f>
        <v/>
      </c>
      <c r="OKZ62" s="87" t="str">
        <f>IF(ISNUMBER(outYear),OKZ37+OKZ42+#REF!+OKZ59,"")</f>
        <v/>
      </c>
      <c r="OLA62" s="87" t="str">
        <f>IF(ISNUMBER(outYear),OLA37+OLA42+#REF!+OLA59,"")</f>
        <v/>
      </c>
      <c r="OLB62" s="87" t="str">
        <f>IF(ISNUMBER(outYear),OLB37+OLB42+#REF!+OLB59,"")</f>
        <v/>
      </c>
      <c r="OLC62" s="87" t="str">
        <f>IF(ISNUMBER(outYear),OLC37+OLC42+#REF!+OLC59,"")</f>
        <v/>
      </c>
      <c r="OLD62" s="87" t="str">
        <f>IF(ISNUMBER(outYear),OLD37+OLD42+#REF!+OLD59,"")</f>
        <v/>
      </c>
      <c r="OLE62" s="87" t="str">
        <f>IF(ISNUMBER(outYear),OLE37+OLE42+#REF!+OLE59,"")</f>
        <v/>
      </c>
      <c r="OLF62" s="87" t="str">
        <f>IF(ISNUMBER(outYear),OLF37+OLF42+#REF!+OLF59,"")</f>
        <v/>
      </c>
      <c r="OLG62" s="87" t="str">
        <f>IF(ISNUMBER(outYear),OLG37+OLG42+#REF!+OLG59,"")</f>
        <v/>
      </c>
      <c r="OLH62" s="87" t="str">
        <f>IF(ISNUMBER(outYear),OLH37+OLH42+#REF!+OLH59,"")</f>
        <v/>
      </c>
      <c r="OLI62" s="87" t="str">
        <f>IF(ISNUMBER(outYear),OLI37+OLI42+#REF!+OLI59,"")</f>
        <v/>
      </c>
      <c r="OLJ62" s="87" t="str">
        <f>IF(ISNUMBER(outYear),OLJ37+OLJ42+#REF!+OLJ59,"")</f>
        <v/>
      </c>
      <c r="OLK62" s="87" t="str">
        <f>IF(ISNUMBER(outYear),OLK37+OLK42+#REF!+OLK59,"")</f>
        <v/>
      </c>
      <c r="OLL62" s="87" t="str">
        <f>IF(ISNUMBER(outYear),OLL37+OLL42+#REF!+OLL59,"")</f>
        <v/>
      </c>
      <c r="OLM62" s="87" t="str">
        <f>IF(ISNUMBER(outYear),OLM37+OLM42+#REF!+OLM59,"")</f>
        <v/>
      </c>
      <c r="OLN62" s="87" t="str">
        <f>IF(ISNUMBER(outYear),OLN37+OLN42+#REF!+OLN59,"")</f>
        <v/>
      </c>
      <c r="OLO62" s="87" t="str">
        <f>IF(ISNUMBER(outYear),OLO37+OLO42+#REF!+OLO59,"")</f>
        <v/>
      </c>
      <c r="OLP62" s="87" t="str">
        <f>IF(ISNUMBER(outYear),OLP37+OLP42+#REF!+OLP59,"")</f>
        <v/>
      </c>
      <c r="OLQ62" s="87" t="str">
        <f>IF(ISNUMBER(outYear),OLQ37+OLQ42+#REF!+OLQ59,"")</f>
        <v/>
      </c>
      <c r="OLR62" s="87" t="str">
        <f>IF(ISNUMBER(outYear),OLR37+OLR42+#REF!+OLR59,"")</f>
        <v/>
      </c>
      <c r="OLS62" s="87" t="str">
        <f>IF(ISNUMBER(outYear),OLS37+OLS42+#REF!+OLS59,"")</f>
        <v/>
      </c>
      <c r="OLT62" s="87" t="str">
        <f>IF(ISNUMBER(outYear),OLT37+OLT42+#REF!+OLT59,"")</f>
        <v/>
      </c>
      <c r="OLU62" s="87" t="str">
        <f>IF(ISNUMBER(outYear),OLU37+OLU42+#REF!+OLU59,"")</f>
        <v/>
      </c>
      <c r="OLV62" s="87" t="str">
        <f>IF(ISNUMBER(outYear),OLV37+OLV42+#REF!+OLV59,"")</f>
        <v/>
      </c>
      <c r="OLW62" s="87" t="str">
        <f>IF(ISNUMBER(outYear),OLW37+OLW42+#REF!+OLW59,"")</f>
        <v/>
      </c>
      <c r="OLX62" s="87" t="str">
        <f>IF(ISNUMBER(outYear),OLX37+OLX42+#REF!+OLX59,"")</f>
        <v/>
      </c>
      <c r="OLY62" s="87" t="str">
        <f>IF(ISNUMBER(outYear),OLY37+OLY42+#REF!+OLY59,"")</f>
        <v/>
      </c>
      <c r="OLZ62" s="87" t="str">
        <f>IF(ISNUMBER(outYear),OLZ37+OLZ42+#REF!+OLZ59,"")</f>
        <v/>
      </c>
      <c r="OMA62" s="87" t="str">
        <f>IF(ISNUMBER(outYear),OMA37+OMA42+#REF!+OMA59,"")</f>
        <v/>
      </c>
      <c r="OMB62" s="87" t="str">
        <f>IF(ISNUMBER(outYear),OMB37+OMB42+#REF!+OMB59,"")</f>
        <v/>
      </c>
      <c r="OMC62" s="87" t="str">
        <f>IF(ISNUMBER(outYear),OMC37+OMC42+#REF!+OMC59,"")</f>
        <v/>
      </c>
      <c r="OMD62" s="87" t="str">
        <f>IF(ISNUMBER(outYear),OMD37+OMD42+#REF!+OMD59,"")</f>
        <v/>
      </c>
      <c r="OME62" s="87" t="str">
        <f>IF(ISNUMBER(outYear),OME37+OME42+#REF!+OME59,"")</f>
        <v/>
      </c>
      <c r="OMF62" s="87" t="str">
        <f>IF(ISNUMBER(outYear),OMF37+OMF42+#REF!+OMF59,"")</f>
        <v/>
      </c>
      <c r="OMG62" s="87" t="str">
        <f>IF(ISNUMBER(outYear),OMG37+OMG42+#REF!+OMG59,"")</f>
        <v/>
      </c>
      <c r="OMH62" s="87" t="str">
        <f>IF(ISNUMBER(outYear),OMH37+OMH42+#REF!+OMH59,"")</f>
        <v/>
      </c>
      <c r="OMI62" s="87" t="str">
        <f>IF(ISNUMBER(outYear),OMI37+OMI42+#REF!+OMI59,"")</f>
        <v/>
      </c>
      <c r="OMJ62" s="87" t="str">
        <f>IF(ISNUMBER(outYear),OMJ37+OMJ42+#REF!+OMJ59,"")</f>
        <v/>
      </c>
      <c r="OMK62" s="87" t="str">
        <f>IF(ISNUMBER(outYear),OMK37+OMK42+#REF!+OMK59,"")</f>
        <v/>
      </c>
      <c r="OML62" s="87" t="str">
        <f>IF(ISNUMBER(outYear),OML37+OML42+#REF!+OML59,"")</f>
        <v/>
      </c>
      <c r="OMM62" s="87" t="str">
        <f>IF(ISNUMBER(outYear),OMM37+OMM42+#REF!+OMM59,"")</f>
        <v/>
      </c>
      <c r="OMN62" s="87" t="str">
        <f>IF(ISNUMBER(outYear),OMN37+OMN42+#REF!+OMN59,"")</f>
        <v/>
      </c>
      <c r="OMO62" s="87" t="str">
        <f>IF(ISNUMBER(outYear),OMO37+OMO42+#REF!+OMO59,"")</f>
        <v/>
      </c>
      <c r="OMP62" s="87" t="str">
        <f>IF(ISNUMBER(outYear),OMP37+OMP42+#REF!+OMP59,"")</f>
        <v/>
      </c>
      <c r="OMQ62" s="87" t="str">
        <f>IF(ISNUMBER(outYear),OMQ37+OMQ42+#REF!+OMQ59,"")</f>
        <v/>
      </c>
      <c r="OMR62" s="87" t="str">
        <f>IF(ISNUMBER(outYear),OMR37+OMR42+#REF!+OMR59,"")</f>
        <v/>
      </c>
      <c r="OMS62" s="87" t="str">
        <f>IF(ISNUMBER(outYear),OMS37+OMS42+#REF!+OMS59,"")</f>
        <v/>
      </c>
      <c r="OMT62" s="87" t="str">
        <f>IF(ISNUMBER(outYear),OMT37+OMT42+#REF!+OMT59,"")</f>
        <v/>
      </c>
      <c r="OMU62" s="87" t="str">
        <f>IF(ISNUMBER(outYear),OMU37+OMU42+#REF!+OMU59,"")</f>
        <v/>
      </c>
      <c r="OMV62" s="87" t="str">
        <f>IF(ISNUMBER(outYear),OMV37+OMV42+#REF!+OMV59,"")</f>
        <v/>
      </c>
      <c r="OMW62" s="87" t="str">
        <f>IF(ISNUMBER(outYear),OMW37+OMW42+#REF!+OMW59,"")</f>
        <v/>
      </c>
      <c r="OMX62" s="87" t="str">
        <f>IF(ISNUMBER(outYear),OMX37+OMX42+#REF!+OMX59,"")</f>
        <v/>
      </c>
      <c r="OMY62" s="87" t="str">
        <f>IF(ISNUMBER(outYear),OMY37+OMY42+#REF!+OMY59,"")</f>
        <v/>
      </c>
      <c r="OMZ62" s="87" t="str">
        <f>IF(ISNUMBER(outYear),OMZ37+OMZ42+#REF!+OMZ59,"")</f>
        <v/>
      </c>
      <c r="ONA62" s="87" t="str">
        <f>IF(ISNUMBER(outYear),ONA37+ONA42+#REF!+ONA59,"")</f>
        <v/>
      </c>
      <c r="ONB62" s="87" t="str">
        <f>IF(ISNUMBER(outYear),ONB37+ONB42+#REF!+ONB59,"")</f>
        <v/>
      </c>
      <c r="ONC62" s="87" t="str">
        <f>IF(ISNUMBER(outYear),ONC37+ONC42+#REF!+ONC59,"")</f>
        <v/>
      </c>
      <c r="OND62" s="87" t="str">
        <f>IF(ISNUMBER(outYear),OND37+OND42+#REF!+OND59,"")</f>
        <v/>
      </c>
      <c r="ONE62" s="87" t="str">
        <f>IF(ISNUMBER(outYear),ONE37+ONE42+#REF!+ONE59,"")</f>
        <v/>
      </c>
      <c r="ONF62" s="87" t="str">
        <f>IF(ISNUMBER(outYear),ONF37+ONF42+#REF!+ONF59,"")</f>
        <v/>
      </c>
      <c r="ONG62" s="87" t="str">
        <f>IF(ISNUMBER(outYear),ONG37+ONG42+#REF!+ONG59,"")</f>
        <v/>
      </c>
      <c r="ONH62" s="87" t="str">
        <f>IF(ISNUMBER(outYear),ONH37+ONH42+#REF!+ONH59,"")</f>
        <v/>
      </c>
      <c r="ONI62" s="87" t="str">
        <f>IF(ISNUMBER(outYear),ONI37+ONI42+#REF!+ONI59,"")</f>
        <v/>
      </c>
      <c r="ONJ62" s="87" t="str">
        <f>IF(ISNUMBER(outYear),ONJ37+ONJ42+#REF!+ONJ59,"")</f>
        <v/>
      </c>
      <c r="ONK62" s="87" t="str">
        <f>IF(ISNUMBER(outYear),ONK37+ONK42+#REF!+ONK59,"")</f>
        <v/>
      </c>
      <c r="ONL62" s="87" t="str">
        <f>IF(ISNUMBER(outYear),ONL37+ONL42+#REF!+ONL59,"")</f>
        <v/>
      </c>
      <c r="ONM62" s="87" t="str">
        <f>IF(ISNUMBER(outYear),ONM37+ONM42+#REF!+ONM59,"")</f>
        <v/>
      </c>
      <c r="ONN62" s="87" t="str">
        <f>IF(ISNUMBER(outYear),ONN37+ONN42+#REF!+ONN59,"")</f>
        <v/>
      </c>
      <c r="ONO62" s="87" t="str">
        <f>IF(ISNUMBER(outYear),ONO37+ONO42+#REF!+ONO59,"")</f>
        <v/>
      </c>
      <c r="ONP62" s="87" t="str">
        <f>IF(ISNUMBER(outYear),ONP37+ONP42+#REF!+ONP59,"")</f>
        <v/>
      </c>
      <c r="ONQ62" s="87" t="str">
        <f>IF(ISNUMBER(outYear),ONQ37+ONQ42+#REF!+ONQ59,"")</f>
        <v/>
      </c>
      <c r="ONR62" s="87" t="str">
        <f>IF(ISNUMBER(outYear),ONR37+ONR42+#REF!+ONR59,"")</f>
        <v/>
      </c>
      <c r="ONS62" s="87" t="str">
        <f>IF(ISNUMBER(outYear),ONS37+ONS42+#REF!+ONS59,"")</f>
        <v/>
      </c>
      <c r="ONT62" s="87" t="str">
        <f>IF(ISNUMBER(outYear),ONT37+ONT42+#REF!+ONT59,"")</f>
        <v/>
      </c>
      <c r="ONU62" s="87" t="str">
        <f>IF(ISNUMBER(outYear),ONU37+ONU42+#REF!+ONU59,"")</f>
        <v/>
      </c>
      <c r="ONV62" s="87" t="str">
        <f>IF(ISNUMBER(outYear),ONV37+ONV42+#REF!+ONV59,"")</f>
        <v/>
      </c>
      <c r="ONW62" s="87" t="str">
        <f>IF(ISNUMBER(outYear),ONW37+ONW42+#REF!+ONW59,"")</f>
        <v/>
      </c>
      <c r="ONX62" s="87" t="str">
        <f>IF(ISNUMBER(outYear),ONX37+ONX42+#REF!+ONX59,"")</f>
        <v/>
      </c>
      <c r="ONY62" s="87" t="str">
        <f>IF(ISNUMBER(outYear),ONY37+ONY42+#REF!+ONY59,"")</f>
        <v/>
      </c>
      <c r="ONZ62" s="87" t="str">
        <f>IF(ISNUMBER(outYear),ONZ37+ONZ42+#REF!+ONZ59,"")</f>
        <v/>
      </c>
      <c r="OOA62" s="87" t="str">
        <f>IF(ISNUMBER(outYear),OOA37+OOA42+#REF!+OOA59,"")</f>
        <v/>
      </c>
      <c r="OOB62" s="87" t="str">
        <f>IF(ISNUMBER(outYear),OOB37+OOB42+#REF!+OOB59,"")</f>
        <v/>
      </c>
      <c r="OOC62" s="87" t="str">
        <f>IF(ISNUMBER(outYear),OOC37+OOC42+#REF!+OOC59,"")</f>
        <v/>
      </c>
      <c r="OOD62" s="87" t="str">
        <f>IF(ISNUMBER(outYear),OOD37+OOD42+#REF!+OOD59,"")</f>
        <v/>
      </c>
      <c r="OOE62" s="87" t="str">
        <f>IF(ISNUMBER(outYear),OOE37+OOE42+#REF!+OOE59,"")</f>
        <v/>
      </c>
      <c r="OOF62" s="87" t="str">
        <f>IF(ISNUMBER(outYear),OOF37+OOF42+#REF!+OOF59,"")</f>
        <v/>
      </c>
      <c r="OOG62" s="87" t="str">
        <f>IF(ISNUMBER(outYear),OOG37+OOG42+#REF!+OOG59,"")</f>
        <v/>
      </c>
      <c r="OOH62" s="87" t="str">
        <f>IF(ISNUMBER(outYear),OOH37+OOH42+#REF!+OOH59,"")</f>
        <v/>
      </c>
      <c r="OOI62" s="87" t="str">
        <f>IF(ISNUMBER(outYear),OOI37+OOI42+#REF!+OOI59,"")</f>
        <v/>
      </c>
      <c r="OOJ62" s="87" t="str">
        <f>IF(ISNUMBER(outYear),OOJ37+OOJ42+#REF!+OOJ59,"")</f>
        <v/>
      </c>
      <c r="OOK62" s="87" t="str">
        <f>IF(ISNUMBER(outYear),OOK37+OOK42+#REF!+OOK59,"")</f>
        <v/>
      </c>
      <c r="OOL62" s="87" t="str">
        <f>IF(ISNUMBER(outYear),OOL37+OOL42+#REF!+OOL59,"")</f>
        <v/>
      </c>
      <c r="OOM62" s="87" t="str">
        <f>IF(ISNUMBER(outYear),OOM37+OOM42+#REF!+OOM59,"")</f>
        <v/>
      </c>
      <c r="OON62" s="87" t="str">
        <f>IF(ISNUMBER(outYear),OON37+OON42+#REF!+OON59,"")</f>
        <v/>
      </c>
      <c r="OOO62" s="87" t="str">
        <f>IF(ISNUMBER(outYear),OOO37+OOO42+#REF!+OOO59,"")</f>
        <v/>
      </c>
      <c r="OOP62" s="87" t="str">
        <f>IF(ISNUMBER(outYear),OOP37+OOP42+#REF!+OOP59,"")</f>
        <v/>
      </c>
      <c r="OOQ62" s="87" t="str">
        <f>IF(ISNUMBER(outYear),OOQ37+OOQ42+#REF!+OOQ59,"")</f>
        <v/>
      </c>
      <c r="OOR62" s="87" t="str">
        <f>IF(ISNUMBER(outYear),OOR37+OOR42+#REF!+OOR59,"")</f>
        <v/>
      </c>
      <c r="OOS62" s="87" t="str">
        <f>IF(ISNUMBER(outYear),OOS37+OOS42+#REF!+OOS59,"")</f>
        <v/>
      </c>
      <c r="OOT62" s="87" t="str">
        <f>IF(ISNUMBER(outYear),OOT37+OOT42+#REF!+OOT59,"")</f>
        <v/>
      </c>
      <c r="OOU62" s="87" t="str">
        <f>IF(ISNUMBER(outYear),OOU37+OOU42+#REF!+OOU59,"")</f>
        <v/>
      </c>
      <c r="OOV62" s="87" t="str">
        <f>IF(ISNUMBER(outYear),OOV37+OOV42+#REF!+OOV59,"")</f>
        <v/>
      </c>
      <c r="OOW62" s="87" t="str">
        <f>IF(ISNUMBER(outYear),OOW37+OOW42+#REF!+OOW59,"")</f>
        <v/>
      </c>
      <c r="OOX62" s="87" t="str">
        <f>IF(ISNUMBER(outYear),OOX37+OOX42+#REF!+OOX59,"")</f>
        <v/>
      </c>
      <c r="OOY62" s="87" t="str">
        <f>IF(ISNUMBER(outYear),OOY37+OOY42+#REF!+OOY59,"")</f>
        <v/>
      </c>
      <c r="OOZ62" s="87" t="str">
        <f>IF(ISNUMBER(outYear),OOZ37+OOZ42+#REF!+OOZ59,"")</f>
        <v/>
      </c>
      <c r="OPA62" s="87" t="str">
        <f>IF(ISNUMBER(outYear),OPA37+OPA42+#REF!+OPA59,"")</f>
        <v/>
      </c>
      <c r="OPB62" s="87" t="str">
        <f>IF(ISNUMBER(outYear),OPB37+OPB42+#REF!+OPB59,"")</f>
        <v/>
      </c>
      <c r="OPC62" s="87" t="str">
        <f>IF(ISNUMBER(outYear),OPC37+OPC42+#REF!+OPC59,"")</f>
        <v/>
      </c>
      <c r="OPD62" s="87" t="str">
        <f>IF(ISNUMBER(outYear),OPD37+OPD42+#REF!+OPD59,"")</f>
        <v/>
      </c>
      <c r="OPE62" s="87" t="str">
        <f>IF(ISNUMBER(outYear),OPE37+OPE42+#REF!+OPE59,"")</f>
        <v/>
      </c>
      <c r="OPF62" s="87" t="str">
        <f>IF(ISNUMBER(outYear),OPF37+OPF42+#REF!+OPF59,"")</f>
        <v/>
      </c>
      <c r="OPG62" s="87" t="str">
        <f>IF(ISNUMBER(outYear),OPG37+OPG42+#REF!+OPG59,"")</f>
        <v/>
      </c>
      <c r="OPH62" s="87" t="str">
        <f>IF(ISNUMBER(outYear),OPH37+OPH42+#REF!+OPH59,"")</f>
        <v/>
      </c>
      <c r="OPI62" s="87" t="str">
        <f>IF(ISNUMBER(outYear),OPI37+OPI42+#REF!+OPI59,"")</f>
        <v/>
      </c>
      <c r="OPJ62" s="87" t="str">
        <f>IF(ISNUMBER(outYear),OPJ37+OPJ42+#REF!+OPJ59,"")</f>
        <v/>
      </c>
      <c r="OPK62" s="87" t="str">
        <f>IF(ISNUMBER(outYear),OPK37+OPK42+#REF!+OPK59,"")</f>
        <v/>
      </c>
      <c r="OPL62" s="87" t="str">
        <f>IF(ISNUMBER(outYear),OPL37+OPL42+#REF!+OPL59,"")</f>
        <v/>
      </c>
      <c r="OPM62" s="87" t="str">
        <f>IF(ISNUMBER(outYear),OPM37+OPM42+#REF!+OPM59,"")</f>
        <v/>
      </c>
      <c r="OPN62" s="87" t="str">
        <f>IF(ISNUMBER(outYear),OPN37+OPN42+#REF!+OPN59,"")</f>
        <v/>
      </c>
      <c r="OPO62" s="87" t="str">
        <f>IF(ISNUMBER(outYear),OPO37+OPO42+#REF!+OPO59,"")</f>
        <v/>
      </c>
      <c r="OPP62" s="87" t="str">
        <f>IF(ISNUMBER(outYear),OPP37+OPP42+#REF!+OPP59,"")</f>
        <v/>
      </c>
      <c r="OPQ62" s="87" t="str">
        <f>IF(ISNUMBER(outYear),OPQ37+OPQ42+#REF!+OPQ59,"")</f>
        <v/>
      </c>
      <c r="OPR62" s="87" t="str">
        <f>IF(ISNUMBER(outYear),OPR37+OPR42+#REF!+OPR59,"")</f>
        <v/>
      </c>
      <c r="OPS62" s="87" t="str">
        <f>IF(ISNUMBER(outYear),OPS37+OPS42+#REF!+OPS59,"")</f>
        <v/>
      </c>
      <c r="OPT62" s="87" t="str">
        <f>IF(ISNUMBER(outYear),OPT37+OPT42+#REF!+OPT59,"")</f>
        <v/>
      </c>
      <c r="OPU62" s="87" t="str">
        <f>IF(ISNUMBER(outYear),OPU37+OPU42+#REF!+OPU59,"")</f>
        <v/>
      </c>
      <c r="OPV62" s="87" t="str">
        <f>IF(ISNUMBER(outYear),OPV37+OPV42+#REF!+OPV59,"")</f>
        <v/>
      </c>
      <c r="OPW62" s="87" t="str">
        <f>IF(ISNUMBER(outYear),OPW37+OPW42+#REF!+OPW59,"")</f>
        <v/>
      </c>
      <c r="OPX62" s="87" t="str">
        <f>IF(ISNUMBER(outYear),OPX37+OPX42+#REF!+OPX59,"")</f>
        <v/>
      </c>
      <c r="OPY62" s="87" t="str">
        <f>IF(ISNUMBER(outYear),OPY37+OPY42+#REF!+OPY59,"")</f>
        <v/>
      </c>
      <c r="OPZ62" s="87" t="str">
        <f>IF(ISNUMBER(outYear),OPZ37+OPZ42+#REF!+OPZ59,"")</f>
        <v/>
      </c>
      <c r="OQA62" s="87" t="str">
        <f>IF(ISNUMBER(outYear),OQA37+OQA42+#REF!+OQA59,"")</f>
        <v/>
      </c>
      <c r="OQB62" s="87" t="str">
        <f>IF(ISNUMBER(outYear),OQB37+OQB42+#REF!+OQB59,"")</f>
        <v/>
      </c>
      <c r="OQC62" s="87" t="str">
        <f>IF(ISNUMBER(outYear),OQC37+OQC42+#REF!+OQC59,"")</f>
        <v/>
      </c>
      <c r="OQD62" s="87" t="str">
        <f>IF(ISNUMBER(outYear),OQD37+OQD42+#REF!+OQD59,"")</f>
        <v/>
      </c>
      <c r="OQE62" s="87" t="str">
        <f>IF(ISNUMBER(outYear),OQE37+OQE42+#REF!+OQE59,"")</f>
        <v/>
      </c>
      <c r="OQF62" s="87" t="str">
        <f>IF(ISNUMBER(outYear),OQF37+OQF42+#REF!+OQF59,"")</f>
        <v/>
      </c>
      <c r="OQG62" s="87" t="str">
        <f>IF(ISNUMBER(outYear),OQG37+OQG42+#REF!+OQG59,"")</f>
        <v/>
      </c>
      <c r="OQH62" s="87" t="str">
        <f>IF(ISNUMBER(outYear),OQH37+OQH42+#REF!+OQH59,"")</f>
        <v/>
      </c>
      <c r="OQI62" s="87" t="str">
        <f>IF(ISNUMBER(outYear),OQI37+OQI42+#REF!+OQI59,"")</f>
        <v/>
      </c>
      <c r="OQJ62" s="87" t="str">
        <f>IF(ISNUMBER(outYear),OQJ37+OQJ42+#REF!+OQJ59,"")</f>
        <v/>
      </c>
      <c r="OQK62" s="87" t="str">
        <f>IF(ISNUMBER(outYear),OQK37+OQK42+#REF!+OQK59,"")</f>
        <v/>
      </c>
      <c r="OQL62" s="87" t="str">
        <f>IF(ISNUMBER(outYear),OQL37+OQL42+#REF!+OQL59,"")</f>
        <v/>
      </c>
      <c r="OQM62" s="87" t="str">
        <f>IF(ISNUMBER(outYear),OQM37+OQM42+#REF!+OQM59,"")</f>
        <v/>
      </c>
      <c r="OQN62" s="87" t="str">
        <f>IF(ISNUMBER(outYear),OQN37+OQN42+#REF!+OQN59,"")</f>
        <v/>
      </c>
      <c r="OQO62" s="87" t="str">
        <f>IF(ISNUMBER(outYear),OQO37+OQO42+#REF!+OQO59,"")</f>
        <v/>
      </c>
      <c r="OQP62" s="87" t="str">
        <f>IF(ISNUMBER(outYear),OQP37+OQP42+#REF!+OQP59,"")</f>
        <v/>
      </c>
      <c r="OQQ62" s="87" t="str">
        <f>IF(ISNUMBER(outYear),OQQ37+OQQ42+#REF!+OQQ59,"")</f>
        <v/>
      </c>
      <c r="OQR62" s="87" t="str">
        <f>IF(ISNUMBER(outYear),OQR37+OQR42+#REF!+OQR59,"")</f>
        <v/>
      </c>
      <c r="OQS62" s="87" t="str">
        <f>IF(ISNUMBER(outYear),OQS37+OQS42+#REF!+OQS59,"")</f>
        <v/>
      </c>
      <c r="OQT62" s="87" t="str">
        <f>IF(ISNUMBER(outYear),OQT37+OQT42+#REF!+OQT59,"")</f>
        <v/>
      </c>
      <c r="OQU62" s="87" t="str">
        <f>IF(ISNUMBER(outYear),OQU37+OQU42+#REF!+OQU59,"")</f>
        <v/>
      </c>
      <c r="OQV62" s="87" t="str">
        <f>IF(ISNUMBER(outYear),OQV37+OQV42+#REF!+OQV59,"")</f>
        <v/>
      </c>
      <c r="OQW62" s="87" t="str">
        <f>IF(ISNUMBER(outYear),OQW37+OQW42+#REF!+OQW59,"")</f>
        <v/>
      </c>
      <c r="OQX62" s="87" t="str">
        <f>IF(ISNUMBER(outYear),OQX37+OQX42+#REF!+OQX59,"")</f>
        <v/>
      </c>
      <c r="OQY62" s="87" t="str">
        <f>IF(ISNUMBER(outYear),OQY37+OQY42+#REF!+OQY59,"")</f>
        <v/>
      </c>
      <c r="OQZ62" s="87" t="str">
        <f>IF(ISNUMBER(outYear),OQZ37+OQZ42+#REF!+OQZ59,"")</f>
        <v/>
      </c>
      <c r="ORA62" s="87" t="str">
        <f>IF(ISNUMBER(outYear),ORA37+ORA42+#REF!+ORA59,"")</f>
        <v/>
      </c>
      <c r="ORB62" s="87" t="str">
        <f>IF(ISNUMBER(outYear),ORB37+ORB42+#REF!+ORB59,"")</f>
        <v/>
      </c>
      <c r="ORC62" s="87" t="str">
        <f>IF(ISNUMBER(outYear),ORC37+ORC42+#REF!+ORC59,"")</f>
        <v/>
      </c>
      <c r="ORD62" s="87" t="str">
        <f>IF(ISNUMBER(outYear),ORD37+ORD42+#REF!+ORD59,"")</f>
        <v/>
      </c>
      <c r="ORE62" s="87" t="str">
        <f>IF(ISNUMBER(outYear),ORE37+ORE42+#REF!+ORE59,"")</f>
        <v/>
      </c>
      <c r="ORF62" s="87" t="str">
        <f>IF(ISNUMBER(outYear),ORF37+ORF42+#REF!+ORF59,"")</f>
        <v/>
      </c>
      <c r="ORG62" s="87" t="str">
        <f>IF(ISNUMBER(outYear),ORG37+ORG42+#REF!+ORG59,"")</f>
        <v/>
      </c>
      <c r="ORH62" s="87" t="str">
        <f>IF(ISNUMBER(outYear),ORH37+ORH42+#REF!+ORH59,"")</f>
        <v/>
      </c>
      <c r="ORI62" s="87" t="str">
        <f>IF(ISNUMBER(outYear),ORI37+ORI42+#REF!+ORI59,"")</f>
        <v/>
      </c>
      <c r="ORJ62" s="87" t="str">
        <f>IF(ISNUMBER(outYear),ORJ37+ORJ42+#REF!+ORJ59,"")</f>
        <v/>
      </c>
      <c r="ORK62" s="87" t="str">
        <f>IF(ISNUMBER(outYear),ORK37+ORK42+#REF!+ORK59,"")</f>
        <v/>
      </c>
      <c r="ORL62" s="87" t="str">
        <f>IF(ISNUMBER(outYear),ORL37+ORL42+#REF!+ORL59,"")</f>
        <v/>
      </c>
      <c r="ORM62" s="87" t="str">
        <f>IF(ISNUMBER(outYear),ORM37+ORM42+#REF!+ORM59,"")</f>
        <v/>
      </c>
      <c r="ORN62" s="87" t="str">
        <f>IF(ISNUMBER(outYear),ORN37+ORN42+#REF!+ORN59,"")</f>
        <v/>
      </c>
      <c r="ORO62" s="87" t="str">
        <f>IF(ISNUMBER(outYear),ORO37+ORO42+#REF!+ORO59,"")</f>
        <v/>
      </c>
      <c r="ORP62" s="87" t="str">
        <f>IF(ISNUMBER(outYear),ORP37+ORP42+#REF!+ORP59,"")</f>
        <v/>
      </c>
      <c r="ORQ62" s="87" t="str">
        <f>IF(ISNUMBER(outYear),ORQ37+ORQ42+#REF!+ORQ59,"")</f>
        <v/>
      </c>
      <c r="ORR62" s="87" t="str">
        <f>IF(ISNUMBER(outYear),ORR37+ORR42+#REF!+ORR59,"")</f>
        <v/>
      </c>
      <c r="ORS62" s="87" t="str">
        <f>IF(ISNUMBER(outYear),ORS37+ORS42+#REF!+ORS59,"")</f>
        <v/>
      </c>
      <c r="ORT62" s="87" t="str">
        <f>IF(ISNUMBER(outYear),ORT37+ORT42+#REF!+ORT59,"")</f>
        <v/>
      </c>
      <c r="ORU62" s="87" t="str">
        <f>IF(ISNUMBER(outYear),ORU37+ORU42+#REF!+ORU59,"")</f>
        <v/>
      </c>
      <c r="ORV62" s="87" t="str">
        <f>IF(ISNUMBER(outYear),ORV37+ORV42+#REF!+ORV59,"")</f>
        <v/>
      </c>
      <c r="ORW62" s="87" t="str">
        <f>IF(ISNUMBER(outYear),ORW37+ORW42+#REF!+ORW59,"")</f>
        <v/>
      </c>
      <c r="ORX62" s="87" t="str">
        <f>IF(ISNUMBER(outYear),ORX37+ORX42+#REF!+ORX59,"")</f>
        <v/>
      </c>
      <c r="ORY62" s="87" t="str">
        <f>IF(ISNUMBER(outYear),ORY37+ORY42+#REF!+ORY59,"")</f>
        <v/>
      </c>
      <c r="ORZ62" s="87" t="str">
        <f>IF(ISNUMBER(outYear),ORZ37+ORZ42+#REF!+ORZ59,"")</f>
        <v/>
      </c>
      <c r="OSA62" s="87" t="str">
        <f>IF(ISNUMBER(outYear),OSA37+OSA42+#REF!+OSA59,"")</f>
        <v/>
      </c>
      <c r="OSB62" s="87" t="str">
        <f>IF(ISNUMBER(outYear),OSB37+OSB42+#REF!+OSB59,"")</f>
        <v/>
      </c>
      <c r="OSC62" s="87" t="str">
        <f>IF(ISNUMBER(outYear),OSC37+OSC42+#REF!+OSC59,"")</f>
        <v/>
      </c>
      <c r="OSD62" s="87" t="str">
        <f>IF(ISNUMBER(outYear),OSD37+OSD42+#REF!+OSD59,"")</f>
        <v/>
      </c>
      <c r="OSE62" s="87" t="str">
        <f>IF(ISNUMBER(outYear),OSE37+OSE42+#REF!+OSE59,"")</f>
        <v/>
      </c>
      <c r="OSF62" s="87" t="str">
        <f>IF(ISNUMBER(outYear),OSF37+OSF42+#REF!+OSF59,"")</f>
        <v/>
      </c>
      <c r="OSG62" s="87" t="str">
        <f>IF(ISNUMBER(outYear),OSG37+OSG42+#REF!+OSG59,"")</f>
        <v/>
      </c>
      <c r="OSH62" s="87" t="str">
        <f>IF(ISNUMBER(outYear),OSH37+OSH42+#REF!+OSH59,"")</f>
        <v/>
      </c>
      <c r="OSI62" s="87" t="str">
        <f>IF(ISNUMBER(outYear),OSI37+OSI42+#REF!+OSI59,"")</f>
        <v/>
      </c>
      <c r="OSJ62" s="87" t="str">
        <f>IF(ISNUMBER(outYear),OSJ37+OSJ42+#REF!+OSJ59,"")</f>
        <v/>
      </c>
      <c r="OSK62" s="87" t="str">
        <f>IF(ISNUMBER(outYear),OSK37+OSK42+#REF!+OSK59,"")</f>
        <v/>
      </c>
      <c r="OSL62" s="87" t="str">
        <f>IF(ISNUMBER(outYear),OSL37+OSL42+#REF!+OSL59,"")</f>
        <v/>
      </c>
      <c r="OSM62" s="87" t="str">
        <f>IF(ISNUMBER(outYear),OSM37+OSM42+#REF!+OSM59,"")</f>
        <v/>
      </c>
      <c r="OSN62" s="87" t="str">
        <f>IF(ISNUMBER(outYear),OSN37+OSN42+#REF!+OSN59,"")</f>
        <v/>
      </c>
      <c r="OSO62" s="87" t="str">
        <f>IF(ISNUMBER(outYear),OSO37+OSO42+#REF!+OSO59,"")</f>
        <v/>
      </c>
      <c r="OSP62" s="87" t="str">
        <f>IF(ISNUMBER(outYear),OSP37+OSP42+#REF!+OSP59,"")</f>
        <v/>
      </c>
      <c r="OSQ62" s="87" t="str">
        <f>IF(ISNUMBER(outYear),OSQ37+OSQ42+#REF!+OSQ59,"")</f>
        <v/>
      </c>
      <c r="OSR62" s="87" t="str">
        <f>IF(ISNUMBER(outYear),OSR37+OSR42+#REF!+OSR59,"")</f>
        <v/>
      </c>
      <c r="OSS62" s="87" t="str">
        <f>IF(ISNUMBER(outYear),OSS37+OSS42+#REF!+OSS59,"")</f>
        <v/>
      </c>
      <c r="OST62" s="87" t="str">
        <f>IF(ISNUMBER(outYear),OST37+OST42+#REF!+OST59,"")</f>
        <v/>
      </c>
      <c r="OSU62" s="87" t="str">
        <f>IF(ISNUMBER(outYear),OSU37+OSU42+#REF!+OSU59,"")</f>
        <v/>
      </c>
      <c r="OSV62" s="87" t="str">
        <f>IF(ISNUMBER(outYear),OSV37+OSV42+#REF!+OSV59,"")</f>
        <v/>
      </c>
      <c r="OSW62" s="87" t="str">
        <f>IF(ISNUMBER(outYear),OSW37+OSW42+#REF!+OSW59,"")</f>
        <v/>
      </c>
      <c r="OSX62" s="87" t="str">
        <f>IF(ISNUMBER(outYear),OSX37+OSX42+#REF!+OSX59,"")</f>
        <v/>
      </c>
      <c r="OSY62" s="87" t="str">
        <f>IF(ISNUMBER(outYear),OSY37+OSY42+#REF!+OSY59,"")</f>
        <v/>
      </c>
      <c r="OSZ62" s="87" t="str">
        <f>IF(ISNUMBER(outYear),OSZ37+OSZ42+#REF!+OSZ59,"")</f>
        <v/>
      </c>
      <c r="OTA62" s="87" t="str">
        <f>IF(ISNUMBER(outYear),OTA37+OTA42+#REF!+OTA59,"")</f>
        <v/>
      </c>
      <c r="OTB62" s="87" t="str">
        <f>IF(ISNUMBER(outYear),OTB37+OTB42+#REF!+OTB59,"")</f>
        <v/>
      </c>
      <c r="OTC62" s="87" t="str">
        <f>IF(ISNUMBER(outYear),OTC37+OTC42+#REF!+OTC59,"")</f>
        <v/>
      </c>
      <c r="OTD62" s="87" t="str">
        <f>IF(ISNUMBER(outYear),OTD37+OTD42+#REF!+OTD59,"")</f>
        <v/>
      </c>
      <c r="OTE62" s="87" t="str">
        <f>IF(ISNUMBER(outYear),OTE37+OTE42+#REF!+OTE59,"")</f>
        <v/>
      </c>
      <c r="OTF62" s="87" t="str">
        <f>IF(ISNUMBER(outYear),OTF37+OTF42+#REF!+OTF59,"")</f>
        <v/>
      </c>
      <c r="OTG62" s="87" t="str">
        <f>IF(ISNUMBER(outYear),OTG37+OTG42+#REF!+OTG59,"")</f>
        <v/>
      </c>
      <c r="OTH62" s="87" t="str">
        <f>IF(ISNUMBER(outYear),OTH37+OTH42+#REF!+OTH59,"")</f>
        <v/>
      </c>
      <c r="OTI62" s="87" t="str">
        <f>IF(ISNUMBER(outYear),OTI37+OTI42+#REF!+OTI59,"")</f>
        <v/>
      </c>
      <c r="OTJ62" s="87" t="str">
        <f>IF(ISNUMBER(outYear),OTJ37+OTJ42+#REF!+OTJ59,"")</f>
        <v/>
      </c>
      <c r="OTK62" s="87" t="str">
        <f>IF(ISNUMBER(outYear),OTK37+OTK42+#REF!+OTK59,"")</f>
        <v/>
      </c>
      <c r="OTL62" s="87" t="str">
        <f>IF(ISNUMBER(outYear),OTL37+OTL42+#REF!+OTL59,"")</f>
        <v/>
      </c>
      <c r="OTM62" s="87" t="str">
        <f>IF(ISNUMBER(outYear),OTM37+OTM42+#REF!+OTM59,"")</f>
        <v/>
      </c>
      <c r="OTN62" s="87" t="str">
        <f>IF(ISNUMBER(outYear),OTN37+OTN42+#REF!+OTN59,"")</f>
        <v/>
      </c>
      <c r="OTO62" s="87" t="str">
        <f>IF(ISNUMBER(outYear),OTO37+OTO42+#REF!+OTO59,"")</f>
        <v/>
      </c>
      <c r="OTP62" s="87" t="str">
        <f>IF(ISNUMBER(outYear),OTP37+OTP42+#REF!+OTP59,"")</f>
        <v/>
      </c>
      <c r="OTQ62" s="87" t="str">
        <f>IF(ISNUMBER(outYear),OTQ37+OTQ42+#REF!+OTQ59,"")</f>
        <v/>
      </c>
      <c r="OTR62" s="87" t="str">
        <f>IF(ISNUMBER(outYear),OTR37+OTR42+#REF!+OTR59,"")</f>
        <v/>
      </c>
      <c r="OTS62" s="87" t="str">
        <f>IF(ISNUMBER(outYear),OTS37+OTS42+#REF!+OTS59,"")</f>
        <v/>
      </c>
      <c r="OTT62" s="87" t="str">
        <f>IF(ISNUMBER(outYear),OTT37+OTT42+#REF!+OTT59,"")</f>
        <v/>
      </c>
      <c r="OTU62" s="87" t="str">
        <f>IF(ISNUMBER(outYear),OTU37+OTU42+#REF!+OTU59,"")</f>
        <v/>
      </c>
      <c r="OTV62" s="87" t="str">
        <f>IF(ISNUMBER(outYear),OTV37+OTV42+#REF!+OTV59,"")</f>
        <v/>
      </c>
      <c r="OTW62" s="87" t="str">
        <f>IF(ISNUMBER(outYear),OTW37+OTW42+#REF!+OTW59,"")</f>
        <v/>
      </c>
      <c r="OTX62" s="87" t="str">
        <f>IF(ISNUMBER(outYear),OTX37+OTX42+#REF!+OTX59,"")</f>
        <v/>
      </c>
      <c r="OTY62" s="87" t="str">
        <f>IF(ISNUMBER(outYear),OTY37+OTY42+#REF!+OTY59,"")</f>
        <v/>
      </c>
      <c r="OTZ62" s="87" t="str">
        <f>IF(ISNUMBER(outYear),OTZ37+OTZ42+#REF!+OTZ59,"")</f>
        <v/>
      </c>
      <c r="OUA62" s="87" t="str">
        <f>IF(ISNUMBER(outYear),OUA37+OUA42+#REF!+OUA59,"")</f>
        <v/>
      </c>
      <c r="OUB62" s="87" t="str">
        <f>IF(ISNUMBER(outYear),OUB37+OUB42+#REF!+OUB59,"")</f>
        <v/>
      </c>
      <c r="OUC62" s="87" t="str">
        <f>IF(ISNUMBER(outYear),OUC37+OUC42+#REF!+OUC59,"")</f>
        <v/>
      </c>
      <c r="OUD62" s="87" t="str">
        <f>IF(ISNUMBER(outYear),OUD37+OUD42+#REF!+OUD59,"")</f>
        <v/>
      </c>
      <c r="OUE62" s="87" t="str">
        <f>IF(ISNUMBER(outYear),OUE37+OUE42+#REF!+OUE59,"")</f>
        <v/>
      </c>
      <c r="OUF62" s="87" t="str">
        <f>IF(ISNUMBER(outYear),OUF37+OUF42+#REF!+OUF59,"")</f>
        <v/>
      </c>
      <c r="OUG62" s="87" t="str">
        <f>IF(ISNUMBER(outYear),OUG37+OUG42+#REF!+OUG59,"")</f>
        <v/>
      </c>
      <c r="OUH62" s="87" t="str">
        <f>IF(ISNUMBER(outYear),OUH37+OUH42+#REF!+OUH59,"")</f>
        <v/>
      </c>
      <c r="OUI62" s="87" t="str">
        <f>IF(ISNUMBER(outYear),OUI37+OUI42+#REF!+OUI59,"")</f>
        <v/>
      </c>
      <c r="OUJ62" s="87" t="str">
        <f>IF(ISNUMBER(outYear),OUJ37+OUJ42+#REF!+OUJ59,"")</f>
        <v/>
      </c>
      <c r="OUK62" s="87" t="str">
        <f>IF(ISNUMBER(outYear),OUK37+OUK42+#REF!+OUK59,"")</f>
        <v/>
      </c>
      <c r="OUL62" s="87" t="str">
        <f>IF(ISNUMBER(outYear),OUL37+OUL42+#REF!+OUL59,"")</f>
        <v/>
      </c>
      <c r="OUM62" s="87" t="str">
        <f>IF(ISNUMBER(outYear),OUM37+OUM42+#REF!+OUM59,"")</f>
        <v/>
      </c>
      <c r="OUN62" s="87" t="str">
        <f>IF(ISNUMBER(outYear),OUN37+OUN42+#REF!+OUN59,"")</f>
        <v/>
      </c>
      <c r="OUO62" s="87" t="str">
        <f>IF(ISNUMBER(outYear),OUO37+OUO42+#REF!+OUO59,"")</f>
        <v/>
      </c>
      <c r="OUP62" s="87" t="str">
        <f>IF(ISNUMBER(outYear),OUP37+OUP42+#REF!+OUP59,"")</f>
        <v/>
      </c>
      <c r="OUQ62" s="87" t="str">
        <f>IF(ISNUMBER(outYear),OUQ37+OUQ42+#REF!+OUQ59,"")</f>
        <v/>
      </c>
      <c r="OUR62" s="87" t="str">
        <f>IF(ISNUMBER(outYear),OUR37+OUR42+#REF!+OUR59,"")</f>
        <v/>
      </c>
      <c r="OUS62" s="87" t="str">
        <f>IF(ISNUMBER(outYear),OUS37+OUS42+#REF!+OUS59,"")</f>
        <v/>
      </c>
      <c r="OUT62" s="87" t="str">
        <f>IF(ISNUMBER(outYear),OUT37+OUT42+#REF!+OUT59,"")</f>
        <v/>
      </c>
      <c r="OUU62" s="87" t="str">
        <f>IF(ISNUMBER(outYear),OUU37+OUU42+#REF!+OUU59,"")</f>
        <v/>
      </c>
      <c r="OUV62" s="87" t="str">
        <f>IF(ISNUMBER(outYear),OUV37+OUV42+#REF!+OUV59,"")</f>
        <v/>
      </c>
      <c r="OUW62" s="87" t="str">
        <f>IF(ISNUMBER(outYear),OUW37+OUW42+#REF!+OUW59,"")</f>
        <v/>
      </c>
      <c r="OUX62" s="87" t="str">
        <f>IF(ISNUMBER(outYear),OUX37+OUX42+#REF!+OUX59,"")</f>
        <v/>
      </c>
      <c r="OUY62" s="87" t="str">
        <f>IF(ISNUMBER(outYear),OUY37+OUY42+#REF!+OUY59,"")</f>
        <v/>
      </c>
      <c r="OUZ62" s="87" t="str">
        <f>IF(ISNUMBER(outYear),OUZ37+OUZ42+#REF!+OUZ59,"")</f>
        <v/>
      </c>
      <c r="OVA62" s="87" t="str">
        <f>IF(ISNUMBER(outYear),OVA37+OVA42+#REF!+OVA59,"")</f>
        <v/>
      </c>
      <c r="OVB62" s="87" t="str">
        <f>IF(ISNUMBER(outYear),OVB37+OVB42+#REF!+OVB59,"")</f>
        <v/>
      </c>
      <c r="OVC62" s="87" t="str">
        <f>IF(ISNUMBER(outYear),OVC37+OVC42+#REF!+OVC59,"")</f>
        <v/>
      </c>
      <c r="OVD62" s="87" t="str">
        <f>IF(ISNUMBER(outYear),OVD37+OVD42+#REF!+OVD59,"")</f>
        <v/>
      </c>
      <c r="OVE62" s="87" t="str">
        <f>IF(ISNUMBER(outYear),OVE37+OVE42+#REF!+OVE59,"")</f>
        <v/>
      </c>
      <c r="OVF62" s="87" t="str">
        <f>IF(ISNUMBER(outYear),OVF37+OVF42+#REF!+OVF59,"")</f>
        <v/>
      </c>
      <c r="OVG62" s="87" t="str">
        <f>IF(ISNUMBER(outYear),OVG37+OVG42+#REF!+OVG59,"")</f>
        <v/>
      </c>
      <c r="OVH62" s="87" t="str">
        <f>IF(ISNUMBER(outYear),OVH37+OVH42+#REF!+OVH59,"")</f>
        <v/>
      </c>
      <c r="OVI62" s="87" t="str">
        <f>IF(ISNUMBER(outYear),OVI37+OVI42+#REF!+OVI59,"")</f>
        <v/>
      </c>
      <c r="OVJ62" s="87" t="str">
        <f>IF(ISNUMBER(outYear),OVJ37+OVJ42+#REF!+OVJ59,"")</f>
        <v/>
      </c>
      <c r="OVK62" s="87" t="str">
        <f>IF(ISNUMBER(outYear),OVK37+OVK42+#REF!+OVK59,"")</f>
        <v/>
      </c>
      <c r="OVL62" s="87" t="str">
        <f>IF(ISNUMBER(outYear),OVL37+OVL42+#REF!+OVL59,"")</f>
        <v/>
      </c>
      <c r="OVM62" s="87" t="str">
        <f>IF(ISNUMBER(outYear),OVM37+OVM42+#REF!+OVM59,"")</f>
        <v/>
      </c>
      <c r="OVN62" s="87" t="str">
        <f>IF(ISNUMBER(outYear),OVN37+OVN42+#REF!+OVN59,"")</f>
        <v/>
      </c>
      <c r="OVO62" s="87" t="str">
        <f>IF(ISNUMBER(outYear),OVO37+OVO42+#REF!+OVO59,"")</f>
        <v/>
      </c>
      <c r="OVP62" s="87" t="str">
        <f>IF(ISNUMBER(outYear),OVP37+OVP42+#REF!+OVP59,"")</f>
        <v/>
      </c>
      <c r="OVQ62" s="87" t="str">
        <f>IF(ISNUMBER(outYear),OVQ37+OVQ42+#REF!+OVQ59,"")</f>
        <v/>
      </c>
      <c r="OVR62" s="87" t="str">
        <f>IF(ISNUMBER(outYear),OVR37+OVR42+#REF!+OVR59,"")</f>
        <v/>
      </c>
      <c r="OVS62" s="87" t="str">
        <f>IF(ISNUMBER(outYear),OVS37+OVS42+#REF!+OVS59,"")</f>
        <v/>
      </c>
      <c r="OVT62" s="87" t="str">
        <f>IF(ISNUMBER(outYear),OVT37+OVT42+#REF!+OVT59,"")</f>
        <v/>
      </c>
      <c r="OVU62" s="87" t="str">
        <f>IF(ISNUMBER(outYear),OVU37+OVU42+#REF!+OVU59,"")</f>
        <v/>
      </c>
      <c r="OVV62" s="87" t="str">
        <f>IF(ISNUMBER(outYear),OVV37+OVV42+#REF!+OVV59,"")</f>
        <v/>
      </c>
      <c r="OVW62" s="87" t="str">
        <f>IF(ISNUMBER(outYear),OVW37+OVW42+#REF!+OVW59,"")</f>
        <v/>
      </c>
      <c r="OVX62" s="87" t="str">
        <f>IF(ISNUMBER(outYear),OVX37+OVX42+#REF!+OVX59,"")</f>
        <v/>
      </c>
      <c r="OVY62" s="87" t="str">
        <f>IF(ISNUMBER(outYear),OVY37+OVY42+#REF!+OVY59,"")</f>
        <v/>
      </c>
      <c r="OVZ62" s="87" t="str">
        <f>IF(ISNUMBER(outYear),OVZ37+OVZ42+#REF!+OVZ59,"")</f>
        <v/>
      </c>
      <c r="OWA62" s="87" t="str">
        <f>IF(ISNUMBER(outYear),OWA37+OWA42+#REF!+OWA59,"")</f>
        <v/>
      </c>
      <c r="OWB62" s="87" t="str">
        <f>IF(ISNUMBER(outYear),OWB37+OWB42+#REF!+OWB59,"")</f>
        <v/>
      </c>
      <c r="OWC62" s="87" t="str">
        <f>IF(ISNUMBER(outYear),OWC37+OWC42+#REF!+OWC59,"")</f>
        <v/>
      </c>
      <c r="OWD62" s="87" t="str">
        <f>IF(ISNUMBER(outYear),OWD37+OWD42+#REF!+OWD59,"")</f>
        <v/>
      </c>
      <c r="OWE62" s="87" t="str">
        <f>IF(ISNUMBER(outYear),OWE37+OWE42+#REF!+OWE59,"")</f>
        <v/>
      </c>
      <c r="OWF62" s="87" t="str">
        <f>IF(ISNUMBER(outYear),OWF37+OWF42+#REF!+OWF59,"")</f>
        <v/>
      </c>
      <c r="OWG62" s="87" t="str">
        <f>IF(ISNUMBER(outYear),OWG37+OWG42+#REF!+OWG59,"")</f>
        <v/>
      </c>
      <c r="OWH62" s="87" t="str">
        <f>IF(ISNUMBER(outYear),OWH37+OWH42+#REF!+OWH59,"")</f>
        <v/>
      </c>
      <c r="OWI62" s="87" t="str">
        <f>IF(ISNUMBER(outYear),OWI37+OWI42+#REF!+OWI59,"")</f>
        <v/>
      </c>
      <c r="OWJ62" s="87" t="str">
        <f>IF(ISNUMBER(outYear),OWJ37+OWJ42+#REF!+OWJ59,"")</f>
        <v/>
      </c>
      <c r="OWK62" s="87" t="str">
        <f>IF(ISNUMBER(outYear),OWK37+OWK42+#REF!+OWK59,"")</f>
        <v/>
      </c>
      <c r="OWL62" s="87" t="str">
        <f>IF(ISNUMBER(outYear),OWL37+OWL42+#REF!+OWL59,"")</f>
        <v/>
      </c>
      <c r="OWM62" s="87" t="str">
        <f>IF(ISNUMBER(outYear),OWM37+OWM42+#REF!+OWM59,"")</f>
        <v/>
      </c>
      <c r="OWN62" s="87" t="str">
        <f>IF(ISNUMBER(outYear),OWN37+OWN42+#REF!+OWN59,"")</f>
        <v/>
      </c>
      <c r="OWO62" s="87" t="str">
        <f>IF(ISNUMBER(outYear),OWO37+OWO42+#REF!+OWO59,"")</f>
        <v/>
      </c>
      <c r="OWP62" s="87" t="str">
        <f>IF(ISNUMBER(outYear),OWP37+OWP42+#REF!+OWP59,"")</f>
        <v/>
      </c>
      <c r="OWQ62" s="87" t="str">
        <f>IF(ISNUMBER(outYear),OWQ37+OWQ42+#REF!+OWQ59,"")</f>
        <v/>
      </c>
      <c r="OWR62" s="87" t="str">
        <f>IF(ISNUMBER(outYear),OWR37+OWR42+#REF!+OWR59,"")</f>
        <v/>
      </c>
      <c r="OWS62" s="87" t="str">
        <f>IF(ISNUMBER(outYear),OWS37+OWS42+#REF!+OWS59,"")</f>
        <v/>
      </c>
      <c r="OWT62" s="87" t="str">
        <f>IF(ISNUMBER(outYear),OWT37+OWT42+#REF!+OWT59,"")</f>
        <v/>
      </c>
      <c r="OWU62" s="87" t="str">
        <f>IF(ISNUMBER(outYear),OWU37+OWU42+#REF!+OWU59,"")</f>
        <v/>
      </c>
      <c r="OWV62" s="87" t="str">
        <f>IF(ISNUMBER(outYear),OWV37+OWV42+#REF!+OWV59,"")</f>
        <v/>
      </c>
      <c r="OWW62" s="87" t="str">
        <f>IF(ISNUMBER(outYear),OWW37+OWW42+#REF!+OWW59,"")</f>
        <v/>
      </c>
      <c r="OWX62" s="87" t="str">
        <f>IF(ISNUMBER(outYear),OWX37+OWX42+#REF!+OWX59,"")</f>
        <v/>
      </c>
      <c r="OWY62" s="87" t="str">
        <f>IF(ISNUMBER(outYear),OWY37+OWY42+#REF!+OWY59,"")</f>
        <v/>
      </c>
      <c r="OWZ62" s="87" t="str">
        <f>IF(ISNUMBER(outYear),OWZ37+OWZ42+#REF!+OWZ59,"")</f>
        <v/>
      </c>
      <c r="OXA62" s="87" t="str">
        <f>IF(ISNUMBER(outYear),OXA37+OXA42+#REF!+OXA59,"")</f>
        <v/>
      </c>
      <c r="OXB62" s="87" t="str">
        <f>IF(ISNUMBER(outYear),OXB37+OXB42+#REF!+OXB59,"")</f>
        <v/>
      </c>
      <c r="OXC62" s="87" t="str">
        <f>IF(ISNUMBER(outYear),OXC37+OXC42+#REF!+OXC59,"")</f>
        <v/>
      </c>
      <c r="OXD62" s="87" t="str">
        <f>IF(ISNUMBER(outYear),OXD37+OXD42+#REF!+OXD59,"")</f>
        <v/>
      </c>
      <c r="OXE62" s="87" t="str">
        <f>IF(ISNUMBER(outYear),OXE37+OXE42+#REF!+OXE59,"")</f>
        <v/>
      </c>
      <c r="OXF62" s="87" t="str">
        <f>IF(ISNUMBER(outYear),OXF37+OXF42+#REF!+OXF59,"")</f>
        <v/>
      </c>
      <c r="OXG62" s="87" t="str">
        <f>IF(ISNUMBER(outYear),OXG37+OXG42+#REF!+OXG59,"")</f>
        <v/>
      </c>
      <c r="OXH62" s="87" t="str">
        <f>IF(ISNUMBER(outYear),OXH37+OXH42+#REF!+OXH59,"")</f>
        <v/>
      </c>
      <c r="OXI62" s="87" t="str">
        <f>IF(ISNUMBER(outYear),OXI37+OXI42+#REF!+OXI59,"")</f>
        <v/>
      </c>
      <c r="OXJ62" s="87" t="str">
        <f>IF(ISNUMBER(outYear),OXJ37+OXJ42+#REF!+OXJ59,"")</f>
        <v/>
      </c>
      <c r="OXK62" s="87" t="str">
        <f>IF(ISNUMBER(outYear),OXK37+OXK42+#REF!+OXK59,"")</f>
        <v/>
      </c>
      <c r="OXL62" s="87" t="str">
        <f>IF(ISNUMBER(outYear),OXL37+OXL42+#REF!+OXL59,"")</f>
        <v/>
      </c>
      <c r="OXM62" s="87" t="str">
        <f>IF(ISNUMBER(outYear),OXM37+OXM42+#REF!+OXM59,"")</f>
        <v/>
      </c>
      <c r="OXN62" s="87" t="str">
        <f>IF(ISNUMBER(outYear),OXN37+OXN42+#REF!+OXN59,"")</f>
        <v/>
      </c>
      <c r="OXO62" s="87" t="str">
        <f>IF(ISNUMBER(outYear),OXO37+OXO42+#REF!+OXO59,"")</f>
        <v/>
      </c>
      <c r="OXP62" s="87" t="str">
        <f>IF(ISNUMBER(outYear),OXP37+OXP42+#REF!+OXP59,"")</f>
        <v/>
      </c>
      <c r="OXQ62" s="87" t="str">
        <f>IF(ISNUMBER(outYear),OXQ37+OXQ42+#REF!+OXQ59,"")</f>
        <v/>
      </c>
      <c r="OXR62" s="87" t="str">
        <f>IF(ISNUMBER(outYear),OXR37+OXR42+#REF!+OXR59,"")</f>
        <v/>
      </c>
      <c r="OXS62" s="87" t="str">
        <f>IF(ISNUMBER(outYear),OXS37+OXS42+#REF!+OXS59,"")</f>
        <v/>
      </c>
      <c r="OXT62" s="87" t="str">
        <f>IF(ISNUMBER(outYear),OXT37+OXT42+#REF!+OXT59,"")</f>
        <v/>
      </c>
      <c r="OXU62" s="87" t="str">
        <f>IF(ISNUMBER(outYear),OXU37+OXU42+#REF!+OXU59,"")</f>
        <v/>
      </c>
      <c r="OXV62" s="87" t="str">
        <f>IF(ISNUMBER(outYear),OXV37+OXV42+#REF!+OXV59,"")</f>
        <v/>
      </c>
      <c r="OXW62" s="87" t="str">
        <f>IF(ISNUMBER(outYear),OXW37+OXW42+#REF!+OXW59,"")</f>
        <v/>
      </c>
      <c r="OXX62" s="87" t="str">
        <f>IF(ISNUMBER(outYear),OXX37+OXX42+#REF!+OXX59,"")</f>
        <v/>
      </c>
      <c r="OXY62" s="87" t="str">
        <f>IF(ISNUMBER(outYear),OXY37+OXY42+#REF!+OXY59,"")</f>
        <v/>
      </c>
      <c r="OXZ62" s="87" t="str">
        <f>IF(ISNUMBER(outYear),OXZ37+OXZ42+#REF!+OXZ59,"")</f>
        <v/>
      </c>
      <c r="OYA62" s="87" t="str">
        <f>IF(ISNUMBER(outYear),OYA37+OYA42+#REF!+OYA59,"")</f>
        <v/>
      </c>
      <c r="OYB62" s="87" t="str">
        <f>IF(ISNUMBER(outYear),OYB37+OYB42+#REF!+OYB59,"")</f>
        <v/>
      </c>
      <c r="OYC62" s="87" t="str">
        <f>IF(ISNUMBER(outYear),OYC37+OYC42+#REF!+OYC59,"")</f>
        <v/>
      </c>
      <c r="OYD62" s="87" t="str">
        <f>IF(ISNUMBER(outYear),OYD37+OYD42+#REF!+OYD59,"")</f>
        <v/>
      </c>
      <c r="OYE62" s="87" t="str">
        <f>IF(ISNUMBER(outYear),OYE37+OYE42+#REF!+OYE59,"")</f>
        <v/>
      </c>
      <c r="OYF62" s="87" t="str">
        <f>IF(ISNUMBER(outYear),OYF37+OYF42+#REF!+OYF59,"")</f>
        <v/>
      </c>
      <c r="OYG62" s="87" t="str">
        <f>IF(ISNUMBER(outYear),OYG37+OYG42+#REF!+OYG59,"")</f>
        <v/>
      </c>
      <c r="OYH62" s="87" t="str">
        <f>IF(ISNUMBER(outYear),OYH37+OYH42+#REF!+OYH59,"")</f>
        <v/>
      </c>
      <c r="OYI62" s="87" t="str">
        <f>IF(ISNUMBER(outYear),OYI37+OYI42+#REF!+OYI59,"")</f>
        <v/>
      </c>
      <c r="OYJ62" s="87" t="str">
        <f>IF(ISNUMBER(outYear),OYJ37+OYJ42+#REF!+OYJ59,"")</f>
        <v/>
      </c>
      <c r="OYK62" s="87" t="str">
        <f>IF(ISNUMBER(outYear),OYK37+OYK42+#REF!+OYK59,"")</f>
        <v/>
      </c>
      <c r="OYL62" s="87" t="str">
        <f>IF(ISNUMBER(outYear),OYL37+OYL42+#REF!+OYL59,"")</f>
        <v/>
      </c>
      <c r="OYM62" s="87" t="str">
        <f>IF(ISNUMBER(outYear),OYM37+OYM42+#REF!+OYM59,"")</f>
        <v/>
      </c>
      <c r="OYN62" s="87" t="str">
        <f>IF(ISNUMBER(outYear),OYN37+OYN42+#REF!+OYN59,"")</f>
        <v/>
      </c>
      <c r="OYO62" s="87" t="str">
        <f>IF(ISNUMBER(outYear),OYO37+OYO42+#REF!+OYO59,"")</f>
        <v/>
      </c>
      <c r="OYP62" s="87" t="str">
        <f>IF(ISNUMBER(outYear),OYP37+OYP42+#REF!+OYP59,"")</f>
        <v/>
      </c>
      <c r="OYQ62" s="87" t="str">
        <f>IF(ISNUMBER(outYear),OYQ37+OYQ42+#REF!+OYQ59,"")</f>
        <v/>
      </c>
      <c r="OYR62" s="87" t="str">
        <f>IF(ISNUMBER(outYear),OYR37+OYR42+#REF!+OYR59,"")</f>
        <v/>
      </c>
      <c r="OYS62" s="87" t="str">
        <f>IF(ISNUMBER(outYear),OYS37+OYS42+#REF!+OYS59,"")</f>
        <v/>
      </c>
      <c r="OYT62" s="87" t="str">
        <f>IF(ISNUMBER(outYear),OYT37+OYT42+#REF!+OYT59,"")</f>
        <v/>
      </c>
      <c r="OYU62" s="87" t="str">
        <f>IF(ISNUMBER(outYear),OYU37+OYU42+#REF!+OYU59,"")</f>
        <v/>
      </c>
      <c r="OYV62" s="87" t="str">
        <f>IF(ISNUMBER(outYear),OYV37+OYV42+#REF!+OYV59,"")</f>
        <v/>
      </c>
      <c r="OYW62" s="87" t="str">
        <f>IF(ISNUMBER(outYear),OYW37+OYW42+#REF!+OYW59,"")</f>
        <v/>
      </c>
      <c r="OYX62" s="87" t="str">
        <f>IF(ISNUMBER(outYear),OYX37+OYX42+#REF!+OYX59,"")</f>
        <v/>
      </c>
      <c r="OYY62" s="87" t="str">
        <f>IF(ISNUMBER(outYear),OYY37+OYY42+#REF!+OYY59,"")</f>
        <v/>
      </c>
      <c r="OYZ62" s="87" t="str">
        <f>IF(ISNUMBER(outYear),OYZ37+OYZ42+#REF!+OYZ59,"")</f>
        <v/>
      </c>
      <c r="OZA62" s="87" t="str">
        <f>IF(ISNUMBER(outYear),OZA37+OZA42+#REF!+OZA59,"")</f>
        <v/>
      </c>
      <c r="OZB62" s="87" t="str">
        <f>IF(ISNUMBER(outYear),OZB37+OZB42+#REF!+OZB59,"")</f>
        <v/>
      </c>
      <c r="OZC62" s="87" t="str">
        <f>IF(ISNUMBER(outYear),OZC37+OZC42+#REF!+OZC59,"")</f>
        <v/>
      </c>
      <c r="OZD62" s="87" t="str">
        <f>IF(ISNUMBER(outYear),OZD37+OZD42+#REF!+OZD59,"")</f>
        <v/>
      </c>
      <c r="OZE62" s="87" t="str">
        <f>IF(ISNUMBER(outYear),OZE37+OZE42+#REF!+OZE59,"")</f>
        <v/>
      </c>
      <c r="OZF62" s="87" t="str">
        <f>IF(ISNUMBER(outYear),OZF37+OZF42+#REF!+OZF59,"")</f>
        <v/>
      </c>
      <c r="OZG62" s="87" t="str">
        <f>IF(ISNUMBER(outYear),OZG37+OZG42+#REF!+OZG59,"")</f>
        <v/>
      </c>
      <c r="OZH62" s="87" t="str">
        <f>IF(ISNUMBER(outYear),OZH37+OZH42+#REF!+OZH59,"")</f>
        <v/>
      </c>
      <c r="OZI62" s="87" t="str">
        <f>IF(ISNUMBER(outYear),OZI37+OZI42+#REF!+OZI59,"")</f>
        <v/>
      </c>
      <c r="OZJ62" s="87" t="str">
        <f>IF(ISNUMBER(outYear),OZJ37+OZJ42+#REF!+OZJ59,"")</f>
        <v/>
      </c>
      <c r="OZK62" s="87" t="str">
        <f>IF(ISNUMBER(outYear),OZK37+OZK42+#REF!+OZK59,"")</f>
        <v/>
      </c>
      <c r="OZL62" s="87" t="str">
        <f>IF(ISNUMBER(outYear),OZL37+OZL42+#REF!+OZL59,"")</f>
        <v/>
      </c>
      <c r="OZM62" s="87" t="str">
        <f>IF(ISNUMBER(outYear),OZM37+OZM42+#REF!+OZM59,"")</f>
        <v/>
      </c>
      <c r="OZN62" s="87" t="str">
        <f>IF(ISNUMBER(outYear),OZN37+OZN42+#REF!+OZN59,"")</f>
        <v/>
      </c>
      <c r="OZO62" s="87" t="str">
        <f>IF(ISNUMBER(outYear),OZO37+OZO42+#REF!+OZO59,"")</f>
        <v/>
      </c>
      <c r="OZP62" s="87" t="str">
        <f>IF(ISNUMBER(outYear),OZP37+OZP42+#REF!+OZP59,"")</f>
        <v/>
      </c>
      <c r="OZQ62" s="87" t="str">
        <f>IF(ISNUMBER(outYear),OZQ37+OZQ42+#REF!+OZQ59,"")</f>
        <v/>
      </c>
      <c r="OZR62" s="87" t="str">
        <f>IF(ISNUMBER(outYear),OZR37+OZR42+#REF!+OZR59,"")</f>
        <v/>
      </c>
      <c r="OZS62" s="87" t="str">
        <f>IF(ISNUMBER(outYear),OZS37+OZS42+#REF!+OZS59,"")</f>
        <v/>
      </c>
      <c r="OZT62" s="87" t="str">
        <f>IF(ISNUMBER(outYear),OZT37+OZT42+#REF!+OZT59,"")</f>
        <v/>
      </c>
      <c r="OZU62" s="87" t="str">
        <f>IF(ISNUMBER(outYear),OZU37+OZU42+#REF!+OZU59,"")</f>
        <v/>
      </c>
      <c r="OZV62" s="87" t="str">
        <f>IF(ISNUMBER(outYear),OZV37+OZV42+#REF!+OZV59,"")</f>
        <v/>
      </c>
      <c r="OZW62" s="87" t="str">
        <f>IF(ISNUMBER(outYear),OZW37+OZW42+#REF!+OZW59,"")</f>
        <v/>
      </c>
      <c r="OZX62" s="87" t="str">
        <f>IF(ISNUMBER(outYear),OZX37+OZX42+#REF!+OZX59,"")</f>
        <v/>
      </c>
      <c r="OZY62" s="87" t="str">
        <f>IF(ISNUMBER(outYear),OZY37+OZY42+#REF!+OZY59,"")</f>
        <v/>
      </c>
      <c r="OZZ62" s="87" t="str">
        <f>IF(ISNUMBER(outYear),OZZ37+OZZ42+#REF!+OZZ59,"")</f>
        <v/>
      </c>
      <c r="PAA62" s="87" t="str">
        <f>IF(ISNUMBER(outYear),PAA37+PAA42+#REF!+PAA59,"")</f>
        <v/>
      </c>
      <c r="PAB62" s="87" t="str">
        <f>IF(ISNUMBER(outYear),PAB37+PAB42+#REF!+PAB59,"")</f>
        <v/>
      </c>
      <c r="PAC62" s="87" t="str">
        <f>IF(ISNUMBER(outYear),PAC37+PAC42+#REF!+PAC59,"")</f>
        <v/>
      </c>
      <c r="PAD62" s="87" t="str">
        <f>IF(ISNUMBER(outYear),PAD37+PAD42+#REF!+PAD59,"")</f>
        <v/>
      </c>
      <c r="PAE62" s="87" t="str">
        <f>IF(ISNUMBER(outYear),PAE37+PAE42+#REF!+PAE59,"")</f>
        <v/>
      </c>
      <c r="PAF62" s="87" t="str">
        <f>IF(ISNUMBER(outYear),PAF37+PAF42+#REF!+PAF59,"")</f>
        <v/>
      </c>
      <c r="PAG62" s="87" t="str">
        <f>IF(ISNUMBER(outYear),PAG37+PAG42+#REF!+PAG59,"")</f>
        <v/>
      </c>
      <c r="PAH62" s="87" t="str">
        <f>IF(ISNUMBER(outYear),PAH37+PAH42+#REF!+PAH59,"")</f>
        <v/>
      </c>
      <c r="PAI62" s="87" t="str">
        <f>IF(ISNUMBER(outYear),PAI37+PAI42+#REF!+PAI59,"")</f>
        <v/>
      </c>
      <c r="PAJ62" s="87" t="str">
        <f>IF(ISNUMBER(outYear),PAJ37+PAJ42+#REF!+PAJ59,"")</f>
        <v/>
      </c>
      <c r="PAK62" s="87" t="str">
        <f>IF(ISNUMBER(outYear),PAK37+PAK42+#REF!+PAK59,"")</f>
        <v/>
      </c>
      <c r="PAL62" s="87" t="str">
        <f>IF(ISNUMBER(outYear),PAL37+PAL42+#REF!+PAL59,"")</f>
        <v/>
      </c>
      <c r="PAM62" s="87" t="str">
        <f>IF(ISNUMBER(outYear),PAM37+PAM42+#REF!+PAM59,"")</f>
        <v/>
      </c>
      <c r="PAN62" s="87" t="str">
        <f>IF(ISNUMBER(outYear),PAN37+PAN42+#REF!+PAN59,"")</f>
        <v/>
      </c>
      <c r="PAO62" s="87" t="str">
        <f>IF(ISNUMBER(outYear),PAO37+PAO42+#REF!+PAO59,"")</f>
        <v/>
      </c>
      <c r="PAP62" s="87" t="str">
        <f>IF(ISNUMBER(outYear),PAP37+PAP42+#REF!+PAP59,"")</f>
        <v/>
      </c>
      <c r="PAQ62" s="87" t="str">
        <f>IF(ISNUMBER(outYear),PAQ37+PAQ42+#REF!+PAQ59,"")</f>
        <v/>
      </c>
      <c r="PAR62" s="87" t="str">
        <f>IF(ISNUMBER(outYear),PAR37+PAR42+#REF!+PAR59,"")</f>
        <v/>
      </c>
      <c r="PAS62" s="87" t="str">
        <f>IF(ISNUMBER(outYear),PAS37+PAS42+#REF!+PAS59,"")</f>
        <v/>
      </c>
      <c r="PAT62" s="87" t="str">
        <f>IF(ISNUMBER(outYear),PAT37+PAT42+#REF!+PAT59,"")</f>
        <v/>
      </c>
      <c r="PAU62" s="87" t="str">
        <f>IF(ISNUMBER(outYear),PAU37+PAU42+#REF!+PAU59,"")</f>
        <v/>
      </c>
      <c r="PAV62" s="87" t="str">
        <f>IF(ISNUMBER(outYear),PAV37+PAV42+#REF!+PAV59,"")</f>
        <v/>
      </c>
      <c r="PAW62" s="87" t="str">
        <f>IF(ISNUMBER(outYear),PAW37+PAW42+#REF!+PAW59,"")</f>
        <v/>
      </c>
      <c r="PAX62" s="87" t="str">
        <f>IF(ISNUMBER(outYear),PAX37+PAX42+#REF!+PAX59,"")</f>
        <v/>
      </c>
      <c r="PAY62" s="87" t="str">
        <f>IF(ISNUMBER(outYear),PAY37+PAY42+#REF!+PAY59,"")</f>
        <v/>
      </c>
      <c r="PAZ62" s="87" t="str">
        <f>IF(ISNUMBER(outYear),PAZ37+PAZ42+#REF!+PAZ59,"")</f>
        <v/>
      </c>
      <c r="PBA62" s="87" t="str">
        <f>IF(ISNUMBER(outYear),PBA37+PBA42+#REF!+PBA59,"")</f>
        <v/>
      </c>
      <c r="PBB62" s="87" t="str">
        <f>IF(ISNUMBER(outYear),PBB37+PBB42+#REF!+PBB59,"")</f>
        <v/>
      </c>
      <c r="PBC62" s="87" t="str">
        <f>IF(ISNUMBER(outYear),PBC37+PBC42+#REF!+PBC59,"")</f>
        <v/>
      </c>
      <c r="PBD62" s="87" t="str">
        <f>IF(ISNUMBER(outYear),PBD37+PBD42+#REF!+PBD59,"")</f>
        <v/>
      </c>
      <c r="PBE62" s="87" t="str">
        <f>IF(ISNUMBER(outYear),PBE37+PBE42+#REF!+PBE59,"")</f>
        <v/>
      </c>
      <c r="PBF62" s="87" t="str">
        <f>IF(ISNUMBER(outYear),PBF37+PBF42+#REF!+PBF59,"")</f>
        <v/>
      </c>
      <c r="PBG62" s="87" t="str">
        <f>IF(ISNUMBER(outYear),PBG37+PBG42+#REF!+PBG59,"")</f>
        <v/>
      </c>
      <c r="PBH62" s="87" t="str">
        <f>IF(ISNUMBER(outYear),PBH37+PBH42+#REF!+PBH59,"")</f>
        <v/>
      </c>
      <c r="PBI62" s="87" t="str">
        <f>IF(ISNUMBER(outYear),PBI37+PBI42+#REF!+PBI59,"")</f>
        <v/>
      </c>
      <c r="PBJ62" s="87" t="str">
        <f>IF(ISNUMBER(outYear),PBJ37+PBJ42+#REF!+PBJ59,"")</f>
        <v/>
      </c>
      <c r="PBK62" s="87" t="str">
        <f>IF(ISNUMBER(outYear),PBK37+PBK42+#REF!+PBK59,"")</f>
        <v/>
      </c>
      <c r="PBL62" s="87" t="str">
        <f>IF(ISNUMBER(outYear),PBL37+PBL42+#REF!+PBL59,"")</f>
        <v/>
      </c>
      <c r="PBM62" s="87" t="str">
        <f>IF(ISNUMBER(outYear),PBM37+PBM42+#REF!+PBM59,"")</f>
        <v/>
      </c>
      <c r="PBN62" s="87" t="str">
        <f>IF(ISNUMBER(outYear),PBN37+PBN42+#REF!+PBN59,"")</f>
        <v/>
      </c>
      <c r="PBO62" s="87" t="str">
        <f>IF(ISNUMBER(outYear),PBO37+PBO42+#REF!+PBO59,"")</f>
        <v/>
      </c>
      <c r="PBP62" s="87" t="str">
        <f>IF(ISNUMBER(outYear),PBP37+PBP42+#REF!+PBP59,"")</f>
        <v/>
      </c>
      <c r="PBQ62" s="87" t="str">
        <f>IF(ISNUMBER(outYear),PBQ37+PBQ42+#REF!+PBQ59,"")</f>
        <v/>
      </c>
      <c r="PBR62" s="87" t="str">
        <f>IF(ISNUMBER(outYear),PBR37+PBR42+#REF!+PBR59,"")</f>
        <v/>
      </c>
      <c r="PBS62" s="87" t="str">
        <f>IF(ISNUMBER(outYear),PBS37+PBS42+#REF!+PBS59,"")</f>
        <v/>
      </c>
      <c r="PBT62" s="87" t="str">
        <f>IF(ISNUMBER(outYear),PBT37+PBT42+#REF!+PBT59,"")</f>
        <v/>
      </c>
      <c r="PBU62" s="87" t="str">
        <f>IF(ISNUMBER(outYear),PBU37+PBU42+#REF!+PBU59,"")</f>
        <v/>
      </c>
      <c r="PBV62" s="87" t="str">
        <f>IF(ISNUMBER(outYear),PBV37+PBV42+#REF!+PBV59,"")</f>
        <v/>
      </c>
      <c r="PBW62" s="87" t="str">
        <f>IF(ISNUMBER(outYear),PBW37+PBW42+#REF!+PBW59,"")</f>
        <v/>
      </c>
      <c r="PBX62" s="87" t="str">
        <f>IF(ISNUMBER(outYear),PBX37+PBX42+#REF!+PBX59,"")</f>
        <v/>
      </c>
      <c r="PBY62" s="87" t="str">
        <f>IF(ISNUMBER(outYear),PBY37+PBY42+#REF!+PBY59,"")</f>
        <v/>
      </c>
      <c r="PBZ62" s="87" t="str">
        <f>IF(ISNUMBER(outYear),PBZ37+PBZ42+#REF!+PBZ59,"")</f>
        <v/>
      </c>
      <c r="PCA62" s="87" t="str">
        <f>IF(ISNUMBER(outYear),PCA37+PCA42+#REF!+PCA59,"")</f>
        <v/>
      </c>
      <c r="PCB62" s="87" t="str">
        <f>IF(ISNUMBER(outYear),PCB37+PCB42+#REF!+PCB59,"")</f>
        <v/>
      </c>
      <c r="PCC62" s="87" t="str">
        <f>IF(ISNUMBER(outYear),PCC37+PCC42+#REF!+PCC59,"")</f>
        <v/>
      </c>
      <c r="PCD62" s="87" t="str">
        <f>IF(ISNUMBER(outYear),PCD37+PCD42+#REF!+PCD59,"")</f>
        <v/>
      </c>
      <c r="PCE62" s="87" t="str">
        <f>IF(ISNUMBER(outYear),PCE37+PCE42+#REF!+PCE59,"")</f>
        <v/>
      </c>
      <c r="PCF62" s="87" t="str">
        <f>IF(ISNUMBER(outYear),PCF37+PCF42+#REF!+PCF59,"")</f>
        <v/>
      </c>
      <c r="PCG62" s="87" t="str">
        <f>IF(ISNUMBER(outYear),PCG37+PCG42+#REF!+PCG59,"")</f>
        <v/>
      </c>
      <c r="PCH62" s="87" t="str">
        <f>IF(ISNUMBER(outYear),PCH37+PCH42+#REF!+PCH59,"")</f>
        <v/>
      </c>
      <c r="PCI62" s="87" t="str">
        <f>IF(ISNUMBER(outYear),PCI37+PCI42+#REF!+PCI59,"")</f>
        <v/>
      </c>
      <c r="PCJ62" s="87" t="str">
        <f>IF(ISNUMBER(outYear),PCJ37+PCJ42+#REF!+PCJ59,"")</f>
        <v/>
      </c>
      <c r="PCK62" s="87" t="str">
        <f>IF(ISNUMBER(outYear),PCK37+PCK42+#REF!+PCK59,"")</f>
        <v/>
      </c>
      <c r="PCL62" s="87" t="str">
        <f>IF(ISNUMBER(outYear),PCL37+PCL42+#REF!+PCL59,"")</f>
        <v/>
      </c>
      <c r="PCM62" s="87" t="str">
        <f>IF(ISNUMBER(outYear),PCM37+PCM42+#REF!+PCM59,"")</f>
        <v/>
      </c>
      <c r="PCN62" s="87" t="str">
        <f>IF(ISNUMBER(outYear),PCN37+PCN42+#REF!+PCN59,"")</f>
        <v/>
      </c>
      <c r="PCO62" s="87" t="str">
        <f>IF(ISNUMBER(outYear),PCO37+PCO42+#REF!+PCO59,"")</f>
        <v/>
      </c>
      <c r="PCP62" s="87" t="str">
        <f>IF(ISNUMBER(outYear),PCP37+PCP42+#REF!+PCP59,"")</f>
        <v/>
      </c>
      <c r="PCQ62" s="87" t="str">
        <f>IF(ISNUMBER(outYear),PCQ37+PCQ42+#REF!+PCQ59,"")</f>
        <v/>
      </c>
      <c r="PCR62" s="87" t="str">
        <f>IF(ISNUMBER(outYear),PCR37+PCR42+#REF!+PCR59,"")</f>
        <v/>
      </c>
      <c r="PCS62" s="87" t="str">
        <f>IF(ISNUMBER(outYear),PCS37+PCS42+#REF!+PCS59,"")</f>
        <v/>
      </c>
      <c r="PCT62" s="87" t="str">
        <f>IF(ISNUMBER(outYear),PCT37+PCT42+#REF!+PCT59,"")</f>
        <v/>
      </c>
      <c r="PCU62" s="87" t="str">
        <f>IF(ISNUMBER(outYear),PCU37+PCU42+#REF!+PCU59,"")</f>
        <v/>
      </c>
      <c r="PCV62" s="87" t="str">
        <f>IF(ISNUMBER(outYear),PCV37+PCV42+#REF!+PCV59,"")</f>
        <v/>
      </c>
      <c r="PCW62" s="87" t="str">
        <f>IF(ISNUMBER(outYear),PCW37+PCW42+#REF!+PCW59,"")</f>
        <v/>
      </c>
      <c r="PCX62" s="87" t="str">
        <f>IF(ISNUMBER(outYear),PCX37+PCX42+#REF!+PCX59,"")</f>
        <v/>
      </c>
      <c r="PCY62" s="87" t="str">
        <f>IF(ISNUMBER(outYear),PCY37+PCY42+#REF!+PCY59,"")</f>
        <v/>
      </c>
      <c r="PCZ62" s="87" t="str">
        <f>IF(ISNUMBER(outYear),PCZ37+PCZ42+#REF!+PCZ59,"")</f>
        <v/>
      </c>
      <c r="PDA62" s="87" t="str">
        <f>IF(ISNUMBER(outYear),PDA37+PDA42+#REF!+PDA59,"")</f>
        <v/>
      </c>
      <c r="PDB62" s="87" t="str">
        <f>IF(ISNUMBER(outYear),PDB37+PDB42+#REF!+PDB59,"")</f>
        <v/>
      </c>
      <c r="PDC62" s="87" t="str">
        <f>IF(ISNUMBER(outYear),PDC37+PDC42+#REF!+PDC59,"")</f>
        <v/>
      </c>
      <c r="PDD62" s="87" t="str">
        <f>IF(ISNUMBER(outYear),PDD37+PDD42+#REF!+PDD59,"")</f>
        <v/>
      </c>
      <c r="PDE62" s="87" t="str">
        <f>IF(ISNUMBER(outYear),PDE37+PDE42+#REF!+PDE59,"")</f>
        <v/>
      </c>
      <c r="PDF62" s="87" t="str">
        <f>IF(ISNUMBER(outYear),PDF37+PDF42+#REF!+PDF59,"")</f>
        <v/>
      </c>
      <c r="PDG62" s="87" t="str">
        <f>IF(ISNUMBER(outYear),PDG37+PDG42+#REF!+PDG59,"")</f>
        <v/>
      </c>
      <c r="PDH62" s="87" t="str">
        <f>IF(ISNUMBER(outYear),PDH37+PDH42+#REF!+PDH59,"")</f>
        <v/>
      </c>
      <c r="PDI62" s="87" t="str">
        <f>IF(ISNUMBER(outYear),PDI37+PDI42+#REF!+PDI59,"")</f>
        <v/>
      </c>
      <c r="PDJ62" s="87" t="str">
        <f>IF(ISNUMBER(outYear),PDJ37+PDJ42+#REF!+PDJ59,"")</f>
        <v/>
      </c>
      <c r="PDK62" s="87" t="str">
        <f>IF(ISNUMBER(outYear),PDK37+PDK42+#REF!+PDK59,"")</f>
        <v/>
      </c>
      <c r="PDL62" s="87" t="str">
        <f>IF(ISNUMBER(outYear),PDL37+PDL42+#REF!+PDL59,"")</f>
        <v/>
      </c>
      <c r="PDM62" s="87" t="str">
        <f>IF(ISNUMBER(outYear),PDM37+PDM42+#REF!+PDM59,"")</f>
        <v/>
      </c>
      <c r="PDN62" s="87" t="str">
        <f>IF(ISNUMBER(outYear),PDN37+PDN42+#REF!+PDN59,"")</f>
        <v/>
      </c>
      <c r="PDO62" s="87" t="str">
        <f>IF(ISNUMBER(outYear),PDO37+PDO42+#REF!+PDO59,"")</f>
        <v/>
      </c>
      <c r="PDP62" s="87" t="str">
        <f>IF(ISNUMBER(outYear),PDP37+PDP42+#REF!+PDP59,"")</f>
        <v/>
      </c>
      <c r="PDQ62" s="87" t="str">
        <f>IF(ISNUMBER(outYear),PDQ37+PDQ42+#REF!+PDQ59,"")</f>
        <v/>
      </c>
      <c r="PDR62" s="87" t="str">
        <f>IF(ISNUMBER(outYear),PDR37+PDR42+#REF!+PDR59,"")</f>
        <v/>
      </c>
      <c r="PDS62" s="87" t="str">
        <f>IF(ISNUMBER(outYear),PDS37+PDS42+#REF!+PDS59,"")</f>
        <v/>
      </c>
      <c r="PDT62" s="87" t="str">
        <f>IF(ISNUMBER(outYear),PDT37+PDT42+#REF!+PDT59,"")</f>
        <v/>
      </c>
      <c r="PDU62" s="87" t="str">
        <f>IF(ISNUMBER(outYear),PDU37+PDU42+#REF!+PDU59,"")</f>
        <v/>
      </c>
      <c r="PDV62" s="87" t="str">
        <f>IF(ISNUMBER(outYear),PDV37+PDV42+#REF!+PDV59,"")</f>
        <v/>
      </c>
      <c r="PDW62" s="87" t="str">
        <f>IF(ISNUMBER(outYear),PDW37+PDW42+#REF!+PDW59,"")</f>
        <v/>
      </c>
      <c r="PDX62" s="87" t="str">
        <f>IF(ISNUMBER(outYear),PDX37+PDX42+#REF!+PDX59,"")</f>
        <v/>
      </c>
      <c r="PDY62" s="87" t="str">
        <f>IF(ISNUMBER(outYear),PDY37+PDY42+#REF!+PDY59,"")</f>
        <v/>
      </c>
      <c r="PDZ62" s="87" t="str">
        <f>IF(ISNUMBER(outYear),PDZ37+PDZ42+#REF!+PDZ59,"")</f>
        <v/>
      </c>
      <c r="PEA62" s="87" t="str">
        <f>IF(ISNUMBER(outYear),PEA37+PEA42+#REF!+PEA59,"")</f>
        <v/>
      </c>
      <c r="PEB62" s="87" t="str">
        <f>IF(ISNUMBER(outYear),PEB37+PEB42+#REF!+PEB59,"")</f>
        <v/>
      </c>
      <c r="PEC62" s="87" t="str">
        <f>IF(ISNUMBER(outYear),PEC37+PEC42+#REF!+PEC59,"")</f>
        <v/>
      </c>
      <c r="PED62" s="87" t="str">
        <f>IF(ISNUMBER(outYear),PED37+PED42+#REF!+PED59,"")</f>
        <v/>
      </c>
      <c r="PEE62" s="87" t="str">
        <f>IF(ISNUMBER(outYear),PEE37+PEE42+#REF!+PEE59,"")</f>
        <v/>
      </c>
      <c r="PEF62" s="87" t="str">
        <f>IF(ISNUMBER(outYear),PEF37+PEF42+#REF!+PEF59,"")</f>
        <v/>
      </c>
      <c r="PEG62" s="87" t="str">
        <f>IF(ISNUMBER(outYear),PEG37+PEG42+#REF!+PEG59,"")</f>
        <v/>
      </c>
      <c r="PEH62" s="87" t="str">
        <f>IF(ISNUMBER(outYear),PEH37+PEH42+#REF!+PEH59,"")</f>
        <v/>
      </c>
      <c r="PEI62" s="87" t="str">
        <f>IF(ISNUMBER(outYear),PEI37+PEI42+#REF!+PEI59,"")</f>
        <v/>
      </c>
      <c r="PEJ62" s="87" t="str">
        <f>IF(ISNUMBER(outYear),PEJ37+PEJ42+#REF!+PEJ59,"")</f>
        <v/>
      </c>
      <c r="PEK62" s="87" t="str">
        <f>IF(ISNUMBER(outYear),PEK37+PEK42+#REF!+PEK59,"")</f>
        <v/>
      </c>
      <c r="PEL62" s="87" t="str">
        <f>IF(ISNUMBER(outYear),PEL37+PEL42+#REF!+PEL59,"")</f>
        <v/>
      </c>
      <c r="PEM62" s="87" t="str">
        <f>IF(ISNUMBER(outYear),PEM37+PEM42+#REF!+PEM59,"")</f>
        <v/>
      </c>
      <c r="PEN62" s="87" t="str">
        <f>IF(ISNUMBER(outYear),PEN37+PEN42+#REF!+PEN59,"")</f>
        <v/>
      </c>
      <c r="PEO62" s="87" t="str">
        <f>IF(ISNUMBER(outYear),PEO37+PEO42+#REF!+PEO59,"")</f>
        <v/>
      </c>
      <c r="PEP62" s="87" t="str">
        <f>IF(ISNUMBER(outYear),PEP37+PEP42+#REF!+PEP59,"")</f>
        <v/>
      </c>
      <c r="PEQ62" s="87" t="str">
        <f>IF(ISNUMBER(outYear),PEQ37+PEQ42+#REF!+PEQ59,"")</f>
        <v/>
      </c>
      <c r="PER62" s="87" t="str">
        <f>IF(ISNUMBER(outYear),PER37+PER42+#REF!+PER59,"")</f>
        <v/>
      </c>
      <c r="PES62" s="87" t="str">
        <f>IF(ISNUMBER(outYear),PES37+PES42+#REF!+PES59,"")</f>
        <v/>
      </c>
      <c r="PET62" s="87" t="str">
        <f>IF(ISNUMBER(outYear),PET37+PET42+#REF!+PET59,"")</f>
        <v/>
      </c>
      <c r="PEU62" s="87" t="str">
        <f>IF(ISNUMBER(outYear),PEU37+PEU42+#REF!+PEU59,"")</f>
        <v/>
      </c>
      <c r="PEV62" s="87" t="str">
        <f>IF(ISNUMBER(outYear),PEV37+PEV42+#REF!+PEV59,"")</f>
        <v/>
      </c>
      <c r="PEW62" s="87" t="str">
        <f>IF(ISNUMBER(outYear),PEW37+PEW42+#REF!+PEW59,"")</f>
        <v/>
      </c>
      <c r="PEX62" s="87" t="str">
        <f>IF(ISNUMBER(outYear),PEX37+PEX42+#REF!+PEX59,"")</f>
        <v/>
      </c>
      <c r="PEY62" s="87" t="str">
        <f>IF(ISNUMBER(outYear),PEY37+PEY42+#REF!+PEY59,"")</f>
        <v/>
      </c>
      <c r="PEZ62" s="87" t="str">
        <f>IF(ISNUMBER(outYear),PEZ37+PEZ42+#REF!+PEZ59,"")</f>
        <v/>
      </c>
      <c r="PFA62" s="87" t="str">
        <f>IF(ISNUMBER(outYear),PFA37+PFA42+#REF!+PFA59,"")</f>
        <v/>
      </c>
      <c r="PFB62" s="87" t="str">
        <f>IF(ISNUMBER(outYear),PFB37+PFB42+#REF!+PFB59,"")</f>
        <v/>
      </c>
      <c r="PFC62" s="87" t="str">
        <f>IF(ISNUMBER(outYear),PFC37+PFC42+#REF!+PFC59,"")</f>
        <v/>
      </c>
      <c r="PFD62" s="87" t="str">
        <f>IF(ISNUMBER(outYear),PFD37+PFD42+#REF!+PFD59,"")</f>
        <v/>
      </c>
      <c r="PFE62" s="87" t="str">
        <f>IF(ISNUMBER(outYear),PFE37+PFE42+#REF!+PFE59,"")</f>
        <v/>
      </c>
      <c r="PFF62" s="87" t="str">
        <f>IF(ISNUMBER(outYear),PFF37+PFF42+#REF!+PFF59,"")</f>
        <v/>
      </c>
      <c r="PFG62" s="87" t="str">
        <f>IF(ISNUMBER(outYear),PFG37+PFG42+#REF!+PFG59,"")</f>
        <v/>
      </c>
      <c r="PFH62" s="87" t="str">
        <f>IF(ISNUMBER(outYear),PFH37+PFH42+#REF!+PFH59,"")</f>
        <v/>
      </c>
      <c r="PFI62" s="87" t="str">
        <f>IF(ISNUMBER(outYear),PFI37+PFI42+#REF!+PFI59,"")</f>
        <v/>
      </c>
      <c r="PFJ62" s="87" t="str">
        <f>IF(ISNUMBER(outYear),PFJ37+PFJ42+#REF!+PFJ59,"")</f>
        <v/>
      </c>
      <c r="PFK62" s="87" t="str">
        <f>IF(ISNUMBER(outYear),PFK37+PFK42+#REF!+PFK59,"")</f>
        <v/>
      </c>
      <c r="PFL62" s="87" t="str">
        <f>IF(ISNUMBER(outYear),PFL37+PFL42+#REF!+PFL59,"")</f>
        <v/>
      </c>
      <c r="PFM62" s="87" t="str">
        <f>IF(ISNUMBER(outYear),PFM37+PFM42+#REF!+PFM59,"")</f>
        <v/>
      </c>
      <c r="PFN62" s="87" t="str">
        <f>IF(ISNUMBER(outYear),PFN37+PFN42+#REF!+PFN59,"")</f>
        <v/>
      </c>
      <c r="PFO62" s="87" t="str">
        <f>IF(ISNUMBER(outYear),PFO37+PFO42+#REF!+PFO59,"")</f>
        <v/>
      </c>
      <c r="PFP62" s="87" t="str">
        <f>IF(ISNUMBER(outYear),PFP37+PFP42+#REF!+PFP59,"")</f>
        <v/>
      </c>
      <c r="PFQ62" s="87" t="str">
        <f>IF(ISNUMBER(outYear),PFQ37+PFQ42+#REF!+PFQ59,"")</f>
        <v/>
      </c>
      <c r="PFR62" s="87" t="str">
        <f>IF(ISNUMBER(outYear),PFR37+PFR42+#REF!+PFR59,"")</f>
        <v/>
      </c>
      <c r="PFS62" s="87" t="str">
        <f>IF(ISNUMBER(outYear),PFS37+PFS42+#REF!+PFS59,"")</f>
        <v/>
      </c>
      <c r="PFT62" s="87" t="str">
        <f>IF(ISNUMBER(outYear),PFT37+PFT42+#REF!+PFT59,"")</f>
        <v/>
      </c>
      <c r="PFU62" s="87" t="str">
        <f>IF(ISNUMBER(outYear),PFU37+PFU42+#REF!+PFU59,"")</f>
        <v/>
      </c>
      <c r="PFV62" s="87" t="str">
        <f>IF(ISNUMBER(outYear),PFV37+PFV42+#REF!+PFV59,"")</f>
        <v/>
      </c>
      <c r="PFW62" s="87" t="str">
        <f>IF(ISNUMBER(outYear),PFW37+PFW42+#REF!+PFW59,"")</f>
        <v/>
      </c>
      <c r="PFX62" s="87" t="str">
        <f>IF(ISNUMBER(outYear),PFX37+PFX42+#REF!+PFX59,"")</f>
        <v/>
      </c>
      <c r="PFY62" s="87" t="str">
        <f>IF(ISNUMBER(outYear),PFY37+PFY42+#REF!+PFY59,"")</f>
        <v/>
      </c>
      <c r="PFZ62" s="87" t="str">
        <f>IF(ISNUMBER(outYear),PFZ37+PFZ42+#REF!+PFZ59,"")</f>
        <v/>
      </c>
      <c r="PGA62" s="87" t="str">
        <f>IF(ISNUMBER(outYear),PGA37+PGA42+#REF!+PGA59,"")</f>
        <v/>
      </c>
      <c r="PGB62" s="87" t="str">
        <f>IF(ISNUMBER(outYear),PGB37+PGB42+#REF!+PGB59,"")</f>
        <v/>
      </c>
      <c r="PGC62" s="87" t="str">
        <f>IF(ISNUMBER(outYear),PGC37+PGC42+#REF!+PGC59,"")</f>
        <v/>
      </c>
      <c r="PGD62" s="87" t="str">
        <f>IF(ISNUMBER(outYear),PGD37+PGD42+#REF!+PGD59,"")</f>
        <v/>
      </c>
      <c r="PGE62" s="87" t="str">
        <f>IF(ISNUMBER(outYear),PGE37+PGE42+#REF!+PGE59,"")</f>
        <v/>
      </c>
      <c r="PGF62" s="87" t="str">
        <f>IF(ISNUMBER(outYear),PGF37+PGF42+#REF!+PGF59,"")</f>
        <v/>
      </c>
      <c r="PGG62" s="87" t="str">
        <f>IF(ISNUMBER(outYear),PGG37+PGG42+#REF!+PGG59,"")</f>
        <v/>
      </c>
      <c r="PGH62" s="87" t="str">
        <f>IF(ISNUMBER(outYear),PGH37+PGH42+#REF!+PGH59,"")</f>
        <v/>
      </c>
      <c r="PGI62" s="87" t="str">
        <f>IF(ISNUMBER(outYear),PGI37+PGI42+#REF!+PGI59,"")</f>
        <v/>
      </c>
      <c r="PGJ62" s="87" t="str">
        <f>IF(ISNUMBER(outYear),PGJ37+PGJ42+#REF!+PGJ59,"")</f>
        <v/>
      </c>
      <c r="PGK62" s="87" t="str">
        <f>IF(ISNUMBER(outYear),PGK37+PGK42+#REF!+PGK59,"")</f>
        <v/>
      </c>
      <c r="PGL62" s="87" t="str">
        <f>IF(ISNUMBER(outYear),PGL37+PGL42+#REF!+PGL59,"")</f>
        <v/>
      </c>
      <c r="PGM62" s="87" t="str">
        <f>IF(ISNUMBER(outYear),PGM37+PGM42+#REF!+PGM59,"")</f>
        <v/>
      </c>
      <c r="PGN62" s="87" t="str">
        <f>IF(ISNUMBER(outYear),PGN37+PGN42+#REF!+PGN59,"")</f>
        <v/>
      </c>
      <c r="PGO62" s="87" t="str">
        <f>IF(ISNUMBER(outYear),PGO37+PGO42+#REF!+PGO59,"")</f>
        <v/>
      </c>
      <c r="PGP62" s="87" t="str">
        <f>IF(ISNUMBER(outYear),PGP37+PGP42+#REF!+PGP59,"")</f>
        <v/>
      </c>
      <c r="PGQ62" s="87" t="str">
        <f>IF(ISNUMBER(outYear),PGQ37+PGQ42+#REF!+PGQ59,"")</f>
        <v/>
      </c>
      <c r="PGR62" s="87" t="str">
        <f>IF(ISNUMBER(outYear),PGR37+PGR42+#REF!+PGR59,"")</f>
        <v/>
      </c>
      <c r="PGS62" s="87" t="str">
        <f>IF(ISNUMBER(outYear),PGS37+PGS42+#REF!+PGS59,"")</f>
        <v/>
      </c>
      <c r="PGT62" s="87" t="str">
        <f>IF(ISNUMBER(outYear),PGT37+PGT42+#REF!+PGT59,"")</f>
        <v/>
      </c>
      <c r="PGU62" s="87" t="str">
        <f>IF(ISNUMBER(outYear),PGU37+PGU42+#REF!+PGU59,"")</f>
        <v/>
      </c>
      <c r="PGV62" s="87" t="str">
        <f>IF(ISNUMBER(outYear),PGV37+PGV42+#REF!+PGV59,"")</f>
        <v/>
      </c>
      <c r="PGW62" s="87" t="str">
        <f>IF(ISNUMBER(outYear),PGW37+PGW42+#REF!+PGW59,"")</f>
        <v/>
      </c>
      <c r="PGX62" s="87" t="str">
        <f>IF(ISNUMBER(outYear),PGX37+PGX42+#REF!+PGX59,"")</f>
        <v/>
      </c>
      <c r="PGY62" s="87" t="str">
        <f>IF(ISNUMBER(outYear),PGY37+PGY42+#REF!+PGY59,"")</f>
        <v/>
      </c>
      <c r="PGZ62" s="87" t="str">
        <f>IF(ISNUMBER(outYear),PGZ37+PGZ42+#REF!+PGZ59,"")</f>
        <v/>
      </c>
      <c r="PHA62" s="87" t="str">
        <f>IF(ISNUMBER(outYear),PHA37+PHA42+#REF!+PHA59,"")</f>
        <v/>
      </c>
      <c r="PHB62" s="87" t="str">
        <f>IF(ISNUMBER(outYear),PHB37+PHB42+#REF!+PHB59,"")</f>
        <v/>
      </c>
      <c r="PHC62" s="87" t="str">
        <f>IF(ISNUMBER(outYear),PHC37+PHC42+#REF!+PHC59,"")</f>
        <v/>
      </c>
      <c r="PHD62" s="87" t="str">
        <f>IF(ISNUMBER(outYear),PHD37+PHD42+#REF!+PHD59,"")</f>
        <v/>
      </c>
      <c r="PHE62" s="87" t="str">
        <f>IF(ISNUMBER(outYear),PHE37+PHE42+#REF!+PHE59,"")</f>
        <v/>
      </c>
      <c r="PHF62" s="87" t="str">
        <f>IF(ISNUMBER(outYear),PHF37+PHF42+#REF!+PHF59,"")</f>
        <v/>
      </c>
      <c r="PHG62" s="87" t="str">
        <f>IF(ISNUMBER(outYear),PHG37+PHG42+#REF!+PHG59,"")</f>
        <v/>
      </c>
      <c r="PHH62" s="87" t="str">
        <f>IF(ISNUMBER(outYear),PHH37+PHH42+#REF!+PHH59,"")</f>
        <v/>
      </c>
      <c r="PHI62" s="87" t="str">
        <f>IF(ISNUMBER(outYear),PHI37+PHI42+#REF!+PHI59,"")</f>
        <v/>
      </c>
      <c r="PHJ62" s="87" t="str">
        <f>IF(ISNUMBER(outYear),PHJ37+PHJ42+#REF!+PHJ59,"")</f>
        <v/>
      </c>
      <c r="PHK62" s="87" t="str">
        <f>IF(ISNUMBER(outYear),PHK37+PHK42+#REF!+PHK59,"")</f>
        <v/>
      </c>
      <c r="PHL62" s="87" t="str">
        <f>IF(ISNUMBER(outYear),PHL37+PHL42+#REF!+PHL59,"")</f>
        <v/>
      </c>
      <c r="PHM62" s="87" t="str">
        <f>IF(ISNUMBER(outYear),PHM37+PHM42+#REF!+PHM59,"")</f>
        <v/>
      </c>
      <c r="PHN62" s="87" t="str">
        <f>IF(ISNUMBER(outYear),PHN37+PHN42+#REF!+PHN59,"")</f>
        <v/>
      </c>
      <c r="PHO62" s="87" t="str">
        <f>IF(ISNUMBER(outYear),PHO37+PHO42+#REF!+PHO59,"")</f>
        <v/>
      </c>
      <c r="PHP62" s="87" t="str">
        <f>IF(ISNUMBER(outYear),PHP37+PHP42+#REF!+PHP59,"")</f>
        <v/>
      </c>
      <c r="PHQ62" s="87" t="str">
        <f>IF(ISNUMBER(outYear),PHQ37+PHQ42+#REF!+PHQ59,"")</f>
        <v/>
      </c>
      <c r="PHR62" s="87" t="str">
        <f>IF(ISNUMBER(outYear),PHR37+PHR42+#REF!+PHR59,"")</f>
        <v/>
      </c>
      <c r="PHS62" s="87" t="str">
        <f>IF(ISNUMBER(outYear),PHS37+PHS42+#REF!+PHS59,"")</f>
        <v/>
      </c>
      <c r="PHT62" s="87" t="str">
        <f>IF(ISNUMBER(outYear),PHT37+PHT42+#REF!+PHT59,"")</f>
        <v/>
      </c>
      <c r="PHU62" s="87" t="str">
        <f>IF(ISNUMBER(outYear),PHU37+PHU42+#REF!+PHU59,"")</f>
        <v/>
      </c>
      <c r="PHV62" s="87" t="str">
        <f>IF(ISNUMBER(outYear),PHV37+PHV42+#REF!+PHV59,"")</f>
        <v/>
      </c>
      <c r="PHW62" s="87" t="str">
        <f>IF(ISNUMBER(outYear),PHW37+PHW42+#REF!+PHW59,"")</f>
        <v/>
      </c>
      <c r="PHX62" s="87" t="str">
        <f>IF(ISNUMBER(outYear),PHX37+PHX42+#REF!+PHX59,"")</f>
        <v/>
      </c>
      <c r="PHY62" s="87" t="str">
        <f>IF(ISNUMBER(outYear),PHY37+PHY42+#REF!+PHY59,"")</f>
        <v/>
      </c>
      <c r="PHZ62" s="87" t="str">
        <f>IF(ISNUMBER(outYear),PHZ37+PHZ42+#REF!+PHZ59,"")</f>
        <v/>
      </c>
      <c r="PIA62" s="87" t="str">
        <f>IF(ISNUMBER(outYear),PIA37+PIA42+#REF!+PIA59,"")</f>
        <v/>
      </c>
      <c r="PIB62" s="87" t="str">
        <f>IF(ISNUMBER(outYear),PIB37+PIB42+#REF!+PIB59,"")</f>
        <v/>
      </c>
      <c r="PIC62" s="87" t="str">
        <f>IF(ISNUMBER(outYear),PIC37+PIC42+#REF!+PIC59,"")</f>
        <v/>
      </c>
      <c r="PID62" s="87" t="str">
        <f>IF(ISNUMBER(outYear),PID37+PID42+#REF!+PID59,"")</f>
        <v/>
      </c>
      <c r="PIE62" s="87" t="str">
        <f>IF(ISNUMBER(outYear),PIE37+PIE42+#REF!+PIE59,"")</f>
        <v/>
      </c>
      <c r="PIF62" s="87" t="str">
        <f>IF(ISNUMBER(outYear),PIF37+PIF42+#REF!+PIF59,"")</f>
        <v/>
      </c>
      <c r="PIG62" s="87" t="str">
        <f>IF(ISNUMBER(outYear),PIG37+PIG42+#REF!+PIG59,"")</f>
        <v/>
      </c>
      <c r="PIH62" s="87" t="str">
        <f>IF(ISNUMBER(outYear),PIH37+PIH42+#REF!+PIH59,"")</f>
        <v/>
      </c>
      <c r="PII62" s="87" t="str">
        <f>IF(ISNUMBER(outYear),PII37+PII42+#REF!+PII59,"")</f>
        <v/>
      </c>
      <c r="PIJ62" s="87" t="str">
        <f>IF(ISNUMBER(outYear),PIJ37+PIJ42+#REF!+PIJ59,"")</f>
        <v/>
      </c>
      <c r="PIK62" s="87" t="str">
        <f>IF(ISNUMBER(outYear),PIK37+PIK42+#REF!+PIK59,"")</f>
        <v/>
      </c>
      <c r="PIL62" s="87" t="str">
        <f>IF(ISNUMBER(outYear),PIL37+PIL42+#REF!+PIL59,"")</f>
        <v/>
      </c>
      <c r="PIM62" s="87" t="str">
        <f>IF(ISNUMBER(outYear),PIM37+PIM42+#REF!+PIM59,"")</f>
        <v/>
      </c>
      <c r="PIN62" s="87" t="str">
        <f>IF(ISNUMBER(outYear),PIN37+PIN42+#REF!+PIN59,"")</f>
        <v/>
      </c>
      <c r="PIO62" s="87" t="str">
        <f>IF(ISNUMBER(outYear),PIO37+PIO42+#REF!+PIO59,"")</f>
        <v/>
      </c>
      <c r="PIP62" s="87" t="str">
        <f>IF(ISNUMBER(outYear),PIP37+PIP42+#REF!+PIP59,"")</f>
        <v/>
      </c>
      <c r="PIQ62" s="87" t="str">
        <f>IF(ISNUMBER(outYear),PIQ37+PIQ42+#REF!+PIQ59,"")</f>
        <v/>
      </c>
      <c r="PIR62" s="87" t="str">
        <f>IF(ISNUMBER(outYear),PIR37+PIR42+#REF!+PIR59,"")</f>
        <v/>
      </c>
      <c r="PIS62" s="87" t="str">
        <f>IF(ISNUMBER(outYear),PIS37+PIS42+#REF!+PIS59,"")</f>
        <v/>
      </c>
      <c r="PIT62" s="87" t="str">
        <f>IF(ISNUMBER(outYear),PIT37+PIT42+#REF!+PIT59,"")</f>
        <v/>
      </c>
      <c r="PIU62" s="87" t="str">
        <f>IF(ISNUMBER(outYear),PIU37+PIU42+#REF!+PIU59,"")</f>
        <v/>
      </c>
      <c r="PIV62" s="87" t="str">
        <f>IF(ISNUMBER(outYear),PIV37+PIV42+#REF!+PIV59,"")</f>
        <v/>
      </c>
      <c r="PIW62" s="87" t="str">
        <f>IF(ISNUMBER(outYear),PIW37+PIW42+#REF!+PIW59,"")</f>
        <v/>
      </c>
      <c r="PIX62" s="87" t="str">
        <f>IF(ISNUMBER(outYear),PIX37+PIX42+#REF!+PIX59,"")</f>
        <v/>
      </c>
      <c r="PIY62" s="87" t="str">
        <f>IF(ISNUMBER(outYear),PIY37+PIY42+#REF!+PIY59,"")</f>
        <v/>
      </c>
      <c r="PIZ62" s="87" t="str">
        <f>IF(ISNUMBER(outYear),PIZ37+PIZ42+#REF!+PIZ59,"")</f>
        <v/>
      </c>
      <c r="PJA62" s="87" t="str">
        <f>IF(ISNUMBER(outYear),PJA37+PJA42+#REF!+PJA59,"")</f>
        <v/>
      </c>
      <c r="PJB62" s="87" t="str">
        <f>IF(ISNUMBER(outYear),PJB37+PJB42+#REF!+PJB59,"")</f>
        <v/>
      </c>
      <c r="PJC62" s="87" t="str">
        <f>IF(ISNUMBER(outYear),PJC37+PJC42+#REF!+PJC59,"")</f>
        <v/>
      </c>
      <c r="PJD62" s="87" t="str">
        <f>IF(ISNUMBER(outYear),PJD37+PJD42+#REF!+PJD59,"")</f>
        <v/>
      </c>
      <c r="PJE62" s="87" t="str">
        <f>IF(ISNUMBER(outYear),PJE37+PJE42+#REF!+PJE59,"")</f>
        <v/>
      </c>
      <c r="PJF62" s="87" t="str">
        <f>IF(ISNUMBER(outYear),PJF37+PJF42+#REF!+PJF59,"")</f>
        <v/>
      </c>
      <c r="PJG62" s="87" t="str">
        <f>IF(ISNUMBER(outYear),PJG37+PJG42+#REF!+PJG59,"")</f>
        <v/>
      </c>
      <c r="PJH62" s="87" t="str">
        <f>IF(ISNUMBER(outYear),PJH37+PJH42+#REF!+PJH59,"")</f>
        <v/>
      </c>
      <c r="PJI62" s="87" t="str">
        <f>IF(ISNUMBER(outYear),PJI37+PJI42+#REF!+PJI59,"")</f>
        <v/>
      </c>
      <c r="PJJ62" s="87" t="str">
        <f>IF(ISNUMBER(outYear),PJJ37+PJJ42+#REF!+PJJ59,"")</f>
        <v/>
      </c>
      <c r="PJK62" s="87" t="str">
        <f>IF(ISNUMBER(outYear),PJK37+PJK42+#REF!+PJK59,"")</f>
        <v/>
      </c>
      <c r="PJL62" s="87" t="str">
        <f>IF(ISNUMBER(outYear),PJL37+PJL42+#REF!+PJL59,"")</f>
        <v/>
      </c>
      <c r="PJM62" s="87" t="str">
        <f>IF(ISNUMBER(outYear),PJM37+PJM42+#REF!+PJM59,"")</f>
        <v/>
      </c>
      <c r="PJN62" s="87" t="str">
        <f>IF(ISNUMBER(outYear),PJN37+PJN42+#REF!+PJN59,"")</f>
        <v/>
      </c>
      <c r="PJO62" s="87" t="str">
        <f>IF(ISNUMBER(outYear),PJO37+PJO42+#REF!+PJO59,"")</f>
        <v/>
      </c>
      <c r="PJP62" s="87" t="str">
        <f>IF(ISNUMBER(outYear),PJP37+PJP42+#REF!+PJP59,"")</f>
        <v/>
      </c>
      <c r="PJQ62" s="87" t="str">
        <f>IF(ISNUMBER(outYear),PJQ37+PJQ42+#REF!+PJQ59,"")</f>
        <v/>
      </c>
      <c r="PJR62" s="87" t="str">
        <f>IF(ISNUMBER(outYear),PJR37+PJR42+#REF!+PJR59,"")</f>
        <v/>
      </c>
      <c r="PJS62" s="87" t="str">
        <f>IF(ISNUMBER(outYear),PJS37+PJS42+#REF!+PJS59,"")</f>
        <v/>
      </c>
      <c r="PJT62" s="87" t="str">
        <f>IF(ISNUMBER(outYear),PJT37+PJT42+#REF!+PJT59,"")</f>
        <v/>
      </c>
      <c r="PJU62" s="87" t="str">
        <f>IF(ISNUMBER(outYear),PJU37+PJU42+#REF!+PJU59,"")</f>
        <v/>
      </c>
      <c r="PJV62" s="87" t="str">
        <f>IF(ISNUMBER(outYear),PJV37+PJV42+#REF!+PJV59,"")</f>
        <v/>
      </c>
      <c r="PJW62" s="87" t="str">
        <f>IF(ISNUMBER(outYear),PJW37+PJW42+#REF!+PJW59,"")</f>
        <v/>
      </c>
      <c r="PJX62" s="87" t="str">
        <f>IF(ISNUMBER(outYear),PJX37+PJX42+#REF!+PJX59,"")</f>
        <v/>
      </c>
      <c r="PJY62" s="87" t="str">
        <f>IF(ISNUMBER(outYear),PJY37+PJY42+#REF!+PJY59,"")</f>
        <v/>
      </c>
      <c r="PJZ62" s="87" t="str">
        <f>IF(ISNUMBER(outYear),PJZ37+PJZ42+#REF!+PJZ59,"")</f>
        <v/>
      </c>
      <c r="PKA62" s="87" t="str">
        <f>IF(ISNUMBER(outYear),PKA37+PKA42+#REF!+PKA59,"")</f>
        <v/>
      </c>
      <c r="PKB62" s="87" t="str">
        <f>IF(ISNUMBER(outYear),PKB37+PKB42+#REF!+PKB59,"")</f>
        <v/>
      </c>
      <c r="PKC62" s="87" t="str">
        <f>IF(ISNUMBER(outYear),PKC37+PKC42+#REF!+PKC59,"")</f>
        <v/>
      </c>
      <c r="PKD62" s="87" t="str">
        <f>IF(ISNUMBER(outYear),PKD37+PKD42+#REF!+PKD59,"")</f>
        <v/>
      </c>
      <c r="PKE62" s="87" t="str">
        <f>IF(ISNUMBER(outYear),PKE37+PKE42+#REF!+PKE59,"")</f>
        <v/>
      </c>
      <c r="PKF62" s="87" t="str">
        <f>IF(ISNUMBER(outYear),PKF37+PKF42+#REF!+PKF59,"")</f>
        <v/>
      </c>
      <c r="PKG62" s="87" t="str">
        <f>IF(ISNUMBER(outYear),PKG37+PKG42+#REF!+PKG59,"")</f>
        <v/>
      </c>
      <c r="PKH62" s="87" t="str">
        <f>IF(ISNUMBER(outYear),PKH37+PKH42+#REF!+PKH59,"")</f>
        <v/>
      </c>
      <c r="PKI62" s="87" t="str">
        <f>IF(ISNUMBER(outYear),PKI37+PKI42+#REF!+PKI59,"")</f>
        <v/>
      </c>
      <c r="PKJ62" s="87" t="str">
        <f>IF(ISNUMBER(outYear),PKJ37+PKJ42+#REF!+PKJ59,"")</f>
        <v/>
      </c>
      <c r="PKK62" s="87" t="str">
        <f>IF(ISNUMBER(outYear),PKK37+PKK42+#REF!+PKK59,"")</f>
        <v/>
      </c>
      <c r="PKL62" s="87" t="str">
        <f>IF(ISNUMBER(outYear),PKL37+PKL42+#REF!+PKL59,"")</f>
        <v/>
      </c>
      <c r="PKM62" s="87" t="str">
        <f>IF(ISNUMBER(outYear),PKM37+PKM42+#REF!+PKM59,"")</f>
        <v/>
      </c>
      <c r="PKN62" s="87" t="str">
        <f>IF(ISNUMBER(outYear),PKN37+PKN42+#REF!+PKN59,"")</f>
        <v/>
      </c>
      <c r="PKO62" s="87" t="str">
        <f>IF(ISNUMBER(outYear),PKO37+PKO42+#REF!+PKO59,"")</f>
        <v/>
      </c>
      <c r="PKP62" s="87" t="str">
        <f>IF(ISNUMBER(outYear),PKP37+PKP42+#REF!+PKP59,"")</f>
        <v/>
      </c>
      <c r="PKQ62" s="87" t="str">
        <f>IF(ISNUMBER(outYear),PKQ37+PKQ42+#REF!+PKQ59,"")</f>
        <v/>
      </c>
      <c r="PKR62" s="87" t="str">
        <f>IF(ISNUMBER(outYear),PKR37+PKR42+#REF!+PKR59,"")</f>
        <v/>
      </c>
      <c r="PKS62" s="87" t="str">
        <f>IF(ISNUMBER(outYear),PKS37+PKS42+#REF!+PKS59,"")</f>
        <v/>
      </c>
      <c r="PKT62" s="87" t="str">
        <f>IF(ISNUMBER(outYear),PKT37+PKT42+#REF!+PKT59,"")</f>
        <v/>
      </c>
      <c r="PKU62" s="87" t="str">
        <f>IF(ISNUMBER(outYear),PKU37+PKU42+#REF!+PKU59,"")</f>
        <v/>
      </c>
      <c r="PKV62" s="87" t="str">
        <f>IF(ISNUMBER(outYear),PKV37+PKV42+#REF!+PKV59,"")</f>
        <v/>
      </c>
      <c r="PKW62" s="87" t="str">
        <f>IF(ISNUMBER(outYear),PKW37+PKW42+#REF!+PKW59,"")</f>
        <v/>
      </c>
      <c r="PKX62" s="87" t="str">
        <f>IF(ISNUMBER(outYear),PKX37+PKX42+#REF!+PKX59,"")</f>
        <v/>
      </c>
      <c r="PKY62" s="87" t="str">
        <f>IF(ISNUMBER(outYear),PKY37+PKY42+#REF!+PKY59,"")</f>
        <v/>
      </c>
      <c r="PKZ62" s="87" t="str">
        <f>IF(ISNUMBER(outYear),PKZ37+PKZ42+#REF!+PKZ59,"")</f>
        <v/>
      </c>
      <c r="PLA62" s="87" t="str">
        <f>IF(ISNUMBER(outYear),PLA37+PLA42+#REF!+PLA59,"")</f>
        <v/>
      </c>
      <c r="PLB62" s="87" t="str">
        <f>IF(ISNUMBER(outYear),PLB37+PLB42+#REF!+PLB59,"")</f>
        <v/>
      </c>
      <c r="PLC62" s="87" t="str">
        <f>IF(ISNUMBER(outYear),PLC37+PLC42+#REF!+PLC59,"")</f>
        <v/>
      </c>
      <c r="PLD62" s="87" t="str">
        <f>IF(ISNUMBER(outYear),PLD37+PLD42+#REF!+PLD59,"")</f>
        <v/>
      </c>
      <c r="PLE62" s="87" t="str">
        <f>IF(ISNUMBER(outYear),PLE37+PLE42+#REF!+PLE59,"")</f>
        <v/>
      </c>
      <c r="PLF62" s="87" t="str">
        <f>IF(ISNUMBER(outYear),PLF37+PLF42+#REF!+PLF59,"")</f>
        <v/>
      </c>
      <c r="PLG62" s="87" t="str">
        <f>IF(ISNUMBER(outYear),PLG37+PLG42+#REF!+PLG59,"")</f>
        <v/>
      </c>
      <c r="PLH62" s="87" t="str">
        <f>IF(ISNUMBER(outYear),PLH37+PLH42+#REF!+PLH59,"")</f>
        <v/>
      </c>
      <c r="PLI62" s="87" t="str">
        <f>IF(ISNUMBER(outYear),PLI37+PLI42+#REF!+PLI59,"")</f>
        <v/>
      </c>
      <c r="PLJ62" s="87" t="str">
        <f>IF(ISNUMBER(outYear),PLJ37+PLJ42+#REF!+PLJ59,"")</f>
        <v/>
      </c>
      <c r="PLK62" s="87" t="str">
        <f>IF(ISNUMBER(outYear),PLK37+PLK42+#REF!+PLK59,"")</f>
        <v/>
      </c>
      <c r="PLL62" s="87" t="str">
        <f>IF(ISNUMBER(outYear),PLL37+PLL42+#REF!+PLL59,"")</f>
        <v/>
      </c>
      <c r="PLM62" s="87" t="str">
        <f>IF(ISNUMBER(outYear),PLM37+PLM42+#REF!+PLM59,"")</f>
        <v/>
      </c>
      <c r="PLN62" s="87" t="str">
        <f>IF(ISNUMBER(outYear),PLN37+PLN42+#REF!+PLN59,"")</f>
        <v/>
      </c>
      <c r="PLO62" s="87" t="str">
        <f>IF(ISNUMBER(outYear),PLO37+PLO42+#REF!+PLO59,"")</f>
        <v/>
      </c>
      <c r="PLP62" s="87" t="str">
        <f>IF(ISNUMBER(outYear),PLP37+PLP42+#REF!+PLP59,"")</f>
        <v/>
      </c>
      <c r="PLQ62" s="87" t="str">
        <f>IF(ISNUMBER(outYear),PLQ37+PLQ42+#REF!+PLQ59,"")</f>
        <v/>
      </c>
      <c r="PLR62" s="87" t="str">
        <f>IF(ISNUMBER(outYear),PLR37+PLR42+#REF!+PLR59,"")</f>
        <v/>
      </c>
      <c r="PLS62" s="87" t="str">
        <f>IF(ISNUMBER(outYear),PLS37+PLS42+#REF!+PLS59,"")</f>
        <v/>
      </c>
      <c r="PLT62" s="87" t="str">
        <f>IF(ISNUMBER(outYear),PLT37+PLT42+#REF!+PLT59,"")</f>
        <v/>
      </c>
      <c r="PLU62" s="87" t="str">
        <f>IF(ISNUMBER(outYear),PLU37+PLU42+#REF!+PLU59,"")</f>
        <v/>
      </c>
      <c r="PLV62" s="87" t="str">
        <f>IF(ISNUMBER(outYear),PLV37+PLV42+#REF!+PLV59,"")</f>
        <v/>
      </c>
      <c r="PLW62" s="87" t="str">
        <f>IF(ISNUMBER(outYear),PLW37+PLW42+#REF!+PLW59,"")</f>
        <v/>
      </c>
      <c r="PLX62" s="87" t="str">
        <f>IF(ISNUMBER(outYear),PLX37+PLX42+#REF!+PLX59,"")</f>
        <v/>
      </c>
      <c r="PLY62" s="87" t="str">
        <f>IF(ISNUMBER(outYear),PLY37+PLY42+#REF!+PLY59,"")</f>
        <v/>
      </c>
      <c r="PLZ62" s="87" t="str">
        <f>IF(ISNUMBER(outYear),PLZ37+PLZ42+#REF!+PLZ59,"")</f>
        <v/>
      </c>
      <c r="PMA62" s="87" t="str">
        <f>IF(ISNUMBER(outYear),PMA37+PMA42+#REF!+PMA59,"")</f>
        <v/>
      </c>
      <c r="PMB62" s="87" t="str">
        <f>IF(ISNUMBER(outYear),PMB37+PMB42+#REF!+PMB59,"")</f>
        <v/>
      </c>
      <c r="PMC62" s="87" t="str">
        <f>IF(ISNUMBER(outYear),PMC37+PMC42+#REF!+PMC59,"")</f>
        <v/>
      </c>
      <c r="PMD62" s="87" t="str">
        <f>IF(ISNUMBER(outYear),PMD37+PMD42+#REF!+PMD59,"")</f>
        <v/>
      </c>
      <c r="PME62" s="87" t="str">
        <f>IF(ISNUMBER(outYear),PME37+PME42+#REF!+PME59,"")</f>
        <v/>
      </c>
      <c r="PMF62" s="87" t="str">
        <f>IF(ISNUMBER(outYear),PMF37+PMF42+#REF!+PMF59,"")</f>
        <v/>
      </c>
      <c r="PMG62" s="87" t="str">
        <f>IF(ISNUMBER(outYear),PMG37+PMG42+#REF!+PMG59,"")</f>
        <v/>
      </c>
      <c r="PMH62" s="87" t="str">
        <f>IF(ISNUMBER(outYear),PMH37+PMH42+#REF!+PMH59,"")</f>
        <v/>
      </c>
      <c r="PMI62" s="87" t="str">
        <f>IF(ISNUMBER(outYear),PMI37+PMI42+#REF!+PMI59,"")</f>
        <v/>
      </c>
      <c r="PMJ62" s="87" t="str">
        <f>IF(ISNUMBER(outYear),PMJ37+PMJ42+#REF!+PMJ59,"")</f>
        <v/>
      </c>
      <c r="PMK62" s="87" t="str">
        <f>IF(ISNUMBER(outYear),PMK37+PMK42+#REF!+PMK59,"")</f>
        <v/>
      </c>
      <c r="PML62" s="87" t="str">
        <f>IF(ISNUMBER(outYear),PML37+PML42+#REF!+PML59,"")</f>
        <v/>
      </c>
      <c r="PMM62" s="87" t="str">
        <f>IF(ISNUMBER(outYear),PMM37+PMM42+#REF!+PMM59,"")</f>
        <v/>
      </c>
      <c r="PMN62" s="87" t="str">
        <f>IF(ISNUMBER(outYear),PMN37+PMN42+#REF!+PMN59,"")</f>
        <v/>
      </c>
      <c r="PMO62" s="87" t="str">
        <f>IF(ISNUMBER(outYear),PMO37+PMO42+#REF!+PMO59,"")</f>
        <v/>
      </c>
      <c r="PMP62" s="87" t="str">
        <f>IF(ISNUMBER(outYear),PMP37+PMP42+#REF!+PMP59,"")</f>
        <v/>
      </c>
      <c r="PMQ62" s="87" t="str">
        <f>IF(ISNUMBER(outYear),PMQ37+PMQ42+#REF!+PMQ59,"")</f>
        <v/>
      </c>
      <c r="PMR62" s="87" t="str">
        <f>IF(ISNUMBER(outYear),PMR37+PMR42+#REF!+PMR59,"")</f>
        <v/>
      </c>
      <c r="PMS62" s="87" t="str">
        <f>IF(ISNUMBER(outYear),PMS37+PMS42+#REF!+PMS59,"")</f>
        <v/>
      </c>
      <c r="PMT62" s="87" t="str">
        <f>IF(ISNUMBER(outYear),PMT37+PMT42+#REF!+PMT59,"")</f>
        <v/>
      </c>
      <c r="PMU62" s="87" t="str">
        <f>IF(ISNUMBER(outYear),PMU37+PMU42+#REF!+PMU59,"")</f>
        <v/>
      </c>
      <c r="PMV62" s="87" t="str">
        <f>IF(ISNUMBER(outYear),PMV37+PMV42+#REF!+PMV59,"")</f>
        <v/>
      </c>
      <c r="PMW62" s="87" t="str">
        <f>IF(ISNUMBER(outYear),PMW37+PMW42+#REF!+PMW59,"")</f>
        <v/>
      </c>
      <c r="PMX62" s="87" t="str">
        <f>IF(ISNUMBER(outYear),PMX37+PMX42+#REF!+PMX59,"")</f>
        <v/>
      </c>
      <c r="PMY62" s="87" t="str">
        <f>IF(ISNUMBER(outYear),PMY37+PMY42+#REF!+PMY59,"")</f>
        <v/>
      </c>
      <c r="PMZ62" s="87" t="str">
        <f>IF(ISNUMBER(outYear),PMZ37+PMZ42+#REF!+PMZ59,"")</f>
        <v/>
      </c>
      <c r="PNA62" s="87" t="str">
        <f>IF(ISNUMBER(outYear),PNA37+PNA42+#REF!+PNA59,"")</f>
        <v/>
      </c>
      <c r="PNB62" s="87" t="str">
        <f>IF(ISNUMBER(outYear),PNB37+PNB42+#REF!+PNB59,"")</f>
        <v/>
      </c>
      <c r="PNC62" s="87" t="str">
        <f>IF(ISNUMBER(outYear),PNC37+PNC42+#REF!+PNC59,"")</f>
        <v/>
      </c>
      <c r="PND62" s="87" t="str">
        <f>IF(ISNUMBER(outYear),PND37+PND42+#REF!+PND59,"")</f>
        <v/>
      </c>
      <c r="PNE62" s="87" t="str">
        <f>IF(ISNUMBER(outYear),PNE37+PNE42+#REF!+PNE59,"")</f>
        <v/>
      </c>
      <c r="PNF62" s="87" t="str">
        <f>IF(ISNUMBER(outYear),PNF37+PNF42+#REF!+PNF59,"")</f>
        <v/>
      </c>
      <c r="PNG62" s="87" t="str">
        <f>IF(ISNUMBER(outYear),PNG37+PNG42+#REF!+PNG59,"")</f>
        <v/>
      </c>
      <c r="PNH62" s="87" t="str">
        <f>IF(ISNUMBER(outYear),PNH37+PNH42+#REF!+PNH59,"")</f>
        <v/>
      </c>
      <c r="PNI62" s="87" t="str">
        <f>IF(ISNUMBER(outYear),PNI37+PNI42+#REF!+PNI59,"")</f>
        <v/>
      </c>
      <c r="PNJ62" s="87" t="str">
        <f>IF(ISNUMBER(outYear),PNJ37+PNJ42+#REF!+PNJ59,"")</f>
        <v/>
      </c>
      <c r="PNK62" s="87" t="str">
        <f>IF(ISNUMBER(outYear),PNK37+PNK42+#REF!+PNK59,"")</f>
        <v/>
      </c>
      <c r="PNL62" s="87" t="str">
        <f>IF(ISNUMBER(outYear),PNL37+PNL42+#REF!+PNL59,"")</f>
        <v/>
      </c>
      <c r="PNM62" s="87" t="str">
        <f>IF(ISNUMBER(outYear),PNM37+PNM42+#REF!+PNM59,"")</f>
        <v/>
      </c>
      <c r="PNN62" s="87" t="str">
        <f>IF(ISNUMBER(outYear),PNN37+PNN42+#REF!+PNN59,"")</f>
        <v/>
      </c>
      <c r="PNO62" s="87" t="str">
        <f>IF(ISNUMBER(outYear),PNO37+PNO42+#REF!+PNO59,"")</f>
        <v/>
      </c>
      <c r="PNP62" s="87" t="str">
        <f>IF(ISNUMBER(outYear),PNP37+PNP42+#REF!+PNP59,"")</f>
        <v/>
      </c>
      <c r="PNQ62" s="87" t="str">
        <f>IF(ISNUMBER(outYear),PNQ37+PNQ42+#REF!+PNQ59,"")</f>
        <v/>
      </c>
      <c r="PNR62" s="87" t="str">
        <f>IF(ISNUMBER(outYear),PNR37+PNR42+#REF!+PNR59,"")</f>
        <v/>
      </c>
      <c r="PNS62" s="87" t="str">
        <f>IF(ISNUMBER(outYear),PNS37+PNS42+#REF!+PNS59,"")</f>
        <v/>
      </c>
      <c r="PNT62" s="87" t="str">
        <f>IF(ISNUMBER(outYear),PNT37+PNT42+#REF!+PNT59,"")</f>
        <v/>
      </c>
      <c r="PNU62" s="87" t="str">
        <f>IF(ISNUMBER(outYear),PNU37+PNU42+#REF!+PNU59,"")</f>
        <v/>
      </c>
      <c r="PNV62" s="87" t="str">
        <f>IF(ISNUMBER(outYear),PNV37+PNV42+#REF!+PNV59,"")</f>
        <v/>
      </c>
      <c r="PNW62" s="87" t="str">
        <f>IF(ISNUMBER(outYear),PNW37+PNW42+#REF!+PNW59,"")</f>
        <v/>
      </c>
      <c r="PNX62" s="87" t="str">
        <f>IF(ISNUMBER(outYear),PNX37+PNX42+#REF!+PNX59,"")</f>
        <v/>
      </c>
      <c r="PNY62" s="87" t="str">
        <f>IF(ISNUMBER(outYear),PNY37+PNY42+#REF!+PNY59,"")</f>
        <v/>
      </c>
      <c r="PNZ62" s="87" t="str">
        <f>IF(ISNUMBER(outYear),PNZ37+PNZ42+#REF!+PNZ59,"")</f>
        <v/>
      </c>
      <c r="POA62" s="87" t="str">
        <f>IF(ISNUMBER(outYear),POA37+POA42+#REF!+POA59,"")</f>
        <v/>
      </c>
      <c r="POB62" s="87" t="str">
        <f>IF(ISNUMBER(outYear),POB37+POB42+#REF!+POB59,"")</f>
        <v/>
      </c>
      <c r="POC62" s="87" t="str">
        <f>IF(ISNUMBER(outYear),POC37+POC42+#REF!+POC59,"")</f>
        <v/>
      </c>
      <c r="POD62" s="87" t="str">
        <f>IF(ISNUMBER(outYear),POD37+POD42+#REF!+POD59,"")</f>
        <v/>
      </c>
      <c r="POE62" s="87" t="str">
        <f>IF(ISNUMBER(outYear),POE37+POE42+#REF!+POE59,"")</f>
        <v/>
      </c>
      <c r="POF62" s="87" t="str">
        <f>IF(ISNUMBER(outYear),POF37+POF42+#REF!+POF59,"")</f>
        <v/>
      </c>
      <c r="POG62" s="87" t="str">
        <f>IF(ISNUMBER(outYear),POG37+POG42+#REF!+POG59,"")</f>
        <v/>
      </c>
      <c r="POH62" s="87" t="str">
        <f>IF(ISNUMBER(outYear),POH37+POH42+#REF!+POH59,"")</f>
        <v/>
      </c>
      <c r="POI62" s="87" t="str">
        <f>IF(ISNUMBER(outYear),POI37+POI42+#REF!+POI59,"")</f>
        <v/>
      </c>
      <c r="POJ62" s="87" t="str">
        <f>IF(ISNUMBER(outYear),POJ37+POJ42+#REF!+POJ59,"")</f>
        <v/>
      </c>
      <c r="POK62" s="87" t="str">
        <f>IF(ISNUMBER(outYear),POK37+POK42+#REF!+POK59,"")</f>
        <v/>
      </c>
      <c r="POL62" s="87" t="str">
        <f>IF(ISNUMBER(outYear),POL37+POL42+#REF!+POL59,"")</f>
        <v/>
      </c>
      <c r="POM62" s="87" t="str">
        <f>IF(ISNUMBER(outYear),POM37+POM42+#REF!+POM59,"")</f>
        <v/>
      </c>
      <c r="PON62" s="87" t="str">
        <f>IF(ISNUMBER(outYear),PON37+PON42+#REF!+PON59,"")</f>
        <v/>
      </c>
      <c r="POO62" s="87" t="str">
        <f>IF(ISNUMBER(outYear),POO37+POO42+#REF!+POO59,"")</f>
        <v/>
      </c>
      <c r="POP62" s="87" t="str">
        <f>IF(ISNUMBER(outYear),POP37+POP42+#REF!+POP59,"")</f>
        <v/>
      </c>
      <c r="POQ62" s="87" t="str">
        <f>IF(ISNUMBER(outYear),POQ37+POQ42+#REF!+POQ59,"")</f>
        <v/>
      </c>
      <c r="POR62" s="87" t="str">
        <f>IF(ISNUMBER(outYear),POR37+POR42+#REF!+POR59,"")</f>
        <v/>
      </c>
      <c r="POS62" s="87" t="str">
        <f>IF(ISNUMBER(outYear),POS37+POS42+#REF!+POS59,"")</f>
        <v/>
      </c>
      <c r="POT62" s="87" t="str">
        <f>IF(ISNUMBER(outYear),POT37+POT42+#REF!+POT59,"")</f>
        <v/>
      </c>
      <c r="POU62" s="87" t="str">
        <f>IF(ISNUMBER(outYear),POU37+POU42+#REF!+POU59,"")</f>
        <v/>
      </c>
      <c r="POV62" s="87" t="str">
        <f>IF(ISNUMBER(outYear),POV37+POV42+#REF!+POV59,"")</f>
        <v/>
      </c>
      <c r="POW62" s="87" t="str">
        <f>IF(ISNUMBER(outYear),POW37+POW42+#REF!+POW59,"")</f>
        <v/>
      </c>
      <c r="POX62" s="87" t="str">
        <f>IF(ISNUMBER(outYear),POX37+POX42+#REF!+POX59,"")</f>
        <v/>
      </c>
      <c r="POY62" s="87" t="str">
        <f>IF(ISNUMBER(outYear),POY37+POY42+#REF!+POY59,"")</f>
        <v/>
      </c>
      <c r="POZ62" s="87" t="str">
        <f>IF(ISNUMBER(outYear),POZ37+POZ42+#REF!+POZ59,"")</f>
        <v/>
      </c>
      <c r="PPA62" s="87" t="str">
        <f>IF(ISNUMBER(outYear),PPA37+PPA42+#REF!+PPA59,"")</f>
        <v/>
      </c>
      <c r="PPB62" s="87" t="str">
        <f>IF(ISNUMBER(outYear),PPB37+PPB42+#REF!+PPB59,"")</f>
        <v/>
      </c>
      <c r="PPC62" s="87" t="str">
        <f>IF(ISNUMBER(outYear),PPC37+PPC42+#REF!+PPC59,"")</f>
        <v/>
      </c>
      <c r="PPD62" s="87" t="str">
        <f>IF(ISNUMBER(outYear),PPD37+PPD42+#REF!+PPD59,"")</f>
        <v/>
      </c>
      <c r="PPE62" s="87" t="str">
        <f>IF(ISNUMBER(outYear),PPE37+PPE42+#REF!+PPE59,"")</f>
        <v/>
      </c>
      <c r="PPF62" s="87" t="str">
        <f>IF(ISNUMBER(outYear),PPF37+PPF42+#REF!+PPF59,"")</f>
        <v/>
      </c>
      <c r="PPG62" s="87" t="str">
        <f>IF(ISNUMBER(outYear),PPG37+PPG42+#REF!+PPG59,"")</f>
        <v/>
      </c>
      <c r="PPH62" s="87" t="str">
        <f>IF(ISNUMBER(outYear),PPH37+PPH42+#REF!+PPH59,"")</f>
        <v/>
      </c>
      <c r="PPI62" s="87" t="str">
        <f>IF(ISNUMBER(outYear),PPI37+PPI42+#REF!+PPI59,"")</f>
        <v/>
      </c>
      <c r="PPJ62" s="87" t="str">
        <f>IF(ISNUMBER(outYear),PPJ37+PPJ42+#REF!+PPJ59,"")</f>
        <v/>
      </c>
      <c r="PPK62" s="87" t="str">
        <f>IF(ISNUMBER(outYear),PPK37+PPK42+#REF!+PPK59,"")</f>
        <v/>
      </c>
      <c r="PPL62" s="87" t="str">
        <f>IF(ISNUMBER(outYear),PPL37+PPL42+#REF!+PPL59,"")</f>
        <v/>
      </c>
      <c r="PPM62" s="87" t="str">
        <f>IF(ISNUMBER(outYear),PPM37+PPM42+#REF!+PPM59,"")</f>
        <v/>
      </c>
      <c r="PPN62" s="87" t="str">
        <f>IF(ISNUMBER(outYear),PPN37+PPN42+#REF!+PPN59,"")</f>
        <v/>
      </c>
      <c r="PPO62" s="87" t="str">
        <f>IF(ISNUMBER(outYear),PPO37+PPO42+#REF!+PPO59,"")</f>
        <v/>
      </c>
      <c r="PPP62" s="87" t="str">
        <f>IF(ISNUMBER(outYear),PPP37+PPP42+#REF!+PPP59,"")</f>
        <v/>
      </c>
      <c r="PPQ62" s="87" t="str">
        <f>IF(ISNUMBER(outYear),PPQ37+PPQ42+#REF!+PPQ59,"")</f>
        <v/>
      </c>
      <c r="PPR62" s="87" t="str">
        <f>IF(ISNUMBER(outYear),PPR37+PPR42+#REF!+PPR59,"")</f>
        <v/>
      </c>
      <c r="PPS62" s="87" t="str">
        <f>IF(ISNUMBER(outYear),PPS37+PPS42+#REF!+PPS59,"")</f>
        <v/>
      </c>
      <c r="PPT62" s="87" t="str">
        <f>IF(ISNUMBER(outYear),PPT37+PPT42+#REF!+PPT59,"")</f>
        <v/>
      </c>
      <c r="PPU62" s="87" t="str">
        <f>IF(ISNUMBER(outYear),PPU37+PPU42+#REF!+PPU59,"")</f>
        <v/>
      </c>
      <c r="PPV62" s="87" t="str">
        <f>IF(ISNUMBER(outYear),PPV37+PPV42+#REF!+PPV59,"")</f>
        <v/>
      </c>
      <c r="PPW62" s="87" t="str">
        <f>IF(ISNUMBER(outYear),PPW37+PPW42+#REF!+PPW59,"")</f>
        <v/>
      </c>
      <c r="PPX62" s="87" t="str">
        <f>IF(ISNUMBER(outYear),PPX37+PPX42+#REF!+PPX59,"")</f>
        <v/>
      </c>
      <c r="PPY62" s="87" t="str">
        <f>IF(ISNUMBER(outYear),PPY37+PPY42+#REF!+PPY59,"")</f>
        <v/>
      </c>
      <c r="PPZ62" s="87" t="str">
        <f>IF(ISNUMBER(outYear),PPZ37+PPZ42+#REF!+PPZ59,"")</f>
        <v/>
      </c>
      <c r="PQA62" s="87" t="str">
        <f>IF(ISNUMBER(outYear),PQA37+PQA42+#REF!+PQA59,"")</f>
        <v/>
      </c>
      <c r="PQB62" s="87" t="str">
        <f>IF(ISNUMBER(outYear),PQB37+PQB42+#REF!+PQB59,"")</f>
        <v/>
      </c>
      <c r="PQC62" s="87" t="str">
        <f>IF(ISNUMBER(outYear),PQC37+PQC42+#REF!+PQC59,"")</f>
        <v/>
      </c>
      <c r="PQD62" s="87" t="str">
        <f>IF(ISNUMBER(outYear),PQD37+PQD42+#REF!+PQD59,"")</f>
        <v/>
      </c>
      <c r="PQE62" s="87" t="str">
        <f>IF(ISNUMBER(outYear),PQE37+PQE42+#REF!+PQE59,"")</f>
        <v/>
      </c>
      <c r="PQF62" s="87" t="str">
        <f>IF(ISNUMBER(outYear),PQF37+PQF42+#REF!+PQF59,"")</f>
        <v/>
      </c>
      <c r="PQG62" s="87" t="str">
        <f>IF(ISNUMBER(outYear),PQG37+PQG42+#REF!+PQG59,"")</f>
        <v/>
      </c>
      <c r="PQH62" s="87" t="str">
        <f>IF(ISNUMBER(outYear),PQH37+PQH42+#REF!+PQH59,"")</f>
        <v/>
      </c>
      <c r="PQI62" s="87" t="str">
        <f>IF(ISNUMBER(outYear),PQI37+PQI42+#REF!+PQI59,"")</f>
        <v/>
      </c>
      <c r="PQJ62" s="87" t="str">
        <f>IF(ISNUMBER(outYear),PQJ37+PQJ42+#REF!+PQJ59,"")</f>
        <v/>
      </c>
      <c r="PQK62" s="87" t="str">
        <f>IF(ISNUMBER(outYear),PQK37+PQK42+#REF!+PQK59,"")</f>
        <v/>
      </c>
      <c r="PQL62" s="87" t="str">
        <f>IF(ISNUMBER(outYear),PQL37+PQL42+#REF!+PQL59,"")</f>
        <v/>
      </c>
      <c r="PQM62" s="87" t="str">
        <f>IF(ISNUMBER(outYear),PQM37+PQM42+#REF!+PQM59,"")</f>
        <v/>
      </c>
      <c r="PQN62" s="87" t="str">
        <f>IF(ISNUMBER(outYear),PQN37+PQN42+#REF!+PQN59,"")</f>
        <v/>
      </c>
      <c r="PQO62" s="87" t="str">
        <f>IF(ISNUMBER(outYear),PQO37+PQO42+#REF!+PQO59,"")</f>
        <v/>
      </c>
      <c r="PQP62" s="87" t="str">
        <f>IF(ISNUMBER(outYear),PQP37+PQP42+#REF!+PQP59,"")</f>
        <v/>
      </c>
      <c r="PQQ62" s="87" t="str">
        <f>IF(ISNUMBER(outYear),PQQ37+PQQ42+#REF!+PQQ59,"")</f>
        <v/>
      </c>
      <c r="PQR62" s="87" t="str">
        <f>IF(ISNUMBER(outYear),PQR37+PQR42+#REF!+PQR59,"")</f>
        <v/>
      </c>
      <c r="PQS62" s="87" t="str">
        <f>IF(ISNUMBER(outYear),PQS37+PQS42+#REF!+PQS59,"")</f>
        <v/>
      </c>
      <c r="PQT62" s="87" t="str">
        <f>IF(ISNUMBER(outYear),PQT37+PQT42+#REF!+PQT59,"")</f>
        <v/>
      </c>
      <c r="PQU62" s="87" t="str">
        <f>IF(ISNUMBER(outYear),PQU37+PQU42+#REF!+PQU59,"")</f>
        <v/>
      </c>
      <c r="PQV62" s="87" t="str">
        <f>IF(ISNUMBER(outYear),PQV37+PQV42+#REF!+PQV59,"")</f>
        <v/>
      </c>
      <c r="PQW62" s="87" t="str">
        <f>IF(ISNUMBER(outYear),PQW37+PQW42+#REF!+PQW59,"")</f>
        <v/>
      </c>
      <c r="PQX62" s="87" t="str">
        <f>IF(ISNUMBER(outYear),PQX37+PQX42+#REF!+PQX59,"")</f>
        <v/>
      </c>
      <c r="PQY62" s="87" t="str">
        <f>IF(ISNUMBER(outYear),PQY37+PQY42+#REF!+PQY59,"")</f>
        <v/>
      </c>
      <c r="PQZ62" s="87" t="str">
        <f>IF(ISNUMBER(outYear),PQZ37+PQZ42+#REF!+PQZ59,"")</f>
        <v/>
      </c>
      <c r="PRA62" s="87" t="str">
        <f>IF(ISNUMBER(outYear),PRA37+PRA42+#REF!+PRA59,"")</f>
        <v/>
      </c>
      <c r="PRB62" s="87" t="str">
        <f>IF(ISNUMBER(outYear),PRB37+PRB42+#REF!+PRB59,"")</f>
        <v/>
      </c>
      <c r="PRC62" s="87" t="str">
        <f>IF(ISNUMBER(outYear),PRC37+PRC42+#REF!+PRC59,"")</f>
        <v/>
      </c>
      <c r="PRD62" s="87" t="str">
        <f>IF(ISNUMBER(outYear),PRD37+PRD42+#REF!+PRD59,"")</f>
        <v/>
      </c>
      <c r="PRE62" s="87" t="str">
        <f>IF(ISNUMBER(outYear),PRE37+PRE42+#REF!+PRE59,"")</f>
        <v/>
      </c>
      <c r="PRF62" s="87" t="str">
        <f>IF(ISNUMBER(outYear),PRF37+PRF42+#REF!+PRF59,"")</f>
        <v/>
      </c>
      <c r="PRG62" s="87" t="str">
        <f>IF(ISNUMBER(outYear),PRG37+PRG42+#REF!+PRG59,"")</f>
        <v/>
      </c>
      <c r="PRH62" s="87" t="str">
        <f>IF(ISNUMBER(outYear),PRH37+PRH42+#REF!+PRH59,"")</f>
        <v/>
      </c>
      <c r="PRI62" s="87" t="str">
        <f>IF(ISNUMBER(outYear),PRI37+PRI42+#REF!+PRI59,"")</f>
        <v/>
      </c>
      <c r="PRJ62" s="87" t="str">
        <f>IF(ISNUMBER(outYear),PRJ37+PRJ42+#REF!+PRJ59,"")</f>
        <v/>
      </c>
      <c r="PRK62" s="87" t="str">
        <f>IF(ISNUMBER(outYear),PRK37+PRK42+#REF!+PRK59,"")</f>
        <v/>
      </c>
      <c r="PRL62" s="87" t="str">
        <f>IF(ISNUMBER(outYear),PRL37+PRL42+#REF!+PRL59,"")</f>
        <v/>
      </c>
      <c r="PRM62" s="87" t="str">
        <f>IF(ISNUMBER(outYear),PRM37+PRM42+#REF!+PRM59,"")</f>
        <v/>
      </c>
      <c r="PRN62" s="87" t="str">
        <f>IF(ISNUMBER(outYear),PRN37+PRN42+#REF!+PRN59,"")</f>
        <v/>
      </c>
      <c r="PRO62" s="87" t="str">
        <f>IF(ISNUMBER(outYear),PRO37+PRO42+#REF!+PRO59,"")</f>
        <v/>
      </c>
      <c r="PRP62" s="87" t="str">
        <f>IF(ISNUMBER(outYear),PRP37+PRP42+#REF!+PRP59,"")</f>
        <v/>
      </c>
      <c r="PRQ62" s="87" t="str">
        <f>IF(ISNUMBER(outYear),PRQ37+PRQ42+#REF!+PRQ59,"")</f>
        <v/>
      </c>
      <c r="PRR62" s="87" t="str">
        <f>IF(ISNUMBER(outYear),PRR37+PRR42+#REF!+PRR59,"")</f>
        <v/>
      </c>
      <c r="PRS62" s="87" t="str">
        <f>IF(ISNUMBER(outYear),PRS37+PRS42+#REF!+PRS59,"")</f>
        <v/>
      </c>
      <c r="PRT62" s="87" t="str">
        <f>IF(ISNUMBER(outYear),PRT37+PRT42+#REF!+PRT59,"")</f>
        <v/>
      </c>
      <c r="PRU62" s="87" t="str">
        <f>IF(ISNUMBER(outYear),PRU37+PRU42+#REF!+PRU59,"")</f>
        <v/>
      </c>
      <c r="PRV62" s="87" t="str">
        <f>IF(ISNUMBER(outYear),PRV37+PRV42+#REF!+PRV59,"")</f>
        <v/>
      </c>
      <c r="PRW62" s="87" t="str">
        <f>IF(ISNUMBER(outYear),PRW37+PRW42+#REF!+PRW59,"")</f>
        <v/>
      </c>
      <c r="PRX62" s="87" t="str">
        <f>IF(ISNUMBER(outYear),PRX37+PRX42+#REF!+PRX59,"")</f>
        <v/>
      </c>
      <c r="PRY62" s="87" t="str">
        <f>IF(ISNUMBER(outYear),PRY37+PRY42+#REF!+PRY59,"")</f>
        <v/>
      </c>
      <c r="PRZ62" s="87" t="str">
        <f>IF(ISNUMBER(outYear),PRZ37+PRZ42+#REF!+PRZ59,"")</f>
        <v/>
      </c>
      <c r="PSA62" s="87" t="str">
        <f>IF(ISNUMBER(outYear),PSA37+PSA42+#REF!+PSA59,"")</f>
        <v/>
      </c>
      <c r="PSB62" s="87" t="str">
        <f>IF(ISNUMBER(outYear),PSB37+PSB42+#REF!+PSB59,"")</f>
        <v/>
      </c>
      <c r="PSC62" s="87" t="str">
        <f>IF(ISNUMBER(outYear),PSC37+PSC42+#REF!+PSC59,"")</f>
        <v/>
      </c>
      <c r="PSD62" s="87" t="str">
        <f>IF(ISNUMBER(outYear),PSD37+PSD42+#REF!+PSD59,"")</f>
        <v/>
      </c>
      <c r="PSE62" s="87" t="str">
        <f>IF(ISNUMBER(outYear),PSE37+PSE42+#REF!+PSE59,"")</f>
        <v/>
      </c>
      <c r="PSF62" s="87" t="str">
        <f>IF(ISNUMBER(outYear),PSF37+PSF42+#REF!+PSF59,"")</f>
        <v/>
      </c>
      <c r="PSG62" s="87" t="str">
        <f>IF(ISNUMBER(outYear),PSG37+PSG42+#REF!+PSG59,"")</f>
        <v/>
      </c>
      <c r="PSH62" s="87" t="str">
        <f>IF(ISNUMBER(outYear),PSH37+PSH42+#REF!+PSH59,"")</f>
        <v/>
      </c>
      <c r="PSI62" s="87" t="str">
        <f>IF(ISNUMBER(outYear),PSI37+PSI42+#REF!+PSI59,"")</f>
        <v/>
      </c>
      <c r="PSJ62" s="87" t="str">
        <f>IF(ISNUMBER(outYear),PSJ37+PSJ42+#REF!+PSJ59,"")</f>
        <v/>
      </c>
      <c r="PSK62" s="87" t="str">
        <f>IF(ISNUMBER(outYear),PSK37+PSK42+#REF!+PSK59,"")</f>
        <v/>
      </c>
      <c r="PSL62" s="87" t="str">
        <f>IF(ISNUMBER(outYear),PSL37+PSL42+#REF!+PSL59,"")</f>
        <v/>
      </c>
      <c r="PSM62" s="87" t="str">
        <f>IF(ISNUMBER(outYear),PSM37+PSM42+#REF!+PSM59,"")</f>
        <v/>
      </c>
      <c r="PSN62" s="87" t="str">
        <f>IF(ISNUMBER(outYear),PSN37+PSN42+#REF!+PSN59,"")</f>
        <v/>
      </c>
      <c r="PSO62" s="87" t="str">
        <f>IF(ISNUMBER(outYear),PSO37+PSO42+#REF!+PSO59,"")</f>
        <v/>
      </c>
      <c r="PSP62" s="87" t="str">
        <f>IF(ISNUMBER(outYear),PSP37+PSP42+#REF!+PSP59,"")</f>
        <v/>
      </c>
      <c r="PSQ62" s="87" t="str">
        <f>IF(ISNUMBER(outYear),PSQ37+PSQ42+#REF!+PSQ59,"")</f>
        <v/>
      </c>
      <c r="PSR62" s="87" t="str">
        <f>IF(ISNUMBER(outYear),PSR37+PSR42+#REF!+PSR59,"")</f>
        <v/>
      </c>
      <c r="PSS62" s="87" t="str">
        <f>IF(ISNUMBER(outYear),PSS37+PSS42+#REF!+PSS59,"")</f>
        <v/>
      </c>
      <c r="PST62" s="87" t="str">
        <f>IF(ISNUMBER(outYear),PST37+PST42+#REF!+PST59,"")</f>
        <v/>
      </c>
      <c r="PSU62" s="87" t="str">
        <f>IF(ISNUMBER(outYear),PSU37+PSU42+#REF!+PSU59,"")</f>
        <v/>
      </c>
      <c r="PSV62" s="87" t="str">
        <f>IF(ISNUMBER(outYear),PSV37+PSV42+#REF!+PSV59,"")</f>
        <v/>
      </c>
      <c r="PSW62" s="87" t="str">
        <f>IF(ISNUMBER(outYear),PSW37+PSW42+#REF!+PSW59,"")</f>
        <v/>
      </c>
      <c r="PSX62" s="87" t="str">
        <f>IF(ISNUMBER(outYear),PSX37+PSX42+#REF!+PSX59,"")</f>
        <v/>
      </c>
      <c r="PSY62" s="87" t="str">
        <f>IF(ISNUMBER(outYear),PSY37+PSY42+#REF!+PSY59,"")</f>
        <v/>
      </c>
      <c r="PSZ62" s="87" t="str">
        <f>IF(ISNUMBER(outYear),PSZ37+PSZ42+#REF!+PSZ59,"")</f>
        <v/>
      </c>
      <c r="PTA62" s="87" t="str">
        <f>IF(ISNUMBER(outYear),PTA37+PTA42+#REF!+PTA59,"")</f>
        <v/>
      </c>
      <c r="PTB62" s="87" t="str">
        <f>IF(ISNUMBER(outYear),PTB37+PTB42+#REF!+PTB59,"")</f>
        <v/>
      </c>
      <c r="PTC62" s="87" t="str">
        <f>IF(ISNUMBER(outYear),PTC37+PTC42+#REF!+PTC59,"")</f>
        <v/>
      </c>
      <c r="PTD62" s="87" t="str">
        <f>IF(ISNUMBER(outYear),PTD37+PTD42+#REF!+PTD59,"")</f>
        <v/>
      </c>
      <c r="PTE62" s="87" t="str">
        <f>IF(ISNUMBER(outYear),PTE37+PTE42+#REF!+PTE59,"")</f>
        <v/>
      </c>
      <c r="PTF62" s="87" t="str">
        <f>IF(ISNUMBER(outYear),PTF37+PTF42+#REF!+PTF59,"")</f>
        <v/>
      </c>
      <c r="PTG62" s="87" t="str">
        <f>IF(ISNUMBER(outYear),PTG37+PTG42+#REF!+PTG59,"")</f>
        <v/>
      </c>
      <c r="PTH62" s="87" t="str">
        <f>IF(ISNUMBER(outYear),PTH37+PTH42+#REF!+PTH59,"")</f>
        <v/>
      </c>
      <c r="PTI62" s="87" t="str">
        <f>IF(ISNUMBER(outYear),PTI37+PTI42+#REF!+PTI59,"")</f>
        <v/>
      </c>
      <c r="PTJ62" s="87" t="str">
        <f>IF(ISNUMBER(outYear),PTJ37+PTJ42+#REF!+PTJ59,"")</f>
        <v/>
      </c>
      <c r="PTK62" s="87" t="str">
        <f>IF(ISNUMBER(outYear),PTK37+PTK42+#REF!+PTK59,"")</f>
        <v/>
      </c>
      <c r="PTL62" s="87" t="str">
        <f>IF(ISNUMBER(outYear),PTL37+PTL42+#REF!+PTL59,"")</f>
        <v/>
      </c>
      <c r="PTM62" s="87" t="str">
        <f>IF(ISNUMBER(outYear),PTM37+PTM42+#REF!+PTM59,"")</f>
        <v/>
      </c>
      <c r="PTN62" s="87" t="str">
        <f>IF(ISNUMBER(outYear),PTN37+PTN42+#REF!+PTN59,"")</f>
        <v/>
      </c>
      <c r="PTO62" s="87" t="str">
        <f>IF(ISNUMBER(outYear),PTO37+PTO42+#REF!+PTO59,"")</f>
        <v/>
      </c>
      <c r="PTP62" s="87" t="str">
        <f>IF(ISNUMBER(outYear),PTP37+PTP42+#REF!+PTP59,"")</f>
        <v/>
      </c>
      <c r="PTQ62" s="87" t="str">
        <f>IF(ISNUMBER(outYear),PTQ37+PTQ42+#REF!+PTQ59,"")</f>
        <v/>
      </c>
      <c r="PTR62" s="87" t="str">
        <f>IF(ISNUMBER(outYear),PTR37+PTR42+#REF!+PTR59,"")</f>
        <v/>
      </c>
      <c r="PTS62" s="87" t="str">
        <f>IF(ISNUMBER(outYear),PTS37+PTS42+#REF!+PTS59,"")</f>
        <v/>
      </c>
      <c r="PTT62" s="87" t="str">
        <f>IF(ISNUMBER(outYear),PTT37+PTT42+#REF!+PTT59,"")</f>
        <v/>
      </c>
      <c r="PTU62" s="87" t="str">
        <f>IF(ISNUMBER(outYear),PTU37+PTU42+#REF!+PTU59,"")</f>
        <v/>
      </c>
      <c r="PTV62" s="87" t="str">
        <f>IF(ISNUMBER(outYear),PTV37+PTV42+#REF!+PTV59,"")</f>
        <v/>
      </c>
      <c r="PTW62" s="87" t="str">
        <f>IF(ISNUMBER(outYear),PTW37+PTW42+#REF!+PTW59,"")</f>
        <v/>
      </c>
      <c r="PTX62" s="87" t="str">
        <f>IF(ISNUMBER(outYear),PTX37+PTX42+#REF!+PTX59,"")</f>
        <v/>
      </c>
      <c r="PTY62" s="87" t="str">
        <f>IF(ISNUMBER(outYear),PTY37+PTY42+#REF!+PTY59,"")</f>
        <v/>
      </c>
      <c r="PTZ62" s="87" t="str">
        <f>IF(ISNUMBER(outYear),PTZ37+PTZ42+#REF!+PTZ59,"")</f>
        <v/>
      </c>
      <c r="PUA62" s="87" t="str">
        <f>IF(ISNUMBER(outYear),PUA37+PUA42+#REF!+PUA59,"")</f>
        <v/>
      </c>
      <c r="PUB62" s="87" t="str">
        <f>IF(ISNUMBER(outYear),PUB37+PUB42+#REF!+PUB59,"")</f>
        <v/>
      </c>
      <c r="PUC62" s="87" t="str">
        <f>IF(ISNUMBER(outYear),PUC37+PUC42+#REF!+PUC59,"")</f>
        <v/>
      </c>
      <c r="PUD62" s="87" t="str">
        <f>IF(ISNUMBER(outYear),PUD37+PUD42+#REF!+PUD59,"")</f>
        <v/>
      </c>
      <c r="PUE62" s="87" t="str">
        <f>IF(ISNUMBER(outYear),PUE37+PUE42+#REF!+PUE59,"")</f>
        <v/>
      </c>
      <c r="PUF62" s="87" t="str">
        <f>IF(ISNUMBER(outYear),PUF37+PUF42+#REF!+PUF59,"")</f>
        <v/>
      </c>
      <c r="PUG62" s="87" t="str">
        <f>IF(ISNUMBER(outYear),PUG37+PUG42+#REF!+PUG59,"")</f>
        <v/>
      </c>
      <c r="PUH62" s="87" t="str">
        <f>IF(ISNUMBER(outYear),PUH37+PUH42+#REF!+PUH59,"")</f>
        <v/>
      </c>
      <c r="PUI62" s="87" t="str">
        <f>IF(ISNUMBER(outYear),PUI37+PUI42+#REF!+PUI59,"")</f>
        <v/>
      </c>
      <c r="PUJ62" s="87" t="str">
        <f>IF(ISNUMBER(outYear),PUJ37+PUJ42+#REF!+PUJ59,"")</f>
        <v/>
      </c>
      <c r="PUK62" s="87" t="str">
        <f>IF(ISNUMBER(outYear),PUK37+PUK42+#REF!+PUK59,"")</f>
        <v/>
      </c>
      <c r="PUL62" s="87" t="str">
        <f>IF(ISNUMBER(outYear),PUL37+PUL42+#REF!+PUL59,"")</f>
        <v/>
      </c>
      <c r="PUM62" s="87" t="str">
        <f>IF(ISNUMBER(outYear),PUM37+PUM42+#REF!+PUM59,"")</f>
        <v/>
      </c>
      <c r="PUN62" s="87" t="str">
        <f>IF(ISNUMBER(outYear),PUN37+PUN42+#REF!+PUN59,"")</f>
        <v/>
      </c>
      <c r="PUO62" s="87" t="str">
        <f>IF(ISNUMBER(outYear),PUO37+PUO42+#REF!+PUO59,"")</f>
        <v/>
      </c>
      <c r="PUP62" s="87" t="str">
        <f>IF(ISNUMBER(outYear),PUP37+PUP42+#REF!+PUP59,"")</f>
        <v/>
      </c>
      <c r="PUQ62" s="87" t="str">
        <f>IF(ISNUMBER(outYear),PUQ37+PUQ42+#REF!+PUQ59,"")</f>
        <v/>
      </c>
      <c r="PUR62" s="87" t="str">
        <f>IF(ISNUMBER(outYear),PUR37+PUR42+#REF!+PUR59,"")</f>
        <v/>
      </c>
      <c r="PUS62" s="87" t="str">
        <f>IF(ISNUMBER(outYear),PUS37+PUS42+#REF!+PUS59,"")</f>
        <v/>
      </c>
      <c r="PUT62" s="87" t="str">
        <f>IF(ISNUMBER(outYear),PUT37+PUT42+#REF!+PUT59,"")</f>
        <v/>
      </c>
      <c r="PUU62" s="87" t="str">
        <f>IF(ISNUMBER(outYear),PUU37+PUU42+#REF!+PUU59,"")</f>
        <v/>
      </c>
      <c r="PUV62" s="87" t="str">
        <f>IF(ISNUMBER(outYear),PUV37+PUV42+#REF!+PUV59,"")</f>
        <v/>
      </c>
      <c r="PUW62" s="87" t="str">
        <f>IF(ISNUMBER(outYear),PUW37+PUW42+#REF!+PUW59,"")</f>
        <v/>
      </c>
      <c r="PUX62" s="87" t="str">
        <f>IF(ISNUMBER(outYear),PUX37+PUX42+#REF!+PUX59,"")</f>
        <v/>
      </c>
      <c r="PUY62" s="87" t="str">
        <f>IF(ISNUMBER(outYear),PUY37+PUY42+#REF!+PUY59,"")</f>
        <v/>
      </c>
      <c r="PUZ62" s="87" t="str">
        <f>IF(ISNUMBER(outYear),PUZ37+PUZ42+#REF!+PUZ59,"")</f>
        <v/>
      </c>
      <c r="PVA62" s="87" t="str">
        <f>IF(ISNUMBER(outYear),PVA37+PVA42+#REF!+PVA59,"")</f>
        <v/>
      </c>
      <c r="PVB62" s="87" t="str">
        <f>IF(ISNUMBER(outYear),PVB37+PVB42+#REF!+PVB59,"")</f>
        <v/>
      </c>
      <c r="PVC62" s="87" t="str">
        <f>IF(ISNUMBER(outYear),PVC37+PVC42+#REF!+PVC59,"")</f>
        <v/>
      </c>
      <c r="PVD62" s="87" t="str">
        <f>IF(ISNUMBER(outYear),PVD37+PVD42+#REF!+PVD59,"")</f>
        <v/>
      </c>
      <c r="PVE62" s="87" t="str">
        <f>IF(ISNUMBER(outYear),PVE37+PVE42+#REF!+PVE59,"")</f>
        <v/>
      </c>
      <c r="PVF62" s="87" t="str">
        <f>IF(ISNUMBER(outYear),PVF37+PVF42+#REF!+PVF59,"")</f>
        <v/>
      </c>
      <c r="PVG62" s="87" t="str">
        <f>IF(ISNUMBER(outYear),PVG37+PVG42+#REF!+PVG59,"")</f>
        <v/>
      </c>
      <c r="PVH62" s="87" t="str">
        <f>IF(ISNUMBER(outYear),PVH37+PVH42+#REF!+PVH59,"")</f>
        <v/>
      </c>
      <c r="PVI62" s="87" t="str">
        <f>IF(ISNUMBER(outYear),PVI37+PVI42+#REF!+PVI59,"")</f>
        <v/>
      </c>
      <c r="PVJ62" s="87" t="str">
        <f>IF(ISNUMBER(outYear),PVJ37+PVJ42+#REF!+PVJ59,"")</f>
        <v/>
      </c>
      <c r="PVK62" s="87" t="str">
        <f>IF(ISNUMBER(outYear),PVK37+PVK42+#REF!+PVK59,"")</f>
        <v/>
      </c>
      <c r="PVL62" s="87" t="str">
        <f>IF(ISNUMBER(outYear),PVL37+PVL42+#REF!+PVL59,"")</f>
        <v/>
      </c>
      <c r="PVM62" s="87" t="str">
        <f>IF(ISNUMBER(outYear),PVM37+PVM42+#REF!+PVM59,"")</f>
        <v/>
      </c>
      <c r="PVN62" s="87" t="str">
        <f>IF(ISNUMBER(outYear),PVN37+PVN42+#REF!+PVN59,"")</f>
        <v/>
      </c>
      <c r="PVO62" s="87" t="str">
        <f>IF(ISNUMBER(outYear),PVO37+PVO42+#REF!+PVO59,"")</f>
        <v/>
      </c>
      <c r="PVP62" s="87" t="str">
        <f>IF(ISNUMBER(outYear),PVP37+PVP42+#REF!+PVP59,"")</f>
        <v/>
      </c>
      <c r="PVQ62" s="87" t="str">
        <f>IF(ISNUMBER(outYear),PVQ37+PVQ42+#REF!+PVQ59,"")</f>
        <v/>
      </c>
      <c r="PVR62" s="87" t="str">
        <f>IF(ISNUMBER(outYear),PVR37+PVR42+#REF!+PVR59,"")</f>
        <v/>
      </c>
      <c r="PVS62" s="87" t="str">
        <f>IF(ISNUMBER(outYear),PVS37+PVS42+#REF!+PVS59,"")</f>
        <v/>
      </c>
      <c r="PVT62" s="87" t="str">
        <f>IF(ISNUMBER(outYear),PVT37+PVT42+#REF!+PVT59,"")</f>
        <v/>
      </c>
      <c r="PVU62" s="87" t="str">
        <f>IF(ISNUMBER(outYear),PVU37+PVU42+#REF!+PVU59,"")</f>
        <v/>
      </c>
      <c r="PVV62" s="87" t="str">
        <f>IF(ISNUMBER(outYear),PVV37+PVV42+#REF!+PVV59,"")</f>
        <v/>
      </c>
      <c r="PVW62" s="87" t="str">
        <f>IF(ISNUMBER(outYear),PVW37+PVW42+#REF!+PVW59,"")</f>
        <v/>
      </c>
      <c r="PVX62" s="87" t="str">
        <f>IF(ISNUMBER(outYear),PVX37+PVX42+#REF!+PVX59,"")</f>
        <v/>
      </c>
      <c r="PVY62" s="87" t="str">
        <f>IF(ISNUMBER(outYear),PVY37+PVY42+#REF!+PVY59,"")</f>
        <v/>
      </c>
      <c r="PVZ62" s="87" t="str">
        <f>IF(ISNUMBER(outYear),PVZ37+PVZ42+#REF!+PVZ59,"")</f>
        <v/>
      </c>
      <c r="PWA62" s="87" t="str">
        <f>IF(ISNUMBER(outYear),PWA37+PWA42+#REF!+PWA59,"")</f>
        <v/>
      </c>
      <c r="PWB62" s="87" t="str">
        <f>IF(ISNUMBER(outYear),PWB37+PWB42+#REF!+PWB59,"")</f>
        <v/>
      </c>
      <c r="PWC62" s="87" t="str">
        <f>IF(ISNUMBER(outYear),PWC37+PWC42+#REF!+PWC59,"")</f>
        <v/>
      </c>
      <c r="PWD62" s="87" t="str">
        <f>IF(ISNUMBER(outYear),PWD37+PWD42+#REF!+PWD59,"")</f>
        <v/>
      </c>
      <c r="PWE62" s="87" t="str">
        <f>IF(ISNUMBER(outYear),PWE37+PWE42+#REF!+PWE59,"")</f>
        <v/>
      </c>
      <c r="PWF62" s="87" t="str">
        <f>IF(ISNUMBER(outYear),PWF37+PWF42+#REF!+PWF59,"")</f>
        <v/>
      </c>
      <c r="PWG62" s="87" t="str">
        <f>IF(ISNUMBER(outYear),PWG37+PWG42+#REF!+PWG59,"")</f>
        <v/>
      </c>
      <c r="PWH62" s="87" t="str">
        <f>IF(ISNUMBER(outYear),PWH37+PWH42+#REF!+PWH59,"")</f>
        <v/>
      </c>
      <c r="PWI62" s="87" t="str">
        <f>IF(ISNUMBER(outYear),PWI37+PWI42+#REF!+PWI59,"")</f>
        <v/>
      </c>
      <c r="PWJ62" s="87" t="str">
        <f>IF(ISNUMBER(outYear),PWJ37+PWJ42+#REF!+PWJ59,"")</f>
        <v/>
      </c>
      <c r="PWK62" s="87" t="str">
        <f>IF(ISNUMBER(outYear),PWK37+PWK42+#REF!+PWK59,"")</f>
        <v/>
      </c>
      <c r="PWL62" s="87" t="str">
        <f>IF(ISNUMBER(outYear),PWL37+PWL42+#REF!+PWL59,"")</f>
        <v/>
      </c>
      <c r="PWM62" s="87" t="str">
        <f>IF(ISNUMBER(outYear),PWM37+PWM42+#REF!+PWM59,"")</f>
        <v/>
      </c>
      <c r="PWN62" s="87" t="str">
        <f>IF(ISNUMBER(outYear),PWN37+PWN42+#REF!+PWN59,"")</f>
        <v/>
      </c>
      <c r="PWO62" s="87" t="str">
        <f>IF(ISNUMBER(outYear),PWO37+PWO42+#REF!+PWO59,"")</f>
        <v/>
      </c>
      <c r="PWP62" s="87" t="str">
        <f>IF(ISNUMBER(outYear),PWP37+PWP42+#REF!+PWP59,"")</f>
        <v/>
      </c>
      <c r="PWQ62" s="87" t="str">
        <f>IF(ISNUMBER(outYear),PWQ37+PWQ42+#REF!+PWQ59,"")</f>
        <v/>
      </c>
      <c r="PWR62" s="87" t="str">
        <f>IF(ISNUMBER(outYear),PWR37+PWR42+#REF!+PWR59,"")</f>
        <v/>
      </c>
      <c r="PWS62" s="87" t="str">
        <f>IF(ISNUMBER(outYear),PWS37+PWS42+#REF!+PWS59,"")</f>
        <v/>
      </c>
      <c r="PWT62" s="87" t="str">
        <f>IF(ISNUMBER(outYear),PWT37+PWT42+#REF!+PWT59,"")</f>
        <v/>
      </c>
      <c r="PWU62" s="87" t="str">
        <f>IF(ISNUMBER(outYear),PWU37+PWU42+#REF!+PWU59,"")</f>
        <v/>
      </c>
      <c r="PWV62" s="87" t="str">
        <f>IF(ISNUMBER(outYear),PWV37+PWV42+#REF!+PWV59,"")</f>
        <v/>
      </c>
      <c r="PWW62" s="87" t="str">
        <f>IF(ISNUMBER(outYear),PWW37+PWW42+#REF!+PWW59,"")</f>
        <v/>
      </c>
      <c r="PWX62" s="87" t="str">
        <f>IF(ISNUMBER(outYear),PWX37+PWX42+#REF!+PWX59,"")</f>
        <v/>
      </c>
      <c r="PWY62" s="87" t="str">
        <f>IF(ISNUMBER(outYear),PWY37+PWY42+#REF!+PWY59,"")</f>
        <v/>
      </c>
      <c r="PWZ62" s="87" t="str">
        <f>IF(ISNUMBER(outYear),PWZ37+PWZ42+#REF!+PWZ59,"")</f>
        <v/>
      </c>
      <c r="PXA62" s="87" t="str">
        <f>IF(ISNUMBER(outYear),PXA37+PXA42+#REF!+PXA59,"")</f>
        <v/>
      </c>
      <c r="PXB62" s="87" t="str">
        <f>IF(ISNUMBER(outYear),PXB37+PXB42+#REF!+PXB59,"")</f>
        <v/>
      </c>
      <c r="PXC62" s="87" t="str">
        <f>IF(ISNUMBER(outYear),PXC37+PXC42+#REF!+PXC59,"")</f>
        <v/>
      </c>
      <c r="PXD62" s="87" t="str">
        <f>IF(ISNUMBER(outYear),PXD37+PXD42+#REF!+PXD59,"")</f>
        <v/>
      </c>
      <c r="PXE62" s="87" t="str">
        <f>IF(ISNUMBER(outYear),PXE37+PXE42+#REF!+PXE59,"")</f>
        <v/>
      </c>
      <c r="PXF62" s="87" t="str">
        <f>IF(ISNUMBER(outYear),PXF37+PXF42+#REF!+PXF59,"")</f>
        <v/>
      </c>
      <c r="PXG62" s="87" t="str">
        <f>IF(ISNUMBER(outYear),PXG37+PXG42+#REF!+PXG59,"")</f>
        <v/>
      </c>
      <c r="PXH62" s="87" t="str">
        <f>IF(ISNUMBER(outYear),PXH37+PXH42+#REF!+PXH59,"")</f>
        <v/>
      </c>
      <c r="PXI62" s="87" t="str">
        <f>IF(ISNUMBER(outYear),PXI37+PXI42+#REF!+PXI59,"")</f>
        <v/>
      </c>
      <c r="PXJ62" s="87" t="str">
        <f>IF(ISNUMBER(outYear),PXJ37+PXJ42+#REF!+PXJ59,"")</f>
        <v/>
      </c>
      <c r="PXK62" s="87" t="str">
        <f>IF(ISNUMBER(outYear),PXK37+PXK42+#REF!+PXK59,"")</f>
        <v/>
      </c>
      <c r="PXL62" s="87" t="str">
        <f>IF(ISNUMBER(outYear),PXL37+PXL42+#REF!+PXL59,"")</f>
        <v/>
      </c>
      <c r="PXM62" s="87" t="str">
        <f>IF(ISNUMBER(outYear),PXM37+PXM42+#REF!+PXM59,"")</f>
        <v/>
      </c>
      <c r="PXN62" s="87" t="str">
        <f>IF(ISNUMBER(outYear),PXN37+PXN42+#REF!+PXN59,"")</f>
        <v/>
      </c>
      <c r="PXO62" s="87" t="str">
        <f>IF(ISNUMBER(outYear),PXO37+PXO42+#REF!+PXO59,"")</f>
        <v/>
      </c>
      <c r="PXP62" s="87" t="str">
        <f>IF(ISNUMBER(outYear),PXP37+PXP42+#REF!+PXP59,"")</f>
        <v/>
      </c>
      <c r="PXQ62" s="87" t="str">
        <f>IF(ISNUMBER(outYear),PXQ37+PXQ42+#REF!+PXQ59,"")</f>
        <v/>
      </c>
      <c r="PXR62" s="87" t="str">
        <f>IF(ISNUMBER(outYear),PXR37+PXR42+#REF!+PXR59,"")</f>
        <v/>
      </c>
      <c r="PXS62" s="87" t="str">
        <f>IF(ISNUMBER(outYear),PXS37+PXS42+#REF!+PXS59,"")</f>
        <v/>
      </c>
      <c r="PXT62" s="87" t="str">
        <f>IF(ISNUMBER(outYear),PXT37+PXT42+#REF!+PXT59,"")</f>
        <v/>
      </c>
      <c r="PXU62" s="87" t="str">
        <f>IF(ISNUMBER(outYear),PXU37+PXU42+#REF!+PXU59,"")</f>
        <v/>
      </c>
      <c r="PXV62" s="87" t="str">
        <f>IF(ISNUMBER(outYear),PXV37+PXV42+#REF!+PXV59,"")</f>
        <v/>
      </c>
      <c r="PXW62" s="87" t="str">
        <f>IF(ISNUMBER(outYear),PXW37+PXW42+#REF!+PXW59,"")</f>
        <v/>
      </c>
      <c r="PXX62" s="87" t="str">
        <f>IF(ISNUMBER(outYear),PXX37+PXX42+#REF!+PXX59,"")</f>
        <v/>
      </c>
      <c r="PXY62" s="87" t="str">
        <f>IF(ISNUMBER(outYear),PXY37+PXY42+#REF!+PXY59,"")</f>
        <v/>
      </c>
      <c r="PXZ62" s="87" t="str">
        <f>IF(ISNUMBER(outYear),PXZ37+PXZ42+#REF!+PXZ59,"")</f>
        <v/>
      </c>
      <c r="PYA62" s="87" t="str">
        <f>IF(ISNUMBER(outYear),PYA37+PYA42+#REF!+PYA59,"")</f>
        <v/>
      </c>
      <c r="PYB62" s="87" t="str">
        <f>IF(ISNUMBER(outYear),PYB37+PYB42+#REF!+PYB59,"")</f>
        <v/>
      </c>
      <c r="PYC62" s="87" t="str">
        <f>IF(ISNUMBER(outYear),PYC37+PYC42+#REF!+PYC59,"")</f>
        <v/>
      </c>
      <c r="PYD62" s="87" t="str">
        <f>IF(ISNUMBER(outYear),PYD37+PYD42+#REF!+PYD59,"")</f>
        <v/>
      </c>
      <c r="PYE62" s="87" t="str">
        <f>IF(ISNUMBER(outYear),PYE37+PYE42+#REF!+PYE59,"")</f>
        <v/>
      </c>
      <c r="PYF62" s="87" t="str">
        <f>IF(ISNUMBER(outYear),PYF37+PYF42+#REF!+PYF59,"")</f>
        <v/>
      </c>
      <c r="PYG62" s="87" t="str">
        <f>IF(ISNUMBER(outYear),PYG37+PYG42+#REF!+PYG59,"")</f>
        <v/>
      </c>
      <c r="PYH62" s="87" t="str">
        <f>IF(ISNUMBER(outYear),PYH37+PYH42+#REF!+PYH59,"")</f>
        <v/>
      </c>
      <c r="PYI62" s="87" t="str">
        <f>IF(ISNUMBER(outYear),PYI37+PYI42+#REF!+PYI59,"")</f>
        <v/>
      </c>
      <c r="PYJ62" s="87" t="str">
        <f>IF(ISNUMBER(outYear),PYJ37+PYJ42+#REF!+PYJ59,"")</f>
        <v/>
      </c>
      <c r="PYK62" s="87" t="str">
        <f>IF(ISNUMBER(outYear),PYK37+PYK42+#REF!+PYK59,"")</f>
        <v/>
      </c>
      <c r="PYL62" s="87" t="str">
        <f>IF(ISNUMBER(outYear),PYL37+PYL42+#REF!+PYL59,"")</f>
        <v/>
      </c>
      <c r="PYM62" s="87" t="str">
        <f>IF(ISNUMBER(outYear),PYM37+PYM42+#REF!+PYM59,"")</f>
        <v/>
      </c>
      <c r="PYN62" s="87" t="str">
        <f>IF(ISNUMBER(outYear),PYN37+PYN42+#REF!+PYN59,"")</f>
        <v/>
      </c>
      <c r="PYO62" s="87" t="str">
        <f>IF(ISNUMBER(outYear),PYO37+PYO42+#REF!+PYO59,"")</f>
        <v/>
      </c>
      <c r="PYP62" s="87" t="str">
        <f>IF(ISNUMBER(outYear),PYP37+PYP42+#REF!+PYP59,"")</f>
        <v/>
      </c>
      <c r="PYQ62" s="87" t="str">
        <f>IF(ISNUMBER(outYear),PYQ37+PYQ42+#REF!+PYQ59,"")</f>
        <v/>
      </c>
      <c r="PYR62" s="87" t="str">
        <f>IF(ISNUMBER(outYear),PYR37+PYR42+#REF!+PYR59,"")</f>
        <v/>
      </c>
      <c r="PYS62" s="87" t="str">
        <f>IF(ISNUMBER(outYear),PYS37+PYS42+#REF!+PYS59,"")</f>
        <v/>
      </c>
      <c r="PYT62" s="87" t="str">
        <f>IF(ISNUMBER(outYear),PYT37+PYT42+#REF!+PYT59,"")</f>
        <v/>
      </c>
      <c r="PYU62" s="87" t="str">
        <f>IF(ISNUMBER(outYear),PYU37+PYU42+#REF!+PYU59,"")</f>
        <v/>
      </c>
      <c r="PYV62" s="87" t="str">
        <f>IF(ISNUMBER(outYear),PYV37+PYV42+#REF!+PYV59,"")</f>
        <v/>
      </c>
      <c r="PYW62" s="87" t="str">
        <f>IF(ISNUMBER(outYear),PYW37+PYW42+#REF!+PYW59,"")</f>
        <v/>
      </c>
      <c r="PYX62" s="87" t="str">
        <f>IF(ISNUMBER(outYear),PYX37+PYX42+#REF!+PYX59,"")</f>
        <v/>
      </c>
      <c r="PYY62" s="87" t="str">
        <f>IF(ISNUMBER(outYear),PYY37+PYY42+#REF!+PYY59,"")</f>
        <v/>
      </c>
      <c r="PYZ62" s="87" t="str">
        <f>IF(ISNUMBER(outYear),PYZ37+PYZ42+#REF!+PYZ59,"")</f>
        <v/>
      </c>
      <c r="PZA62" s="87" t="str">
        <f>IF(ISNUMBER(outYear),PZA37+PZA42+#REF!+PZA59,"")</f>
        <v/>
      </c>
      <c r="PZB62" s="87" t="str">
        <f>IF(ISNUMBER(outYear),PZB37+PZB42+#REF!+PZB59,"")</f>
        <v/>
      </c>
      <c r="PZC62" s="87" t="str">
        <f>IF(ISNUMBER(outYear),PZC37+PZC42+#REF!+PZC59,"")</f>
        <v/>
      </c>
      <c r="PZD62" s="87" t="str">
        <f>IF(ISNUMBER(outYear),PZD37+PZD42+#REF!+PZD59,"")</f>
        <v/>
      </c>
      <c r="PZE62" s="87" t="str">
        <f>IF(ISNUMBER(outYear),PZE37+PZE42+#REF!+PZE59,"")</f>
        <v/>
      </c>
      <c r="PZF62" s="87" t="str">
        <f>IF(ISNUMBER(outYear),PZF37+PZF42+#REF!+PZF59,"")</f>
        <v/>
      </c>
      <c r="PZG62" s="87" t="str">
        <f>IF(ISNUMBER(outYear),PZG37+PZG42+#REF!+PZG59,"")</f>
        <v/>
      </c>
      <c r="PZH62" s="87" t="str">
        <f>IF(ISNUMBER(outYear),PZH37+PZH42+#REF!+PZH59,"")</f>
        <v/>
      </c>
      <c r="PZI62" s="87" t="str">
        <f>IF(ISNUMBER(outYear),PZI37+PZI42+#REF!+PZI59,"")</f>
        <v/>
      </c>
      <c r="PZJ62" s="87" t="str">
        <f>IF(ISNUMBER(outYear),PZJ37+PZJ42+#REF!+PZJ59,"")</f>
        <v/>
      </c>
      <c r="PZK62" s="87" t="str">
        <f>IF(ISNUMBER(outYear),PZK37+PZK42+#REF!+PZK59,"")</f>
        <v/>
      </c>
      <c r="PZL62" s="87" t="str">
        <f>IF(ISNUMBER(outYear),PZL37+PZL42+#REF!+PZL59,"")</f>
        <v/>
      </c>
      <c r="PZM62" s="87" t="str">
        <f>IF(ISNUMBER(outYear),PZM37+PZM42+#REF!+PZM59,"")</f>
        <v/>
      </c>
      <c r="PZN62" s="87" t="str">
        <f>IF(ISNUMBER(outYear),PZN37+PZN42+#REF!+PZN59,"")</f>
        <v/>
      </c>
      <c r="PZO62" s="87" t="str">
        <f>IF(ISNUMBER(outYear),PZO37+PZO42+#REF!+PZO59,"")</f>
        <v/>
      </c>
      <c r="PZP62" s="87" t="str">
        <f>IF(ISNUMBER(outYear),PZP37+PZP42+#REF!+PZP59,"")</f>
        <v/>
      </c>
      <c r="PZQ62" s="87" t="str">
        <f>IF(ISNUMBER(outYear),PZQ37+PZQ42+#REF!+PZQ59,"")</f>
        <v/>
      </c>
      <c r="PZR62" s="87" t="str">
        <f>IF(ISNUMBER(outYear),PZR37+PZR42+#REF!+PZR59,"")</f>
        <v/>
      </c>
      <c r="PZS62" s="87" t="str">
        <f>IF(ISNUMBER(outYear),PZS37+PZS42+#REF!+PZS59,"")</f>
        <v/>
      </c>
      <c r="PZT62" s="87" t="str">
        <f>IF(ISNUMBER(outYear),PZT37+PZT42+#REF!+PZT59,"")</f>
        <v/>
      </c>
      <c r="PZU62" s="87" t="str">
        <f>IF(ISNUMBER(outYear),PZU37+PZU42+#REF!+PZU59,"")</f>
        <v/>
      </c>
      <c r="PZV62" s="87" t="str">
        <f>IF(ISNUMBER(outYear),PZV37+PZV42+#REF!+PZV59,"")</f>
        <v/>
      </c>
      <c r="PZW62" s="87" t="str">
        <f>IF(ISNUMBER(outYear),PZW37+PZW42+#REF!+PZW59,"")</f>
        <v/>
      </c>
      <c r="PZX62" s="87" t="str">
        <f>IF(ISNUMBER(outYear),PZX37+PZX42+#REF!+PZX59,"")</f>
        <v/>
      </c>
      <c r="PZY62" s="87" t="str">
        <f>IF(ISNUMBER(outYear),PZY37+PZY42+#REF!+PZY59,"")</f>
        <v/>
      </c>
      <c r="PZZ62" s="87" t="str">
        <f>IF(ISNUMBER(outYear),PZZ37+PZZ42+#REF!+PZZ59,"")</f>
        <v/>
      </c>
      <c r="QAA62" s="87" t="str">
        <f>IF(ISNUMBER(outYear),QAA37+QAA42+#REF!+QAA59,"")</f>
        <v/>
      </c>
      <c r="QAB62" s="87" t="str">
        <f>IF(ISNUMBER(outYear),QAB37+QAB42+#REF!+QAB59,"")</f>
        <v/>
      </c>
      <c r="QAC62" s="87" t="str">
        <f>IF(ISNUMBER(outYear),QAC37+QAC42+#REF!+QAC59,"")</f>
        <v/>
      </c>
      <c r="QAD62" s="87" t="str">
        <f>IF(ISNUMBER(outYear),QAD37+QAD42+#REF!+QAD59,"")</f>
        <v/>
      </c>
      <c r="QAE62" s="87" t="str">
        <f>IF(ISNUMBER(outYear),QAE37+QAE42+#REF!+QAE59,"")</f>
        <v/>
      </c>
      <c r="QAF62" s="87" t="str">
        <f>IF(ISNUMBER(outYear),QAF37+QAF42+#REF!+QAF59,"")</f>
        <v/>
      </c>
      <c r="QAG62" s="87" t="str">
        <f>IF(ISNUMBER(outYear),QAG37+QAG42+#REF!+QAG59,"")</f>
        <v/>
      </c>
      <c r="QAH62" s="87" t="str">
        <f>IF(ISNUMBER(outYear),QAH37+QAH42+#REF!+QAH59,"")</f>
        <v/>
      </c>
      <c r="QAI62" s="87" t="str">
        <f>IF(ISNUMBER(outYear),QAI37+QAI42+#REF!+QAI59,"")</f>
        <v/>
      </c>
      <c r="QAJ62" s="87" t="str">
        <f>IF(ISNUMBER(outYear),QAJ37+QAJ42+#REF!+QAJ59,"")</f>
        <v/>
      </c>
      <c r="QAK62" s="87" t="str">
        <f>IF(ISNUMBER(outYear),QAK37+QAK42+#REF!+QAK59,"")</f>
        <v/>
      </c>
      <c r="QAL62" s="87" t="str">
        <f>IF(ISNUMBER(outYear),QAL37+QAL42+#REF!+QAL59,"")</f>
        <v/>
      </c>
      <c r="QAM62" s="87" t="str">
        <f>IF(ISNUMBER(outYear),QAM37+QAM42+#REF!+QAM59,"")</f>
        <v/>
      </c>
      <c r="QAN62" s="87" t="str">
        <f>IF(ISNUMBER(outYear),QAN37+QAN42+#REF!+QAN59,"")</f>
        <v/>
      </c>
      <c r="QAO62" s="87" t="str">
        <f>IF(ISNUMBER(outYear),QAO37+QAO42+#REF!+QAO59,"")</f>
        <v/>
      </c>
      <c r="QAP62" s="87" t="str">
        <f>IF(ISNUMBER(outYear),QAP37+QAP42+#REF!+QAP59,"")</f>
        <v/>
      </c>
      <c r="QAQ62" s="87" t="str">
        <f>IF(ISNUMBER(outYear),QAQ37+QAQ42+#REF!+QAQ59,"")</f>
        <v/>
      </c>
      <c r="QAR62" s="87" t="str">
        <f>IF(ISNUMBER(outYear),QAR37+QAR42+#REF!+QAR59,"")</f>
        <v/>
      </c>
      <c r="QAS62" s="87" t="str">
        <f>IF(ISNUMBER(outYear),QAS37+QAS42+#REF!+QAS59,"")</f>
        <v/>
      </c>
      <c r="QAT62" s="87" t="str">
        <f>IF(ISNUMBER(outYear),QAT37+QAT42+#REF!+QAT59,"")</f>
        <v/>
      </c>
      <c r="QAU62" s="87" t="str">
        <f>IF(ISNUMBER(outYear),QAU37+QAU42+#REF!+QAU59,"")</f>
        <v/>
      </c>
      <c r="QAV62" s="87" t="str">
        <f>IF(ISNUMBER(outYear),QAV37+QAV42+#REF!+QAV59,"")</f>
        <v/>
      </c>
      <c r="QAW62" s="87" t="str">
        <f>IF(ISNUMBER(outYear),QAW37+QAW42+#REF!+QAW59,"")</f>
        <v/>
      </c>
      <c r="QAX62" s="87" t="str">
        <f>IF(ISNUMBER(outYear),QAX37+QAX42+#REF!+QAX59,"")</f>
        <v/>
      </c>
      <c r="QAY62" s="87" t="str">
        <f>IF(ISNUMBER(outYear),QAY37+QAY42+#REF!+QAY59,"")</f>
        <v/>
      </c>
      <c r="QAZ62" s="87" t="str">
        <f>IF(ISNUMBER(outYear),QAZ37+QAZ42+#REF!+QAZ59,"")</f>
        <v/>
      </c>
      <c r="QBA62" s="87" t="str">
        <f>IF(ISNUMBER(outYear),QBA37+QBA42+#REF!+QBA59,"")</f>
        <v/>
      </c>
      <c r="QBB62" s="87" t="str">
        <f>IF(ISNUMBER(outYear),QBB37+QBB42+#REF!+QBB59,"")</f>
        <v/>
      </c>
      <c r="QBC62" s="87" t="str">
        <f>IF(ISNUMBER(outYear),QBC37+QBC42+#REF!+QBC59,"")</f>
        <v/>
      </c>
      <c r="QBD62" s="87" t="str">
        <f>IF(ISNUMBER(outYear),QBD37+QBD42+#REF!+QBD59,"")</f>
        <v/>
      </c>
      <c r="QBE62" s="87" t="str">
        <f>IF(ISNUMBER(outYear),QBE37+QBE42+#REF!+QBE59,"")</f>
        <v/>
      </c>
      <c r="QBF62" s="87" t="str">
        <f>IF(ISNUMBER(outYear),QBF37+QBF42+#REF!+QBF59,"")</f>
        <v/>
      </c>
      <c r="QBG62" s="87" t="str">
        <f>IF(ISNUMBER(outYear),QBG37+QBG42+#REF!+QBG59,"")</f>
        <v/>
      </c>
      <c r="QBH62" s="87" t="str">
        <f>IF(ISNUMBER(outYear),QBH37+QBH42+#REF!+QBH59,"")</f>
        <v/>
      </c>
      <c r="QBI62" s="87" t="str">
        <f>IF(ISNUMBER(outYear),QBI37+QBI42+#REF!+QBI59,"")</f>
        <v/>
      </c>
      <c r="QBJ62" s="87" t="str">
        <f>IF(ISNUMBER(outYear),QBJ37+QBJ42+#REF!+QBJ59,"")</f>
        <v/>
      </c>
      <c r="QBK62" s="87" t="str">
        <f>IF(ISNUMBER(outYear),QBK37+QBK42+#REF!+QBK59,"")</f>
        <v/>
      </c>
      <c r="QBL62" s="87" t="str">
        <f>IF(ISNUMBER(outYear),QBL37+QBL42+#REF!+QBL59,"")</f>
        <v/>
      </c>
      <c r="QBM62" s="87" t="str">
        <f>IF(ISNUMBER(outYear),QBM37+QBM42+#REF!+QBM59,"")</f>
        <v/>
      </c>
      <c r="QBN62" s="87" t="str">
        <f>IF(ISNUMBER(outYear),QBN37+QBN42+#REF!+QBN59,"")</f>
        <v/>
      </c>
      <c r="QBO62" s="87" t="str">
        <f>IF(ISNUMBER(outYear),QBO37+QBO42+#REF!+QBO59,"")</f>
        <v/>
      </c>
      <c r="QBP62" s="87" t="str">
        <f>IF(ISNUMBER(outYear),QBP37+QBP42+#REF!+QBP59,"")</f>
        <v/>
      </c>
      <c r="QBQ62" s="87" t="str">
        <f>IF(ISNUMBER(outYear),QBQ37+QBQ42+#REF!+QBQ59,"")</f>
        <v/>
      </c>
      <c r="QBR62" s="87" t="str">
        <f>IF(ISNUMBER(outYear),QBR37+QBR42+#REF!+QBR59,"")</f>
        <v/>
      </c>
      <c r="QBS62" s="87" t="str">
        <f>IF(ISNUMBER(outYear),QBS37+QBS42+#REF!+QBS59,"")</f>
        <v/>
      </c>
      <c r="QBT62" s="87" t="str">
        <f>IF(ISNUMBER(outYear),QBT37+QBT42+#REF!+QBT59,"")</f>
        <v/>
      </c>
      <c r="QBU62" s="87" t="str">
        <f>IF(ISNUMBER(outYear),QBU37+QBU42+#REF!+QBU59,"")</f>
        <v/>
      </c>
      <c r="QBV62" s="87" t="str">
        <f>IF(ISNUMBER(outYear),QBV37+QBV42+#REF!+QBV59,"")</f>
        <v/>
      </c>
      <c r="QBW62" s="87" t="str">
        <f>IF(ISNUMBER(outYear),QBW37+QBW42+#REF!+QBW59,"")</f>
        <v/>
      </c>
      <c r="QBX62" s="87" t="str">
        <f>IF(ISNUMBER(outYear),QBX37+QBX42+#REF!+QBX59,"")</f>
        <v/>
      </c>
      <c r="QBY62" s="87" t="str">
        <f>IF(ISNUMBER(outYear),QBY37+QBY42+#REF!+QBY59,"")</f>
        <v/>
      </c>
      <c r="QBZ62" s="87" t="str">
        <f>IF(ISNUMBER(outYear),QBZ37+QBZ42+#REF!+QBZ59,"")</f>
        <v/>
      </c>
      <c r="QCA62" s="87" t="str">
        <f>IF(ISNUMBER(outYear),QCA37+QCA42+#REF!+QCA59,"")</f>
        <v/>
      </c>
      <c r="QCB62" s="87" t="str">
        <f>IF(ISNUMBER(outYear),QCB37+QCB42+#REF!+QCB59,"")</f>
        <v/>
      </c>
      <c r="QCC62" s="87" t="str">
        <f>IF(ISNUMBER(outYear),QCC37+QCC42+#REF!+QCC59,"")</f>
        <v/>
      </c>
      <c r="QCD62" s="87" t="str">
        <f>IF(ISNUMBER(outYear),QCD37+QCD42+#REF!+QCD59,"")</f>
        <v/>
      </c>
      <c r="QCE62" s="87" t="str">
        <f>IF(ISNUMBER(outYear),QCE37+QCE42+#REF!+QCE59,"")</f>
        <v/>
      </c>
      <c r="QCF62" s="87" t="str">
        <f>IF(ISNUMBER(outYear),QCF37+QCF42+#REF!+QCF59,"")</f>
        <v/>
      </c>
      <c r="QCG62" s="87" t="str">
        <f>IF(ISNUMBER(outYear),QCG37+QCG42+#REF!+QCG59,"")</f>
        <v/>
      </c>
      <c r="QCH62" s="87" t="str">
        <f>IF(ISNUMBER(outYear),QCH37+QCH42+#REF!+QCH59,"")</f>
        <v/>
      </c>
      <c r="QCI62" s="87" t="str">
        <f>IF(ISNUMBER(outYear),QCI37+QCI42+#REF!+QCI59,"")</f>
        <v/>
      </c>
      <c r="QCJ62" s="87" t="str">
        <f>IF(ISNUMBER(outYear),QCJ37+QCJ42+#REF!+QCJ59,"")</f>
        <v/>
      </c>
      <c r="QCK62" s="87" t="str">
        <f>IF(ISNUMBER(outYear),QCK37+QCK42+#REF!+QCK59,"")</f>
        <v/>
      </c>
      <c r="QCL62" s="87" t="str">
        <f>IF(ISNUMBER(outYear),QCL37+QCL42+#REF!+QCL59,"")</f>
        <v/>
      </c>
      <c r="QCM62" s="87" t="str">
        <f>IF(ISNUMBER(outYear),QCM37+QCM42+#REF!+QCM59,"")</f>
        <v/>
      </c>
      <c r="QCN62" s="87" t="str">
        <f>IF(ISNUMBER(outYear),QCN37+QCN42+#REF!+QCN59,"")</f>
        <v/>
      </c>
      <c r="QCO62" s="87" t="str">
        <f>IF(ISNUMBER(outYear),QCO37+QCO42+#REF!+QCO59,"")</f>
        <v/>
      </c>
      <c r="QCP62" s="87" t="str">
        <f>IF(ISNUMBER(outYear),QCP37+QCP42+#REF!+QCP59,"")</f>
        <v/>
      </c>
      <c r="QCQ62" s="87" t="str">
        <f>IF(ISNUMBER(outYear),QCQ37+QCQ42+#REF!+QCQ59,"")</f>
        <v/>
      </c>
      <c r="QCR62" s="87" t="str">
        <f>IF(ISNUMBER(outYear),QCR37+QCR42+#REF!+QCR59,"")</f>
        <v/>
      </c>
      <c r="QCS62" s="87" t="str">
        <f>IF(ISNUMBER(outYear),QCS37+QCS42+#REF!+QCS59,"")</f>
        <v/>
      </c>
      <c r="QCT62" s="87" t="str">
        <f>IF(ISNUMBER(outYear),QCT37+QCT42+#REF!+QCT59,"")</f>
        <v/>
      </c>
      <c r="QCU62" s="87" t="str">
        <f>IF(ISNUMBER(outYear),QCU37+QCU42+#REF!+QCU59,"")</f>
        <v/>
      </c>
      <c r="QCV62" s="87" t="str">
        <f>IF(ISNUMBER(outYear),QCV37+QCV42+#REF!+QCV59,"")</f>
        <v/>
      </c>
      <c r="QCW62" s="87" t="str">
        <f>IF(ISNUMBER(outYear),QCW37+QCW42+#REF!+QCW59,"")</f>
        <v/>
      </c>
      <c r="QCX62" s="87" t="str">
        <f>IF(ISNUMBER(outYear),QCX37+QCX42+#REF!+QCX59,"")</f>
        <v/>
      </c>
      <c r="QCY62" s="87" t="str">
        <f>IF(ISNUMBER(outYear),QCY37+QCY42+#REF!+QCY59,"")</f>
        <v/>
      </c>
      <c r="QCZ62" s="87" t="str">
        <f>IF(ISNUMBER(outYear),QCZ37+QCZ42+#REF!+QCZ59,"")</f>
        <v/>
      </c>
      <c r="QDA62" s="87" t="str">
        <f>IF(ISNUMBER(outYear),QDA37+QDA42+#REF!+QDA59,"")</f>
        <v/>
      </c>
      <c r="QDB62" s="87" t="str">
        <f>IF(ISNUMBER(outYear),QDB37+QDB42+#REF!+QDB59,"")</f>
        <v/>
      </c>
      <c r="QDC62" s="87" t="str">
        <f>IF(ISNUMBER(outYear),QDC37+QDC42+#REF!+QDC59,"")</f>
        <v/>
      </c>
      <c r="QDD62" s="87" t="str">
        <f>IF(ISNUMBER(outYear),QDD37+QDD42+#REF!+QDD59,"")</f>
        <v/>
      </c>
      <c r="QDE62" s="87" t="str">
        <f>IF(ISNUMBER(outYear),QDE37+QDE42+#REF!+QDE59,"")</f>
        <v/>
      </c>
      <c r="QDF62" s="87" t="str">
        <f>IF(ISNUMBER(outYear),QDF37+QDF42+#REF!+QDF59,"")</f>
        <v/>
      </c>
      <c r="QDG62" s="87" t="str">
        <f>IF(ISNUMBER(outYear),QDG37+QDG42+#REF!+QDG59,"")</f>
        <v/>
      </c>
      <c r="QDH62" s="87" t="str">
        <f>IF(ISNUMBER(outYear),QDH37+QDH42+#REF!+QDH59,"")</f>
        <v/>
      </c>
      <c r="QDI62" s="87" t="str">
        <f>IF(ISNUMBER(outYear),QDI37+QDI42+#REF!+QDI59,"")</f>
        <v/>
      </c>
      <c r="QDJ62" s="87" t="str">
        <f>IF(ISNUMBER(outYear),QDJ37+QDJ42+#REF!+QDJ59,"")</f>
        <v/>
      </c>
      <c r="QDK62" s="87" t="str">
        <f>IF(ISNUMBER(outYear),QDK37+QDK42+#REF!+QDK59,"")</f>
        <v/>
      </c>
      <c r="QDL62" s="87" t="str">
        <f>IF(ISNUMBER(outYear),QDL37+QDL42+#REF!+QDL59,"")</f>
        <v/>
      </c>
      <c r="QDM62" s="87" t="str">
        <f>IF(ISNUMBER(outYear),QDM37+QDM42+#REF!+QDM59,"")</f>
        <v/>
      </c>
      <c r="QDN62" s="87" t="str">
        <f>IF(ISNUMBER(outYear),QDN37+QDN42+#REF!+QDN59,"")</f>
        <v/>
      </c>
      <c r="QDO62" s="87" t="str">
        <f>IF(ISNUMBER(outYear),QDO37+QDO42+#REF!+QDO59,"")</f>
        <v/>
      </c>
      <c r="QDP62" s="87" t="str">
        <f>IF(ISNUMBER(outYear),QDP37+QDP42+#REF!+QDP59,"")</f>
        <v/>
      </c>
      <c r="QDQ62" s="87" t="str">
        <f>IF(ISNUMBER(outYear),QDQ37+QDQ42+#REF!+QDQ59,"")</f>
        <v/>
      </c>
      <c r="QDR62" s="87" t="str">
        <f>IF(ISNUMBER(outYear),QDR37+QDR42+#REF!+QDR59,"")</f>
        <v/>
      </c>
      <c r="QDS62" s="87" t="str">
        <f>IF(ISNUMBER(outYear),QDS37+QDS42+#REF!+QDS59,"")</f>
        <v/>
      </c>
      <c r="QDT62" s="87" t="str">
        <f>IF(ISNUMBER(outYear),QDT37+QDT42+#REF!+QDT59,"")</f>
        <v/>
      </c>
      <c r="QDU62" s="87" t="str">
        <f>IF(ISNUMBER(outYear),QDU37+QDU42+#REF!+QDU59,"")</f>
        <v/>
      </c>
      <c r="QDV62" s="87" t="str">
        <f>IF(ISNUMBER(outYear),QDV37+QDV42+#REF!+QDV59,"")</f>
        <v/>
      </c>
      <c r="QDW62" s="87" t="str">
        <f>IF(ISNUMBER(outYear),QDW37+QDW42+#REF!+QDW59,"")</f>
        <v/>
      </c>
      <c r="QDX62" s="87" t="str">
        <f>IF(ISNUMBER(outYear),QDX37+QDX42+#REF!+QDX59,"")</f>
        <v/>
      </c>
      <c r="QDY62" s="87" t="str">
        <f>IF(ISNUMBER(outYear),QDY37+QDY42+#REF!+QDY59,"")</f>
        <v/>
      </c>
      <c r="QDZ62" s="87" t="str">
        <f>IF(ISNUMBER(outYear),QDZ37+QDZ42+#REF!+QDZ59,"")</f>
        <v/>
      </c>
      <c r="QEA62" s="87" t="str">
        <f>IF(ISNUMBER(outYear),QEA37+QEA42+#REF!+QEA59,"")</f>
        <v/>
      </c>
      <c r="QEB62" s="87" t="str">
        <f>IF(ISNUMBER(outYear),QEB37+QEB42+#REF!+QEB59,"")</f>
        <v/>
      </c>
      <c r="QEC62" s="87" t="str">
        <f>IF(ISNUMBER(outYear),QEC37+QEC42+#REF!+QEC59,"")</f>
        <v/>
      </c>
      <c r="QED62" s="87" t="str">
        <f>IF(ISNUMBER(outYear),QED37+QED42+#REF!+QED59,"")</f>
        <v/>
      </c>
      <c r="QEE62" s="87" t="str">
        <f>IF(ISNUMBER(outYear),QEE37+QEE42+#REF!+QEE59,"")</f>
        <v/>
      </c>
      <c r="QEF62" s="87" t="str">
        <f>IF(ISNUMBER(outYear),QEF37+QEF42+#REF!+QEF59,"")</f>
        <v/>
      </c>
      <c r="QEG62" s="87" t="str">
        <f>IF(ISNUMBER(outYear),QEG37+QEG42+#REF!+QEG59,"")</f>
        <v/>
      </c>
      <c r="QEH62" s="87" t="str">
        <f>IF(ISNUMBER(outYear),QEH37+QEH42+#REF!+QEH59,"")</f>
        <v/>
      </c>
      <c r="QEI62" s="87" t="str">
        <f>IF(ISNUMBER(outYear),QEI37+QEI42+#REF!+QEI59,"")</f>
        <v/>
      </c>
      <c r="QEJ62" s="87" t="str">
        <f>IF(ISNUMBER(outYear),QEJ37+QEJ42+#REF!+QEJ59,"")</f>
        <v/>
      </c>
      <c r="QEK62" s="87" t="str">
        <f>IF(ISNUMBER(outYear),QEK37+QEK42+#REF!+QEK59,"")</f>
        <v/>
      </c>
      <c r="QEL62" s="87" t="str">
        <f>IF(ISNUMBER(outYear),QEL37+QEL42+#REF!+QEL59,"")</f>
        <v/>
      </c>
      <c r="QEM62" s="87" t="str">
        <f>IF(ISNUMBER(outYear),QEM37+QEM42+#REF!+QEM59,"")</f>
        <v/>
      </c>
      <c r="QEN62" s="87" t="str">
        <f>IF(ISNUMBER(outYear),QEN37+QEN42+#REF!+QEN59,"")</f>
        <v/>
      </c>
      <c r="QEO62" s="87" t="str">
        <f>IF(ISNUMBER(outYear),QEO37+QEO42+#REF!+QEO59,"")</f>
        <v/>
      </c>
      <c r="QEP62" s="87" t="str">
        <f>IF(ISNUMBER(outYear),QEP37+QEP42+#REF!+QEP59,"")</f>
        <v/>
      </c>
      <c r="QEQ62" s="87" t="str">
        <f>IF(ISNUMBER(outYear),QEQ37+QEQ42+#REF!+QEQ59,"")</f>
        <v/>
      </c>
      <c r="QER62" s="87" t="str">
        <f>IF(ISNUMBER(outYear),QER37+QER42+#REF!+QER59,"")</f>
        <v/>
      </c>
      <c r="QES62" s="87" t="str">
        <f>IF(ISNUMBER(outYear),QES37+QES42+#REF!+QES59,"")</f>
        <v/>
      </c>
      <c r="QET62" s="87" t="str">
        <f>IF(ISNUMBER(outYear),QET37+QET42+#REF!+QET59,"")</f>
        <v/>
      </c>
      <c r="QEU62" s="87" t="str">
        <f>IF(ISNUMBER(outYear),QEU37+QEU42+#REF!+QEU59,"")</f>
        <v/>
      </c>
      <c r="QEV62" s="87" t="str">
        <f>IF(ISNUMBER(outYear),QEV37+QEV42+#REF!+QEV59,"")</f>
        <v/>
      </c>
      <c r="QEW62" s="87" t="str">
        <f>IF(ISNUMBER(outYear),QEW37+QEW42+#REF!+QEW59,"")</f>
        <v/>
      </c>
      <c r="QEX62" s="87" t="str">
        <f>IF(ISNUMBER(outYear),QEX37+QEX42+#REF!+QEX59,"")</f>
        <v/>
      </c>
      <c r="QEY62" s="87" t="str">
        <f>IF(ISNUMBER(outYear),QEY37+QEY42+#REF!+QEY59,"")</f>
        <v/>
      </c>
      <c r="QEZ62" s="87" t="str">
        <f>IF(ISNUMBER(outYear),QEZ37+QEZ42+#REF!+QEZ59,"")</f>
        <v/>
      </c>
      <c r="QFA62" s="87" t="str">
        <f>IF(ISNUMBER(outYear),QFA37+QFA42+#REF!+QFA59,"")</f>
        <v/>
      </c>
      <c r="QFB62" s="87" t="str">
        <f>IF(ISNUMBER(outYear),QFB37+QFB42+#REF!+QFB59,"")</f>
        <v/>
      </c>
      <c r="QFC62" s="87" t="str">
        <f>IF(ISNUMBER(outYear),QFC37+QFC42+#REF!+QFC59,"")</f>
        <v/>
      </c>
      <c r="QFD62" s="87" t="str">
        <f>IF(ISNUMBER(outYear),QFD37+QFD42+#REF!+QFD59,"")</f>
        <v/>
      </c>
      <c r="QFE62" s="87" t="str">
        <f>IF(ISNUMBER(outYear),QFE37+QFE42+#REF!+QFE59,"")</f>
        <v/>
      </c>
      <c r="QFF62" s="87" t="str">
        <f>IF(ISNUMBER(outYear),QFF37+QFF42+#REF!+QFF59,"")</f>
        <v/>
      </c>
      <c r="QFG62" s="87" t="str">
        <f>IF(ISNUMBER(outYear),QFG37+QFG42+#REF!+QFG59,"")</f>
        <v/>
      </c>
      <c r="QFH62" s="87" t="str">
        <f>IF(ISNUMBER(outYear),QFH37+QFH42+#REF!+QFH59,"")</f>
        <v/>
      </c>
      <c r="QFI62" s="87" t="str">
        <f>IF(ISNUMBER(outYear),QFI37+QFI42+#REF!+QFI59,"")</f>
        <v/>
      </c>
      <c r="QFJ62" s="87" t="str">
        <f>IF(ISNUMBER(outYear),QFJ37+QFJ42+#REF!+QFJ59,"")</f>
        <v/>
      </c>
      <c r="QFK62" s="87" t="str">
        <f>IF(ISNUMBER(outYear),QFK37+QFK42+#REF!+QFK59,"")</f>
        <v/>
      </c>
      <c r="QFL62" s="87" t="str">
        <f>IF(ISNUMBER(outYear),QFL37+QFL42+#REF!+QFL59,"")</f>
        <v/>
      </c>
      <c r="QFM62" s="87" t="str">
        <f>IF(ISNUMBER(outYear),QFM37+QFM42+#REF!+QFM59,"")</f>
        <v/>
      </c>
      <c r="QFN62" s="87" t="str">
        <f>IF(ISNUMBER(outYear),QFN37+QFN42+#REF!+QFN59,"")</f>
        <v/>
      </c>
      <c r="QFO62" s="87" t="str">
        <f>IF(ISNUMBER(outYear),QFO37+QFO42+#REF!+QFO59,"")</f>
        <v/>
      </c>
      <c r="QFP62" s="87" t="str">
        <f>IF(ISNUMBER(outYear),QFP37+QFP42+#REF!+QFP59,"")</f>
        <v/>
      </c>
      <c r="QFQ62" s="87" t="str">
        <f>IF(ISNUMBER(outYear),QFQ37+QFQ42+#REF!+QFQ59,"")</f>
        <v/>
      </c>
      <c r="QFR62" s="87" t="str">
        <f>IF(ISNUMBER(outYear),QFR37+QFR42+#REF!+QFR59,"")</f>
        <v/>
      </c>
      <c r="QFS62" s="87" t="str">
        <f>IF(ISNUMBER(outYear),QFS37+QFS42+#REF!+QFS59,"")</f>
        <v/>
      </c>
      <c r="QFT62" s="87" t="str">
        <f>IF(ISNUMBER(outYear),QFT37+QFT42+#REF!+QFT59,"")</f>
        <v/>
      </c>
      <c r="QFU62" s="87" t="str">
        <f>IF(ISNUMBER(outYear),QFU37+QFU42+#REF!+QFU59,"")</f>
        <v/>
      </c>
      <c r="QFV62" s="87" t="str">
        <f>IF(ISNUMBER(outYear),QFV37+QFV42+#REF!+QFV59,"")</f>
        <v/>
      </c>
      <c r="QFW62" s="87" t="str">
        <f>IF(ISNUMBER(outYear),QFW37+QFW42+#REF!+QFW59,"")</f>
        <v/>
      </c>
      <c r="QFX62" s="87" t="str">
        <f>IF(ISNUMBER(outYear),QFX37+QFX42+#REF!+QFX59,"")</f>
        <v/>
      </c>
      <c r="QFY62" s="87" t="str">
        <f>IF(ISNUMBER(outYear),QFY37+QFY42+#REF!+QFY59,"")</f>
        <v/>
      </c>
      <c r="QFZ62" s="87" t="str">
        <f>IF(ISNUMBER(outYear),QFZ37+QFZ42+#REF!+QFZ59,"")</f>
        <v/>
      </c>
      <c r="QGA62" s="87" t="str">
        <f>IF(ISNUMBER(outYear),QGA37+QGA42+#REF!+QGA59,"")</f>
        <v/>
      </c>
      <c r="QGB62" s="87" t="str">
        <f>IF(ISNUMBER(outYear),QGB37+QGB42+#REF!+QGB59,"")</f>
        <v/>
      </c>
      <c r="QGC62" s="87" t="str">
        <f>IF(ISNUMBER(outYear),QGC37+QGC42+#REF!+QGC59,"")</f>
        <v/>
      </c>
      <c r="QGD62" s="87" t="str">
        <f>IF(ISNUMBER(outYear),QGD37+QGD42+#REF!+QGD59,"")</f>
        <v/>
      </c>
      <c r="QGE62" s="87" t="str">
        <f>IF(ISNUMBER(outYear),QGE37+QGE42+#REF!+QGE59,"")</f>
        <v/>
      </c>
      <c r="QGF62" s="87" t="str">
        <f>IF(ISNUMBER(outYear),QGF37+QGF42+#REF!+QGF59,"")</f>
        <v/>
      </c>
      <c r="QGG62" s="87" t="str">
        <f>IF(ISNUMBER(outYear),QGG37+QGG42+#REF!+QGG59,"")</f>
        <v/>
      </c>
      <c r="QGH62" s="87" t="str">
        <f>IF(ISNUMBER(outYear),QGH37+QGH42+#REF!+QGH59,"")</f>
        <v/>
      </c>
      <c r="QGI62" s="87" t="str">
        <f>IF(ISNUMBER(outYear),QGI37+QGI42+#REF!+QGI59,"")</f>
        <v/>
      </c>
      <c r="QGJ62" s="87" t="str">
        <f>IF(ISNUMBER(outYear),QGJ37+QGJ42+#REF!+QGJ59,"")</f>
        <v/>
      </c>
      <c r="QGK62" s="87" t="str">
        <f>IF(ISNUMBER(outYear),QGK37+QGK42+#REF!+QGK59,"")</f>
        <v/>
      </c>
      <c r="QGL62" s="87" t="str">
        <f>IF(ISNUMBER(outYear),QGL37+QGL42+#REF!+QGL59,"")</f>
        <v/>
      </c>
      <c r="QGM62" s="87" t="str">
        <f>IF(ISNUMBER(outYear),QGM37+QGM42+#REF!+QGM59,"")</f>
        <v/>
      </c>
      <c r="QGN62" s="87" t="str">
        <f>IF(ISNUMBER(outYear),QGN37+QGN42+#REF!+QGN59,"")</f>
        <v/>
      </c>
      <c r="QGO62" s="87" t="str">
        <f>IF(ISNUMBER(outYear),QGO37+QGO42+#REF!+QGO59,"")</f>
        <v/>
      </c>
      <c r="QGP62" s="87" t="str">
        <f>IF(ISNUMBER(outYear),QGP37+QGP42+#REF!+QGP59,"")</f>
        <v/>
      </c>
      <c r="QGQ62" s="87" t="str">
        <f>IF(ISNUMBER(outYear),QGQ37+QGQ42+#REF!+QGQ59,"")</f>
        <v/>
      </c>
      <c r="QGR62" s="87" t="str">
        <f>IF(ISNUMBER(outYear),QGR37+QGR42+#REF!+QGR59,"")</f>
        <v/>
      </c>
      <c r="QGS62" s="87" t="str">
        <f>IF(ISNUMBER(outYear),QGS37+QGS42+#REF!+QGS59,"")</f>
        <v/>
      </c>
      <c r="QGT62" s="87" t="str">
        <f>IF(ISNUMBER(outYear),QGT37+QGT42+#REF!+QGT59,"")</f>
        <v/>
      </c>
      <c r="QGU62" s="87" t="str">
        <f>IF(ISNUMBER(outYear),QGU37+QGU42+#REF!+QGU59,"")</f>
        <v/>
      </c>
      <c r="QGV62" s="87" t="str">
        <f>IF(ISNUMBER(outYear),QGV37+QGV42+#REF!+QGV59,"")</f>
        <v/>
      </c>
      <c r="QGW62" s="87" t="str">
        <f>IF(ISNUMBER(outYear),QGW37+QGW42+#REF!+QGW59,"")</f>
        <v/>
      </c>
      <c r="QGX62" s="87" t="str">
        <f>IF(ISNUMBER(outYear),QGX37+QGX42+#REF!+QGX59,"")</f>
        <v/>
      </c>
      <c r="QGY62" s="87" t="str">
        <f>IF(ISNUMBER(outYear),QGY37+QGY42+#REF!+QGY59,"")</f>
        <v/>
      </c>
      <c r="QGZ62" s="87" t="str">
        <f>IF(ISNUMBER(outYear),QGZ37+QGZ42+#REF!+QGZ59,"")</f>
        <v/>
      </c>
      <c r="QHA62" s="87" t="str">
        <f>IF(ISNUMBER(outYear),QHA37+QHA42+#REF!+QHA59,"")</f>
        <v/>
      </c>
      <c r="QHB62" s="87" t="str">
        <f>IF(ISNUMBER(outYear),QHB37+QHB42+#REF!+QHB59,"")</f>
        <v/>
      </c>
      <c r="QHC62" s="87" t="str">
        <f>IF(ISNUMBER(outYear),QHC37+QHC42+#REF!+QHC59,"")</f>
        <v/>
      </c>
      <c r="QHD62" s="87" t="str">
        <f>IF(ISNUMBER(outYear),QHD37+QHD42+#REF!+QHD59,"")</f>
        <v/>
      </c>
      <c r="QHE62" s="87" t="str">
        <f>IF(ISNUMBER(outYear),QHE37+QHE42+#REF!+QHE59,"")</f>
        <v/>
      </c>
      <c r="QHF62" s="87" t="str">
        <f>IF(ISNUMBER(outYear),QHF37+QHF42+#REF!+QHF59,"")</f>
        <v/>
      </c>
      <c r="QHG62" s="87" t="str">
        <f>IF(ISNUMBER(outYear),QHG37+QHG42+#REF!+QHG59,"")</f>
        <v/>
      </c>
      <c r="QHH62" s="87" t="str">
        <f>IF(ISNUMBER(outYear),QHH37+QHH42+#REF!+QHH59,"")</f>
        <v/>
      </c>
      <c r="QHI62" s="87" t="str">
        <f>IF(ISNUMBER(outYear),QHI37+QHI42+#REF!+QHI59,"")</f>
        <v/>
      </c>
      <c r="QHJ62" s="87" t="str">
        <f>IF(ISNUMBER(outYear),QHJ37+QHJ42+#REF!+QHJ59,"")</f>
        <v/>
      </c>
      <c r="QHK62" s="87" t="str">
        <f>IF(ISNUMBER(outYear),QHK37+QHK42+#REF!+QHK59,"")</f>
        <v/>
      </c>
      <c r="QHL62" s="87" t="str">
        <f>IF(ISNUMBER(outYear),QHL37+QHL42+#REF!+QHL59,"")</f>
        <v/>
      </c>
      <c r="QHM62" s="87" t="str">
        <f>IF(ISNUMBER(outYear),QHM37+QHM42+#REF!+QHM59,"")</f>
        <v/>
      </c>
      <c r="QHN62" s="87" t="str">
        <f>IF(ISNUMBER(outYear),QHN37+QHN42+#REF!+QHN59,"")</f>
        <v/>
      </c>
      <c r="QHO62" s="87" t="str">
        <f>IF(ISNUMBER(outYear),QHO37+QHO42+#REF!+QHO59,"")</f>
        <v/>
      </c>
      <c r="QHP62" s="87" t="str">
        <f>IF(ISNUMBER(outYear),QHP37+QHP42+#REF!+QHP59,"")</f>
        <v/>
      </c>
      <c r="QHQ62" s="87" t="str">
        <f>IF(ISNUMBER(outYear),QHQ37+QHQ42+#REF!+QHQ59,"")</f>
        <v/>
      </c>
      <c r="QHR62" s="87" t="str">
        <f>IF(ISNUMBER(outYear),QHR37+QHR42+#REF!+QHR59,"")</f>
        <v/>
      </c>
      <c r="QHS62" s="87" t="str">
        <f>IF(ISNUMBER(outYear),QHS37+QHS42+#REF!+QHS59,"")</f>
        <v/>
      </c>
      <c r="QHT62" s="87" t="str">
        <f>IF(ISNUMBER(outYear),QHT37+QHT42+#REF!+QHT59,"")</f>
        <v/>
      </c>
      <c r="QHU62" s="87" t="str">
        <f>IF(ISNUMBER(outYear),QHU37+QHU42+#REF!+QHU59,"")</f>
        <v/>
      </c>
      <c r="QHV62" s="87" t="str">
        <f>IF(ISNUMBER(outYear),QHV37+QHV42+#REF!+QHV59,"")</f>
        <v/>
      </c>
      <c r="QHW62" s="87" t="str">
        <f>IF(ISNUMBER(outYear),QHW37+QHW42+#REF!+QHW59,"")</f>
        <v/>
      </c>
      <c r="QHX62" s="87" t="str">
        <f>IF(ISNUMBER(outYear),QHX37+QHX42+#REF!+QHX59,"")</f>
        <v/>
      </c>
      <c r="QHY62" s="87" t="str">
        <f>IF(ISNUMBER(outYear),QHY37+QHY42+#REF!+QHY59,"")</f>
        <v/>
      </c>
      <c r="QHZ62" s="87" t="str">
        <f>IF(ISNUMBER(outYear),QHZ37+QHZ42+#REF!+QHZ59,"")</f>
        <v/>
      </c>
      <c r="QIA62" s="87" t="str">
        <f>IF(ISNUMBER(outYear),QIA37+QIA42+#REF!+QIA59,"")</f>
        <v/>
      </c>
      <c r="QIB62" s="87" t="str">
        <f>IF(ISNUMBER(outYear),QIB37+QIB42+#REF!+QIB59,"")</f>
        <v/>
      </c>
      <c r="QIC62" s="87" t="str">
        <f>IF(ISNUMBER(outYear),QIC37+QIC42+#REF!+QIC59,"")</f>
        <v/>
      </c>
      <c r="QID62" s="87" t="str">
        <f>IF(ISNUMBER(outYear),QID37+QID42+#REF!+QID59,"")</f>
        <v/>
      </c>
      <c r="QIE62" s="87" t="str">
        <f>IF(ISNUMBER(outYear),QIE37+QIE42+#REF!+QIE59,"")</f>
        <v/>
      </c>
      <c r="QIF62" s="87" t="str">
        <f>IF(ISNUMBER(outYear),QIF37+QIF42+#REF!+QIF59,"")</f>
        <v/>
      </c>
      <c r="QIG62" s="87" t="str">
        <f>IF(ISNUMBER(outYear),QIG37+QIG42+#REF!+QIG59,"")</f>
        <v/>
      </c>
      <c r="QIH62" s="87" t="str">
        <f>IF(ISNUMBER(outYear),QIH37+QIH42+#REF!+QIH59,"")</f>
        <v/>
      </c>
      <c r="QII62" s="87" t="str">
        <f>IF(ISNUMBER(outYear),QII37+QII42+#REF!+QII59,"")</f>
        <v/>
      </c>
      <c r="QIJ62" s="87" t="str">
        <f>IF(ISNUMBER(outYear),QIJ37+QIJ42+#REF!+QIJ59,"")</f>
        <v/>
      </c>
      <c r="QIK62" s="87" t="str">
        <f>IF(ISNUMBER(outYear),QIK37+QIK42+#REF!+QIK59,"")</f>
        <v/>
      </c>
      <c r="QIL62" s="87" t="str">
        <f>IF(ISNUMBER(outYear),QIL37+QIL42+#REF!+QIL59,"")</f>
        <v/>
      </c>
      <c r="QIM62" s="87" t="str">
        <f>IF(ISNUMBER(outYear),QIM37+QIM42+#REF!+QIM59,"")</f>
        <v/>
      </c>
      <c r="QIN62" s="87" t="str">
        <f>IF(ISNUMBER(outYear),QIN37+QIN42+#REF!+QIN59,"")</f>
        <v/>
      </c>
      <c r="QIO62" s="87" t="str">
        <f>IF(ISNUMBER(outYear),QIO37+QIO42+#REF!+QIO59,"")</f>
        <v/>
      </c>
      <c r="QIP62" s="87" t="str">
        <f>IF(ISNUMBER(outYear),QIP37+QIP42+#REF!+QIP59,"")</f>
        <v/>
      </c>
      <c r="QIQ62" s="87" t="str">
        <f>IF(ISNUMBER(outYear),QIQ37+QIQ42+#REF!+QIQ59,"")</f>
        <v/>
      </c>
      <c r="QIR62" s="87" t="str">
        <f>IF(ISNUMBER(outYear),QIR37+QIR42+#REF!+QIR59,"")</f>
        <v/>
      </c>
      <c r="QIS62" s="87" t="str">
        <f>IF(ISNUMBER(outYear),QIS37+QIS42+#REF!+QIS59,"")</f>
        <v/>
      </c>
      <c r="QIT62" s="87" t="str">
        <f>IF(ISNUMBER(outYear),QIT37+QIT42+#REF!+QIT59,"")</f>
        <v/>
      </c>
      <c r="QIU62" s="87" t="str">
        <f>IF(ISNUMBER(outYear),QIU37+QIU42+#REF!+QIU59,"")</f>
        <v/>
      </c>
      <c r="QIV62" s="87" t="str">
        <f>IF(ISNUMBER(outYear),QIV37+QIV42+#REF!+QIV59,"")</f>
        <v/>
      </c>
      <c r="QIW62" s="87" t="str">
        <f>IF(ISNUMBER(outYear),QIW37+QIW42+#REF!+QIW59,"")</f>
        <v/>
      </c>
      <c r="QIX62" s="87" t="str">
        <f>IF(ISNUMBER(outYear),QIX37+QIX42+#REF!+QIX59,"")</f>
        <v/>
      </c>
      <c r="QIY62" s="87" t="str">
        <f>IF(ISNUMBER(outYear),QIY37+QIY42+#REF!+QIY59,"")</f>
        <v/>
      </c>
      <c r="QIZ62" s="87" t="str">
        <f>IF(ISNUMBER(outYear),QIZ37+QIZ42+#REF!+QIZ59,"")</f>
        <v/>
      </c>
      <c r="QJA62" s="87" t="str">
        <f>IF(ISNUMBER(outYear),QJA37+QJA42+#REF!+QJA59,"")</f>
        <v/>
      </c>
      <c r="QJB62" s="87" t="str">
        <f>IF(ISNUMBER(outYear),QJB37+QJB42+#REF!+QJB59,"")</f>
        <v/>
      </c>
      <c r="QJC62" s="87" t="str">
        <f>IF(ISNUMBER(outYear),QJC37+QJC42+#REF!+QJC59,"")</f>
        <v/>
      </c>
      <c r="QJD62" s="87" t="str">
        <f>IF(ISNUMBER(outYear),QJD37+QJD42+#REF!+QJD59,"")</f>
        <v/>
      </c>
      <c r="QJE62" s="87" t="str">
        <f>IF(ISNUMBER(outYear),QJE37+QJE42+#REF!+QJE59,"")</f>
        <v/>
      </c>
      <c r="QJF62" s="87" t="str">
        <f>IF(ISNUMBER(outYear),QJF37+QJF42+#REF!+QJF59,"")</f>
        <v/>
      </c>
      <c r="QJG62" s="87" t="str">
        <f>IF(ISNUMBER(outYear),QJG37+QJG42+#REF!+QJG59,"")</f>
        <v/>
      </c>
      <c r="QJH62" s="87" t="str">
        <f>IF(ISNUMBER(outYear),QJH37+QJH42+#REF!+QJH59,"")</f>
        <v/>
      </c>
      <c r="QJI62" s="87" t="str">
        <f>IF(ISNUMBER(outYear),QJI37+QJI42+#REF!+QJI59,"")</f>
        <v/>
      </c>
      <c r="QJJ62" s="87" t="str">
        <f>IF(ISNUMBER(outYear),QJJ37+QJJ42+#REF!+QJJ59,"")</f>
        <v/>
      </c>
      <c r="QJK62" s="87" t="str">
        <f>IF(ISNUMBER(outYear),QJK37+QJK42+#REF!+QJK59,"")</f>
        <v/>
      </c>
      <c r="QJL62" s="87" t="str">
        <f>IF(ISNUMBER(outYear),QJL37+QJL42+#REF!+QJL59,"")</f>
        <v/>
      </c>
      <c r="QJM62" s="87" t="str">
        <f>IF(ISNUMBER(outYear),QJM37+QJM42+#REF!+QJM59,"")</f>
        <v/>
      </c>
      <c r="QJN62" s="87" t="str">
        <f>IF(ISNUMBER(outYear),QJN37+QJN42+#REF!+QJN59,"")</f>
        <v/>
      </c>
      <c r="QJO62" s="87" t="str">
        <f>IF(ISNUMBER(outYear),QJO37+QJO42+#REF!+QJO59,"")</f>
        <v/>
      </c>
      <c r="QJP62" s="87" t="str">
        <f>IF(ISNUMBER(outYear),QJP37+QJP42+#REF!+QJP59,"")</f>
        <v/>
      </c>
      <c r="QJQ62" s="87" t="str">
        <f>IF(ISNUMBER(outYear),QJQ37+QJQ42+#REF!+QJQ59,"")</f>
        <v/>
      </c>
      <c r="QJR62" s="87" t="str">
        <f>IF(ISNUMBER(outYear),QJR37+QJR42+#REF!+QJR59,"")</f>
        <v/>
      </c>
      <c r="QJS62" s="87" t="str">
        <f>IF(ISNUMBER(outYear),QJS37+QJS42+#REF!+QJS59,"")</f>
        <v/>
      </c>
      <c r="QJT62" s="87" t="str">
        <f>IF(ISNUMBER(outYear),QJT37+QJT42+#REF!+QJT59,"")</f>
        <v/>
      </c>
      <c r="QJU62" s="87" t="str">
        <f>IF(ISNUMBER(outYear),QJU37+QJU42+#REF!+QJU59,"")</f>
        <v/>
      </c>
      <c r="QJV62" s="87" t="str">
        <f>IF(ISNUMBER(outYear),QJV37+QJV42+#REF!+QJV59,"")</f>
        <v/>
      </c>
      <c r="QJW62" s="87" t="str">
        <f>IF(ISNUMBER(outYear),QJW37+QJW42+#REF!+QJW59,"")</f>
        <v/>
      </c>
      <c r="QJX62" s="87" t="str">
        <f>IF(ISNUMBER(outYear),QJX37+QJX42+#REF!+QJX59,"")</f>
        <v/>
      </c>
      <c r="QJY62" s="87" t="str">
        <f>IF(ISNUMBER(outYear),QJY37+QJY42+#REF!+QJY59,"")</f>
        <v/>
      </c>
      <c r="QJZ62" s="87" t="str">
        <f>IF(ISNUMBER(outYear),QJZ37+QJZ42+#REF!+QJZ59,"")</f>
        <v/>
      </c>
      <c r="QKA62" s="87" t="str">
        <f>IF(ISNUMBER(outYear),QKA37+QKA42+#REF!+QKA59,"")</f>
        <v/>
      </c>
      <c r="QKB62" s="87" t="str">
        <f>IF(ISNUMBER(outYear),QKB37+QKB42+#REF!+QKB59,"")</f>
        <v/>
      </c>
      <c r="QKC62" s="87" t="str">
        <f>IF(ISNUMBER(outYear),QKC37+QKC42+#REF!+QKC59,"")</f>
        <v/>
      </c>
      <c r="QKD62" s="87" t="str">
        <f>IF(ISNUMBER(outYear),QKD37+QKD42+#REF!+QKD59,"")</f>
        <v/>
      </c>
      <c r="QKE62" s="87" t="str">
        <f>IF(ISNUMBER(outYear),QKE37+QKE42+#REF!+QKE59,"")</f>
        <v/>
      </c>
      <c r="QKF62" s="87" t="str">
        <f>IF(ISNUMBER(outYear),QKF37+QKF42+#REF!+QKF59,"")</f>
        <v/>
      </c>
      <c r="QKG62" s="87" t="str">
        <f>IF(ISNUMBER(outYear),QKG37+QKG42+#REF!+QKG59,"")</f>
        <v/>
      </c>
      <c r="QKH62" s="87" t="str">
        <f>IF(ISNUMBER(outYear),QKH37+QKH42+#REF!+QKH59,"")</f>
        <v/>
      </c>
      <c r="QKI62" s="87" t="str">
        <f>IF(ISNUMBER(outYear),QKI37+QKI42+#REF!+QKI59,"")</f>
        <v/>
      </c>
      <c r="QKJ62" s="87" t="str">
        <f>IF(ISNUMBER(outYear),QKJ37+QKJ42+#REF!+QKJ59,"")</f>
        <v/>
      </c>
      <c r="QKK62" s="87" t="str">
        <f>IF(ISNUMBER(outYear),QKK37+QKK42+#REF!+QKK59,"")</f>
        <v/>
      </c>
      <c r="QKL62" s="87" t="str">
        <f>IF(ISNUMBER(outYear),QKL37+QKL42+#REF!+QKL59,"")</f>
        <v/>
      </c>
      <c r="QKM62" s="87" t="str">
        <f>IF(ISNUMBER(outYear),QKM37+QKM42+#REF!+QKM59,"")</f>
        <v/>
      </c>
      <c r="QKN62" s="87" t="str">
        <f>IF(ISNUMBER(outYear),QKN37+QKN42+#REF!+QKN59,"")</f>
        <v/>
      </c>
      <c r="QKO62" s="87" t="str">
        <f>IF(ISNUMBER(outYear),QKO37+QKO42+#REF!+QKO59,"")</f>
        <v/>
      </c>
      <c r="QKP62" s="87" t="str">
        <f>IF(ISNUMBER(outYear),QKP37+QKP42+#REF!+QKP59,"")</f>
        <v/>
      </c>
      <c r="QKQ62" s="87" t="str">
        <f>IF(ISNUMBER(outYear),QKQ37+QKQ42+#REF!+QKQ59,"")</f>
        <v/>
      </c>
      <c r="QKR62" s="87" t="str">
        <f>IF(ISNUMBER(outYear),QKR37+QKR42+#REF!+QKR59,"")</f>
        <v/>
      </c>
      <c r="QKS62" s="87" t="str">
        <f>IF(ISNUMBER(outYear),QKS37+QKS42+#REF!+QKS59,"")</f>
        <v/>
      </c>
      <c r="QKT62" s="87" t="str">
        <f>IF(ISNUMBER(outYear),QKT37+QKT42+#REF!+QKT59,"")</f>
        <v/>
      </c>
      <c r="QKU62" s="87" t="str">
        <f>IF(ISNUMBER(outYear),QKU37+QKU42+#REF!+QKU59,"")</f>
        <v/>
      </c>
      <c r="QKV62" s="87" t="str">
        <f>IF(ISNUMBER(outYear),QKV37+QKV42+#REF!+QKV59,"")</f>
        <v/>
      </c>
      <c r="QKW62" s="87" t="str">
        <f>IF(ISNUMBER(outYear),QKW37+QKW42+#REF!+QKW59,"")</f>
        <v/>
      </c>
      <c r="QKX62" s="87" t="str">
        <f>IF(ISNUMBER(outYear),QKX37+QKX42+#REF!+QKX59,"")</f>
        <v/>
      </c>
      <c r="QKY62" s="87" t="str">
        <f>IF(ISNUMBER(outYear),QKY37+QKY42+#REF!+QKY59,"")</f>
        <v/>
      </c>
      <c r="QKZ62" s="87" t="str">
        <f>IF(ISNUMBER(outYear),QKZ37+QKZ42+#REF!+QKZ59,"")</f>
        <v/>
      </c>
      <c r="QLA62" s="87" t="str">
        <f>IF(ISNUMBER(outYear),QLA37+QLA42+#REF!+QLA59,"")</f>
        <v/>
      </c>
      <c r="QLB62" s="87" t="str">
        <f>IF(ISNUMBER(outYear),QLB37+QLB42+#REF!+QLB59,"")</f>
        <v/>
      </c>
      <c r="QLC62" s="87" t="str">
        <f>IF(ISNUMBER(outYear),QLC37+QLC42+#REF!+QLC59,"")</f>
        <v/>
      </c>
      <c r="QLD62" s="87" t="str">
        <f>IF(ISNUMBER(outYear),QLD37+QLD42+#REF!+QLD59,"")</f>
        <v/>
      </c>
      <c r="QLE62" s="87" t="str">
        <f>IF(ISNUMBER(outYear),QLE37+QLE42+#REF!+QLE59,"")</f>
        <v/>
      </c>
      <c r="QLF62" s="87" t="str">
        <f>IF(ISNUMBER(outYear),QLF37+QLF42+#REF!+QLF59,"")</f>
        <v/>
      </c>
      <c r="QLG62" s="87" t="str">
        <f>IF(ISNUMBER(outYear),QLG37+QLG42+#REF!+QLG59,"")</f>
        <v/>
      </c>
      <c r="QLH62" s="87" t="str">
        <f>IF(ISNUMBER(outYear),QLH37+QLH42+#REF!+QLH59,"")</f>
        <v/>
      </c>
      <c r="QLI62" s="87" t="str">
        <f>IF(ISNUMBER(outYear),QLI37+QLI42+#REF!+QLI59,"")</f>
        <v/>
      </c>
      <c r="QLJ62" s="87" t="str">
        <f>IF(ISNUMBER(outYear),QLJ37+QLJ42+#REF!+QLJ59,"")</f>
        <v/>
      </c>
      <c r="QLK62" s="87" t="str">
        <f>IF(ISNUMBER(outYear),QLK37+QLK42+#REF!+QLK59,"")</f>
        <v/>
      </c>
      <c r="QLL62" s="87" t="str">
        <f>IF(ISNUMBER(outYear),QLL37+QLL42+#REF!+QLL59,"")</f>
        <v/>
      </c>
      <c r="QLM62" s="87" t="str">
        <f>IF(ISNUMBER(outYear),QLM37+QLM42+#REF!+QLM59,"")</f>
        <v/>
      </c>
      <c r="QLN62" s="87" t="str">
        <f>IF(ISNUMBER(outYear),QLN37+QLN42+#REF!+QLN59,"")</f>
        <v/>
      </c>
      <c r="QLO62" s="87" t="str">
        <f>IF(ISNUMBER(outYear),QLO37+QLO42+#REF!+QLO59,"")</f>
        <v/>
      </c>
      <c r="QLP62" s="87" t="str">
        <f>IF(ISNUMBER(outYear),QLP37+QLP42+#REF!+QLP59,"")</f>
        <v/>
      </c>
      <c r="QLQ62" s="87" t="str">
        <f>IF(ISNUMBER(outYear),QLQ37+QLQ42+#REF!+QLQ59,"")</f>
        <v/>
      </c>
      <c r="QLR62" s="87" t="str">
        <f>IF(ISNUMBER(outYear),QLR37+QLR42+#REF!+QLR59,"")</f>
        <v/>
      </c>
      <c r="QLS62" s="87" t="str">
        <f>IF(ISNUMBER(outYear),QLS37+QLS42+#REF!+QLS59,"")</f>
        <v/>
      </c>
      <c r="QLT62" s="87" t="str">
        <f>IF(ISNUMBER(outYear),QLT37+QLT42+#REF!+QLT59,"")</f>
        <v/>
      </c>
      <c r="QLU62" s="87" t="str">
        <f>IF(ISNUMBER(outYear),QLU37+QLU42+#REF!+QLU59,"")</f>
        <v/>
      </c>
      <c r="QLV62" s="87" t="str">
        <f>IF(ISNUMBER(outYear),QLV37+QLV42+#REF!+QLV59,"")</f>
        <v/>
      </c>
      <c r="QLW62" s="87" t="str">
        <f>IF(ISNUMBER(outYear),QLW37+QLW42+#REF!+QLW59,"")</f>
        <v/>
      </c>
      <c r="QLX62" s="87" t="str">
        <f>IF(ISNUMBER(outYear),QLX37+QLX42+#REF!+QLX59,"")</f>
        <v/>
      </c>
      <c r="QLY62" s="87" t="str">
        <f>IF(ISNUMBER(outYear),QLY37+QLY42+#REF!+QLY59,"")</f>
        <v/>
      </c>
      <c r="QLZ62" s="87" t="str">
        <f>IF(ISNUMBER(outYear),QLZ37+QLZ42+#REF!+QLZ59,"")</f>
        <v/>
      </c>
      <c r="QMA62" s="87" t="str">
        <f>IF(ISNUMBER(outYear),QMA37+QMA42+#REF!+QMA59,"")</f>
        <v/>
      </c>
      <c r="QMB62" s="87" t="str">
        <f>IF(ISNUMBER(outYear),QMB37+QMB42+#REF!+QMB59,"")</f>
        <v/>
      </c>
      <c r="QMC62" s="87" t="str">
        <f>IF(ISNUMBER(outYear),QMC37+QMC42+#REF!+QMC59,"")</f>
        <v/>
      </c>
      <c r="QMD62" s="87" t="str">
        <f>IF(ISNUMBER(outYear),QMD37+QMD42+#REF!+QMD59,"")</f>
        <v/>
      </c>
      <c r="QME62" s="87" t="str">
        <f>IF(ISNUMBER(outYear),QME37+QME42+#REF!+QME59,"")</f>
        <v/>
      </c>
      <c r="QMF62" s="87" t="str">
        <f>IF(ISNUMBER(outYear),QMF37+QMF42+#REF!+QMF59,"")</f>
        <v/>
      </c>
      <c r="QMG62" s="87" t="str">
        <f>IF(ISNUMBER(outYear),QMG37+QMG42+#REF!+QMG59,"")</f>
        <v/>
      </c>
      <c r="QMH62" s="87" t="str">
        <f>IF(ISNUMBER(outYear),QMH37+QMH42+#REF!+QMH59,"")</f>
        <v/>
      </c>
      <c r="QMI62" s="87" t="str">
        <f>IF(ISNUMBER(outYear),QMI37+QMI42+#REF!+QMI59,"")</f>
        <v/>
      </c>
      <c r="QMJ62" s="87" t="str">
        <f>IF(ISNUMBER(outYear),QMJ37+QMJ42+#REF!+QMJ59,"")</f>
        <v/>
      </c>
      <c r="QMK62" s="87" t="str">
        <f>IF(ISNUMBER(outYear),QMK37+QMK42+#REF!+QMK59,"")</f>
        <v/>
      </c>
      <c r="QML62" s="87" t="str">
        <f>IF(ISNUMBER(outYear),QML37+QML42+#REF!+QML59,"")</f>
        <v/>
      </c>
      <c r="QMM62" s="87" t="str">
        <f>IF(ISNUMBER(outYear),QMM37+QMM42+#REF!+QMM59,"")</f>
        <v/>
      </c>
      <c r="QMN62" s="87" t="str">
        <f>IF(ISNUMBER(outYear),QMN37+QMN42+#REF!+QMN59,"")</f>
        <v/>
      </c>
      <c r="QMO62" s="87" t="str">
        <f>IF(ISNUMBER(outYear),QMO37+QMO42+#REF!+QMO59,"")</f>
        <v/>
      </c>
      <c r="QMP62" s="87" t="str">
        <f>IF(ISNUMBER(outYear),QMP37+QMP42+#REF!+QMP59,"")</f>
        <v/>
      </c>
      <c r="QMQ62" s="87" t="str">
        <f>IF(ISNUMBER(outYear),QMQ37+QMQ42+#REF!+QMQ59,"")</f>
        <v/>
      </c>
      <c r="QMR62" s="87" t="str">
        <f>IF(ISNUMBER(outYear),QMR37+QMR42+#REF!+QMR59,"")</f>
        <v/>
      </c>
      <c r="QMS62" s="87" t="str">
        <f>IF(ISNUMBER(outYear),QMS37+QMS42+#REF!+QMS59,"")</f>
        <v/>
      </c>
      <c r="QMT62" s="87" t="str">
        <f>IF(ISNUMBER(outYear),QMT37+QMT42+#REF!+QMT59,"")</f>
        <v/>
      </c>
      <c r="QMU62" s="87" t="str">
        <f>IF(ISNUMBER(outYear),QMU37+QMU42+#REF!+QMU59,"")</f>
        <v/>
      </c>
      <c r="QMV62" s="87" t="str">
        <f>IF(ISNUMBER(outYear),QMV37+QMV42+#REF!+QMV59,"")</f>
        <v/>
      </c>
      <c r="QMW62" s="87" t="str">
        <f>IF(ISNUMBER(outYear),QMW37+QMW42+#REF!+QMW59,"")</f>
        <v/>
      </c>
      <c r="QMX62" s="87" t="str">
        <f>IF(ISNUMBER(outYear),QMX37+QMX42+#REF!+QMX59,"")</f>
        <v/>
      </c>
      <c r="QMY62" s="87" t="str">
        <f>IF(ISNUMBER(outYear),QMY37+QMY42+#REF!+QMY59,"")</f>
        <v/>
      </c>
      <c r="QMZ62" s="87" t="str">
        <f>IF(ISNUMBER(outYear),QMZ37+QMZ42+#REF!+QMZ59,"")</f>
        <v/>
      </c>
      <c r="QNA62" s="87" t="str">
        <f>IF(ISNUMBER(outYear),QNA37+QNA42+#REF!+QNA59,"")</f>
        <v/>
      </c>
      <c r="QNB62" s="87" t="str">
        <f>IF(ISNUMBER(outYear),QNB37+QNB42+#REF!+QNB59,"")</f>
        <v/>
      </c>
      <c r="QNC62" s="87" t="str">
        <f>IF(ISNUMBER(outYear),QNC37+QNC42+#REF!+QNC59,"")</f>
        <v/>
      </c>
      <c r="QND62" s="87" t="str">
        <f>IF(ISNUMBER(outYear),QND37+QND42+#REF!+QND59,"")</f>
        <v/>
      </c>
      <c r="QNE62" s="87" t="str">
        <f>IF(ISNUMBER(outYear),QNE37+QNE42+#REF!+QNE59,"")</f>
        <v/>
      </c>
      <c r="QNF62" s="87" t="str">
        <f>IF(ISNUMBER(outYear),QNF37+QNF42+#REF!+QNF59,"")</f>
        <v/>
      </c>
      <c r="QNG62" s="87" t="str">
        <f>IF(ISNUMBER(outYear),QNG37+QNG42+#REF!+QNG59,"")</f>
        <v/>
      </c>
      <c r="QNH62" s="87" t="str">
        <f>IF(ISNUMBER(outYear),QNH37+QNH42+#REF!+QNH59,"")</f>
        <v/>
      </c>
      <c r="QNI62" s="87" t="str">
        <f>IF(ISNUMBER(outYear),QNI37+QNI42+#REF!+QNI59,"")</f>
        <v/>
      </c>
      <c r="QNJ62" s="87" t="str">
        <f>IF(ISNUMBER(outYear),QNJ37+QNJ42+#REF!+QNJ59,"")</f>
        <v/>
      </c>
      <c r="QNK62" s="87" t="str">
        <f>IF(ISNUMBER(outYear),QNK37+QNK42+#REF!+QNK59,"")</f>
        <v/>
      </c>
      <c r="QNL62" s="87" t="str">
        <f>IF(ISNUMBER(outYear),QNL37+QNL42+#REF!+QNL59,"")</f>
        <v/>
      </c>
      <c r="QNM62" s="87" t="str">
        <f>IF(ISNUMBER(outYear),QNM37+QNM42+#REF!+QNM59,"")</f>
        <v/>
      </c>
      <c r="QNN62" s="87" t="str">
        <f>IF(ISNUMBER(outYear),QNN37+QNN42+#REF!+QNN59,"")</f>
        <v/>
      </c>
      <c r="QNO62" s="87" t="str">
        <f>IF(ISNUMBER(outYear),QNO37+QNO42+#REF!+QNO59,"")</f>
        <v/>
      </c>
      <c r="QNP62" s="87" t="str">
        <f>IF(ISNUMBER(outYear),QNP37+QNP42+#REF!+QNP59,"")</f>
        <v/>
      </c>
      <c r="QNQ62" s="87" t="str">
        <f>IF(ISNUMBER(outYear),QNQ37+QNQ42+#REF!+QNQ59,"")</f>
        <v/>
      </c>
      <c r="QNR62" s="87" t="str">
        <f>IF(ISNUMBER(outYear),QNR37+QNR42+#REF!+QNR59,"")</f>
        <v/>
      </c>
      <c r="QNS62" s="87" t="str">
        <f>IF(ISNUMBER(outYear),QNS37+QNS42+#REF!+QNS59,"")</f>
        <v/>
      </c>
      <c r="QNT62" s="87" t="str">
        <f>IF(ISNUMBER(outYear),QNT37+QNT42+#REF!+QNT59,"")</f>
        <v/>
      </c>
      <c r="QNU62" s="87" t="str">
        <f>IF(ISNUMBER(outYear),QNU37+QNU42+#REF!+QNU59,"")</f>
        <v/>
      </c>
      <c r="QNV62" s="87" t="str">
        <f>IF(ISNUMBER(outYear),QNV37+QNV42+#REF!+QNV59,"")</f>
        <v/>
      </c>
      <c r="QNW62" s="87" t="str">
        <f>IF(ISNUMBER(outYear),QNW37+QNW42+#REF!+QNW59,"")</f>
        <v/>
      </c>
      <c r="QNX62" s="87" t="str">
        <f>IF(ISNUMBER(outYear),QNX37+QNX42+#REF!+QNX59,"")</f>
        <v/>
      </c>
      <c r="QNY62" s="87" t="str">
        <f>IF(ISNUMBER(outYear),QNY37+QNY42+#REF!+QNY59,"")</f>
        <v/>
      </c>
      <c r="QNZ62" s="87" t="str">
        <f>IF(ISNUMBER(outYear),QNZ37+QNZ42+#REF!+QNZ59,"")</f>
        <v/>
      </c>
      <c r="QOA62" s="87" t="str">
        <f>IF(ISNUMBER(outYear),QOA37+QOA42+#REF!+QOA59,"")</f>
        <v/>
      </c>
      <c r="QOB62" s="87" t="str">
        <f>IF(ISNUMBER(outYear),QOB37+QOB42+#REF!+QOB59,"")</f>
        <v/>
      </c>
      <c r="QOC62" s="87" t="str">
        <f>IF(ISNUMBER(outYear),QOC37+QOC42+#REF!+QOC59,"")</f>
        <v/>
      </c>
      <c r="QOD62" s="87" t="str">
        <f>IF(ISNUMBER(outYear),QOD37+QOD42+#REF!+QOD59,"")</f>
        <v/>
      </c>
      <c r="QOE62" s="87" t="str">
        <f>IF(ISNUMBER(outYear),QOE37+QOE42+#REF!+QOE59,"")</f>
        <v/>
      </c>
      <c r="QOF62" s="87" t="str">
        <f>IF(ISNUMBER(outYear),QOF37+QOF42+#REF!+QOF59,"")</f>
        <v/>
      </c>
      <c r="QOG62" s="87" t="str">
        <f>IF(ISNUMBER(outYear),QOG37+QOG42+#REF!+QOG59,"")</f>
        <v/>
      </c>
      <c r="QOH62" s="87" t="str">
        <f>IF(ISNUMBER(outYear),QOH37+QOH42+#REF!+QOH59,"")</f>
        <v/>
      </c>
      <c r="QOI62" s="87" t="str">
        <f>IF(ISNUMBER(outYear),QOI37+QOI42+#REF!+QOI59,"")</f>
        <v/>
      </c>
      <c r="QOJ62" s="87" t="str">
        <f>IF(ISNUMBER(outYear),QOJ37+QOJ42+#REF!+QOJ59,"")</f>
        <v/>
      </c>
      <c r="QOK62" s="87" t="str">
        <f>IF(ISNUMBER(outYear),QOK37+QOK42+#REF!+QOK59,"")</f>
        <v/>
      </c>
      <c r="QOL62" s="87" t="str">
        <f>IF(ISNUMBER(outYear),QOL37+QOL42+#REF!+QOL59,"")</f>
        <v/>
      </c>
      <c r="QOM62" s="87" t="str">
        <f>IF(ISNUMBER(outYear),QOM37+QOM42+#REF!+QOM59,"")</f>
        <v/>
      </c>
      <c r="QON62" s="87" t="str">
        <f>IF(ISNUMBER(outYear),QON37+QON42+#REF!+QON59,"")</f>
        <v/>
      </c>
      <c r="QOO62" s="87" t="str">
        <f>IF(ISNUMBER(outYear),QOO37+QOO42+#REF!+QOO59,"")</f>
        <v/>
      </c>
      <c r="QOP62" s="87" t="str">
        <f>IF(ISNUMBER(outYear),QOP37+QOP42+#REF!+QOP59,"")</f>
        <v/>
      </c>
      <c r="QOQ62" s="87" t="str">
        <f>IF(ISNUMBER(outYear),QOQ37+QOQ42+#REF!+QOQ59,"")</f>
        <v/>
      </c>
      <c r="QOR62" s="87" t="str">
        <f>IF(ISNUMBER(outYear),QOR37+QOR42+#REF!+QOR59,"")</f>
        <v/>
      </c>
      <c r="QOS62" s="87" t="str">
        <f>IF(ISNUMBER(outYear),QOS37+QOS42+#REF!+QOS59,"")</f>
        <v/>
      </c>
      <c r="QOT62" s="87" t="str">
        <f>IF(ISNUMBER(outYear),QOT37+QOT42+#REF!+QOT59,"")</f>
        <v/>
      </c>
      <c r="QOU62" s="87" t="str">
        <f>IF(ISNUMBER(outYear),QOU37+QOU42+#REF!+QOU59,"")</f>
        <v/>
      </c>
      <c r="QOV62" s="87" t="str">
        <f>IF(ISNUMBER(outYear),QOV37+QOV42+#REF!+QOV59,"")</f>
        <v/>
      </c>
      <c r="QOW62" s="87" t="str">
        <f>IF(ISNUMBER(outYear),QOW37+QOW42+#REF!+QOW59,"")</f>
        <v/>
      </c>
      <c r="QOX62" s="87" t="str">
        <f>IF(ISNUMBER(outYear),QOX37+QOX42+#REF!+QOX59,"")</f>
        <v/>
      </c>
      <c r="QOY62" s="87" t="str">
        <f>IF(ISNUMBER(outYear),QOY37+QOY42+#REF!+QOY59,"")</f>
        <v/>
      </c>
      <c r="QOZ62" s="87" t="str">
        <f>IF(ISNUMBER(outYear),QOZ37+QOZ42+#REF!+QOZ59,"")</f>
        <v/>
      </c>
      <c r="QPA62" s="87" t="str">
        <f>IF(ISNUMBER(outYear),QPA37+QPA42+#REF!+QPA59,"")</f>
        <v/>
      </c>
      <c r="QPB62" s="87" t="str">
        <f>IF(ISNUMBER(outYear),QPB37+QPB42+#REF!+QPB59,"")</f>
        <v/>
      </c>
      <c r="QPC62" s="87" t="str">
        <f>IF(ISNUMBER(outYear),QPC37+QPC42+#REF!+QPC59,"")</f>
        <v/>
      </c>
      <c r="QPD62" s="87" t="str">
        <f>IF(ISNUMBER(outYear),QPD37+QPD42+#REF!+QPD59,"")</f>
        <v/>
      </c>
      <c r="QPE62" s="87" t="str">
        <f>IF(ISNUMBER(outYear),QPE37+QPE42+#REF!+QPE59,"")</f>
        <v/>
      </c>
      <c r="QPF62" s="87" t="str">
        <f>IF(ISNUMBER(outYear),QPF37+QPF42+#REF!+QPF59,"")</f>
        <v/>
      </c>
      <c r="QPG62" s="87" t="str">
        <f>IF(ISNUMBER(outYear),QPG37+QPG42+#REF!+QPG59,"")</f>
        <v/>
      </c>
      <c r="QPH62" s="87" t="str">
        <f>IF(ISNUMBER(outYear),QPH37+QPH42+#REF!+QPH59,"")</f>
        <v/>
      </c>
      <c r="QPI62" s="87" t="str">
        <f>IF(ISNUMBER(outYear),QPI37+QPI42+#REF!+QPI59,"")</f>
        <v/>
      </c>
      <c r="QPJ62" s="87" t="str">
        <f>IF(ISNUMBER(outYear),QPJ37+QPJ42+#REF!+QPJ59,"")</f>
        <v/>
      </c>
      <c r="QPK62" s="87" t="str">
        <f>IF(ISNUMBER(outYear),QPK37+QPK42+#REF!+QPK59,"")</f>
        <v/>
      </c>
      <c r="QPL62" s="87" t="str">
        <f>IF(ISNUMBER(outYear),QPL37+QPL42+#REF!+QPL59,"")</f>
        <v/>
      </c>
      <c r="QPM62" s="87" t="str">
        <f>IF(ISNUMBER(outYear),QPM37+QPM42+#REF!+QPM59,"")</f>
        <v/>
      </c>
      <c r="QPN62" s="87" t="str">
        <f>IF(ISNUMBER(outYear),QPN37+QPN42+#REF!+QPN59,"")</f>
        <v/>
      </c>
      <c r="QPO62" s="87" t="str">
        <f>IF(ISNUMBER(outYear),QPO37+QPO42+#REF!+QPO59,"")</f>
        <v/>
      </c>
      <c r="QPP62" s="87" t="str">
        <f>IF(ISNUMBER(outYear),QPP37+QPP42+#REF!+QPP59,"")</f>
        <v/>
      </c>
      <c r="QPQ62" s="87" t="str">
        <f>IF(ISNUMBER(outYear),QPQ37+QPQ42+#REF!+QPQ59,"")</f>
        <v/>
      </c>
      <c r="QPR62" s="87" t="str">
        <f>IF(ISNUMBER(outYear),QPR37+QPR42+#REF!+QPR59,"")</f>
        <v/>
      </c>
      <c r="QPS62" s="87" t="str">
        <f>IF(ISNUMBER(outYear),QPS37+QPS42+#REF!+QPS59,"")</f>
        <v/>
      </c>
      <c r="QPT62" s="87" t="str">
        <f>IF(ISNUMBER(outYear),QPT37+QPT42+#REF!+QPT59,"")</f>
        <v/>
      </c>
      <c r="QPU62" s="87" t="str">
        <f>IF(ISNUMBER(outYear),QPU37+QPU42+#REF!+QPU59,"")</f>
        <v/>
      </c>
      <c r="QPV62" s="87" t="str">
        <f>IF(ISNUMBER(outYear),QPV37+QPV42+#REF!+QPV59,"")</f>
        <v/>
      </c>
      <c r="QPW62" s="87" t="str">
        <f>IF(ISNUMBER(outYear),QPW37+QPW42+#REF!+QPW59,"")</f>
        <v/>
      </c>
      <c r="QPX62" s="87" t="str">
        <f>IF(ISNUMBER(outYear),QPX37+QPX42+#REF!+QPX59,"")</f>
        <v/>
      </c>
      <c r="QPY62" s="87" t="str">
        <f>IF(ISNUMBER(outYear),QPY37+QPY42+#REF!+QPY59,"")</f>
        <v/>
      </c>
      <c r="QPZ62" s="87" t="str">
        <f>IF(ISNUMBER(outYear),QPZ37+QPZ42+#REF!+QPZ59,"")</f>
        <v/>
      </c>
      <c r="QQA62" s="87" t="str">
        <f>IF(ISNUMBER(outYear),QQA37+QQA42+#REF!+QQA59,"")</f>
        <v/>
      </c>
      <c r="QQB62" s="87" t="str">
        <f>IF(ISNUMBER(outYear),QQB37+QQB42+#REF!+QQB59,"")</f>
        <v/>
      </c>
      <c r="QQC62" s="87" t="str">
        <f>IF(ISNUMBER(outYear),QQC37+QQC42+#REF!+QQC59,"")</f>
        <v/>
      </c>
      <c r="QQD62" s="87" t="str">
        <f>IF(ISNUMBER(outYear),QQD37+QQD42+#REF!+QQD59,"")</f>
        <v/>
      </c>
      <c r="QQE62" s="87" t="str">
        <f>IF(ISNUMBER(outYear),QQE37+QQE42+#REF!+QQE59,"")</f>
        <v/>
      </c>
      <c r="QQF62" s="87" t="str">
        <f>IF(ISNUMBER(outYear),QQF37+QQF42+#REF!+QQF59,"")</f>
        <v/>
      </c>
      <c r="QQG62" s="87" t="str">
        <f>IF(ISNUMBER(outYear),QQG37+QQG42+#REF!+QQG59,"")</f>
        <v/>
      </c>
      <c r="QQH62" s="87" t="str">
        <f>IF(ISNUMBER(outYear),QQH37+QQH42+#REF!+QQH59,"")</f>
        <v/>
      </c>
      <c r="QQI62" s="87" t="str">
        <f>IF(ISNUMBER(outYear),QQI37+QQI42+#REF!+QQI59,"")</f>
        <v/>
      </c>
      <c r="QQJ62" s="87" t="str">
        <f>IF(ISNUMBER(outYear),QQJ37+QQJ42+#REF!+QQJ59,"")</f>
        <v/>
      </c>
      <c r="QQK62" s="87" t="str">
        <f>IF(ISNUMBER(outYear),QQK37+QQK42+#REF!+QQK59,"")</f>
        <v/>
      </c>
      <c r="QQL62" s="87" t="str">
        <f>IF(ISNUMBER(outYear),QQL37+QQL42+#REF!+QQL59,"")</f>
        <v/>
      </c>
      <c r="QQM62" s="87" t="str">
        <f>IF(ISNUMBER(outYear),QQM37+QQM42+#REF!+QQM59,"")</f>
        <v/>
      </c>
      <c r="QQN62" s="87" t="str">
        <f>IF(ISNUMBER(outYear),QQN37+QQN42+#REF!+QQN59,"")</f>
        <v/>
      </c>
      <c r="QQO62" s="87" t="str">
        <f>IF(ISNUMBER(outYear),QQO37+QQO42+#REF!+QQO59,"")</f>
        <v/>
      </c>
      <c r="QQP62" s="87" t="str">
        <f>IF(ISNUMBER(outYear),QQP37+QQP42+#REF!+QQP59,"")</f>
        <v/>
      </c>
      <c r="QQQ62" s="87" t="str">
        <f>IF(ISNUMBER(outYear),QQQ37+QQQ42+#REF!+QQQ59,"")</f>
        <v/>
      </c>
      <c r="QQR62" s="87" t="str">
        <f>IF(ISNUMBER(outYear),QQR37+QQR42+#REF!+QQR59,"")</f>
        <v/>
      </c>
      <c r="QQS62" s="87" t="str">
        <f>IF(ISNUMBER(outYear),QQS37+QQS42+#REF!+QQS59,"")</f>
        <v/>
      </c>
      <c r="QQT62" s="87" t="str">
        <f>IF(ISNUMBER(outYear),QQT37+QQT42+#REF!+QQT59,"")</f>
        <v/>
      </c>
      <c r="QQU62" s="87" t="str">
        <f>IF(ISNUMBER(outYear),QQU37+QQU42+#REF!+QQU59,"")</f>
        <v/>
      </c>
      <c r="QQV62" s="87" t="str">
        <f>IF(ISNUMBER(outYear),QQV37+QQV42+#REF!+QQV59,"")</f>
        <v/>
      </c>
      <c r="QQW62" s="87" t="str">
        <f>IF(ISNUMBER(outYear),QQW37+QQW42+#REF!+QQW59,"")</f>
        <v/>
      </c>
      <c r="QQX62" s="87" t="str">
        <f>IF(ISNUMBER(outYear),QQX37+QQX42+#REF!+QQX59,"")</f>
        <v/>
      </c>
      <c r="QQY62" s="87" t="str">
        <f>IF(ISNUMBER(outYear),QQY37+QQY42+#REF!+QQY59,"")</f>
        <v/>
      </c>
      <c r="QQZ62" s="87" t="str">
        <f>IF(ISNUMBER(outYear),QQZ37+QQZ42+#REF!+QQZ59,"")</f>
        <v/>
      </c>
      <c r="QRA62" s="87" t="str">
        <f>IF(ISNUMBER(outYear),QRA37+QRA42+#REF!+QRA59,"")</f>
        <v/>
      </c>
      <c r="QRB62" s="87" t="str">
        <f>IF(ISNUMBER(outYear),QRB37+QRB42+#REF!+QRB59,"")</f>
        <v/>
      </c>
      <c r="QRC62" s="87" t="str">
        <f>IF(ISNUMBER(outYear),QRC37+QRC42+#REF!+QRC59,"")</f>
        <v/>
      </c>
      <c r="QRD62" s="87" t="str">
        <f>IF(ISNUMBER(outYear),QRD37+QRD42+#REF!+QRD59,"")</f>
        <v/>
      </c>
      <c r="QRE62" s="87" t="str">
        <f>IF(ISNUMBER(outYear),QRE37+QRE42+#REF!+QRE59,"")</f>
        <v/>
      </c>
      <c r="QRF62" s="87" t="str">
        <f>IF(ISNUMBER(outYear),QRF37+QRF42+#REF!+QRF59,"")</f>
        <v/>
      </c>
      <c r="QRG62" s="87" t="str">
        <f>IF(ISNUMBER(outYear),QRG37+QRG42+#REF!+QRG59,"")</f>
        <v/>
      </c>
      <c r="QRH62" s="87" t="str">
        <f>IF(ISNUMBER(outYear),QRH37+QRH42+#REF!+QRH59,"")</f>
        <v/>
      </c>
      <c r="QRI62" s="87" t="str">
        <f>IF(ISNUMBER(outYear),QRI37+QRI42+#REF!+QRI59,"")</f>
        <v/>
      </c>
      <c r="QRJ62" s="87" t="str">
        <f>IF(ISNUMBER(outYear),QRJ37+QRJ42+#REF!+QRJ59,"")</f>
        <v/>
      </c>
      <c r="QRK62" s="87" t="str">
        <f>IF(ISNUMBER(outYear),QRK37+QRK42+#REF!+QRK59,"")</f>
        <v/>
      </c>
      <c r="QRL62" s="87" t="str">
        <f>IF(ISNUMBER(outYear),QRL37+QRL42+#REF!+QRL59,"")</f>
        <v/>
      </c>
      <c r="QRM62" s="87" t="str">
        <f>IF(ISNUMBER(outYear),QRM37+QRM42+#REF!+QRM59,"")</f>
        <v/>
      </c>
      <c r="QRN62" s="87" t="str">
        <f>IF(ISNUMBER(outYear),QRN37+QRN42+#REF!+QRN59,"")</f>
        <v/>
      </c>
      <c r="QRO62" s="87" t="str">
        <f>IF(ISNUMBER(outYear),QRO37+QRO42+#REF!+QRO59,"")</f>
        <v/>
      </c>
      <c r="QRP62" s="87" t="str">
        <f>IF(ISNUMBER(outYear),QRP37+QRP42+#REF!+QRP59,"")</f>
        <v/>
      </c>
      <c r="QRQ62" s="87" t="str">
        <f>IF(ISNUMBER(outYear),QRQ37+QRQ42+#REF!+QRQ59,"")</f>
        <v/>
      </c>
      <c r="QRR62" s="87" t="str">
        <f>IF(ISNUMBER(outYear),QRR37+QRR42+#REF!+QRR59,"")</f>
        <v/>
      </c>
      <c r="QRS62" s="87" t="str">
        <f>IF(ISNUMBER(outYear),QRS37+QRS42+#REF!+QRS59,"")</f>
        <v/>
      </c>
      <c r="QRT62" s="87" t="str">
        <f>IF(ISNUMBER(outYear),QRT37+QRT42+#REF!+QRT59,"")</f>
        <v/>
      </c>
      <c r="QRU62" s="87" t="str">
        <f>IF(ISNUMBER(outYear),QRU37+QRU42+#REF!+QRU59,"")</f>
        <v/>
      </c>
      <c r="QRV62" s="87" t="str">
        <f>IF(ISNUMBER(outYear),QRV37+QRV42+#REF!+QRV59,"")</f>
        <v/>
      </c>
      <c r="QRW62" s="87" t="str">
        <f>IF(ISNUMBER(outYear),QRW37+QRW42+#REF!+QRW59,"")</f>
        <v/>
      </c>
      <c r="QRX62" s="87" t="str">
        <f>IF(ISNUMBER(outYear),QRX37+QRX42+#REF!+QRX59,"")</f>
        <v/>
      </c>
      <c r="QRY62" s="87" t="str">
        <f>IF(ISNUMBER(outYear),QRY37+QRY42+#REF!+QRY59,"")</f>
        <v/>
      </c>
      <c r="QRZ62" s="87" t="str">
        <f>IF(ISNUMBER(outYear),QRZ37+QRZ42+#REF!+QRZ59,"")</f>
        <v/>
      </c>
      <c r="QSA62" s="87" t="str">
        <f>IF(ISNUMBER(outYear),QSA37+QSA42+#REF!+QSA59,"")</f>
        <v/>
      </c>
      <c r="QSB62" s="87" t="str">
        <f>IF(ISNUMBER(outYear),QSB37+QSB42+#REF!+QSB59,"")</f>
        <v/>
      </c>
      <c r="QSC62" s="87" t="str">
        <f>IF(ISNUMBER(outYear),QSC37+QSC42+#REF!+QSC59,"")</f>
        <v/>
      </c>
      <c r="QSD62" s="87" t="str">
        <f>IF(ISNUMBER(outYear),QSD37+QSD42+#REF!+QSD59,"")</f>
        <v/>
      </c>
      <c r="QSE62" s="87" t="str">
        <f>IF(ISNUMBER(outYear),QSE37+QSE42+#REF!+QSE59,"")</f>
        <v/>
      </c>
      <c r="QSF62" s="87" t="str">
        <f>IF(ISNUMBER(outYear),QSF37+QSF42+#REF!+QSF59,"")</f>
        <v/>
      </c>
      <c r="QSG62" s="87" t="str">
        <f>IF(ISNUMBER(outYear),QSG37+QSG42+#REF!+QSG59,"")</f>
        <v/>
      </c>
      <c r="QSH62" s="87" t="str">
        <f>IF(ISNUMBER(outYear),QSH37+QSH42+#REF!+QSH59,"")</f>
        <v/>
      </c>
      <c r="QSI62" s="87" t="str">
        <f>IF(ISNUMBER(outYear),QSI37+QSI42+#REF!+QSI59,"")</f>
        <v/>
      </c>
      <c r="QSJ62" s="87" t="str">
        <f>IF(ISNUMBER(outYear),QSJ37+QSJ42+#REF!+QSJ59,"")</f>
        <v/>
      </c>
      <c r="QSK62" s="87" t="str">
        <f>IF(ISNUMBER(outYear),QSK37+QSK42+#REF!+QSK59,"")</f>
        <v/>
      </c>
      <c r="QSL62" s="87" t="str">
        <f>IF(ISNUMBER(outYear),QSL37+QSL42+#REF!+QSL59,"")</f>
        <v/>
      </c>
      <c r="QSM62" s="87" t="str">
        <f>IF(ISNUMBER(outYear),QSM37+QSM42+#REF!+QSM59,"")</f>
        <v/>
      </c>
      <c r="QSN62" s="87" t="str">
        <f>IF(ISNUMBER(outYear),QSN37+QSN42+#REF!+QSN59,"")</f>
        <v/>
      </c>
      <c r="QSO62" s="87" t="str">
        <f>IF(ISNUMBER(outYear),QSO37+QSO42+#REF!+QSO59,"")</f>
        <v/>
      </c>
      <c r="QSP62" s="87" t="str">
        <f>IF(ISNUMBER(outYear),QSP37+QSP42+#REF!+QSP59,"")</f>
        <v/>
      </c>
      <c r="QSQ62" s="87" t="str">
        <f>IF(ISNUMBER(outYear),QSQ37+QSQ42+#REF!+QSQ59,"")</f>
        <v/>
      </c>
      <c r="QSR62" s="87" t="str">
        <f>IF(ISNUMBER(outYear),QSR37+QSR42+#REF!+QSR59,"")</f>
        <v/>
      </c>
      <c r="QSS62" s="87" t="str">
        <f>IF(ISNUMBER(outYear),QSS37+QSS42+#REF!+QSS59,"")</f>
        <v/>
      </c>
      <c r="QST62" s="87" t="str">
        <f>IF(ISNUMBER(outYear),QST37+QST42+#REF!+QST59,"")</f>
        <v/>
      </c>
      <c r="QSU62" s="87" t="str">
        <f>IF(ISNUMBER(outYear),QSU37+QSU42+#REF!+QSU59,"")</f>
        <v/>
      </c>
      <c r="QSV62" s="87" t="str">
        <f>IF(ISNUMBER(outYear),QSV37+QSV42+#REF!+QSV59,"")</f>
        <v/>
      </c>
      <c r="QSW62" s="87" t="str">
        <f>IF(ISNUMBER(outYear),QSW37+QSW42+#REF!+QSW59,"")</f>
        <v/>
      </c>
      <c r="QSX62" s="87" t="str">
        <f>IF(ISNUMBER(outYear),QSX37+QSX42+#REF!+QSX59,"")</f>
        <v/>
      </c>
      <c r="QSY62" s="87" t="str">
        <f>IF(ISNUMBER(outYear),QSY37+QSY42+#REF!+QSY59,"")</f>
        <v/>
      </c>
      <c r="QSZ62" s="87" t="str">
        <f>IF(ISNUMBER(outYear),QSZ37+QSZ42+#REF!+QSZ59,"")</f>
        <v/>
      </c>
      <c r="QTA62" s="87" t="str">
        <f>IF(ISNUMBER(outYear),QTA37+QTA42+#REF!+QTA59,"")</f>
        <v/>
      </c>
      <c r="QTB62" s="87" t="str">
        <f>IF(ISNUMBER(outYear),QTB37+QTB42+#REF!+QTB59,"")</f>
        <v/>
      </c>
      <c r="QTC62" s="87" t="str">
        <f>IF(ISNUMBER(outYear),QTC37+QTC42+#REF!+QTC59,"")</f>
        <v/>
      </c>
      <c r="QTD62" s="87" t="str">
        <f>IF(ISNUMBER(outYear),QTD37+QTD42+#REF!+QTD59,"")</f>
        <v/>
      </c>
      <c r="QTE62" s="87" t="str">
        <f>IF(ISNUMBER(outYear),QTE37+QTE42+#REF!+QTE59,"")</f>
        <v/>
      </c>
      <c r="QTF62" s="87" t="str">
        <f>IF(ISNUMBER(outYear),QTF37+QTF42+#REF!+QTF59,"")</f>
        <v/>
      </c>
      <c r="QTG62" s="87" t="str">
        <f>IF(ISNUMBER(outYear),QTG37+QTG42+#REF!+QTG59,"")</f>
        <v/>
      </c>
      <c r="QTH62" s="87" t="str">
        <f>IF(ISNUMBER(outYear),QTH37+QTH42+#REF!+QTH59,"")</f>
        <v/>
      </c>
      <c r="QTI62" s="87" t="str">
        <f>IF(ISNUMBER(outYear),QTI37+QTI42+#REF!+QTI59,"")</f>
        <v/>
      </c>
      <c r="QTJ62" s="87" t="str">
        <f>IF(ISNUMBER(outYear),QTJ37+QTJ42+#REF!+QTJ59,"")</f>
        <v/>
      </c>
      <c r="QTK62" s="87" t="str">
        <f>IF(ISNUMBER(outYear),QTK37+QTK42+#REF!+QTK59,"")</f>
        <v/>
      </c>
      <c r="QTL62" s="87" t="str">
        <f>IF(ISNUMBER(outYear),QTL37+QTL42+#REF!+QTL59,"")</f>
        <v/>
      </c>
      <c r="QTM62" s="87" t="str">
        <f>IF(ISNUMBER(outYear),QTM37+QTM42+#REF!+QTM59,"")</f>
        <v/>
      </c>
      <c r="QTN62" s="87" t="str">
        <f>IF(ISNUMBER(outYear),QTN37+QTN42+#REF!+QTN59,"")</f>
        <v/>
      </c>
      <c r="QTO62" s="87" t="str">
        <f>IF(ISNUMBER(outYear),QTO37+QTO42+#REF!+QTO59,"")</f>
        <v/>
      </c>
      <c r="QTP62" s="87" t="str">
        <f>IF(ISNUMBER(outYear),QTP37+QTP42+#REF!+QTP59,"")</f>
        <v/>
      </c>
      <c r="QTQ62" s="87" t="str">
        <f>IF(ISNUMBER(outYear),QTQ37+QTQ42+#REF!+QTQ59,"")</f>
        <v/>
      </c>
      <c r="QTR62" s="87" t="str">
        <f>IF(ISNUMBER(outYear),QTR37+QTR42+#REF!+QTR59,"")</f>
        <v/>
      </c>
      <c r="QTS62" s="87" t="str">
        <f>IF(ISNUMBER(outYear),QTS37+QTS42+#REF!+QTS59,"")</f>
        <v/>
      </c>
      <c r="QTT62" s="87" t="str">
        <f>IF(ISNUMBER(outYear),QTT37+QTT42+#REF!+QTT59,"")</f>
        <v/>
      </c>
      <c r="QTU62" s="87" t="str">
        <f>IF(ISNUMBER(outYear),QTU37+QTU42+#REF!+QTU59,"")</f>
        <v/>
      </c>
      <c r="QTV62" s="87" t="str">
        <f>IF(ISNUMBER(outYear),QTV37+QTV42+#REF!+QTV59,"")</f>
        <v/>
      </c>
      <c r="QTW62" s="87" t="str">
        <f>IF(ISNUMBER(outYear),QTW37+QTW42+#REF!+QTW59,"")</f>
        <v/>
      </c>
      <c r="QTX62" s="87" t="str">
        <f>IF(ISNUMBER(outYear),QTX37+QTX42+#REF!+QTX59,"")</f>
        <v/>
      </c>
      <c r="QTY62" s="87" t="str">
        <f>IF(ISNUMBER(outYear),QTY37+QTY42+#REF!+QTY59,"")</f>
        <v/>
      </c>
      <c r="QTZ62" s="87" t="str">
        <f>IF(ISNUMBER(outYear),QTZ37+QTZ42+#REF!+QTZ59,"")</f>
        <v/>
      </c>
      <c r="QUA62" s="87" t="str">
        <f>IF(ISNUMBER(outYear),QUA37+QUA42+#REF!+QUA59,"")</f>
        <v/>
      </c>
      <c r="QUB62" s="87" t="str">
        <f>IF(ISNUMBER(outYear),QUB37+QUB42+#REF!+QUB59,"")</f>
        <v/>
      </c>
      <c r="QUC62" s="87" t="str">
        <f>IF(ISNUMBER(outYear),QUC37+QUC42+#REF!+QUC59,"")</f>
        <v/>
      </c>
      <c r="QUD62" s="87" t="str">
        <f>IF(ISNUMBER(outYear),QUD37+QUD42+#REF!+QUD59,"")</f>
        <v/>
      </c>
      <c r="QUE62" s="87" t="str">
        <f>IF(ISNUMBER(outYear),QUE37+QUE42+#REF!+QUE59,"")</f>
        <v/>
      </c>
      <c r="QUF62" s="87" t="str">
        <f>IF(ISNUMBER(outYear),QUF37+QUF42+#REF!+QUF59,"")</f>
        <v/>
      </c>
      <c r="QUG62" s="87" t="str">
        <f>IF(ISNUMBER(outYear),QUG37+QUG42+#REF!+QUG59,"")</f>
        <v/>
      </c>
      <c r="QUH62" s="87" t="str">
        <f>IF(ISNUMBER(outYear),QUH37+QUH42+#REF!+QUH59,"")</f>
        <v/>
      </c>
      <c r="QUI62" s="87" t="str">
        <f>IF(ISNUMBER(outYear),QUI37+QUI42+#REF!+QUI59,"")</f>
        <v/>
      </c>
      <c r="QUJ62" s="87" t="str">
        <f>IF(ISNUMBER(outYear),QUJ37+QUJ42+#REF!+QUJ59,"")</f>
        <v/>
      </c>
      <c r="QUK62" s="87" t="str">
        <f>IF(ISNUMBER(outYear),QUK37+QUK42+#REF!+QUK59,"")</f>
        <v/>
      </c>
      <c r="QUL62" s="87" t="str">
        <f>IF(ISNUMBER(outYear),QUL37+QUL42+#REF!+QUL59,"")</f>
        <v/>
      </c>
      <c r="QUM62" s="87" t="str">
        <f>IF(ISNUMBER(outYear),QUM37+QUM42+#REF!+QUM59,"")</f>
        <v/>
      </c>
      <c r="QUN62" s="87" t="str">
        <f>IF(ISNUMBER(outYear),QUN37+QUN42+#REF!+QUN59,"")</f>
        <v/>
      </c>
      <c r="QUO62" s="87" t="str">
        <f>IF(ISNUMBER(outYear),QUO37+QUO42+#REF!+QUO59,"")</f>
        <v/>
      </c>
      <c r="QUP62" s="87" t="str">
        <f>IF(ISNUMBER(outYear),QUP37+QUP42+#REF!+QUP59,"")</f>
        <v/>
      </c>
      <c r="QUQ62" s="87" t="str">
        <f>IF(ISNUMBER(outYear),QUQ37+QUQ42+#REF!+QUQ59,"")</f>
        <v/>
      </c>
      <c r="QUR62" s="87" t="str">
        <f>IF(ISNUMBER(outYear),QUR37+QUR42+#REF!+QUR59,"")</f>
        <v/>
      </c>
      <c r="QUS62" s="87" t="str">
        <f>IF(ISNUMBER(outYear),QUS37+QUS42+#REF!+QUS59,"")</f>
        <v/>
      </c>
      <c r="QUT62" s="87" t="str">
        <f>IF(ISNUMBER(outYear),QUT37+QUT42+#REF!+QUT59,"")</f>
        <v/>
      </c>
      <c r="QUU62" s="87" t="str">
        <f>IF(ISNUMBER(outYear),QUU37+QUU42+#REF!+QUU59,"")</f>
        <v/>
      </c>
      <c r="QUV62" s="87" t="str">
        <f>IF(ISNUMBER(outYear),QUV37+QUV42+#REF!+QUV59,"")</f>
        <v/>
      </c>
      <c r="QUW62" s="87" t="str">
        <f>IF(ISNUMBER(outYear),QUW37+QUW42+#REF!+QUW59,"")</f>
        <v/>
      </c>
      <c r="QUX62" s="87" t="str">
        <f>IF(ISNUMBER(outYear),QUX37+QUX42+#REF!+QUX59,"")</f>
        <v/>
      </c>
      <c r="QUY62" s="87" t="str">
        <f>IF(ISNUMBER(outYear),QUY37+QUY42+#REF!+QUY59,"")</f>
        <v/>
      </c>
      <c r="QUZ62" s="87" t="str">
        <f>IF(ISNUMBER(outYear),QUZ37+QUZ42+#REF!+QUZ59,"")</f>
        <v/>
      </c>
      <c r="QVA62" s="87" t="str">
        <f>IF(ISNUMBER(outYear),QVA37+QVA42+#REF!+QVA59,"")</f>
        <v/>
      </c>
      <c r="QVB62" s="87" t="str">
        <f>IF(ISNUMBER(outYear),QVB37+QVB42+#REF!+QVB59,"")</f>
        <v/>
      </c>
      <c r="QVC62" s="87" t="str">
        <f>IF(ISNUMBER(outYear),QVC37+QVC42+#REF!+QVC59,"")</f>
        <v/>
      </c>
      <c r="QVD62" s="87" t="str">
        <f>IF(ISNUMBER(outYear),QVD37+QVD42+#REF!+QVD59,"")</f>
        <v/>
      </c>
      <c r="QVE62" s="87" t="str">
        <f>IF(ISNUMBER(outYear),QVE37+QVE42+#REF!+QVE59,"")</f>
        <v/>
      </c>
      <c r="QVF62" s="87" t="str">
        <f>IF(ISNUMBER(outYear),QVF37+QVF42+#REF!+QVF59,"")</f>
        <v/>
      </c>
      <c r="QVG62" s="87" t="str">
        <f>IF(ISNUMBER(outYear),QVG37+QVG42+#REF!+QVG59,"")</f>
        <v/>
      </c>
      <c r="QVH62" s="87" t="str">
        <f>IF(ISNUMBER(outYear),QVH37+QVH42+#REF!+QVH59,"")</f>
        <v/>
      </c>
      <c r="QVI62" s="87" t="str">
        <f>IF(ISNUMBER(outYear),QVI37+QVI42+#REF!+QVI59,"")</f>
        <v/>
      </c>
      <c r="QVJ62" s="87" t="str">
        <f>IF(ISNUMBER(outYear),QVJ37+QVJ42+#REF!+QVJ59,"")</f>
        <v/>
      </c>
      <c r="QVK62" s="87" t="str">
        <f>IF(ISNUMBER(outYear),QVK37+QVK42+#REF!+QVK59,"")</f>
        <v/>
      </c>
      <c r="QVL62" s="87" t="str">
        <f>IF(ISNUMBER(outYear),QVL37+QVL42+#REF!+QVL59,"")</f>
        <v/>
      </c>
      <c r="QVM62" s="87" t="str">
        <f>IF(ISNUMBER(outYear),QVM37+QVM42+#REF!+QVM59,"")</f>
        <v/>
      </c>
      <c r="QVN62" s="87" t="str">
        <f>IF(ISNUMBER(outYear),QVN37+QVN42+#REF!+QVN59,"")</f>
        <v/>
      </c>
      <c r="QVO62" s="87" t="str">
        <f>IF(ISNUMBER(outYear),QVO37+QVO42+#REF!+QVO59,"")</f>
        <v/>
      </c>
      <c r="QVP62" s="87" t="str">
        <f>IF(ISNUMBER(outYear),QVP37+QVP42+#REF!+QVP59,"")</f>
        <v/>
      </c>
      <c r="QVQ62" s="87" t="str">
        <f>IF(ISNUMBER(outYear),QVQ37+QVQ42+#REF!+QVQ59,"")</f>
        <v/>
      </c>
      <c r="QVR62" s="87" t="str">
        <f>IF(ISNUMBER(outYear),QVR37+QVR42+#REF!+QVR59,"")</f>
        <v/>
      </c>
      <c r="QVS62" s="87" t="str">
        <f>IF(ISNUMBER(outYear),QVS37+QVS42+#REF!+QVS59,"")</f>
        <v/>
      </c>
      <c r="QVT62" s="87" t="str">
        <f>IF(ISNUMBER(outYear),QVT37+QVT42+#REF!+QVT59,"")</f>
        <v/>
      </c>
      <c r="QVU62" s="87" t="str">
        <f>IF(ISNUMBER(outYear),QVU37+QVU42+#REF!+QVU59,"")</f>
        <v/>
      </c>
      <c r="QVV62" s="87" t="str">
        <f>IF(ISNUMBER(outYear),QVV37+QVV42+#REF!+QVV59,"")</f>
        <v/>
      </c>
      <c r="QVW62" s="87" t="str">
        <f>IF(ISNUMBER(outYear),QVW37+QVW42+#REF!+QVW59,"")</f>
        <v/>
      </c>
      <c r="QVX62" s="87" t="str">
        <f>IF(ISNUMBER(outYear),QVX37+QVX42+#REF!+QVX59,"")</f>
        <v/>
      </c>
      <c r="QVY62" s="87" t="str">
        <f>IF(ISNUMBER(outYear),QVY37+QVY42+#REF!+QVY59,"")</f>
        <v/>
      </c>
      <c r="QVZ62" s="87" t="str">
        <f>IF(ISNUMBER(outYear),QVZ37+QVZ42+#REF!+QVZ59,"")</f>
        <v/>
      </c>
      <c r="QWA62" s="87" t="str">
        <f>IF(ISNUMBER(outYear),QWA37+QWA42+#REF!+QWA59,"")</f>
        <v/>
      </c>
      <c r="QWB62" s="87" t="str">
        <f>IF(ISNUMBER(outYear),QWB37+QWB42+#REF!+QWB59,"")</f>
        <v/>
      </c>
      <c r="QWC62" s="87" t="str">
        <f>IF(ISNUMBER(outYear),QWC37+QWC42+#REF!+QWC59,"")</f>
        <v/>
      </c>
      <c r="QWD62" s="87" t="str">
        <f>IF(ISNUMBER(outYear),QWD37+QWD42+#REF!+QWD59,"")</f>
        <v/>
      </c>
      <c r="QWE62" s="87" t="str">
        <f>IF(ISNUMBER(outYear),QWE37+QWE42+#REF!+QWE59,"")</f>
        <v/>
      </c>
      <c r="QWF62" s="87" t="str">
        <f>IF(ISNUMBER(outYear),QWF37+QWF42+#REF!+QWF59,"")</f>
        <v/>
      </c>
      <c r="QWG62" s="87" t="str">
        <f>IF(ISNUMBER(outYear),QWG37+QWG42+#REF!+QWG59,"")</f>
        <v/>
      </c>
      <c r="QWH62" s="87" t="str">
        <f>IF(ISNUMBER(outYear),QWH37+QWH42+#REF!+QWH59,"")</f>
        <v/>
      </c>
      <c r="QWI62" s="87" t="str">
        <f>IF(ISNUMBER(outYear),QWI37+QWI42+#REF!+QWI59,"")</f>
        <v/>
      </c>
      <c r="QWJ62" s="87" t="str">
        <f>IF(ISNUMBER(outYear),QWJ37+QWJ42+#REF!+QWJ59,"")</f>
        <v/>
      </c>
      <c r="QWK62" s="87" t="str">
        <f>IF(ISNUMBER(outYear),QWK37+QWK42+#REF!+QWK59,"")</f>
        <v/>
      </c>
      <c r="QWL62" s="87" t="str">
        <f>IF(ISNUMBER(outYear),QWL37+QWL42+#REF!+QWL59,"")</f>
        <v/>
      </c>
      <c r="QWM62" s="87" t="str">
        <f>IF(ISNUMBER(outYear),QWM37+QWM42+#REF!+QWM59,"")</f>
        <v/>
      </c>
      <c r="QWN62" s="87" t="str">
        <f>IF(ISNUMBER(outYear),QWN37+QWN42+#REF!+QWN59,"")</f>
        <v/>
      </c>
      <c r="QWO62" s="87" t="str">
        <f>IF(ISNUMBER(outYear),QWO37+QWO42+#REF!+QWO59,"")</f>
        <v/>
      </c>
      <c r="QWP62" s="87" t="str">
        <f>IF(ISNUMBER(outYear),QWP37+QWP42+#REF!+QWP59,"")</f>
        <v/>
      </c>
      <c r="QWQ62" s="87" t="str">
        <f>IF(ISNUMBER(outYear),QWQ37+QWQ42+#REF!+QWQ59,"")</f>
        <v/>
      </c>
      <c r="QWR62" s="87" t="str">
        <f>IF(ISNUMBER(outYear),QWR37+QWR42+#REF!+QWR59,"")</f>
        <v/>
      </c>
      <c r="QWS62" s="87" t="str">
        <f>IF(ISNUMBER(outYear),QWS37+QWS42+#REF!+QWS59,"")</f>
        <v/>
      </c>
      <c r="QWT62" s="87" t="str">
        <f>IF(ISNUMBER(outYear),QWT37+QWT42+#REF!+QWT59,"")</f>
        <v/>
      </c>
      <c r="QWU62" s="87" t="str">
        <f>IF(ISNUMBER(outYear),QWU37+QWU42+#REF!+QWU59,"")</f>
        <v/>
      </c>
      <c r="QWV62" s="87" t="str">
        <f>IF(ISNUMBER(outYear),QWV37+QWV42+#REF!+QWV59,"")</f>
        <v/>
      </c>
      <c r="QWW62" s="87" t="str">
        <f>IF(ISNUMBER(outYear),QWW37+QWW42+#REF!+QWW59,"")</f>
        <v/>
      </c>
      <c r="QWX62" s="87" t="str">
        <f>IF(ISNUMBER(outYear),QWX37+QWX42+#REF!+QWX59,"")</f>
        <v/>
      </c>
      <c r="QWY62" s="87" t="str">
        <f>IF(ISNUMBER(outYear),QWY37+QWY42+#REF!+QWY59,"")</f>
        <v/>
      </c>
      <c r="QWZ62" s="87" t="str">
        <f>IF(ISNUMBER(outYear),QWZ37+QWZ42+#REF!+QWZ59,"")</f>
        <v/>
      </c>
      <c r="QXA62" s="87" t="str">
        <f>IF(ISNUMBER(outYear),QXA37+QXA42+#REF!+QXA59,"")</f>
        <v/>
      </c>
      <c r="QXB62" s="87" t="str">
        <f>IF(ISNUMBER(outYear),QXB37+QXB42+#REF!+QXB59,"")</f>
        <v/>
      </c>
      <c r="QXC62" s="87" t="str">
        <f>IF(ISNUMBER(outYear),QXC37+QXC42+#REF!+QXC59,"")</f>
        <v/>
      </c>
      <c r="QXD62" s="87" t="str">
        <f>IF(ISNUMBER(outYear),QXD37+QXD42+#REF!+QXD59,"")</f>
        <v/>
      </c>
      <c r="QXE62" s="87" t="str">
        <f>IF(ISNUMBER(outYear),QXE37+QXE42+#REF!+QXE59,"")</f>
        <v/>
      </c>
      <c r="QXF62" s="87" t="str">
        <f>IF(ISNUMBER(outYear),QXF37+QXF42+#REF!+QXF59,"")</f>
        <v/>
      </c>
      <c r="QXG62" s="87" t="str">
        <f>IF(ISNUMBER(outYear),QXG37+QXG42+#REF!+QXG59,"")</f>
        <v/>
      </c>
      <c r="QXH62" s="87" t="str">
        <f>IF(ISNUMBER(outYear),QXH37+QXH42+#REF!+QXH59,"")</f>
        <v/>
      </c>
      <c r="QXI62" s="87" t="str">
        <f>IF(ISNUMBER(outYear),QXI37+QXI42+#REF!+QXI59,"")</f>
        <v/>
      </c>
      <c r="QXJ62" s="87" t="str">
        <f>IF(ISNUMBER(outYear),QXJ37+QXJ42+#REF!+QXJ59,"")</f>
        <v/>
      </c>
      <c r="QXK62" s="87" t="str">
        <f>IF(ISNUMBER(outYear),QXK37+QXK42+#REF!+QXK59,"")</f>
        <v/>
      </c>
      <c r="QXL62" s="87" t="str">
        <f>IF(ISNUMBER(outYear),QXL37+QXL42+#REF!+QXL59,"")</f>
        <v/>
      </c>
      <c r="QXM62" s="87" t="str">
        <f>IF(ISNUMBER(outYear),QXM37+QXM42+#REF!+QXM59,"")</f>
        <v/>
      </c>
      <c r="QXN62" s="87" t="str">
        <f>IF(ISNUMBER(outYear),QXN37+QXN42+#REF!+QXN59,"")</f>
        <v/>
      </c>
      <c r="QXO62" s="87" t="str">
        <f>IF(ISNUMBER(outYear),QXO37+QXO42+#REF!+QXO59,"")</f>
        <v/>
      </c>
      <c r="QXP62" s="87" t="str">
        <f>IF(ISNUMBER(outYear),QXP37+QXP42+#REF!+QXP59,"")</f>
        <v/>
      </c>
      <c r="QXQ62" s="87" t="str">
        <f>IF(ISNUMBER(outYear),QXQ37+QXQ42+#REF!+QXQ59,"")</f>
        <v/>
      </c>
      <c r="QXR62" s="87" t="str">
        <f>IF(ISNUMBER(outYear),QXR37+QXR42+#REF!+QXR59,"")</f>
        <v/>
      </c>
      <c r="QXS62" s="87" t="str">
        <f>IF(ISNUMBER(outYear),QXS37+QXS42+#REF!+QXS59,"")</f>
        <v/>
      </c>
      <c r="QXT62" s="87" t="str">
        <f>IF(ISNUMBER(outYear),QXT37+QXT42+#REF!+QXT59,"")</f>
        <v/>
      </c>
      <c r="QXU62" s="87" t="str">
        <f>IF(ISNUMBER(outYear),QXU37+QXU42+#REF!+QXU59,"")</f>
        <v/>
      </c>
      <c r="QXV62" s="87" t="str">
        <f>IF(ISNUMBER(outYear),QXV37+QXV42+#REF!+QXV59,"")</f>
        <v/>
      </c>
      <c r="QXW62" s="87" t="str">
        <f>IF(ISNUMBER(outYear),QXW37+QXW42+#REF!+QXW59,"")</f>
        <v/>
      </c>
      <c r="QXX62" s="87" t="str">
        <f>IF(ISNUMBER(outYear),QXX37+QXX42+#REF!+QXX59,"")</f>
        <v/>
      </c>
      <c r="QXY62" s="87" t="str">
        <f>IF(ISNUMBER(outYear),QXY37+QXY42+#REF!+QXY59,"")</f>
        <v/>
      </c>
      <c r="QXZ62" s="87" t="str">
        <f>IF(ISNUMBER(outYear),QXZ37+QXZ42+#REF!+QXZ59,"")</f>
        <v/>
      </c>
      <c r="QYA62" s="87" t="str">
        <f>IF(ISNUMBER(outYear),QYA37+QYA42+#REF!+QYA59,"")</f>
        <v/>
      </c>
      <c r="QYB62" s="87" t="str">
        <f>IF(ISNUMBER(outYear),QYB37+QYB42+#REF!+QYB59,"")</f>
        <v/>
      </c>
      <c r="QYC62" s="87" t="str">
        <f>IF(ISNUMBER(outYear),QYC37+QYC42+#REF!+QYC59,"")</f>
        <v/>
      </c>
      <c r="QYD62" s="87" t="str">
        <f>IF(ISNUMBER(outYear),QYD37+QYD42+#REF!+QYD59,"")</f>
        <v/>
      </c>
      <c r="QYE62" s="87" t="str">
        <f>IF(ISNUMBER(outYear),QYE37+QYE42+#REF!+QYE59,"")</f>
        <v/>
      </c>
      <c r="QYF62" s="87" t="str">
        <f>IF(ISNUMBER(outYear),QYF37+QYF42+#REF!+QYF59,"")</f>
        <v/>
      </c>
      <c r="QYG62" s="87" t="str">
        <f>IF(ISNUMBER(outYear),QYG37+QYG42+#REF!+QYG59,"")</f>
        <v/>
      </c>
      <c r="QYH62" s="87" t="str">
        <f>IF(ISNUMBER(outYear),QYH37+QYH42+#REF!+QYH59,"")</f>
        <v/>
      </c>
      <c r="QYI62" s="87" t="str">
        <f>IF(ISNUMBER(outYear),QYI37+QYI42+#REF!+QYI59,"")</f>
        <v/>
      </c>
      <c r="QYJ62" s="87" t="str">
        <f>IF(ISNUMBER(outYear),QYJ37+QYJ42+#REF!+QYJ59,"")</f>
        <v/>
      </c>
      <c r="QYK62" s="87" t="str">
        <f>IF(ISNUMBER(outYear),QYK37+QYK42+#REF!+QYK59,"")</f>
        <v/>
      </c>
      <c r="QYL62" s="87" t="str">
        <f>IF(ISNUMBER(outYear),QYL37+QYL42+#REF!+QYL59,"")</f>
        <v/>
      </c>
      <c r="QYM62" s="87" t="str">
        <f>IF(ISNUMBER(outYear),QYM37+QYM42+#REF!+QYM59,"")</f>
        <v/>
      </c>
      <c r="QYN62" s="87" t="str">
        <f>IF(ISNUMBER(outYear),QYN37+QYN42+#REF!+QYN59,"")</f>
        <v/>
      </c>
      <c r="QYO62" s="87" t="str">
        <f>IF(ISNUMBER(outYear),QYO37+QYO42+#REF!+QYO59,"")</f>
        <v/>
      </c>
      <c r="QYP62" s="87" t="str">
        <f>IF(ISNUMBER(outYear),QYP37+QYP42+#REF!+QYP59,"")</f>
        <v/>
      </c>
      <c r="QYQ62" s="87" t="str">
        <f>IF(ISNUMBER(outYear),QYQ37+QYQ42+#REF!+QYQ59,"")</f>
        <v/>
      </c>
      <c r="QYR62" s="87" t="str">
        <f>IF(ISNUMBER(outYear),QYR37+QYR42+#REF!+QYR59,"")</f>
        <v/>
      </c>
      <c r="QYS62" s="87" t="str">
        <f>IF(ISNUMBER(outYear),QYS37+QYS42+#REF!+QYS59,"")</f>
        <v/>
      </c>
      <c r="QYT62" s="87" t="str">
        <f>IF(ISNUMBER(outYear),QYT37+QYT42+#REF!+QYT59,"")</f>
        <v/>
      </c>
      <c r="QYU62" s="87" t="str">
        <f>IF(ISNUMBER(outYear),QYU37+QYU42+#REF!+QYU59,"")</f>
        <v/>
      </c>
      <c r="QYV62" s="87" t="str">
        <f>IF(ISNUMBER(outYear),QYV37+QYV42+#REF!+QYV59,"")</f>
        <v/>
      </c>
      <c r="QYW62" s="87" t="str">
        <f>IF(ISNUMBER(outYear),QYW37+QYW42+#REF!+QYW59,"")</f>
        <v/>
      </c>
      <c r="QYX62" s="87" t="str">
        <f>IF(ISNUMBER(outYear),QYX37+QYX42+#REF!+QYX59,"")</f>
        <v/>
      </c>
      <c r="QYY62" s="87" t="str">
        <f>IF(ISNUMBER(outYear),QYY37+QYY42+#REF!+QYY59,"")</f>
        <v/>
      </c>
      <c r="QYZ62" s="87" t="str">
        <f>IF(ISNUMBER(outYear),QYZ37+QYZ42+#REF!+QYZ59,"")</f>
        <v/>
      </c>
      <c r="QZA62" s="87" t="str">
        <f>IF(ISNUMBER(outYear),QZA37+QZA42+#REF!+QZA59,"")</f>
        <v/>
      </c>
      <c r="QZB62" s="87" t="str">
        <f>IF(ISNUMBER(outYear),QZB37+QZB42+#REF!+QZB59,"")</f>
        <v/>
      </c>
      <c r="QZC62" s="87" t="str">
        <f>IF(ISNUMBER(outYear),QZC37+QZC42+#REF!+QZC59,"")</f>
        <v/>
      </c>
      <c r="QZD62" s="87" t="str">
        <f>IF(ISNUMBER(outYear),QZD37+QZD42+#REF!+QZD59,"")</f>
        <v/>
      </c>
      <c r="QZE62" s="87" t="str">
        <f>IF(ISNUMBER(outYear),QZE37+QZE42+#REF!+QZE59,"")</f>
        <v/>
      </c>
      <c r="QZF62" s="87" t="str">
        <f>IF(ISNUMBER(outYear),QZF37+QZF42+#REF!+QZF59,"")</f>
        <v/>
      </c>
      <c r="QZG62" s="87" t="str">
        <f>IF(ISNUMBER(outYear),QZG37+QZG42+#REF!+QZG59,"")</f>
        <v/>
      </c>
      <c r="QZH62" s="87" t="str">
        <f>IF(ISNUMBER(outYear),QZH37+QZH42+#REF!+QZH59,"")</f>
        <v/>
      </c>
      <c r="QZI62" s="87" t="str">
        <f>IF(ISNUMBER(outYear),QZI37+QZI42+#REF!+QZI59,"")</f>
        <v/>
      </c>
      <c r="QZJ62" s="87" t="str">
        <f>IF(ISNUMBER(outYear),QZJ37+QZJ42+#REF!+QZJ59,"")</f>
        <v/>
      </c>
      <c r="QZK62" s="87" t="str">
        <f>IF(ISNUMBER(outYear),QZK37+QZK42+#REF!+QZK59,"")</f>
        <v/>
      </c>
      <c r="QZL62" s="87" t="str">
        <f>IF(ISNUMBER(outYear),QZL37+QZL42+#REF!+QZL59,"")</f>
        <v/>
      </c>
      <c r="QZM62" s="87" t="str">
        <f>IF(ISNUMBER(outYear),QZM37+QZM42+#REF!+QZM59,"")</f>
        <v/>
      </c>
      <c r="QZN62" s="87" t="str">
        <f>IF(ISNUMBER(outYear),QZN37+QZN42+#REF!+QZN59,"")</f>
        <v/>
      </c>
      <c r="QZO62" s="87" t="str">
        <f>IF(ISNUMBER(outYear),QZO37+QZO42+#REF!+QZO59,"")</f>
        <v/>
      </c>
      <c r="QZP62" s="87" t="str">
        <f>IF(ISNUMBER(outYear),QZP37+QZP42+#REF!+QZP59,"")</f>
        <v/>
      </c>
      <c r="QZQ62" s="87" t="str">
        <f>IF(ISNUMBER(outYear),QZQ37+QZQ42+#REF!+QZQ59,"")</f>
        <v/>
      </c>
      <c r="QZR62" s="87" t="str">
        <f>IF(ISNUMBER(outYear),QZR37+QZR42+#REF!+QZR59,"")</f>
        <v/>
      </c>
      <c r="QZS62" s="87" t="str">
        <f>IF(ISNUMBER(outYear),QZS37+QZS42+#REF!+QZS59,"")</f>
        <v/>
      </c>
      <c r="QZT62" s="87" t="str">
        <f>IF(ISNUMBER(outYear),QZT37+QZT42+#REF!+QZT59,"")</f>
        <v/>
      </c>
      <c r="QZU62" s="87" t="str">
        <f>IF(ISNUMBER(outYear),QZU37+QZU42+#REF!+QZU59,"")</f>
        <v/>
      </c>
      <c r="QZV62" s="87" t="str">
        <f>IF(ISNUMBER(outYear),QZV37+QZV42+#REF!+QZV59,"")</f>
        <v/>
      </c>
      <c r="QZW62" s="87" t="str">
        <f>IF(ISNUMBER(outYear),QZW37+QZW42+#REF!+QZW59,"")</f>
        <v/>
      </c>
      <c r="QZX62" s="87" t="str">
        <f>IF(ISNUMBER(outYear),QZX37+QZX42+#REF!+QZX59,"")</f>
        <v/>
      </c>
      <c r="QZY62" s="87" t="str">
        <f>IF(ISNUMBER(outYear),QZY37+QZY42+#REF!+QZY59,"")</f>
        <v/>
      </c>
      <c r="QZZ62" s="87" t="str">
        <f>IF(ISNUMBER(outYear),QZZ37+QZZ42+#REF!+QZZ59,"")</f>
        <v/>
      </c>
      <c r="RAA62" s="87" t="str">
        <f>IF(ISNUMBER(outYear),RAA37+RAA42+#REF!+RAA59,"")</f>
        <v/>
      </c>
      <c r="RAB62" s="87" t="str">
        <f>IF(ISNUMBER(outYear),RAB37+RAB42+#REF!+RAB59,"")</f>
        <v/>
      </c>
      <c r="RAC62" s="87" t="str">
        <f>IF(ISNUMBER(outYear),RAC37+RAC42+#REF!+RAC59,"")</f>
        <v/>
      </c>
      <c r="RAD62" s="87" t="str">
        <f>IF(ISNUMBER(outYear),RAD37+RAD42+#REF!+RAD59,"")</f>
        <v/>
      </c>
      <c r="RAE62" s="87" t="str">
        <f>IF(ISNUMBER(outYear),RAE37+RAE42+#REF!+RAE59,"")</f>
        <v/>
      </c>
      <c r="RAF62" s="87" t="str">
        <f>IF(ISNUMBER(outYear),RAF37+RAF42+#REF!+RAF59,"")</f>
        <v/>
      </c>
      <c r="RAG62" s="87" t="str">
        <f>IF(ISNUMBER(outYear),RAG37+RAG42+#REF!+RAG59,"")</f>
        <v/>
      </c>
      <c r="RAH62" s="87" t="str">
        <f>IF(ISNUMBER(outYear),RAH37+RAH42+#REF!+RAH59,"")</f>
        <v/>
      </c>
      <c r="RAI62" s="87" t="str">
        <f>IF(ISNUMBER(outYear),RAI37+RAI42+#REF!+RAI59,"")</f>
        <v/>
      </c>
      <c r="RAJ62" s="87" t="str">
        <f>IF(ISNUMBER(outYear),RAJ37+RAJ42+#REF!+RAJ59,"")</f>
        <v/>
      </c>
      <c r="RAK62" s="87" t="str">
        <f>IF(ISNUMBER(outYear),RAK37+RAK42+#REF!+RAK59,"")</f>
        <v/>
      </c>
      <c r="RAL62" s="87" t="str">
        <f>IF(ISNUMBER(outYear),RAL37+RAL42+#REF!+RAL59,"")</f>
        <v/>
      </c>
      <c r="RAM62" s="87" t="str">
        <f>IF(ISNUMBER(outYear),RAM37+RAM42+#REF!+RAM59,"")</f>
        <v/>
      </c>
      <c r="RAN62" s="87" t="str">
        <f>IF(ISNUMBER(outYear),RAN37+RAN42+#REF!+RAN59,"")</f>
        <v/>
      </c>
      <c r="RAO62" s="87" t="str">
        <f>IF(ISNUMBER(outYear),RAO37+RAO42+#REF!+RAO59,"")</f>
        <v/>
      </c>
      <c r="RAP62" s="87" t="str">
        <f>IF(ISNUMBER(outYear),RAP37+RAP42+#REF!+RAP59,"")</f>
        <v/>
      </c>
      <c r="RAQ62" s="87" t="str">
        <f>IF(ISNUMBER(outYear),RAQ37+RAQ42+#REF!+RAQ59,"")</f>
        <v/>
      </c>
      <c r="RAR62" s="87" t="str">
        <f>IF(ISNUMBER(outYear),RAR37+RAR42+#REF!+RAR59,"")</f>
        <v/>
      </c>
      <c r="RAS62" s="87" t="str">
        <f>IF(ISNUMBER(outYear),RAS37+RAS42+#REF!+RAS59,"")</f>
        <v/>
      </c>
      <c r="RAT62" s="87" t="str">
        <f>IF(ISNUMBER(outYear),RAT37+RAT42+#REF!+RAT59,"")</f>
        <v/>
      </c>
      <c r="RAU62" s="87" t="str">
        <f>IF(ISNUMBER(outYear),RAU37+RAU42+#REF!+RAU59,"")</f>
        <v/>
      </c>
      <c r="RAV62" s="87" t="str">
        <f>IF(ISNUMBER(outYear),RAV37+RAV42+#REF!+RAV59,"")</f>
        <v/>
      </c>
      <c r="RAW62" s="87" t="str">
        <f>IF(ISNUMBER(outYear),RAW37+RAW42+#REF!+RAW59,"")</f>
        <v/>
      </c>
      <c r="RAX62" s="87" t="str">
        <f>IF(ISNUMBER(outYear),RAX37+RAX42+#REF!+RAX59,"")</f>
        <v/>
      </c>
      <c r="RAY62" s="87" t="str">
        <f>IF(ISNUMBER(outYear),RAY37+RAY42+#REF!+RAY59,"")</f>
        <v/>
      </c>
      <c r="RAZ62" s="87" t="str">
        <f>IF(ISNUMBER(outYear),RAZ37+RAZ42+#REF!+RAZ59,"")</f>
        <v/>
      </c>
      <c r="RBA62" s="87" t="str">
        <f>IF(ISNUMBER(outYear),RBA37+RBA42+#REF!+RBA59,"")</f>
        <v/>
      </c>
      <c r="RBB62" s="87" t="str">
        <f>IF(ISNUMBER(outYear),RBB37+RBB42+#REF!+RBB59,"")</f>
        <v/>
      </c>
      <c r="RBC62" s="87" t="str">
        <f>IF(ISNUMBER(outYear),RBC37+RBC42+#REF!+RBC59,"")</f>
        <v/>
      </c>
      <c r="RBD62" s="87" t="str">
        <f>IF(ISNUMBER(outYear),RBD37+RBD42+#REF!+RBD59,"")</f>
        <v/>
      </c>
      <c r="RBE62" s="87" t="str">
        <f>IF(ISNUMBER(outYear),RBE37+RBE42+#REF!+RBE59,"")</f>
        <v/>
      </c>
      <c r="RBF62" s="87" t="str">
        <f>IF(ISNUMBER(outYear),RBF37+RBF42+#REF!+RBF59,"")</f>
        <v/>
      </c>
      <c r="RBG62" s="87" t="str">
        <f>IF(ISNUMBER(outYear),RBG37+RBG42+#REF!+RBG59,"")</f>
        <v/>
      </c>
      <c r="RBH62" s="87" t="str">
        <f>IF(ISNUMBER(outYear),RBH37+RBH42+#REF!+RBH59,"")</f>
        <v/>
      </c>
      <c r="RBI62" s="87" t="str">
        <f>IF(ISNUMBER(outYear),RBI37+RBI42+#REF!+RBI59,"")</f>
        <v/>
      </c>
      <c r="RBJ62" s="87" t="str">
        <f>IF(ISNUMBER(outYear),RBJ37+RBJ42+#REF!+RBJ59,"")</f>
        <v/>
      </c>
      <c r="RBK62" s="87" t="str">
        <f>IF(ISNUMBER(outYear),RBK37+RBK42+#REF!+RBK59,"")</f>
        <v/>
      </c>
      <c r="RBL62" s="87" t="str">
        <f>IF(ISNUMBER(outYear),RBL37+RBL42+#REF!+RBL59,"")</f>
        <v/>
      </c>
      <c r="RBM62" s="87" t="str">
        <f>IF(ISNUMBER(outYear),RBM37+RBM42+#REF!+RBM59,"")</f>
        <v/>
      </c>
      <c r="RBN62" s="87" t="str">
        <f>IF(ISNUMBER(outYear),RBN37+RBN42+#REF!+RBN59,"")</f>
        <v/>
      </c>
      <c r="RBO62" s="87" t="str">
        <f>IF(ISNUMBER(outYear),RBO37+RBO42+#REF!+RBO59,"")</f>
        <v/>
      </c>
      <c r="RBP62" s="87" t="str">
        <f>IF(ISNUMBER(outYear),RBP37+RBP42+#REF!+RBP59,"")</f>
        <v/>
      </c>
      <c r="RBQ62" s="87" t="str">
        <f>IF(ISNUMBER(outYear),RBQ37+RBQ42+#REF!+RBQ59,"")</f>
        <v/>
      </c>
      <c r="RBR62" s="87" t="str">
        <f>IF(ISNUMBER(outYear),RBR37+RBR42+#REF!+RBR59,"")</f>
        <v/>
      </c>
      <c r="RBS62" s="87" t="str">
        <f>IF(ISNUMBER(outYear),RBS37+RBS42+#REF!+RBS59,"")</f>
        <v/>
      </c>
      <c r="RBT62" s="87" t="str">
        <f>IF(ISNUMBER(outYear),RBT37+RBT42+#REF!+RBT59,"")</f>
        <v/>
      </c>
      <c r="RBU62" s="87" t="str">
        <f>IF(ISNUMBER(outYear),RBU37+RBU42+#REF!+RBU59,"")</f>
        <v/>
      </c>
      <c r="RBV62" s="87" t="str">
        <f>IF(ISNUMBER(outYear),RBV37+RBV42+#REF!+RBV59,"")</f>
        <v/>
      </c>
      <c r="RBW62" s="87" t="str">
        <f>IF(ISNUMBER(outYear),RBW37+RBW42+#REF!+RBW59,"")</f>
        <v/>
      </c>
      <c r="RBX62" s="87" t="str">
        <f>IF(ISNUMBER(outYear),RBX37+RBX42+#REF!+RBX59,"")</f>
        <v/>
      </c>
      <c r="RBY62" s="87" t="str">
        <f>IF(ISNUMBER(outYear),RBY37+RBY42+#REF!+RBY59,"")</f>
        <v/>
      </c>
      <c r="RBZ62" s="87" t="str">
        <f>IF(ISNUMBER(outYear),RBZ37+RBZ42+#REF!+RBZ59,"")</f>
        <v/>
      </c>
      <c r="RCA62" s="87" t="str">
        <f>IF(ISNUMBER(outYear),RCA37+RCA42+#REF!+RCA59,"")</f>
        <v/>
      </c>
      <c r="RCB62" s="87" t="str">
        <f>IF(ISNUMBER(outYear),RCB37+RCB42+#REF!+RCB59,"")</f>
        <v/>
      </c>
      <c r="RCC62" s="87" t="str">
        <f>IF(ISNUMBER(outYear),RCC37+RCC42+#REF!+RCC59,"")</f>
        <v/>
      </c>
      <c r="RCD62" s="87" t="str">
        <f>IF(ISNUMBER(outYear),RCD37+RCD42+#REF!+RCD59,"")</f>
        <v/>
      </c>
      <c r="RCE62" s="87" t="str">
        <f>IF(ISNUMBER(outYear),RCE37+RCE42+#REF!+RCE59,"")</f>
        <v/>
      </c>
      <c r="RCF62" s="87" t="str">
        <f>IF(ISNUMBER(outYear),RCF37+RCF42+#REF!+RCF59,"")</f>
        <v/>
      </c>
      <c r="RCG62" s="87" t="str">
        <f>IF(ISNUMBER(outYear),RCG37+RCG42+#REF!+RCG59,"")</f>
        <v/>
      </c>
      <c r="RCH62" s="87" t="str">
        <f>IF(ISNUMBER(outYear),RCH37+RCH42+#REF!+RCH59,"")</f>
        <v/>
      </c>
      <c r="RCI62" s="87" t="str">
        <f>IF(ISNUMBER(outYear),RCI37+RCI42+#REF!+RCI59,"")</f>
        <v/>
      </c>
      <c r="RCJ62" s="87" t="str">
        <f>IF(ISNUMBER(outYear),RCJ37+RCJ42+#REF!+RCJ59,"")</f>
        <v/>
      </c>
      <c r="RCK62" s="87" t="str">
        <f>IF(ISNUMBER(outYear),RCK37+RCK42+#REF!+RCK59,"")</f>
        <v/>
      </c>
      <c r="RCL62" s="87" t="str">
        <f>IF(ISNUMBER(outYear),RCL37+RCL42+#REF!+RCL59,"")</f>
        <v/>
      </c>
      <c r="RCM62" s="87" t="str">
        <f>IF(ISNUMBER(outYear),RCM37+RCM42+#REF!+RCM59,"")</f>
        <v/>
      </c>
      <c r="RCN62" s="87" t="str">
        <f>IF(ISNUMBER(outYear),RCN37+RCN42+#REF!+RCN59,"")</f>
        <v/>
      </c>
      <c r="RCO62" s="87" t="str">
        <f>IF(ISNUMBER(outYear),RCO37+RCO42+#REF!+RCO59,"")</f>
        <v/>
      </c>
      <c r="RCP62" s="87" t="str">
        <f>IF(ISNUMBER(outYear),RCP37+RCP42+#REF!+RCP59,"")</f>
        <v/>
      </c>
      <c r="RCQ62" s="87" t="str">
        <f>IF(ISNUMBER(outYear),RCQ37+RCQ42+#REF!+RCQ59,"")</f>
        <v/>
      </c>
      <c r="RCR62" s="87" t="str">
        <f>IF(ISNUMBER(outYear),RCR37+RCR42+#REF!+RCR59,"")</f>
        <v/>
      </c>
      <c r="RCS62" s="87" t="str">
        <f>IF(ISNUMBER(outYear),RCS37+RCS42+#REF!+RCS59,"")</f>
        <v/>
      </c>
      <c r="RCT62" s="87" t="str">
        <f>IF(ISNUMBER(outYear),RCT37+RCT42+#REF!+RCT59,"")</f>
        <v/>
      </c>
      <c r="RCU62" s="87" t="str">
        <f>IF(ISNUMBER(outYear),RCU37+RCU42+#REF!+RCU59,"")</f>
        <v/>
      </c>
      <c r="RCV62" s="87" t="str">
        <f>IF(ISNUMBER(outYear),RCV37+RCV42+#REF!+RCV59,"")</f>
        <v/>
      </c>
      <c r="RCW62" s="87" t="str">
        <f>IF(ISNUMBER(outYear),RCW37+RCW42+#REF!+RCW59,"")</f>
        <v/>
      </c>
      <c r="RCX62" s="87" t="str">
        <f>IF(ISNUMBER(outYear),RCX37+RCX42+#REF!+RCX59,"")</f>
        <v/>
      </c>
      <c r="RCY62" s="87" t="str">
        <f>IF(ISNUMBER(outYear),RCY37+RCY42+#REF!+RCY59,"")</f>
        <v/>
      </c>
      <c r="RCZ62" s="87" t="str">
        <f>IF(ISNUMBER(outYear),RCZ37+RCZ42+#REF!+RCZ59,"")</f>
        <v/>
      </c>
      <c r="RDA62" s="87" t="str">
        <f>IF(ISNUMBER(outYear),RDA37+RDA42+#REF!+RDA59,"")</f>
        <v/>
      </c>
      <c r="RDB62" s="87" t="str">
        <f>IF(ISNUMBER(outYear),RDB37+RDB42+#REF!+RDB59,"")</f>
        <v/>
      </c>
      <c r="RDC62" s="87" t="str">
        <f>IF(ISNUMBER(outYear),RDC37+RDC42+#REF!+RDC59,"")</f>
        <v/>
      </c>
      <c r="RDD62" s="87" t="str">
        <f>IF(ISNUMBER(outYear),RDD37+RDD42+#REF!+RDD59,"")</f>
        <v/>
      </c>
      <c r="RDE62" s="87" t="str">
        <f>IF(ISNUMBER(outYear),RDE37+RDE42+#REF!+RDE59,"")</f>
        <v/>
      </c>
      <c r="RDF62" s="87" t="str">
        <f>IF(ISNUMBER(outYear),RDF37+RDF42+#REF!+RDF59,"")</f>
        <v/>
      </c>
      <c r="RDG62" s="87" t="str">
        <f>IF(ISNUMBER(outYear),RDG37+RDG42+#REF!+RDG59,"")</f>
        <v/>
      </c>
      <c r="RDH62" s="87" t="str">
        <f>IF(ISNUMBER(outYear),RDH37+RDH42+#REF!+RDH59,"")</f>
        <v/>
      </c>
      <c r="RDI62" s="87" t="str">
        <f>IF(ISNUMBER(outYear),RDI37+RDI42+#REF!+RDI59,"")</f>
        <v/>
      </c>
      <c r="RDJ62" s="87" t="str">
        <f>IF(ISNUMBER(outYear),RDJ37+RDJ42+#REF!+RDJ59,"")</f>
        <v/>
      </c>
      <c r="RDK62" s="87" t="str">
        <f>IF(ISNUMBER(outYear),RDK37+RDK42+#REF!+RDK59,"")</f>
        <v/>
      </c>
      <c r="RDL62" s="87" t="str">
        <f>IF(ISNUMBER(outYear),RDL37+RDL42+#REF!+RDL59,"")</f>
        <v/>
      </c>
      <c r="RDM62" s="87" t="str">
        <f>IF(ISNUMBER(outYear),RDM37+RDM42+#REF!+RDM59,"")</f>
        <v/>
      </c>
      <c r="RDN62" s="87" t="str">
        <f>IF(ISNUMBER(outYear),RDN37+RDN42+#REF!+RDN59,"")</f>
        <v/>
      </c>
      <c r="RDO62" s="87" t="str">
        <f>IF(ISNUMBER(outYear),RDO37+RDO42+#REF!+RDO59,"")</f>
        <v/>
      </c>
      <c r="RDP62" s="87" t="str">
        <f>IF(ISNUMBER(outYear),RDP37+RDP42+#REF!+RDP59,"")</f>
        <v/>
      </c>
      <c r="RDQ62" s="87" t="str">
        <f>IF(ISNUMBER(outYear),RDQ37+RDQ42+#REF!+RDQ59,"")</f>
        <v/>
      </c>
      <c r="RDR62" s="87" t="str">
        <f>IF(ISNUMBER(outYear),RDR37+RDR42+#REF!+RDR59,"")</f>
        <v/>
      </c>
      <c r="RDS62" s="87" t="str">
        <f>IF(ISNUMBER(outYear),RDS37+RDS42+#REF!+RDS59,"")</f>
        <v/>
      </c>
      <c r="RDT62" s="87" t="str">
        <f>IF(ISNUMBER(outYear),RDT37+RDT42+#REF!+RDT59,"")</f>
        <v/>
      </c>
      <c r="RDU62" s="87" t="str">
        <f>IF(ISNUMBER(outYear),RDU37+RDU42+#REF!+RDU59,"")</f>
        <v/>
      </c>
      <c r="RDV62" s="87" t="str">
        <f>IF(ISNUMBER(outYear),RDV37+RDV42+#REF!+RDV59,"")</f>
        <v/>
      </c>
      <c r="RDW62" s="87" t="str">
        <f>IF(ISNUMBER(outYear),RDW37+RDW42+#REF!+RDW59,"")</f>
        <v/>
      </c>
      <c r="RDX62" s="87" t="str">
        <f>IF(ISNUMBER(outYear),RDX37+RDX42+#REF!+RDX59,"")</f>
        <v/>
      </c>
      <c r="RDY62" s="87" t="str">
        <f>IF(ISNUMBER(outYear),RDY37+RDY42+#REF!+RDY59,"")</f>
        <v/>
      </c>
      <c r="RDZ62" s="87" t="str">
        <f>IF(ISNUMBER(outYear),RDZ37+RDZ42+#REF!+RDZ59,"")</f>
        <v/>
      </c>
      <c r="REA62" s="87" t="str">
        <f>IF(ISNUMBER(outYear),REA37+REA42+#REF!+REA59,"")</f>
        <v/>
      </c>
      <c r="REB62" s="87" t="str">
        <f>IF(ISNUMBER(outYear),REB37+REB42+#REF!+REB59,"")</f>
        <v/>
      </c>
      <c r="REC62" s="87" t="str">
        <f>IF(ISNUMBER(outYear),REC37+REC42+#REF!+REC59,"")</f>
        <v/>
      </c>
      <c r="RED62" s="87" t="str">
        <f>IF(ISNUMBER(outYear),RED37+RED42+#REF!+RED59,"")</f>
        <v/>
      </c>
      <c r="REE62" s="87" t="str">
        <f>IF(ISNUMBER(outYear),REE37+REE42+#REF!+REE59,"")</f>
        <v/>
      </c>
      <c r="REF62" s="87" t="str">
        <f>IF(ISNUMBER(outYear),REF37+REF42+#REF!+REF59,"")</f>
        <v/>
      </c>
      <c r="REG62" s="87" t="str">
        <f>IF(ISNUMBER(outYear),REG37+REG42+#REF!+REG59,"")</f>
        <v/>
      </c>
      <c r="REH62" s="87" t="str">
        <f>IF(ISNUMBER(outYear),REH37+REH42+#REF!+REH59,"")</f>
        <v/>
      </c>
      <c r="REI62" s="87" t="str">
        <f>IF(ISNUMBER(outYear),REI37+REI42+#REF!+REI59,"")</f>
        <v/>
      </c>
      <c r="REJ62" s="87" t="str">
        <f>IF(ISNUMBER(outYear),REJ37+REJ42+#REF!+REJ59,"")</f>
        <v/>
      </c>
      <c r="REK62" s="87" t="str">
        <f>IF(ISNUMBER(outYear),REK37+REK42+#REF!+REK59,"")</f>
        <v/>
      </c>
      <c r="REL62" s="87" t="str">
        <f>IF(ISNUMBER(outYear),REL37+REL42+#REF!+REL59,"")</f>
        <v/>
      </c>
      <c r="REM62" s="87" t="str">
        <f>IF(ISNUMBER(outYear),REM37+REM42+#REF!+REM59,"")</f>
        <v/>
      </c>
      <c r="REN62" s="87" t="str">
        <f>IF(ISNUMBER(outYear),REN37+REN42+#REF!+REN59,"")</f>
        <v/>
      </c>
      <c r="REO62" s="87" t="str">
        <f>IF(ISNUMBER(outYear),REO37+REO42+#REF!+REO59,"")</f>
        <v/>
      </c>
      <c r="REP62" s="87" t="str">
        <f>IF(ISNUMBER(outYear),REP37+REP42+#REF!+REP59,"")</f>
        <v/>
      </c>
      <c r="REQ62" s="87" t="str">
        <f>IF(ISNUMBER(outYear),REQ37+REQ42+#REF!+REQ59,"")</f>
        <v/>
      </c>
      <c r="RER62" s="87" t="str">
        <f>IF(ISNUMBER(outYear),RER37+RER42+#REF!+RER59,"")</f>
        <v/>
      </c>
      <c r="RES62" s="87" t="str">
        <f>IF(ISNUMBER(outYear),RES37+RES42+#REF!+RES59,"")</f>
        <v/>
      </c>
      <c r="RET62" s="87" t="str">
        <f>IF(ISNUMBER(outYear),RET37+RET42+#REF!+RET59,"")</f>
        <v/>
      </c>
      <c r="REU62" s="87" t="str">
        <f>IF(ISNUMBER(outYear),REU37+REU42+#REF!+REU59,"")</f>
        <v/>
      </c>
      <c r="REV62" s="87" t="str">
        <f>IF(ISNUMBER(outYear),REV37+REV42+#REF!+REV59,"")</f>
        <v/>
      </c>
      <c r="REW62" s="87" t="str">
        <f>IF(ISNUMBER(outYear),REW37+REW42+#REF!+REW59,"")</f>
        <v/>
      </c>
      <c r="REX62" s="87" t="str">
        <f>IF(ISNUMBER(outYear),REX37+REX42+#REF!+REX59,"")</f>
        <v/>
      </c>
      <c r="REY62" s="87" t="str">
        <f>IF(ISNUMBER(outYear),REY37+REY42+#REF!+REY59,"")</f>
        <v/>
      </c>
      <c r="REZ62" s="87" t="str">
        <f>IF(ISNUMBER(outYear),REZ37+REZ42+#REF!+REZ59,"")</f>
        <v/>
      </c>
      <c r="RFA62" s="87" t="str">
        <f>IF(ISNUMBER(outYear),RFA37+RFA42+#REF!+RFA59,"")</f>
        <v/>
      </c>
      <c r="RFB62" s="87" t="str">
        <f>IF(ISNUMBER(outYear),RFB37+RFB42+#REF!+RFB59,"")</f>
        <v/>
      </c>
      <c r="RFC62" s="87" t="str">
        <f>IF(ISNUMBER(outYear),RFC37+RFC42+#REF!+RFC59,"")</f>
        <v/>
      </c>
      <c r="RFD62" s="87" t="str">
        <f>IF(ISNUMBER(outYear),RFD37+RFD42+#REF!+RFD59,"")</f>
        <v/>
      </c>
      <c r="RFE62" s="87" t="str">
        <f>IF(ISNUMBER(outYear),RFE37+RFE42+#REF!+RFE59,"")</f>
        <v/>
      </c>
      <c r="RFF62" s="87" t="str">
        <f>IF(ISNUMBER(outYear),RFF37+RFF42+#REF!+RFF59,"")</f>
        <v/>
      </c>
      <c r="RFG62" s="87" t="str">
        <f>IF(ISNUMBER(outYear),RFG37+RFG42+#REF!+RFG59,"")</f>
        <v/>
      </c>
      <c r="RFH62" s="87" t="str">
        <f>IF(ISNUMBER(outYear),RFH37+RFH42+#REF!+RFH59,"")</f>
        <v/>
      </c>
      <c r="RFI62" s="87" t="str">
        <f>IF(ISNUMBER(outYear),RFI37+RFI42+#REF!+RFI59,"")</f>
        <v/>
      </c>
      <c r="RFJ62" s="87" t="str">
        <f>IF(ISNUMBER(outYear),RFJ37+RFJ42+#REF!+RFJ59,"")</f>
        <v/>
      </c>
      <c r="RFK62" s="87" t="str">
        <f>IF(ISNUMBER(outYear),RFK37+RFK42+#REF!+RFK59,"")</f>
        <v/>
      </c>
      <c r="RFL62" s="87" t="str">
        <f>IF(ISNUMBER(outYear),RFL37+RFL42+#REF!+RFL59,"")</f>
        <v/>
      </c>
      <c r="RFM62" s="87" t="str">
        <f>IF(ISNUMBER(outYear),RFM37+RFM42+#REF!+RFM59,"")</f>
        <v/>
      </c>
      <c r="RFN62" s="87" t="str">
        <f>IF(ISNUMBER(outYear),RFN37+RFN42+#REF!+RFN59,"")</f>
        <v/>
      </c>
      <c r="RFO62" s="87" t="str">
        <f>IF(ISNUMBER(outYear),RFO37+RFO42+#REF!+RFO59,"")</f>
        <v/>
      </c>
      <c r="RFP62" s="87" t="str">
        <f>IF(ISNUMBER(outYear),RFP37+RFP42+#REF!+RFP59,"")</f>
        <v/>
      </c>
      <c r="RFQ62" s="87" t="str">
        <f>IF(ISNUMBER(outYear),RFQ37+RFQ42+#REF!+RFQ59,"")</f>
        <v/>
      </c>
      <c r="RFR62" s="87" t="str">
        <f>IF(ISNUMBER(outYear),RFR37+RFR42+#REF!+RFR59,"")</f>
        <v/>
      </c>
      <c r="RFS62" s="87" t="str">
        <f>IF(ISNUMBER(outYear),RFS37+RFS42+#REF!+RFS59,"")</f>
        <v/>
      </c>
      <c r="RFT62" s="87" t="str">
        <f>IF(ISNUMBER(outYear),RFT37+RFT42+#REF!+RFT59,"")</f>
        <v/>
      </c>
      <c r="RFU62" s="87" t="str">
        <f>IF(ISNUMBER(outYear),RFU37+RFU42+#REF!+RFU59,"")</f>
        <v/>
      </c>
      <c r="RFV62" s="87" t="str">
        <f>IF(ISNUMBER(outYear),RFV37+RFV42+#REF!+RFV59,"")</f>
        <v/>
      </c>
      <c r="RFW62" s="87" t="str">
        <f>IF(ISNUMBER(outYear),RFW37+RFW42+#REF!+RFW59,"")</f>
        <v/>
      </c>
      <c r="RFX62" s="87" t="str">
        <f>IF(ISNUMBER(outYear),RFX37+RFX42+#REF!+RFX59,"")</f>
        <v/>
      </c>
      <c r="RFY62" s="87" t="str">
        <f>IF(ISNUMBER(outYear),RFY37+RFY42+#REF!+RFY59,"")</f>
        <v/>
      </c>
      <c r="RFZ62" s="87" t="str">
        <f>IF(ISNUMBER(outYear),RFZ37+RFZ42+#REF!+RFZ59,"")</f>
        <v/>
      </c>
      <c r="RGA62" s="87" t="str">
        <f>IF(ISNUMBER(outYear),RGA37+RGA42+#REF!+RGA59,"")</f>
        <v/>
      </c>
      <c r="RGB62" s="87" t="str">
        <f>IF(ISNUMBER(outYear),RGB37+RGB42+#REF!+RGB59,"")</f>
        <v/>
      </c>
      <c r="RGC62" s="87" t="str">
        <f>IF(ISNUMBER(outYear),RGC37+RGC42+#REF!+RGC59,"")</f>
        <v/>
      </c>
      <c r="RGD62" s="87" t="str">
        <f>IF(ISNUMBER(outYear),RGD37+RGD42+#REF!+RGD59,"")</f>
        <v/>
      </c>
      <c r="RGE62" s="87" t="str">
        <f>IF(ISNUMBER(outYear),RGE37+RGE42+#REF!+RGE59,"")</f>
        <v/>
      </c>
      <c r="RGF62" s="87" t="str">
        <f>IF(ISNUMBER(outYear),RGF37+RGF42+#REF!+RGF59,"")</f>
        <v/>
      </c>
      <c r="RGG62" s="87" t="str">
        <f>IF(ISNUMBER(outYear),RGG37+RGG42+#REF!+RGG59,"")</f>
        <v/>
      </c>
      <c r="RGH62" s="87" t="str">
        <f>IF(ISNUMBER(outYear),RGH37+RGH42+#REF!+RGH59,"")</f>
        <v/>
      </c>
      <c r="RGI62" s="87" t="str">
        <f>IF(ISNUMBER(outYear),RGI37+RGI42+#REF!+RGI59,"")</f>
        <v/>
      </c>
      <c r="RGJ62" s="87" t="str">
        <f>IF(ISNUMBER(outYear),RGJ37+RGJ42+#REF!+RGJ59,"")</f>
        <v/>
      </c>
      <c r="RGK62" s="87" t="str">
        <f>IF(ISNUMBER(outYear),RGK37+RGK42+#REF!+RGK59,"")</f>
        <v/>
      </c>
      <c r="RGL62" s="87" t="str">
        <f>IF(ISNUMBER(outYear),RGL37+RGL42+#REF!+RGL59,"")</f>
        <v/>
      </c>
      <c r="RGM62" s="87" t="str">
        <f>IF(ISNUMBER(outYear),RGM37+RGM42+#REF!+RGM59,"")</f>
        <v/>
      </c>
      <c r="RGN62" s="87" t="str">
        <f>IF(ISNUMBER(outYear),RGN37+RGN42+#REF!+RGN59,"")</f>
        <v/>
      </c>
      <c r="RGO62" s="87" t="str">
        <f>IF(ISNUMBER(outYear),RGO37+RGO42+#REF!+RGO59,"")</f>
        <v/>
      </c>
      <c r="RGP62" s="87" t="str">
        <f>IF(ISNUMBER(outYear),RGP37+RGP42+#REF!+RGP59,"")</f>
        <v/>
      </c>
      <c r="RGQ62" s="87" t="str">
        <f>IF(ISNUMBER(outYear),RGQ37+RGQ42+#REF!+RGQ59,"")</f>
        <v/>
      </c>
      <c r="RGR62" s="87" t="str">
        <f>IF(ISNUMBER(outYear),RGR37+RGR42+#REF!+RGR59,"")</f>
        <v/>
      </c>
      <c r="RGS62" s="87" t="str">
        <f>IF(ISNUMBER(outYear),RGS37+RGS42+#REF!+RGS59,"")</f>
        <v/>
      </c>
      <c r="RGT62" s="87" t="str">
        <f>IF(ISNUMBER(outYear),RGT37+RGT42+#REF!+RGT59,"")</f>
        <v/>
      </c>
      <c r="RGU62" s="87" t="str">
        <f>IF(ISNUMBER(outYear),RGU37+RGU42+#REF!+RGU59,"")</f>
        <v/>
      </c>
      <c r="RGV62" s="87" t="str">
        <f>IF(ISNUMBER(outYear),RGV37+RGV42+#REF!+RGV59,"")</f>
        <v/>
      </c>
      <c r="RGW62" s="87" t="str">
        <f>IF(ISNUMBER(outYear),RGW37+RGW42+#REF!+RGW59,"")</f>
        <v/>
      </c>
      <c r="RGX62" s="87" t="str">
        <f>IF(ISNUMBER(outYear),RGX37+RGX42+#REF!+RGX59,"")</f>
        <v/>
      </c>
      <c r="RGY62" s="87" t="str">
        <f>IF(ISNUMBER(outYear),RGY37+RGY42+#REF!+RGY59,"")</f>
        <v/>
      </c>
      <c r="RGZ62" s="87" t="str">
        <f>IF(ISNUMBER(outYear),RGZ37+RGZ42+#REF!+RGZ59,"")</f>
        <v/>
      </c>
      <c r="RHA62" s="87" t="str">
        <f>IF(ISNUMBER(outYear),RHA37+RHA42+#REF!+RHA59,"")</f>
        <v/>
      </c>
      <c r="RHB62" s="87" t="str">
        <f>IF(ISNUMBER(outYear),RHB37+RHB42+#REF!+RHB59,"")</f>
        <v/>
      </c>
      <c r="RHC62" s="87" t="str">
        <f>IF(ISNUMBER(outYear),RHC37+RHC42+#REF!+RHC59,"")</f>
        <v/>
      </c>
      <c r="RHD62" s="87" t="str">
        <f>IF(ISNUMBER(outYear),RHD37+RHD42+#REF!+RHD59,"")</f>
        <v/>
      </c>
      <c r="RHE62" s="87" t="str">
        <f>IF(ISNUMBER(outYear),RHE37+RHE42+#REF!+RHE59,"")</f>
        <v/>
      </c>
      <c r="RHF62" s="87" t="str">
        <f>IF(ISNUMBER(outYear),RHF37+RHF42+#REF!+RHF59,"")</f>
        <v/>
      </c>
      <c r="RHG62" s="87" t="str">
        <f>IF(ISNUMBER(outYear),RHG37+RHG42+#REF!+RHG59,"")</f>
        <v/>
      </c>
      <c r="RHH62" s="87" t="str">
        <f>IF(ISNUMBER(outYear),RHH37+RHH42+#REF!+RHH59,"")</f>
        <v/>
      </c>
      <c r="RHI62" s="87" t="str">
        <f>IF(ISNUMBER(outYear),RHI37+RHI42+#REF!+RHI59,"")</f>
        <v/>
      </c>
      <c r="RHJ62" s="87" t="str">
        <f>IF(ISNUMBER(outYear),RHJ37+RHJ42+#REF!+RHJ59,"")</f>
        <v/>
      </c>
      <c r="RHK62" s="87" t="str">
        <f>IF(ISNUMBER(outYear),RHK37+RHK42+#REF!+RHK59,"")</f>
        <v/>
      </c>
      <c r="RHL62" s="87" t="str">
        <f>IF(ISNUMBER(outYear),RHL37+RHL42+#REF!+RHL59,"")</f>
        <v/>
      </c>
      <c r="RHM62" s="87" t="str">
        <f>IF(ISNUMBER(outYear),RHM37+RHM42+#REF!+RHM59,"")</f>
        <v/>
      </c>
      <c r="RHN62" s="87" t="str">
        <f>IF(ISNUMBER(outYear),RHN37+RHN42+#REF!+RHN59,"")</f>
        <v/>
      </c>
      <c r="RHO62" s="87" t="str">
        <f>IF(ISNUMBER(outYear),RHO37+RHO42+#REF!+RHO59,"")</f>
        <v/>
      </c>
      <c r="RHP62" s="87" t="str">
        <f>IF(ISNUMBER(outYear),RHP37+RHP42+#REF!+RHP59,"")</f>
        <v/>
      </c>
      <c r="RHQ62" s="87" t="str">
        <f>IF(ISNUMBER(outYear),RHQ37+RHQ42+#REF!+RHQ59,"")</f>
        <v/>
      </c>
      <c r="RHR62" s="87" t="str">
        <f>IF(ISNUMBER(outYear),RHR37+RHR42+#REF!+RHR59,"")</f>
        <v/>
      </c>
      <c r="RHS62" s="87" t="str">
        <f>IF(ISNUMBER(outYear),RHS37+RHS42+#REF!+RHS59,"")</f>
        <v/>
      </c>
      <c r="RHT62" s="87" t="str">
        <f>IF(ISNUMBER(outYear),RHT37+RHT42+#REF!+RHT59,"")</f>
        <v/>
      </c>
      <c r="RHU62" s="87" t="str">
        <f>IF(ISNUMBER(outYear),RHU37+RHU42+#REF!+RHU59,"")</f>
        <v/>
      </c>
      <c r="RHV62" s="87" t="str">
        <f>IF(ISNUMBER(outYear),RHV37+RHV42+#REF!+RHV59,"")</f>
        <v/>
      </c>
      <c r="RHW62" s="87" t="str">
        <f>IF(ISNUMBER(outYear),RHW37+RHW42+#REF!+RHW59,"")</f>
        <v/>
      </c>
      <c r="RHX62" s="87" t="str">
        <f>IF(ISNUMBER(outYear),RHX37+RHX42+#REF!+RHX59,"")</f>
        <v/>
      </c>
      <c r="RHY62" s="87" t="str">
        <f>IF(ISNUMBER(outYear),RHY37+RHY42+#REF!+RHY59,"")</f>
        <v/>
      </c>
      <c r="RHZ62" s="87" t="str">
        <f>IF(ISNUMBER(outYear),RHZ37+RHZ42+#REF!+RHZ59,"")</f>
        <v/>
      </c>
      <c r="RIA62" s="87" t="str">
        <f>IF(ISNUMBER(outYear),RIA37+RIA42+#REF!+RIA59,"")</f>
        <v/>
      </c>
      <c r="RIB62" s="87" t="str">
        <f>IF(ISNUMBER(outYear),RIB37+RIB42+#REF!+RIB59,"")</f>
        <v/>
      </c>
      <c r="RIC62" s="87" t="str">
        <f>IF(ISNUMBER(outYear),RIC37+RIC42+#REF!+RIC59,"")</f>
        <v/>
      </c>
      <c r="RID62" s="87" t="str">
        <f>IF(ISNUMBER(outYear),RID37+RID42+#REF!+RID59,"")</f>
        <v/>
      </c>
      <c r="RIE62" s="87" t="str">
        <f>IF(ISNUMBER(outYear),RIE37+RIE42+#REF!+RIE59,"")</f>
        <v/>
      </c>
      <c r="RIF62" s="87" t="str">
        <f>IF(ISNUMBER(outYear),RIF37+RIF42+#REF!+RIF59,"")</f>
        <v/>
      </c>
      <c r="RIG62" s="87" t="str">
        <f>IF(ISNUMBER(outYear),RIG37+RIG42+#REF!+RIG59,"")</f>
        <v/>
      </c>
      <c r="RIH62" s="87" t="str">
        <f>IF(ISNUMBER(outYear),RIH37+RIH42+#REF!+RIH59,"")</f>
        <v/>
      </c>
      <c r="RII62" s="87" t="str">
        <f>IF(ISNUMBER(outYear),RII37+RII42+#REF!+RII59,"")</f>
        <v/>
      </c>
      <c r="RIJ62" s="87" t="str">
        <f>IF(ISNUMBER(outYear),RIJ37+RIJ42+#REF!+RIJ59,"")</f>
        <v/>
      </c>
      <c r="RIK62" s="87" t="str">
        <f>IF(ISNUMBER(outYear),RIK37+RIK42+#REF!+RIK59,"")</f>
        <v/>
      </c>
      <c r="RIL62" s="87" t="str">
        <f>IF(ISNUMBER(outYear),RIL37+RIL42+#REF!+RIL59,"")</f>
        <v/>
      </c>
      <c r="RIM62" s="87" t="str">
        <f>IF(ISNUMBER(outYear),RIM37+RIM42+#REF!+RIM59,"")</f>
        <v/>
      </c>
      <c r="RIN62" s="87" t="str">
        <f>IF(ISNUMBER(outYear),RIN37+RIN42+#REF!+RIN59,"")</f>
        <v/>
      </c>
      <c r="RIO62" s="87" t="str">
        <f>IF(ISNUMBER(outYear),RIO37+RIO42+#REF!+RIO59,"")</f>
        <v/>
      </c>
      <c r="RIP62" s="87" t="str">
        <f>IF(ISNUMBER(outYear),RIP37+RIP42+#REF!+RIP59,"")</f>
        <v/>
      </c>
      <c r="RIQ62" s="87" t="str">
        <f>IF(ISNUMBER(outYear),RIQ37+RIQ42+#REF!+RIQ59,"")</f>
        <v/>
      </c>
      <c r="RIR62" s="87" t="str">
        <f>IF(ISNUMBER(outYear),RIR37+RIR42+#REF!+RIR59,"")</f>
        <v/>
      </c>
      <c r="RIS62" s="87" t="str">
        <f>IF(ISNUMBER(outYear),RIS37+RIS42+#REF!+RIS59,"")</f>
        <v/>
      </c>
      <c r="RIT62" s="87" t="str">
        <f>IF(ISNUMBER(outYear),RIT37+RIT42+#REF!+RIT59,"")</f>
        <v/>
      </c>
      <c r="RIU62" s="87" t="str">
        <f>IF(ISNUMBER(outYear),RIU37+RIU42+#REF!+RIU59,"")</f>
        <v/>
      </c>
      <c r="RIV62" s="87" t="str">
        <f>IF(ISNUMBER(outYear),RIV37+RIV42+#REF!+RIV59,"")</f>
        <v/>
      </c>
      <c r="RIW62" s="87" t="str">
        <f>IF(ISNUMBER(outYear),RIW37+RIW42+#REF!+RIW59,"")</f>
        <v/>
      </c>
      <c r="RIX62" s="87" t="str">
        <f>IF(ISNUMBER(outYear),RIX37+RIX42+#REF!+RIX59,"")</f>
        <v/>
      </c>
      <c r="RIY62" s="87" t="str">
        <f>IF(ISNUMBER(outYear),RIY37+RIY42+#REF!+RIY59,"")</f>
        <v/>
      </c>
      <c r="RIZ62" s="87" t="str">
        <f>IF(ISNUMBER(outYear),RIZ37+RIZ42+#REF!+RIZ59,"")</f>
        <v/>
      </c>
      <c r="RJA62" s="87" t="str">
        <f>IF(ISNUMBER(outYear),RJA37+RJA42+#REF!+RJA59,"")</f>
        <v/>
      </c>
      <c r="RJB62" s="87" t="str">
        <f>IF(ISNUMBER(outYear),RJB37+RJB42+#REF!+RJB59,"")</f>
        <v/>
      </c>
      <c r="RJC62" s="87" t="str">
        <f>IF(ISNUMBER(outYear),RJC37+RJC42+#REF!+RJC59,"")</f>
        <v/>
      </c>
      <c r="RJD62" s="87" t="str">
        <f>IF(ISNUMBER(outYear),RJD37+RJD42+#REF!+RJD59,"")</f>
        <v/>
      </c>
      <c r="RJE62" s="87" t="str">
        <f>IF(ISNUMBER(outYear),RJE37+RJE42+#REF!+RJE59,"")</f>
        <v/>
      </c>
      <c r="RJF62" s="87" t="str">
        <f>IF(ISNUMBER(outYear),RJF37+RJF42+#REF!+RJF59,"")</f>
        <v/>
      </c>
      <c r="RJG62" s="87" t="str">
        <f>IF(ISNUMBER(outYear),RJG37+RJG42+#REF!+RJG59,"")</f>
        <v/>
      </c>
      <c r="RJH62" s="87" t="str">
        <f>IF(ISNUMBER(outYear),RJH37+RJH42+#REF!+RJH59,"")</f>
        <v/>
      </c>
      <c r="RJI62" s="87" t="str">
        <f>IF(ISNUMBER(outYear),RJI37+RJI42+#REF!+RJI59,"")</f>
        <v/>
      </c>
      <c r="RJJ62" s="87" t="str">
        <f>IF(ISNUMBER(outYear),RJJ37+RJJ42+#REF!+RJJ59,"")</f>
        <v/>
      </c>
      <c r="RJK62" s="87" t="str">
        <f>IF(ISNUMBER(outYear),RJK37+RJK42+#REF!+RJK59,"")</f>
        <v/>
      </c>
      <c r="RJL62" s="87" t="str">
        <f>IF(ISNUMBER(outYear),RJL37+RJL42+#REF!+RJL59,"")</f>
        <v/>
      </c>
      <c r="RJM62" s="87" t="str">
        <f>IF(ISNUMBER(outYear),RJM37+RJM42+#REF!+RJM59,"")</f>
        <v/>
      </c>
      <c r="RJN62" s="87" t="str">
        <f>IF(ISNUMBER(outYear),RJN37+RJN42+#REF!+RJN59,"")</f>
        <v/>
      </c>
      <c r="RJO62" s="87" t="str">
        <f>IF(ISNUMBER(outYear),RJO37+RJO42+#REF!+RJO59,"")</f>
        <v/>
      </c>
      <c r="RJP62" s="87" t="str">
        <f>IF(ISNUMBER(outYear),RJP37+RJP42+#REF!+RJP59,"")</f>
        <v/>
      </c>
      <c r="RJQ62" s="87" t="str">
        <f>IF(ISNUMBER(outYear),RJQ37+RJQ42+#REF!+RJQ59,"")</f>
        <v/>
      </c>
      <c r="RJR62" s="87" t="str">
        <f>IF(ISNUMBER(outYear),RJR37+RJR42+#REF!+RJR59,"")</f>
        <v/>
      </c>
      <c r="RJS62" s="87" t="str">
        <f>IF(ISNUMBER(outYear),RJS37+RJS42+#REF!+RJS59,"")</f>
        <v/>
      </c>
      <c r="RJT62" s="87" t="str">
        <f>IF(ISNUMBER(outYear),RJT37+RJT42+#REF!+RJT59,"")</f>
        <v/>
      </c>
      <c r="RJU62" s="87" t="str">
        <f>IF(ISNUMBER(outYear),RJU37+RJU42+#REF!+RJU59,"")</f>
        <v/>
      </c>
      <c r="RJV62" s="87" t="str">
        <f>IF(ISNUMBER(outYear),RJV37+RJV42+#REF!+RJV59,"")</f>
        <v/>
      </c>
      <c r="RJW62" s="87" t="str">
        <f>IF(ISNUMBER(outYear),RJW37+RJW42+#REF!+RJW59,"")</f>
        <v/>
      </c>
      <c r="RJX62" s="87" t="str">
        <f>IF(ISNUMBER(outYear),RJX37+RJX42+#REF!+RJX59,"")</f>
        <v/>
      </c>
      <c r="RJY62" s="87" t="str">
        <f>IF(ISNUMBER(outYear),RJY37+RJY42+#REF!+RJY59,"")</f>
        <v/>
      </c>
      <c r="RJZ62" s="87" t="str">
        <f>IF(ISNUMBER(outYear),RJZ37+RJZ42+#REF!+RJZ59,"")</f>
        <v/>
      </c>
      <c r="RKA62" s="87" t="str">
        <f>IF(ISNUMBER(outYear),RKA37+RKA42+#REF!+RKA59,"")</f>
        <v/>
      </c>
      <c r="RKB62" s="87" t="str">
        <f>IF(ISNUMBER(outYear),RKB37+RKB42+#REF!+RKB59,"")</f>
        <v/>
      </c>
      <c r="RKC62" s="87" t="str">
        <f>IF(ISNUMBER(outYear),RKC37+RKC42+#REF!+RKC59,"")</f>
        <v/>
      </c>
      <c r="RKD62" s="87" t="str">
        <f>IF(ISNUMBER(outYear),RKD37+RKD42+#REF!+RKD59,"")</f>
        <v/>
      </c>
      <c r="RKE62" s="87" t="str">
        <f>IF(ISNUMBER(outYear),RKE37+RKE42+#REF!+RKE59,"")</f>
        <v/>
      </c>
      <c r="RKF62" s="87" t="str">
        <f>IF(ISNUMBER(outYear),RKF37+RKF42+#REF!+RKF59,"")</f>
        <v/>
      </c>
      <c r="RKG62" s="87" t="str">
        <f>IF(ISNUMBER(outYear),RKG37+RKG42+#REF!+RKG59,"")</f>
        <v/>
      </c>
      <c r="RKH62" s="87" t="str">
        <f>IF(ISNUMBER(outYear),RKH37+RKH42+#REF!+RKH59,"")</f>
        <v/>
      </c>
      <c r="RKI62" s="87" t="str">
        <f>IF(ISNUMBER(outYear),RKI37+RKI42+#REF!+RKI59,"")</f>
        <v/>
      </c>
      <c r="RKJ62" s="87" t="str">
        <f>IF(ISNUMBER(outYear),RKJ37+RKJ42+#REF!+RKJ59,"")</f>
        <v/>
      </c>
      <c r="RKK62" s="87" t="str">
        <f>IF(ISNUMBER(outYear),RKK37+RKK42+#REF!+RKK59,"")</f>
        <v/>
      </c>
      <c r="RKL62" s="87" t="str">
        <f>IF(ISNUMBER(outYear),RKL37+RKL42+#REF!+RKL59,"")</f>
        <v/>
      </c>
      <c r="RKM62" s="87" t="str">
        <f>IF(ISNUMBER(outYear),RKM37+RKM42+#REF!+RKM59,"")</f>
        <v/>
      </c>
      <c r="RKN62" s="87" t="str">
        <f>IF(ISNUMBER(outYear),RKN37+RKN42+#REF!+RKN59,"")</f>
        <v/>
      </c>
      <c r="RKO62" s="87" t="str">
        <f>IF(ISNUMBER(outYear),RKO37+RKO42+#REF!+RKO59,"")</f>
        <v/>
      </c>
      <c r="RKP62" s="87" t="str">
        <f>IF(ISNUMBER(outYear),RKP37+RKP42+#REF!+RKP59,"")</f>
        <v/>
      </c>
      <c r="RKQ62" s="87" t="str">
        <f>IF(ISNUMBER(outYear),RKQ37+RKQ42+#REF!+RKQ59,"")</f>
        <v/>
      </c>
      <c r="RKR62" s="87" t="str">
        <f>IF(ISNUMBER(outYear),RKR37+RKR42+#REF!+RKR59,"")</f>
        <v/>
      </c>
      <c r="RKS62" s="87" t="str">
        <f>IF(ISNUMBER(outYear),RKS37+RKS42+#REF!+RKS59,"")</f>
        <v/>
      </c>
      <c r="RKT62" s="87" t="str">
        <f>IF(ISNUMBER(outYear),RKT37+RKT42+#REF!+RKT59,"")</f>
        <v/>
      </c>
      <c r="RKU62" s="87" t="str">
        <f>IF(ISNUMBER(outYear),RKU37+RKU42+#REF!+RKU59,"")</f>
        <v/>
      </c>
      <c r="RKV62" s="87" t="str">
        <f>IF(ISNUMBER(outYear),RKV37+RKV42+#REF!+RKV59,"")</f>
        <v/>
      </c>
      <c r="RKW62" s="87" t="str">
        <f>IF(ISNUMBER(outYear),RKW37+RKW42+#REF!+RKW59,"")</f>
        <v/>
      </c>
      <c r="RKX62" s="87" t="str">
        <f>IF(ISNUMBER(outYear),RKX37+RKX42+#REF!+RKX59,"")</f>
        <v/>
      </c>
      <c r="RKY62" s="87" t="str">
        <f>IF(ISNUMBER(outYear),RKY37+RKY42+#REF!+RKY59,"")</f>
        <v/>
      </c>
      <c r="RKZ62" s="87" t="str">
        <f>IF(ISNUMBER(outYear),RKZ37+RKZ42+#REF!+RKZ59,"")</f>
        <v/>
      </c>
      <c r="RLA62" s="87" t="str">
        <f>IF(ISNUMBER(outYear),RLA37+RLA42+#REF!+RLA59,"")</f>
        <v/>
      </c>
      <c r="RLB62" s="87" t="str">
        <f>IF(ISNUMBER(outYear),RLB37+RLB42+#REF!+RLB59,"")</f>
        <v/>
      </c>
      <c r="RLC62" s="87" t="str">
        <f>IF(ISNUMBER(outYear),RLC37+RLC42+#REF!+RLC59,"")</f>
        <v/>
      </c>
      <c r="RLD62" s="87" t="str">
        <f>IF(ISNUMBER(outYear),RLD37+RLD42+#REF!+RLD59,"")</f>
        <v/>
      </c>
      <c r="RLE62" s="87" t="str">
        <f>IF(ISNUMBER(outYear),RLE37+RLE42+#REF!+RLE59,"")</f>
        <v/>
      </c>
      <c r="RLF62" s="87" t="str">
        <f>IF(ISNUMBER(outYear),RLF37+RLF42+#REF!+RLF59,"")</f>
        <v/>
      </c>
      <c r="RLG62" s="87" t="str">
        <f>IF(ISNUMBER(outYear),RLG37+RLG42+#REF!+RLG59,"")</f>
        <v/>
      </c>
      <c r="RLH62" s="87" t="str">
        <f>IF(ISNUMBER(outYear),RLH37+RLH42+#REF!+RLH59,"")</f>
        <v/>
      </c>
      <c r="RLI62" s="87" t="str">
        <f>IF(ISNUMBER(outYear),RLI37+RLI42+#REF!+RLI59,"")</f>
        <v/>
      </c>
      <c r="RLJ62" s="87" t="str">
        <f>IF(ISNUMBER(outYear),RLJ37+RLJ42+#REF!+RLJ59,"")</f>
        <v/>
      </c>
      <c r="RLK62" s="87" t="str">
        <f>IF(ISNUMBER(outYear),RLK37+RLK42+#REF!+RLK59,"")</f>
        <v/>
      </c>
      <c r="RLL62" s="87" t="str">
        <f>IF(ISNUMBER(outYear),RLL37+RLL42+#REF!+RLL59,"")</f>
        <v/>
      </c>
      <c r="RLM62" s="87" t="str">
        <f>IF(ISNUMBER(outYear),RLM37+RLM42+#REF!+RLM59,"")</f>
        <v/>
      </c>
      <c r="RLN62" s="87" t="str">
        <f>IF(ISNUMBER(outYear),RLN37+RLN42+#REF!+RLN59,"")</f>
        <v/>
      </c>
      <c r="RLO62" s="87" t="str">
        <f>IF(ISNUMBER(outYear),RLO37+RLO42+#REF!+RLO59,"")</f>
        <v/>
      </c>
      <c r="RLP62" s="87" t="str">
        <f>IF(ISNUMBER(outYear),RLP37+RLP42+#REF!+RLP59,"")</f>
        <v/>
      </c>
      <c r="RLQ62" s="87" t="str">
        <f>IF(ISNUMBER(outYear),RLQ37+RLQ42+#REF!+RLQ59,"")</f>
        <v/>
      </c>
      <c r="RLR62" s="87" t="str">
        <f>IF(ISNUMBER(outYear),RLR37+RLR42+#REF!+RLR59,"")</f>
        <v/>
      </c>
      <c r="RLS62" s="87" t="str">
        <f>IF(ISNUMBER(outYear),RLS37+RLS42+#REF!+RLS59,"")</f>
        <v/>
      </c>
      <c r="RLT62" s="87" t="str">
        <f>IF(ISNUMBER(outYear),RLT37+RLT42+#REF!+RLT59,"")</f>
        <v/>
      </c>
      <c r="RLU62" s="87" t="str">
        <f>IF(ISNUMBER(outYear),RLU37+RLU42+#REF!+RLU59,"")</f>
        <v/>
      </c>
      <c r="RLV62" s="87" t="str">
        <f>IF(ISNUMBER(outYear),RLV37+RLV42+#REF!+RLV59,"")</f>
        <v/>
      </c>
      <c r="RLW62" s="87" t="str">
        <f>IF(ISNUMBER(outYear),RLW37+RLW42+#REF!+RLW59,"")</f>
        <v/>
      </c>
      <c r="RLX62" s="87" t="str">
        <f>IF(ISNUMBER(outYear),RLX37+RLX42+#REF!+RLX59,"")</f>
        <v/>
      </c>
      <c r="RLY62" s="87" t="str">
        <f>IF(ISNUMBER(outYear),RLY37+RLY42+#REF!+RLY59,"")</f>
        <v/>
      </c>
      <c r="RLZ62" s="87" t="str">
        <f>IF(ISNUMBER(outYear),RLZ37+RLZ42+#REF!+RLZ59,"")</f>
        <v/>
      </c>
      <c r="RMA62" s="87" t="str">
        <f>IF(ISNUMBER(outYear),RMA37+RMA42+#REF!+RMA59,"")</f>
        <v/>
      </c>
      <c r="RMB62" s="87" t="str">
        <f>IF(ISNUMBER(outYear),RMB37+RMB42+#REF!+RMB59,"")</f>
        <v/>
      </c>
      <c r="RMC62" s="87" t="str">
        <f>IF(ISNUMBER(outYear),RMC37+RMC42+#REF!+RMC59,"")</f>
        <v/>
      </c>
      <c r="RMD62" s="87" t="str">
        <f>IF(ISNUMBER(outYear),RMD37+RMD42+#REF!+RMD59,"")</f>
        <v/>
      </c>
      <c r="RME62" s="87" t="str">
        <f>IF(ISNUMBER(outYear),RME37+RME42+#REF!+RME59,"")</f>
        <v/>
      </c>
      <c r="RMF62" s="87" t="str">
        <f>IF(ISNUMBER(outYear),RMF37+RMF42+#REF!+RMF59,"")</f>
        <v/>
      </c>
      <c r="RMG62" s="87" t="str">
        <f>IF(ISNUMBER(outYear),RMG37+RMG42+#REF!+RMG59,"")</f>
        <v/>
      </c>
      <c r="RMH62" s="87" t="str">
        <f>IF(ISNUMBER(outYear),RMH37+RMH42+#REF!+RMH59,"")</f>
        <v/>
      </c>
      <c r="RMI62" s="87" t="str">
        <f>IF(ISNUMBER(outYear),RMI37+RMI42+#REF!+RMI59,"")</f>
        <v/>
      </c>
      <c r="RMJ62" s="87" t="str">
        <f>IF(ISNUMBER(outYear),RMJ37+RMJ42+#REF!+RMJ59,"")</f>
        <v/>
      </c>
      <c r="RMK62" s="87" t="str">
        <f>IF(ISNUMBER(outYear),RMK37+RMK42+#REF!+RMK59,"")</f>
        <v/>
      </c>
      <c r="RML62" s="87" t="str">
        <f>IF(ISNUMBER(outYear),RML37+RML42+#REF!+RML59,"")</f>
        <v/>
      </c>
      <c r="RMM62" s="87" t="str">
        <f>IF(ISNUMBER(outYear),RMM37+RMM42+#REF!+RMM59,"")</f>
        <v/>
      </c>
      <c r="RMN62" s="87" t="str">
        <f>IF(ISNUMBER(outYear),RMN37+RMN42+#REF!+RMN59,"")</f>
        <v/>
      </c>
      <c r="RMO62" s="87" t="str">
        <f>IF(ISNUMBER(outYear),RMO37+RMO42+#REF!+RMO59,"")</f>
        <v/>
      </c>
      <c r="RMP62" s="87" t="str">
        <f>IF(ISNUMBER(outYear),RMP37+RMP42+#REF!+RMP59,"")</f>
        <v/>
      </c>
      <c r="RMQ62" s="87" t="str">
        <f>IF(ISNUMBER(outYear),RMQ37+RMQ42+#REF!+RMQ59,"")</f>
        <v/>
      </c>
      <c r="RMR62" s="87" t="str">
        <f>IF(ISNUMBER(outYear),RMR37+RMR42+#REF!+RMR59,"")</f>
        <v/>
      </c>
      <c r="RMS62" s="87" t="str">
        <f>IF(ISNUMBER(outYear),RMS37+RMS42+#REF!+RMS59,"")</f>
        <v/>
      </c>
      <c r="RMT62" s="87" t="str">
        <f>IF(ISNUMBER(outYear),RMT37+RMT42+#REF!+RMT59,"")</f>
        <v/>
      </c>
      <c r="RMU62" s="87" t="str">
        <f>IF(ISNUMBER(outYear),RMU37+RMU42+#REF!+RMU59,"")</f>
        <v/>
      </c>
      <c r="RMV62" s="87" t="str">
        <f>IF(ISNUMBER(outYear),RMV37+RMV42+#REF!+RMV59,"")</f>
        <v/>
      </c>
      <c r="RMW62" s="87" t="str">
        <f>IF(ISNUMBER(outYear),RMW37+RMW42+#REF!+RMW59,"")</f>
        <v/>
      </c>
      <c r="RMX62" s="87" t="str">
        <f>IF(ISNUMBER(outYear),RMX37+RMX42+#REF!+RMX59,"")</f>
        <v/>
      </c>
      <c r="RMY62" s="87" t="str">
        <f>IF(ISNUMBER(outYear),RMY37+RMY42+#REF!+RMY59,"")</f>
        <v/>
      </c>
      <c r="RMZ62" s="87" t="str">
        <f>IF(ISNUMBER(outYear),RMZ37+RMZ42+#REF!+RMZ59,"")</f>
        <v/>
      </c>
      <c r="RNA62" s="87" t="str">
        <f>IF(ISNUMBER(outYear),RNA37+RNA42+#REF!+RNA59,"")</f>
        <v/>
      </c>
      <c r="RNB62" s="87" t="str">
        <f>IF(ISNUMBER(outYear),RNB37+RNB42+#REF!+RNB59,"")</f>
        <v/>
      </c>
      <c r="RNC62" s="87" t="str">
        <f>IF(ISNUMBER(outYear),RNC37+RNC42+#REF!+RNC59,"")</f>
        <v/>
      </c>
      <c r="RND62" s="87" t="str">
        <f>IF(ISNUMBER(outYear),RND37+RND42+#REF!+RND59,"")</f>
        <v/>
      </c>
      <c r="RNE62" s="87" t="str">
        <f>IF(ISNUMBER(outYear),RNE37+RNE42+#REF!+RNE59,"")</f>
        <v/>
      </c>
      <c r="RNF62" s="87" t="str">
        <f>IF(ISNUMBER(outYear),RNF37+RNF42+#REF!+RNF59,"")</f>
        <v/>
      </c>
      <c r="RNG62" s="87" t="str">
        <f>IF(ISNUMBER(outYear),RNG37+RNG42+#REF!+RNG59,"")</f>
        <v/>
      </c>
      <c r="RNH62" s="87" t="str">
        <f>IF(ISNUMBER(outYear),RNH37+RNH42+#REF!+RNH59,"")</f>
        <v/>
      </c>
      <c r="RNI62" s="87" t="str">
        <f>IF(ISNUMBER(outYear),RNI37+RNI42+#REF!+RNI59,"")</f>
        <v/>
      </c>
      <c r="RNJ62" s="87" t="str">
        <f>IF(ISNUMBER(outYear),RNJ37+RNJ42+#REF!+RNJ59,"")</f>
        <v/>
      </c>
      <c r="RNK62" s="87" t="str">
        <f>IF(ISNUMBER(outYear),RNK37+RNK42+#REF!+RNK59,"")</f>
        <v/>
      </c>
      <c r="RNL62" s="87" t="str">
        <f>IF(ISNUMBER(outYear),RNL37+RNL42+#REF!+RNL59,"")</f>
        <v/>
      </c>
      <c r="RNM62" s="87" t="str">
        <f>IF(ISNUMBER(outYear),RNM37+RNM42+#REF!+RNM59,"")</f>
        <v/>
      </c>
      <c r="RNN62" s="87" t="str">
        <f>IF(ISNUMBER(outYear),RNN37+RNN42+#REF!+RNN59,"")</f>
        <v/>
      </c>
      <c r="RNO62" s="87" t="str">
        <f>IF(ISNUMBER(outYear),RNO37+RNO42+#REF!+RNO59,"")</f>
        <v/>
      </c>
      <c r="RNP62" s="87" t="str">
        <f>IF(ISNUMBER(outYear),RNP37+RNP42+#REF!+RNP59,"")</f>
        <v/>
      </c>
      <c r="RNQ62" s="87" t="str">
        <f>IF(ISNUMBER(outYear),RNQ37+RNQ42+#REF!+RNQ59,"")</f>
        <v/>
      </c>
      <c r="RNR62" s="87" t="str">
        <f>IF(ISNUMBER(outYear),RNR37+RNR42+#REF!+RNR59,"")</f>
        <v/>
      </c>
      <c r="RNS62" s="87" t="str">
        <f>IF(ISNUMBER(outYear),RNS37+RNS42+#REF!+RNS59,"")</f>
        <v/>
      </c>
      <c r="RNT62" s="87" t="str">
        <f>IF(ISNUMBER(outYear),RNT37+RNT42+#REF!+RNT59,"")</f>
        <v/>
      </c>
      <c r="RNU62" s="87" t="str">
        <f>IF(ISNUMBER(outYear),RNU37+RNU42+#REF!+RNU59,"")</f>
        <v/>
      </c>
      <c r="RNV62" s="87" t="str">
        <f>IF(ISNUMBER(outYear),RNV37+RNV42+#REF!+RNV59,"")</f>
        <v/>
      </c>
      <c r="RNW62" s="87" t="str">
        <f>IF(ISNUMBER(outYear),RNW37+RNW42+#REF!+RNW59,"")</f>
        <v/>
      </c>
      <c r="RNX62" s="87" t="str">
        <f>IF(ISNUMBER(outYear),RNX37+RNX42+#REF!+RNX59,"")</f>
        <v/>
      </c>
      <c r="RNY62" s="87" t="str">
        <f>IF(ISNUMBER(outYear),RNY37+RNY42+#REF!+RNY59,"")</f>
        <v/>
      </c>
      <c r="RNZ62" s="87" t="str">
        <f>IF(ISNUMBER(outYear),RNZ37+RNZ42+#REF!+RNZ59,"")</f>
        <v/>
      </c>
      <c r="ROA62" s="87" t="str">
        <f>IF(ISNUMBER(outYear),ROA37+ROA42+#REF!+ROA59,"")</f>
        <v/>
      </c>
      <c r="ROB62" s="87" t="str">
        <f>IF(ISNUMBER(outYear),ROB37+ROB42+#REF!+ROB59,"")</f>
        <v/>
      </c>
      <c r="ROC62" s="87" t="str">
        <f>IF(ISNUMBER(outYear),ROC37+ROC42+#REF!+ROC59,"")</f>
        <v/>
      </c>
      <c r="ROD62" s="87" t="str">
        <f>IF(ISNUMBER(outYear),ROD37+ROD42+#REF!+ROD59,"")</f>
        <v/>
      </c>
      <c r="ROE62" s="87" t="str">
        <f>IF(ISNUMBER(outYear),ROE37+ROE42+#REF!+ROE59,"")</f>
        <v/>
      </c>
      <c r="ROF62" s="87" t="str">
        <f>IF(ISNUMBER(outYear),ROF37+ROF42+#REF!+ROF59,"")</f>
        <v/>
      </c>
      <c r="ROG62" s="87" t="str">
        <f>IF(ISNUMBER(outYear),ROG37+ROG42+#REF!+ROG59,"")</f>
        <v/>
      </c>
      <c r="ROH62" s="87" t="str">
        <f>IF(ISNUMBER(outYear),ROH37+ROH42+#REF!+ROH59,"")</f>
        <v/>
      </c>
      <c r="ROI62" s="87" t="str">
        <f>IF(ISNUMBER(outYear),ROI37+ROI42+#REF!+ROI59,"")</f>
        <v/>
      </c>
      <c r="ROJ62" s="87" t="str">
        <f>IF(ISNUMBER(outYear),ROJ37+ROJ42+#REF!+ROJ59,"")</f>
        <v/>
      </c>
      <c r="ROK62" s="87" t="str">
        <f>IF(ISNUMBER(outYear),ROK37+ROK42+#REF!+ROK59,"")</f>
        <v/>
      </c>
      <c r="ROL62" s="87" t="str">
        <f>IF(ISNUMBER(outYear),ROL37+ROL42+#REF!+ROL59,"")</f>
        <v/>
      </c>
      <c r="ROM62" s="87" t="str">
        <f>IF(ISNUMBER(outYear),ROM37+ROM42+#REF!+ROM59,"")</f>
        <v/>
      </c>
      <c r="RON62" s="87" t="str">
        <f>IF(ISNUMBER(outYear),RON37+RON42+#REF!+RON59,"")</f>
        <v/>
      </c>
      <c r="ROO62" s="87" t="str">
        <f>IF(ISNUMBER(outYear),ROO37+ROO42+#REF!+ROO59,"")</f>
        <v/>
      </c>
      <c r="ROP62" s="87" t="str">
        <f>IF(ISNUMBER(outYear),ROP37+ROP42+#REF!+ROP59,"")</f>
        <v/>
      </c>
      <c r="ROQ62" s="87" t="str">
        <f>IF(ISNUMBER(outYear),ROQ37+ROQ42+#REF!+ROQ59,"")</f>
        <v/>
      </c>
      <c r="ROR62" s="87" t="str">
        <f>IF(ISNUMBER(outYear),ROR37+ROR42+#REF!+ROR59,"")</f>
        <v/>
      </c>
      <c r="ROS62" s="87" t="str">
        <f>IF(ISNUMBER(outYear),ROS37+ROS42+#REF!+ROS59,"")</f>
        <v/>
      </c>
      <c r="ROT62" s="87" t="str">
        <f>IF(ISNUMBER(outYear),ROT37+ROT42+#REF!+ROT59,"")</f>
        <v/>
      </c>
      <c r="ROU62" s="87" t="str">
        <f>IF(ISNUMBER(outYear),ROU37+ROU42+#REF!+ROU59,"")</f>
        <v/>
      </c>
      <c r="ROV62" s="87" t="str">
        <f>IF(ISNUMBER(outYear),ROV37+ROV42+#REF!+ROV59,"")</f>
        <v/>
      </c>
      <c r="ROW62" s="87" t="str">
        <f>IF(ISNUMBER(outYear),ROW37+ROW42+#REF!+ROW59,"")</f>
        <v/>
      </c>
      <c r="ROX62" s="87" t="str">
        <f>IF(ISNUMBER(outYear),ROX37+ROX42+#REF!+ROX59,"")</f>
        <v/>
      </c>
      <c r="ROY62" s="87" t="str">
        <f>IF(ISNUMBER(outYear),ROY37+ROY42+#REF!+ROY59,"")</f>
        <v/>
      </c>
      <c r="ROZ62" s="87" t="str">
        <f>IF(ISNUMBER(outYear),ROZ37+ROZ42+#REF!+ROZ59,"")</f>
        <v/>
      </c>
      <c r="RPA62" s="87" t="str">
        <f>IF(ISNUMBER(outYear),RPA37+RPA42+#REF!+RPA59,"")</f>
        <v/>
      </c>
      <c r="RPB62" s="87" t="str">
        <f>IF(ISNUMBER(outYear),RPB37+RPB42+#REF!+RPB59,"")</f>
        <v/>
      </c>
      <c r="RPC62" s="87" t="str">
        <f>IF(ISNUMBER(outYear),RPC37+RPC42+#REF!+RPC59,"")</f>
        <v/>
      </c>
      <c r="RPD62" s="87" t="str">
        <f>IF(ISNUMBER(outYear),RPD37+RPD42+#REF!+RPD59,"")</f>
        <v/>
      </c>
      <c r="RPE62" s="87" t="str">
        <f>IF(ISNUMBER(outYear),RPE37+RPE42+#REF!+RPE59,"")</f>
        <v/>
      </c>
      <c r="RPF62" s="87" t="str">
        <f>IF(ISNUMBER(outYear),RPF37+RPF42+#REF!+RPF59,"")</f>
        <v/>
      </c>
      <c r="RPG62" s="87" t="str">
        <f>IF(ISNUMBER(outYear),RPG37+RPG42+#REF!+RPG59,"")</f>
        <v/>
      </c>
      <c r="RPH62" s="87" t="str">
        <f>IF(ISNUMBER(outYear),RPH37+RPH42+#REF!+RPH59,"")</f>
        <v/>
      </c>
      <c r="RPI62" s="87" t="str">
        <f>IF(ISNUMBER(outYear),RPI37+RPI42+#REF!+RPI59,"")</f>
        <v/>
      </c>
      <c r="RPJ62" s="87" t="str">
        <f>IF(ISNUMBER(outYear),RPJ37+RPJ42+#REF!+RPJ59,"")</f>
        <v/>
      </c>
      <c r="RPK62" s="87" t="str">
        <f>IF(ISNUMBER(outYear),RPK37+RPK42+#REF!+RPK59,"")</f>
        <v/>
      </c>
      <c r="RPL62" s="87" t="str">
        <f>IF(ISNUMBER(outYear),RPL37+RPL42+#REF!+RPL59,"")</f>
        <v/>
      </c>
      <c r="RPM62" s="87" t="str">
        <f>IF(ISNUMBER(outYear),RPM37+RPM42+#REF!+RPM59,"")</f>
        <v/>
      </c>
      <c r="RPN62" s="87" t="str">
        <f>IF(ISNUMBER(outYear),RPN37+RPN42+#REF!+RPN59,"")</f>
        <v/>
      </c>
      <c r="RPO62" s="87" t="str">
        <f>IF(ISNUMBER(outYear),RPO37+RPO42+#REF!+RPO59,"")</f>
        <v/>
      </c>
      <c r="RPP62" s="87" t="str">
        <f>IF(ISNUMBER(outYear),RPP37+RPP42+#REF!+RPP59,"")</f>
        <v/>
      </c>
      <c r="RPQ62" s="87" t="str">
        <f>IF(ISNUMBER(outYear),RPQ37+RPQ42+#REF!+RPQ59,"")</f>
        <v/>
      </c>
      <c r="RPR62" s="87" t="str">
        <f>IF(ISNUMBER(outYear),RPR37+RPR42+#REF!+RPR59,"")</f>
        <v/>
      </c>
      <c r="RPS62" s="87" t="str">
        <f>IF(ISNUMBER(outYear),RPS37+RPS42+#REF!+RPS59,"")</f>
        <v/>
      </c>
      <c r="RPT62" s="87" t="str">
        <f>IF(ISNUMBER(outYear),RPT37+RPT42+#REF!+RPT59,"")</f>
        <v/>
      </c>
      <c r="RPU62" s="87" t="str">
        <f>IF(ISNUMBER(outYear),RPU37+RPU42+#REF!+RPU59,"")</f>
        <v/>
      </c>
      <c r="RPV62" s="87" t="str">
        <f>IF(ISNUMBER(outYear),RPV37+RPV42+#REF!+RPV59,"")</f>
        <v/>
      </c>
      <c r="RPW62" s="87" t="str">
        <f>IF(ISNUMBER(outYear),RPW37+RPW42+#REF!+RPW59,"")</f>
        <v/>
      </c>
      <c r="RPX62" s="87" t="str">
        <f>IF(ISNUMBER(outYear),RPX37+RPX42+#REF!+RPX59,"")</f>
        <v/>
      </c>
      <c r="RPY62" s="87" t="str">
        <f>IF(ISNUMBER(outYear),RPY37+RPY42+#REF!+RPY59,"")</f>
        <v/>
      </c>
      <c r="RPZ62" s="87" t="str">
        <f>IF(ISNUMBER(outYear),RPZ37+RPZ42+#REF!+RPZ59,"")</f>
        <v/>
      </c>
      <c r="RQA62" s="87" t="str">
        <f>IF(ISNUMBER(outYear),RQA37+RQA42+#REF!+RQA59,"")</f>
        <v/>
      </c>
      <c r="RQB62" s="87" t="str">
        <f>IF(ISNUMBER(outYear),RQB37+RQB42+#REF!+RQB59,"")</f>
        <v/>
      </c>
      <c r="RQC62" s="87" t="str">
        <f>IF(ISNUMBER(outYear),RQC37+RQC42+#REF!+RQC59,"")</f>
        <v/>
      </c>
      <c r="RQD62" s="87" t="str">
        <f>IF(ISNUMBER(outYear),RQD37+RQD42+#REF!+RQD59,"")</f>
        <v/>
      </c>
      <c r="RQE62" s="87" t="str">
        <f>IF(ISNUMBER(outYear),RQE37+RQE42+#REF!+RQE59,"")</f>
        <v/>
      </c>
      <c r="RQF62" s="87" t="str">
        <f>IF(ISNUMBER(outYear),RQF37+RQF42+#REF!+RQF59,"")</f>
        <v/>
      </c>
      <c r="RQG62" s="87" t="str">
        <f>IF(ISNUMBER(outYear),RQG37+RQG42+#REF!+RQG59,"")</f>
        <v/>
      </c>
      <c r="RQH62" s="87" t="str">
        <f>IF(ISNUMBER(outYear),RQH37+RQH42+#REF!+RQH59,"")</f>
        <v/>
      </c>
      <c r="RQI62" s="87" t="str">
        <f>IF(ISNUMBER(outYear),RQI37+RQI42+#REF!+RQI59,"")</f>
        <v/>
      </c>
      <c r="RQJ62" s="87" t="str">
        <f>IF(ISNUMBER(outYear),RQJ37+RQJ42+#REF!+RQJ59,"")</f>
        <v/>
      </c>
      <c r="RQK62" s="87" t="str">
        <f>IF(ISNUMBER(outYear),RQK37+RQK42+#REF!+RQK59,"")</f>
        <v/>
      </c>
      <c r="RQL62" s="87" t="str">
        <f>IF(ISNUMBER(outYear),RQL37+RQL42+#REF!+RQL59,"")</f>
        <v/>
      </c>
      <c r="RQM62" s="87" t="str">
        <f>IF(ISNUMBER(outYear),RQM37+RQM42+#REF!+RQM59,"")</f>
        <v/>
      </c>
      <c r="RQN62" s="87" t="str">
        <f>IF(ISNUMBER(outYear),RQN37+RQN42+#REF!+RQN59,"")</f>
        <v/>
      </c>
      <c r="RQO62" s="87" t="str">
        <f>IF(ISNUMBER(outYear),RQO37+RQO42+#REF!+RQO59,"")</f>
        <v/>
      </c>
      <c r="RQP62" s="87" t="str">
        <f>IF(ISNUMBER(outYear),RQP37+RQP42+#REF!+RQP59,"")</f>
        <v/>
      </c>
      <c r="RQQ62" s="87" t="str">
        <f>IF(ISNUMBER(outYear),RQQ37+RQQ42+#REF!+RQQ59,"")</f>
        <v/>
      </c>
      <c r="RQR62" s="87" t="str">
        <f>IF(ISNUMBER(outYear),RQR37+RQR42+#REF!+RQR59,"")</f>
        <v/>
      </c>
      <c r="RQS62" s="87" t="str">
        <f>IF(ISNUMBER(outYear),RQS37+RQS42+#REF!+RQS59,"")</f>
        <v/>
      </c>
      <c r="RQT62" s="87" t="str">
        <f>IF(ISNUMBER(outYear),RQT37+RQT42+#REF!+RQT59,"")</f>
        <v/>
      </c>
      <c r="RQU62" s="87" t="str">
        <f>IF(ISNUMBER(outYear),RQU37+RQU42+#REF!+RQU59,"")</f>
        <v/>
      </c>
      <c r="RQV62" s="87" t="str">
        <f>IF(ISNUMBER(outYear),RQV37+RQV42+#REF!+RQV59,"")</f>
        <v/>
      </c>
      <c r="RQW62" s="87" t="str">
        <f>IF(ISNUMBER(outYear),RQW37+RQW42+#REF!+RQW59,"")</f>
        <v/>
      </c>
      <c r="RQX62" s="87" t="str">
        <f>IF(ISNUMBER(outYear),RQX37+RQX42+#REF!+RQX59,"")</f>
        <v/>
      </c>
      <c r="RQY62" s="87" t="str">
        <f>IF(ISNUMBER(outYear),RQY37+RQY42+#REF!+RQY59,"")</f>
        <v/>
      </c>
      <c r="RQZ62" s="87" t="str">
        <f>IF(ISNUMBER(outYear),RQZ37+RQZ42+#REF!+RQZ59,"")</f>
        <v/>
      </c>
      <c r="RRA62" s="87" t="str">
        <f>IF(ISNUMBER(outYear),RRA37+RRA42+#REF!+RRA59,"")</f>
        <v/>
      </c>
      <c r="RRB62" s="87" t="str">
        <f>IF(ISNUMBER(outYear),RRB37+RRB42+#REF!+RRB59,"")</f>
        <v/>
      </c>
      <c r="RRC62" s="87" t="str">
        <f>IF(ISNUMBER(outYear),RRC37+RRC42+#REF!+RRC59,"")</f>
        <v/>
      </c>
      <c r="RRD62" s="87" t="str">
        <f>IF(ISNUMBER(outYear),RRD37+RRD42+#REF!+RRD59,"")</f>
        <v/>
      </c>
      <c r="RRE62" s="87" t="str">
        <f>IF(ISNUMBER(outYear),RRE37+RRE42+#REF!+RRE59,"")</f>
        <v/>
      </c>
      <c r="RRF62" s="87" t="str">
        <f>IF(ISNUMBER(outYear),RRF37+RRF42+#REF!+RRF59,"")</f>
        <v/>
      </c>
      <c r="RRG62" s="87" t="str">
        <f>IF(ISNUMBER(outYear),RRG37+RRG42+#REF!+RRG59,"")</f>
        <v/>
      </c>
      <c r="RRH62" s="87" t="str">
        <f>IF(ISNUMBER(outYear),RRH37+RRH42+#REF!+RRH59,"")</f>
        <v/>
      </c>
      <c r="RRI62" s="87" t="str">
        <f>IF(ISNUMBER(outYear),RRI37+RRI42+#REF!+RRI59,"")</f>
        <v/>
      </c>
      <c r="RRJ62" s="87" t="str">
        <f>IF(ISNUMBER(outYear),RRJ37+RRJ42+#REF!+RRJ59,"")</f>
        <v/>
      </c>
      <c r="RRK62" s="87" t="str">
        <f>IF(ISNUMBER(outYear),RRK37+RRK42+#REF!+RRK59,"")</f>
        <v/>
      </c>
      <c r="RRL62" s="87" t="str">
        <f>IF(ISNUMBER(outYear),RRL37+RRL42+#REF!+RRL59,"")</f>
        <v/>
      </c>
      <c r="RRM62" s="87" t="str">
        <f>IF(ISNUMBER(outYear),RRM37+RRM42+#REF!+RRM59,"")</f>
        <v/>
      </c>
      <c r="RRN62" s="87" t="str">
        <f>IF(ISNUMBER(outYear),RRN37+RRN42+#REF!+RRN59,"")</f>
        <v/>
      </c>
      <c r="RRO62" s="87" t="str">
        <f>IF(ISNUMBER(outYear),RRO37+RRO42+#REF!+RRO59,"")</f>
        <v/>
      </c>
      <c r="RRP62" s="87" t="str">
        <f>IF(ISNUMBER(outYear),RRP37+RRP42+#REF!+RRP59,"")</f>
        <v/>
      </c>
      <c r="RRQ62" s="87" t="str">
        <f>IF(ISNUMBER(outYear),RRQ37+RRQ42+#REF!+RRQ59,"")</f>
        <v/>
      </c>
      <c r="RRR62" s="87" t="str">
        <f>IF(ISNUMBER(outYear),RRR37+RRR42+#REF!+RRR59,"")</f>
        <v/>
      </c>
      <c r="RRS62" s="87" t="str">
        <f>IF(ISNUMBER(outYear),RRS37+RRS42+#REF!+RRS59,"")</f>
        <v/>
      </c>
      <c r="RRT62" s="87" t="str">
        <f>IF(ISNUMBER(outYear),RRT37+RRT42+#REF!+RRT59,"")</f>
        <v/>
      </c>
      <c r="RRU62" s="87" t="str">
        <f>IF(ISNUMBER(outYear),RRU37+RRU42+#REF!+RRU59,"")</f>
        <v/>
      </c>
      <c r="RRV62" s="87" t="str">
        <f>IF(ISNUMBER(outYear),RRV37+RRV42+#REF!+RRV59,"")</f>
        <v/>
      </c>
      <c r="RRW62" s="87" t="str">
        <f>IF(ISNUMBER(outYear),RRW37+RRW42+#REF!+RRW59,"")</f>
        <v/>
      </c>
      <c r="RRX62" s="87" t="str">
        <f>IF(ISNUMBER(outYear),RRX37+RRX42+#REF!+RRX59,"")</f>
        <v/>
      </c>
      <c r="RRY62" s="87" t="str">
        <f>IF(ISNUMBER(outYear),RRY37+RRY42+#REF!+RRY59,"")</f>
        <v/>
      </c>
      <c r="RRZ62" s="87" t="str">
        <f>IF(ISNUMBER(outYear),RRZ37+RRZ42+#REF!+RRZ59,"")</f>
        <v/>
      </c>
      <c r="RSA62" s="87" t="str">
        <f>IF(ISNUMBER(outYear),RSA37+RSA42+#REF!+RSA59,"")</f>
        <v/>
      </c>
      <c r="RSB62" s="87" t="str">
        <f>IF(ISNUMBER(outYear),RSB37+RSB42+#REF!+RSB59,"")</f>
        <v/>
      </c>
      <c r="RSC62" s="87" t="str">
        <f>IF(ISNUMBER(outYear),RSC37+RSC42+#REF!+RSC59,"")</f>
        <v/>
      </c>
      <c r="RSD62" s="87" t="str">
        <f>IF(ISNUMBER(outYear),RSD37+RSD42+#REF!+RSD59,"")</f>
        <v/>
      </c>
      <c r="RSE62" s="87" t="str">
        <f>IF(ISNUMBER(outYear),RSE37+RSE42+#REF!+RSE59,"")</f>
        <v/>
      </c>
      <c r="RSF62" s="87" t="str">
        <f>IF(ISNUMBER(outYear),RSF37+RSF42+#REF!+RSF59,"")</f>
        <v/>
      </c>
      <c r="RSG62" s="87" t="str">
        <f>IF(ISNUMBER(outYear),RSG37+RSG42+#REF!+RSG59,"")</f>
        <v/>
      </c>
      <c r="RSH62" s="87" t="str">
        <f>IF(ISNUMBER(outYear),RSH37+RSH42+#REF!+RSH59,"")</f>
        <v/>
      </c>
      <c r="RSI62" s="87" t="str">
        <f>IF(ISNUMBER(outYear),RSI37+RSI42+#REF!+RSI59,"")</f>
        <v/>
      </c>
      <c r="RSJ62" s="87" t="str">
        <f>IF(ISNUMBER(outYear),RSJ37+RSJ42+#REF!+RSJ59,"")</f>
        <v/>
      </c>
      <c r="RSK62" s="87" t="str">
        <f>IF(ISNUMBER(outYear),RSK37+RSK42+#REF!+RSK59,"")</f>
        <v/>
      </c>
      <c r="RSL62" s="87" t="str">
        <f>IF(ISNUMBER(outYear),RSL37+RSL42+#REF!+RSL59,"")</f>
        <v/>
      </c>
      <c r="RSM62" s="87" t="str">
        <f>IF(ISNUMBER(outYear),RSM37+RSM42+#REF!+RSM59,"")</f>
        <v/>
      </c>
      <c r="RSN62" s="87" t="str">
        <f>IF(ISNUMBER(outYear),RSN37+RSN42+#REF!+RSN59,"")</f>
        <v/>
      </c>
      <c r="RSO62" s="87" t="str">
        <f>IF(ISNUMBER(outYear),RSO37+RSO42+#REF!+RSO59,"")</f>
        <v/>
      </c>
      <c r="RSP62" s="87" t="str">
        <f>IF(ISNUMBER(outYear),RSP37+RSP42+#REF!+RSP59,"")</f>
        <v/>
      </c>
      <c r="RSQ62" s="87" t="str">
        <f>IF(ISNUMBER(outYear),RSQ37+RSQ42+#REF!+RSQ59,"")</f>
        <v/>
      </c>
      <c r="RSR62" s="87" t="str">
        <f>IF(ISNUMBER(outYear),RSR37+RSR42+#REF!+RSR59,"")</f>
        <v/>
      </c>
      <c r="RSS62" s="87" t="str">
        <f>IF(ISNUMBER(outYear),RSS37+RSS42+#REF!+RSS59,"")</f>
        <v/>
      </c>
      <c r="RST62" s="87" t="str">
        <f>IF(ISNUMBER(outYear),RST37+RST42+#REF!+RST59,"")</f>
        <v/>
      </c>
      <c r="RSU62" s="87" t="str">
        <f>IF(ISNUMBER(outYear),RSU37+RSU42+#REF!+RSU59,"")</f>
        <v/>
      </c>
      <c r="RSV62" s="87" t="str">
        <f>IF(ISNUMBER(outYear),RSV37+RSV42+#REF!+RSV59,"")</f>
        <v/>
      </c>
      <c r="RSW62" s="87" t="str">
        <f>IF(ISNUMBER(outYear),RSW37+RSW42+#REF!+RSW59,"")</f>
        <v/>
      </c>
      <c r="RSX62" s="87" t="str">
        <f>IF(ISNUMBER(outYear),RSX37+RSX42+#REF!+RSX59,"")</f>
        <v/>
      </c>
      <c r="RSY62" s="87" t="str">
        <f>IF(ISNUMBER(outYear),RSY37+RSY42+#REF!+RSY59,"")</f>
        <v/>
      </c>
      <c r="RSZ62" s="87" t="str">
        <f>IF(ISNUMBER(outYear),RSZ37+RSZ42+#REF!+RSZ59,"")</f>
        <v/>
      </c>
      <c r="RTA62" s="87" t="str">
        <f>IF(ISNUMBER(outYear),RTA37+RTA42+#REF!+RTA59,"")</f>
        <v/>
      </c>
      <c r="RTB62" s="87" t="str">
        <f>IF(ISNUMBER(outYear),RTB37+RTB42+#REF!+RTB59,"")</f>
        <v/>
      </c>
      <c r="RTC62" s="87" t="str">
        <f>IF(ISNUMBER(outYear),RTC37+RTC42+#REF!+RTC59,"")</f>
        <v/>
      </c>
      <c r="RTD62" s="87" t="str">
        <f>IF(ISNUMBER(outYear),RTD37+RTD42+#REF!+RTD59,"")</f>
        <v/>
      </c>
      <c r="RTE62" s="87" t="str">
        <f>IF(ISNUMBER(outYear),RTE37+RTE42+#REF!+RTE59,"")</f>
        <v/>
      </c>
      <c r="RTF62" s="87" t="str">
        <f>IF(ISNUMBER(outYear),RTF37+RTF42+#REF!+RTF59,"")</f>
        <v/>
      </c>
      <c r="RTG62" s="87" t="str">
        <f>IF(ISNUMBER(outYear),RTG37+RTG42+#REF!+RTG59,"")</f>
        <v/>
      </c>
      <c r="RTH62" s="87" t="str">
        <f>IF(ISNUMBER(outYear),RTH37+RTH42+#REF!+RTH59,"")</f>
        <v/>
      </c>
      <c r="RTI62" s="87" t="str">
        <f>IF(ISNUMBER(outYear),RTI37+RTI42+#REF!+RTI59,"")</f>
        <v/>
      </c>
      <c r="RTJ62" s="87" t="str">
        <f>IF(ISNUMBER(outYear),RTJ37+RTJ42+#REF!+RTJ59,"")</f>
        <v/>
      </c>
      <c r="RTK62" s="87" t="str">
        <f>IF(ISNUMBER(outYear),RTK37+RTK42+#REF!+RTK59,"")</f>
        <v/>
      </c>
      <c r="RTL62" s="87" t="str">
        <f>IF(ISNUMBER(outYear),RTL37+RTL42+#REF!+RTL59,"")</f>
        <v/>
      </c>
      <c r="RTM62" s="87" t="str">
        <f>IF(ISNUMBER(outYear),RTM37+RTM42+#REF!+RTM59,"")</f>
        <v/>
      </c>
      <c r="RTN62" s="87" t="str">
        <f>IF(ISNUMBER(outYear),RTN37+RTN42+#REF!+RTN59,"")</f>
        <v/>
      </c>
      <c r="RTO62" s="87" t="str">
        <f>IF(ISNUMBER(outYear),RTO37+RTO42+#REF!+RTO59,"")</f>
        <v/>
      </c>
      <c r="RTP62" s="87" t="str">
        <f>IF(ISNUMBER(outYear),RTP37+RTP42+#REF!+RTP59,"")</f>
        <v/>
      </c>
      <c r="RTQ62" s="87" t="str">
        <f>IF(ISNUMBER(outYear),RTQ37+RTQ42+#REF!+RTQ59,"")</f>
        <v/>
      </c>
      <c r="RTR62" s="87" t="str">
        <f>IF(ISNUMBER(outYear),RTR37+RTR42+#REF!+RTR59,"")</f>
        <v/>
      </c>
      <c r="RTS62" s="87" t="str">
        <f>IF(ISNUMBER(outYear),RTS37+RTS42+#REF!+RTS59,"")</f>
        <v/>
      </c>
      <c r="RTT62" s="87" t="str">
        <f>IF(ISNUMBER(outYear),RTT37+RTT42+#REF!+RTT59,"")</f>
        <v/>
      </c>
      <c r="RTU62" s="87" t="str">
        <f>IF(ISNUMBER(outYear),RTU37+RTU42+#REF!+RTU59,"")</f>
        <v/>
      </c>
      <c r="RTV62" s="87" t="str">
        <f>IF(ISNUMBER(outYear),RTV37+RTV42+#REF!+RTV59,"")</f>
        <v/>
      </c>
      <c r="RTW62" s="87" t="str">
        <f>IF(ISNUMBER(outYear),RTW37+RTW42+#REF!+RTW59,"")</f>
        <v/>
      </c>
      <c r="RTX62" s="87" t="str">
        <f>IF(ISNUMBER(outYear),RTX37+RTX42+#REF!+RTX59,"")</f>
        <v/>
      </c>
      <c r="RTY62" s="87" t="str">
        <f>IF(ISNUMBER(outYear),RTY37+RTY42+#REF!+RTY59,"")</f>
        <v/>
      </c>
      <c r="RTZ62" s="87" t="str">
        <f>IF(ISNUMBER(outYear),RTZ37+RTZ42+#REF!+RTZ59,"")</f>
        <v/>
      </c>
      <c r="RUA62" s="87" t="str">
        <f>IF(ISNUMBER(outYear),RUA37+RUA42+#REF!+RUA59,"")</f>
        <v/>
      </c>
      <c r="RUB62" s="87" t="str">
        <f>IF(ISNUMBER(outYear),RUB37+RUB42+#REF!+RUB59,"")</f>
        <v/>
      </c>
      <c r="RUC62" s="87" t="str">
        <f>IF(ISNUMBER(outYear),RUC37+RUC42+#REF!+RUC59,"")</f>
        <v/>
      </c>
      <c r="RUD62" s="87" t="str">
        <f>IF(ISNUMBER(outYear),RUD37+RUD42+#REF!+RUD59,"")</f>
        <v/>
      </c>
      <c r="RUE62" s="87" t="str">
        <f>IF(ISNUMBER(outYear),RUE37+RUE42+#REF!+RUE59,"")</f>
        <v/>
      </c>
      <c r="RUF62" s="87" t="str">
        <f>IF(ISNUMBER(outYear),RUF37+RUF42+#REF!+RUF59,"")</f>
        <v/>
      </c>
      <c r="RUG62" s="87" t="str">
        <f>IF(ISNUMBER(outYear),RUG37+RUG42+#REF!+RUG59,"")</f>
        <v/>
      </c>
      <c r="RUH62" s="87" t="str">
        <f>IF(ISNUMBER(outYear),RUH37+RUH42+#REF!+RUH59,"")</f>
        <v/>
      </c>
      <c r="RUI62" s="87" t="str">
        <f>IF(ISNUMBER(outYear),RUI37+RUI42+#REF!+RUI59,"")</f>
        <v/>
      </c>
      <c r="RUJ62" s="87" t="str">
        <f>IF(ISNUMBER(outYear),RUJ37+RUJ42+#REF!+RUJ59,"")</f>
        <v/>
      </c>
      <c r="RUK62" s="87" t="str">
        <f>IF(ISNUMBER(outYear),RUK37+RUK42+#REF!+RUK59,"")</f>
        <v/>
      </c>
      <c r="RUL62" s="87" t="str">
        <f>IF(ISNUMBER(outYear),RUL37+RUL42+#REF!+RUL59,"")</f>
        <v/>
      </c>
      <c r="RUM62" s="87" t="str">
        <f>IF(ISNUMBER(outYear),RUM37+RUM42+#REF!+RUM59,"")</f>
        <v/>
      </c>
      <c r="RUN62" s="87" t="str">
        <f>IF(ISNUMBER(outYear),RUN37+RUN42+#REF!+RUN59,"")</f>
        <v/>
      </c>
      <c r="RUO62" s="87" t="str">
        <f>IF(ISNUMBER(outYear),RUO37+RUO42+#REF!+RUO59,"")</f>
        <v/>
      </c>
      <c r="RUP62" s="87" t="str">
        <f>IF(ISNUMBER(outYear),RUP37+RUP42+#REF!+RUP59,"")</f>
        <v/>
      </c>
      <c r="RUQ62" s="87" t="str">
        <f>IF(ISNUMBER(outYear),RUQ37+RUQ42+#REF!+RUQ59,"")</f>
        <v/>
      </c>
      <c r="RUR62" s="87" t="str">
        <f>IF(ISNUMBER(outYear),RUR37+RUR42+#REF!+RUR59,"")</f>
        <v/>
      </c>
      <c r="RUS62" s="87" t="str">
        <f>IF(ISNUMBER(outYear),RUS37+RUS42+#REF!+RUS59,"")</f>
        <v/>
      </c>
      <c r="RUT62" s="87" t="str">
        <f>IF(ISNUMBER(outYear),RUT37+RUT42+#REF!+RUT59,"")</f>
        <v/>
      </c>
      <c r="RUU62" s="87" t="str">
        <f>IF(ISNUMBER(outYear),RUU37+RUU42+#REF!+RUU59,"")</f>
        <v/>
      </c>
      <c r="RUV62" s="87" t="str">
        <f>IF(ISNUMBER(outYear),RUV37+RUV42+#REF!+RUV59,"")</f>
        <v/>
      </c>
      <c r="RUW62" s="87" t="str">
        <f>IF(ISNUMBER(outYear),RUW37+RUW42+#REF!+RUW59,"")</f>
        <v/>
      </c>
      <c r="RUX62" s="87" t="str">
        <f>IF(ISNUMBER(outYear),RUX37+RUX42+#REF!+RUX59,"")</f>
        <v/>
      </c>
      <c r="RUY62" s="87" t="str">
        <f>IF(ISNUMBER(outYear),RUY37+RUY42+#REF!+RUY59,"")</f>
        <v/>
      </c>
      <c r="RUZ62" s="87" t="str">
        <f>IF(ISNUMBER(outYear),RUZ37+RUZ42+#REF!+RUZ59,"")</f>
        <v/>
      </c>
      <c r="RVA62" s="87" t="str">
        <f>IF(ISNUMBER(outYear),RVA37+RVA42+#REF!+RVA59,"")</f>
        <v/>
      </c>
      <c r="RVB62" s="87" t="str">
        <f>IF(ISNUMBER(outYear),RVB37+RVB42+#REF!+RVB59,"")</f>
        <v/>
      </c>
      <c r="RVC62" s="87" t="str">
        <f>IF(ISNUMBER(outYear),RVC37+RVC42+#REF!+RVC59,"")</f>
        <v/>
      </c>
      <c r="RVD62" s="87" t="str">
        <f>IF(ISNUMBER(outYear),RVD37+RVD42+#REF!+RVD59,"")</f>
        <v/>
      </c>
      <c r="RVE62" s="87" t="str">
        <f>IF(ISNUMBER(outYear),RVE37+RVE42+#REF!+RVE59,"")</f>
        <v/>
      </c>
      <c r="RVF62" s="87" t="str">
        <f>IF(ISNUMBER(outYear),RVF37+RVF42+#REF!+RVF59,"")</f>
        <v/>
      </c>
      <c r="RVG62" s="87" t="str">
        <f>IF(ISNUMBER(outYear),RVG37+RVG42+#REF!+RVG59,"")</f>
        <v/>
      </c>
      <c r="RVH62" s="87" t="str">
        <f>IF(ISNUMBER(outYear),RVH37+RVH42+#REF!+RVH59,"")</f>
        <v/>
      </c>
      <c r="RVI62" s="87" t="str">
        <f>IF(ISNUMBER(outYear),RVI37+RVI42+#REF!+RVI59,"")</f>
        <v/>
      </c>
      <c r="RVJ62" s="87" t="str">
        <f>IF(ISNUMBER(outYear),RVJ37+RVJ42+#REF!+RVJ59,"")</f>
        <v/>
      </c>
      <c r="RVK62" s="87" t="str">
        <f>IF(ISNUMBER(outYear),RVK37+RVK42+#REF!+RVK59,"")</f>
        <v/>
      </c>
      <c r="RVL62" s="87" t="str">
        <f>IF(ISNUMBER(outYear),RVL37+RVL42+#REF!+RVL59,"")</f>
        <v/>
      </c>
      <c r="RVM62" s="87" t="str">
        <f>IF(ISNUMBER(outYear),RVM37+RVM42+#REF!+RVM59,"")</f>
        <v/>
      </c>
      <c r="RVN62" s="87" t="str">
        <f>IF(ISNUMBER(outYear),RVN37+RVN42+#REF!+RVN59,"")</f>
        <v/>
      </c>
      <c r="RVO62" s="87" t="str">
        <f>IF(ISNUMBER(outYear),RVO37+RVO42+#REF!+RVO59,"")</f>
        <v/>
      </c>
      <c r="RVP62" s="87" t="str">
        <f>IF(ISNUMBER(outYear),RVP37+RVP42+#REF!+RVP59,"")</f>
        <v/>
      </c>
      <c r="RVQ62" s="87" t="str">
        <f>IF(ISNUMBER(outYear),RVQ37+RVQ42+#REF!+RVQ59,"")</f>
        <v/>
      </c>
      <c r="RVR62" s="87" t="str">
        <f>IF(ISNUMBER(outYear),RVR37+RVR42+#REF!+RVR59,"")</f>
        <v/>
      </c>
      <c r="RVS62" s="87" t="str">
        <f>IF(ISNUMBER(outYear),RVS37+RVS42+#REF!+RVS59,"")</f>
        <v/>
      </c>
      <c r="RVT62" s="87" t="str">
        <f>IF(ISNUMBER(outYear),RVT37+RVT42+#REF!+RVT59,"")</f>
        <v/>
      </c>
      <c r="RVU62" s="87" t="str">
        <f>IF(ISNUMBER(outYear),RVU37+RVU42+#REF!+RVU59,"")</f>
        <v/>
      </c>
      <c r="RVV62" s="87" t="str">
        <f>IF(ISNUMBER(outYear),RVV37+RVV42+#REF!+RVV59,"")</f>
        <v/>
      </c>
      <c r="RVW62" s="87" t="str">
        <f>IF(ISNUMBER(outYear),RVW37+RVW42+#REF!+RVW59,"")</f>
        <v/>
      </c>
      <c r="RVX62" s="87" t="str">
        <f>IF(ISNUMBER(outYear),RVX37+RVX42+#REF!+RVX59,"")</f>
        <v/>
      </c>
      <c r="RVY62" s="87" t="str">
        <f>IF(ISNUMBER(outYear),RVY37+RVY42+#REF!+RVY59,"")</f>
        <v/>
      </c>
      <c r="RVZ62" s="87" t="str">
        <f>IF(ISNUMBER(outYear),RVZ37+RVZ42+#REF!+RVZ59,"")</f>
        <v/>
      </c>
      <c r="RWA62" s="87" t="str">
        <f>IF(ISNUMBER(outYear),RWA37+RWA42+#REF!+RWA59,"")</f>
        <v/>
      </c>
      <c r="RWB62" s="87" t="str">
        <f>IF(ISNUMBER(outYear),RWB37+RWB42+#REF!+RWB59,"")</f>
        <v/>
      </c>
      <c r="RWC62" s="87" t="str">
        <f>IF(ISNUMBER(outYear),RWC37+RWC42+#REF!+RWC59,"")</f>
        <v/>
      </c>
      <c r="RWD62" s="87" t="str">
        <f>IF(ISNUMBER(outYear),RWD37+RWD42+#REF!+RWD59,"")</f>
        <v/>
      </c>
      <c r="RWE62" s="87" t="str">
        <f>IF(ISNUMBER(outYear),RWE37+RWE42+#REF!+RWE59,"")</f>
        <v/>
      </c>
      <c r="RWF62" s="87" t="str">
        <f>IF(ISNUMBER(outYear),RWF37+RWF42+#REF!+RWF59,"")</f>
        <v/>
      </c>
      <c r="RWG62" s="87" t="str">
        <f>IF(ISNUMBER(outYear),RWG37+RWG42+#REF!+RWG59,"")</f>
        <v/>
      </c>
      <c r="RWH62" s="87" t="str">
        <f>IF(ISNUMBER(outYear),RWH37+RWH42+#REF!+RWH59,"")</f>
        <v/>
      </c>
      <c r="RWI62" s="87" t="str">
        <f>IF(ISNUMBER(outYear),RWI37+RWI42+#REF!+RWI59,"")</f>
        <v/>
      </c>
      <c r="RWJ62" s="87" t="str">
        <f>IF(ISNUMBER(outYear),RWJ37+RWJ42+#REF!+RWJ59,"")</f>
        <v/>
      </c>
      <c r="RWK62" s="87" t="str">
        <f>IF(ISNUMBER(outYear),RWK37+RWK42+#REF!+RWK59,"")</f>
        <v/>
      </c>
      <c r="RWL62" s="87" t="str">
        <f>IF(ISNUMBER(outYear),RWL37+RWL42+#REF!+RWL59,"")</f>
        <v/>
      </c>
      <c r="RWM62" s="87" t="str">
        <f>IF(ISNUMBER(outYear),RWM37+RWM42+#REF!+RWM59,"")</f>
        <v/>
      </c>
      <c r="RWN62" s="87" t="str">
        <f>IF(ISNUMBER(outYear),RWN37+RWN42+#REF!+RWN59,"")</f>
        <v/>
      </c>
      <c r="RWO62" s="87" t="str">
        <f>IF(ISNUMBER(outYear),RWO37+RWO42+#REF!+RWO59,"")</f>
        <v/>
      </c>
      <c r="RWP62" s="87" t="str">
        <f>IF(ISNUMBER(outYear),RWP37+RWP42+#REF!+RWP59,"")</f>
        <v/>
      </c>
      <c r="RWQ62" s="87" t="str">
        <f>IF(ISNUMBER(outYear),RWQ37+RWQ42+#REF!+RWQ59,"")</f>
        <v/>
      </c>
      <c r="RWR62" s="87" t="str">
        <f>IF(ISNUMBER(outYear),RWR37+RWR42+#REF!+RWR59,"")</f>
        <v/>
      </c>
      <c r="RWS62" s="87" t="str">
        <f>IF(ISNUMBER(outYear),RWS37+RWS42+#REF!+RWS59,"")</f>
        <v/>
      </c>
      <c r="RWT62" s="87" t="str">
        <f>IF(ISNUMBER(outYear),RWT37+RWT42+#REF!+RWT59,"")</f>
        <v/>
      </c>
      <c r="RWU62" s="87" t="str">
        <f>IF(ISNUMBER(outYear),RWU37+RWU42+#REF!+RWU59,"")</f>
        <v/>
      </c>
      <c r="RWV62" s="87" t="str">
        <f>IF(ISNUMBER(outYear),RWV37+RWV42+#REF!+RWV59,"")</f>
        <v/>
      </c>
      <c r="RWW62" s="87" t="str">
        <f>IF(ISNUMBER(outYear),RWW37+RWW42+#REF!+RWW59,"")</f>
        <v/>
      </c>
      <c r="RWX62" s="87" t="str">
        <f>IF(ISNUMBER(outYear),RWX37+RWX42+#REF!+RWX59,"")</f>
        <v/>
      </c>
      <c r="RWY62" s="87" t="str">
        <f>IF(ISNUMBER(outYear),RWY37+RWY42+#REF!+RWY59,"")</f>
        <v/>
      </c>
      <c r="RWZ62" s="87" t="str">
        <f>IF(ISNUMBER(outYear),RWZ37+RWZ42+#REF!+RWZ59,"")</f>
        <v/>
      </c>
      <c r="RXA62" s="87" t="str">
        <f>IF(ISNUMBER(outYear),RXA37+RXA42+#REF!+RXA59,"")</f>
        <v/>
      </c>
      <c r="RXB62" s="87" t="str">
        <f>IF(ISNUMBER(outYear),RXB37+RXB42+#REF!+RXB59,"")</f>
        <v/>
      </c>
      <c r="RXC62" s="87" t="str">
        <f>IF(ISNUMBER(outYear),RXC37+RXC42+#REF!+RXC59,"")</f>
        <v/>
      </c>
      <c r="RXD62" s="87" t="str">
        <f>IF(ISNUMBER(outYear),RXD37+RXD42+#REF!+RXD59,"")</f>
        <v/>
      </c>
      <c r="RXE62" s="87" t="str">
        <f>IF(ISNUMBER(outYear),RXE37+RXE42+#REF!+RXE59,"")</f>
        <v/>
      </c>
      <c r="RXF62" s="87" t="str">
        <f>IF(ISNUMBER(outYear),RXF37+RXF42+#REF!+RXF59,"")</f>
        <v/>
      </c>
      <c r="RXG62" s="87" t="str">
        <f>IF(ISNUMBER(outYear),RXG37+RXG42+#REF!+RXG59,"")</f>
        <v/>
      </c>
      <c r="RXH62" s="87" t="str">
        <f>IF(ISNUMBER(outYear),RXH37+RXH42+#REF!+RXH59,"")</f>
        <v/>
      </c>
      <c r="RXI62" s="87" t="str">
        <f>IF(ISNUMBER(outYear),RXI37+RXI42+#REF!+RXI59,"")</f>
        <v/>
      </c>
      <c r="RXJ62" s="87" t="str">
        <f>IF(ISNUMBER(outYear),RXJ37+RXJ42+#REF!+RXJ59,"")</f>
        <v/>
      </c>
      <c r="RXK62" s="87" t="str">
        <f>IF(ISNUMBER(outYear),RXK37+RXK42+#REF!+RXK59,"")</f>
        <v/>
      </c>
      <c r="RXL62" s="87" t="str">
        <f>IF(ISNUMBER(outYear),RXL37+RXL42+#REF!+RXL59,"")</f>
        <v/>
      </c>
      <c r="RXM62" s="87" t="str">
        <f>IF(ISNUMBER(outYear),RXM37+RXM42+#REF!+RXM59,"")</f>
        <v/>
      </c>
      <c r="RXN62" s="87" t="str">
        <f>IF(ISNUMBER(outYear),RXN37+RXN42+#REF!+RXN59,"")</f>
        <v/>
      </c>
      <c r="RXO62" s="87" t="str">
        <f>IF(ISNUMBER(outYear),RXO37+RXO42+#REF!+RXO59,"")</f>
        <v/>
      </c>
      <c r="RXP62" s="87" t="str">
        <f>IF(ISNUMBER(outYear),RXP37+RXP42+#REF!+RXP59,"")</f>
        <v/>
      </c>
      <c r="RXQ62" s="87" t="str">
        <f>IF(ISNUMBER(outYear),RXQ37+RXQ42+#REF!+RXQ59,"")</f>
        <v/>
      </c>
      <c r="RXR62" s="87" t="str">
        <f>IF(ISNUMBER(outYear),RXR37+RXR42+#REF!+RXR59,"")</f>
        <v/>
      </c>
      <c r="RXS62" s="87" t="str">
        <f>IF(ISNUMBER(outYear),RXS37+RXS42+#REF!+RXS59,"")</f>
        <v/>
      </c>
      <c r="RXT62" s="87" t="str">
        <f>IF(ISNUMBER(outYear),RXT37+RXT42+#REF!+RXT59,"")</f>
        <v/>
      </c>
      <c r="RXU62" s="87" t="str">
        <f>IF(ISNUMBER(outYear),RXU37+RXU42+#REF!+RXU59,"")</f>
        <v/>
      </c>
      <c r="RXV62" s="87" t="str">
        <f>IF(ISNUMBER(outYear),RXV37+RXV42+#REF!+RXV59,"")</f>
        <v/>
      </c>
      <c r="RXW62" s="87" t="str">
        <f>IF(ISNUMBER(outYear),RXW37+RXW42+#REF!+RXW59,"")</f>
        <v/>
      </c>
      <c r="RXX62" s="87" t="str">
        <f>IF(ISNUMBER(outYear),RXX37+RXX42+#REF!+RXX59,"")</f>
        <v/>
      </c>
      <c r="RXY62" s="87" t="str">
        <f>IF(ISNUMBER(outYear),RXY37+RXY42+#REF!+RXY59,"")</f>
        <v/>
      </c>
      <c r="RXZ62" s="87" t="str">
        <f>IF(ISNUMBER(outYear),RXZ37+RXZ42+#REF!+RXZ59,"")</f>
        <v/>
      </c>
      <c r="RYA62" s="87" t="str">
        <f>IF(ISNUMBER(outYear),RYA37+RYA42+#REF!+RYA59,"")</f>
        <v/>
      </c>
      <c r="RYB62" s="87" t="str">
        <f>IF(ISNUMBER(outYear),RYB37+RYB42+#REF!+RYB59,"")</f>
        <v/>
      </c>
      <c r="RYC62" s="87" t="str">
        <f>IF(ISNUMBER(outYear),RYC37+RYC42+#REF!+RYC59,"")</f>
        <v/>
      </c>
      <c r="RYD62" s="87" t="str">
        <f>IF(ISNUMBER(outYear),RYD37+RYD42+#REF!+RYD59,"")</f>
        <v/>
      </c>
      <c r="RYE62" s="87" t="str">
        <f>IF(ISNUMBER(outYear),RYE37+RYE42+#REF!+RYE59,"")</f>
        <v/>
      </c>
      <c r="RYF62" s="87" t="str">
        <f>IF(ISNUMBER(outYear),RYF37+RYF42+#REF!+RYF59,"")</f>
        <v/>
      </c>
      <c r="RYG62" s="87" t="str">
        <f>IF(ISNUMBER(outYear),RYG37+RYG42+#REF!+RYG59,"")</f>
        <v/>
      </c>
      <c r="RYH62" s="87" t="str">
        <f>IF(ISNUMBER(outYear),RYH37+RYH42+#REF!+RYH59,"")</f>
        <v/>
      </c>
      <c r="RYI62" s="87" t="str">
        <f>IF(ISNUMBER(outYear),RYI37+RYI42+#REF!+RYI59,"")</f>
        <v/>
      </c>
      <c r="RYJ62" s="87" t="str">
        <f>IF(ISNUMBER(outYear),RYJ37+RYJ42+#REF!+RYJ59,"")</f>
        <v/>
      </c>
      <c r="RYK62" s="87" t="str">
        <f>IF(ISNUMBER(outYear),RYK37+RYK42+#REF!+RYK59,"")</f>
        <v/>
      </c>
      <c r="RYL62" s="87" t="str">
        <f>IF(ISNUMBER(outYear),RYL37+RYL42+#REF!+RYL59,"")</f>
        <v/>
      </c>
      <c r="RYM62" s="87" t="str">
        <f>IF(ISNUMBER(outYear),RYM37+RYM42+#REF!+RYM59,"")</f>
        <v/>
      </c>
      <c r="RYN62" s="87" t="str">
        <f>IF(ISNUMBER(outYear),RYN37+RYN42+#REF!+RYN59,"")</f>
        <v/>
      </c>
      <c r="RYO62" s="87" t="str">
        <f>IF(ISNUMBER(outYear),RYO37+RYO42+#REF!+RYO59,"")</f>
        <v/>
      </c>
      <c r="RYP62" s="87" t="str">
        <f>IF(ISNUMBER(outYear),RYP37+RYP42+#REF!+RYP59,"")</f>
        <v/>
      </c>
      <c r="RYQ62" s="87" t="str">
        <f>IF(ISNUMBER(outYear),RYQ37+RYQ42+#REF!+RYQ59,"")</f>
        <v/>
      </c>
      <c r="RYR62" s="87" t="str">
        <f>IF(ISNUMBER(outYear),RYR37+RYR42+#REF!+RYR59,"")</f>
        <v/>
      </c>
      <c r="RYS62" s="87" t="str">
        <f>IF(ISNUMBER(outYear),RYS37+RYS42+#REF!+RYS59,"")</f>
        <v/>
      </c>
      <c r="RYT62" s="87" t="str">
        <f>IF(ISNUMBER(outYear),RYT37+RYT42+#REF!+RYT59,"")</f>
        <v/>
      </c>
      <c r="RYU62" s="87" t="str">
        <f>IF(ISNUMBER(outYear),RYU37+RYU42+#REF!+RYU59,"")</f>
        <v/>
      </c>
      <c r="RYV62" s="87" t="str">
        <f>IF(ISNUMBER(outYear),RYV37+RYV42+#REF!+RYV59,"")</f>
        <v/>
      </c>
      <c r="RYW62" s="87" t="str">
        <f>IF(ISNUMBER(outYear),RYW37+RYW42+#REF!+RYW59,"")</f>
        <v/>
      </c>
      <c r="RYX62" s="87" t="str">
        <f>IF(ISNUMBER(outYear),RYX37+RYX42+#REF!+RYX59,"")</f>
        <v/>
      </c>
      <c r="RYY62" s="87" t="str">
        <f>IF(ISNUMBER(outYear),RYY37+RYY42+#REF!+RYY59,"")</f>
        <v/>
      </c>
      <c r="RYZ62" s="87" t="str">
        <f>IF(ISNUMBER(outYear),RYZ37+RYZ42+#REF!+RYZ59,"")</f>
        <v/>
      </c>
      <c r="RZA62" s="87" t="str">
        <f>IF(ISNUMBER(outYear),RZA37+RZA42+#REF!+RZA59,"")</f>
        <v/>
      </c>
      <c r="RZB62" s="87" t="str">
        <f>IF(ISNUMBER(outYear),RZB37+RZB42+#REF!+RZB59,"")</f>
        <v/>
      </c>
      <c r="RZC62" s="87" t="str">
        <f>IF(ISNUMBER(outYear),RZC37+RZC42+#REF!+RZC59,"")</f>
        <v/>
      </c>
      <c r="RZD62" s="87" t="str">
        <f>IF(ISNUMBER(outYear),RZD37+RZD42+#REF!+RZD59,"")</f>
        <v/>
      </c>
      <c r="RZE62" s="87" t="str">
        <f>IF(ISNUMBER(outYear),RZE37+RZE42+#REF!+RZE59,"")</f>
        <v/>
      </c>
      <c r="RZF62" s="87" t="str">
        <f>IF(ISNUMBER(outYear),RZF37+RZF42+#REF!+RZF59,"")</f>
        <v/>
      </c>
      <c r="RZG62" s="87" t="str">
        <f>IF(ISNUMBER(outYear),RZG37+RZG42+#REF!+RZG59,"")</f>
        <v/>
      </c>
      <c r="RZH62" s="87" t="str">
        <f>IF(ISNUMBER(outYear),RZH37+RZH42+#REF!+RZH59,"")</f>
        <v/>
      </c>
      <c r="RZI62" s="87" t="str">
        <f>IF(ISNUMBER(outYear),RZI37+RZI42+#REF!+RZI59,"")</f>
        <v/>
      </c>
      <c r="RZJ62" s="87" t="str">
        <f>IF(ISNUMBER(outYear),RZJ37+RZJ42+#REF!+RZJ59,"")</f>
        <v/>
      </c>
      <c r="RZK62" s="87" t="str">
        <f>IF(ISNUMBER(outYear),RZK37+RZK42+#REF!+RZK59,"")</f>
        <v/>
      </c>
      <c r="RZL62" s="87" t="str">
        <f>IF(ISNUMBER(outYear),RZL37+RZL42+#REF!+RZL59,"")</f>
        <v/>
      </c>
      <c r="RZM62" s="87" t="str">
        <f>IF(ISNUMBER(outYear),RZM37+RZM42+#REF!+RZM59,"")</f>
        <v/>
      </c>
      <c r="RZN62" s="87" t="str">
        <f>IF(ISNUMBER(outYear),RZN37+RZN42+#REF!+RZN59,"")</f>
        <v/>
      </c>
      <c r="RZO62" s="87" t="str">
        <f>IF(ISNUMBER(outYear),RZO37+RZO42+#REF!+RZO59,"")</f>
        <v/>
      </c>
      <c r="RZP62" s="87" t="str">
        <f>IF(ISNUMBER(outYear),RZP37+RZP42+#REF!+RZP59,"")</f>
        <v/>
      </c>
      <c r="RZQ62" s="87" t="str">
        <f>IF(ISNUMBER(outYear),RZQ37+RZQ42+#REF!+RZQ59,"")</f>
        <v/>
      </c>
      <c r="RZR62" s="87" t="str">
        <f>IF(ISNUMBER(outYear),RZR37+RZR42+#REF!+RZR59,"")</f>
        <v/>
      </c>
      <c r="RZS62" s="87" t="str">
        <f>IF(ISNUMBER(outYear),RZS37+RZS42+#REF!+RZS59,"")</f>
        <v/>
      </c>
      <c r="RZT62" s="87" t="str">
        <f>IF(ISNUMBER(outYear),RZT37+RZT42+#REF!+RZT59,"")</f>
        <v/>
      </c>
      <c r="RZU62" s="87" t="str">
        <f>IF(ISNUMBER(outYear),RZU37+RZU42+#REF!+RZU59,"")</f>
        <v/>
      </c>
      <c r="RZV62" s="87" t="str">
        <f>IF(ISNUMBER(outYear),RZV37+RZV42+#REF!+RZV59,"")</f>
        <v/>
      </c>
      <c r="RZW62" s="87" t="str">
        <f>IF(ISNUMBER(outYear),RZW37+RZW42+#REF!+RZW59,"")</f>
        <v/>
      </c>
      <c r="RZX62" s="87" t="str">
        <f>IF(ISNUMBER(outYear),RZX37+RZX42+#REF!+RZX59,"")</f>
        <v/>
      </c>
      <c r="RZY62" s="87" t="str">
        <f>IF(ISNUMBER(outYear),RZY37+RZY42+#REF!+RZY59,"")</f>
        <v/>
      </c>
      <c r="RZZ62" s="87" t="str">
        <f>IF(ISNUMBER(outYear),RZZ37+RZZ42+#REF!+RZZ59,"")</f>
        <v/>
      </c>
      <c r="SAA62" s="87" t="str">
        <f>IF(ISNUMBER(outYear),SAA37+SAA42+#REF!+SAA59,"")</f>
        <v/>
      </c>
      <c r="SAB62" s="87" t="str">
        <f>IF(ISNUMBER(outYear),SAB37+SAB42+#REF!+SAB59,"")</f>
        <v/>
      </c>
      <c r="SAC62" s="87" t="str">
        <f>IF(ISNUMBER(outYear),SAC37+SAC42+#REF!+SAC59,"")</f>
        <v/>
      </c>
      <c r="SAD62" s="87" t="str">
        <f>IF(ISNUMBER(outYear),SAD37+SAD42+#REF!+SAD59,"")</f>
        <v/>
      </c>
      <c r="SAE62" s="87" t="str">
        <f>IF(ISNUMBER(outYear),SAE37+SAE42+#REF!+SAE59,"")</f>
        <v/>
      </c>
      <c r="SAF62" s="87" t="str">
        <f>IF(ISNUMBER(outYear),SAF37+SAF42+#REF!+SAF59,"")</f>
        <v/>
      </c>
      <c r="SAG62" s="87" t="str">
        <f>IF(ISNUMBER(outYear),SAG37+SAG42+#REF!+SAG59,"")</f>
        <v/>
      </c>
      <c r="SAH62" s="87" t="str">
        <f>IF(ISNUMBER(outYear),SAH37+SAH42+#REF!+SAH59,"")</f>
        <v/>
      </c>
      <c r="SAI62" s="87" t="str">
        <f>IF(ISNUMBER(outYear),SAI37+SAI42+#REF!+SAI59,"")</f>
        <v/>
      </c>
      <c r="SAJ62" s="87" t="str">
        <f>IF(ISNUMBER(outYear),SAJ37+SAJ42+#REF!+SAJ59,"")</f>
        <v/>
      </c>
      <c r="SAK62" s="87" t="str">
        <f>IF(ISNUMBER(outYear),SAK37+SAK42+#REF!+SAK59,"")</f>
        <v/>
      </c>
      <c r="SAL62" s="87" t="str">
        <f>IF(ISNUMBER(outYear),SAL37+SAL42+#REF!+SAL59,"")</f>
        <v/>
      </c>
      <c r="SAM62" s="87" t="str">
        <f>IF(ISNUMBER(outYear),SAM37+SAM42+#REF!+SAM59,"")</f>
        <v/>
      </c>
      <c r="SAN62" s="87" t="str">
        <f>IF(ISNUMBER(outYear),SAN37+SAN42+#REF!+SAN59,"")</f>
        <v/>
      </c>
      <c r="SAO62" s="87" t="str">
        <f>IF(ISNUMBER(outYear),SAO37+SAO42+#REF!+SAO59,"")</f>
        <v/>
      </c>
      <c r="SAP62" s="87" t="str">
        <f>IF(ISNUMBER(outYear),SAP37+SAP42+#REF!+SAP59,"")</f>
        <v/>
      </c>
      <c r="SAQ62" s="87" t="str">
        <f>IF(ISNUMBER(outYear),SAQ37+SAQ42+#REF!+SAQ59,"")</f>
        <v/>
      </c>
      <c r="SAR62" s="87" t="str">
        <f>IF(ISNUMBER(outYear),SAR37+SAR42+#REF!+SAR59,"")</f>
        <v/>
      </c>
      <c r="SAS62" s="87" t="str">
        <f>IF(ISNUMBER(outYear),SAS37+SAS42+#REF!+SAS59,"")</f>
        <v/>
      </c>
      <c r="SAT62" s="87" t="str">
        <f>IF(ISNUMBER(outYear),SAT37+SAT42+#REF!+SAT59,"")</f>
        <v/>
      </c>
      <c r="SAU62" s="87" t="str">
        <f>IF(ISNUMBER(outYear),SAU37+SAU42+#REF!+SAU59,"")</f>
        <v/>
      </c>
      <c r="SAV62" s="87" t="str">
        <f>IF(ISNUMBER(outYear),SAV37+SAV42+#REF!+SAV59,"")</f>
        <v/>
      </c>
      <c r="SAW62" s="87" t="str">
        <f>IF(ISNUMBER(outYear),SAW37+SAW42+#REF!+SAW59,"")</f>
        <v/>
      </c>
      <c r="SAX62" s="87" t="str">
        <f>IF(ISNUMBER(outYear),SAX37+SAX42+#REF!+SAX59,"")</f>
        <v/>
      </c>
      <c r="SAY62" s="87" t="str">
        <f>IF(ISNUMBER(outYear),SAY37+SAY42+#REF!+SAY59,"")</f>
        <v/>
      </c>
      <c r="SAZ62" s="87" t="str">
        <f>IF(ISNUMBER(outYear),SAZ37+SAZ42+#REF!+SAZ59,"")</f>
        <v/>
      </c>
      <c r="SBA62" s="87" t="str">
        <f>IF(ISNUMBER(outYear),SBA37+SBA42+#REF!+SBA59,"")</f>
        <v/>
      </c>
      <c r="SBB62" s="87" t="str">
        <f>IF(ISNUMBER(outYear),SBB37+SBB42+#REF!+SBB59,"")</f>
        <v/>
      </c>
      <c r="SBC62" s="87" t="str">
        <f>IF(ISNUMBER(outYear),SBC37+SBC42+#REF!+SBC59,"")</f>
        <v/>
      </c>
      <c r="SBD62" s="87" t="str">
        <f>IF(ISNUMBER(outYear),SBD37+SBD42+#REF!+SBD59,"")</f>
        <v/>
      </c>
      <c r="SBE62" s="87" t="str">
        <f>IF(ISNUMBER(outYear),SBE37+SBE42+#REF!+SBE59,"")</f>
        <v/>
      </c>
      <c r="SBF62" s="87" t="str">
        <f>IF(ISNUMBER(outYear),SBF37+SBF42+#REF!+SBF59,"")</f>
        <v/>
      </c>
      <c r="SBG62" s="87" t="str">
        <f>IF(ISNUMBER(outYear),SBG37+SBG42+#REF!+SBG59,"")</f>
        <v/>
      </c>
      <c r="SBH62" s="87" t="str">
        <f>IF(ISNUMBER(outYear),SBH37+SBH42+#REF!+SBH59,"")</f>
        <v/>
      </c>
      <c r="SBI62" s="87" t="str">
        <f>IF(ISNUMBER(outYear),SBI37+SBI42+#REF!+SBI59,"")</f>
        <v/>
      </c>
      <c r="SBJ62" s="87" t="str">
        <f>IF(ISNUMBER(outYear),SBJ37+SBJ42+#REF!+SBJ59,"")</f>
        <v/>
      </c>
      <c r="SBK62" s="87" t="str">
        <f>IF(ISNUMBER(outYear),SBK37+SBK42+#REF!+SBK59,"")</f>
        <v/>
      </c>
      <c r="SBL62" s="87" t="str">
        <f>IF(ISNUMBER(outYear),SBL37+SBL42+#REF!+SBL59,"")</f>
        <v/>
      </c>
      <c r="SBM62" s="87" t="str">
        <f>IF(ISNUMBER(outYear),SBM37+SBM42+#REF!+SBM59,"")</f>
        <v/>
      </c>
      <c r="SBN62" s="87" t="str">
        <f>IF(ISNUMBER(outYear),SBN37+SBN42+#REF!+SBN59,"")</f>
        <v/>
      </c>
      <c r="SBO62" s="87" t="str">
        <f>IF(ISNUMBER(outYear),SBO37+SBO42+#REF!+SBO59,"")</f>
        <v/>
      </c>
      <c r="SBP62" s="87" t="str">
        <f>IF(ISNUMBER(outYear),SBP37+SBP42+#REF!+SBP59,"")</f>
        <v/>
      </c>
      <c r="SBQ62" s="87" t="str">
        <f>IF(ISNUMBER(outYear),SBQ37+SBQ42+#REF!+SBQ59,"")</f>
        <v/>
      </c>
      <c r="SBR62" s="87" t="str">
        <f>IF(ISNUMBER(outYear),SBR37+SBR42+#REF!+SBR59,"")</f>
        <v/>
      </c>
      <c r="SBS62" s="87" t="str">
        <f>IF(ISNUMBER(outYear),SBS37+SBS42+#REF!+SBS59,"")</f>
        <v/>
      </c>
      <c r="SBT62" s="87" t="str">
        <f>IF(ISNUMBER(outYear),SBT37+SBT42+#REF!+SBT59,"")</f>
        <v/>
      </c>
      <c r="SBU62" s="87" t="str">
        <f>IF(ISNUMBER(outYear),SBU37+SBU42+#REF!+SBU59,"")</f>
        <v/>
      </c>
      <c r="SBV62" s="87" t="str">
        <f>IF(ISNUMBER(outYear),SBV37+SBV42+#REF!+SBV59,"")</f>
        <v/>
      </c>
      <c r="SBW62" s="87" t="str">
        <f>IF(ISNUMBER(outYear),SBW37+SBW42+#REF!+SBW59,"")</f>
        <v/>
      </c>
      <c r="SBX62" s="87" t="str">
        <f>IF(ISNUMBER(outYear),SBX37+SBX42+#REF!+SBX59,"")</f>
        <v/>
      </c>
      <c r="SBY62" s="87" t="str">
        <f>IF(ISNUMBER(outYear),SBY37+SBY42+#REF!+SBY59,"")</f>
        <v/>
      </c>
      <c r="SBZ62" s="87" t="str">
        <f>IF(ISNUMBER(outYear),SBZ37+SBZ42+#REF!+SBZ59,"")</f>
        <v/>
      </c>
      <c r="SCA62" s="87" t="str">
        <f>IF(ISNUMBER(outYear),SCA37+SCA42+#REF!+SCA59,"")</f>
        <v/>
      </c>
      <c r="SCB62" s="87" t="str">
        <f>IF(ISNUMBER(outYear),SCB37+SCB42+#REF!+SCB59,"")</f>
        <v/>
      </c>
      <c r="SCC62" s="87" t="str">
        <f>IF(ISNUMBER(outYear),SCC37+SCC42+#REF!+SCC59,"")</f>
        <v/>
      </c>
      <c r="SCD62" s="87" t="str">
        <f>IF(ISNUMBER(outYear),SCD37+SCD42+#REF!+SCD59,"")</f>
        <v/>
      </c>
      <c r="SCE62" s="87" t="str">
        <f>IF(ISNUMBER(outYear),SCE37+SCE42+#REF!+SCE59,"")</f>
        <v/>
      </c>
      <c r="SCF62" s="87" t="str">
        <f>IF(ISNUMBER(outYear),SCF37+SCF42+#REF!+SCF59,"")</f>
        <v/>
      </c>
      <c r="SCG62" s="87" t="str">
        <f>IF(ISNUMBER(outYear),SCG37+SCG42+#REF!+SCG59,"")</f>
        <v/>
      </c>
      <c r="SCH62" s="87" t="str">
        <f>IF(ISNUMBER(outYear),SCH37+SCH42+#REF!+SCH59,"")</f>
        <v/>
      </c>
      <c r="SCI62" s="87" t="str">
        <f>IF(ISNUMBER(outYear),SCI37+SCI42+#REF!+SCI59,"")</f>
        <v/>
      </c>
      <c r="SCJ62" s="87" t="str">
        <f>IF(ISNUMBER(outYear),SCJ37+SCJ42+#REF!+SCJ59,"")</f>
        <v/>
      </c>
      <c r="SCK62" s="87" t="str">
        <f>IF(ISNUMBER(outYear),SCK37+SCK42+#REF!+SCK59,"")</f>
        <v/>
      </c>
      <c r="SCL62" s="87" t="str">
        <f>IF(ISNUMBER(outYear),SCL37+SCL42+#REF!+SCL59,"")</f>
        <v/>
      </c>
      <c r="SCM62" s="87" t="str">
        <f>IF(ISNUMBER(outYear),SCM37+SCM42+#REF!+SCM59,"")</f>
        <v/>
      </c>
      <c r="SCN62" s="87" t="str">
        <f>IF(ISNUMBER(outYear),SCN37+SCN42+#REF!+SCN59,"")</f>
        <v/>
      </c>
      <c r="SCO62" s="87" t="str">
        <f>IF(ISNUMBER(outYear),SCO37+SCO42+#REF!+SCO59,"")</f>
        <v/>
      </c>
      <c r="SCP62" s="87" t="str">
        <f>IF(ISNUMBER(outYear),SCP37+SCP42+#REF!+SCP59,"")</f>
        <v/>
      </c>
      <c r="SCQ62" s="87" t="str">
        <f>IF(ISNUMBER(outYear),SCQ37+SCQ42+#REF!+SCQ59,"")</f>
        <v/>
      </c>
      <c r="SCR62" s="87" t="str">
        <f>IF(ISNUMBER(outYear),SCR37+SCR42+#REF!+SCR59,"")</f>
        <v/>
      </c>
      <c r="SCS62" s="87" t="str">
        <f>IF(ISNUMBER(outYear),SCS37+SCS42+#REF!+SCS59,"")</f>
        <v/>
      </c>
      <c r="SCT62" s="87" t="str">
        <f>IF(ISNUMBER(outYear),SCT37+SCT42+#REF!+SCT59,"")</f>
        <v/>
      </c>
      <c r="SCU62" s="87" t="str">
        <f>IF(ISNUMBER(outYear),SCU37+SCU42+#REF!+SCU59,"")</f>
        <v/>
      </c>
      <c r="SCV62" s="87" t="str">
        <f>IF(ISNUMBER(outYear),SCV37+SCV42+#REF!+SCV59,"")</f>
        <v/>
      </c>
      <c r="SCW62" s="87" t="str">
        <f>IF(ISNUMBER(outYear),SCW37+SCW42+#REF!+SCW59,"")</f>
        <v/>
      </c>
      <c r="SCX62" s="87" t="str">
        <f>IF(ISNUMBER(outYear),SCX37+SCX42+#REF!+SCX59,"")</f>
        <v/>
      </c>
      <c r="SCY62" s="87" t="str">
        <f>IF(ISNUMBER(outYear),SCY37+SCY42+#REF!+SCY59,"")</f>
        <v/>
      </c>
      <c r="SCZ62" s="87" t="str">
        <f>IF(ISNUMBER(outYear),SCZ37+SCZ42+#REF!+SCZ59,"")</f>
        <v/>
      </c>
      <c r="SDA62" s="87" t="str">
        <f>IF(ISNUMBER(outYear),SDA37+SDA42+#REF!+SDA59,"")</f>
        <v/>
      </c>
      <c r="SDB62" s="87" t="str">
        <f>IF(ISNUMBER(outYear),SDB37+SDB42+#REF!+SDB59,"")</f>
        <v/>
      </c>
      <c r="SDC62" s="87" t="str">
        <f>IF(ISNUMBER(outYear),SDC37+SDC42+#REF!+SDC59,"")</f>
        <v/>
      </c>
      <c r="SDD62" s="87" t="str">
        <f>IF(ISNUMBER(outYear),SDD37+SDD42+#REF!+SDD59,"")</f>
        <v/>
      </c>
      <c r="SDE62" s="87" t="str">
        <f>IF(ISNUMBER(outYear),SDE37+SDE42+#REF!+SDE59,"")</f>
        <v/>
      </c>
      <c r="SDF62" s="87" t="str">
        <f>IF(ISNUMBER(outYear),SDF37+SDF42+#REF!+SDF59,"")</f>
        <v/>
      </c>
      <c r="SDG62" s="87" t="str">
        <f>IF(ISNUMBER(outYear),SDG37+SDG42+#REF!+SDG59,"")</f>
        <v/>
      </c>
      <c r="SDH62" s="87" t="str">
        <f>IF(ISNUMBER(outYear),SDH37+SDH42+#REF!+SDH59,"")</f>
        <v/>
      </c>
      <c r="SDI62" s="87" t="str">
        <f>IF(ISNUMBER(outYear),SDI37+SDI42+#REF!+SDI59,"")</f>
        <v/>
      </c>
      <c r="SDJ62" s="87" t="str">
        <f>IF(ISNUMBER(outYear),SDJ37+SDJ42+#REF!+SDJ59,"")</f>
        <v/>
      </c>
      <c r="SDK62" s="87" t="str">
        <f>IF(ISNUMBER(outYear),SDK37+SDK42+#REF!+SDK59,"")</f>
        <v/>
      </c>
      <c r="SDL62" s="87" t="str">
        <f>IF(ISNUMBER(outYear),SDL37+SDL42+#REF!+SDL59,"")</f>
        <v/>
      </c>
      <c r="SDM62" s="87" t="str">
        <f>IF(ISNUMBER(outYear),SDM37+SDM42+#REF!+SDM59,"")</f>
        <v/>
      </c>
      <c r="SDN62" s="87" t="str">
        <f>IF(ISNUMBER(outYear),SDN37+SDN42+#REF!+SDN59,"")</f>
        <v/>
      </c>
      <c r="SDO62" s="87" t="str">
        <f>IF(ISNUMBER(outYear),SDO37+SDO42+#REF!+SDO59,"")</f>
        <v/>
      </c>
      <c r="SDP62" s="87" t="str">
        <f>IF(ISNUMBER(outYear),SDP37+SDP42+#REF!+SDP59,"")</f>
        <v/>
      </c>
      <c r="SDQ62" s="87" t="str">
        <f>IF(ISNUMBER(outYear),SDQ37+SDQ42+#REF!+SDQ59,"")</f>
        <v/>
      </c>
      <c r="SDR62" s="87" t="str">
        <f>IF(ISNUMBER(outYear),SDR37+SDR42+#REF!+SDR59,"")</f>
        <v/>
      </c>
      <c r="SDS62" s="87" t="str">
        <f>IF(ISNUMBER(outYear),SDS37+SDS42+#REF!+SDS59,"")</f>
        <v/>
      </c>
      <c r="SDT62" s="87" t="str">
        <f>IF(ISNUMBER(outYear),SDT37+SDT42+#REF!+SDT59,"")</f>
        <v/>
      </c>
      <c r="SDU62" s="87" t="str">
        <f>IF(ISNUMBER(outYear),SDU37+SDU42+#REF!+SDU59,"")</f>
        <v/>
      </c>
      <c r="SDV62" s="87" t="str">
        <f>IF(ISNUMBER(outYear),SDV37+SDV42+#REF!+SDV59,"")</f>
        <v/>
      </c>
      <c r="SDW62" s="87" t="str">
        <f>IF(ISNUMBER(outYear),SDW37+SDW42+#REF!+SDW59,"")</f>
        <v/>
      </c>
      <c r="SDX62" s="87" t="str">
        <f>IF(ISNUMBER(outYear),SDX37+SDX42+#REF!+SDX59,"")</f>
        <v/>
      </c>
      <c r="SDY62" s="87" t="str">
        <f>IF(ISNUMBER(outYear),SDY37+SDY42+#REF!+SDY59,"")</f>
        <v/>
      </c>
      <c r="SDZ62" s="87" t="str">
        <f>IF(ISNUMBER(outYear),SDZ37+SDZ42+#REF!+SDZ59,"")</f>
        <v/>
      </c>
      <c r="SEA62" s="87" t="str">
        <f>IF(ISNUMBER(outYear),SEA37+SEA42+#REF!+SEA59,"")</f>
        <v/>
      </c>
      <c r="SEB62" s="87" t="str">
        <f>IF(ISNUMBER(outYear),SEB37+SEB42+#REF!+SEB59,"")</f>
        <v/>
      </c>
      <c r="SEC62" s="87" t="str">
        <f>IF(ISNUMBER(outYear),SEC37+SEC42+#REF!+SEC59,"")</f>
        <v/>
      </c>
      <c r="SED62" s="87" t="str">
        <f>IF(ISNUMBER(outYear),SED37+SED42+#REF!+SED59,"")</f>
        <v/>
      </c>
      <c r="SEE62" s="87" t="str">
        <f>IF(ISNUMBER(outYear),SEE37+SEE42+#REF!+SEE59,"")</f>
        <v/>
      </c>
      <c r="SEF62" s="87" t="str">
        <f>IF(ISNUMBER(outYear),SEF37+SEF42+#REF!+SEF59,"")</f>
        <v/>
      </c>
      <c r="SEG62" s="87" t="str">
        <f>IF(ISNUMBER(outYear),SEG37+SEG42+#REF!+SEG59,"")</f>
        <v/>
      </c>
      <c r="SEH62" s="87" t="str">
        <f>IF(ISNUMBER(outYear),SEH37+SEH42+#REF!+SEH59,"")</f>
        <v/>
      </c>
      <c r="SEI62" s="87" t="str">
        <f>IF(ISNUMBER(outYear),SEI37+SEI42+#REF!+SEI59,"")</f>
        <v/>
      </c>
      <c r="SEJ62" s="87" t="str">
        <f>IF(ISNUMBER(outYear),SEJ37+SEJ42+#REF!+SEJ59,"")</f>
        <v/>
      </c>
      <c r="SEK62" s="87" t="str">
        <f>IF(ISNUMBER(outYear),SEK37+SEK42+#REF!+SEK59,"")</f>
        <v/>
      </c>
      <c r="SEL62" s="87" t="str">
        <f>IF(ISNUMBER(outYear),SEL37+SEL42+#REF!+SEL59,"")</f>
        <v/>
      </c>
      <c r="SEM62" s="87" t="str">
        <f>IF(ISNUMBER(outYear),SEM37+SEM42+#REF!+SEM59,"")</f>
        <v/>
      </c>
      <c r="SEN62" s="87" t="str">
        <f>IF(ISNUMBER(outYear),SEN37+SEN42+#REF!+SEN59,"")</f>
        <v/>
      </c>
      <c r="SEO62" s="87" t="str">
        <f>IF(ISNUMBER(outYear),SEO37+SEO42+#REF!+SEO59,"")</f>
        <v/>
      </c>
      <c r="SEP62" s="87" t="str">
        <f>IF(ISNUMBER(outYear),SEP37+SEP42+#REF!+SEP59,"")</f>
        <v/>
      </c>
      <c r="SEQ62" s="87" t="str">
        <f>IF(ISNUMBER(outYear),SEQ37+SEQ42+#REF!+SEQ59,"")</f>
        <v/>
      </c>
      <c r="SER62" s="87" t="str">
        <f>IF(ISNUMBER(outYear),SER37+SER42+#REF!+SER59,"")</f>
        <v/>
      </c>
      <c r="SES62" s="87" t="str">
        <f>IF(ISNUMBER(outYear),SES37+SES42+#REF!+SES59,"")</f>
        <v/>
      </c>
      <c r="SET62" s="87" t="str">
        <f>IF(ISNUMBER(outYear),SET37+SET42+#REF!+SET59,"")</f>
        <v/>
      </c>
      <c r="SEU62" s="87" t="str">
        <f>IF(ISNUMBER(outYear),SEU37+SEU42+#REF!+SEU59,"")</f>
        <v/>
      </c>
      <c r="SEV62" s="87" t="str">
        <f>IF(ISNUMBER(outYear),SEV37+SEV42+#REF!+SEV59,"")</f>
        <v/>
      </c>
      <c r="SEW62" s="87" t="str">
        <f>IF(ISNUMBER(outYear),SEW37+SEW42+#REF!+SEW59,"")</f>
        <v/>
      </c>
      <c r="SEX62" s="87" t="str">
        <f>IF(ISNUMBER(outYear),SEX37+SEX42+#REF!+SEX59,"")</f>
        <v/>
      </c>
      <c r="SEY62" s="87" t="str">
        <f>IF(ISNUMBER(outYear),SEY37+SEY42+#REF!+SEY59,"")</f>
        <v/>
      </c>
      <c r="SEZ62" s="87" t="str">
        <f>IF(ISNUMBER(outYear),SEZ37+SEZ42+#REF!+SEZ59,"")</f>
        <v/>
      </c>
      <c r="SFA62" s="87" t="str">
        <f>IF(ISNUMBER(outYear),SFA37+SFA42+#REF!+SFA59,"")</f>
        <v/>
      </c>
      <c r="SFB62" s="87" t="str">
        <f>IF(ISNUMBER(outYear),SFB37+SFB42+#REF!+SFB59,"")</f>
        <v/>
      </c>
      <c r="SFC62" s="87" t="str">
        <f>IF(ISNUMBER(outYear),SFC37+SFC42+#REF!+SFC59,"")</f>
        <v/>
      </c>
      <c r="SFD62" s="87" t="str">
        <f>IF(ISNUMBER(outYear),SFD37+SFD42+#REF!+SFD59,"")</f>
        <v/>
      </c>
      <c r="SFE62" s="87" t="str">
        <f>IF(ISNUMBER(outYear),SFE37+SFE42+#REF!+SFE59,"")</f>
        <v/>
      </c>
      <c r="SFF62" s="87" t="str">
        <f>IF(ISNUMBER(outYear),SFF37+SFF42+#REF!+SFF59,"")</f>
        <v/>
      </c>
      <c r="SFG62" s="87" t="str">
        <f>IF(ISNUMBER(outYear),SFG37+SFG42+#REF!+SFG59,"")</f>
        <v/>
      </c>
      <c r="SFH62" s="87" t="str">
        <f>IF(ISNUMBER(outYear),SFH37+SFH42+#REF!+SFH59,"")</f>
        <v/>
      </c>
      <c r="SFI62" s="87" t="str">
        <f>IF(ISNUMBER(outYear),SFI37+SFI42+#REF!+SFI59,"")</f>
        <v/>
      </c>
      <c r="SFJ62" s="87" t="str">
        <f>IF(ISNUMBER(outYear),SFJ37+SFJ42+#REF!+SFJ59,"")</f>
        <v/>
      </c>
      <c r="SFK62" s="87" t="str">
        <f>IF(ISNUMBER(outYear),SFK37+SFK42+#REF!+SFK59,"")</f>
        <v/>
      </c>
      <c r="SFL62" s="87" t="str">
        <f>IF(ISNUMBER(outYear),SFL37+SFL42+#REF!+SFL59,"")</f>
        <v/>
      </c>
      <c r="SFM62" s="87" t="str">
        <f>IF(ISNUMBER(outYear),SFM37+SFM42+#REF!+SFM59,"")</f>
        <v/>
      </c>
      <c r="SFN62" s="87" t="str">
        <f>IF(ISNUMBER(outYear),SFN37+SFN42+#REF!+SFN59,"")</f>
        <v/>
      </c>
      <c r="SFO62" s="87" t="str">
        <f>IF(ISNUMBER(outYear),SFO37+SFO42+#REF!+SFO59,"")</f>
        <v/>
      </c>
      <c r="SFP62" s="87" t="str">
        <f>IF(ISNUMBER(outYear),SFP37+SFP42+#REF!+SFP59,"")</f>
        <v/>
      </c>
      <c r="SFQ62" s="87" t="str">
        <f>IF(ISNUMBER(outYear),SFQ37+SFQ42+#REF!+SFQ59,"")</f>
        <v/>
      </c>
      <c r="SFR62" s="87" t="str">
        <f>IF(ISNUMBER(outYear),SFR37+SFR42+#REF!+SFR59,"")</f>
        <v/>
      </c>
      <c r="SFS62" s="87" t="str">
        <f>IF(ISNUMBER(outYear),SFS37+SFS42+#REF!+SFS59,"")</f>
        <v/>
      </c>
      <c r="SFT62" s="87" t="str">
        <f>IF(ISNUMBER(outYear),SFT37+SFT42+#REF!+SFT59,"")</f>
        <v/>
      </c>
      <c r="SFU62" s="87" t="str">
        <f>IF(ISNUMBER(outYear),SFU37+SFU42+#REF!+SFU59,"")</f>
        <v/>
      </c>
      <c r="SFV62" s="87" t="str">
        <f>IF(ISNUMBER(outYear),SFV37+SFV42+#REF!+SFV59,"")</f>
        <v/>
      </c>
      <c r="SFW62" s="87" t="str">
        <f>IF(ISNUMBER(outYear),SFW37+SFW42+#REF!+SFW59,"")</f>
        <v/>
      </c>
      <c r="SFX62" s="87" t="str">
        <f>IF(ISNUMBER(outYear),SFX37+SFX42+#REF!+SFX59,"")</f>
        <v/>
      </c>
      <c r="SFY62" s="87" t="str">
        <f>IF(ISNUMBER(outYear),SFY37+SFY42+#REF!+SFY59,"")</f>
        <v/>
      </c>
      <c r="SFZ62" s="87" t="str">
        <f>IF(ISNUMBER(outYear),SFZ37+SFZ42+#REF!+SFZ59,"")</f>
        <v/>
      </c>
      <c r="SGA62" s="87" t="str">
        <f>IF(ISNUMBER(outYear),SGA37+SGA42+#REF!+SGA59,"")</f>
        <v/>
      </c>
      <c r="SGB62" s="87" t="str">
        <f>IF(ISNUMBER(outYear),SGB37+SGB42+#REF!+SGB59,"")</f>
        <v/>
      </c>
      <c r="SGC62" s="87" t="str">
        <f>IF(ISNUMBER(outYear),SGC37+SGC42+#REF!+SGC59,"")</f>
        <v/>
      </c>
      <c r="SGD62" s="87" t="str">
        <f>IF(ISNUMBER(outYear),SGD37+SGD42+#REF!+SGD59,"")</f>
        <v/>
      </c>
      <c r="SGE62" s="87" t="str">
        <f>IF(ISNUMBER(outYear),SGE37+SGE42+#REF!+SGE59,"")</f>
        <v/>
      </c>
      <c r="SGF62" s="87" t="str">
        <f>IF(ISNUMBER(outYear),SGF37+SGF42+#REF!+SGF59,"")</f>
        <v/>
      </c>
      <c r="SGG62" s="87" t="str">
        <f>IF(ISNUMBER(outYear),SGG37+SGG42+#REF!+SGG59,"")</f>
        <v/>
      </c>
      <c r="SGH62" s="87" t="str">
        <f>IF(ISNUMBER(outYear),SGH37+SGH42+#REF!+SGH59,"")</f>
        <v/>
      </c>
      <c r="SGI62" s="87" t="str">
        <f>IF(ISNUMBER(outYear),SGI37+SGI42+#REF!+SGI59,"")</f>
        <v/>
      </c>
      <c r="SGJ62" s="87" t="str">
        <f>IF(ISNUMBER(outYear),SGJ37+SGJ42+#REF!+SGJ59,"")</f>
        <v/>
      </c>
      <c r="SGK62" s="87" t="str">
        <f>IF(ISNUMBER(outYear),SGK37+SGK42+#REF!+SGK59,"")</f>
        <v/>
      </c>
      <c r="SGL62" s="87" t="str">
        <f>IF(ISNUMBER(outYear),SGL37+SGL42+#REF!+SGL59,"")</f>
        <v/>
      </c>
      <c r="SGM62" s="87" t="str">
        <f>IF(ISNUMBER(outYear),SGM37+SGM42+#REF!+SGM59,"")</f>
        <v/>
      </c>
      <c r="SGN62" s="87" t="str">
        <f>IF(ISNUMBER(outYear),SGN37+SGN42+#REF!+SGN59,"")</f>
        <v/>
      </c>
      <c r="SGO62" s="87" t="str">
        <f>IF(ISNUMBER(outYear),SGO37+SGO42+#REF!+SGO59,"")</f>
        <v/>
      </c>
      <c r="SGP62" s="87" t="str">
        <f>IF(ISNUMBER(outYear),SGP37+SGP42+#REF!+SGP59,"")</f>
        <v/>
      </c>
      <c r="SGQ62" s="87" t="str">
        <f>IF(ISNUMBER(outYear),SGQ37+SGQ42+#REF!+SGQ59,"")</f>
        <v/>
      </c>
      <c r="SGR62" s="87" t="str">
        <f>IF(ISNUMBER(outYear),SGR37+SGR42+#REF!+SGR59,"")</f>
        <v/>
      </c>
      <c r="SGS62" s="87" t="str">
        <f>IF(ISNUMBER(outYear),SGS37+SGS42+#REF!+SGS59,"")</f>
        <v/>
      </c>
      <c r="SGT62" s="87" t="str">
        <f>IF(ISNUMBER(outYear),SGT37+SGT42+#REF!+SGT59,"")</f>
        <v/>
      </c>
      <c r="SGU62" s="87" t="str">
        <f>IF(ISNUMBER(outYear),SGU37+SGU42+#REF!+SGU59,"")</f>
        <v/>
      </c>
      <c r="SGV62" s="87" t="str">
        <f>IF(ISNUMBER(outYear),SGV37+SGV42+#REF!+SGV59,"")</f>
        <v/>
      </c>
      <c r="SGW62" s="87" t="str">
        <f>IF(ISNUMBER(outYear),SGW37+SGW42+#REF!+SGW59,"")</f>
        <v/>
      </c>
      <c r="SGX62" s="87" t="str">
        <f>IF(ISNUMBER(outYear),SGX37+SGX42+#REF!+SGX59,"")</f>
        <v/>
      </c>
      <c r="SGY62" s="87" t="str">
        <f>IF(ISNUMBER(outYear),SGY37+SGY42+#REF!+SGY59,"")</f>
        <v/>
      </c>
      <c r="SGZ62" s="87" t="str">
        <f>IF(ISNUMBER(outYear),SGZ37+SGZ42+#REF!+SGZ59,"")</f>
        <v/>
      </c>
      <c r="SHA62" s="87" t="str">
        <f>IF(ISNUMBER(outYear),SHA37+SHA42+#REF!+SHA59,"")</f>
        <v/>
      </c>
      <c r="SHB62" s="87" t="str">
        <f>IF(ISNUMBER(outYear),SHB37+SHB42+#REF!+SHB59,"")</f>
        <v/>
      </c>
      <c r="SHC62" s="87" t="str">
        <f>IF(ISNUMBER(outYear),SHC37+SHC42+#REF!+SHC59,"")</f>
        <v/>
      </c>
      <c r="SHD62" s="87" t="str">
        <f>IF(ISNUMBER(outYear),SHD37+SHD42+#REF!+SHD59,"")</f>
        <v/>
      </c>
      <c r="SHE62" s="87" t="str">
        <f>IF(ISNUMBER(outYear),SHE37+SHE42+#REF!+SHE59,"")</f>
        <v/>
      </c>
      <c r="SHF62" s="87" t="str">
        <f>IF(ISNUMBER(outYear),SHF37+SHF42+#REF!+SHF59,"")</f>
        <v/>
      </c>
      <c r="SHG62" s="87" t="str">
        <f>IF(ISNUMBER(outYear),SHG37+SHG42+#REF!+SHG59,"")</f>
        <v/>
      </c>
      <c r="SHH62" s="87" t="str">
        <f>IF(ISNUMBER(outYear),SHH37+SHH42+#REF!+SHH59,"")</f>
        <v/>
      </c>
      <c r="SHI62" s="87" t="str">
        <f>IF(ISNUMBER(outYear),SHI37+SHI42+#REF!+SHI59,"")</f>
        <v/>
      </c>
      <c r="SHJ62" s="87" t="str">
        <f>IF(ISNUMBER(outYear),SHJ37+SHJ42+#REF!+SHJ59,"")</f>
        <v/>
      </c>
      <c r="SHK62" s="87" t="str">
        <f>IF(ISNUMBER(outYear),SHK37+SHK42+#REF!+SHK59,"")</f>
        <v/>
      </c>
      <c r="SHL62" s="87" t="str">
        <f>IF(ISNUMBER(outYear),SHL37+SHL42+#REF!+SHL59,"")</f>
        <v/>
      </c>
      <c r="SHM62" s="87" t="str">
        <f>IF(ISNUMBER(outYear),SHM37+SHM42+#REF!+SHM59,"")</f>
        <v/>
      </c>
      <c r="SHN62" s="87" t="str">
        <f>IF(ISNUMBER(outYear),SHN37+SHN42+#REF!+SHN59,"")</f>
        <v/>
      </c>
      <c r="SHO62" s="87" t="str">
        <f>IF(ISNUMBER(outYear),SHO37+SHO42+#REF!+SHO59,"")</f>
        <v/>
      </c>
      <c r="SHP62" s="87" t="str">
        <f>IF(ISNUMBER(outYear),SHP37+SHP42+#REF!+SHP59,"")</f>
        <v/>
      </c>
      <c r="SHQ62" s="87" t="str">
        <f>IF(ISNUMBER(outYear),SHQ37+SHQ42+#REF!+SHQ59,"")</f>
        <v/>
      </c>
      <c r="SHR62" s="87" t="str">
        <f>IF(ISNUMBER(outYear),SHR37+SHR42+#REF!+SHR59,"")</f>
        <v/>
      </c>
      <c r="SHS62" s="87" t="str">
        <f>IF(ISNUMBER(outYear),SHS37+SHS42+#REF!+SHS59,"")</f>
        <v/>
      </c>
      <c r="SHT62" s="87" t="str">
        <f>IF(ISNUMBER(outYear),SHT37+SHT42+#REF!+SHT59,"")</f>
        <v/>
      </c>
      <c r="SHU62" s="87" t="str">
        <f>IF(ISNUMBER(outYear),SHU37+SHU42+#REF!+SHU59,"")</f>
        <v/>
      </c>
      <c r="SHV62" s="87" t="str">
        <f>IF(ISNUMBER(outYear),SHV37+SHV42+#REF!+SHV59,"")</f>
        <v/>
      </c>
      <c r="SHW62" s="87" t="str">
        <f>IF(ISNUMBER(outYear),SHW37+SHW42+#REF!+SHW59,"")</f>
        <v/>
      </c>
      <c r="SHX62" s="87" t="str">
        <f>IF(ISNUMBER(outYear),SHX37+SHX42+#REF!+SHX59,"")</f>
        <v/>
      </c>
      <c r="SHY62" s="87" t="str">
        <f>IF(ISNUMBER(outYear),SHY37+SHY42+#REF!+SHY59,"")</f>
        <v/>
      </c>
      <c r="SHZ62" s="87" t="str">
        <f>IF(ISNUMBER(outYear),SHZ37+SHZ42+#REF!+SHZ59,"")</f>
        <v/>
      </c>
      <c r="SIA62" s="87" t="str">
        <f>IF(ISNUMBER(outYear),SIA37+SIA42+#REF!+SIA59,"")</f>
        <v/>
      </c>
      <c r="SIB62" s="87" t="str">
        <f>IF(ISNUMBER(outYear),SIB37+SIB42+#REF!+SIB59,"")</f>
        <v/>
      </c>
      <c r="SIC62" s="87" t="str">
        <f>IF(ISNUMBER(outYear),SIC37+SIC42+#REF!+SIC59,"")</f>
        <v/>
      </c>
      <c r="SID62" s="87" t="str">
        <f>IF(ISNUMBER(outYear),SID37+SID42+#REF!+SID59,"")</f>
        <v/>
      </c>
      <c r="SIE62" s="87" t="str">
        <f>IF(ISNUMBER(outYear),SIE37+SIE42+#REF!+SIE59,"")</f>
        <v/>
      </c>
      <c r="SIF62" s="87" t="str">
        <f>IF(ISNUMBER(outYear),SIF37+SIF42+#REF!+SIF59,"")</f>
        <v/>
      </c>
      <c r="SIG62" s="87" t="str">
        <f>IF(ISNUMBER(outYear),SIG37+SIG42+#REF!+SIG59,"")</f>
        <v/>
      </c>
      <c r="SIH62" s="87" t="str">
        <f>IF(ISNUMBER(outYear),SIH37+SIH42+#REF!+SIH59,"")</f>
        <v/>
      </c>
      <c r="SII62" s="87" t="str">
        <f>IF(ISNUMBER(outYear),SII37+SII42+#REF!+SII59,"")</f>
        <v/>
      </c>
      <c r="SIJ62" s="87" t="str">
        <f>IF(ISNUMBER(outYear),SIJ37+SIJ42+#REF!+SIJ59,"")</f>
        <v/>
      </c>
      <c r="SIK62" s="87" t="str">
        <f>IF(ISNUMBER(outYear),SIK37+SIK42+#REF!+SIK59,"")</f>
        <v/>
      </c>
      <c r="SIL62" s="87" t="str">
        <f>IF(ISNUMBER(outYear),SIL37+SIL42+#REF!+SIL59,"")</f>
        <v/>
      </c>
      <c r="SIM62" s="87" t="str">
        <f>IF(ISNUMBER(outYear),SIM37+SIM42+#REF!+SIM59,"")</f>
        <v/>
      </c>
      <c r="SIN62" s="87" t="str">
        <f>IF(ISNUMBER(outYear),SIN37+SIN42+#REF!+SIN59,"")</f>
        <v/>
      </c>
      <c r="SIO62" s="87" t="str">
        <f>IF(ISNUMBER(outYear),SIO37+SIO42+#REF!+SIO59,"")</f>
        <v/>
      </c>
      <c r="SIP62" s="87" t="str">
        <f>IF(ISNUMBER(outYear),SIP37+SIP42+#REF!+SIP59,"")</f>
        <v/>
      </c>
      <c r="SIQ62" s="87" t="str">
        <f>IF(ISNUMBER(outYear),SIQ37+SIQ42+#REF!+SIQ59,"")</f>
        <v/>
      </c>
      <c r="SIR62" s="87" t="str">
        <f>IF(ISNUMBER(outYear),SIR37+SIR42+#REF!+SIR59,"")</f>
        <v/>
      </c>
      <c r="SIS62" s="87" t="str">
        <f>IF(ISNUMBER(outYear),SIS37+SIS42+#REF!+SIS59,"")</f>
        <v/>
      </c>
      <c r="SIT62" s="87" t="str">
        <f>IF(ISNUMBER(outYear),SIT37+SIT42+#REF!+SIT59,"")</f>
        <v/>
      </c>
      <c r="SIU62" s="87" t="str">
        <f>IF(ISNUMBER(outYear),SIU37+SIU42+#REF!+SIU59,"")</f>
        <v/>
      </c>
      <c r="SIV62" s="87" t="str">
        <f>IF(ISNUMBER(outYear),SIV37+SIV42+#REF!+SIV59,"")</f>
        <v/>
      </c>
      <c r="SIW62" s="87" t="str">
        <f>IF(ISNUMBER(outYear),SIW37+SIW42+#REF!+SIW59,"")</f>
        <v/>
      </c>
      <c r="SIX62" s="87" t="str">
        <f>IF(ISNUMBER(outYear),SIX37+SIX42+#REF!+SIX59,"")</f>
        <v/>
      </c>
      <c r="SIY62" s="87" t="str">
        <f>IF(ISNUMBER(outYear),SIY37+SIY42+#REF!+SIY59,"")</f>
        <v/>
      </c>
      <c r="SIZ62" s="87" t="str">
        <f>IF(ISNUMBER(outYear),SIZ37+SIZ42+#REF!+SIZ59,"")</f>
        <v/>
      </c>
      <c r="SJA62" s="87" t="str">
        <f>IF(ISNUMBER(outYear),SJA37+SJA42+#REF!+SJA59,"")</f>
        <v/>
      </c>
      <c r="SJB62" s="87" t="str">
        <f>IF(ISNUMBER(outYear),SJB37+SJB42+#REF!+SJB59,"")</f>
        <v/>
      </c>
      <c r="SJC62" s="87" t="str">
        <f>IF(ISNUMBER(outYear),SJC37+SJC42+#REF!+SJC59,"")</f>
        <v/>
      </c>
      <c r="SJD62" s="87" t="str">
        <f>IF(ISNUMBER(outYear),SJD37+SJD42+#REF!+SJD59,"")</f>
        <v/>
      </c>
      <c r="SJE62" s="87" t="str">
        <f>IF(ISNUMBER(outYear),SJE37+SJE42+#REF!+SJE59,"")</f>
        <v/>
      </c>
      <c r="SJF62" s="87" t="str">
        <f>IF(ISNUMBER(outYear),SJF37+SJF42+#REF!+SJF59,"")</f>
        <v/>
      </c>
      <c r="SJG62" s="87" t="str">
        <f>IF(ISNUMBER(outYear),SJG37+SJG42+#REF!+SJG59,"")</f>
        <v/>
      </c>
      <c r="SJH62" s="87" t="str">
        <f>IF(ISNUMBER(outYear),SJH37+SJH42+#REF!+SJH59,"")</f>
        <v/>
      </c>
      <c r="SJI62" s="87" t="str">
        <f>IF(ISNUMBER(outYear),SJI37+SJI42+#REF!+SJI59,"")</f>
        <v/>
      </c>
      <c r="SJJ62" s="87" t="str">
        <f>IF(ISNUMBER(outYear),SJJ37+SJJ42+#REF!+SJJ59,"")</f>
        <v/>
      </c>
      <c r="SJK62" s="87" t="str">
        <f>IF(ISNUMBER(outYear),SJK37+SJK42+#REF!+SJK59,"")</f>
        <v/>
      </c>
      <c r="SJL62" s="87" t="str">
        <f>IF(ISNUMBER(outYear),SJL37+SJL42+#REF!+SJL59,"")</f>
        <v/>
      </c>
      <c r="SJM62" s="87" t="str">
        <f>IF(ISNUMBER(outYear),SJM37+SJM42+#REF!+SJM59,"")</f>
        <v/>
      </c>
      <c r="SJN62" s="87" t="str">
        <f>IF(ISNUMBER(outYear),SJN37+SJN42+#REF!+SJN59,"")</f>
        <v/>
      </c>
      <c r="SJO62" s="87" t="str">
        <f>IF(ISNUMBER(outYear),SJO37+SJO42+#REF!+SJO59,"")</f>
        <v/>
      </c>
      <c r="SJP62" s="87" t="str">
        <f>IF(ISNUMBER(outYear),SJP37+SJP42+#REF!+SJP59,"")</f>
        <v/>
      </c>
      <c r="SJQ62" s="87" t="str">
        <f>IF(ISNUMBER(outYear),SJQ37+SJQ42+#REF!+SJQ59,"")</f>
        <v/>
      </c>
      <c r="SJR62" s="87" t="str">
        <f>IF(ISNUMBER(outYear),SJR37+SJR42+#REF!+SJR59,"")</f>
        <v/>
      </c>
      <c r="SJS62" s="87" t="str">
        <f>IF(ISNUMBER(outYear),SJS37+SJS42+#REF!+SJS59,"")</f>
        <v/>
      </c>
      <c r="SJT62" s="87" t="str">
        <f>IF(ISNUMBER(outYear),SJT37+SJT42+#REF!+SJT59,"")</f>
        <v/>
      </c>
      <c r="SJU62" s="87" t="str">
        <f>IF(ISNUMBER(outYear),SJU37+SJU42+#REF!+SJU59,"")</f>
        <v/>
      </c>
      <c r="SJV62" s="87" t="str">
        <f>IF(ISNUMBER(outYear),SJV37+SJV42+#REF!+SJV59,"")</f>
        <v/>
      </c>
      <c r="SJW62" s="87" t="str">
        <f>IF(ISNUMBER(outYear),SJW37+SJW42+#REF!+SJW59,"")</f>
        <v/>
      </c>
      <c r="SJX62" s="87" t="str">
        <f>IF(ISNUMBER(outYear),SJX37+SJX42+#REF!+SJX59,"")</f>
        <v/>
      </c>
      <c r="SJY62" s="87" t="str">
        <f>IF(ISNUMBER(outYear),SJY37+SJY42+#REF!+SJY59,"")</f>
        <v/>
      </c>
      <c r="SJZ62" s="87" t="str">
        <f>IF(ISNUMBER(outYear),SJZ37+SJZ42+#REF!+SJZ59,"")</f>
        <v/>
      </c>
      <c r="SKA62" s="87" t="str">
        <f>IF(ISNUMBER(outYear),SKA37+SKA42+#REF!+SKA59,"")</f>
        <v/>
      </c>
      <c r="SKB62" s="87" t="str">
        <f>IF(ISNUMBER(outYear),SKB37+SKB42+#REF!+SKB59,"")</f>
        <v/>
      </c>
      <c r="SKC62" s="87" t="str">
        <f>IF(ISNUMBER(outYear),SKC37+SKC42+#REF!+SKC59,"")</f>
        <v/>
      </c>
      <c r="SKD62" s="87" t="str">
        <f>IF(ISNUMBER(outYear),SKD37+SKD42+#REF!+SKD59,"")</f>
        <v/>
      </c>
      <c r="SKE62" s="87" t="str">
        <f>IF(ISNUMBER(outYear),SKE37+SKE42+#REF!+SKE59,"")</f>
        <v/>
      </c>
      <c r="SKF62" s="87" t="str">
        <f>IF(ISNUMBER(outYear),SKF37+SKF42+#REF!+SKF59,"")</f>
        <v/>
      </c>
      <c r="SKG62" s="87" t="str">
        <f>IF(ISNUMBER(outYear),SKG37+SKG42+#REF!+SKG59,"")</f>
        <v/>
      </c>
      <c r="SKH62" s="87" t="str">
        <f>IF(ISNUMBER(outYear),SKH37+SKH42+#REF!+SKH59,"")</f>
        <v/>
      </c>
      <c r="SKI62" s="87" t="str">
        <f>IF(ISNUMBER(outYear),SKI37+SKI42+#REF!+SKI59,"")</f>
        <v/>
      </c>
      <c r="SKJ62" s="87" t="str">
        <f>IF(ISNUMBER(outYear),SKJ37+SKJ42+#REF!+SKJ59,"")</f>
        <v/>
      </c>
      <c r="SKK62" s="87" t="str">
        <f>IF(ISNUMBER(outYear),SKK37+SKK42+#REF!+SKK59,"")</f>
        <v/>
      </c>
      <c r="SKL62" s="87" t="str">
        <f>IF(ISNUMBER(outYear),SKL37+SKL42+#REF!+SKL59,"")</f>
        <v/>
      </c>
      <c r="SKM62" s="87" t="str">
        <f>IF(ISNUMBER(outYear),SKM37+SKM42+#REF!+SKM59,"")</f>
        <v/>
      </c>
      <c r="SKN62" s="87" t="str">
        <f>IF(ISNUMBER(outYear),SKN37+SKN42+#REF!+SKN59,"")</f>
        <v/>
      </c>
      <c r="SKO62" s="87" t="str">
        <f>IF(ISNUMBER(outYear),SKO37+SKO42+#REF!+SKO59,"")</f>
        <v/>
      </c>
      <c r="SKP62" s="87" t="str">
        <f>IF(ISNUMBER(outYear),SKP37+SKP42+#REF!+SKP59,"")</f>
        <v/>
      </c>
      <c r="SKQ62" s="87" t="str">
        <f>IF(ISNUMBER(outYear),SKQ37+SKQ42+#REF!+SKQ59,"")</f>
        <v/>
      </c>
      <c r="SKR62" s="87" t="str">
        <f>IF(ISNUMBER(outYear),SKR37+SKR42+#REF!+SKR59,"")</f>
        <v/>
      </c>
      <c r="SKS62" s="87" t="str">
        <f>IF(ISNUMBER(outYear),SKS37+SKS42+#REF!+SKS59,"")</f>
        <v/>
      </c>
      <c r="SKT62" s="87" t="str">
        <f>IF(ISNUMBER(outYear),SKT37+SKT42+#REF!+SKT59,"")</f>
        <v/>
      </c>
      <c r="SKU62" s="87" t="str">
        <f>IF(ISNUMBER(outYear),SKU37+SKU42+#REF!+SKU59,"")</f>
        <v/>
      </c>
      <c r="SKV62" s="87" t="str">
        <f>IF(ISNUMBER(outYear),SKV37+SKV42+#REF!+SKV59,"")</f>
        <v/>
      </c>
      <c r="SKW62" s="87" t="str">
        <f>IF(ISNUMBER(outYear),SKW37+SKW42+#REF!+SKW59,"")</f>
        <v/>
      </c>
      <c r="SKX62" s="87" t="str">
        <f>IF(ISNUMBER(outYear),SKX37+SKX42+#REF!+SKX59,"")</f>
        <v/>
      </c>
      <c r="SKY62" s="87" t="str">
        <f>IF(ISNUMBER(outYear),SKY37+SKY42+#REF!+SKY59,"")</f>
        <v/>
      </c>
      <c r="SKZ62" s="87" t="str">
        <f>IF(ISNUMBER(outYear),SKZ37+SKZ42+#REF!+SKZ59,"")</f>
        <v/>
      </c>
      <c r="SLA62" s="87" t="str">
        <f>IF(ISNUMBER(outYear),SLA37+SLA42+#REF!+SLA59,"")</f>
        <v/>
      </c>
      <c r="SLB62" s="87" t="str">
        <f>IF(ISNUMBER(outYear),SLB37+SLB42+#REF!+SLB59,"")</f>
        <v/>
      </c>
      <c r="SLC62" s="87" t="str">
        <f>IF(ISNUMBER(outYear),SLC37+SLC42+#REF!+SLC59,"")</f>
        <v/>
      </c>
      <c r="SLD62" s="87" t="str">
        <f>IF(ISNUMBER(outYear),SLD37+SLD42+#REF!+SLD59,"")</f>
        <v/>
      </c>
      <c r="SLE62" s="87" t="str">
        <f>IF(ISNUMBER(outYear),SLE37+SLE42+#REF!+SLE59,"")</f>
        <v/>
      </c>
      <c r="SLF62" s="87" t="str">
        <f>IF(ISNUMBER(outYear),SLF37+SLF42+#REF!+SLF59,"")</f>
        <v/>
      </c>
      <c r="SLG62" s="87" t="str">
        <f>IF(ISNUMBER(outYear),SLG37+SLG42+#REF!+SLG59,"")</f>
        <v/>
      </c>
      <c r="SLH62" s="87" t="str">
        <f>IF(ISNUMBER(outYear),SLH37+SLH42+#REF!+SLH59,"")</f>
        <v/>
      </c>
      <c r="SLI62" s="87" t="str">
        <f>IF(ISNUMBER(outYear),SLI37+SLI42+#REF!+SLI59,"")</f>
        <v/>
      </c>
      <c r="SLJ62" s="87" t="str">
        <f>IF(ISNUMBER(outYear),SLJ37+SLJ42+#REF!+SLJ59,"")</f>
        <v/>
      </c>
      <c r="SLK62" s="87" t="str">
        <f>IF(ISNUMBER(outYear),SLK37+SLK42+#REF!+SLK59,"")</f>
        <v/>
      </c>
      <c r="SLL62" s="87" t="str">
        <f>IF(ISNUMBER(outYear),SLL37+SLL42+#REF!+SLL59,"")</f>
        <v/>
      </c>
      <c r="SLM62" s="87" t="str">
        <f>IF(ISNUMBER(outYear),SLM37+SLM42+#REF!+SLM59,"")</f>
        <v/>
      </c>
      <c r="SLN62" s="87" t="str">
        <f>IF(ISNUMBER(outYear),SLN37+SLN42+#REF!+SLN59,"")</f>
        <v/>
      </c>
      <c r="SLO62" s="87" t="str">
        <f>IF(ISNUMBER(outYear),SLO37+SLO42+#REF!+SLO59,"")</f>
        <v/>
      </c>
      <c r="SLP62" s="87" t="str">
        <f>IF(ISNUMBER(outYear),SLP37+SLP42+#REF!+SLP59,"")</f>
        <v/>
      </c>
      <c r="SLQ62" s="87" t="str">
        <f>IF(ISNUMBER(outYear),SLQ37+SLQ42+#REF!+SLQ59,"")</f>
        <v/>
      </c>
      <c r="SLR62" s="87" t="str">
        <f>IF(ISNUMBER(outYear),SLR37+SLR42+#REF!+SLR59,"")</f>
        <v/>
      </c>
      <c r="SLS62" s="87" t="str">
        <f>IF(ISNUMBER(outYear),SLS37+SLS42+#REF!+SLS59,"")</f>
        <v/>
      </c>
      <c r="SLT62" s="87" t="str">
        <f>IF(ISNUMBER(outYear),SLT37+SLT42+#REF!+SLT59,"")</f>
        <v/>
      </c>
      <c r="SLU62" s="87" t="str">
        <f>IF(ISNUMBER(outYear),SLU37+SLU42+#REF!+SLU59,"")</f>
        <v/>
      </c>
      <c r="SLV62" s="87" t="str">
        <f>IF(ISNUMBER(outYear),SLV37+SLV42+#REF!+SLV59,"")</f>
        <v/>
      </c>
      <c r="SLW62" s="87" t="str">
        <f>IF(ISNUMBER(outYear),SLW37+SLW42+#REF!+SLW59,"")</f>
        <v/>
      </c>
      <c r="SLX62" s="87" t="str">
        <f>IF(ISNUMBER(outYear),SLX37+SLX42+#REF!+SLX59,"")</f>
        <v/>
      </c>
      <c r="SLY62" s="87" t="str">
        <f>IF(ISNUMBER(outYear),SLY37+SLY42+#REF!+SLY59,"")</f>
        <v/>
      </c>
      <c r="SLZ62" s="87" t="str">
        <f>IF(ISNUMBER(outYear),SLZ37+SLZ42+#REF!+SLZ59,"")</f>
        <v/>
      </c>
      <c r="SMA62" s="87" t="str">
        <f>IF(ISNUMBER(outYear),SMA37+SMA42+#REF!+SMA59,"")</f>
        <v/>
      </c>
      <c r="SMB62" s="87" t="str">
        <f>IF(ISNUMBER(outYear),SMB37+SMB42+#REF!+SMB59,"")</f>
        <v/>
      </c>
      <c r="SMC62" s="87" t="str">
        <f>IF(ISNUMBER(outYear),SMC37+SMC42+#REF!+SMC59,"")</f>
        <v/>
      </c>
      <c r="SMD62" s="87" t="str">
        <f>IF(ISNUMBER(outYear),SMD37+SMD42+#REF!+SMD59,"")</f>
        <v/>
      </c>
      <c r="SME62" s="87" t="str">
        <f>IF(ISNUMBER(outYear),SME37+SME42+#REF!+SME59,"")</f>
        <v/>
      </c>
      <c r="SMF62" s="87" t="str">
        <f>IF(ISNUMBER(outYear),SMF37+SMF42+#REF!+SMF59,"")</f>
        <v/>
      </c>
      <c r="SMG62" s="87" t="str">
        <f>IF(ISNUMBER(outYear),SMG37+SMG42+#REF!+SMG59,"")</f>
        <v/>
      </c>
      <c r="SMH62" s="87" t="str">
        <f>IF(ISNUMBER(outYear),SMH37+SMH42+#REF!+SMH59,"")</f>
        <v/>
      </c>
      <c r="SMI62" s="87" t="str">
        <f>IF(ISNUMBER(outYear),SMI37+SMI42+#REF!+SMI59,"")</f>
        <v/>
      </c>
      <c r="SMJ62" s="87" t="str">
        <f>IF(ISNUMBER(outYear),SMJ37+SMJ42+#REF!+SMJ59,"")</f>
        <v/>
      </c>
      <c r="SMK62" s="87" t="str">
        <f>IF(ISNUMBER(outYear),SMK37+SMK42+#REF!+SMK59,"")</f>
        <v/>
      </c>
      <c r="SML62" s="87" t="str">
        <f>IF(ISNUMBER(outYear),SML37+SML42+#REF!+SML59,"")</f>
        <v/>
      </c>
      <c r="SMM62" s="87" t="str">
        <f>IF(ISNUMBER(outYear),SMM37+SMM42+#REF!+SMM59,"")</f>
        <v/>
      </c>
      <c r="SMN62" s="87" t="str">
        <f>IF(ISNUMBER(outYear),SMN37+SMN42+#REF!+SMN59,"")</f>
        <v/>
      </c>
      <c r="SMO62" s="87" t="str">
        <f>IF(ISNUMBER(outYear),SMO37+SMO42+#REF!+SMO59,"")</f>
        <v/>
      </c>
      <c r="SMP62" s="87" t="str">
        <f>IF(ISNUMBER(outYear),SMP37+SMP42+#REF!+SMP59,"")</f>
        <v/>
      </c>
      <c r="SMQ62" s="87" t="str">
        <f>IF(ISNUMBER(outYear),SMQ37+SMQ42+#REF!+SMQ59,"")</f>
        <v/>
      </c>
      <c r="SMR62" s="87" t="str">
        <f>IF(ISNUMBER(outYear),SMR37+SMR42+#REF!+SMR59,"")</f>
        <v/>
      </c>
      <c r="SMS62" s="87" t="str">
        <f>IF(ISNUMBER(outYear),SMS37+SMS42+#REF!+SMS59,"")</f>
        <v/>
      </c>
      <c r="SMT62" s="87" t="str">
        <f>IF(ISNUMBER(outYear),SMT37+SMT42+#REF!+SMT59,"")</f>
        <v/>
      </c>
      <c r="SMU62" s="87" t="str">
        <f>IF(ISNUMBER(outYear),SMU37+SMU42+#REF!+SMU59,"")</f>
        <v/>
      </c>
      <c r="SMV62" s="87" t="str">
        <f>IF(ISNUMBER(outYear),SMV37+SMV42+#REF!+SMV59,"")</f>
        <v/>
      </c>
      <c r="SMW62" s="87" t="str">
        <f>IF(ISNUMBER(outYear),SMW37+SMW42+#REF!+SMW59,"")</f>
        <v/>
      </c>
      <c r="SMX62" s="87" t="str">
        <f>IF(ISNUMBER(outYear),SMX37+SMX42+#REF!+SMX59,"")</f>
        <v/>
      </c>
      <c r="SMY62" s="87" t="str">
        <f>IF(ISNUMBER(outYear),SMY37+SMY42+#REF!+SMY59,"")</f>
        <v/>
      </c>
      <c r="SMZ62" s="87" t="str">
        <f>IF(ISNUMBER(outYear),SMZ37+SMZ42+#REF!+SMZ59,"")</f>
        <v/>
      </c>
      <c r="SNA62" s="87" t="str">
        <f>IF(ISNUMBER(outYear),SNA37+SNA42+#REF!+SNA59,"")</f>
        <v/>
      </c>
      <c r="SNB62" s="87" t="str">
        <f>IF(ISNUMBER(outYear),SNB37+SNB42+#REF!+SNB59,"")</f>
        <v/>
      </c>
      <c r="SNC62" s="87" t="str">
        <f>IF(ISNUMBER(outYear),SNC37+SNC42+#REF!+SNC59,"")</f>
        <v/>
      </c>
      <c r="SND62" s="87" t="str">
        <f>IF(ISNUMBER(outYear),SND37+SND42+#REF!+SND59,"")</f>
        <v/>
      </c>
      <c r="SNE62" s="87" t="str">
        <f>IF(ISNUMBER(outYear),SNE37+SNE42+#REF!+SNE59,"")</f>
        <v/>
      </c>
      <c r="SNF62" s="87" t="str">
        <f>IF(ISNUMBER(outYear),SNF37+SNF42+#REF!+SNF59,"")</f>
        <v/>
      </c>
      <c r="SNG62" s="87" t="str">
        <f>IF(ISNUMBER(outYear),SNG37+SNG42+#REF!+SNG59,"")</f>
        <v/>
      </c>
      <c r="SNH62" s="87" t="str">
        <f>IF(ISNUMBER(outYear),SNH37+SNH42+#REF!+SNH59,"")</f>
        <v/>
      </c>
      <c r="SNI62" s="87" t="str">
        <f>IF(ISNUMBER(outYear),SNI37+SNI42+#REF!+SNI59,"")</f>
        <v/>
      </c>
      <c r="SNJ62" s="87" t="str">
        <f>IF(ISNUMBER(outYear),SNJ37+SNJ42+#REF!+SNJ59,"")</f>
        <v/>
      </c>
      <c r="SNK62" s="87" t="str">
        <f>IF(ISNUMBER(outYear),SNK37+SNK42+#REF!+SNK59,"")</f>
        <v/>
      </c>
      <c r="SNL62" s="87" t="str">
        <f>IF(ISNUMBER(outYear),SNL37+SNL42+#REF!+SNL59,"")</f>
        <v/>
      </c>
      <c r="SNM62" s="87" t="str">
        <f>IF(ISNUMBER(outYear),SNM37+SNM42+#REF!+SNM59,"")</f>
        <v/>
      </c>
      <c r="SNN62" s="87" t="str">
        <f>IF(ISNUMBER(outYear),SNN37+SNN42+#REF!+SNN59,"")</f>
        <v/>
      </c>
      <c r="SNO62" s="87" t="str">
        <f>IF(ISNUMBER(outYear),SNO37+SNO42+#REF!+SNO59,"")</f>
        <v/>
      </c>
      <c r="SNP62" s="87" t="str">
        <f>IF(ISNUMBER(outYear),SNP37+SNP42+#REF!+SNP59,"")</f>
        <v/>
      </c>
      <c r="SNQ62" s="87" t="str">
        <f>IF(ISNUMBER(outYear),SNQ37+SNQ42+#REF!+SNQ59,"")</f>
        <v/>
      </c>
      <c r="SNR62" s="87" t="str">
        <f>IF(ISNUMBER(outYear),SNR37+SNR42+#REF!+SNR59,"")</f>
        <v/>
      </c>
      <c r="SNS62" s="87" t="str">
        <f>IF(ISNUMBER(outYear),SNS37+SNS42+#REF!+SNS59,"")</f>
        <v/>
      </c>
      <c r="SNT62" s="87" t="str">
        <f>IF(ISNUMBER(outYear),SNT37+SNT42+#REF!+SNT59,"")</f>
        <v/>
      </c>
      <c r="SNU62" s="87" t="str">
        <f>IF(ISNUMBER(outYear),SNU37+SNU42+#REF!+SNU59,"")</f>
        <v/>
      </c>
      <c r="SNV62" s="87" t="str">
        <f>IF(ISNUMBER(outYear),SNV37+SNV42+#REF!+SNV59,"")</f>
        <v/>
      </c>
      <c r="SNW62" s="87" t="str">
        <f>IF(ISNUMBER(outYear),SNW37+SNW42+#REF!+SNW59,"")</f>
        <v/>
      </c>
      <c r="SNX62" s="87" t="str">
        <f>IF(ISNUMBER(outYear),SNX37+SNX42+#REF!+SNX59,"")</f>
        <v/>
      </c>
      <c r="SNY62" s="87" t="str">
        <f>IF(ISNUMBER(outYear),SNY37+SNY42+#REF!+SNY59,"")</f>
        <v/>
      </c>
      <c r="SNZ62" s="87" t="str">
        <f>IF(ISNUMBER(outYear),SNZ37+SNZ42+#REF!+SNZ59,"")</f>
        <v/>
      </c>
      <c r="SOA62" s="87" t="str">
        <f>IF(ISNUMBER(outYear),SOA37+SOA42+#REF!+SOA59,"")</f>
        <v/>
      </c>
      <c r="SOB62" s="87" t="str">
        <f>IF(ISNUMBER(outYear),SOB37+SOB42+#REF!+SOB59,"")</f>
        <v/>
      </c>
      <c r="SOC62" s="87" t="str">
        <f>IF(ISNUMBER(outYear),SOC37+SOC42+#REF!+SOC59,"")</f>
        <v/>
      </c>
      <c r="SOD62" s="87" t="str">
        <f>IF(ISNUMBER(outYear),SOD37+SOD42+#REF!+SOD59,"")</f>
        <v/>
      </c>
      <c r="SOE62" s="87" t="str">
        <f>IF(ISNUMBER(outYear),SOE37+SOE42+#REF!+SOE59,"")</f>
        <v/>
      </c>
      <c r="SOF62" s="87" t="str">
        <f>IF(ISNUMBER(outYear),SOF37+SOF42+#REF!+SOF59,"")</f>
        <v/>
      </c>
      <c r="SOG62" s="87" t="str">
        <f>IF(ISNUMBER(outYear),SOG37+SOG42+#REF!+SOG59,"")</f>
        <v/>
      </c>
      <c r="SOH62" s="87" t="str">
        <f>IF(ISNUMBER(outYear),SOH37+SOH42+#REF!+SOH59,"")</f>
        <v/>
      </c>
      <c r="SOI62" s="87" t="str">
        <f>IF(ISNUMBER(outYear),SOI37+SOI42+#REF!+SOI59,"")</f>
        <v/>
      </c>
      <c r="SOJ62" s="87" t="str">
        <f>IF(ISNUMBER(outYear),SOJ37+SOJ42+#REF!+SOJ59,"")</f>
        <v/>
      </c>
      <c r="SOK62" s="87" t="str">
        <f>IF(ISNUMBER(outYear),SOK37+SOK42+#REF!+SOK59,"")</f>
        <v/>
      </c>
      <c r="SOL62" s="87" t="str">
        <f>IF(ISNUMBER(outYear),SOL37+SOL42+#REF!+SOL59,"")</f>
        <v/>
      </c>
      <c r="SOM62" s="87" t="str">
        <f>IF(ISNUMBER(outYear),SOM37+SOM42+#REF!+SOM59,"")</f>
        <v/>
      </c>
      <c r="SON62" s="87" t="str">
        <f>IF(ISNUMBER(outYear),SON37+SON42+#REF!+SON59,"")</f>
        <v/>
      </c>
      <c r="SOO62" s="87" t="str">
        <f>IF(ISNUMBER(outYear),SOO37+SOO42+#REF!+SOO59,"")</f>
        <v/>
      </c>
      <c r="SOP62" s="87" t="str">
        <f>IF(ISNUMBER(outYear),SOP37+SOP42+#REF!+SOP59,"")</f>
        <v/>
      </c>
      <c r="SOQ62" s="87" t="str">
        <f>IF(ISNUMBER(outYear),SOQ37+SOQ42+#REF!+SOQ59,"")</f>
        <v/>
      </c>
      <c r="SOR62" s="87" t="str">
        <f>IF(ISNUMBER(outYear),SOR37+SOR42+#REF!+SOR59,"")</f>
        <v/>
      </c>
      <c r="SOS62" s="87" t="str">
        <f>IF(ISNUMBER(outYear),SOS37+SOS42+#REF!+SOS59,"")</f>
        <v/>
      </c>
      <c r="SOT62" s="87" t="str">
        <f>IF(ISNUMBER(outYear),SOT37+SOT42+#REF!+SOT59,"")</f>
        <v/>
      </c>
      <c r="SOU62" s="87" t="str">
        <f>IF(ISNUMBER(outYear),SOU37+SOU42+#REF!+SOU59,"")</f>
        <v/>
      </c>
      <c r="SOV62" s="87" t="str">
        <f>IF(ISNUMBER(outYear),SOV37+SOV42+#REF!+SOV59,"")</f>
        <v/>
      </c>
      <c r="SOW62" s="87" t="str">
        <f>IF(ISNUMBER(outYear),SOW37+SOW42+#REF!+SOW59,"")</f>
        <v/>
      </c>
      <c r="SOX62" s="87" t="str">
        <f>IF(ISNUMBER(outYear),SOX37+SOX42+#REF!+SOX59,"")</f>
        <v/>
      </c>
      <c r="SOY62" s="87" t="str">
        <f>IF(ISNUMBER(outYear),SOY37+SOY42+#REF!+SOY59,"")</f>
        <v/>
      </c>
      <c r="SOZ62" s="87" t="str">
        <f>IF(ISNUMBER(outYear),SOZ37+SOZ42+#REF!+SOZ59,"")</f>
        <v/>
      </c>
      <c r="SPA62" s="87" t="str">
        <f>IF(ISNUMBER(outYear),SPA37+SPA42+#REF!+SPA59,"")</f>
        <v/>
      </c>
      <c r="SPB62" s="87" t="str">
        <f>IF(ISNUMBER(outYear),SPB37+SPB42+#REF!+SPB59,"")</f>
        <v/>
      </c>
      <c r="SPC62" s="87" t="str">
        <f>IF(ISNUMBER(outYear),SPC37+SPC42+#REF!+SPC59,"")</f>
        <v/>
      </c>
      <c r="SPD62" s="87" t="str">
        <f>IF(ISNUMBER(outYear),SPD37+SPD42+#REF!+SPD59,"")</f>
        <v/>
      </c>
      <c r="SPE62" s="87" t="str">
        <f>IF(ISNUMBER(outYear),SPE37+SPE42+#REF!+SPE59,"")</f>
        <v/>
      </c>
      <c r="SPF62" s="87" t="str">
        <f>IF(ISNUMBER(outYear),SPF37+SPF42+#REF!+SPF59,"")</f>
        <v/>
      </c>
      <c r="SPG62" s="87" t="str">
        <f>IF(ISNUMBER(outYear),SPG37+SPG42+#REF!+SPG59,"")</f>
        <v/>
      </c>
      <c r="SPH62" s="87" t="str">
        <f>IF(ISNUMBER(outYear),SPH37+SPH42+#REF!+SPH59,"")</f>
        <v/>
      </c>
      <c r="SPI62" s="87" t="str">
        <f>IF(ISNUMBER(outYear),SPI37+SPI42+#REF!+SPI59,"")</f>
        <v/>
      </c>
      <c r="SPJ62" s="87" t="str">
        <f>IF(ISNUMBER(outYear),SPJ37+SPJ42+#REF!+SPJ59,"")</f>
        <v/>
      </c>
      <c r="SPK62" s="87" t="str">
        <f>IF(ISNUMBER(outYear),SPK37+SPK42+#REF!+SPK59,"")</f>
        <v/>
      </c>
      <c r="SPL62" s="87" t="str">
        <f>IF(ISNUMBER(outYear),SPL37+SPL42+#REF!+SPL59,"")</f>
        <v/>
      </c>
      <c r="SPM62" s="87" t="str">
        <f>IF(ISNUMBER(outYear),SPM37+SPM42+#REF!+SPM59,"")</f>
        <v/>
      </c>
      <c r="SPN62" s="87" t="str">
        <f>IF(ISNUMBER(outYear),SPN37+SPN42+#REF!+SPN59,"")</f>
        <v/>
      </c>
      <c r="SPO62" s="87" t="str">
        <f>IF(ISNUMBER(outYear),SPO37+SPO42+#REF!+SPO59,"")</f>
        <v/>
      </c>
      <c r="SPP62" s="87" t="str">
        <f>IF(ISNUMBER(outYear),SPP37+SPP42+#REF!+SPP59,"")</f>
        <v/>
      </c>
      <c r="SPQ62" s="87" t="str">
        <f>IF(ISNUMBER(outYear),SPQ37+SPQ42+#REF!+SPQ59,"")</f>
        <v/>
      </c>
      <c r="SPR62" s="87" t="str">
        <f>IF(ISNUMBER(outYear),SPR37+SPR42+#REF!+SPR59,"")</f>
        <v/>
      </c>
      <c r="SPS62" s="87" t="str">
        <f>IF(ISNUMBER(outYear),SPS37+SPS42+#REF!+SPS59,"")</f>
        <v/>
      </c>
      <c r="SPT62" s="87" t="str">
        <f>IF(ISNUMBER(outYear),SPT37+SPT42+#REF!+SPT59,"")</f>
        <v/>
      </c>
      <c r="SPU62" s="87" t="str">
        <f>IF(ISNUMBER(outYear),SPU37+SPU42+#REF!+SPU59,"")</f>
        <v/>
      </c>
      <c r="SPV62" s="87" t="str">
        <f>IF(ISNUMBER(outYear),SPV37+SPV42+#REF!+SPV59,"")</f>
        <v/>
      </c>
      <c r="SPW62" s="87" t="str">
        <f>IF(ISNUMBER(outYear),SPW37+SPW42+#REF!+SPW59,"")</f>
        <v/>
      </c>
      <c r="SPX62" s="87" t="str">
        <f>IF(ISNUMBER(outYear),SPX37+SPX42+#REF!+SPX59,"")</f>
        <v/>
      </c>
      <c r="SPY62" s="87" t="str">
        <f>IF(ISNUMBER(outYear),SPY37+SPY42+#REF!+SPY59,"")</f>
        <v/>
      </c>
      <c r="SPZ62" s="87" t="str">
        <f>IF(ISNUMBER(outYear),SPZ37+SPZ42+#REF!+SPZ59,"")</f>
        <v/>
      </c>
      <c r="SQA62" s="87" t="str">
        <f>IF(ISNUMBER(outYear),SQA37+SQA42+#REF!+SQA59,"")</f>
        <v/>
      </c>
      <c r="SQB62" s="87" t="str">
        <f>IF(ISNUMBER(outYear),SQB37+SQB42+#REF!+SQB59,"")</f>
        <v/>
      </c>
      <c r="SQC62" s="87" t="str">
        <f>IF(ISNUMBER(outYear),SQC37+SQC42+#REF!+SQC59,"")</f>
        <v/>
      </c>
      <c r="SQD62" s="87" t="str">
        <f>IF(ISNUMBER(outYear),SQD37+SQD42+#REF!+SQD59,"")</f>
        <v/>
      </c>
      <c r="SQE62" s="87" t="str">
        <f>IF(ISNUMBER(outYear),SQE37+SQE42+#REF!+SQE59,"")</f>
        <v/>
      </c>
      <c r="SQF62" s="87" t="str">
        <f>IF(ISNUMBER(outYear),SQF37+SQF42+#REF!+SQF59,"")</f>
        <v/>
      </c>
      <c r="SQG62" s="87" t="str">
        <f>IF(ISNUMBER(outYear),SQG37+SQG42+#REF!+SQG59,"")</f>
        <v/>
      </c>
      <c r="SQH62" s="87" t="str">
        <f>IF(ISNUMBER(outYear),SQH37+SQH42+#REF!+SQH59,"")</f>
        <v/>
      </c>
      <c r="SQI62" s="87" t="str">
        <f>IF(ISNUMBER(outYear),SQI37+SQI42+#REF!+SQI59,"")</f>
        <v/>
      </c>
      <c r="SQJ62" s="87" t="str">
        <f>IF(ISNUMBER(outYear),SQJ37+SQJ42+#REF!+SQJ59,"")</f>
        <v/>
      </c>
      <c r="SQK62" s="87" t="str">
        <f>IF(ISNUMBER(outYear),SQK37+SQK42+#REF!+SQK59,"")</f>
        <v/>
      </c>
      <c r="SQL62" s="87" t="str">
        <f>IF(ISNUMBER(outYear),SQL37+SQL42+#REF!+SQL59,"")</f>
        <v/>
      </c>
      <c r="SQM62" s="87" t="str">
        <f>IF(ISNUMBER(outYear),SQM37+SQM42+#REF!+SQM59,"")</f>
        <v/>
      </c>
      <c r="SQN62" s="87" t="str">
        <f>IF(ISNUMBER(outYear),SQN37+SQN42+#REF!+SQN59,"")</f>
        <v/>
      </c>
      <c r="SQO62" s="87" t="str">
        <f>IF(ISNUMBER(outYear),SQO37+SQO42+#REF!+SQO59,"")</f>
        <v/>
      </c>
      <c r="SQP62" s="87" t="str">
        <f>IF(ISNUMBER(outYear),SQP37+SQP42+#REF!+SQP59,"")</f>
        <v/>
      </c>
      <c r="SQQ62" s="87" t="str">
        <f>IF(ISNUMBER(outYear),SQQ37+SQQ42+#REF!+SQQ59,"")</f>
        <v/>
      </c>
      <c r="SQR62" s="87" t="str">
        <f>IF(ISNUMBER(outYear),SQR37+SQR42+#REF!+SQR59,"")</f>
        <v/>
      </c>
      <c r="SQS62" s="87" t="str">
        <f>IF(ISNUMBER(outYear),SQS37+SQS42+#REF!+SQS59,"")</f>
        <v/>
      </c>
      <c r="SQT62" s="87" t="str">
        <f>IF(ISNUMBER(outYear),SQT37+SQT42+#REF!+SQT59,"")</f>
        <v/>
      </c>
      <c r="SQU62" s="87" t="str">
        <f>IF(ISNUMBER(outYear),SQU37+SQU42+#REF!+SQU59,"")</f>
        <v/>
      </c>
      <c r="SQV62" s="87" t="str">
        <f>IF(ISNUMBER(outYear),SQV37+SQV42+#REF!+SQV59,"")</f>
        <v/>
      </c>
      <c r="SQW62" s="87" t="str">
        <f>IF(ISNUMBER(outYear),SQW37+SQW42+#REF!+SQW59,"")</f>
        <v/>
      </c>
      <c r="SQX62" s="87" t="str">
        <f>IF(ISNUMBER(outYear),SQX37+SQX42+#REF!+SQX59,"")</f>
        <v/>
      </c>
      <c r="SQY62" s="87" t="str">
        <f>IF(ISNUMBER(outYear),SQY37+SQY42+#REF!+SQY59,"")</f>
        <v/>
      </c>
      <c r="SQZ62" s="87" t="str">
        <f>IF(ISNUMBER(outYear),SQZ37+SQZ42+#REF!+SQZ59,"")</f>
        <v/>
      </c>
      <c r="SRA62" s="87" t="str">
        <f>IF(ISNUMBER(outYear),SRA37+SRA42+#REF!+SRA59,"")</f>
        <v/>
      </c>
      <c r="SRB62" s="87" t="str">
        <f>IF(ISNUMBER(outYear),SRB37+SRB42+#REF!+SRB59,"")</f>
        <v/>
      </c>
      <c r="SRC62" s="87" t="str">
        <f>IF(ISNUMBER(outYear),SRC37+SRC42+#REF!+SRC59,"")</f>
        <v/>
      </c>
      <c r="SRD62" s="87" t="str">
        <f>IF(ISNUMBER(outYear),SRD37+SRD42+#REF!+SRD59,"")</f>
        <v/>
      </c>
      <c r="SRE62" s="87" t="str">
        <f>IF(ISNUMBER(outYear),SRE37+SRE42+#REF!+SRE59,"")</f>
        <v/>
      </c>
      <c r="SRF62" s="87" t="str">
        <f>IF(ISNUMBER(outYear),SRF37+SRF42+#REF!+SRF59,"")</f>
        <v/>
      </c>
      <c r="SRG62" s="87" t="str">
        <f>IF(ISNUMBER(outYear),SRG37+SRG42+#REF!+SRG59,"")</f>
        <v/>
      </c>
      <c r="SRH62" s="87" t="str">
        <f>IF(ISNUMBER(outYear),SRH37+SRH42+#REF!+SRH59,"")</f>
        <v/>
      </c>
      <c r="SRI62" s="87" t="str">
        <f>IF(ISNUMBER(outYear),SRI37+SRI42+#REF!+SRI59,"")</f>
        <v/>
      </c>
      <c r="SRJ62" s="87" t="str">
        <f>IF(ISNUMBER(outYear),SRJ37+SRJ42+#REF!+SRJ59,"")</f>
        <v/>
      </c>
      <c r="SRK62" s="87" t="str">
        <f>IF(ISNUMBER(outYear),SRK37+SRK42+#REF!+SRK59,"")</f>
        <v/>
      </c>
      <c r="SRL62" s="87" t="str">
        <f>IF(ISNUMBER(outYear),SRL37+SRL42+#REF!+SRL59,"")</f>
        <v/>
      </c>
      <c r="SRM62" s="87" t="str">
        <f>IF(ISNUMBER(outYear),SRM37+SRM42+#REF!+SRM59,"")</f>
        <v/>
      </c>
      <c r="SRN62" s="87" t="str">
        <f>IF(ISNUMBER(outYear),SRN37+SRN42+#REF!+SRN59,"")</f>
        <v/>
      </c>
      <c r="SRO62" s="87" t="str">
        <f>IF(ISNUMBER(outYear),SRO37+SRO42+#REF!+SRO59,"")</f>
        <v/>
      </c>
      <c r="SRP62" s="87" t="str">
        <f>IF(ISNUMBER(outYear),SRP37+SRP42+#REF!+SRP59,"")</f>
        <v/>
      </c>
      <c r="SRQ62" s="87" t="str">
        <f>IF(ISNUMBER(outYear),SRQ37+SRQ42+#REF!+SRQ59,"")</f>
        <v/>
      </c>
      <c r="SRR62" s="87" t="str">
        <f>IF(ISNUMBER(outYear),SRR37+SRR42+#REF!+SRR59,"")</f>
        <v/>
      </c>
      <c r="SRS62" s="87" t="str">
        <f>IF(ISNUMBER(outYear),SRS37+SRS42+#REF!+SRS59,"")</f>
        <v/>
      </c>
      <c r="SRT62" s="87" t="str">
        <f>IF(ISNUMBER(outYear),SRT37+SRT42+#REF!+SRT59,"")</f>
        <v/>
      </c>
      <c r="SRU62" s="87" t="str">
        <f>IF(ISNUMBER(outYear),SRU37+SRU42+#REF!+SRU59,"")</f>
        <v/>
      </c>
      <c r="SRV62" s="87" t="str">
        <f>IF(ISNUMBER(outYear),SRV37+SRV42+#REF!+SRV59,"")</f>
        <v/>
      </c>
      <c r="SRW62" s="87" t="str">
        <f>IF(ISNUMBER(outYear),SRW37+SRW42+#REF!+SRW59,"")</f>
        <v/>
      </c>
      <c r="SRX62" s="87" t="str">
        <f>IF(ISNUMBER(outYear),SRX37+SRX42+#REF!+SRX59,"")</f>
        <v/>
      </c>
      <c r="SRY62" s="87" t="str">
        <f>IF(ISNUMBER(outYear),SRY37+SRY42+#REF!+SRY59,"")</f>
        <v/>
      </c>
      <c r="SRZ62" s="87" t="str">
        <f>IF(ISNUMBER(outYear),SRZ37+SRZ42+#REF!+SRZ59,"")</f>
        <v/>
      </c>
      <c r="SSA62" s="87" t="str">
        <f>IF(ISNUMBER(outYear),SSA37+SSA42+#REF!+SSA59,"")</f>
        <v/>
      </c>
      <c r="SSB62" s="87" t="str">
        <f>IF(ISNUMBER(outYear),SSB37+SSB42+#REF!+SSB59,"")</f>
        <v/>
      </c>
      <c r="SSC62" s="87" t="str">
        <f>IF(ISNUMBER(outYear),SSC37+SSC42+#REF!+SSC59,"")</f>
        <v/>
      </c>
      <c r="SSD62" s="87" t="str">
        <f>IF(ISNUMBER(outYear),SSD37+SSD42+#REF!+SSD59,"")</f>
        <v/>
      </c>
      <c r="SSE62" s="87" t="str">
        <f>IF(ISNUMBER(outYear),SSE37+SSE42+#REF!+SSE59,"")</f>
        <v/>
      </c>
      <c r="SSF62" s="87" t="str">
        <f>IF(ISNUMBER(outYear),SSF37+SSF42+#REF!+SSF59,"")</f>
        <v/>
      </c>
      <c r="SSG62" s="87" t="str">
        <f>IF(ISNUMBER(outYear),SSG37+SSG42+#REF!+SSG59,"")</f>
        <v/>
      </c>
      <c r="SSH62" s="87" t="str">
        <f>IF(ISNUMBER(outYear),SSH37+SSH42+#REF!+SSH59,"")</f>
        <v/>
      </c>
      <c r="SSI62" s="87" t="str">
        <f>IF(ISNUMBER(outYear),SSI37+SSI42+#REF!+SSI59,"")</f>
        <v/>
      </c>
      <c r="SSJ62" s="87" t="str">
        <f>IF(ISNUMBER(outYear),SSJ37+SSJ42+#REF!+SSJ59,"")</f>
        <v/>
      </c>
      <c r="SSK62" s="87" t="str">
        <f>IF(ISNUMBER(outYear),SSK37+SSK42+#REF!+SSK59,"")</f>
        <v/>
      </c>
      <c r="SSL62" s="87" t="str">
        <f>IF(ISNUMBER(outYear),SSL37+SSL42+#REF!+SSL59,"")</f>
        <v/>
      </c>
      <c r="SSM62" s="87" t="str">
        <f>IF(ISNUMBER(outYear),SSM37+SSM42+#REF!+SSM59,"")</f>
        <v/>
      </c>
      <c r="SSN62" s="87" t="str">
        <f>IF(ISNUMBER(outYear),SSN37+SSN42+#REF!+SSN59,"")</f>
        <v/>
      </c>
      <c r="SSO62" s="87" t="str">
        <f>IF(ISNUMBER(outYear),SSO37+SSO42+#REF!+SSO59,"")</f>
        <v/>
      </c>
      <c r="SSP62" s="87" t="str">
        <f>IF(ISNUMBER(outYear),SSP37+SSP42+#REF!+SSP59,"")</f>
        <v/>
      </c>
      <c r="SSQ62" s="87" t="str">
        <f>IF(ISNUMBER(outYear),SSQ37+SSQ42+#REF!+SSQ59,"")</f>
        <v/>
      </c>
      <c r="SSR62" s="87" t="str">
        <f>IF(ISNUMBER(outYear),SSR37+SSR42+#REF!+SSR59,"")</f>
        <v/>
      </c>
      <c r="SSS62" s="87" t="str">
        <f>IF(ISNUMBER(outYear),SSS37+SSS42+#REF!+SSS59,"")</f>
        <v/>
      </c>
      <c r="SST62" s="87" t="str">
        <f>IF(ISNUMBER(outYear),SST37+SST42+#REF!+SST59,"")</f>
        <v/>
      </c>
      <c r="SSU62" s="87" t="str">
        <f>IF(ISNUMBER(outYear),SSU37+SSU42+#REF!+SSU59,"")</f>
        <v/>
      </c>
      <c r="SSV62" s="87" t="str">
        <f>IF(ISNUMBER(outYear),SSV37+SSV42+#REF!+SSV59,"")</f>
        <v/>
      </c>
      <c r="SSW62" s="87" t="str">
        <f>IF(ISNUMBER(outYear),SSW37+SSW42+#REF!+SSW59,"")</f>
        <v/>
      </c>
      <c r="SSX62" s="87" t="str">
        <f>IF(ISNUMBER(outYear),SSX37+SSX42+#REF!+SSX59,"")</f>
        <v/>
      </c>
      <c r="SSY62" s="87" t="str">
        <f>IF(ISNUMBER(outYear),SSY37+SSY42+#REF!+SSY59,"")</f>
        <v/>
      </c>
      <c r="SSZ62" s="87" t="str">
        <f>IF(ISNUMBER(outYear),SSZ37+SSZ42+#REF!+SSZ59,"")</f>
        <v/>
      </c>
      <c r="STA62" s="87" t="str">
        <f>IF(ISNUMBER(outYear),STA37+STA42+#REF!+STA59,"")</f>
        <v/>
      </c>
      <c r="STB62" s="87" t="str">
        <f>IF(ISNUMBER(outYear),STB37+STB42+#REF!+STB59,"")</f>
        <v/>
      </c>
      <c r="STC62" s="87" t="str">
        <f>IF(ISNUMBER(outYear),STC37+STC42+#REF!+STC59,"")</f>
        <v/>
      </c>
      <c r="STD62" s="87" t="str">
        <f>IF(ISNUMBER(outYear),STD37+STD42+#REF!+STD59,"")</f>
        <v/>
      </c>
      <c r="STE62" s="87" t="str">
        <f>IF(ISNUMBER(outYear),STE37+STE42+#REF!+STE59,"")</f>
        <v/>
      </c>
      <c r="STF62" s="87" t="str">
        <f>IF(ISNUMBER(outYear),STF37+STF42+#REF!+STF59,"")</f>
        <v/>
      </c>
      <c r="STG62" s="87" t="str">
        <f>IF(ISNUMBER(outYear),STG37+STG42+#REF!+STG59,"")</f>
        <v/>
      </c>
      <c r="STH62" s="87" t="str">
        <f>IF(ISNUMBER(outYear),STH37+STH42+#REF!+STH59,"")</f>
        <v/>
      </c>
      <c r="STI62" s="87" t="str">
        <f>IF(ISNUMBER(outYear),STI37+STI42+#REF!+STI59,"")</f>
        <v/>
      </c>
      <c r="STJ62" s="87" t="str">
        <f>IF(ISNUMBER(outYear),STJ37+STJ42+#REF!+STJ59,"")</f>
        <v/>
      </c>
      <c r="STK62" s="87" t="str">
        <f>IF(ISNUMBER(outYear),STK37+STK42+#REF!+STK59,"")</f>
        <v/>
      </c>
      <c r="STL62" s="87" t="str">
        <f>IF(ISNUMBER(outYear),STL37+STL42+#REF!+STL59,"")</f>
        <v/>
      </c>
      <c r="STM62" s="87" t="str">
        <f>IF(ISNUMBER(outYear),STM37+STM42+#REF!+STM59,"")</f>
        <v/>
      </c>
      <c r="STN62" s="87" t="str">
        <f>IF(ISNUMBER(outYear),STN37+STN42+#REF!+STN59,"")</f>
        <v/>
      </c>
      <c r="STO62" s="87" t="str">
        <f>IF(ISNUMBER(outYear),STO37+STO42+#REF!+STO59,"")</f>
        <v/>
      </c>
      <c r="STP62" s="87" t="str">
        <f>IF(ISNUMBER(outYear),STP37+STP42+#REF!+STP59,"")</f>
        <v/>
      </c>
      <c r="STQ62" s="87" t="str">
        <f>IF(ISNUMBER(outYear),STQ37+STQ42+#REF!+STQ59,"")</f>
        <v/>
      </c>
      <c r="STR62" s="87" t="str">
        <f>IF(ISNUMBER(outYear),STR37+STR42+#REF!+STR59,"")</f>
        <v/>
      </c>
      <c r="STS62" s="87" t="str">
        <f>IF(ISNUMBER(outYear),STS37+STS42+#REF!+STS59,"")</f>
        <v/>
      </c>
      <c r="STT62" s="87" t="str">
        <f>IF(ISNUMBER(outYear),STT37+STT42+#REF!+STT59,"")</f>
        <v/>
      </c>
      <c r="STU62" s="87" t="str">
        <f>IF(ISNUMBER(outYear),STU37+STU42+#REF!+STU59,"")</f>
        <v/>
      </c>
      <c r="STV62" s="87" t="str">
        <f>IF(ISNUMBER(outYear),STV37+STV42+#REF!+STV59,"")</f>
        <v/>
      </c>
      <c r="STW62" s="87" t="str">
        <f>IF(ISNUMBER(outYear),STW37+STW42+#REF!+STW59,"")</f>
        <v/>
      </c>
      <c r="STX62" s="87" t="str">
        <f>IF(ISNUMBER(outYear),STX37+STX42+#REF!+STX59,"")</f>
        <v/>
      </c>
      <c r="STY62" s="87" t="str">
        <f>IF(ISNUMBER(outYear),STY37+STY42+#REF!+STY59,"")</f>
        <v/>
      </c>
      <c r="STZ62" s="87" t="str">
        <f>IF(ISNUMBER(outYear),STZ37+STZ42+#REF!+STZ59,"")</f>
        <v/>
      </c>
      <c r="SUA62" s="87" t="str">
        <f>IF(ISNUMBER(outYear),SUA37+SUA42+#REF!+SUA59,"")</f>
        <v/>
      </c>
      <c r="SUB62" s="87" t="str">
        <f>IF(ISNUMBER(outYear),SUB37+SUB42+#REF!+SUB59,"")</f>
        <v/>
      </c>
      <c r="SUC62" s="87" t="str">
        <f>IF(ISNUMBER(outYear),SUC37+SUC42+#REF!+SUC59,"")</f>
        <v/>
      </c>
      <c r="SUD62" s="87" t="str">
        <f>IF(ISNUMBER(outYear),SUD37+SUD42+#REF!+SUD59,"")</f>
        <v/>
      </c>
      <c r="SUE62" s="87" t="str">
        <f>IF(ISNUMBER(outYear),SUE37+SUE42+#REF!+SUE59,"")</f>
        <v/>
      </c>
      <c r="SUF62" s="87" t="str">
        <f>IF(ISNUMBER(outYear),SUF37+SUF42+#REF!+SUF59,"")</f>
        <v/>
      </c>
      <c r="SUG62" s="87" t="str">
        <f>IF(ISNUMBER(outYear),SUG37+SUG42+#REF!+SUG59,"")</f>
        <v/>
      </c>
      <c r="SUH62" s="87" t="str">
        <f>IF(ISNUMBER(outYear),SUH37+SUH42+#REF!+SUH59,"")</f>
        <v/>
      </c>
      <c r="SUI62" s="87" t="str">
        <f>IF(ISNUMBER(outYear),SUI37+SUI42+#REF!+SUI59,"")</f>
        <v/>
      </c>
      <c r="SUJ62" s="87" t="str">
        <f>IF(ISNUMBER(outYear),SUJ37+SUJ42+#REF!+SUJ59,"")</f>
        <v/>
      </c>
      <c r="SUK62" s="87" t="str">
        <f>IF(ISNUMBER(outYear),SUK37+SUK42+#REF!+SUK59,"")</f>
        <v/>
      </c>
      <c r="SUL62" s="87" t="str">
        <f>IF(ISNUMBER(outYear),SUL37+SUL42+#REF!+SUL59,"")</f>
        <v/>
      </c>
      <c r="SUM62" s="87" t="str">
        <f>IF(ISNUMBER(outYear),SUM37+SUM42+#REF!+SUM59,"")</f>
        <v/>
      </c>
      <c r="SUN62" s="87" t="str">
        <f>IF(ISNUMBER(outYear),SUN37+SUN42+#REF!+SUN59,"")</f>
        <v/>
      </c>
      <c r="SUO62" s="87" t="str">
        <f>IF(ISNUMBER(outYear),SUO37+SUO42+#REF!+SUO59,"")</f>
        <v/>
      </c>
      <c r="SUP62" s="87" t="str">
        <f>IF(ISNUMBER(outYear),SUP37+SUP42+#REF!+SUP59,"")</f>
        <v/>
      </c>
      <c r="SUQ62" s="87" t="str">
        <f>IF(ISNUMBER(outYear),SUQ37+SUQ42+#REF!+SUQ59,"")</f>
        <v/>
      </c>
      <c r="SUR62" s="87" t="str">
        <f>IF(ISNUMBER(outYear),SUR37+SUR42+#REF!+SUR59,"")</f>
        <v/>
      </c>
      <c r="SUS62" s="87" t="str">
        <f>IF(ISNUMBER(outYear),SUS37+SUS42+#REF!+SUS59,"")</f>
        <v/>
      </c>
      <c r="SUT62" s="87" t="str">
        <f>IF(ISNUMBER(outYear),SUT37+SUT42+#REF!+SUT59,"")</f>
        <v/>
      </c>
      <c r="SUU62" s="87" t="str">
        <f>IF(ISNUMBER(outYear),SUU37+SUU42+#REF!+SUU59,"")</f>
        <v/>
      </c>
      <c r="SUV62" s="87" t="str">
        <f>IF(ISNUMBER(outYear),SUV37+SUV42+#REF!+SUV59,"")</f>
        <v/>
      </c>
      <c r="SUW62" s="87" t="str">
        <f>IF(ISNUMBER(outYear),SUW37+SUW42+#REF!+SUW59,"")</f>
        <v/>
      </c>
      <c r="SUX62" s="87" t="str">
        <f>IF(ISNUMBER(outYear),SUX37+SUX42+#REF!+SUX59,"")</f>
        <v/>
      </c>
      <c r="SUY62" s="87" t="str">
        <f>IF(ISNUMBER(outYear),SUY37+SUY42+#REF!+SUY59,"")</f>
        <v/>
      </c>
      <c r="SUZ62" s="87" t="str">
        <f>IF(ISNUMBER(outYear),SUZ37+SUZ42+#REF!+SUZ59,"")</f>
        <v/>
      </c>
      <c r="SVA62" s="87" t="str">
        <f>IF(ISNUMBER(outYear),SVA37+SVA42+#REF!+SVA59,"")</f>
        <v/>
      </c>
      <c r="SVB62" s="87" t="str">
        <f>IF(ISNUMBER(outYear),SVB37+SVB42+#REF!+SVB59,"")</f>
        <v/>
      </c>
      <c r="SVC62" s="87" t="str">
        <f>IF(ISNUMBER(outYear),SVC37+SVC42+#REF!+SVC59,"")</f>
        <v/>
      </c>
      <c r="SVD62" s="87" t="str">
        <f>IF(ISNUMBER(outYear),SVD37+SVD42+#REF!+SVD59,"")</f>
        <v/>
      </c>
      <c r="SVE62" s="87" t="str">
        <f>IF(ISNUMBER(outYear),SVE37+SVE42+#REF!+SVE59,"")</f>
        <v/>
      </c>
      <c r="SVF62" s="87" t="str">
        <f>IF(ISNUMBER(outYear),SVF37+SVF42+#REF!+SVF59,"")</f>
        <v/>
      </c>
      <c r="SVG62" s="87" t="str">
        <f>IF(ISNUMBER(outYear),SVG37+SVG42+#REF!+SVG59,"")</f>
        <v/>
      </c>
      <c r="SVH62" s="87" t="str">
        <f>IF(ISNUMBER(outYear),SVH37+SVH42+#REF!+SVH59,"")</f>
        <v/>
      </c>
      <c r="SVI62" s="87" t="str">
        <f>IF(ISNUMBER(outYear),SVI37+SVI42+#REF!+SVI59,"")</f>
        <v/>
      </c>
      <c r="SVJ62" s="87" t="str">
        <f>IF(ISNUMBER(outYear),SVJ37+SVJ42+#REF!+SVJ59,"")</f>
        <v/>
      </c>
      <c r="SVK62" s="87" t="str">
        <f>IF(ISNUMBER(outYear),SVK37+SVK42+#REF!+SVK59,"")</f>
        <v/>
      </c>
      <c r="SVL62" s="87" t="str">
        <f>IF(ISNUMBER(outYear),SVL37+SVL42+#REF!+SVL59,"")</f>
        <v/>
      </c>
      <c r="SVM62" s="87" t="str">
        <f>IF(ISNUMBER(outYear),SVM37+SVM42+#REF!+SVM59,"")</f>
        <v/>
      </c>
      <c r="SVN62" s="87" t="str">
        <f>IF(ISNUMBER(outYear),SVN37+SVN42+#REF!+SVN59,"")</f>
        <v/>
      </c>
      <c r="SVO62" s="87" t="str">
        <f>IF(ISNUMBER(outYear),SVO37+SVO42+#REF!+SVO59,"")</f>
        <v/>
      </c>
      <c r="SVP62" s="87" t="str">
        <f>IF(ISNUMBER(outYear),SVP37+SVP42+#REF!+SVP59,"")</f>
        <v/>
      </c>
      <c r="SVQ62" s="87" t="str">
        <f>IF(ISNUMBER(outYear),SVQ37+SVQ42+#REF!+SVQ59,"")</f>
        <v/>
      </c>
      <c r="SVR62" s="87" t="str">
        <f>IF(ISNUMBER(outYear),SVR37+SVR42+#REF!+SVR59,"")</f>
        <v/>
      </c>
      <c r="SVS62" s="87" t="str">
        <f>IF(ISNUMBER(outYear),SVS37+SVS42+#REF!+SVS59,"")</f>
        <v/>
      </c>
      <c r="SVT62" s="87" t="str">
        <f>IF(ISNUMBER(outYear),SVT37+SVT42+#REF!+SVT59,"")</f>
        <v/>
      </c>
      <c r="SVU62" s="87" t="str">
        <f>IF(ISNUMBER(outYear),SVU37+SVU42+#REF!+SVU59,"")</f>
        <v/>
      </c>
      <c r="SVV62" s="87" t="str">
        <f>IF(ISNUMBER(outYear),SVV37+SVV42+#REF!+SVV59,"")</f>
        <v/>
      </c>
      <c r="SVW62" s="87" t="str">
        <f>IF(ISNUMBER(outYear),SVW37+SVW42+#REF!+SVW59,"")</f>
        <v/>
      </c>
      <c r="SVX62" s="87" t="str">
        <f>IF(ISNUMBER(outYear),SVX37+SVX42+#REF!+SVX59,"")</f>
        <v/>
      </c>
      <c r="SVY62" s="87" t="str">
        <f>IF(ISNUMBER(outYear),SVY37+SVY42+#REF!+SVY59,"")</f>
        <v/>
      </c>
      <c r="SVZ62" s="87" t="str">
        <f>IF(ISNUMBER(outYear),SVZ37+SVZ42+#REF!+SVZ59,"")</f>
        <v/>
      </c>
      <c r="SWA62" s="87" t="str">
        <f>IF(ISNUMBER(outYear),SWA37+SWA42+#REF!+SWA59,"")</f>
        <v/>
      </c>
      <c r="SWB62" s="87" t="str">
        <f>IF(ISNUMBER(outYear),SWB37+SWB42+#REF!+SWB59,"")</f>
        <v/>
      </c>
      <c r="SWC62" s="87" t="str">
        <f>IF(ISNUMBER(outYear),SWC37+SWC42+#REF!+SWC59,"")</f>
        <v/>
      </c>
      <c r="SWD62" s="87" t="str">
        <f>IF(ISNUMBER(outYear),SWD37+SWD42+#REF!+SWD59,"")</f>
        <v/>
      </c>
      <c r="SWE62" s="87" t="str">
        <f>IF(ISNUMBER(outYear),SWE37+SWE42+#REF!+SWE59,"")</f>
        <v/>
      </c>
      <c r="SWF62" s="87" t="str">
        <f>IF(ISNUMBER(outYear),SWF37+SWF42+#REF!+SWF59,"")</f>
        <v/>
      </c>
      <c r="SWG62" s="87" t="str">
        <f>IF(ISNUMBER(outYear),SWG37+SWG42+#REF!+SWG59,"")</f>
        <v/>
      </c>
      <c r="SWH62" s="87" t="str">
        <f>IF(ISNUMBER(outYear),SWH37+SWH42+#REF!+SWH59,"")</f>
        <v/>
      </c>
      <c r="SWI62" s="87" t="str">
        <f>IF(ISNUMBER(outYear),SWI37+SWI42+#REF!+SWI59,"")</f>
        <v/>
      </c>
      <c r="SWJ62" s="87" t="str">
        <f>IF(ISNUMBER(outYear),SWJ37+SWJ42+#REF!+SWJ59,"")</f>
        <v/>
      </c>
      <c r="SWK62" s="87" t="str">
        <f>IF(ISNUMBER(outYear),SWK37+SWK42+#REF!+SWK59,"")</f>
        <v/>
      </c>
      <c r="SWL62" s="87" t="str">
        <f>IF(ISNUMBER(outYear),SWL37+SWL42+#REF!+SWL59,"")</f>
        <v/>
      </c>
      <c r="SWM62" s="87" t="str">
        <f>IF(ISNUMBER(outYear),SWM37+SWM42+#REF!+SWM59,"")</f>
        <v/>
      </c>
      <c r="SWN62" s="87" t="str">
        <f>IF(ISNUMBER(outYear),SWN37+SWN42+#REF!+SWN59,"")</f>
        <v/>
      </c>
      <c r="SWO62" s="87" t="str">
        <f>IF(ISNUMBER(outYear),SWO37+SWO42+#REF!+SWO59,"")</f>
        <v/>
      </c>
      <c r="SWP62" s="87" t="str">
        <f>IF(ISNUMBER(outYear),SWP37+SWP42+#REF!+SWP59,"")</f>
        <v/>
      </c>
      <c r="SWQ62" s="87" t="str">
        <f>IF(ISNUMBER(outYear),SWQ37+SWQ42+#REF!+SWQ59,"")</f>
        <v/>
      </c>
      <c r="SWR62" s="87" t="str">
        <f>IF(ISNUMBER(outYear),SWR37+SWR42+#REF!+SWR59,"")</f>
        <v/>
      </c>
      <c r="SWS62" s="87" t="str">
        <f>IF(ISNUMBER(outYear),SWS37+SWS42+#REF!+SWS59,"")</f>
        <v/>
      </c>
      <c r="SWT62" s="87" t="str">
        <f>IF(ISNUMBER(outYear),SWT37+SWT42+#REF!+SWT59,"")</f>
        <v/>
      </c>
      <c r="SWU62" s="87" t="str">
        <f>IF(ISNUMBER(outYear),SWU37+SWU42+#REF!+SWU59,"")</f>
        <v/>
      </c>
      <c r="SWV62" s="87" t="str">
        <f>IF(ISNUMBER(outYear),SWV37+SWV42+#REF!+SWV59,"")</f>
        <v/>
      </c>
      <c r="SWW62" s="87" t="str">
        <f>IF(ISNUMBER(outYear),SWW37+SWW42+#REF!+SWW59,"")</f>
        <v/>
      </c>
      <c r="SWX62" s="87" t="str">
        <f>IF(ISNUMBER(outYear),SWX37+SWX42+#REF!+SWX59,"")</f>
        <v/>
      </c>
      <c r="SWY62" s="87" t="str">
        <f>IF(ISNUMBER(outYear),SWY37+SWY42+#REF!+SWY59,"")</f>
        <v/>
      </c>
      <c r="SWZ62" s="87" t="str">
        <f>IF(ISNUMBER(outYear),SWZ37+SWZ42+#REF!+SWZ59,"")</f>
        <v/>
      </c>
      <c r="SXA62" s="87" t="str">
        <f>IF(ISNUMBER(outYear),SXA37+SXA42+#REF!+SXA59,"")</f>
        <v/>
      </c>
      <c r="SXB62" s="87" t="str">
        <f>IF(ISNUMBER(outYear),SXB37+SXB42+#REF!+SXB59,"")</f>
        <v/>
      </c>
      <c r="SXC62" s="87" t="str">
        <f>IF(ISNUMBER(outYear),SXC37+SXC42+#REF!+SXC59,"")</f>
        <v/>
      </c>
      <c r="SXD62" s="87" t="str">
        <f>IF(ISNUMBER(outYear),SXD37+SXD42+#REF!+SXD59,"")</f>
        <v/>
      </c>
      <c r="SXE62" s="87" t="str">
        <f>IF(ISNUMBER(outYear),SXE37+SXE42+#REF!+SXE59,"")</f>
        <v/>
      </c>
      <c r="SXF62" s="87" t="str">
        <f>IF(ISNUMBER(outYear),SXF37+SXF42+#REF!+SXF59,"")</f>
        <v/>
      </c>
      <c r="SXG62" s="87" t="str">
        <f>IF(ISNUMBER(outYear),SXG37+SXG42+#REF!+SXG59,"")</f>
        <v/>
      </c>
      <c r="SXH62" s="87" t="str">
        <f>IF(ISNUMBER(outYear),SXH37+SXH42+#REF!+SXH59,"")</f>
        <v/>
      </c>
      <c r="SXI62" s="87" t="str">
        <f>IF(ISNUMBER(outYear),SXI37+SXI42+#REF!+SXI59,"")</f>
        <v/>
      </c>
      <c r="SXJ62" s="87" t="str">
        <f>IF(ISNUMBER(outYear),SXJ37+SXJ42+#REF!+SXJ59,"")</f>
        <v/>
      </c>
      <c r="SXK62" s="87" t="str">
        <f>IF(ISNUMBER(outYear),SXK37+SXK42+#REF!+SXK59,"")</f>
        <v/>
      </c>
      <c r="SXL62" s="87" t="str">
        <f>IF(ISNUMBER(outYear),SXL37+SXL42+#REF!+SXL59,"")</f>
        <v/>
      </c>
      <c r="SXM62" s="87" t="str">
        <f>IF(ISNUMBER(outYear),SXM37+SXM42+#REF!+SXM59,"")</f>
        <v/>
      </c>
      <c r="SXN62" s="87" t="str">
        <f>IF(ISNUMBER(outYear),SXN37+SXN42+#REF!+SXN59,"")</f>
        <v/>
      </c>
      <c r="SXO62" s="87" t="str">
        <f>IF(ISNUMBER(outYear),SXO37+SXO42+#REF!+SXO59,"")</f>
        <v/>
      </c>
      <c r="SXP62" s="87" t="str">
        <f>IF(ISNUMBER(outYear),SXP37+SXP42+#REF!+SXP59,"")</f>
        <v/>
      </c>
      <c r="SXQ62" s="87" t="str">
        <f>IF(ISNUMBER(outYear),SXQ37+SXQ42+#REF!+SXQ59,"")</f>
        <v/>
      </c>
      <c r="SXR62" s="87" t="str">
        <f>IF(ISNUMBER(outYear),SXR37+SXR42+#REF!+SXR59,"")</f>
        <v/>
      </c>
      <c r="SXS62" s="87" t="str">
        <f>IF(ISNUMBER(outYear),SXS37+SXS42+#REF!+SXS59,"")</f>
        <v/>
      </c>
      <c r="SXT62" s="87" t="str">
        <f>IF(ISNUMBER(outYear),SXT37+SXT42+#REF!+SXT59,"")</f>
        <v/>
      </c>
      <c r="SXU62" s="87" t="str">
        <f>IF(ISNUMBER(outYear),SXU37+SXU42+#REF!+SXU59,"")</f>
        <v/>
      </c>
      <c r="SXV62" s="87" t="str">
        <f>IF(ISNUMBER(outYear),SXV37+SXV42+#REF!+SXV59,"")</f>
        <v/>
      </c>
      <c r="SXW62" s="87" t="str">
        <f>IF(ISNUMBER(outYear),SXW37+SXW42+#REF!+SXW59,"")</f>
        <v/>
      </c>
      <c r="SXX62" s="87" t="str">
        <f>IF(ISNUMBER(outYear),SXX37+SXX42+#REF!+SXX59,"")</f>
        <v/>
      </c>
      <c r="SXY62" s="87" t="str">
        <f>IF(ISNUMBER(outYear),SXY37+SXY42+#REF!+SXY59,"")</f>
        <v/>
      </c>
      <c r="SXZ62" s="87" t="str">
        <f>IF(ISNUMBER(outYear),SXZ37+SXZ42+#REF!+SXZ59,"")</f>
        <v/>
      </c>
      <c r="SYA62" s="87" t="str">
        <f>IF(ISNUMBER(outYear),SYA37+SYA42+#REF!+SYA59,"")</f>
        <v/>
      </c>
      <c r="SYB62" s="87" t="str">
        <f>IF(ISNUMBER(outYear),SYB37+SYB42+#REF!+SYB59,"")</f>
        <v/>
      </c>
      <c r="SYC62" s="87" t="str">
        <f>IF(ISNUMBER(outYear),SYC37+SYC42+#REF!+SYC59,"")</f>
        <v/>
      </c>
      <c r="SYD62" s="87" t="str">
        <f>IF(ISNUMBER(outYear),SYD37+SYD42+#REF!+SYD59,"")</f>
        <v/>
      </c>
      <c r="SYE62" s="87" t="str">
        <f>IF(ISNUMBER(outYear),SYE37+SYE42+#REF!+SYE59,"")</f>
        <v/>
      </c>
      <c r="SYF62" s="87" t="str">
        <f>IF(ISNUMBER(outYear),SYF37+SYF42+#REF!+SYF59,"")</f>
        <v/>
      </c>
      <c r="SYG62" s="87" t="str">
        <f>IF(ISNUMBER(outYear),SYG37+SYG42+#REF!+SYG59,"")</f>
        <v/>
      </c>
      <c r="SYH62" s="87" t="str">
        <f>IF(ISNUMBER(outYear),SYH37+SYH42+#REF!+SYH59,"")</f>
        <v/>
      </c>
      <c r="SYI62" s="87" t="str">
        <f>IF(ISNUMBER(outYear),SYI37+SYI42+#REF!+SYI59,"")</f>
        <v/>
      </c>
      <c r="SYJ62" s="87" t="str">
        <f>IF(ISNUMBER(outYear),SYJ37+SYJ42+#REF!+SYJ59,"")</f>
        <v/>
      </c>
      <c r="SYK62" s="87" t="str">
        <f>IF(ISNUMBER(outYear),SYK37+SYK42+#REF!+SYK59,"")</f>
        <v/>
      </c>
      <c r="SYL62" s="87" t="str">
        <f>IF(ISNUMBER(outYear),SYL37+SYL42+#REF!+SYL59,"")</f>
        <v/>
      </c>
      <c r="SYM62" s="87" t="str">
        <f>IF(ISNUMBER(outYear),SYM37+SYM42+#REF!+SYM59,"")</f>
        <v/>
      </c>
      <c r="SYN62" s="87" t="str">
        <f>IF(ISNUMBER(outYear),SYN37+SYN42+#REF!+SYN59,"")</f>
        <v/>
      </c>
      <c r="SYO62" s="87" t="str">
        <f>IF(ISNUMBER(outYear),SYO37+SYO42+#REF!+SYO59,"")</f>
        <v/>
      </c>
      <c r="SYP62" s="87" t="str">
        <f>IF(ISNUMBER(outYear),SYP37+SYP42+#REF!+SYP59,"")</f>
        <v/>
      </c>
      <c r="SYQ62" s="87" t="str">
        <f>IF(ISNUMBER(outYear),SYQ37+SYQ42+#REF!+SYQ59,"")</f>
        <v/>
      </c>
      <c r="SYR62" s="87" t="str">
        <f>IF(ISNUMBER(outYear),SYR37+SYR42+#REF!+SYR59,"")</f>
        <v/>
      </c>
      <c r="SYS62" s="87" t="str">
        <f>IF(ISNUMBER(outYear),SYS37+SYS42+#REF!+SYS59,"")</f>
        <v/>
      </c>
      <c r="SYT62" s="87" t="str">
        <f>IF(ISNUMBER(outYear),SYT37+SYT42+#REF!+SYT59,"")</f>
        <v/>
      </c>
      <c r="SYU62" s="87" t="str">
        <f>IF(ISNUMBER(outYear),SYU37+SYU42+#REF!+SYU59,"")</f>
        <v/>
      </c>
      <c r="SYV62" s="87" t="str">
        <f>IF(ISNUMBER(outYear),SYV37+SYV42+#REF!+SYV59,"")</f>
        <v/>
      </c>
      <c r="SYW62" s="87" t="str">
        <f>IF(ISNUMBER(outYear),SYW37+SYW42+#REF!+SYW59,"")</f>
        <v/>
      </c>
      <c r="SYX62" s="87" t="str">
        <f>IF(ISNUMBER(outYear),SYX37+SYX42+#REF!+SYX59,"")</f>
        <v/>
      </c>
      <c r="SYY62" s="87" t="str">
        <f>IF(ISNUMBER(outYear),SYY37+SYY42+#REF!+SYY59,"")</f>
        <v/>
      </c>
      <c r="SYZ62" s="87" t="str">
        <f>IF(ISNUMBER(outYear),SYZ37+SYZ42+#REF!+SYZ59,"")</f>
        <v/>
      </c>
      <c r="SZA62" s="87" t="str">
        <f>IF(ISNUMBER(outYear),SZA37+SZA42+#REF!+SZA59,"")</f>
        <v/>
      </c>
      <c r="SZB62" s="87" t="str">
        <f>IF(ISNUMBER(outYear),SZB37+SZB42+#REF!+SZB59,"")</f>
        <v/>
      </c>
      <c r="SZC62" s="87" t="str">
        <f>IF(ISNUMBER(outYear),SZC37+SZC42+#REF!+SZC59,"")</f>
        <v/>
      </c>
      <c r="SZD62" s="87" t="str">
        <f>IF(ISNUMBER(outYear),SZD37+SZD42+#REF!+SZD59,"")</f>
        <v/>
      </c>
      <c r="SZE62" s="87" t="str">
        <f>IF(ISNUMBER(outYear),SZE37+SZE42+#REF!+SZE59,"")</f>
        <v/>
      </c>
      <c r="SZF62" s="87" t="str">
        <f>IF(ISNUMBER(outYear),SZF37+SZF42+#REF!+SZF59,"")</f>
        <v/>
      </c>
      <c r="SZG62" s="87" t="str">
        <f>IF(ISNUMBER(outYear),SZG37+SZG42+#REF!+SZG59,"")</f>
        <v/>
      </c>
      <c r="SZH62" s="87" t="str">
        <f>IF(ISNUMBER(outYear),SZH37+SZH42+#REF!+SZH59,"")</f>
        <v/>
      </c>
      <c r="SZI62" s="87" t="str">
        <f>IF(ISNUMBER(outYear),SZI37+SZI42+#REF!+SZI59,"")</f>
        <v/>
      </c>
      <c r="SZJ62" s="87" t="str">
        <f>IF(ISNUMBER(outYear),SZJ37+SZJ42+#REF!+SZJ59,"")</f>
        <v/>
      </c>
      <c r="SZK62" s="87" t="str">
        <f>IF(ISNUMBER(outYear),SZK37+SZK42+#REF!+SZK59,"")</f>
        <v/>
      </c>
      <c r="SZL62" s="87" t="str">
        <f>IF(ISNUMBER(outYear),SZL37+SZL42+#REF!+SZL59,"")</f>
        <v/>
      </c>
      <c r="SZM62" s="87" t="str">
        <f>IF(ISNUMBER(outYear),SZM37+SZM42+#REF!+SZM59,"")</f>
        <v/>
      </c>
      <c r="SZN62" s="87" t="str">
        <f>IF(ISNUMBER(outYear),SZN37+SZN42+#REF!+SZN59,"")</f>
        <v/>
      </c>
      <c r="SZO62" s="87" t="str">
        <f>IF(ISNUMBER(outYear),SZO37+SZO42+#REF!+SZO59,"")</f>
        <v/>
      </c>
      <c r="SZP62" s="87" t="str">
        <f>IF(ISNUMBER(outYear),SZP37+SZP42+#REF!+SZP59,"")</f>
        <v/>
      </c>
      <c r="SZQ62" s="87" t="str">
        <f>IF(ISNUMBER(outYear),SZQ37+SZQ42+#REF!+SZQ59,"")</f>
        <v/>
      </c>
      <c r="SZR62" s="87" t="str">
        <f>IF(ISNUMBER(outYear),SZR37+SZR42+#REF!+SZR59,"")</f>
        <v/>
      </c>
      <c r="SZS62" s="87" t="str">
        <f>IF(ISNUMBER(outYear),SZS37+SZS42+#REF!+SZS59,"")</f>
        <v/>
      </c>
      <c r="SZT62" s="87" t="str">
        <f>IF(ISNUMBER(outYear),SZT37+SZT42+#REF!+SZT59,"")</f>
        <v/>
      </c>
      <c r="SZU62" s="87" t="str">
        <f>IF(ISNUMBER(outYear),SZU37+SZU42+#REF!+SZU59,"")</f>
        <v/>
      </c>
      <c r="SZV62" s="87" t="str">
        <f>IF(ISNUMBER(outYear),SZV37+SZV42+#REF!+SZV59,"")</f>
        <v/>
      </c>
      <c r="SZW62" s="87" t="str">
        <f>IF(ISNUMBER(outYear),SZW37+SZW42+#REF!+SZW59,"")</f>
        <v/>
      </c>
      <c r="SZX62" s="87" t="str">
        <f>IF(ISNUMBER(outYear),SZX37+SZX42+#REF!+SZX59,"")</f>
        <v/>
      </c>
      <c r="SZY62" s="87" t="str">
        <f>IF(ISNUMBER(outYear),SZY37+SZY42+#REF!+SZY59,"")</f>
        <v/>
      </c>
      <c r="SZZ62" s="87" t="str">
        <f>IF(ISNUMBER(outYear),SZZ37+SZZ42+#REF!+SZZ59,"")</f>
        <v/>
      </c>
      <c r="TAA62" s="87" t="str">
        <f>IF(ISNUMBER(outYear),TAA37+TAA42+#REF!+TAA59,"")</f>
        <v/>
      </c>
      <c r="TAB62" s="87" t="str">
        <f>IF(ISNUMBER(outYear),TAB37+TAB42+#REF!+TAB59,"")</f>
        <v/>
      </c>
      <c r="TAC62" s="87" t="str">
        <f>IF(ISNUMBER(outYear),TAC37+TAC42+#REF!+TAC59,"")</f>
        <v/>
      </c>
      <c r="TAD62" s="87" t="str">
        <f>IF(ISNUMBER(outYear),TAD37+TAD42+#REF!+TAD59,"")</f>
        <v/>
      </c>
      <c r="TAE62" s="87" t="str">
        <f>IF(ISNUMBER(outYear),TAE37+TAE42+#REF!+TAE59,"")</f>
        <v/>
      </c>
      <c r="TAF62" s="87" t="str">
        <f>IF(ISNUMBER(outYear),TAF37+TAF42+#REF!+TAF59,"")</f>
        <v/>
      </c>
      <c r="TAG62" s="87" t="str">
        <f>IF(ISNUMBER(outYear),TAG37+TAG42+#REF!+TAG59,"")</f>
        <v/>
      </c>
      <c r="TAH62" s="87" t="str">
        <f>IF(ISNUMBER(outYear),TAH37+TAH42+#REF!+TAH59,"")</f>
        <v/>
      </c>
      <c r="TAI62" s="87" t="str">
        <f>IF(ISNUMBER(outYear),TAI37+TAI42+#REF!+TAI59,"")</f>
        <v/>
      </c>
      <c r="TAJ62" s="87" t="str">
        <f>IF(ISNUMBER(outYear),TAJ37+TAJ42+#REF!+TAJ59,"")</f>
        <v/>
      </c>
      <c r="TAK62" s="87" t="str">
        <f>IF(ISNUMBER(outYear),TAK37+TAK42+#REF!+TAK59,"")</f>
        <v/>
      </c>
      <c r="TAL62" s="87" t="str">
        <f>IF(ISNUMBER(outYear),TAL37+TAL42+#REF!+TAL59,"")</f>
        <v/>
      </c>
      <c r="TAM62" s="87" t="str">
        <f>IF(ISNUMBER(outYear),TAM37+TAM42+#REF!+TAM59,"")</f>
        <v/>
      </c>
      <c r="TAN62" s="87" t="str">
        <f>IF(ISNUMBER(outYear),TAN37+TAN42+#REF!+TAN59,"")</f>
        <v/>
      </c>
      <c r="TAO62" s="87" t="str">
        <f>IF(ISNUMBER(outYear),TAO37+TAO42+#REF!+TAO59,"")</f>
        <v/>
      </c>
      <c r="TAP62" s="87" t="str">
        <f>IF(ISNUMBER(outYear),TAP37+TAP42+#REF!+TAP59,"")</f>
        <v/>
      </c>
      <c r="TAQ62" s="87" t="str">
        <f>IF(ISNUMBER(outYear),TAQ37+TAQ42+#REF!+TAQ59,"")</f>
        <v/>
      </c>
      <c r="TAR62" s="87" t="str">
        <f>IF(ISNUMBER(outYear),TAR37+TAR42+#REF!+TAR59,"")</f>
        <v/>
      </c>
      <c r="TAS62" s="87" t="str">
        <f>IF(ISNUMBER(outYear),TAS37+TAS42+#REF!+TAS59,"")</f>
        <v/>
      </c>
      <c r="TAT62" s="87" t="str">
        <f>IF(ISNUMBER(outYear),TAT37+TAT42+#REF!+TAT59,"")</f>
        <v/>
      </c>
      <c r="TAU62" s="87" t="str">
        <f>IF(ISNUMBER(outYear),TAU37+TAU42+#REF!+TAU59,"")</f>
        <v/>
      </c>
      <c r="TAV62" s="87" t="str">
        <f>IF(ISNUMBER(outYear),TAV37+TAV42+#REF!+TAV59,"")</f>
        <v/>
      </c>
      <c r="TAW62" s="87" t="str">
        <f>IF(ISNUMBER(outYear),TAW37+TAW42+#REF!+TAW59,"")</f>
        <v/>
      </c>
      <c r="TAX62" s="87" t="str">
        <f>IF(ISNUMBER(outYear),TAX37+TAX42+#REF!+TAX59,"")</f>
        <v/>
      </c>
      <c r="TAY62" s="87" t="str">
        <f>IF(ISNUMBER(outYear),TAY37+TAY42+#REF!+TAY59,"")</f>
        <v/>
      </c>
      <c r="TAZ62" s="87" t="str">
        <f>IF(ISNUMBER(outYear),TAZ37+TAZ42+#REF!+TAZ59,"")</f>
        <v/>
      </c>
      <c r="TBA62" s="87" t="str">
        <f>IF(ISNUMBER(outYear),TBA37+TBA42+#REF!+TBA59,"")</f>
        <v/>
      </c>
      <c r="TBB62" s="87" t="str">
        <f>IF(ISNUMBER(outYear),TBB37+TBB42+#REF!+TBB59,"")</f>
        <v/>
      </c>
      <c r="TBC62" s="87" t="str">
        <f>IF(ISNUMBER(outYear),TBC37+TBC42+#REF!+TBC59,"")</f>
        <v/>
      </c>
      <c r="TBD62" s="87" t="str">
        <f>IF(ISNUMBER(outYear),TBD37+TBD42+#REF!+TBD59,"")</f>
        <v/>
      </c>
      <c r="TBE62" s="87" t="str">
        <f>IF(ISNUMBER(outYear),TBE37+TBE42+#REF!+TBE59,"")</f>
        <v/>
      </c>
      <c r="TBF62" s="87" t="str">
        <f>IF(ISNUMBER(outYear),TBF37+TBF42+#REF!+TBF59,"")</f>
        <v/>
      </c>
      <c r="TBG62" s="87" t="str">
        <f>IF(ISNUMBER(outYear),TBG37+TBG42+#REF!+TBG59,"")</f>
        <v/>
      </c>
      <c r="TBH62" s="87" t="str">
        <f>IF(ISNUMBER(outYear),TBH37+TBH42+#REF!+TBH59,"")</f>
        <v/>
      </c>
      <c r="TBI62" s="87" t="str">
        <f>IF(ISNUMBER(outYear),TBI37+TBI42+#REF!+TBI59,"")</f>
        <v/>
      </c>
      <c r="TBJ62" s="87" t="str">
        <f>IF(ISNUMBER(outYear),TBJ37+TBJ42+#REF!+TBJ59,"")</f>
        <v/>
      </c>
      <c r="TBK62" s="87" t="str">
        <f>IF(ISNUMBER(outYear),TBK37+TBK42+#REF!+TBK59,"")</f>
        <v/>
      </c>
      <c r="TBL62" s="87" t="str">
        <f>IF(ISNUMBER(outYear),TBL37+TBL42+#REF!+TBL59,"")</f>
        <v/>
      </c>
      <c r="TBM62" s="87" t="str">
        <f>IF(ISNUMBER(outYear),TBM37+TBM42+#REF!+TBM59,"")</f>
        <v/>
      </c>
      <c r="TBN62" s="87" t="str">
        <f>IF(ISNUMBER(outYear),TBN37+TBN42+#REF!+TBN59,"")</f>
        <v/>
      </c>
      <c r="TBO62" s="87" t="str">
        <f>IF(ISNUMBER(outYear),TBO37+TBO42+#REF!+TBO59,"")</f>
        <v/>
      </c>
      <c r="TBP62" s="87" t="str">
        <f>IF(ISNUMBER(outYear),TBP37+TBP42+#REF!+TBP59,"")</f>
        <v/>
      </c>
      <c r="TBQ62" s="87" t="str">
        <f>IF(ISNUMBER(outYear),TBQ37+TBQ42+#REF!+TBQ59,"")</f>
        <v/>
      </c>
      <c r="TBR62" s="87" t="str">
        <f>IF(ISNUMBER(outYear),TBR37+TBR42+#REF!+TBR59,"")</f>
        <v/>
      </c>
      <c r="TBS62" s="87" t="str">
        <f>IF(ISNUMBER(outYear),TBS37+TBS42+#REF!+TBS59,"")</f>
        <v/>
      </c>
      <c r="TBT62" s="87" t="str">
        <f>IF(ISNUMBER(outYear),TBT37+TBT42+#REF!+TBT59,"")</f>
        <v/>
      </c>
      <c r="TBU62" s="87" t="str">
        <f>IF(ISNUMBER(outYear),TBU37+TBU42+#REF!+TBU59,"")</f>
        <v/>
      </c>
      <c r="TBV62" s="87" t="str">
        <f>IF(ISNUMBER(outYear),TBV37+TBV42+#REF!+TBV59,"")</f>
        <v/>
      </c>
      <c r="TBW62" s="87" t="str">
        <f>IF(ISNUMBER(outYear),TBW37+TBW42+#REF!+TBW59,"")</f>
        <v/>
      </c>
      <c r="TBX62" s="87" t="str">
        <f>IF(ISNUMBER(outYear),TBX37+TBX42+#REF!+TBX59,"")</f>
        <v/>
      </c>
      <c r="TBY62" s="87" t="str">
        <f>IF(ISNUMBER(outYear),TBY37+TBY42+#REF!+TBY59,"")</f>
        <v/>
      </c>
      <c r="TBZ62" s="87" t="str">
        <f>IF(ISNUMBER(outYear),TBZ37+TBZ42+#REF!+TBZ59,"")</f>
        <v/>
      </c>
      <c r="TCA62" s="87" t="str">
        <f>IF(ISNUMBER(outYear),TCA37+TCA42+#REF!+TCA59,"")</f>
        <v/>
      </c>
      <c r="TCB62" s="87" t="str">
        <f>IF(ISNUMBER(outYear),TCB37+TCB42+#REF!+TCB59,"")</f>
        <v/>
      </c>
      <c r="TCC62" s="87" t="str">
        <f>IF(ISNUMBER(outYear),TCC37+TCC42+#REF!+TCC59,"")</f>
        <v/>
      </c>
      <c r="TCD62" s="87" t="str">
        <f>IF(ISNUMBER(outYear),TCD37+TCD42+#REF!+TCD59,"")</f>
        <v/>
      </c>
      <c r="TCE62" s="87" t="str">
        <f>IF(ISNUMBER(outYear),TCE37+TCE42+#REF!+TCE59,"")</f>
        <v/>
      </c>
      <c r="TCF62" s="87" t="str">
        <f>IF(ISNUMBER(outYear),TCF37+TCF42+#REF!+TCF59,"")</f>
        <v/>
      </c>
      <c r="TCG62" s="87" t="str">
        <f>IF(ISNUMBER(outYear),TCG37+TCG42+#REF!+TCG59,"")</f>
        <v/>
      </c>
      <c r="TCH62" s="87" t="str">
        <f>IF(ISNUMBER(outYear),TCH37+TCH42+#REF!+TCH59,"")</f>
        <v/>
      </c>
      <c r="TCI62" s="87" t="str">
        <f>IF(ISNUMBER(outYear),TCI37+TCI42+#REF!+TCI59,"")</f>
        <v/>
      </c>
      <c r="TCJ62" s="87" t="str">
        <f>IF(ISNUMBER(outYear),TCJ37+TCJ42+#REF!+TCJ59,"")</f>
        <v/>
      </c>
      <c r="TCK62" s="87" t="str">
        <f>IF(ISNUMBER(outYear),TCK37+TCK42+#REF!+TCK59,"")</f>
        <v/>
      </c>
      <c r="TCL62" s="87" t="str">
        <f>IF(ISNUMBER(outYear),TCL37+TCL42+#REF!+TCL59,"")</f>
        <v/>
      </c>
      <c r="TCM62" s="87" t="str">
        <f>IF(ISNUMBER(outYear),TCM37+TCM42+#REF!+TCM59,"")</f>
        <v/>
      </c>
      <c r="TCN62" s="87" t="str">
        <f>IF(ISNUMBER(outYear),TCN37+TCN42+#REF!+TCN59,"")</f>
        <v/>
      </c>
      <c r="TCO62" s="87" t="str">
        <f>IF(ISNUMBER(outYear),TCO37+TCO42+#REF!+TCO59,"")</f>
        <v/>
      </c>
      <c r="TCP62" s="87" t="str">
        <f>IF(ISNUMBER(outYear),TCP37+TCP42+#REF!+TCP59,"")</f>
        <v/>
      </c>
      <c r="TCQ62" s="87" t="str">
        <f>IF(ISNUMBER(outYear),TCQ37+TCQ42+#REF!+TCQ59,"")</f>
        <v/>
      </c>
      <c r="TCR62" s="87" t="str">
        <f>IF(ISNUMBER(outYear),TCR37+TCR42+#REF!+TCR59,"")</f>
        <v/>
      </c>
      <c r="TCS62" s="87" t="str">
        <f>IF(ISNUMBER(outYear),TCS37+TCS42+#REF!+TCS59,"")</f>
        <v/>
      </c>
      <c r="TCT62" s="87" t="str">
        <f>IF(ISNUMBER(outYear),TCT37+TCT42+#REF!+TCT59,"")</f>
        <v/>
      </c>
      <c r="TCU62" s="87" t="str">
        <f>IF(ISNUMBER(outYear),TCU37+TCU42+#REF!+TCU59,"")</f>
        <v/>
      </c>
      <c r="TCV62" s="87" t="str">
        <f>IF(ISNUMBER(outYear),TCV37+TCV42+#REF!+TCV59,"")</f>
        <v/>
      </c>
      <c r="TCW62" s="87" t="str">
        <f>IF(ISNUMBER(outYear),TCW37+TCW42+#REF!+TCW59,"")</f>
        <v/>
      </c>
      <c r="TCX62" s="87" t="str">
        <f>IF(ISNUMBER(outYear),TCX37+TCX42+#REF!+TCX59,"")</f>
        <v/>
      </c>
      <c r="TCY62" s="87" t="str">
        <f>IF(ISNUMBER(outYear),TCY37+TCY42+#REF!+TCY59,"")</f>
        <v/>
      </c>
      <c r="TCZ62" s="87" t="str">
        <f>IF(ISNUMBER(outYear),TCZ37+TCZ42+#REF!+TCZ59,"")</f>
        <v/>
      </c>
      <c r="TDA62" s="87" t="str">
        <f>IF(ISNUMBER(outYear),TDA37+TDA42+#REF!+TDA59,"")</f>
        <v/>
      </c>
      <c r="TDB62" s="87" t="str">
        <f>IF(ISNUMBER(outYear),TDB37+TDB42+#REF!+TDB59,"")</f>
        <v/>
      </c>
      <c r="TDC62" s="87" t="str">
        <f>IF(ISNUMBER(outYear),TDC37+TDC42+#REF!+TDC59,"")</f>
        <v/>
      </c>
      <c r="TDD62" s="87" t="str">
        <f>IF(ISNUMBER(outYear),TDD37+TDD42+#REF!+TDD59,"")</f>
        <v/>
      </c>
      <c r="TDE62" s="87" t="str">
        <f>IF(ISNUMBER(outYear),TDE37+TDE42+#REF!+TDE59,"")</f>
        <v/>
      </c>
      <c r="TDF62" s="87" t="str">
        <f>IF(ISNUMBER(outYear),TDF37+TDF42+#REF!+TDF59,"")</f>
        <v/>
      </c>
      <c r="TDG62" s="87" t="str">
        <f>IF(ISNUMBER(outYear),TDG37+TDG42+#REF!+TDG59,"")</f>
        <v/>
      </c>
      <c r="TDH62" s="87" t="str">
        <f>IF(ISNUMBER(outYear),TDH37+TDH42+#REF!+TDH59,"")</f>
        <v/>
      </c>
      <c r="TDI62" s="87" t="str">
        <f>IF(ISNUMBER(outYear),TDI37+TDI42+#REF!+TDI59,"")</f>
        <v/>
      </c>
      <c r="TDJ62" s="87" t="str">
        <f>IF(ISNUMBER(outYear),TDJ37+TDJ42+#REF!+TDJ59,"")</f>
        <v/>
      </c>
      <c r="TDK62" s="87" t="str">
        <f>IF(ISNUMBER(outYear),TDK37+TDK42+#REF!+TDK59,"")</f>
        <v/>
      </c>
      <c r="TDL62" s="87" t="str">
        <f>IF(ISNUMBER(outYear),TDL37+TDL42+#REF!+TDL59,"")</f>
        <v/>
      </c>
      <c r="TDM62" s="87" t="str">
        <f>IF(ISNUMBER(outYear),TDM37+TDM42+#REF!+TDM59,"")</f>
        <v/>
      </c>
      <c r="TDN62" s="87" t="str">
        <f>IF(ISNUMBER(outYear),TDN37+TDN42+#REF!+TDN59,"")</f>
        <v/>
      </c>
      <c r="TDO62" s="87" t="str">
        <f>IF(ISNUMBER(outYear),TDO37+TDO42+#REF!+TDO59,"")</f>
        <v/>
      </c>
      <c r="TDP62" s="87" t="str">
        <f>IF(ISNUMBER(outYear),TDP37+TDP42+#REF!+TDP59,"")</f>
        <v/>
      </c>
      <c r="TDQ62" s="87" t="str">
        <f>IF(ISNUMBER(outYear),TDQ37+TDQ42+#REF!+TDQ59,"")</f>
        <v/>
      </c>
      <c r="TDR62" s="87" t="str">
        <f>IF(ISNUMBER(outYear),TDR37+TDR42+#REF!+TDR59,"")</f>
        <v/>
      </c>
      <c r="TDS62" s="87" t="str">
        <f>IF(ISNUMBER(outYear),TDS37+TDS42+#REF!+TDS59,"")</f>
        <v/>
      </c>
      <c r="TDT62" s="87" t="str">
        <f>IF(ISNUMBER(outYear),TDT37+TDT42+#REF!+TDT59,"")</f>
        <v/>
      </c>
      <c r="TDU62" s="87" t="str">
        <f>IF(ISNUMBER(outYear),TDU37+TDU42+#REF!+TDU59,"")</f>
        <v/>
      </c>
      <c r="TDV62" s="87" t="str">
        <f>IF(ISNUMBER(outYear),TDV37+TDV42+#REF!+TDV59,"")</f>
        <v/>
      </c>
      <c r="TDW62" s="87" t="str">
        <f>IF(ISNUMBER(outYear),TDW37+TDW42+#REF!+TDW59,"")</f>
        <v/>
      </c>
      <c r="TDX62" s="87" t="str">
        <f>IF(ISNUMBER(outYear),TDX37+TDX42+#REF!+TDX59,"")</f>
        <v/>
      </c>
      <c r="TDY62" s="87" t="str">
        <f>IF(ISNUMBER(outYear),TDY37+TDY42+#REF!+TDY59,"")</f>
        <v/>
      </c>
      <c r="TDZ62" s="87" t="str">
        <f>IF(ISNUMBER(outYear),TDZ37+TDZ42+#REF!+TDZ59,"")</f>
        <v/>
      </c>
      <c r="TEA62" s="87" t="str">
        <f>IF(ISNUMBER(outYear),TEA37+TEA42+#REF!+TEA59,"")</f>
        <v/>
      </c>
      <c r="TEB62" s="87" t="str">
        <f>IF(ISNUMBER(outYear),TEB37+TEB42+#REF!+TEB59,"")</f>
        <v/>
      </c>
      <c r="TEC62" s="87" t="str">
        <f>IF(ISNUMBER(outYear),TEC37+TEC42+#REF!+TEC59,"")</f>
        <v/>
      </c>
      <c r="TED62" s="87" t="str">
        <f>IF(ISNUMBER(outYear),TED37+TED42+#REF!+TED59,"")</f>
        <v/>
      </c>
      <c r="TEE62" s="87" t="str">
        <f>IF(ISNUMBER(outYear),TEE37+TEE42+#REF!+TEE59,"")</f>
        <v/>
      </c>
      <c r="TEF62" s="87" t="str">
        <f>IF(ISNUMBER(outYear),TEF37+TEF42+#REF!+TEF59,"")</f>
        <v/>
      </c>
      <c r="TEG62" s="87" t="str">
        <f>IF(ISNUMBER(outYear),TEG37+TEG42+#REF!+TEG59,"")</f>
        <v/>
      </c>
      <c r="TEH62" s="87" t="str">
        <f>IF(ISNUMBER(outYear),TEH37+TEH42+#REF!+TEH59,"")</f>
        <v/>
      </c>
      <c r="TEI62" s="87" t="str">
        <f>IF(ISNUMBER(outYear),TEI37+TEI42+#REF!+TEI59,"")</f>
        <v/>
      </c>
      <c r="TEJ62" s="87" t="str">
        <f>IF(ISNUMBER(outYear),TEJ37+TEJ42+#REF!+TEJ59,"")</f>
        <v/>
      </c>
      <c r="TEK62" s="87" t="str">
        <f>IF(ISNUMBER(outYear),TEK37+TEK42+#REF!+TEK59,"")</f>
        <v/>
      </c>
      <c r="TEL62" s="87" t="str">
        <f>IF(ISNUMBER(outYear),TEL37+TEL42+#REF!+TEL59,"")</f>
        <v/>
      </c>
      <c r="TEM62" s="87" t="str">
        <f>IF(ISNUMBER(outYear),TEM37+TEM42+#REF!+TEM59,"")</f>
        <v/>
      </c>
      <c r="TEN62" s="87" t="str">
        <f>IF(ISNUMBER(outYear),TEN37+TEN42+#REF!+TEN59,"")</f>
        <v/>
      </c>
      <c r="TEO62" s="87" t="str">
        <f>IF(ISNUMBER(outYear),TEO37+TEO42+#REF!+TEO59,"")</f>
        <v/>
      </c>
      <c r="TEP62" s="87" t="str">
        <f>IF(ISNUMBER(outYear),TEP37+TEP42+#REF!+TEP59,"")</f>
        <v/>
      </c>
      <c r="TEQ62" s="87" t="str">
        <f>IF(ISNUMBER(outYear),TEQ37+TEQ42+#REF!+TEQ59,"")</f>
        <v/>
      </c>
      <c r="TER62" s="87" t="str">
        <f>IF(ISNUMBER(outYear),TER37+TER42+#REF!+TER59,"")</f>
        <v/>
      </c>
      <c r="TES62" s="87" t="str">
        <f>IF(ISNUMBER(outYear),TES37+TES42+#REF!+TES59,"")</f>
        <v/>
      </c>
      <c r="TET62" s="87" t="str">
        <f>IF(ISNUMBER(outYear),TET37+TET42+#REF!+TET59,"")</f>
        <v/>
      </c>
      <c r="TEU62" s="87" t="str">
        <f>IF(ISNUMBER(outYear),TEU37+TEU42+#REF!+TEU59,"")</f>
        <v/>
      </c>
      <c r="TEV62" s="87" t="str">
        <f>IF(ISNUMBER(outYear),TEV37+TEV42+#REF!+TEV59,"")</f>
        <v/>
      </c>
      <c r="TEW62" s="87" t="str">
        <f>IF(ISNUMBER(outYear),TEW37+TEW42+#REF!+TEW59,"")</f>
        <v/>
      </c>
      <c r="TEX62" s="87" t="str">
        <f>IF(ISNUMBER(outYear),TEX37+TEX42+#REF!+TEX59,"")</f>
        <v/>
      </c>
      <c r="TEY62" s="87" t="str">
        <f>IF(ISNUMBER(outYear),TEY37+TEY42+#REF!+TEY59,"")</f>
        <v/>
      </c>
      <c r="TEZ62" s="87" t="str">
        <f>IF(ISNUMBER(outYear),TEZ37+TEZ42+#REF!+TEZ59,"")</f>
        <v/>
      </c>
      <c r="TFA62" s="87" t="str">
        <f>IF(ISNUMBER(outYear),TFA37+TFA42+#REF!+TFA59,"")</f>
        <v/>
      </c>
      <c r="TFB62" s="87" t="str">
        <f>IF(ISNUMBER(outYear),TFB37+TFB42+#REF!+TFB59,"")</f>
        <v/>
      </c>
      <c r="TFC62" s="87" t="str">
        <f>IF(ISNUMBER(outYear),TFC37+TFC42+#REF!+TFC59,"")</f>
        <v/>
      </c>
      <c r="TFD62" s="87" t="str">
        <f>IF(ISNUMBER(outYear),TFD37+TFD42+#REF!+TFD59,"")</f>
        <v/>
      </c>
      <c r="TFE62" s="87" t="str">
        <f>IF(ISNUMBER(outYear),TFE37+TFE42+#REF!+TFE59,"")</f>
        <v/>
      </c>
      <c r="TFF62" s="87" t="str">
        <f>IF(ISNUMBER(outYear),TFF37+TFF42+#REF!+TFF59,"")</f>
        <v/>
      </c>
      <c r="TFG62" s="87" t="str">
        <f>IF(ISNUMBER(outYear),TFG37+TFG42+#REF!+TFG59,"")</f>
        <v/>
      </c>
      <c r="TFH62" s="87" t="str">
        <f>IF(ISNUMBER(outYear),TFH37+TFH42+#REF!+TFH59,"")</f>
        <v/>
      </c>
      <c r="TFI62" s="87" t="str">
        <f>IF(ISNUMBER(outYear),TFI37+TFI42+#REF!+TFI59,"")</f>
        <v/>
      </c>
      <c r="TFJ62" s="87" t="str">
        <f>IF(ISNUMBER(outYear),TFJ37+TFJ42+#REF!+TFJ59,"")</f>
        <v/>
      </c>
      <c r="TFK62" s="87" t="str">
        <f>IF(ISNUMBER(outYear),TFK37+TFK42+#REF!+TFK59,"")</f>
        <v/>
      </c>
      <c r="TFL62" s="87" t="str">
        <f>IF(ISNUMBER(outYear),TFL37+TFL42+#REF!+TFL59,"")</f>
        <v/>
      </c>
      <c r="TFM62" s="87" t="str">
        <f>IF(ISNUMBER(outYear),TFM37+TFM42+#REF!+TFM59,"")</f>
        <v/>
      </c>
      <c r="TFN62" s="87" t="str">
        <f>IF(ISNUMBER(outYear),TFN37+TFN42+#REF!+TFN59,"")</f>
        <v/>
      </c>
      <c r="TFO62" s="87" t="str">
        <f>IF(ISNUMBER(outYear),TFO37+TFO42+#REF!+TFO59,"")</f>
        <v/>
      </c>
      <c r="TFP62" s="87" t="str">
        <f>IF(ISNUMBER(outYear),TFP37+TFP42+#REF!+TFP59,"")</f>
        <v/>
      </c>
      <c r="TFQ62" s="87" t="str">
        <f>IF(ISNUMBER(outYear),TFQ37+TFQ42+#REF!+TFQ59,"")</f>
        <v/>
      </c>
      <c r="TFR62" s="87" t="str">
        <f>IF(ISNUMBER(outYear),TFR37+TFR42+#REF!+TFR59,"")</f>
        <v/>
      </c>
      <c r="TFS62" s="87" t="str">
        <f>IF(ISNUMBER(outYear),TFS37+TFS42+#REF!+TFS59,"")</f>
        <v/>
      </c>
      <c r="TFT62" s="87" t="str">
        <f>IF(ISNUMBER(outYear),TFT37+TFT42+#REF!+TFT59,"")</f>
        <v/>
      </c>
      <c r="TFU62" s="87" t="str">
        <f>IF(ISNUMBER(outYear),TFU37+TFU42+#REF!+TFU59,"")</f>
        <v/>
      </c>
      <c r="TFV62" s="87" t="str">
        <f>IF(ISNUMBER(outYear),TFV37+TFV42+#REF!+TFV59,"")</f>
        <v/>
      </c>
      <c r="TFW62" s="87" t="str">
        <f>IF(ISNUMBER(outYear),TFW37+TFW42+#REF!+TFW59,"")</f>
        <v/>
      </c>
      <c r="TFX62" s="87" t="str">
        <f>IF(ISNUMBER(outYear),TFX37+TFX42+#REF!+TFX59,"")</f>
        <v/>
      </c>
      <c r="TFY62" s="87" t="str">
        <f>IF(ISNUMBER(outYear),TFY37+TFY42+#REF!+TFY59,"")</f>
        <v/>
      </c>
      <c r="TFZ62" s="87" t="str">
        <f>IF(ISNUMBER(outYear),TFZ37+TFZ42+#REF!+TFZ59,"")</f>
        <v/>
      </c>
      <c r="TGA62" s="87" t="str">
        <f>IF(ISNUMBER(outYear),TGA37+TGA42+#REF!+TGA59,"")</f>
        <v/>
      </c>
      <c r="TGB62" s="87" t="str">
        <f>IF(ISNUMBER(outYear),TGB37+TGB42+#REF!+TGB59,"")</f>
        <v/>
      </c>
      <c r="TGC62" s="87" t="str">
        <f>IF(ISNUMBER(outYear),TGC37+TGC42+#REF!+TGC59,"")</f>
        <v/>
      </c>
      <c r="TGD62" s="87" t="str">
        <f>IF(ISNUMBER(outYear),TGD37+TGD42+#REF!+TGD59,"")</f>
        <v/>
      </c>
      <c r="TGE62" s="87" t="str">
        <f>IF(ISNUMBER(outYear),TGE37+TGE42+#REF!+TGE59,"")</f>
        <v/>
      </c>
      <c r="TGF62" s="87" t="str">
        <f>IF(ISNUMBER(outYear),TGF37+TGF42+#REF!+TGF59,"")</f>
        <v/>
      </c>
      <c r="TGG62" s="87" t="str">
        <f>IF(ISNUMBER(outYear),TGG37+TGG42+#REF!+TGG59,"")</f>
        <v/>
      </c>
      <c r="TGH62" s="87" t="str">
        <f>IF(ISNUMBER(outYear),TGH37+TGH42+#REF!+TGH59,"")</f>
        <v/>
      </c>
      <c r="TGI62" s="87" t="str">
        <f>IF(ISNUMBER(outYear),TGI37+TGI42+#REF!+TGI59,"")</f>
        <v/>
      </c>
      <c r="TGJ62" s="87" t="str">
        <f>IF(ISNUMBER(outYear),TGJ37+TGJ42+#REF!+TGJ59,"")</f>
        <v/>
      </c>
      <c r="TGK62" s="87" t="str">
        <f>IF(ISNUMBER(outYear),TGK37+TGK42+#REF!+TGK59,"")</f>
        <v/>
      </c>
      <c r="TGL62" s="87" t="str">
        <f>IF(ISNUMBER(outYear),TGL37+TGL42+#REF!+TGL59,"")</f>
        <v/>
      </c>
      <c r="TGM62" s="87" t="str">
        <f>IF(ISNUMBER(outYear),TGM37+TGM42+#REF!+TGM59,"")</f>
        <v/>
      </c>
      <c r="TGN62" s="87" t="str">
        <f>IF(ISNUMBER(outYear),TGN37+TGN42+#REF!+TGN59,"")</f>
        <v/>
      </c>
      <c r="TGO62" s="87" t="str">
        <f>IF(ISNUMBER(outYear),TGO37+TGO42+#REF!+TGO59,"")</f>
        <v/>
      </c>
      <c r="TGP62" s="87" t="str">
        <f>IF(ISNUMBER(outYear),TGP37+TGP42+#REF!+TGP59,"")</f>
        <v/>
      </c>
      <c r="TGQ62" s="87" t="str">
        <f>IF(ISNUMBER(outYear),TGQ37+TGQ42+#REF!+TGQ59,"")</f>
        <v/>
      </c>
      <c r="TGR62" s="87" t="str">
        <f>IF(ISNUMBER(outYear),TGR37+TGR42+#REF!+TGR59,"")</f>
        <v/>
      </c>
      <c r="TGS62" s="87" t="str">
        <f>IF(ISNUMBER(outYear),TGS37+TGS42+#REF!+TGS59,"")</f>
        <v/>
      </c>
      <c r="TGT62" s="87" t="str">
        <f>IF(ISNUMBER(outYear),TGT37+TGT42+#REF!+TGT59,"")</f>
        <v/>
      </c>
      <c r="TGU62" s="87" t="str">
        <f>IF(ISNUMBER(outYear),TGU37+TGU42+#REF!+TGU59,"")</f>
        <v/>
      </c>
      <c r="TGV62" s="87" t="str">
        <f>IF(ISNUMBER(outYear),TGV37+TGV42+#REF!+TGV59,"")</f>
        <v/>
      </c>
      <c r="TGW62" s="87" t="str">
        <f>IF(ISNUMBER(outYear),TGW37+TGW42+#REF!+TGW59,"")</f>
        <v/>
      </c>
      <c r="TGX62" s="87" t="str">
        <f>IF(ISNUMBER(outYear),TGX37+TGX42+#REF!+TGX59,"")</f>
        <v/>
      </c>
      <c r="TGY62" s="87" t="str">
        <f>IF(ISNUMBER(outYear),TGY37+TGY42+#REF!+TGY59,"")</f>
        <v/>
      </c>
      <c r="TGZ62" s="87" t="str">
        <f>IF(ISNUMBER(outYear),TGZ37+TGZ42+#REF!+TGZ59,"")</f>
        <v/>
      </c>
      <c r="THA62" s="87" t="str">
        <f>IF(ISNUMBER(outYear),THA37+THA42+#REF!+THA59,"")</f>
        <v/>
      </c>
      <c r="THB62" s="87" t="str">
        <f>IF(ISNUMBER(outYear),THB37+THB42+#REF!+THB59,"")</f>
        <v/>
      </c>
      <c r="THC62" s="87" t="str">
        <f>IF(ISNUMBER(outYear),THC37+THC42+#REF!+THC59,"")</f>
        <v/>
      </c>
      <c r="THD62" s="87" t="str">
        <f>IF(ISNUMBER(outYear),THD37+THD42+#REF!+THD59,"")</f>
        <v/>
      </c>
      <c r="THE62" s="87" t="str">
        <f>IF(ISNUMBER(outYear),THE37+THE42+#REF!+THE59,"")</f>
        <v/>
      </c>
      <c r="THF62" s="87" t="str">
        <f>IF(ISNUMBER(outYear),THF37+THF42+#REF!+THF59,"")</f>
        <v/>
      </c>
      <c r="THG62" s="87" t="str">
        <f>IF(ISNUMBER(outYear),THG37+THG42+#REF!+THG59,"")</f>
        <v/>
      </c>
      <c r="THH62" s="87" t="str">
        <f>IF(ISNUMBER(outYear),THH37+THH42+#REF!+THH59,"")</f>
        <v/>
      </c>
      <c r="THI62" s="87" t="str">
        <f>IF(ISNUMBER(outYear),THI37+THI42+#REF!+THI59,"")</f>
        <v/>
      </c>
      <c r="THJ62" s="87" t="str">
        <f>IF(ISNUMBER(outYear),THJ37+THJ42+#REF!+THJ59,"")</f>
        <v/>
      </c>
      <c r="THK62" s="87" t="str">
        <f>IF(ISNUMBER(outYear),THK37+THK42+#REF!+THK59,"")</f>
        <v/>
      </c>
      <c r="THL62" s="87" t="str">
        <f>IF(ISNUMBER(outYear),THL37+THL42+#REF!+THL59,"")</f>
        <v/>
      </c>
      <c r="THM62" s="87" t="str">
        <f>IF(ISNUMBER(outYear),THM37+THM42+#REF!+THM59,"")</f>
        <v/>
      </c>
      <c r="THN62" s="87" t="str">
        <f>IF(ISNUMBER(outYear),THN37+THN42+#REF!+THN59,"")</f>
        <v/>
      </c>
      <c r="THO62" s="87" t="str">
        <f>IF(ISNUMBER(outYear),THO37+THO42+#REF!+THO59,"")</f>
        <v/>
      </c>
      <c r="THP62" s="87" t="str">
        <f>IF(ISNUMBER(outYear),THP37+THP42+#REF!+THP59,"")</f>
        <v/>
      </c>
      <c r="THQ62" s="87" t="str">
        <f>IF(ISNUMBER(outYear),THQ37+THQ42+#REF!+THQ59,"")</f>
        <v/>
      </c>
      <c r="THR62" s="87" t="str">
        <f>IF(ISNUMBER(outYear),THR37+THR42+#REF!+THR59,"")</f>
        <v/>
      </c>
      <c r="THS62" s="87" t="str">
        <f>IF(ISNUMBER(outYear),THS37+THS42+#REF!+THS59,"")</f>
        <v/>
      </c>
      <c r="THT62" s="87" t="str">
        <f>IF(ISNUMBER(outYear),THT37+THT42+#REF!+THT59,"")</f>
        <v/>
      </c>
      <c r="THU62" s="87" t="str">
        <f>IF(ISNUMBER(outYear),THU37+THU42+#REF!+THU59,"")</f>
        <v/>
      </c>
      <c r="THV62" s="87" t="str">
        <f>IF(ISNUMBER(outYear),THV37+THV42+#REF!+THV59,"")</f>
        <v/>
      </c>
      <c r="THW62" s="87" t="str">
        <f>IF(ISNUMBER(outYear),THW37+THW42+#REF!+THW59,"")</f>
        <v/>
      </c>
      <c r="THX62" s="87" t="str">
        <f>IF(ISNUMBER(outYear),THX37+THX42+#REF!+THX59,"")</f>
        <v/>
      </c>
      <c r="THY62" s="87" t="str">
        <f>IF(ISNUMBER(outYear),THY37+THY42+#REF!+THY59,"")</f>
        <v/>
      </c>
      <c r="THZ62" s="87" t="str">
        <f>IF(ISNUMBER(outYear),THZ37+THZ42+#REF!+THZ59,"")</f>
        <v/>
      </c>
      <c r="TIA62" s="87" t="str">
        <f>IF(ISNUMBER(outYear),TIA37+TIA42+#REF!+TIA59,"")</f>
        <v/>
      </c>
      <c r="TIB62" s="87" t="str">
        <f>IF(ISNUMBER(outYear),TIB37+TIB42+#REF!+TIB59,"")</f>
        <v/>
      </c>
      <c r="TIC62" s="87" t="str">
        <f>IF(ISNUMBER(outYear),TIC37+TIC42+#REF!+TIC59,"")</f>
        <v/>
      </c>
      <c r="TID62" s="87" t="str">
        <f>IF(ISNUMBER(outYear),TID37+TID42+#REF!+TID59,"")</f>
        <v/>
      </c>
      <c r="TIE62" s="87" t="str">
        <f>IF(ISNUMBER(outYear),TIE37+TIE42+#REF!+TIE59,"")</f>
        <v/>
      </c>
      <c r="TIF62" s="87" t="str">
        <f>IF(ISNUMBER(outYear),TIF37+TIF42+#REF!+TIF59,"")</f>
        <v/>
      </c>
      <c r="TIG62" s="87" t="str">
        <f>IF(ISNUMBER(outYear),TIG37+TIG42+#REF!+TIG59,"")</f>
        <v/>
      </c>
      <c r="TIH62" s="87" t="str">
        <f>IF(ISNUMBER(outYear),TIH37+TIH42+#REF!+TIH59,"")</f>
        <v/>
      </c>
      <c r="TII62" s="87" t="str">
        <f>IF(ISNUMBER(outYear),TII37+TII42+#REF!+TII59,"")</f>
        <v/>
      </c>
      <c r="TIJ62" s="87" t="str">
        <f>IF(ISNUMBER(outYear),TIJ37+TIJ42+#REF!+TIJ59,"")</f>
        <v/>
      </c>
      <c r="TIK62" s="87" t="str">
        <f>IF(ISNUMBER(outYear),TIK37+TIK42+#REF!+TIK59,"")</f>
        <v/>
      </c>
      <c r="TIL62" s="87" t="str">
        <f>IF(ISNUMBER(outYear),TIL37+TIL42+#REF!+TIL59,"")</f>
        <v/>
      </c>
      <c r="TIM62" s="87" t="str">
        <f>IF(ISNUMBER(outYear),TIM37+TIM42+#REF!+TIM59,"")</f>
        <v/>
      </c>
      <c r="TIN62" s="87" t="str">
        <f>IF(ISNUMBER(outYear),TIN37+TIN42+#REF!+TIN59,"")</f>
        <v/>
      </c>
      <c r="TIO62" s="87" t="str">
        <f>IF(ISNUMBER(outYear),TIO37+TIO42+#REF!+TIO59,"")</f>
        <v/>
      </c>
      <c r="TIP62" s="87" t="str">
        <f>IF(ISNUMBER(outYear),TIP37+TIP42+#REF!+TIP59,"")</f>
        <v/>
      </c>
      <c r="TIQ62" s="87" t="str">
        <f>IF(ISNUMBER(outYear),TIQ37+TIQ42+#REF!+TIQ59,"")</f>
        <v/>
      </c>
      <c r="TIR62" s="87" t="str">
        <f>IF(ISNUMBER(outYear),TIR37+TIR42+#REF!+TIR59,"")</f>
        <v/>
      </c>
      <c r="TIS62" s="87" t="str">
        <f>IF(ISNUMBER(outYear),TIS37+TIS42+#REF!+TIS59,"")</f>
        <v/>
      </c>
      <c r="TIT62" s="87" t="str">
        <f>IF(ISNUMBER(outYear),TIT37+TIT42+#REF!+TIT59,"")</f>
        <v/>
      </c>
      <c r="TIU62" s="87" t="str">
        <f>IF(ISNUMBER(outYear),TIU37+TIU42+#REF!+TIU59,"")</f>
        <v/>
      </c>
      <c r="TIV62" s="87" t="str">
        <f>IF(ISNUMBER(outYear),TIV37+TIV42+#REF!+TIV59,"")</f>
        <v/>
      </c>
      <c r="TIW62" s="87" t="str">
        <f>IF(ISNUMBER(outYear),TIW37+TIW42+#REF!+TIW59,"")</f>
        <v/>
      </c>
      <c r="TIX62" s="87" t="str">
        <f>IF(ISNUMBER(outYear),TIX37+TIX42+#REF!+TIX59,"")</f>
        <v/>
      </c>
      <c r="TIY62" s="87" t="str">
        <f>IF(ISNUMBER(outYear),TIY37+TIY42+#REF!+TIY59,"")</f>
        <v/>
      </c>
      <c r="TIZ62" s="87" t="str">
        <f>IF(ISNUMBER(outYear),TIZ37+TIZ42+#REF!+TIZ59,"")</f>
        <v/>
      </c>
      <c r="TJA62" s="87" t="str">
        <f>IF(ISNUMBER(outYear),TJA37+TJA42+#REF!+TJA59,"")</f>
        <v/>
      </c>
      <c r="TJB62" s="87" t="str">
        <f>IF(ISNUMBER(outYear),TJB37+TJB42+#REF!+TJB59,"")</f>
        <v/>
      </c>
      <c r="TJC62" s="87" t="str">
        <f>IF(ISNUMBER(outYear),TJC37+TJC42+#REF!+TJC59,"")</f>
        <v/>
      </c>
      <c r="TJD62" s="87" t="str">
        <f>IF(ISNUMBER(outYear),TJD37+TJD42+#REF!+TJD59,"")</f>
        <v/>
      </c>
      <c r="TJE62" s="87" t="str">
        <f>IF(ISNUMBER(outYear),TJE37+TJE42+#REF!+TJE59,"")</f>
        <v/>
      </c>
      <c r="TJF62" s="87" t="str">
        <f>IF(ISNUMBER(outYear),TJF37+TJF42+#REF!+TJF59,"")</f>
        <v/>
      </c>
      <c r="TJG62" s="87" t="str">
        <f>IF(ISNUMBER(outYear),TJG37+TJG42+#REF!+TJG59,"")</f>
        <v/>
      </c>
      <c r="TJH62" s="87" t="str">
        <f>IF(ISNUMBER(outYear),TJH37+TJH42+#REF!+TJH59,"")</f>
        <v/>
      </c>
      <c r="TJI62" s="87" t="str">
        <f>IF(ISNUMBER(outYear),TJI37+TJI42+#REF!+TJI59,"")</f>
        <v/>
      </c>
      <c r="TJJ62" s="87" t="str">
        <f>IF(ISNUMBER(outYear),TJJ37+TJJ42+#REF!+TJJ59,"")</f>
        <v/>
      </c>
      <c r="TJK62" s="87" t="str">
        <f>IF(ISNUMBER(outYear),TJK37+TJK42+#REF!+TJK59,"")</f>
        <v/>
      </c>
      <c r="TJL62" s="87" t="str">
        <f>IF(ISNUMBER(outYear),TJL37+TJL42+#REF!+TJL59,"")</f>
        <v/>
      </c>
      <c r="TJM62" s="87" t="str">
        <f>IF(ISNUMBER(outYear),TJM37+TJM42+#REF!+TJM59,"")</f>
        <v/>
      </c>
      <c r="TJN62" s="87" t="str">
        <f>IF(ISNUMBER(outYear),TJN37+TJN42+#REF!+TJN59,"")</f>
        <v/>
      </c>
      <c r="TJO62" s="87" t="str">
        <f>IF(ISNUMBER(outYear),TJO37+TJO42+#REF!+TJO59,"")</f>
        <v/>
      </c>
      <c r="TJP62" s="87" t="str">
        <f>IF(ISNUMBER(outYear),TJP37+TJP42+#REF!+TJP59,"")</f>
        <v/>
      </c>
      <c r="TJQ62" s="87" t="str">
        <f>IF(ISNUMBER(outYear),TJQ37+TJQ42+#REF!+TJQ59,"")</f>
        <v/>
      </c>
      <c r="TJR62" s="87" t="str">
        <f>IF(ISNUMBER(outYear),TJR37+TJR42+#REF!+TJR59,"")</f>
        <v/>
      </c>
      <c r="TJS62" s="87" t="str">
        <f>IF(ISNUMBER(outYear),TJS37+TJS42+#REF!+TJS59,"")</f>
        <v/>
      </c>
      <c r="TJT62" s="87" t="str">
        <f>IF(ISNUMBER(outYear),TJT37+TJT42+#REF!+TJT59,"")</f>
        <v/>
      </c>
      <c r="TJU62" s="87" t="str">
        <f>IF(ISNUMBER(outYear),TJU37+TJU42+#REF!+TJU59,"")</f>
        <v/>
      </c>
      <c r="TJV62" s="87" t="str">
        <f>IF(ISNUMBER(outYear),TJV37+TJV42+#REF!+TJV59,"")</f>
        <v/>
      </c>
      <c r="TJW62" s="87" t="str">
        <f>IF(ISNUMBER(outYear),TJW37+TJW42+#REF!+TJW59,"")</f>
        <v/>
      </c>
      <c r="TJX62" s="87" t="str">
        <f>IF(ISNUMBER(outYear),TJX37+TJX42+#REF!+TJX59,"")</f>
        <v/>
      </c>
      <c r="TJY62" s="87" t="str">
        <f>IF(ISNUMBER(outYear),TJY37+TJY42+#REF!+TJY59,"")</f>
        <v/>
      </c>
      <c r="TJZ62" s="87" t="str">
        <f>IF(ISNUMBER(outYear),TJZ37+TJZ42+#REF!+TJZ59,"")</f>
        <v/>
      </c>
      <c r="TKA62" s="87" t="str">
        <f>IF(ISNUMBER(outYear),TKA37+TKA42+#REF!+TKA59,"")</f>
        <v/>
      </c>
      <c r="TKB62" s="87" t="str">
        <f>IF(ISNUMBER(outYear),TKB37+TKB42+#REF!+TKB59,"")</f>
        <v/>
      </c>
      <c r="TKC62" s="87" t="str">
        <f>IF(ISNUMBER(outYear),TKC37+TKC42+#REF!+TKC59,"")</f>
        <v/>
      </c>
      <c r="TKD62" s="87" t="str">
        <f>IF(ISNUMBER(outYear),TKD37+TKD42+#REF!+TKD59,"")</f>
        <v/>
      </c>
      <c r="TKE62" s="87" t="str">
        <f>IF(ISNUMBER(outYear),TKE37+TKE42+#REF!+TKE59,"")</f>
        <v/>
      </c>
      <c r="TKF62" s="87" t="str">
        <f>IF(ISNUMBER(outYear),TKF37+TKF42+#REF!+TKF59,"")</f>
        <v/>
      </c>
      <c r="TKG62" s="87" t="str">
        <f>IF(ISNUMBER(outYear),TKG37+TKG42+#REF!+TKG59,"")</f>
        <v/>
      </c>
      <c r="TKH62" s="87" t="str">
        <f>IF(ISNUMBER(outYear),TKH37+TKH42+#REF!+TKH59,"")</f>
        <v/>
      </c>
      <c r="TKI62" s="87" t="str">
        <f>IF(ISNUMBER(outYear),TKI37+TKI42+#REF!+TKI59,"")</f>
        <v/>
      </c>
      <c r="TKJ62" s="87" t="str">
        <f>IF(ISNUMBER(outYear),TKJ37+TKJ42+#REF!+TKJ59,"")</f>
        <v/>
      </c>
      <c r="TKK62" s="87" t="str">
        <f>IF(ISNUMBER(outYear),TKK37+TKK42+#REF!+TKK59,"")</f>
        <v/>
      </c>
      <c r="TKL62" s="87" t="str">
        <f>IF(ISNUMBER(outYear),TKL37+TKL42+#REF!+TKL59,"")</f>
        <v/>
      </c>
      <c r="TKM62" s="87" t="str">
        <f>IF(ISNUMBER(outYear),TKM37+TKM42+#REF!+TKM59,"")</f>
        <v/>
      </c>
      <c r="TKN62" s="87" t="str">
        <f>IF(ISNUMBER(outYear),TKN37+TKN42+#REF!+TKN59,"")</f>
        <v/>
      </c>
      <c r="TKO62" s="87" t="str">
        <f>IF(ISNUMBER(outYear),TKO37+TKO42+#REF!+TKO59,"")</f>
        <v/>
      </c>
      <c r="TKP62" s="87" t="str">
        <f>IF(ISNUMBER(outYear),TKP37+TKP42+#REF!+TKP59,"")</f>
        <v/>
      </c>
      <c r="TKQ62" s="87" t="str">
        <f>IF(ISNUMBER(outYear),TKQ37+TKQ42+#REF!+TKQ59,"")</f>
        <v/>
      </c>
      <c r="TKR62" s="87" t="str">
        <f>IF(ISNUMBER(outYear),TKR37+TKR42+#REF!+TKR59,"")</f>
        <v/>
      </c>
      <c r="TKS62" s="87" t="str">
        <f>IF(ISNUMBER(outYear),TKS37+TKS42+#REF!+TKS59,"")</f>
        <v/>
      </c>
      <c r="TKT62" s="87" t="str">
        <f>IF(ISNUMBER(outYear),TKT37+TKT42+#REF!+TKT59,"")</f>
        <v/>
      </c>
      <c r="TKU62" s="87" t="str">
        <f>IF(ISNUMBER(outYear),TKU37+TKU42+#REF!+TKU59,"")</f>
        <v/>
      </c>
      <c r="TKV62" s="87" t="str">
        <f>IF(ISNUMBER(outYear),TKV37+TKV42+#REF!+TKV59,"")</f>
        <v/>
      </c>
      <c r="TKW62" s="87" t="str">
        <f>IF(ISNUMBER(outYear),TKW37+TKW42+#REF!+TKW59,"")</f>
        <v/>
      </c>
      <c r="TKX62" s="87" t="str">
        <f>IF(ISNUMBER(outYear),TKX37+TKX42+#REF!+TKX59,"")</f>
        <v/>
      </c>
      <c r="TKY62" s="87" t="str">
        <f>IF(ISNUMBER(outYear),TKY37+TKY42+#REF!+TKY59,"")</f>
        <v/>
      </c>
      <c r="TKZ62" s="87" t="str">
        <f>IF(ISNUMBER(outYear),TKZ37+TKZ42+#REF!+TKZ59,"")</f>
        <v/>
      </c>
      <c r="TLA62" s="87" t="str">
        <f>IF(ISNUMBER(outYear),TLA37+TLA42+#REF!+TLA59,"")</f>
        <v/>
      </c>
      <c r="TLB62" s="87" t="str">
        <f>IF(ISNUMBER(outYear),TLB37+TLB42+#REF!+TLB59,"")</f>
        <v/>
      </c>
      <c r="TLC62" s="87" t="str">
        <f>IF(ISNUMBER(outYear),TLC37+TLC42+#REF!+TLC59,"")</f>
        <v/>
      </c>
      <c r="TLD62" s="87" t="str">
        <f>IF(ISNUMBER(outYear),TLD37+TLD42+#REF!+TLD59,"")</f>
        <v/>
      </c>
      <c r="TLE62" s="87" t="str">
        <f>IF(ISNUMBER(outYear),TLE37+TLE42+#REF!+TLE59,"")</f>
        <v/>
      </c>
      <c r="TLF62" s="87" t="str">
        <f>IF(ISNUMBER(outYear),TLF37+TLF42+#REF!+TLF59,"")</f>
        <v/>
      </c>
      <c r="TLG62" s="87" t="str">
        <f>IF(ISNUMBER(outYear),TLG37+TLG42+#REF!+TLG59,"")</f>
        <v/>
      </c>
      <c r="TLH62" s="87" t="str">
        <f>IF(ISNUMBER(outYear),TLH37+TLH42+#REF!+TLH59,"")</f>
        <v/>
      </c>
      <c r="TLI62" s="87" t="str">
        <f>IF(ISNUMBER(outYear),TLI37+TLI42+#REF!+TLI59,"")</f>
        <v/>
      </c>
      <c r="TLJ62" s="87" t="str">
        <f>IF(ISNUMBER(outYear),TLJ37+TLJ42+#REF!+TLJ59,"")</f>
        <v/>
      </c>
      <c r="TLK62" s="87" t="str">
        <f>IF(ISNUMBER(outYear),TLK37+TLK42+#REF!+TLK59,"")</f>
        <v/>
      </c>
      <c r="TLL62" s="87" t="str">
        <f>IF(ISNUMBER(outYear),TLL37+TLL42+#REF!+TLL59,"")</f>
        <v/>
      </c>
      <c r="TLM62" s="87" t="str">
        <f>IF(ISNUMBER(outYear),TLM37+TLM42+#REF!+TLM59,"")</f>
        <v/>
      </c>
      <c r="TLN62" s="87" t="str">
        <f>IF(ISNUMBER(outYear),TLN37+TLN42+#REF!+TLN59,"")</f>
        <v/>
      </c>
      <c r="TLO62" s="87" t="str">
        <f>IF(ISNUMBER(outYear),TLO37+TLO42+#REF!+TLO59,"")</f>
        <v/>
      </c>
      <c r="TLP62" s="87" t="str">
        <f>IF(ISNUMBER(outYear),TLP37+TLP42+#REF!+TLP59,"")</f>
        <v/>
      </c>
      <c r="TLQ62" s="87" t="str">
        <f>IF(ISNUMBER(outYear),TLQ37+TLQ42+#REF!+TLQ59,"")</f>
        <v/>
      </c>
      <c r="TLR62" s="87" t="str">
        <f>IF(ISNUMBER(outYear),TLR37+TLR42+#REF!+TLR59,"")</f>
        <v/>
      </c>
      <c r="TLS62" s="87" t="str">
        <f>IF(ISNUMBER(outYear),TLS37+TLS42+#REF!+TLS59,"")</f>
        <v/>
      </c>
      <c r="TLT62" s="87" t="str">
        <f>IF(ISNUMBER(outYear),TLT37+TLT42+#REF!+TLT59,"")</f>
        <v/>
      </c>
      <c r="TLU62" s="87" t="str">
        <f>IF(ISNUMBER(outYear),TLU37+TLU42+#REF!+TLU59,"")</f>
        <v/>
      </c>
      <c r="TLV62" s="87" t="str">
        <f>IF(ISNUMBER(outYear),TLV37+TLV42+#REF!+TLV59,"")</f>
        <v/>
      </c>
      <c r="TLW62" s="87" t="str">
        <f>IF(ISNUMBER(outYear),TLW37+TLW42+#REF!+TLW59,"")</f>
        <v/>
      </c>
      <c r="TLX62" s="87" t="str">
        <f>IF(ISNUMBER(outYear),TLX37+TLX42+#REF!+TLX59,"")</f>
        <v/>
      </c>
      <c r="TLY62" s="87" t="str">
        <f>IF(ISNUMBER(outYear),TLY37+TLY42+#REF!+TLY59,"")</f>
        <v/>
      </c>
      <c r="TLZ62" s="87" t="str">
        <f>IF(ISNUMBER(outYear),TLZ37+TLZ42+#REF!+TLZ59,"")</f>
        <v/>
      </c>
      <c r="TMA62" s="87" t="str">
        <f>IF(ISNUMBER(outYear),TMA37+TMA42+#REF!+TMA59,"")</f>
        <v/>
      </c>
      <c r="TMB62" s="87" t="str">
        <f>IF(ISNUMBER(outYear),TMB37+TMB42+#REF!+TMB59,"")</f>
        <v/>
      </c>
      <c r="TMC62" s="87" t="str">
        <f>IF(ISNUMBER(outYear),TMC37+TMC42+#REF!+TMC59,"")</f>
        <v/>
      </c>
      <c r="TMD62" s="87" t="str">
        <f>IF(ISNUMBER(outYear),TMD37+TMD42+#REF!+TMD59,"")</f>
        <v/>
      </c>
      <c r="TME62" s="87" t="str">
        <f>IF(ISNUMBER(outYear),TME37+TME42+#REF!+TME59,"")</f>
        <v/>
      </c>
      <c r="TMF62" s="87" t="str">
        <f>IF(ISNUMBER(outYear),TMF37+TMF42+#REF!+TMF59,"")</f>
        <v/>
      </c>
      <c r="TMG62" s="87" t="str">
        <f>IF(ISNUMBER(outYear),TMG37+TMG42+#REF!+TMG59,"")</f>
        <v/>
      </c>
      <c r="TMH62" s="87" t="str">
        <f>IF(ISNUMBER(outYear),TMH37+TMH42+#REF!+TMH59,"")</f>
        <v/>
      </c>
      <c r="TMI62" s="87" t="str">
        <f>IF(ISNUMBER(outYear),TMI37+TMI42+#REF!+TMI59,"")</f>
        <v/>
      </c>
      <c r="TMJ62" s="87" t="str">
        <f>IF(ISNUMBER(outYear),TMJ37+TMJ42+#REF!+TMJ59,"")</f>
        <v/>
      </c>
      <c r="TMK62" s="87" t="str">
        <f>IF(ISNUMBER(outYear),TMK37+TMK42+#REF!+TMK59,"")</f>
        <v/>
      </c>
      <c r="TML62" s="87" t="str">
        <f>IF(ISNUMBER(outYear),TML37+TML42+#REF!+TML59,"")</f>
        <v/>
      </c>
      <c r="TMM62" s="87" t="str">
        <f>IF(ISNUMBER(outYear),TMM37+TMM42+#REF!+TMM59,"")</f>
        <v/>
      </c>
      <c r="TMN62" s="87" t="str">
        <f>IF(ISNUMBER(outYear),TMN37+TMN42+#REF!+TMN59,"")</f>
        <v/>
      </c>
      <c r="TMO62" s="87" t="str">
        <f>IF(ISNUMBER(outYear),TMO37+TMO42+#REF!+TMO59,"")</f>
        <v/>
      </c>
      <c r="TMP62" s="87" t="str">
        <f>IF(ISNUMBER(outYear),TMP37+TMP42+#REF!+TMP59,"")</f>
        <v/>
      </c>
      <c r="TMQ62" s="87" t="str">
        <f>IF(ISNUMBER(outYear),TMQ37+TMQ42+#REF!+TMQ59,"")</f>
        <v/>
      </c>
      <c r="TMR62" s="87" t="str">
        <f>IF(ISNUMBER(outYear),TMR37+TMR42+#REF!+TMR59,"")</f>
        <v/>
      </c>
      <c r="TMS62" s="87" t="str">
        <f>IF(ISNUMBER(outYear),TMS37+TMS42+#REF!+TMS59,"")</f>
        <v/>
      </c>
      <c r="TMT62" s="87" t="str">
        <f>IF(ISNUMBER(outYear),TMT37+TMT42+#REF!+TMT59,"")</f>
        <v/>
      </c>
      <c r="TMU62" s="87" t="str">
        <f>IF(ISNUMBER(outYear),TMU37+TMU42+#REF!+TMU59,"")</f>
        <v/>
      </c>
      <c r="TMV62" s="87" t="str">
        <f>IF(ISNUMBER(outYear),TMV37+TMV42+#REF!+TMV59,"")</f>
        <v/>
      </c>
      <c r="TMW62" s="87" t="str">
        <f>IF(ISNUMBER(outYear),TMW37+TMW42+#REF!+TMW59,"")</f>
        <v/>
      </c>
      <c r="TMX62" s="87" t="str">
        <f>IF(ISNUMBER(outYear),TMX37+TMX42+#REF!+TMX59,"")</f>
        <v/>
      </c>
      <c r="TMY62" s="87" t="str">
        <f>IF(ISNUMBER(outYear),TMY37+TMY42+#REF!+TMY59,"")</f>
        <v/>
      </c>
      <c r="TMZ62" s="87" t="str">
        <f>IF(ISNUMBER(outYear),TMZ37+TMZ42+#REF!+TMZ59,"")</f>
        <v/>
      </c>
      <c r="TNA62" s="87" t="str">
        <f>IF(ISNUMBER(outYear),TNA37+TNA42+#REF!+TNA59,"")</f>
        <v/>
      </c>
      <c r="TNB62" s="87" t="str">
        <f>IF(ISNUMBER(outYear),TNB37+TNB42+#REF!+TNB59,"")</f>
        <v/>
      </c>
      <c r="TNC62" s="87" t="str">
        <f>IF(ISNUMBER(outYear),TNC37+TNC42+#REF!+TNC59,"")</f>
        <v/>
      </c>
      <c r="TND62" s="87" t="str">
        <f>IF(ISNUMBER(outYear),TND37+TND42+#REF!+TND59,"")</f>
        <v/>
      </c>
      <c r="TNE62" s="87" t="str">
        <f>IF(ISNUMBER(outYear),TNE37+TNE42+#REF!+TNE59,"")</f>
        <v/>
      </c>
      <c r="TNF62" s="87" t="str">
        <f>IF(ISNUMBER(outYear),TNF37+TNF42+#REF!+TNF59,"")</f>
        <v/>
      </c>
      <c r="TNG62" s="87" t="str">
        <f>IF(ISNUMBER(outYear),TNG37+TNG42+#REF!+TNG59,"")</f>
        <v/>
      </c>
      <c r="TNH62" s="87" t="str">
        <f>IF(ISNUMBER(outYear),TNH37+TNH42+#REF!+TNH59,"")</f>
        <v/>
      </c>
      <c r="TNI62" s="87" t="str">
        <f>IF(ISNUMBER(outYear),TNI37+TNI42+#REF!+TNI59,"")</f>
        <v/>
      </c>
      <c r="TNJ62" s="87" t="str">
        <f>IF(ISNUMBER(outYear),TNJ37+TNJ42+#REF!+TNJ59,"")</f>
        <v/>
      </c>
      <c r="TNK62" s="87" t="str">
        <f>IF(ISNUMBER(outYear),TNK37+TNK42+#REF!+TNK59,"")</f>
        <v/>
      </c>
      <c r="TNL62" s="87" t="str">
        <f>IF(ISNUMBER(outYear),TNL37+TNL42+#REF!+TNL59,"")</f>
        <v/>
      </c>
      <c r="TNM62" s="87" t="str">
        <f>IF(ISNUMBER(outYear),TNM37+TNM42+#REF!+TNM59,"")</f>
        <v/>
      </c>
      <c r="TNN62" s="87" t="str">
        <f>IF(ISNUMBER(outYear),TNN37+TNN42+#REF!+TNN59,"")</f>
        <v/>
      </c>
      <c r="TNO62" s="87" t="str">
        <f>IF(ISNUMBER(outYear),TNO37+TNO42+#REF!+TNO59,"")</f>
        <v/>
      </c>
      <c r="TNP62" s="87" t="str">
        <f>IF(ISNUMBER(outYear),TNP37+TNP42+#REF!+TNP59,"")</f>
        <v/>
      </c>
      <c r="TNQ62" s="87" t="str">
        <f>IF(ISNUMBER(outYear),TNQ37+TNQ42+#REF!+TNQ59,"")</f>
        <v/>
      </c>
      <c r="TNR62" s="87" t="str">
        <f>IF(ISNUMBER(outYear),TNR37+TNR42+#REF!+TNR59,"")</f>
        <v/>
      </c>
      <c r="TNS62" s="87" t="str">
        <f>IF(ISNUMBER(outYear),TNS37+TNS42+#REF!+TNS59,"")</f>
        <v/>
      </c>
      <c r="TNT62" s="87" t="str">
        <f>IF(ISNUMBER(outYear),TNT37+TNT42+#REF!+TNT59,"")</f>
        <v/>
      </c>
      <c r="TNU62" s="87" t="str">
        <f>IF(ISNUMBER(outYear),TNU37+TNU42+#REF!+TNU59,"")</f>
        <v/>
      </c>
      <c r="TNV62" s="87" t="str">
        <f>IF(ISNUMBER(outYear),TNV37+TNV42+#REF!+TNV59,"")</f>
        <v/>
      </c>
      <c r="TNW62" s="87" t="str">
        <f>IF(ISNUMBER(outYear),TNW37+TNW42+#REF!+TNW59,"")</f>
        <v/>
      </c>
      <c r="TNX62" s="87" t="str">
        <f>IF(ISNUMBER(outYear),TNX37+TNX42+#REF!+TNX59,"")</f>
        <v/>
      </c>
      <c r="TNY62" s="87" t="str">
        <f>IF(ISNUMBER(outYear),TNY37+TNY42+#REF!+TNY59,"")</f>
        <v/>
      </c>
      <c r="TNZ62" s="87" t="str">
        <f>IF(ISNUMBER(outYear),TNZ37+TNZ42+#REF!+TNZ59,"")</f>
        <v/>
      </c>
      <c r="TOA62" s="87" t="str">
        <f>IF(ISNUMBER(outYear),TOA37+TOA42+#REF!+TOA59,"")</f>
        <v/>
      </c>
      <c r="TOB62" s="87" t="str">
        <f>IF(ISNUMBER(outYear),TOB37+TOB42+#REF!+TOB59,"")</f>
        <v/>
      </c>
      <c r="TOC62" s="87" t="str">
        <f>IF(ISNUMBER(outYear),TOC37+TOC42+#REF!+TOC59,"")</f>
        <v/>
      </c>
      <c r="TOD62" s="87" t="str">
        <f>IF(ISNUMBER(outYear),TOD37+TOD42+#REF!+TOD59,"")</f>
        <v/>
      </c>
      <c r="TOE62" s="87" t="str">
        <f>IF(ISNUMBER(outYear),TOE37+TOE42+#REF!+TOE59,"")</f>
        <v/>
      </c>
      <c r="TOF62" s="87" t="str">
        <f>IF(ISNUMBER(outYear),TOF37+TOF42+#REF!+TOF59,"")</f>
        <v/>
      </c>
      <c r="TOG62" s="87" t="str">
        <f>IF(ISNUMBER(outYear),TOG37+TOG42+#REF!+TOG59,"")</f>
        <v/>
      </c>
      <c r="TOH62" s="87" t="str">
        <f>IF(ISNUMBER(outYear),TOH37+TOH42+#REF!+TOH59,"")</f>
        <v/>
      </c>
      <c r="TOI62" s="87" t="str">
        <f>IF(ISNUMBER(outYear),TOI37+TOI42+#REF!+TOI59,"")</f>
        <v/>
      </c>
      <c r="TOJ62" s="87" t="str">
        <f>IF(ISNUMBER(outYear),TOJ37+TOJ42+#REF!+TOJ59,"")</f>
        <v/>
      </c>
      <c r="TOK62" s="87" t="str">
        <f>IF(ISNUMBER(outYear),TOK37+TOK42+#REF!+TOK59,"")</f>
        <v/>
      </c>
      <c r="TOL62" s="87" t="str">
        <f>IF(ISNUMBER(outYear),TOL37+TOL42+#REF!+TOL59,"")</f>
        <v/>
      </c>
      <c r="TOM62" s="87" t="str">
        <f>IF(ISNUMBER(outYear),TOM37+TOM42+#REF!+TOM59,"")</f>
        <v/>
      </c>
      <c r="TON62" s="87" t="str">
        <f>IF(ISNUMBER(outYear),TON37+TON42+#REF!+TON59,"")</f>
        <v/>
      </c>
      <c r="TOO62" s="87" t="str">
        <f>IF(ISNUMBER(outYear),TOO37+TOO42+#REF!+TOO59,"")</f>
        <v/>
      </c>
      <c r="TOP62" s="87" t="str">
        <f>IF(ISNUMBER(outYear),TOP37+TOP42+#REF!+TOP59,"")</f>
        <v/>
      </c>
      <c r="TOQ62" s="87" t="str">
        <f>IF(ISNUMBER(outYear),TOQ37+TOQ42+#REF!+TOQ59,"")</f>
        <v/>
      </c>
      <c r="TOR62" s="87" t="str">
        <f>IF(ISNUMBER(outYear),TOR37+TOR42+#REF!+TOR59,"")</f>
        <v/>
      </c>
      <c r="TOS62" s="87" t="str">
        <f>IF(ISNUMBER(outYear),TOS37+TOS42+#REF!+TOS59,"")</f>
        <v/>
      </c>
      <c r="TOT62" s="87" t="str">
        <f>IF(ISNUMBER(outYear),TOT37+TOT42+#REF!+TOT59,"")</f>
        <v/>
      </c>
      <c r="TOU62" s="87" t="str">
        <f>IF(ISNUMBER(outYear),TOU37+TOU42+#REF!+TOU59,"")</f>
        <v/>
      </c>
      <c r="TOV62" s="87" t="str">
        <f>IF(ISNUMBER(outYear),TOV37+TOV42+#REF!+TOV59,"")</f>
        <v/>
      </c>
      <c r="TOW62" s="87" t="str">
        <f>IF(ISNUMBER(outYear),TOW37+TOW42+#REF!+TOW59,"")</f>
        <v/>
      </c>
      <c r="TOX62" s="87" t="str">
        <f>IF(ISNUMBER(outYear),TOX37+TOX42+#REF!+TOX59,"")</f>
        <v/>
      </c>
      <c r="TOY62" s="87" t="str">
        <f>IF(ISNUMBER(outYear),TOY37+TOY42+#REF!+TOY59,"")</f>
        <v/>
      </c>
      <c r="TOZ62" s="87" t="str">
        <f>IF(ISNUMBER(outYear),TOZ37+TOZ42+#REF!+TOZ59,"")</f>
        <v/>
      </c>
      <c r="TPA62" s="87" t="str">
        <f>IF(ISNUMBER(outYear),TPA37+TPA42+#REF!+TPA59,"")</f>
        <v/>
      </c>
      <c r="TPB62" s="87" t="str">
        <f>IF(ISNUMBER(outYear),TPB37+TPB42+#REF!+TPB59,"")</f>
        <v/>
      </c>
      <c r="TPC62" s="87" t="str">
        <f>IF(ISNUMBER(outYear),TPC37+TPC42+#REF!+TPC59,"")</f>
        <v/>
      </c>
      <c r="TPD62" s="87" t="str">
        <f>IF(ISNUMBER(outYear),TPD37+TPD42+#REF!+TPD59,"")</f>
        <v/>
      </c>
      <c r="TPE62" s="87" t="str">
        <f>IF(ISNUMBER(outYear),TPE37+TPE42+#REF!+TPE59,"")</f>
        <v/>
      </c>
      <c r="TPF62" s="87" t="str">
        <f>IF(ISNUMBER(outYear),TPF37+TPF42+#REF!+TPF59,"")</f>
        <v/>
      </c>
      <c r="TPG62" s="87" t="str">
        <f>IF(ISNUMBER(outYear),TPG37+TPG42+#REF!+TPG59,"")</f>
        <v/>
      </c>
      <c r="TPH62" s="87" t="str">
        <f>IF(ISNUMBER(outYear),TPH37+TPH42+#REF!+TPH59,"")</f>
        <v/>
      </c>
      <c r="TPI62" s="87" t="str">
        <f>IF(ISNUMBER(outYear),TPI37+TPI42+#REF!+TPI59,"")</f>
        <v/>
      </c>
      <c r="TPJ62" s="87" t="str">
        <f>IF(ISNUMBER(outYear),TPJ37+TPJ42+#REF!+TPJ59,"")</f>
        <v/>
      </c>
      <c r="TPK62" s="87" t="str">
        <f>IF(ISNUMBER(outYear),TPK37+TPK42+#REF!+TPK59,"")</f>
        <v/>
      </c>
      <c r="TPL62" s="87" t="str">
        <f>IF(ISNUMBER(outYear),TPL37+TPL42+#REF!+TPL59,"")</f>
        <v/>
      </c>
      <c r="TPM62" s="87" t="str">
        <f>IF(ISNUMBER(outYear),TPM37+TPM42+#REF!+TPM59,"")</f>
        <v/>
      </c>
      <c r="TPN62" s="87" t="str">
        <f>IF(ISNUMBER(outYear),TPN37+TPN42+#REF!+TPN59,"")</f>
        <v/>
      </c>
      <c r="TPO62" s="87" t="str">
        <f>IF(ISNUMBER(outYear),TPO37+TPO42+#REF!+TPO59,"")</f>
        <v/>
      </c>
      <c r="TPP62" s="87" t="str">
        <f>IF(ISNUMBER(outYear),TPP37+TPP42+#REF!+TPP59,"")</f>
        <v/>
      </c>
      <c r="TPQ62" s="87" t="str">
        <f>IF(ISNUMBER(outYear),TPQ37+TPQ42+#REF!+TPQ59,"")</f>
        <v/>
      </c>
      <c r="TPR62" s="87" t="str">
        <f>IF(ISNUMBER(outYear),TPR37+TPR42+#REF!+TPR59,"")</f>
        <v/>
      </c>
      <c r="TPS62" s="87" t="str">
        <f>IF(ISNUMBER(outYear),TPS37+TPS42+#REF!+TPS59,"")</f>
        <v/>
      </c>
      <c r="TPT62" s="87" t="str">
        <f>IF(ISNUMBER(outYear),TPT37+TPT42+#REF!+TPT59,"")</f>
        <v/>
      </c>
      <c r="TPU62" s="87" t="str">
        <f>IF(ISNUMBER(outYear),TPU37+TPU42+#REF!+TPU59,"")</f>
        <v/>
      </c>
      <c r="TPV62" s="87" t="str">
        <f>IF(ISNUMBER(outYear),TPV37+TPV42+#REF!+TPV59,"")</f>
        <v/>
      </c>
      <c r="TPW62" s="87" t="str">
        <f>IF(ISNUMBER(outYear),TPW37+TPW42+#REF!+TPW59,"")</f>
        <v/>
      </c>
      <c r="TPX62" s="87" t="str">
        <f>IF(ISNUMBER(outYear),TPX37+TPX42+#REF!+TPX59,"")</f>
        <v/>
      </c>
      <c r="TPY62" s="87" t="str">
        <f>IF(ISNUMBER(outYear),TPY37+TPY42+#REF!+TPY59,"")</f>
        <v/>
      </c>
      <c r="TPZ62" s="87" t="str">
        <f>IF(ISNUMBER(outYear),TPZ37+TPZ42+#REF!+TPZ59,"")</f>
        <v/>
      </c>
      <c r="TQA62" s="87" t="str">
        <f>IF(ISNUMBER(outYear),TQA37+TQA42+#REF!+TQA59,"")</f>
        <v/>
      </c>
      <c r="TQB62" s="87" t="str">
        <f>IF(ISNUMBER(outYear),TQB37+TQB42+#REF!+TQB59,"")</f>
        <v/>
      </c>
      <c r="TQC62" s="87" t="str">
        <f>IF(ISNUMBER(outYear),TQC37+TQC42+#REF!+TQC59,"")</f>
        <v/>
      </c>
      <c r="TQD62" s="87" t="str">
        <f>IF(ISNUMBER(outYear),TQD37+TQD42+#REF!+TQD59,"")</f>
        <v/>
      </c>
      <c r="TQE62" s="87" t="str">
        <f>IF(ISNUMBER(outYear),TQE37+TQE42+#REF!+TQE59,"")</f>
        <v/>
      </c>
      <c r="TQF62" s="87" t="str">
        <f>IF(ISNUMBER(outYear),TQF37+TQF42+#REF!+TQF59,"")</f>
        <v/>
      </c>
      <c r="TQG62" s="87" t="str">
        <f>IF(ISNUMBER(outYear),TQG37+TQG42+#REF!+TQG59,"")</f>
        <v/>
      </c>
      <c r="TQH62" s="87" t="str">
        <f>IF(ISNUMBER(outYear),TQH37+TQH42+#REF!+TQH59,"")</f>
        <v/>
      </c>
      <c r="TQI62" s="87" t="str">
        <f>IF(ISNUMBER(outYear),TQI37+TQI42+#REF!+TQI59,"")</f>
        <v/>
      </c>
      <c r="TQJ62" s="87" t="str">
        <f>IF(ISNUMBER(outYear),TQJ37+TQJ42+#REF!+TQJ59,"")</f>
        <v/>
      </c>
      <c r="TQK62" s="87" t="str">
        <f>IF(ISNUMBER(outYear),TQK37+TQK42+#REF!+TQK59,"")</f>
        <v/>
      </c>
      <c r="TQL62" s="87" t="str">
        <f>IF(ISNUMBER(outYear),TQL37+TQL42+#REF!+TQL59,"")</f>
        <v/>
      </c>
      <c r="TQM62" s="87" t="str">
        <f>IF(ISNUMBER(outYear),TQM37+TQM42+#REF!+TQM59,"")</f>
        <v/>
      </c>
      <c r="TQN62" s="87" t="str">
        <f>IF(ISNUMBER(outYear),TQN37+TQN42+#REF!+TQN59,"")</f>
        <v/>
      </c>
      <c r="TQO62" s="87" t="str">
        <f>IF(ISNUMBER(outYear),TQO37+TQO42+#REF!+TQO59,"")</f>
        <v/>
      </c>
      <c r="TQP62" s="87" t="str">
        <f>IF(ISNUMBER(outYear),TQP37+TQP42+#REF!+TQP59,"")</f>
        <v/>
      </c>
      <c r="TQQ62" s="87" t="str">
        <f>IF(ISNUMBER(outYear),TQQ37+TQQ42+#REF!+TQQ59,"")</f>
        <v/>
      </c>
      <c r="TQR62" s="87" t="str">
        <f>IF(ISNUMBER(outYear),TQR37+TQR42+#REF!+TQR59,"")</f>
        <v/>
      </c>
      <c r="TQS62" s="87" t="str">
        <f>IF(ISNUMBER(outYear),TQS37+TQS42+#REF!+TQS59,"")</f>
        <v/>
      </c>
      <c r="TQT62" s="87" t="str">
        <f>IF(ISNUMBER(outYear),TQT37+TQT42+#REF!+TQT59,"")</f>
        <v/>
      </c>
      <c r="TQU62" s="87" t="str">
        <f>IF(ISNUMBER(outYear),TQU37+TQU42+#REF!+TQU59,"")</f>
        <v/>
      </c>
      <c r="TQV62" s="87" t="str">
        <f>IF(ISNUMBER(outYear),TQV37+TQV42+#REF!+TQV59,"")</f>
        <v/>
      </c>
      <c r="TQW62" s="87" t="str">
        <f>IF(ISNUMBER(outYear),TQW37+TQW42+#REF!+TQW59,"")</f>
        <v/>
      </c>
      <c r="TQX62" s="87" t="str">
        <f>IF(ISNUMBER(outYear),TQX37+TQX42+#REF!+TQX59,"")</f>
        <v/>
      </c>
      <c r="TQY62" s="87" t="str">
        <f>IF(ISNUMBER(outYear),TQY37+TQY42+#REF!+TQY59,"")</f>
        <v/>
      </c>
      <c r="TQZ62" s="87" t="str">
        <f>IF(ISNUMBER(outYear),TQZ37+TQZ42+#REF!+TQZ59,"")</f>
        <v/>
      </c>
      <c r="TRA62" s="87" t="str">
        <f>IF(ISNUMBER(outYear),TRA37+TRA42+#REF!+TRA59,"")</f>
        <v/>
      </c>
      <c r="TRB62" s="87" t="str">
        <f>IF(ISNUMBER(outYear),TRB37+TRB42+#REF!+TRB59,"")</f>
        <v/>
      </c>
      <c r="TRC62" s="87" t="str">
        <f>IF(ISNUMBER(outYear),TRC37+TRC42+#REF!+TRC59,"")</f>
        <v/>
      </c>
      <c r="TRD62" s="87" t="str">
        <f>IF(ISNUMBER(outYear),TRD37+TRD42+#REF!+TRD59,"")</f>
        <v/>
      </c>
      <c r="TRE62" s="87" t="str">
        <f>IF(ISNUMBER(outYear),TRE37+TRE42+#REF!+TRE59,"")</f>
        <v/>
      </c>
      <c r="TRF62" s="87" t="str">
        <f>IF(ISNUMBER(outYear),TRF37+TRF42+#REF!+TRF59,"")</f>
        <v/>
      </c>
      <c r="TRG62" s="87" t="str">
        <f>IF(ISNUMBER(outYear),TRG37+TRG42+#REF!+TRG59,"")</f>
        <v/>
      </c>
      <c r="TRH62" s="87" t="str">
        <f>IF(ISNUMBER(outYear),TRH37+TRH42+#REF!+TRH59,"")</f>
        <v/>
      </c>
      <c r="TRI62" s="87" t="str">
        <f>IF(ISNUMBER(outYear),TRI37+TRI42+#REF!+TRI59,"")</f>
        <v/>
      </c>
      <c r="TRJ62" s="87" t="str">
        <f>IF(ISNUMBER(outYear),TRJ37+TRJ42+#REF!+TRJ59,"")</f>
        <v/>
      </c>
      <c r="TRK62" s="87" t="str">
        <f>IF(ISNUMBER(outYear),TRK37+TRK42+#REF!+TRK59,"")</f>
        <v/>
      </c>
      <c r="TRL62" s="87" t="str">
        <f>IF(ISNUMBER(outYear),TRL37+TRL42+#REF!+TRL59,"")</f>
        <v/>
      </c>
      <c r="TRM62" s="87" t="str">
        <f>IF(ISNUMBER(outYear),TRM37+TRM42+#REF!+TRM59,"")</f>
        <v/>
      </c>
      <c r="TRN62" s="87" t="str">
        <f>IF(ISNUMBER(outYear),TRN37+TRN42+#REF!+TRN59,"")</f>
        <v/>
      </c>
      <c r="TRO62" s="87" t="str">
        <f>IF(ISNUMBER(outYear),TRO37+TRO42+#REF!+TRO59,"")</f>
        <v/>
      </c>
      <c r="TRP62" s="87" t="str">
        <f>IF(ISNUMBER(outYear),TRP37+TRP42+#REF!+TRP59,"")</f>
        <v/>
      </c>
      <c r="TRQ62" s="87" t="str">
        <f>IF(ISNUMBER(outYear),TRQ37+TRQ42+#REF!+TRQ59,"")</f>
        <v/>
      </c>
      <c r="TRR62" s="87" t="str">
        <f>IF(ISNUMBER(outYear),TRR37+TRR42+#REF!+TRR59,"")</f>
        <v/>
      </c>
      <c r="TRS62" s="87" t="str">
        <f>IF(ISNUMBER(outYear),TRS37+TRS42+#REF!+TRS59,"")</f>
        <v/>
      </c>
      <c r="TRT62" s="87" t="str">
        <f>IF(ISNUMBER(outYear),TRT37+TRT42+#REF!+TRT59,"")</f>
        <v/>
      </c>
      <c r="TRU62" s="87" t="str">
        <f>IF(ISNUMBER(outYear),TRU37+TRU42+#REF!+TRU59,"")</f>
        <v/>
      </c>
      <c r="TRV62" s="87" t="str">
        <f>IF(ISNUMBER(outYear),TRV37+TRV42+#REF!+TRV59,"")</f>
        <v/>
      </c>
      <c r="TRW62" s="87" t="str">
        <f>IF(ISNUMBER(outYear),TRW37+TRW42+#REF!+TRW59,"")</f>
        <v/>
      </c>
      <c r="TRX62" s="87" t="str">
        <f>IF(ISNUMBER(outYear),TRX37+TRX42+#REF!+TRX59,"")</f>
        <v/>
      </c>
      <c r="TRY62" s="87" t="str">
        <f>IF(ISNUMBER(outYear),TRY37+TRY42+#REF!+TRY59,"")</f>
        <v/>
      </c>
      <c r="TRZ62" s="87" t="str">
        <f>IF(ISNUMBER(outYear),TRZ37+TRZ42+#REF!+TRZ59,"")</f>
        <v/>
      </c>
      <c r="TSA62" s="87" t="str">
        <f>IF(ISNUMBER(outYear),TSA37+TSA42+#REF!+TSA59,"")</f>
        <v/>
      </c>
      <c r="TSB62" s="87" t="str">
        <f>IF(ISNUMBER(outYear),TSB37+TSB42+#REF!+TSB59,"")</f>
        <v/>
      </c>
      <c r="TSC62" s="87" t="str">
        <f>IF(ISNUMBER(outYear),TSC37+TSC42+#REF!+TSC59,"")</f>
        <v/>
      </c>
      <c r="TSD62" s="87" t="str">
        <f>IF(ISNUMBER(outYear),TSD37+TSD42+#REF!+TSD59,"")</f>
        <v/>
      </c>
      <c r="TSE62" s="87" t="str">
        <f>IF(ISNUMBER(outYear),TSE37+TSE42+#REF!+TSE59,"")</f>
        <v/>
      </c>
      <c r="TSF62" s="87" t="str">
        <f>IF(ISNUMBER(outYear),TSF37+TSF42+#REF!+TSF59,"")</f>
        <v/>
      </c>
      <c r="TSG62" s="87" t="str">
        <f>IF(ISNUMBER(outYear),TSG37+TSG42+#REF!+TSG59,"")</f>
        <v/>
      </c>
      <c r="TSH62" s="87" t="str">
        <f>IF(ISNUMBER(outYear),TSH37+TSH42+#REF!+TSH59,"")</f>
        <v/>
      </c>
      <c r="TSI62" s="87" t="str">
        <f>IF(ISNUMBER(outYear),TSI37+TSI42+#REF!+TSI59,"")</f>
        <v/>
      </c>
      <c r="TSJ62" s="87" t="str">
        <f>IF(ISNUMBER(outYear),TSJ37+TSJ42+#REF!+TSJ59,"")</f>
        <v/>
      </c>
      <c r="TSK62" s="87" t="str">
        <f>IF(ISNUMBER(outYear),TSK37+TSK42+#REF!+TSK59,"")</f>
        <v/>
      </c>
      <c r="TSL62" s="87" t="str">
        <f>IF(ISNUMBER(outYear),TSL37+TSL42+#REF!+TSL59,"")</f>
        <v/>
      </c>
      <c r="TSM62" s="87" t="str">
        <f>IF(ISNUMBER(outYear),TSM37+TSM42+#REF!+TSM59,"")</f>
        <v/>
      </c>
      <c r="TSN62" s="87" t="str">
        <f>IF(ISNUMBER(outYear),TSN37+TSN42+#REF!+TSN59,"")</f>
        <v/>
      </c>
      <c r="TSO62" s="87" t="str">
        <f>IF(ISNUMBER(outYear),TSO37+TSO42+#REF!+TSO59,"")</f>
        <v/>
      </c>
      <c r="TSP62" s="87" t="str">
        <f>IF(ISNUMBER(outYear),TSP37+TSP42+#REF!+TSP59,"")</f>
        <v/>
      </c>
      <c r="TSQ62" s="87" t="str">
        <f>IF(ISNUMBER(outYear),TSQ37+TSQ42+#REF!+TSQ59,"")</f>
        <v/>
      </c>
      <c r="TSR62" s="87" t="str">
        <f>IF(ISNUMBER(outYear),TSR37+TSR42+#REF!+TSR59,"")</f>
        <v/>
      </c>
      <c r="TSS62" s="87" t="str">
        <f>IF(ISNUMBER(outYear),TSS37+TSS42+#REF!+TSS59,"")</f>
        <v/>
      </c>
      <c r="TST62" s="87" t="str">
        <f>IF(ISNUMBER(outYear),TST37+TST42+#REF!+TST59,"")</f>
        <v/>
      </c>
      <c r="TSU62" s="87" t="str">
        <f>IF(ISNUMBER(outYear),TSU37+TSU42+#REF!+TSU59,"")</f>
        <v/>
      </c>
      <c r="TSV62" s="87" t="str">
        <f>IF(ISNUMBER(outYear),TSV37+TSV42+#REF!+TSV59,"")</f>
        <v/>
      </c>
      <c r="TSW62" s="87" t="str">
        <f>IF(ISNUMBER(outYear),TSW37+TSW42+#REF!+TSW59,"")</f>
        <v/>
      </c>
      <c r="TSX62" s="87" t="str">
        <f>IF(ISNUMBER(outYear),TSX37+TSX42+#REF!+TSX59,"")</f>
        <v/>
      </c>
      <c r="TSY62" s="87" t="str">
        <f>IF(ISNUMBER(outYear),TSY37+TSY42+#REF!+TSY59,"")</f>
        <v/>
      </c>
      <c r="TSZ62" s="87" t="str">
        <f>IF(ISNUMBER(outYear),TSZ37+TSZ42+#REF!+TSZ59,"")</f>
        <v/>
      </c>
      <c r="TTA62" s="87" t="str">
        <f>IF(ISNUMBER(outYear),TTA37+TTA42+#REF!+TTA59,"")</f>
        <v/>
      </c>
      <c r="TTB62" s="87" t="str">
        <f>IF(ISNUMBER(outYear),TTB37+TTB42+#REF!+TTB59,"")</f>
        <v/>
      </c>
      <c r="TTC62" s="87" t="str">
        <f>IF(ISNUMBER(outYear),TTC37+TTC42+#REF!+TTC59,"")</f>
        <v/>
      </c>
      <c r="TTD62" s="87" t="str">
        <f>IF(ISNUMBER(outYear),TTD37+TTD42+#REF!+TTD59,"")</f>
        <v/>
      </c>
      <c r="TTE62" s="87" t="str">
        <f>IF(ISNUMBER(outYear),TTE37+TTE42+#REF!+TTE59,"")</f>
        <v/>
      </c>
      <c r="TTF62" s="87" t="str">
        <f>IF(ISNUMBER(outYear),TTF37+TTF42+#REF!+TTF59,"")</f>
        <v/>
      </c>
      <c r="TTG62" s="87" t="str">
        <f>IF(ISNUMBER(outYear),TTG37+TTG42+#REF!+TTG59,"")</f>
        <v/>
      </c>
      <c r="TTH62" s="87" t="str">
        <f>IF(ISNUMBER(outYear),TTH37+TTH42+#REF!+TTH59,"")</f>
        <v/>
      </c>
      <c r="TTI62" s="87" t="str">
        <f>IF(ISNUMBER(outYear),TTI37+TTI42+#REF!+TTI59,"")</f>
        <v/>
      </c>
      <c r="TTJ62" s="87" t="str">
        <f>IF(ISNUMBER(outYear),TTJ37+TTJ42+#REF!+TTJ59,"")</f>
        <v/>
      </c>
      <c r="TTK62" s="87" t="str">
        <f>IF(ISNUMBER(outYear),TTK37+TTK42+#REF!+TTK59,"")</f>
        <v/>
      </c>
      <c r="TTL62" s="87" t="str">
        <f>IF(ISNUMBER(outYear),TTL37+TTL42+#REF!+TTL59,"")</f>
        <v/>
      </c>
      <c r="TTM62" s="87" t="str">
        <f>IF(ISNUMBER(outYear),TTM37+TTM42+#REF!+TTM59,"")</f>
        <v/>
      </c>
      <c r="TTN62" s="87" t="str">
        <f>IF(ISNUMBER(outYear),TTN37+TTN42+#REF!+TTN59,"")</f>
        <v/>
      </c>
      <c r="TTO62" s="87" t="str">
        <f>IF(ISNUMBER(outYear),TTO37+TTO42+#REF!+TTO59,"")</f>
        <v/>
      </c>
      <c r="TTP62" s="87" t="str">
        <f>IF(ISNUMBER(outYear),TTP37+TTP42+#REF!+TTP59,"")</f>
        <v/>
      </c>
      <c r="TTQ62" s="87" t="str">
        <f>IF(ISNUMBER(outYear),TTQ37+TTQ42+#REF!+TTQ59,"")</f>
        <v/>
      </c>
      <c r="TTR62" s="87" t="str">
        <f>IF(ISNUMBER(outYear),TTR37+TTR42+#REF!+TTR59,"")</f>
        <v/>
      </c>
      <c r="TTS62" s="87" t="str">
        <f>IF(ISNUMBER(outYear),TTS37+TTS42+#REF!+TTS59,"")</f>
        <v/>
      </c>
      <c r="TTT62" s="87" t="str">
        <f>IF(ISNUMBER(outYear),TTT37+TTT42+#REF!+TTT59,"")</f>
        <v/>
      </c>
      <c r="TTU62" s="87" t="str">
        <f>IF(ISNUMBER(outYear),TTU37+TTU42+#REF!+TTU59,"")</f>
        <v/>
      </c>
      <c r="TTV62" s="87" t="str">
        <f>IF(ISNUMBER(outYear),TTV37+TTV42+#REF!+TTV59,"")</f>
        <v/>
      </c>
      <c r="TTW62" s="87" t="str">
        <f>IF(ISNUMBER(outYear),TTW37+TTW42+#REF!+TTW59,"")</f>
        <v/>
      </c>
      <c r="TTX62" s="87" t="str">
        <f>IF(ISNUMBER(outYear),TTX37+TTX42+#REF!+TTX59,"")</f>
        <v/>
      </c>
      <c r="TTY62" s="87" t="str">
        <f>IF(ISNUMBER(outYear),TTY37+TTY42+#REF!+TTY59,"")</f>
        <v/>
      </c>
      <c r="TTZ62" s="87" t="str">
        <f>IF(ISNUMBER(outYear),TTZ37+TTZ42+#REF!+TTZ59,"")</f>
        <v/>
      </c>
      <c r="TUA62" s="87" t="str">
        <f>IF(ISNUMBER(outYear),TUA37+TUA42+#REF!+TUA59,"")</f>
        <v/>
      </c>
      <c r="TUB62" s="87" t="str">
        <f>IF(ISNUMBER(outYear),TUB37+TUB42+#REF!+TUB59,"")</f>
        <v/>
      </c>
      <c r="TUC62" s="87" t="str">
        <f>IF(ISNUMBER(outYear),TUC37+TUC42+#REF!+TUC59,"")</f>
        <v/>
      </c>
      <c r="TUD62" s="87" t="str">
        <f>IF(ISNUMBER(outYear),TUD37+TUD42+#REF!+TUD59,"")</f>
        <v/>
      </c>
      <c r="TUE62" s="87" t="str">
        <f>IF(ISNUMBER(outYear),TUE37+TUE42+#REF!+TUE59,"")</f>
        <v/>
      </c>
      <c r="TUF62" s="87" t="str">
        <f>IF(ISNUMBER(outYear),TUF37+TUF42+#REF!+TUF59,"")</f>
        <v/>
      </c>
      <c r="TUG62" s="87" t="str">
        <f>IF(ISNUMBER(outYear),TUG37+TUG42+#REF!+TUG59,"")</f>
        <v/>
      </c>
      <c r="TUH62" s="87" t="str">
        <f>IF(ISNUMBER(outYear),TUH37+TUH42+#REF!+TUH59,"")</f>
        <v/>
      </c>
      <c r="TUI62" s="87" t="str">
        <f>IF(ISNUMBER(outYear),TUI37+TUI42+#REF!+TUI59,"")</f>
        <v/>
      </c>
      <c r="TUJ62" s="87" t="str">
        <f>IF(ISNUMBER(outYear),TUJ37+TUJ42+#REF!+TUJ59,"")</f>
        <v/>
      </c>
      <c r="TUK62" s="87" t="str">
        <f>IF(ISNUMBER(outYear),TUK37+TUK42+#REF!+TUK59,"")</f>
        <v/>
      </c>
      <c r="TUL62" s="87" t="str">
        <f>IF(ISNUMBER(outYear),TUL37+TUL42+#REF!+TUL59,"")</f>
        <v/>
      </c>
      <c r="TUM62" s="87" t="str">
        <f>IF(ISNUMBER(outYear),TUM37+TUM42+#REF!+TUM59,"")</f>
        <v/>
      </c>
      <c r="TUN62" s="87" t="str">
        <f>IF(ISNUMBER(outYear),TUN37+TUN42+#REF!+TUN59,"")</f>
        <v/>
      </c>
      <c r="TUO62" s="87" t="str">
        <f>IF(ISNUMBER(outYear),TUO37+TUO42+#REF!+TUO59,"")</f>
        <v/>
      </c>
      <c r="TUP62" s="87" t="str">
        <f>IF(ISNUMBER(outYear),TUP37+TUP42+#REF!+TUP59,"")</f>
        <v/>
      </c>
      <c r="TUQ62" s="87" t="str">
        <f>IF(ISNUMBER(outYear),TUQ37+TUQ42+#REF!+TUQ59,"")</f>
        <v/>
      </c>
      <c r="TUR62" s="87" t="str">
        <f>IF(ISNUMBER(outYear),TUR37+TUR42+#REF!+TUR59,"")</f>
        <v/>
      </c>
      <c r="TUS62" s="87" t="str">
        <f>IF(ISNUMBER(outYear),TUS37+TUS42+#REF!+TUS59,"")</f>
        <v/>
      </c>
      <c r="TUT62" s="87" t="str">
        <f>IF(ISNUMBER(outYear),TUT37+TUT42+#REF!+TUT59,"")</f>
        <v/>
      </c>
      <c r="TUU62" s="87" t="str">
        <f>IF(ISNUMBER(outYear),TUU37+TUU42+#REF!+TUU59,"")</f>
        <v/>
      </c>
      <c r="TUV62" s="87" t="str">
        <f>IF(ISNUMBER(outYear),TUV37+TUV42+#REF!+TUV59,"")</f>
        <v/>
      </c>
      <c r="TUW62" s="87" t="str">
        <f>IF(ISNUMBER(outYear),TUW37+TUW42+#REF!+TUW59,"")</f>
        <v/>
      </c>
      <c r="TUX62" s="87" t="str">
        <f>IF(ISNUMBER(outYear),TUX37+TUX42+#REF!+TUX59,"")</f>
        <v/>
      </c>
      <c r="TUY62" s="87" t="str">
        <f>IF(ISNUMBER(outYear),TUY37+TUY42+#REF!+TUY59,"")</f>
        <v/>
      </c>
      <c r="TUZ62" s="87" t="str">
        <f>IF(ISNUMBER(outYear),TUZ37+TUZ42+#REF!+TUZ59,"")</f>
        <v/>
      </c>
      <c r="TVA62" s="87" t="str">
        <f>IF(ISNUMBER(outYear),TVA37+TVA42+#REF!+TVA59,"")</f>
        <v/>
      </c>
      <c r="TVB62" s="87" t="str">
        <f>IF(ISNUMBER(outYear),TVB37+TVB42+#REF!+TVB59,"")</f>
        <v/>
      </c>
      <c r="TVC62" s="87" t="str">
        <f>IF(ISNUMBER(outYear),TVC37+TVC42+#REF!+TVC59,"")</f>
        <v/>
      </c>
      <c r="TVD62" s="87" t="str">
        <f>IF(ISNUMBER(outYear),TVD37+TVD42+#REF!+TVD59,"")</f>
        <v/>
      </c>
      <c r="TVE62" s="87" t="str">
        <f>IF(ISNUMBER(outYear),TVE37+TVE42+#REF!+TVE59,"")</f>
        <v/>
      </c>
      <c r="TVF62" s="87" t="str">
        <f>IF(ISNUMBER(outYear),TVF37+TVF42+#REF!+TVF59,"")</f>
        <v/>
      </c>
      <c r="TVG62" s="87" t="str">
        <f>IF(ISNUMBER(outYear),TVG37+TVG42+#REF!+TVG59,"")</f>
        <v/>
      </c>
      <c r="TVH62" s="87" t="str">
        <f>IF(ISNUMBER(outYear),TVH37+TVH42+#REF!+TVH59,"")</f>
        <v/>
      </c>
      <c r="TVI62" s="87" t="str">
        <f>IF(ISNUMBER(outYear),TVI37+TVI42+#REF!+TVI59,"")</f>
        <v/>
      </c>
      <c r="TVJ62" s="87" t="str">
        <f>IF(ISNUMBER(outYear),TVJ37+TVJ42+#REF!+TVJ59,"")</f>
        <v/>
      </c>
      <c r="TVK62" s="87" t="str">
        <f>IF(ISNUMBER(outYear),TVK37+TVK42+#REF!+TVK59,"")</f>
        <v/>
      </c>
      <c r="TVL62" s="87" t="str">
        <f>IF(ISNUMBER(outYear),TVL37+TVL42+#REF!+TVL59,"")</f>
        <v/>
      </c>
      <c r="TVM62" s="87" t="str">
        <f>IF(ISNUMBER(outYear),TVM37+TVM42+#REF!+TVM59,"")</f>
        <v/>
      </c>
      <c r="TVN62" s="87" t="str">
        <f>IF(ISNUMBER(outYear),TVN37+TVN42+#REF!+TVN59,"")</f>
        <v/>
      </c>
      <c r="TVO62" s="87" t="str">
        <f>IF(ISNUMBER(outYear),TVO37+TVO42+#REF!+TVO59,"")</f>
        <v/>
      </c>
      <c r="TVP62" s="87" t="str">
        <f>IF(ISNUMBER(outYear),TVP37+TVP42+#REF!+TVP59,"")</f>
        <v/>
      </c>
      <c r="TVQ62" s="87" t="str">
        <f>IF(ISNUMBER(outYear),TVQ37+TVQ42+#REF!+TVQ59,"")</f>
        <v/>
      </c>
      <c r="TVR62" s="87" t="str">
        <f>IF(ISNUMBER(outYear),TVR37+TVR42+#REF!+TVR59,"")</f>
        <v/>
      </c>
      <c r="TVS62" s="87" t="str">
        <f>IF(ISNUMBER(outYear),TVS37+TVS42+#REF!+TVS59,"")</f>
        <v/>
      </c>
      <c r="TVT62" s="87" t="str">
        <f>IF(ISNUMBER(outYear),TVT37+TVT42+#REF!+TVT59,"")</f>
        <v/>
      </c>
      <c r="TVU62" s="87" t="str">
        <f>IF(ISNUMBER(outYear),TVU37+TVU42+#REF!+TVU59,"")</f>
        <v/>
      </c>
      <c r="TVV62" s="87" t="str">
        <f>IF(ISNUMBER(outYear),TVV37+TVV42+#REF!+TVV59,"")</f>
        <v/>
      </c>
      <c r="TVW62" s="87" t="str">
        <f>IF(ISNUMBER(outYear),TVW37+TVW42+#REF!+TVW59,"")</f>
        <v/>
      </c>
      <c r="TVX62" s="87" t="str">
        <f>IF(ISNUMBER(outYear),TVX37+TVX42+#REF!+TVX59,"")</f>
        <v/>
      </c>
      <c r="TVY62" s="87" t="str">
        <f>IF(ISNUMBER(outYear),TVY37+TVY42+#REF!+TVY59,"")</f>
        <v/>
      </c>
      <c r="TVZ62" s="87" t="str">
        <f>IF(ISNUMBER(outYear),TVZ37+TVZ42+#REF!+TVZ59,"")</f>
        <v/>
      </c>
      <c r="TWA62" s="87" t="str">
        <f>IF(ISNUMBER(outYear),TWA37+TWA42+#REF!+TWA59,"")</f>
        <v/>
      </c>
      <c r="TWB62" s="87" t="str">
        <f>IF(ISNUMBER(outYear),TWB37+TWB42+#REF!+TWB59,"")</f>
        <v/>
      </c>
      <c r="TWC62" s="87" t="str">
        <f>IF(ISNUMBER(outYear),TWC37+TWC42+#REF!+TWC59,"")</f>
        <v/>
      </c>
      <c r="TWD62" s="87" t="str">
        <f>IF(ISNUMBER(outYear),TWD37+TWD42+#REF!+TWD59,"")</f>
        <v/>
      </c>
      <c r="TWE62" s="87" t="str">
        <f>IF(ISNUMBER(outYear),TWE37+TWE42+#REF!+TWE59,"")</f>
        <v/>
      </c>
      <c r="TWF62" s="87" t="str">
        <f>IF(ISNUMBER(outYear),TWF37+TWF42+#REF!+TWF59,"")</f>
        <v/>
      </c>
      <c r="TWG62" s="87" t="str">
        <f>IF(ISNUMBER(outYear),TWG37+TWG42+#REF!+TWG59,"")</f>
        <v/>
      </c>
      <c r="TWH62" s="87" t="str">
        <f>IF(ISNUMBER(outYear),TWH37+TWH42+#REF!+TWH59,"")</f>
        <v/>
      </c>
      <c r="TWI62" s="87" t="str">
        <f>IF(ISNUMBER(outYear),TWI37+TWI42+#REF!+TWI59,"")</f>
        <v/>
      </c>
      <c r="TWJ62" s="87" t="str">
        <f>IF(ISNUMBER(outYear),TWJ37+TWJ42+#REF!+TWJ59,"")</f>
        <v/>
      </c>
      <c r="TWK62" s="87" t="str">
        <f>IF(ISNUMBER(outYear),TWK37+TWK42+#REF!+TWK59,"")</f>
        <v/>
      </c>
      <c r="TWL62" s="87" t="str">
        <f>IF(ISNUMBER(outYear),TWL37+TWL42+#REF!+TWL59,"")</f>
        <v/>
      </c>
      <c r="TWM62" s="87" t="str">
        <f>IF(ISNUMBER(outYear),TWM37+TWM42+#REF!+TWM59,"")</f>
        <v/>
      </c>
      <c r="TWN62" s="87" t="str">
        <f>IF(ISNUMBER(outYear),TWN37+TWN42+#REF!+TWN59,"")</f>
        <v/>
      </c>
      <c r="TWO62" s="87" t="str">
        <f>IF(ISNUMBER(outYear),TWO37+TWO42+#REF!+TWO59,"")</f>
        <v/>
      </c>
      <c r="TWP62" s="87" t="str">
        <f>IF(ISNUMBER(outYear),TWP37+TWP42+#REF!+TWP59,"")</f>
        <v/>
      </c>
      <c r="TWQ62" s="87" t="str">
        <f>IF(ISNUMBER(outYear),TWQ37+TWQ42+#REF!+TWQ59,"")</f>
        <v/>
      </c>
      <c r="TWR62" s="87" t="str">
        <f>IF(ISNUMBER(outYear),TWR37+TWR42+#REF!+TWR59,"")</f>
        <v/>
      </c>
      <c r="TWS62" s="87" t="str">
        <f>IF(ISNUMBER(outYear),TWS37+TWS42+#REF!+TWS59,"")</f>
        <v/>
      </c>
      <c r="TWT62" s="87" t="str">
        <f>IF(ISNUMBER(outYear),TWT37+TWT42+#REF!+TWT59,"")</f>
        <v/>
      </c>
      <c r="TWU62" s="87" t="str">
        <f>IF(ISNUMBER(outYear),TWU37+TWU42+#REF!+TWU59,"")</f>
        <v/>
      </c>
      <c r="TWV62" s="87" t="str">
        <f>IF(ISNUMBER(outYear),TWV37+TWV42+#REF!+TWV59,"")</f>
        <v/>
      </c>
      <c r="TWW62" s="87" t="str">
        <f>IF(ISNUMBER(outYear),TWW37+TWW42+#REF!+TWW59,"")</f>
        <v/>
      </c>
      <c r="TWX62" s="87" t="str">
        <f>IF(ISNUMBER(outYear),TWX37+TWX42+#REF!+TWX59,"")</f>
        <v/>
      </c>
      <c r="TWY62" s="87" t="str">
        <f>IF(ISNUMBER(outYear),TWY37+TWY42+#REF!+TWY59,"")</f>
        <v/>
      </c>
      <c r="TWZ62" s="87" t="str">
        <f>IF(ISNUMBER(outYear),TWZ37+TWZ42+#REF!+TWZ59,"")</f>
        <v/>
      </c>
      <c r="TXA62" s="87" t="str">
        <f>IF(ISNUMBER(outYear),TXA37+TXA42+#REF!+TXA59,"")</f>
        <v/>
      </c>
      <c r="TXB62" s="87" t="str">
        <f>IF(ISNUMBER(outYear),TXB37+TXB42+#REF!+TXB59,"")</f>
        <v/>
      </c>
      <c r="TXC62" s="87" t="str">
        <f>IF(ISNUMBER(outYear),TXC37+TXC42+#REF!+TXC59,"")</f>
        <v/>
      </c>
      <c r="TXD62" s="87" t="str">
        <f>IF(ISNUMBER(outYear),TXD37+TXD42+#REF!+TXD59,"")</f>
        <v/>
      </c>
      <c r="TXE62" s="87" t="str">
        <f>IF(ISNUMBER(outYear),TXE37+TXE42+#REF!+TXE59,"")</f>
        <v/>
      </c>
      <c r="TXF62" s="87" t="str">
        <f>IF(ISNUMBER(outYear),TXF37+TXF42+#REF!+TXF59,"")</f>
        <v/>
      </c>
      <c r="TXG62" s="87" t="str">
        <f>IF(ISNUMBER(outYear),TXG37+TXG42+#REF!+TXG59,"")</f>
        <v/>
      </c>
      <c r="TXH62" s="87" t="str">
        <f>IF(ISNUMBER(outYear),TXH37+TXH42+#REF!+TXH59,"")</f>
        <v/>
      </c>
      <c r="TXI62" s="87" t="str">
        <f>IF(ISNUMBER(outYear),TXI37+TXI42+#REF!+TXI59,"")</f>
        <v/>
      </c>
      <c r="TXJ62" s="87" t="str">
        <f>IF(ISNUMBER(outYear),TXJ37+TXJ42+#REF!+TXJ59,"")</f>
        <v/>
      </c>
      <c r="TXK62" s="87" t="str">
        <f>IF(ISNUMBER(outYear),TXK37+TXK42+#REF!+TXK59,"")</f>
        <v/>
      </c>
      <c r="TXL62" s="87" t="str">
        <f>IF(ISNUMBER(outYear),TXL37+TXL42+#REF!+TXL59,"")</f>
        <v/>
      </c>
      <c r="TXM62" s="87" t="str">
        <f>IF(ISNUMBER(outYear),TXM37+TXM42+#REF!+TXM59,"")</f>
        <v/>
      </c>
      <c r="TXN62" s="87" t="str">
        <f>IF(ISNUMBER(outYear),TXN37+TXN42+#REF!+TXN59,"")</f>
        <v/>
      </c>
      <c r="TXO62" s="87" t="str">
        <f>IF(ISNUMBER(outYear),TXO37+TXO42+#REF!+TXO59,"")</f>
        <v/>
      </c>
      <c r="TXP62" s="87" t="str">
        <f>IF(ISNUMBER(outYear),TXP37+TXP42+#REF!+TXP59,"")</f>
        <v/>
      </c>
      <c r="TXQ62" s="87" t="str">
        <f>IF(ISNUMBER(outYear),TXQ37+TXQ42+#REF!+TXQ59,"")</f>
        <v/>
      </c>
      <c r="TXR62" s="87" t="str">
        <f>IF(ISNUMBER(outYear),TXR37+TXR42+#REF!+TXR59,"")</f>
        <v/>
      </c>
      <c r="TXS62" s="87" t="str">
        <f>IF(ISNUMBER(outYear),TXS37+TXS42+#REF!+TXS59,"")</f>
        <v/>
      </c>
      <c r="TXT62" s="87" t="str">
        <f>IF(ISNUMBER(outYear),TXT37+TXT42+#REF!+TXT59,"")</f>
        <v/>
      </c>
      <c r="TXU62" s="87" t="str">
        <f>IF(ISNUMBER(outYear),TXU37+TXU42+#REF!+TXU59,"")</f>
        <v/>
      </c>
      <c r="TXV62" s="87" t="str">
        <f>IF(ISNUMBER(outYear),TXV37+TXV42+#REF!+TXV59,"")</f>
        <v/>
      </c>
      <c r="TXW62" s="87" t="str">
        <f>IF(ISNUMBER(outYear),TXW37+TXW42+#REF!+TXW59,"")</f>
        <v/>
      </c>
      <c r="TXX62" s="87" t="str">
        <f>IF(ISNUMBER(outYear),TXX37+TXX42+#REF!+TXX59,"")</f>
        <v/>
      </c>
      <c r="TXY62" s="87" t="str">
        <f>IF(ISNUMBER(outYear),TXY37+TXY42+#REF!+TXY59,"")</f>
        <v/>
      </c>
      <c r="TXZ62" s="87" t="str">
        <f>IF(ISNUMBER(outYear),TXZ37+TXZ42+#REF!+TXZ59,"")</f>
        <v/>
      </c>
      <c r="TYA62" s="87" t="str">
        <f>IF(ISNUMBER(outYear),TYA37+TYA42+#REF!+TYA59,"")</f>
        <v/>
      </c>
      <c r="TYB62" s="87" t="str">
        <f>IF(ISNUMBER(outYear),TYB37+TYB42+#REF!+TYB59,"")</f>
        <v/>
      </c>
      <c r="TYC62" s="87" t="str">
        <f>IF(ISNUMBER(outYear),TYC37+TYC42+#REF!+TYC59,"")</f>
        <v/>
      </c>
      <c r="TYD62" s="87" t="str">
        <f>IF(ISNUMBER(outYear),TYD37+TYD42+#REF!+TYD59,"")</f>
        <v/>
      </c>
      <c r="TYE62" s="87" t="str">
        <f>IF(ISNUMBER(outYear),TYE37+TYE42+#REF!+TYE59,"")</f>
        <v/>
      </c>
      <c r="TYF62" s="87" t="str">
        <f>IF(ISNUMBER(outYear),TYF37+TYF42+#REF!+TYF59,"")</f>
        <v/>
      </c>
      <c r="TYG62" s="87" t="str">
        <f>IF(ISNUMBER(outYear),TYG37+TYG42+#REF!+TYG59,"")</f>
        <v/>
      </c>
      <c r="TYH62" s="87" t="str">
        <f>IF(ISNUMBER(outYear),TYH37+TYH42+#REF!+TYH59,"")</f>
        <v/>
      </c>
      <c r="TYI62" s="87" t="str">
        <f>IF(ISNUMBER(outYear),TYI37+TYI42+#REF!+TYI59,"")</f>
        <v/>
      </c>
      <c r="TYJ62" s="87" t="str">
        <f>IF(ISNUMBER(outYear),TYJ37+TYJ42+#REF!+TYJ59,"")</f>
        <v/>
      </c>
      <c r="TYK62" s="87" t="str">
        <f>IF(ISNUMBER(outYear),TYK37+TYK42+#REF!+TYK59,"")</f>
        <v/>
      </c>
      <c r="TYL62" s="87" t="str">
        <f>IF(ISNUMBER(outYear),TYL37+TYL42+#REF!+TYL59,"")</f>
        <v/>
      </c>
      <c r="TYM62" s="87" t="str">
        <f>IF(ISNUMBER(outYear),TYM37+TYM42+#REF!+TYM59,"")</f>
        <v/>
      </c>
      <c r="TYN62" s="87" t="str">
        <f>IF(ISNUMBER(outYear),TYN37+TYN42+#REF!+TYN59,"")</f>
        <v/>
      </c>
      <c r="TYO62" s="87" t="str">
        <f>IF(ISNUMBER(outYear),TYO37+TYO42+#REF!+TYO59,"")</f>
        <v/>
      </c>
      <c r="TYP62" s="87" t="str">
        <f>IF(ISNUMBER(outYear),TYP37+TYP42+#REF!+TYP59,"")</f>
        <v/>
      </c>
      <c r="TYQ62" s="87" t="str">
        <f>IF(ISNUMBER(outYear),TYQ37+TYQ42+#REF!+TYQ59,"")</f>
        <v/>
      </c>
      <c r="TYR62" s="87" t="str">
        <f>IF(ISNUMBER(outYear),TYR37+TYR42+#REF!+TYR59,"")</f>
        <v/>
      </c>
      <c r="TYS62" s="87" t="str">
        <f>IF(ISNUMBER(outYear),TYS37+TYS42+#REF!+TYS59,"")</f>
        <v/>
      </c>
      <c r="TYT62" s="87" t="str">
        <f>IF(ISNUMBER(outYear),TYT37+TYT42+#REF!+TYT59,"")</f>
        <v/>
      </c>
      <c r="TYU62" s="87" t="str">
        <f>IF(ISNUMBER(outYear),TYU37+TYU42+#REF!+TYU59,"")</f>
        <v/>
      </c>
      <c r="TYV62" s="87" t="str">
        <f>IF(ISNUMBER(outYear),TYV37+TYV42+#REF!+TYV59,"")</f>
        <v/>
      </c>
      <c r="TYW62" s="87" t="str">
        <f>IF(ISNUMBER(outYear),TYW37+TYW42+#REF!+TYW59,"")</f>
        <v/>
      </c>
      <c r="TYX62" s="87" t="str">
        <f>IF(ISNUMBER(outYear),TYX37+TYX42+#REF!+TYX59,"")</f>
        <v/>
      </c>
      <c r="TYY62" s="87" t="str">
        <f>IF(ISNUMBER(outYear),TYY37+TYY42+#REF!+TYY59,"")</f>
        <v/>
      </c>
      <c r="TYZ62" s="87" t="str">
        <f>IF(ISNUMBER(outYear),TYZ37+TYZ42+#REF!+TYZ59,"")</f>
        <v/>
      </c>
      <c r="TZA62" s="87" t="str">
        <f>IF(ISNUMBER(outYear),TZA37+TZA42+#REF!+TZA59,"")</f>
        <v/>
      </c>
      <c r="TZB62" s="87" t="str">
        <f>IF(ISNUMBER(outYear),TZB37+TZB42+#REF!+TZB59,"")</f>
        <v/>
      </c>
      <c r="TZC62" s="87" t="str">
        <f>IF(ISNUMBER(outYear),TZC37+TZC42+#REF!+TZC59,"")</f>
        <v/>
      </c>
      <c r="TZD62" s="87" t="str">
        <f>IF(ISNUMBER(outYear),TZD37+TZD42+#REF!+TZD59,"")</f>
        <v/>
      </c>
      <c r="TZE62" s="87" t="str">
        <f>IF(ISNUMBER(outYear),TZE37+TZE42+#REF!+TZE59,"")</f>
        <v/>
      </c>
      <c r="TZF62" s="87" t="str">
        <f>IF(ISNUMBER(outYear),TZF37+TZF42+#REF!+TZF59,"")</f>
        <v/>
      </c>
      <c r="TZG62" s="87" t="str">
        <f>IF(ISNUMBER(outYear),TZG37+TZG42+#REF!+TZG59,"")</f>
        <v/>
      </c>
      <c r="TZH62" s="87" t="str">
        <f>IF(ISNUMBER(outYear),TZH37+TZH42+#REF!+TZH59,"")</f>
        <v/>
      </c>
      <c r="TZI62" s="87" t="str">
        <f>IF(ISNUMBER(outYear),TZI37+TZI42+#REF!+TZI59,"")</f>
        <v/>
      </c>
      <c r="TZJ62" s="87" t="str">
        <f>IF(ISNUMBER(outYear),TZJ37+TZJ42+#REF!+TZJ59,"")</f>
        <v/>
      </c>
      <c r="TZK62" s="87" t="str">
        <f>IF(ISNUMBER(outYear),TZK37+TZK42+#REF!+TZK59,"")</f>
        <v/>
      </c>
      <c r="TZL62" s="87" t="str">
        <f>IF(ISNUMBER(outYear),TZL37+TZL42+#REF!+TZL59,"")</f>
        <v/>
      </c>
      <c r="TZM62" s="87" t="str">
        <f>IF(ISNUMBER(outYear),TZM37+TZM42+#REF!+TZM59,"")</f>
        <v/>
      </c>
      <c r="TZN62" s="87" t="str">
        <f>IF(ISNUMBER(outYear),TZN37+TZN42+#REF!+TZN59,"")</f>
        <v/>
      </c>
      <c r="TZO62" s="87" t="str">
        <f>IF(ISNUMBER(outYear),TZO37+TZO42+#REF!+TZO59,"")</f>
        <v/>
      </c>
      <c r="TZP62" s="87" t="str">
        <f>IF(ISNUMBER(outYear),TZP37+TZP42+#REF!+TZP59,"")</f>
        <v/>
      </c>
      <c r="TZQ62" s="87" t="str">
        <f>IF(ISNUMBER(outYear),TZQ37+TZQ42+#REF!+TZQ59,"")</f>
        <v/>
      </c>
      <c r="TZR62" s="87" t="str">
        <f>IF(ISNUMBER(outYear),TZR37+TZR42+#REF!+TZR59,"")</f>
        <v/>
      </c>
      <c r="TZS62" s="87" t="str">
        <f>IF(ISNUMBER(outYear),TZS37+TZS42+#REF!+TZS59,"")</f>
        <v/>
      </c>
      <c r="TZT62" s="87" t="str">
        <f>IF(ISNUMBER(outYear),TZT37+TZT42+#REF!+TZT59,"")</f>
        <v/>
      </c>
      <c r="TZU62" s="87" t="str">
        <f>IF(ISNUMBER(outYear),TZU37+TZU42+#REF!+TZU59,"")</f>
        <v/>
      </c>
      <c r="TZV62" s="87" t="str">
        <f>IF(ISNUMBER(outYear),TZV37+TZV42+#REF!+TZV59,"")</f>
        <v/>
      </c>
      <c r="TZW62" s="87" t="str">
        <f>IF(ISNUMBER(outYear),TZW37+TZW42+#REF!+TZW59,"")</f>
        <v/>
      </c>
      <c r="TZX62" s="87" t="str">
        <f>IF(ISNUMBER(outYear),TZX37+TZX42+#REF!+TZX59,"")</f>
        <v/>
      </c>
      <c r="TZY62" s="87" t="str">
        <f>IF(ISNUMBER(outYear),TZY37+TZY42+#REF!+TZY59,"")</f>
        <v/>
      </c>
      <c r="TZZ62" s="87" t="str">
        <f>IF(ISNUMBER(outYear),TZZ37+TZZ42+#REF!+TZZ59,"")</f>
        <v/>
      </c>
      <c r="UAA62" s="87" t="str">
        <f>IF(ISNUMBER(outYear),UAA37+UAA42+#REF!+UAA59,"")</f>
        <v/>
      </c>
      <c r="UAB62" s="87" t="str">
        <f>IF(ISNUMBER(outYear),UAB37+UAB42+#REF!+UAB59,"")</f>
        <v/>
      </c>
      <c r="UAC62" s="87" t="str">
        <f>IF(ISNUMBER(outYear),UAC37+UAC42+#REF!+UAC59,"")</f>
        <v/>
      </c>
      <c r="UAD62" s="87" t="str">
        <f>IF(ISNUMBER(outYear),UAD37+UAD42+#REF!+UAD59,"")</f>
        <v/>
      </c>
      <c r="UAE62" s="87" t="str">
        <f>IF(ISNUMBER(outYear),UAE37+UAE42+#REF!+UAE59,"")</f>
        <v/>
      </c>
      <c r="UAF62" s="87" t="str">
        <f>IF(ISNUMBER(outYear),UAF37+UAF42+#REF!+UAF59,"")</f>
        <v/>
      </c>
      <c r="UAG62" s="87" t="str">
        <f>IF(ISNUMBER(outYear),UAG37+UAG42+#REF!+UAG59,"")</f>
        <v/>
      </c>
      <c r="UAH62" s="87" t="str">
        <f>IF(ISNUMBER(outYear),UAH37+UAH42+#REF!+UAH59,"")</f>
        <v/>
      </c>
      <c r="UAI62" s="87" t="str">
        <f>IF(ISNUMBER(outYear),UAI37+UAI42+#REF!+UAI59,"")</f>
        <v/>
      </c>
      <c r="UAJ62" s="87" t="str">
        <f>IF(ISNUMBER(outYear),UAJ37+UAJ42+#REF!+UAJ59,"")</f>
        <v/>
      </c>
      <c r="UAK62" s="87" t="str">
        <f>IF(ISNUMBER(outYear),UAK37+UAK42+#REF!+UAK59,"")</f>
        <v/>
      </c>
      <c r="UAL62" s="87" t="str">
        <f>IF(ISNUMBER(outYear),UAL37+UAL42+#REF!+UAL59,"")</f>
        <v/>
      </c>
      <c r="UAM62" s="87" t="str">
        <f>IF(ISNUMBER(outYear),UAM37+UAM42+#REF!+UAM59,"")</f>
        <v/>
      </c>
      <c r="UAN62" s="87" t="str">
        <f>IF(ISNUMBER(outYear),UAN37+UAN42+#REF!+UAN59,"")</f>
        <v/>
      </c>
      <c r="UAO62" s="87" t="str">
        <f>IF(ISNUMBER(outYear),UAO37+UAO42+#REF!+UAO59,"")</f>
        <v/>
      </c>
      <c r="UAP62" s="87" t="str">
        <f>IF(ISNUMBER(outYear),UAP37+UAP42+#REF!+UAP59,"")</f>
        <v/>
      </c>
      <c r="UAQ62" s="87" t="str">
        <f>IF(ISNUMBER(outYear),UAQ37+UAQ42+#REF!+UAQ59,"")</f>
        <v/>
      </c>
      <c r="UAR62" s="87" t="str">
        <f>IF(ISNUMBER(outYear),UAR37+UAR42+#REF!+UAR59,"")</f>
        <v/>
      </c>
      <c r="UAS62" s="87" t="str">
        <f>IF(ISNUMBER(outYear),UAS37+UAS42+#REF!+UAS59,"")</f>
        <v/>
      </c>
      <c r="UAT62" s="87" t="str">
        <f>IF(ISNUMBER(outYear),UAT37+UAT42+#REF!+UAT59,"")</f>
        <v/>
      </c>
      <c r="UAU62" s="87" t="str">
        <f>IF(ISNUMBER(outYear),UAU37+UAU42+#REF!+UAU59,"")</f>
        <v/>
      </c>
      <c r="UAV62" s="87" t="str">
        <f>IF(ISNUMBER(outYear),UAV37+UAV42+#REF!+UAV59,"")</f>
        <v/>
      </c>
      <c r="UAW62" s="87" t="str">
        <f>IF(ISNUMBER(outYear),UAW37+UAW42+#REF!+UAW59,"")</f>
        <v/>
      </c>
      <c r="UAX62" s="87" t="str">
        <f>IF(ISNUMBER(outYear),UAX37+UAX42+#REF!+UAX59,"")</f>
        <v/>
      </c>
      <c r="UAY62" s="87" t="str">
        <f>IF(ISNUMBER(outYear),UAY37+UAY42+#REF!+UAY59,"")</f>
        <v/>
      </c>
      <c r="UAZ62" s="87" t="str">
        <f>IF(ISNUMBER(outYear),UAZ37+UAZ42+#REF!+UAZ59,"")</f>
        <v/>
      </c>
      <c r="UBA62" s="87" t="str">
        <f>IF(ISNUMBER(outYear),UBA37+UBA42+#REF!+UBA59,"")</f>
        <v/>
      </c>
      <c r="UBB62" s="87" t="str">
        <f>IF(ISNUMBER(outYear),UBB37+UBB42+#REF!+UBB59,"")</f>
        <v/>
      </c>
      <c r="UBC62" s="87" t="str">
        <f>IF(ISNUMBER(outYear),UBC37+UBC42+#REF!+UBC59,"")</f>
        <v/>
      </c>
      <c r="UBD62" s="87" t="str">
        <f>IF(ISNUMBER(outYear),UBD37+UBD42+#REF!+UBD59,"")</f>
        <v/>
      </c>
      <c r="UBE62" s="87" t="str">
        <f>IF(ISNUMBER(outYear),UBE37+UBE42+#REF!+UBE59,"")</f>
        <v/>
      </c>
      <c r="UBF62" s="87" t="str">
        <f>IF(ISNUMBER(outYear),UBF37+UBF42+#REF!+UBF59,"")</f>
        <v/>
      </c>
      <c r="UBG62" s="87" t="str">
        <f>IF(ISNUMBER(outYear),UBG37+UBG42+#REF!+UBG59,"")</f>
        <v/>
      </c>
      <c r="UBH62" s="87" t="str">
        <f>IF(ISNUMBER(outYear),UBH37+UBH42+#REF!+UBH59,"")</f>
        <v/>
      </c>
      <c r="UBI62" s="87" t="str">
        <f>IF(ISNUMBER(outYear),UBI37+UBI42+#REF!+UBI59,"")</f>
        <v/>
      </c>
      <c r="UBJ62" s="87" t="str">
        <f>IF(ISNUMBER(outYear),UBJ37+UBJ42+#REF!+UBJ59,"")</f>
        <v/>
      </c>
      <c r="UBK62" s="87" t="str">
        <f>IF(ISNUMBER(outYear),UBK37+UBK42+#REF!+UBK59,"")</f>
        <v/>
      </c>
      <c r="UBL62" s="87" t="str">
        <f>IF(ISNUMBER(outYear),UBL37+UBL42+#REF!+UBL59,"")</f>
        <v/>
      </c>
      <c r="UBM62" s="87" t="str">
        <f>IF(ISNUMBER(outYear),UBM37+UBM42+#REF!+UBM59,"")</f>
        <v/>
      </c>
      <c r="UBN62" s="87" t="str">
        <f>IF(ISNUMBER(outYear),UBN37+UBN42+#REF!+UBN59,"")</f>
        <v/>
      </c>
      <c r="UBO62" s="87" t="str">
        <f>IF(ISNUMBER(outYear),UBO37+UBO42+#REF!+UBO59,"")</f>
        <v/>
      </c>
      <c r="UBP62" s="87" t="str">
        <f>IF(ISNUMBER(outYear),UBP37+UBP42+#REF!+UBP59,"")</f>
        <v/>
      </c>
      <c r="UBQ62" s="87" t="str">
        <f>IF(ISNUMBER(outYear),UBQ37+UBQ42+#REF!+UBQ59,"")</f>
        <v/>
      </c>
      <c r="UBR62" s="87" t="str">
        <f>IF(ISNUMBER(outYear),UBR37+UBR42+#REF!+UBR59,"")</f>
        <v/>
      </c>
      <c r="UBS62" s="87" t="str">
        <f>IF(ISNUMBER(outYear),UBS37+UBS42+#REF!+UBS59,"")</f>
        <v/>
      </c>
      <c r="UBT62" s="87" t="str">
        <f>IF(ISNUMBER(outYear),UBT37+UBT42+#REF!+UBT59,"")</f>
        <v/>
      </c>
      <c r="UBU62" s="87" t="str">
        <f>IF(ISNUMBER(outYear),UBU37+UBU42+#REF!+UBU59,"")</f>
        <v/>
      </c>
      <c r="UBV62" s="87" t="str">
        <f>IF(ISNUMBER(outYear),UBV37+UBV42+#REF!+UBV59,"")</f>
        <v/>
      </c>
      <c r="UBW62" s="87" t="str">
        <f>IF(ISNUMBER(outYear),UBW37+UBW42+#REF!+UBW59,"")</f>
        <v/>
      </c>
      <c r="UBX62" s="87" t="str">
        <f>IF(ISNUMBER(outYear),UBX37+UBX42+#REF!+UBX59,"")</f>
        <v/>
      </c>
      <c r="UBY62" s="87" t="str">
        <f>IF(ISNUMBER(outYear),UBY37+UBY42+#REF!+UBY59,"")</f>
        <v/>
      </c>
      <c r="UBZ62" s="87" t="str">
        <f>IF(ISNUMBER(outYear),UBZ37+UBZ42+#REF!+UBZ59,"")</f>
        <v/>
      </c>
      <c r="UCA62" s="87" t="str">
        <f>IF(ISNUMBER(outYear),UCA37+UCA42+#REF!+UCA59,"")</f>
        <v/>
      </c>
      <c r="UCB62" s="87" t="str">
        <f>IF(ISNUMBER(outYear),UCB37+UCB42+#REF!+UCB59,"")</f>
        <v/>
      </c>
      <c r="UCC62" s="87" t="str">
        <f>IF(ISNUMBER(outYear),UCC37+UCC42+#REF!+UCC59,"")</f>
        <v/>
      </c>
      <c r="UCD62" s="87" t="str">
        <f>IF(ISNUMBER(outYear),UCD37+UCD42+#REF!+UCD59,"")</f>
        <v/>
      </c>
      <c r="UCE62" s="87" t="str">
        <f>IF(ISNUMBER(outYear),UCE37+UCE42+#REF!+UCE59,"")</f>
        <v/>
      </c>
      <c r="UCF62" s="87" t="str">
        <f>IF(ISNUMBER(outYear),UCF37+UCF42+#REF!+UCF59,"")</f>
        <v/>
      </c>
      <c r="UCG62" s="87" t="str">
        <f>IF(ISNUMBER(outYear),UCG37+UCG42+#REF!+UCG59,"")</f>
        <v/>
      </c>
      <c r="UCH62" s="87" t="str">
        <f>IF(ISNUMBER(outYear),UCH37+UCH42+#REF!+UCH59,"")</f>
        <v/>
      </c>
      <c r="UCI62" s="87" t="str">
        <f>IF(ISNUMBER(outYear),UCI37+UCI42+#REF!+UCI59,"")</f>
        <v/>
      </c>
      <c r="UCJ62" s="87" t="str">
        <f>IF(ISNUMBER(outYear),UCJ37+UCJ42+#REF!+UCJ59,"")</f>
        <v/>
      </c>
      <c r="UCK62" s="87" t="str">
        <f>IF(ISNUMBER(outYear),UCK37+UCK42+#REF!+UCK59,"")</f>
        <v/>
      </c>
      <c r="UCL62" s="87" t="str">
        <f>IF(ISNUMBER(outYear),UCL37+UCL42+#REF!+UCL59,"")</f>
        <v/>
      </c>
      <c r="UCM62" s="87" t="str">
        <f>IF(ISNUMBER(outYear),UCM37+UCM42+#REF!+UCM59,"")</f>
        <v/>
      </c>
      <c r="UCN62" s="87" t="str">
        <f>IF(ISNUMBER(outYear),UCN37+UCN42+#REF!+UCN59,"")</f>
        <v/>
      </c>
      <c r="UCO62" s="87" t="str">
        <f>IF(ISNUMBER(outYear),UCO37+UCO42+#REF!+UCO59,"")</f>
        <v/>
      </c>
      <c r="UCP62" s="87" t="str">
        <f>IF(ISNUMBER(outYear),UCP37+UCP42+#REF!+UCP59,"")</f>
        <v/>
      </c>
      <c r="UCQ62" s="87" t="str">
        <f>IF(ISNUMBER(outYear),UCQ37+UCQ42+#REF!+UCQ59,"")</f>
        <v/>
      </c>
      <c r="UCR62" s="87" t="str">
        <f>IF(ISNUMBER(outYear),UCR37+UCR42+#REF!+UCR59,"")</f>
        <v/>
      </c>
      <c r="UCS62" s="87" t="str">
        <f>IF(ISNUMBER(outYear),UCS37+UCS42+#REF!+UCS59,"")</f>
        <v/>
      </c>
      <c r="UCT62" s="87" t="str">
        <f>IF(ISNUMBER(outYear),UCT37+UCT42+#REF!+UCT59,"")</f>
        <v/>
      </c>
      <c r="UCU62" s="87" t="str">
        <f>IF(ISNUMBER(outYear),UCU37+UCU42+#REF!+UCU59,"")</f>
        <v/>
      </c>
      <c r="UCV62" s="87" t="str">
        <f>IF(ISNUMBER(outYear),UCV37+UCV42+#REF!+UCV59,"")</f>
        <v/>
      </c>
      <c r="UCW62" s="87" t="str">
        <f>IF(ISNUMBER(outYear),UCW37+UCW42+#REF!+UCW59,"")</f>
        <v/>
      </c>
      <c r="UCX62" s="87" t="str">
        <f>IF(ISNUMBER(outYear),UCX37+UCX42+#REF!+UCX59,"")</f>
        <v/>
      </c>
      <c r="UCY62" s="87" t="str">
        <f>IF(ISNUMBER(outYear),UCY37+UCY42+#REF!+UCY59,"")</f>
        <v/>
      </c>
      <c r="UCZ62" s="87" t="str">
        <f>IF(ISNUMBER(outYear),UCZ37+UCZ42+#REF!+UCZ59,"")</f>
        <v/>
      </c>
      <c r="UDA62" s="87" t="str">
        <f>IF(ISNUMBER(outYear),UDA37+UDA42+#REF!+UDA59,"")</f>
        <v/>
      </c>
      <c r="UDB62" s="87" t="str">
        <f>IF(ISNUMBER(outYear),UDB37+UDB42+#REF!+UDB59,"")</f>
        <v/>
      </c>
      <c r="UDC62" s="87" t="str">
        <f>IF(ISNUMBER(outYear),UDC37+UDC42+#REF!+UDC59,"")</f>
        <v/>
      </c>
      <c r="UDD62" s="87" t="str">
        <f>IF(ISNUMBER(outYear),UDD37+UDD42+#REF!+UDD59,"")</f>
        <v/>
      </c>
      <c r="UDE62" s="87" t="str">
        <f>IF(ISNUMBER(outYear),UDE37+UDE42+#REF!+UDE59,"")</f>
        <v/>
      </c>
      <c r="UDF62" s="87" t="str">
        <f>IF(ISNUMBER(outYear),UDF37+UDF42+#REF!+UDF59,"")</f>
        <v/>
      </c>
      <c r="UDG62" s="87" t="str">
        <f>IF(ISNUMBER(outYear),UDG37+UDG42+#REF!+UDG59,"")</f>
        <v/>
      </c>
      <c r="UDH62" s="87" t="str">
        <f>IF(ISNUMBER(outYear),UDH37+UDH42+#REF!+UDH59,"")</f>
        <v/>
      </c>
      <c r="UDI62" s="87" t="str">
        <f>IF(ISNUMBER(outYear),UDI37+UDI42+#REF!+UDI59,"")</f>
        <v/>
      </c>
      <c r="UDJ62" s="87" t="str">
        <f>IF(ISNUMBER(outYear),UDJ37+UDJ42+#REF!+UDJ59,"")</f>
        <v/>
      </c>
      <c r="UDK62" s="87" t="str">
        <f>IF(ISNUMBER(outYear),UDK37+UDK42+#REF!+UDK59,"")</f>
        <v/>
      </c>
      <c r="UDL62" s="87" t="str">
        <f>IF(ISNUMBER(outYear),UDL37+UDL42+#REF!+UDL59,"")</f>
        <v/>
      </c>
      <c r="UDM62" s="87" t="str">
        <f>IF(ISNUMBER(outYear),UDM37+UDM42+#REF!+UDM59,"")</f>
        <v/>
      </c>
      <c r="UDN62" s="87" t="str">
        <f>IF(ISNUMBER(outYear),UDN37+UDN42+#REF!+UDN59,"")</f>
        <v/>
      </c>
      <c r="UDO62" s="87" t="str">
        <f>IF(ISNUMBER(outYear),UDO37+UDO42+#REF!+UDO59,"")</f>
        <v/>
      </c>
      <c r="UDP62" s="87" t="str">
        <f>IF(ISNUMBER(outYear),UDP37+UDP42+#REF!+UDP59,"")</f>
        <v/>
      </c>
      <c r="UDQ62" s="87" t="str">
        <f>IF(ISNUMBER(outYear),UDQ37+UDQ42+#REF!+UDQ59,"")</f>
        <v/>
      </c>
      <c r="UDR62" s="87" t="str">
        <f>IF(ISNUMBER(outYear),UDR37+UDR42+#REF!+UDR59,"")</f>
        <v/>
      </c>
      <c r="UDS62" s="87" t="str">
        <f>IF(ISNUMBER(outYear),UDS37+UDS42+#REF!+UDS59,"")</f>
        <v/>
      </c>
      <c r="UDT62" s="87" t="str">
        <f>IF(ISNUMBER(outYear),UDT37+UDT42+#REF!+UDT59,"")</f>
        <v/>
      </c>
      <c r="UDU62" s="87" t="str">
        <f>IF(ISNUMBER(outYear),UDU37+UDU42+#REF!+UDU59,"")</f>
        <v/>
      </c>
      <c r="UDV62" s="87" t="str">
        <f>IF(ISNUMBER(outYear),UDV37+UDV42+#REF!+UDV59,"")</f>
        <v/>
      </c>
      <c r="UDW62" s="87" t="str">
        <f>IF(ISNUMBER(outYear),UDW37+UDW42+#REF!+UDW59,"")</f>
        <v/>
      </c>
      <c r="UDX62" s="87" t="str">
        <f>IF(ISNUMBER(outYear),UDX37+UDX42+#REF!+UDX59,"")</f>
        <v/>
      </c>
      <c r="UDY62" s="87" t="str">
        <f>IF(ISNUMBER(outYear),UDY37+UDY42+#REF!+UDY59,"")</f>
        <v/>
      </c>
      <c r="UDZ62" s="87" t="str">
        <f>IF(ISNUMBER(outYear),UDZ37+UDZ42+#REF!+UDZ59,"")</f>
        <v/>
      </c>
      <c r="UEA62" s="87" t="str">
        <f>IF(ISNUMBER(outYear),UEA37+UEA42+#REF!+UEA59,"")</f>
        <v/>
      </c>
      <c r="UEB62" s="87" t="str">
        <f>IF(ISNUMBER(outYear),UEB37+UEB42+#REF!+UEB59,"")</f>
        <v/>
      </c>
      <c r="UEC62" s="87" t="str">
        <f>IF(ISNUMBER(outYear),UEC37+UEC42+#REF!+UEC59,"")</f>
        <v/>
      </c>
      <c r="UED62" s="87" t="str">
        <f>IF(ISNUMBER(outYear),UED37+UED42+#REF!+UED59,"")</f>
        <v/>
      </c>
      <c r="UEE62" s="87" t="str">
        <f>IF(ISNUMBER(outYear),UEE37+UEE42+#REF!+UEE59,"")</f>
        <v/>
      </c>
      <c r="UEF62" s="87" t="str">
        <f>IF(ISNUMBER(outYear),UEF37+UEF42+#REF!+UEF59,"")</f>
        <v/>
      </c>
      <c r="UEG62" s="87" t="str">
        <f>IF(ISNUMBER(outYear),UEG37+UEG42+#REF!+UEG59,"")</f>
        <v/>
      </c>
      <c r="UEH62" s="87" t="str">
        <f>IF(ISNUMBER(outYear),UEH37+UEH42+#REF!+UEH59,"")</f>
        <v/>
      </c>
      <c r="UEI62" s="87" t="str">
        <f>IF(ISNUMBER(outYear),UEI37+UEI42+#REF!+UEI59,"")</f>
        <v/>
      </c>
      <c r="UEJ62" s="87" t="str">
        <f>IF(ISNUMBER(outYear),UEJ37+UEJ42+#REF!+UEJ59,"")</f>
        <v/>
      </c>
      <c r="UEK62" s="87" t="str">
        <f>IF(ISNUMBER(outYear),UEK37+UEK42+#REF!+UEK59,"")</f>
        <v/>
      </c>
      <c r="UEL62" s="87" t="str">
        <f>IF(ISNUMBER(outYear),UEL37+UEL42+#REF!+UEL59,"")</f>
        <v/>
      </c>
      <c r="UEM62" s="87" t="str">
        <f>IF(ISNUMBER(outYear),UEM37+UEM42+#REF!+UEM59,"")</f>
        <v/>
      </c>
      <c r="UEN62" s="87" t="str">
        <f>IF(ISNUMBER(outYear),UEN37+UEN42+#REF!+UEN59,"")</f>
        <v/>
      </c>
      <c r="UEO62" s="87" t="str">
        <f>IF(ISNUMBER(outYear),UEO37+UEO42+#REF!+UEO59,"")</f>
        <v/>
      </c>
      <c r="UEP62" s="87" t="str">
        <f>IF(ISNUMBER(outYear),UEP37+UEP42+#REF!+UEP59,"")</f>
        <v/>
      </c>
      <c r="UEQ62" s="87" t="str">
        <f>IF(ISNUMBER(outYear),UEQ37+UEQ42+#REF!+UEQ59,"")</f>
        <v/>
      </c>
      <c r="UER62" s="87" t="str">
        <f>IF(ISNUMBER(outYear),UER37+UER42+#REF!+UER59,"")</f>
        <v/>
      </c>
      <c r="UES62" s="87" t="str">
        <f>IF(ISNUMBER(outYear),UES37+UES42+#REF!+UES59,"")</f>
        <v/>
      </c>
      <c r="UET62" s="87" t="str">
        <f>IF(ISNUMBER(outYear),UET37+UET42+#REF!+UET59,"")</f>
        <v/>
      </c>
      <c r="UEU62" s="87" t="str">
        <f>IF(ISNUMBER(outYear),UEU37+UEU42+#REF!+UEU59,"")</f>
        <v/>
      </c>
      <c r="UEV62" s="87" t="str">
        <f>IF(ISNUMBER(outYear),UEV37+UEV42+#REF!+UEV59,"")</f>
        <v/>
      </c>
      <c r="UEW62" s="87" t="str">
        <f>IF(ISNUMBER(outYear),UEW37+UEW42+#REF!+UEW59,"")</f>
        <v/>
      </c>
      <c r="UEX62" s="87" t="str">
        <f>IF(ISNUMBER(outYear),UEX37+UEX42+#REF!+UEX59,"")</f>
        <v/>
      </c>
      <c r="UEY62" s="87" t="str">
        <f>IF(ISNUMBER(outYear),UEY37+UEY42+#REF!+UEY59,"")</f>
        <v/>
      </c>
      <c r="UEZ62" s="87" t="str">
        <f>IF(ISNUMBER(outYear),UEZ37+UEZ42+#REF!+UEZ59,"")</f>
        <v/>
      </c>
      <c r="UFA62" s="87" t="str">
        <f>IF(ISNUMBER(outYear),UFA37+UFA42+#REF!+UFA59,"")</f>
        <v/>
      </c>
      <c r="UFB62" s="87" t="str">
        <f>IF(ISNUMBER(outYear),UFB37+UFB42+#REF!+UFB59,"")</f>
        <v/>
      </c>
      <c r="UFC62" s="87" t="str">
        <f>IF(ISNUMBER(outYear),UFC37+UFC42+#REF!+UFC59,"")</f>
        <v/>
      </c>
      <c r="UFD62" s="87" t="str">
        <f>IF(ISNUMBER(outYear),UFD37+UFD42+#REF!+UFD59,"")</f>
        <v/>
      </c>
      <c r="UFE62" s="87" t="str">
        <f>IF(ISNUMBER(outYear),UFE37+UFE42+#REF!+UFE59,"")</f>
        <v/>
      </c>
      <c r="UFF62" s="87" t="str">
        <f>IF(ISNUMBER(outYear),UFF37+UFF42+#REF!+UFF59,"")</f>
        <v/>
      </c>
      <c r="UFG62" s="87" t="str">
        <f>IF(ISNUMBER(outYear),UFG37+UFG42+#REF!+UFG59,"")</f>
        <v/>
      </c>
      <c r="UFH62" s="87" t="str">
        <f>IF(ISNUMBER(outYear),UFH37+UFH42+#REF!+UFH59,"")</f>
        <v/>
      </c>
      <c r="UFI62" s="87" t="str">
        <f>IF(ISNUMBER(outYear),UFI37+UFI42+#REF!+UFI59,"")</f>
        <v/>
      </c>
      <c r="UFJ62" s="87" t="str">
        <f>IF(ISNUMBER(outYear),UFJ37+UFJ42+#REF!+UFJ59,"")</f>
        <v/>
      </c>
      <c r="UFK62" s="87" t="str">
        <f>IF(ISNUMBER(outYear),UFK37+UFK42+#REF!+UFK59,"")</f>
        <v/>
      </c>
      <c r="UFL62" s="87" t="str">
        <f>IF(ISNUMBER(outYear),UFL37+UFL42+#REF!+UFL59,"")</f>
        <v/>
      </c>
      <c r="UFM62" s="87" t="str">
        <f>IF(ISNUMBER(outYear),UFM37+UFM42+#REF!+UFM59,"")</f>
        <v/>
      </c>
      <c r="UFN62" s="87" t="str">
        <f>IF(ISNUMBER(outYear),UFN37+UFN42+#REF!+UFN59,"")</f>
        <v/>
      </c>
      <c r="UFO62" s="87" t="str">
        <f>IF(ISNUMBER(outYear),UFO37+UFO42+#REF!+UFO59,"")</f>
        <v/>
      </c>
      <c r="UFP62" s="87" t="str">
        <f>IF(ISNUMBER(outYear),UFP37+UFP42+#REF!+UFP59,"")</f>
        <v/>
      </c>
      <c r="UFQ62" s="87" t="str">
        <f>IF(ISNUMBER(outYear),UFQ37+UFQ42+#REF!+UFQ59,"")</f>
        <v/>
      </c>
      <c r="UFR62" s="87" t="str">
        <f>IF(ISNUMBER(outYear),UFR37+UFR42+#REF!+UFR59,"")</f>
        <v/>
      </c>
      <c r="UFS62" s="87" t="str">
        <f>IF(ISNUMBER(outYear),UFS37+UFS42+#REF!+UFS59,"")</f>
        <v/>
      </c>
      <c r="UFT62" s="87" t="str">
        <f>IF(ISNUMBER(outYear),UFT37+UFT42+#REF!+UFT59,"")</f>
        <v/>
      </c>
      <c r="UFU62" s="87" t="str">
        <f>IF(ISNUMBER(outYear),UFU37+UFU42+#REF!+UFU59,"")</f>
        <v/>
      </c>
      <c r="UFV62" s="87" t="str">
        <f>IF(ISNUMBER(outYear),UFV37+UFV42+#REF!+UFV59,"")</f>
        <v/>
      </c>
      <c r="UFW62" s="87" t="str">
        <f>IF(ISNUMBER(outYear),UFW37+UFW42+#REF!+UFW59,"")</f>
        <v/>
      </c>
      <c r="UFX62" s="87" t="str">
        <f>IF(ISNUMBER(outYear),UFX37+UFX42+#REF!+UFX59,"")</f>
        <v/>
      </c>
      <c r="UFY62" s="87" t="str">
        <f>IF(ISNUMBER(outYear),UFY37+UFY42+#REF!+UFY59,"")</f>
        <v/>
      </c>
      <c r="UFZ62" s="87" t="str">
        <f>IF(ISNUMBER(outYear),UFZ37+UFZ42+#REF!+UFZ59,"")</f>
        <v/>
      </c>
      <c r="UGA62" s="87" t="str">
        <f>IF(ISNUMBER(outYear),UGA37+UGA42+#REF!+UGA59,"")</f>
        <v/>
      </c>
      <c r="UGB62" s="87" t="str">
        <f>IF(ISNUMBER(outYear),UGB37+UGB42+#REF!+UGB59,"")</f>
        <v/>
      </c>
      <c r="UGC62" s="87" t="str">
        <f>IF(ISNUMBER(outYear),UGC37+UGC42+#REF!+UGC59,"")</f>
        <v/>
      </c>
      <c r="UGD62" s="87" t="str">
        <f>IF(ISNUMBER(outYear),UGD37+UGD42+#REF!+UGD59,"")</f>
        <v/>
      </c>
      <c r="UGE62" s="87" t="str">
        <f>IF(ISNUMBER(outYear),UGE37+UGE42+#REF!+UGE59,"")</f>
        <v/>
      </c>
      <c r="UGF62" s="87" t="str">
        <f>IF(ISNUMBER(outYear),UGF37+UGF42+#REF!+UGF59,"")</f>
        <v/>
      </c>
      <c r="UGG62" s="87" t="str">
        <f>IF(ISNUMBER(outYear),UGG37+UGG42+#REF!+UGG59,"")</f>
        <v/>
      </c>
      <c r="UGH62" s="87" t="str">
        <f>IF(ISNUMBER(outYear),UGH37+UGH42+#REF!+UGH59,"")</f>
        <v/>
      </c>
      <c r="UGI62" s="87" t="str">
        <f>IF(ISNUMBER(outYear),UGI37+UGI42+#REF!+UGI59,"")</f>
        <v/>
      </c>
      <c r="UGJ62" s="87" t="str">
        <f>IF(ISNUMBER(outYear),UGJ37+UGJ42+#REF!+UGJ59,"")</f>
        <v/>
      </c>
      <c r="UGK62" s="87" t="str">
        <f>IF(ISNUMBER(outYear),UGK37+UGK42+#REF!+UGK59,"")</f>
        <v/>
      </c>
      <c r="UGL62" s="87" t="str">
        <f>IF(ISNUMBER(outYear),UGL37+UGL42+#REF!+UGL59,"")</f>
        <v/>
      </c>
      <c r="UGM62" s="87" t="str">
        <f>IF(ISNUMBER(outYear),UGM37+UGM42+#REF!+UGM59,"")</f>
        <v/>
      </c>
      <c r="UGN62" s="87" t="str">
        <f>IF(ISNUMBER(outYear),UGN37+UGN42+#REF!+UGN59,"")</f>
        <v/>
      </c>
      <c r="UGO62" s="87" t="str">
        <f>IF(ISNUMBER(outYear),UGO37+UGO42+#REF!+UGO59,"")</f>
        <v/>
      </c>
      <c r="UGP62" s="87" t="str">
        <f>IF(ISNUMBER(outYear),UGP37+UGP42+#REF!+UGP59,"")</f>
        <v/>
      </c>
      <c r="UGQ62" s="87" t="str">
        <f>IF(ISNUMBER(outYear),UGQ37+UGQ42+#REF!+UGQ59,"")</f>
        <v/>
      </c>
      <c r="UGR62" s="87" t="str">
        <f>IF(ISNUMBER(outYear),UGR37+UGR42+#REF!+UGR59,"")</f>
        <v/>
      </c>
      <c r="UGS62" s="87" t="str">
        <f>IF(ISNUMBER(outYear),UGS37+UGS42+#REF!+UGS59,"")</f>
        <v/>
      </c>
      <c r="UGT62" s="87" t="str">
        <f>IF(ISNUMBER(outYear),UGT37+UGT42+#REF!+UGT59,"")</f>
        <v/>
      </c>
      <c r="UGU62" s="87" t="str">
        <f>IF(ISNUMBER(outYear),UGU37+UGU42+#REF!+UGU59,"")</f>
        <v/>
      </c>
      <c r="UGV62" s="87" t="str">
        <f>IF(ISNUMBER(outYear),UGV37+UGV42+#REF!+UGV59,"")</f>
        <v/>
      </c>
      <c r="UGW62" s="87" t="str">
        <f>IF(ISNUMBER(outYear),UGW37+UGW42+#REF!+UGW59,"")</f>
        <v/>
      </c>
      <c r="UGX62" s="87" t="str">
        <f>IF(ISNUMBER(outYear),UGX37+UGX42+#REF!+UGX59,"")</f>
        <v/>
      </c>
      <c r="UGY62" s="87" t="str">
        <f>IF(ISNUMBER(outYear),UGY37+UGY42+#REF!+UGY59,"")</f>
        <v/>
      </c>
      <c r="UGZ62" s="87" t="str">
        <f>IF(ISNUMBER(outYear),UGZ37+UGZ42+#REF!+UGZ59,"")</f>
        <v/>
      </c>
      <c r="UHA62" s="87" t="str">
        <f>IF(ISNUMBER(outYear),UHA37+UHA42+#REF!+UHA59,"")</f>
        <v/>
      </c>
      <c r="UHB62" s="87" t="str">
        <f>IF(ISNUMBER(outYear),UHB37+UHB42+#REF!+UHB59,"")</f>
        <v/>
      </c>
      <c r="UHC62" s="87" t="str">
        <f>IF(ISNUMBER(outYear),UHC37+UHC42+#REF!+UHC59,"")</f>
        <v/>
      </c>
      <c r="UHD62" s="87" t="str">
        <f>IF(ISNUMBER(outYear),UHD37+UHD42+#REF!+UHD59,"")</f>
        <v/>
      </c>
      <c r="UHE62" s="87" t="str">
        <f>IF(ISNUMBER(outYear),UHE37+UHE42+#REF!+UHE59,"")</f>
        <v/>
      </c>
      <c r="UHF62" s="87" t="str">
        <f>IF(ISNUMBER(outYear),UHF37+UHF42+#REF!+UHF59,"")</f>
        <v/>
      </c>
      <c r="UHG62" s="87" t="str">
        <f>IF(ISNUMBER(outYear),UHG37+UHG42+#REF!+UHG59,"")</f>
        <v/>
      </c>
      <c r="UHH62" s="87" t="str">
        <f>IF(ISNUMBER(outYear),UHH37+UHH42+#REF!+UHH59,"")</f>
        <v/>
      </c>
      <c r="UHI62" s="87" t="str">
        <f>IF(ISNUMBER(outYear),UHI37+UHI42+#REF!+UHI59,"")</f>
        <v/>
      </c>
      <c r="UHJ62" s="87" t="str">
        <f>IF(ISNUMBER(outYear),UHJ37+UHJ42+#REF!+UHJ59,"")</f>
        <v/>
      </c>
      <c r="UHK62" s="87" t="str">
        <f>IF(ISNUMBER(outYear),UHK37+UHK42+#REF!+UHK59,"")</f>
        <v/>
      </c>
      <c r="UHL62" s="87" t="str">
        <f>IF(ISNUMBER(outYear),UHL37+UHL42+#REF!+UHL59,"")</f>
        <v/>
      </c>
      <c r="UHM62" s="87" t="str">
        <f>IF(ISNUMBER(outYear),UHM37+UHM42+#REF!+UHM59,"")</f>
        <v/>
      </c>
      <c r="UHN62" s="87" t="str">
        <f>IF(ISNUMBER(outYear),UHN37+UHN42+#REF!+UHN59,"")</f>
        <v/>
      </c>
      <c r="UHO62" s="87" t="str">
        <f>IF(ISNUMBER(outYear),UHO37+UHO42+#REF!+UHO59,"")</f>
        <v/>
      </c>
      <c r="UHP62" s="87" t="str">
        <f>IF(ISNUMBER(outYear),UHP37+UHP42+#REF!+UHP59,"")</f>
        <v/>
      </c>
      <c r="UHQ62" s="87" t="str">
        <f>IF(ISNUMBER(outYear),UHQ37+UHQ42+#REF!+UHQ59,"")</f>
        <v/>
      </c>
      <c r="UHR62" s="87" t="str">
        <f>IF(ISNUMBER(outYear),UHR37+UHR42+#REF!+UHR59,"")</f>
        <v/>
      </c>
      <c r="UHS62" s="87" t="str">
        <f>IF(ISNUMBER(outYear),UHS37+UHS42+#REF!+UHS59,"")</f>
        <v/>
      </c>
      <c r="UHT62" s="87" t="str">
        <f>IF(ISNUMBER(outYear),UHT37+UHT42+#REF!+UHT59,"")</f>
        <v/>
      </c>
      <c r="UHU62" s="87" t="str">
        <f>IF(ISNUMBER(outYear),UHU37+UHU42+#REF!+UHU59,"")</f>
        <v/>
      </c>
      <c r="UHV62" s="87" t="str">
        <f>IF(ISNUMBER(outYear),UHV37+UHV42+#REF!+UHV59,"")</f>
        <v/>
      </c>
      <c r="UHW62" s="87" t="str">
        <f>IF(ISNUMBER(outYear),UHW37+UHW42+#REF!+UHW59,"")</f>
        <v/>
      </c>
      <c r="UHX62" s="87" t="str">
        <f>IF(ISNUMBER(outYear),UHX37+UHX42+#REF!+UHX59,"")</f>
        <v/>
      </c>
      <c r="UHY62" s="87" t="str">
        <f>IF(ISNUMBER(outYear),UHY37+UHY42+#REF!+UHY59,"")</f>
        <v/>
      </c>
      <c r="UHZ62" s="87" t="str">
        <f>IF(ISNUMBER(outYear),UHZ37+UHZ42+#REF!+UHZ59,"")</f>
        <v/>
      </c>
      <c r="UIA62" s="87" t="str">
        <f>IF(ISNUMBER(outYear),UIA37+UIA42+#REF!+UIA59,"")</f>
        <v/>
      </c>
      <c r="UIB62" s="87" t="str">
        <f>IF(ISNUMBER(outYear),UIB37+UIB42+#REF!+UIB59,"")</f>
        <v/>
      </c>
      <c r="UIC62" s="87" t="str">
        <f>IF(ISNUMBER(outYear),UIC37+UIC42+#REF!+UIC59,"")</f>
        <v/>
      </c>
      <c r="UID62" s="87" t="str">
        <f>IF(ISNUMBER(outYear),UID37+UID42+#REF!+UID59,"")</f>
        <v/>
      </c>
      <c r="UIE62" s="87" t="str">
        <f>IF(ISNUMBER(outYear),UIE37+UIE42+#REF!+UIE59,"")</f>
        <v/>
      </c>
      <c r="UIF62" s="87" t="str">
        <f>IF(ISNUMBER(outYear),UIF37+UIF42+#REF!+UIF59,"")</f>
        <v/>
      </c>
      <c r="UIG62" s="87" t="str">
        <f>IF(ISNUMBER(outYear),UIG37+UIG42+#REF!+UIG59,"")</f>
        <v/>
      </c>
      <c r="UIH62" s="87" t="str">
        <f>IF(ISNUMBER(outYear),UIH37+UIH42+#REF!+UIH59,"")</f>
        <v/>
      </c>
      <c r="UII62" s="87" t="str">
        <f>IF(ISNUMBER(outYear),UII37+UII42+#REF!+UII59,"")</f>
        <v/>
      </c>
      <c r="UIJ62" s="87" t="str">
        <f>IF(ISNUMBER(outYear),UIJ37+UIJ42+#REF!+UIJ59,"")</f>
        <v/>
      </c>
      <c r="UIK62" s="87" t="str">
        <f>IF(ISNUMBER(outYear),UIK37+UIK42+#REF!+UIK59,"")</f>
        <v/>
      </c>
      <c r="UIL62" s="87" t="str">
        <f>IF(ISNUMBER(outYear),UIL37+UIL42+#REF!+UIL59,"")</f>
        <v/>
      </c>
      <c r="UIM62" s="87" t="str">
        <f>IF(ISNUMBER(outYear),UIM37+UIM42+#REF!+UIM59,"")</f>
        <v/>
      </c>
      <c r="UIN62" s="87" t="str">
        <f>IF(ISNUMBER(outYear),UIN37+UIN42+#REF!+UIN59,"")</f>
        <v/>
      </c>
      <c r="UIO62" s="87" t="str">
        <f>IF(ISNUMBER(outYear),UIO37+UIO42+#REF!+UIO59,"")</f>
        <v/>
      </c>
      <c r="UIP62" s="87" t="str">
        <f>IF(ISNUMBER(outYear),UIP37+UIP42+#REF!+UIP59,"")</f>
        <v/>
      </c>
      <c r="UIQ62" s="87" t="str">
        <f>IF(ISNUMBER(outYear),UIQ37+UIQ42+#REF!+UIQ59,"")</f>
        <v/>
      </c>
      <c r="UIR62" s="87" t="str">
        <f>IF(ISNUMBER(outYear),UIR37+UIR42+#REF!+UIR59,"")</f>
        <v/>
      </c>
      <c r="UIS62" s="87" t="str">
        <f>IF(ISNUMBER(outYear),UIS37+UIS42+#REF!+UIS59,"")</f>
        <v/>
      </c>
      <c r="UIT62" s="87" t="str">
        <f>IF(ISNUMBER(outYear),UIT37+UIT42+#REF!+UIT59,"")</f>
        <v/>
      </c>
      <c r="UIU62" s="87" t="str">
        <f>IF(ISNUMBER(outYear),UIU37+UIU42+#REF!+UIU59,"")</f>
        <v/>
      </c>
      <c r="UIV62" s="87" t="str">
        <f>IF(ISNUMBER(outYear),UIV37+UIV42+#REF!+UIV59,"")</f>
        <v/>
      </c>
      <c r="UIW62" s="87" t="str">
        <f>IF(ISNUMBER(outYear),UIW37+UIW42+#REF!+UIW59,"")</f>
        <v/>
      </c>
      <c r="UIX62" s="87" t="str">
        <f>IF(ISNUMBER(outYear),UIX37+UIX42+#REF!+UIX59,"")</f>
        <v/>
      </c>
      <c r="UIY62" s="87" t="str">
        <f>IF(ISNUMBER(outYear),UIY37+UIY42+#REF!+UIY59,"")</f>
        <v/>
      </c>
      <c r="UIZ62" s="87" t="str">
        <f>IF(ISNUMBER(outYear),UIZ37+UIZ42+#REF!+UIZ59,"")</f>
        <v/>
      </c>
      <c r="UJA62" s="87" t="str">
        <f>IF(ISNUMBER(outYear),UJA37+UJA42+#REF!+UJA59,"")</f>
        <v/>
      </c>
      <c r="UJB62" s="87" t="str">
        <f>IF(ISNUMBER(outYear),UJB37+UJB42+#REF!+UJB59,"")</f>
        <v/>
      </c>
      <c r="UJC62" s="87" t="str">
        <f>IF(ISNUMBER(outYear),UJC37+UJC42+#REF!+UJC59,"")</f>
        <v/>
      </c>
      <c r="UJD62" s="87" t="str">
        <f>IF(ISNUMBER(outYear),UJD37+UJD42+#REF!+UJD59,"")</f>
        <v/>
      </c>
      <c r="UJE62" s="87" t="str">
        <f>IF(ISNUMBER(outYear),UJE37+UJE42+#REF!+UJE59,"")</f>
        <v/>
      </c>
      <c r="UJF62" s="87" t="str">
        <f>IF(ISNUMBER(outYear),UJF37+UJF42+#REF!+UJF59,"")</f>
        <v/>
      </c>
      <c r="UJG62" s="87" t="str">
        <f>IF(ISNUMBER(outYear),UJG37+UJG42+#REF!+UJG59,"")</f>
        <v/>
      </c>
      <c r="UJH62" s="87" t="str">
        <f>IF(ISNUMBER(outYear),UJH37+UJH42+#REF!+UJH59,"")</f>
        <v/>
      </c>
      <c r="UJI62" s="87" t="str">
        <f>IF(ISNUMBER(outYear),UJI37+UJI42+#REF!+UJI59,"")</f>
        <v/>
      </c>
      <c r="UJJ62" s="87" t="str">
        <f>IF(ISNUMBER(outYear),UJJ37+UJJ42+#REF!+UJJ59,"")</f>
        <v/>
      </c>
      <c r="UJK62" s="87" t="str">
        <f>IF(ISNUMBER(outYear),UJK37+UJK42+#REF!+UJK59,"")</f>
        <v/>
      </c>
      <c r="UJL62" s="87" t="str">
        <f>IF(ISNUMBER(outYear),UJL37+UJL42+#REF!+UJL59,"")</f>
        <v/>
      </c>
      <c r="UJM62" s="87" t="str">
        <f>IF(ISNUMBER(outYear),UJM37+UJM42+#REF!+UJM59,"")</f>
        <v/>
      </c>
      <c r="UJN62" s="87" t="str">
        <f>IF(ISNUMBER(outYear),UJN37+UJN42+#REF!+UJN59,"")</f>
        <v/>
      </c>
      <c r="UJO62" s="87" t="str">
        <f>IF(ISNUMBER(outYear),UJO37+UJO42+#REF!+UJO59,"")</f>
        <v/>
      </c>
      <c r="UJP62" s="87" t="str">
        <f>IF(ISNUMBER(outYear),UJP37+UJP42+#REF!+UJP59,"")</f>
        <v/>
      </c>
      <c r="UJQ62" s="87" t="str">
        <f>IF(ISNUMBER(outYear),UJQ37+UJQ42+#REF!+UJQ59,"")</f>
        <v/>
      </c>
      <c r="UJR62" s="87" t="str">
        <f>IF(ISNUMBER(outYear),UJR37+UJR42+#REF!+UJR59,"")</f>
        <v/>
      </c>
      <c r="UJS62" s="87" t="str">
        <f>IF(ISNUMBER(outYear),UJS37+UJS42+#REF!+UJS59,"")</f>
        <v/>
      </c>
      <c r="UJT62" s="87" t="str">
        <f>IF(ISNUMBER(outYear),UJT37+UJT42+#REF!+UJT59,"")</f>
        <v/>
      </c>
      <c r="UJU62" s="87" t="str">
        <f>IF(ISNUMBER(outYear),UJU37+UJU42+#REF!+UJU59,"")</f>
        <v/>
      </c>
      <c r="UJV62" s="87" t="str">
        <f>IF(ISNUMBER(outYear),UJV37+UJV42+#REF!+UJV59,"")</f>
        <v/>
      </c>
      <c r="UJW62" s="87" t="str">
        <f>IF(ISNUMBER(outYear),UJW37+UJW42+#REF!+UJW59,"")</f>
        <v/>
      </c>
      <c r="UJX62" s="87" t="str">
        <f>IF(ISNUMBER(outYear),UJX37+UJX42+#REF!+UJX59,"")</f>
        <v/>
      </c>
      <c r="UJY62" s="87" t="str">
        <f>IF(ISNUMBER(outYear),UJY37+UJY42+#REF!+UJY59,"")</f>
        <v/>
      </c>
      <c r="UJZ62" s="87" t="str">
        <f>IF(ISNUMBER(outYear),UJZ37+UJZ42+#REF!+UJZ59,"")</f>
        <v/>
      </c>
      <c r="UKA62" s="87" t="str">
        <f>IF(ISNUMBER(outYear),UKA37+UKA42+#REF!+UKA59,"")</f>
        <v/>
      </c>
      <c r="UKB62" s="87" t="str">
        <f>IF(ISNUMBER(outYear),UKB37+UKB42+#REF!+UKB59,"")</f>
        <v/>
      </c>
      <c r="UKC62" s="87" t="str">
        <f>IF(ISNUMBER(outYear),UKC37+UKC42+#REF!+UKC59,"")</f>
        <v/>
      </c>
      <c r="UKD62" s="87" t="str">
        <f>IF(ISNUMBER(outYear),UKD37+UKD42+#REF!+UKD59,"")</f>
        <v/>
      </c>
      <c r="UKE62" s="87" t="str">
        <f>IF(ISNUMBER(outYear),UKE37+UKE42+#REF!+UKE59,"")</f>
        <v/>
      </c>
      <c r="UKF62" s="87" t="str">
        <f>IF(ISNUMBER(outYear),UKF37+UKF42+#REF!+UKF59,"")</f>
        <v/>
      </c>
      <c r="UKG62" s="87" t="str">
        <f>IF(ISNUMBER(outYear),UKG37+UKG42+#REF!+UKG59,"")</f>
        <v/>
      </c>
      <c r="UKH62" s="87" t="str">
        <f>IF(ISNUMBER(outYear),UKH37+UKH42+#REF!+UKH59,"")</f>
        <v/>
      </c>
      <c r="UKI62" s="87" t="str">
        <f>IF(ISNUMBER(outYear),UKI37+UKI42+#REF!+UKI59,"")</f>
        <v/>
      </c>
      <c r="UKJ62" s="87" t="str">
        <f>IF(ISNUMBER(outYear),UKJ37+UKJ42+#REF!+UKJ59,"")</f>
        <v/>
      </c>
      <c r="UKK62" s="87" t="str">
        <f>IF(ISNUMBER(outYear),UKK37+UKK42+#REF!+UKK59,"")</f>
        <v/>
      </c>
      <c r="UKL62" s="87" t="str">
        <f>IF(ISNUMBER(outYear),UKL37+UKL42+#REF!+UKL59,"")</f>
        <v/>
      </c>
      <c r="UKM62" s="87" t="str">
        <f>IF(ISNUMBER(outYear),UKM37+UKM42+#REF!+UKM59,"")</f>
        <v/>
      </c>
      <c r="UKN62" s="87" t="str">
        <f>IF(ISNUMBER(outYear),UKN37+UKN42+#REF!+UKN59,"")</f>
        <v/>
      </c>
      <c r="UKO62" s="87" t="str">
        <f>IF(ISNUMBER(outYear),UKO37+UKO42+#REF!+UKO59,"")</f>
        <v/>
      </c>
      <c r="UKP62" s="87" t="str">
        <f>IF(ISNUMBER(outYear),UKP37+UKP42+#REF!+UKP59,"")</f>
        <v/>
      </c>
      <c r="UKQ62" s="87" t="str">
        <f>IF(ISNUMBER(outYear),UKQ37+UKQ42+#REF!+UKQ59,"")</f>
        <v/>
      </c>
      <c r="UKR62" s="87" t="str">
        <f>IF(ISNUMBER(outYear),UKR37+UKR42+#REF!+UKR59,"")</f>
        <v/>
      </c>
      <c r="UKS62" s="87" t="str">
        <f>IF(ISNUMBER(outYear),UKS37+UKS42+#REF!+UKS59,"")</f>
        <v/>
      </c>
      <c r="UKT62" s="87" t="str">
        <f>IF(ISNUMBER(outYear),UKT37+UKT42+#REF!+UKT59,"")</f>
        <v/>
      </c>
      <c r="UKU62" s="87" t="str">
        <f>IF(ISNUMBER(outYear),UKU37+UKU42+#REF!+UKU59,"")</f>
        <v/>
      </c>
      <c r="UKV62" s="87" t="str">
        <f>IF(ISNUMBER(outYear),UKV37+UKV42+#REF!+UKV59,"")</f>
        <v/>
      </c>
      <c r="UKW62" s="87" t="str">
        <f>IF(ISNUMBER(outYear),UKW37+UKW42+#REF!+UKW59,"")</f>
        <v/>
      </c>
      <c r="UKX62" s="87" t="str">
        <f>IF(ISNUMBER(outYear),UKX37+UKX42+#REF!+UKX59,"")</f>
        <v/>
      </c>
      <c r="UKY62" s="87" t="str">
        <f>IF(ISNUMBER(outYear),UKY37+UKY42+#REF!+UKY59,"")</f>
        <v/>
      </c>
      <c r="UKZ62" s="87" t="str">
        <f>IF(ISNUMBER(outYear),UKZ37+UKZ42+#REF!+UKZ59,"")</f>
        <v/>
      </c>
      <c r="ULA62" s="87" t="str">
        <f>IF(ISNUMBER(outYear),ULA37+ULA42+#REF!+ULA59,"")</f>
        <v/>
      </c>
      <c r="ULB62" s="87" t="str">
        <f>IF(ISNUMBER(outYear),ULB37+ULB42+#REF!+ULB59,"")</f>
        <v/>
      </c>
      <c r="ULC62" s="87" t="str">
        <f>IF(ISNUMBER(outYear),ULC37+ULC42+#REF!+ULC59,"")</f>
        <v/>
      </c>
      <c r="ULD62" s="87" t="str">
        <f>IF(ISNUMBER(outYear),ULD37+ULD42+#REF!+ULD59,"")</f>
        <v/>
      </c>
      <c r="ULE62" s="87" t="str">
        <f>IF(ISNUMBER(outYear),ULE37+ULE42+#REF!+ULE59,"")</f>
        <v/>
      </c>
      <c r="ULF62" s="87" t="str">
        <f>IF(ISNUMBER(outYear),ULF37+ULF42+#REF!+ULF59,"")</f>
        <v/>
      </c>
      <c r="ULG62" s="87" t="str">
        <f>IF(ISNUMBER(outYear),ULG37+ULG42+#REF!+ULG59,"")</f>
        <v/>
      </c>
      <c r="ULH62" s="87" t="str">
        <f>IF(ISNUMBER(outYear),ULH37+ULH42+#REF!+ULH59,"")</f>
        <v/>
      </c>
      <c r="ULI62" s="87" t="str">
        <f>IF(ISNUMBER(outYear),ULI37+ULI42+#REF!+ULI59,"")</f>
        <v/>
      </c>
      <c r="ULJ62" s="87" t="str">
        <f>IF(ISNUMBER(outYear),ULJ37+ULJ42+#REF!+ULJ59,"")</f>
        <v/>
      </c>
      <c r="ULK62" s="87" t="str">
        <f>IF(ISNUMBER(outYear),ULK37+ULK42+#REF!+ULK59,"")</f>
        <v/>
      </c>
      <c r="ULL62" s="87" t="str">
        <f>IF(ISNUMBER(outYear),ULL37+ULL42+#REF!+ULL59,"")</f>
        <v/>
      </c>
      <c r="ULM62" s="87" t="str">
        <f>IF(ISNUMBER(outYear),ULM37+ULM42+#REF!+ULM59,"")</f>
        <v/>
      </c>
      <c r="ULN62" s="87" t="str">
        <f>IF(ISNUMBER(outYear),ULN37+ULN42+#REF!+ULN59,"")</f>
        <v/>
      </c>
      <c r="ULO62" s="87" t="str">
        <f>IF(ISNUMBER(outYear),ULO37+ULO42+#REF!+ULO59,"")</f>
        <v/>
      </c>
      <c r="ULP62" s="87" t="str">
        <f>IF(ISNUMBER(outYear),ULP37+ULP42+#REF!+ULP59,"")</f>
        <v/>
      </c>
      <c r="ULQ62" s="87" t="str">
        <f>IF(ISNUMBER(outYear),ULQ37+ULQ42+#REF!+ULQ59,"")</f>
        <v/>
      </c>
      <c r="ULR62" s="87" t="str">
        <f>IF(ISNUMBER(outYear),ULR37+ULR42+#REF!+ULR59,"")</f>
        <v/>
      </c>
      <c r="ULS62" s="87" t="str">
        <f>IF(ISNUMBER(outYear),ULS37+ULS42+#REF!+ULS59,"")</f>
        <v/>
      </c>
      <c r="ULT62" s="87" t="str">
        <f>IF(ISNUMBER(outYear),ULT37+ULT42+#REF!+ULT59,"")</f>
        <v/>
      </c>
      <c r="ULU62" s="87" t="str">
        <f>IF(ISNUMBER(outYear),ULU37+ULU42+#REF!+ULU59,"")</f>
        <v/>
      </c>
      <c r="ULV62" s="87" t="str">
        <f>IF(ISNUMBER(outYear),ULV37+ULV42+#REF!+ULV59,"")</f>
        <v/>
      </c>
      <c r="ULW62" s="87" t="str">
        <f>IF(ISNUMBER(outYear),ULW37+ULW42+#REF!+ULW59,"")</f>
        <v/>
      </c>
      <c r="ULX62" s="87" t="str">
        <f>IF(ISNUMBER(outYear),ULX37+ULX42+#REF!+ULX59,"")</f>
        <v/>
      </c>
      <c r="ULY62" s="87" t="str">
        <f>IF(ISNUMBER(outYear),ULY37+ULY42+#REF!+ULY59,"")</f>
        <v/>
      </c>
      <c r="ULZ62" s="87" t="str">
        <f>IF(ISNUMBER(outYear),ULZ37+ULZ42+#REF!+ULZ59,"")</f>
        <v/>
      </c>
      <c r="UMA62" s="87" t="str">
        <f>IF(ISNUMBER(outYear),UMA37+UMA42+#REF!+UMA59,"")</f>
        <v/>
      </c>
      <c r="UMB62" s="87" t="str">
        <f>IF(ISNUMBER(outYear),UMB37+UMB42+#REF!+UMB59,"")</f>
        <v/>
      </c>
      <c r="UMC62" s="87" t="str">
        <f>IF(ISNUMBER(outYear),UMC37+UMC42+#REF!+UMC59,"")</f>
        <v/>
      </c>
      <c r="UMD62" s="87" t="str">
        <f>IF(ISNUMBER(outYear),UMD37+UMD42+#REF!+UMD59,"")</f>
        <v/>
      </c>
      <c r="UME62" s="87" t="str">
        <f>IF(ISNUMBER(outYear),UME37+UME42+#REF!+UME59,"")</f>
        <v/>
      </c>
      <c r="UMF62" s="87" t="str">
        <f>IF(ISNUMBER(outYear),UMF37+UMF42+#REF!+UMF59,"")</f>
        <v/>
      </c>
      <c r="UMG62" s="87" t="str">
        <f>IF(ISNUMBER(outYear),UMG37+UMG42+#REF!+UMG59,"")</f>
        <v/>
      </c>
      <c r="UMH62" s="87" t="str">
        <f>IF(ISNUMBER(outYear),UMH37+UMH42+#REF!+UMH59,"")</f>
        <v/>
      </c>
      <c r="UMI62" s="87" t="str">
        <f>IF(ISNUMBER(outYear),UMI37+UMI42+#REF!+UMI59,"")</f>
        <v/>
      </c>
      <c r="UMJ62" s="87" t="str">
        <f>IF(ISNUMBER(outYear),UMJ37+UMJ42+#REF!+UMJ59,"")</f>
        <v/>
      </c>
      <c r="UMK62" s="87" t="str">
        <f>IF(ISNUMBER(outYear),UMK37+UMK42+#REF!+UMK59,"")</f>
        <v/>
      </c>
      <c r="UML62" s="87" t="str">
        <f>IF(ISNUMBER(outYear),UML37+UML42+#REF!+UML59,"")</f>
        <v/>
      </c>
      <c r="UMM62" s="87" t="str">
        <f>IF(ISNUMBER(outYear),UMM37+UMM42+#REF!+UMM59,"")</f>
        <v/>
      </c>
      <c r="UMN62" s="87" t="str">
        <f>IF(ISNUMBER(outYear),UMN37+UMN42+#REF!+UMN59,"")</f>
        <v/>
      </c>
      <c r="UMO62" s="87" t="str">
        <f>IF(ISNUMBER(outYear),UMO37+UMO42+#REF!+UMO59,"")</f>
        <v/>
      </c>
      <c r="UMP62" s="87" t="str">
        <f>IF(ISNUMBER(outYear),UMP37+UMP42+#REF!+UMP59,"")</f>
        <v/>
      </c>
      <c r="UMQ62" s="87" t="str">
        <f>IF(ISNUMBER(outYear),UMQ37+UMQ42+#REF!+UMQ59,"")</f>
        <v/>
      </c>
      <c r="UMR62" s="87" t="str">
        <f>IF(ISNUMBER(outYear),UMR37+UMR42+#REF!+UMR59,"")</f>
        <v/>
      </c>
      <c r="UMS62" s="87" t="str">
        <f>IF(ISNUMBER(outYear),UMS37+UMS42+#REF!+UMS59,"")</f>
        <v/>
      </c>
      <c r="UMT62" s="87" t="str">
        <f>IF(ISNUMBER(outYear),UMT37+UMT42+#REF!+UMT59,"")</f>
        <v/>
      </c>
      <c r="UMU62" s="87" t="str">
        <f>IF(ISNUMBER(outYear),UMU37+UMU42+#REF!+UMU59,"")</f>
        <v/>
      </c>
      <c r="UMV62" s="87" t="str">
        <f>IF(ISNUMBER(outYear),UMV37+UMV42+#REF!+UMV59,"")</f>
        <v/>
      </c>
      <c r="UMW62" s="87" t="str">
        <f>IF(ISNUMBER(outYear),UMW37+UMW42+#REF!+UMW59,"")</f>
        <v/>
      </c>
      <c r="UMX62" s="87" t="str">
        <f>IF(ISNUMBER(outYear),UMX37+UMX42+#REF!+UMX59,"")</f>
        <v/>
      </c>
      <c r="UMY62" s="87" t="str">
        <f>IF(ISNUMBER(outYear),UMY37+UMY42+#REF!+UMY59,"")</f>
        <v/>
      </c>
      <c r="UMZ62" s="87" t="str">
        <f>IF(ISNUMBER(outYear),UMZ37+UMZ42+#REF!+UMZ59,"")</f>
        <v/>
      </c>
      <c r="UNA62" s="87" t="str">
        <f>IF(ISNUMBER(outYear),UNA37+UNA42+#REF!+UNA59,"")</f>
        <v/>
      </c>
      <c r="UNB62" s="87" t="str">
        <f>IF(ISNUMBER(outYear),UNB37+UNB42+#REF!+UNB59,"")</f>
        <v/>
      </c>
      <c r="UNC62" s="87" t="str">
        <f>IF(ISNUMBER(outYear),UNC37+UNC42+#REF!+UNC59,"")</f>
        <v/>
      </c>
      <c r="UND62" s="87" t="str">
        <f>IF(ISNUMBER(outYear),UND37+UND42+#REF!+UND59,"")</f>
        <v/>
      </c>
      <c r="UNE62" s="87" t="str">
        <f>IF(ISNUMBER(outYear),UNE37+UNE42+#REF!+UNE59,"")</f>
        <v/>
      </c>
      <c r="UNF62" s="87" t="str">
        <f>IF(ISNUMBER(outYear),UNF37+UNF42+#REF!+UNF59,"")</f>
        <v/>
      </c>
      <c r="UNG62" s="87" t="str">
        <f>IF(ISNUMBER(outYear),UNG37+UNG42+#REF!+UNG59,"")</f>
        <v/>
      </c>
      <c r="UNH62" s="87" t="str">
        <f>IF(ISNUMBER(outYear),UNH37+UNH42+#REF!+UNH59,"")</f>
        <v/>
      </c>
      <c r="UNI62" s="87" t="str">
        <f>IF(ISNUMBER(outYear),UNI37+UNI42+#REF!+UNI59,"")</f>
        <v/>
      </c>
      <c r="UNJ62" s="87" t="str">
        <f>IF(ISNUMBER(outYear),UNJ37+UNJ42+#REF!+UNJ59,"")</f>
        <v/>
      </c>
      <c r="UNK62" s="87" t="str">
        <f>IF(ISNUMBER(outYear),UNK37+UNK42+#REF!+UNK59,"")</f>
        <v/>
      </c>
      <c r="UNL62" s="87" t="str">
        <f>IF(ISNUMBER(outYear),UNL37+UNL42+#REF!+UNL59,"")</f>
        <v/>
      </c>
      <c r="UNM62" s="87" t="str">
        <f>IF(ISNUMBER(outYear),UNM37+UNM42+#REF!+UNM59,"")</f>
        <v/>
      </c>
      <c r="UNN62" s="87" t="str">
        <f>IF(ISNUMBER(outYear),UNN37+UNN42+#REF!+UNN59,"")</f>
        <v/>
      </c>
      <c r="UNO62" s="87" t="str">
        <f>IF(ISNUMBER(outYear),UNO37+UNO42+#REF!+UNO59,"")</f>
        <v/>
      </c>
      <c r="UNP62" s="87" t="str">
        <f>IF(ISNUMBER(outYear),UNP37+UNP42+#REF!+UNP59,"")</f>
        <v/>
      </c>
      <c r="UNQ62" s="87" t="str">
        <f>IF(ISNUMBER(outYear),UNQ37+UNQ42+#REF!+UNQ59,"")</f>
        <v/>
      </c>
      <c r="UNR62" s="87" t="str">
        <f>IF(ISNUMBER(outYear),UNR37+UNR42+#REF!+UNR59,"")</f>
        <v/>
      </c>
      <c r="UNS62" s="87" t="str">
        <f>IF(ISNUMBER(outYear),UNS37+UNS42+#REF!+UNS59,"")</f>
        <v/>
      </c>
      <c r="UNT62" s="87" t="str">
        <f>IF(ISNUMBER(outYear),UNT37+UNT42+#REF!+UNT59,"")</f>
        <v/>
      </c>
      <c r="UNU62" s="87" t="str">
        <f>IF(ISNUMBER(outYear),UNU37+UNU42+#REF!+UNU59,"")</f>
        <v/>
      </c>
      <c r="UNV62" s="87" t="str">
        <f>IF(ISNUMBER(outYear),UNV37+UNV42+#REF!+UNV59,"")</f>
        <v/>
      </c>
      <c r="UNW62" s="87" t="str">
        <f>IF(ISNUMBER(outYear),UNW37+UNW42+#REF!+UNW59,"")</f>
        <v/>
      </c>
      <c r="UNX62" s="87" t="str">
        <f>IF(ISNUMBER(outYear),UNX37+UNX42+#REF!+UNX59,"")</f>
        <v/>
      </c>
      <c r="UNY62" s="87" t="str">
        <f>IF(ISNUMBER(outYear),UNY37+UNY42+#REF!+UNY59,"")</f>
        <v/>
      </c>
      <c r="UNZ62" s="87" t="str">
        <f>IF(ISNUMBER(outYear),UNZ37+UNZ42+#REF!+UNZ59,"")</f>
        <v/>
      </c>
      <c r="UOA62" s="87" t="str">
        <f>IF(ISNUMBER(outYear),UOA37+UOA42+#REF!+UOA59,"")</f>
        <v/>
      </c>
      <c r="UOB62" s="87" t="str">
        <f>IF(ISNUMBER(outYear),UOB37+UOB42+#REF!+UOB59,"")</f>
        <v/>
      </c>
      <c r="UOC62" s="87" t="str">
        <f>IF(ISNUMBER(outYear),UOC37+UOC42+#REF!+UOC59,"")</f>
        <v/>
      </c>
      <c r="UOD62" s="87" t="str">
        <f>IF(ISNUMBER(outYear),UOD37+UOD42+#REF!+UOD59,"")</f>
        <v/>
      </c>
      <c r="UOE62" s="87" t="str">
        <f>IF(ISNUMBER(outYear),UOE37+UOE42+#REF!+UOE59,"")</f>
        <v/>
      </c>
      <c r="UOF62" s="87" t="str">
        <f>IF(ISNUMBER(outYear),UOF37+UOF42+#REF!+UOF59,"")</f>
        <v/>
      </c>
      <c r="UOG62" s="87" t="str">
        <f>IF(ISNUMBER(outYear),UOG37+UOG42+#REF!+UOG59,"")</f>
        <v/>
      </c>
      <c r="UOH62" s="87" t="str">
        <f>IF(ISNUMBER(outYear),UOH37+UOH42+#REF!+UOH59,"")</f>
        <v/>
      </c>
      <c r="UOI62" s="87" t="str">
        <f>IF(ISNUMBER(outYear),UOI37+UOI42+#REF!+UOI59,"")</f>
        <v/>
      </c>
      <c r="UOJ62" s="87" t="str">
        <f>IF(ISNUMBER(outYear),UOJ37+UOJ42+#REF!+UOJ59,"")</f>
        <v/>
      </c>
      <c r="UOK62" s="87" t="str">
        <f>IF(ISNUMBER(outYear),UOK37+UOK42+#REF!+UOK59,"")</f>
        <v/>
      </c>
      <c r="UOL62" s="87" t="str">
        <f>IF(ISNUMBER(outYear),UOL37+UOL42+#REF!+UOL59,"")</f>
        <v/>
      </c>
      <c r="UOM62" s="87" t="str">
        <f>IF(ISNUMBER(outYear),UOM37+UOM42+#REF!+UOM59,"")</f>
        <v/>
      </c>
      <c r="UON62" s="87" t="str">
        <f>IF(ISNUMBER(outYear),UON37+UON42+#REF!+UON59,"")</f>
        <v/>
      </c>
      <c r="UOO62" s="87" t="str">
        <f>IF(ISNUMBER(outYear),UOO37+UOO42+#REF!+UOO59,"")</f>
        <v/>
      </c>
      <c r="UOP62" s="87" t="str">
        <f>IF(ISNUMBER(outYear),UOP37+UOP42+#REF!+UOP59,"")</f>
        <v/>
      </c>
      <c r="UOQ62" s="87" t="str">
        <f>IF(ISNUMBER(outYear),UOQ37+UOQ42+#REF!+UOQ59,"")</f>
        <v/>
      </c>
      <c r="UOR62" s="87" t="str">
        <f>IF(ISNUMBER(outYear),UOR37+UOR42+#REF!+UOR59,"")</f>
        <v/>
      </c>
      <c r="UOS62" s="87" t="str">
        <f>IF(ISNUMBER(outYear),UOS37+UOS42+#REF!+UOS59,"")</f>
        <v/>
      </c>
      <c r="UOT62" s="87" t="str">
        <f>IF(ISNUMBER(outYear),UOT37+UOT42+#REF!+UOT59,"")</f>
        <v/>
      </c>
      <c r="UOU62" s="87" t="str">
        <f>IF(ISNUMBER(outYear),UOU37+UOU42+#REF!+UOU59,"")</f>
        <v/>
      </c>
      <c r="UOV62" s="87" t="str">
        <f>IF(ISNUMBER(outYear),UOV37+UOV42+#REF!+UOV59,"")</f>
        <v/>
      </c>
      <c r="UOW62" s="87" t="str">
        <f>IF(ISNUMBER(outYear),UOW37+UOW42+#REF!+UOW59,"")</f>
        <v/>
      </c>
      <c r="UOX62" s="87" t="str">
        <f>IF(ISNUMBER(outYear),UOX37+UOX42+#REF!+UOX59,"")</f>
        <v/>
      </c>
      <c r="UOY62" s="87" t="str">
        <f>IF(ISNUMBER(outYear),UOY37+UOY42+#REF!+UOY59,"")</f>
        <v/>
      </c>
      <c r="UOZ62" s="87" t="str">
        <f>IF(ISNUMBER(outYear),UOZ37+UOZ42+#REF!+UOZ59,"")</f>
        <v/>
      </c>
      <c r="UPA62" s="87" t="str">
        <f>IF(ISNUMBER(outYear),UPA37+UPA42+#REF!+UPA59,"")</f>
        <v/>
      </c>
      <c r="UPB62" s="87" t="str">
        <f>IF(ISNUMBER(outYear),UPB37+UPB42+#REF!+UPB59,"")</f>
        <v/>
      </c>
      <c r="UPC62" s="87" t="str">
        <f>IF(ISNUMBER(outYear),UPC37+UPC42+#REF!+UPC59,"")</f>
        <v/>
      </c>
      <c r="UPD62" s="87" t="str">
        <f>IF(ISNUMBER(outYear),UPD37+UPD42+#REF!+UPD59,"")</f>
        <v/>
      </c>
      <c r="UPE62" s="87" t="str">
        <f>IF(ISNUMBER(outYear),UPE37+UPE42+#REF!+UPE59,"")</f>
        <v/>
      </c>
      <c r="UPF62" s="87" t="str">
        <f>IF(ISNUMBER(outYear),UPF37+UPF42+#REF!+UPF59,"")</f>
        <v/>
      </c>
      <c r="UPG62" s="87" t="str">
        <f>IF(ISNUMBER(outYear),UPG37+UPG42+#REF!+UPG59,"")</f>
        <v/>
      </c>
      <c r="UPH62" s="87" t="str">
        <f>IF(ISNUMBER(outYear),UPH37+UPH42+#REF!+UPH59,"")</f>
        <v/>
      </c>
      <c r="UPI62" s="87" t="str">
        <f>IF(ISNUMBER(outYear),UPI37+UPI42+#REF!+UPI59,"")</f>
        <v/>
      </c>
      <c r="UPJ62" s="87" t="str">
        <f>IF(ISNUMBER(outYear),UPJ37+UPJ42+#REF!+UPJ59,"")</f>
        <v/>
      </c>
      <c r="UPK62" s="87" t="str">
        <f>IF(ISNUMBER(outYear),UPK37+UPK42+#REF!+UPK59,"")</f>
        <v/>
      </c>
      <c r="UPL62" s="87" t="str">
        <f>IF(ISNUMBER(outYear),UPL37+UPL42+#REF!+UPL59,"")</f>
        <v/>
      </c>
      <c r="UPM62" s="87" t="str">
        <f>IF(ISNUMBER(outYear),UPM37+UPM42+#REF!+UPM59,"")</f>
        <v/>
      </c>
      <c r="UPN62" s="87" t="str">
        <f>IF(ISNUMBER(outYear),UPN37+UPN42+#REF!+UPN59,"")</f>
        <v/>
      </c>
      <c r="UPO62" s="87" t="str">
        <f>IF(ISNUMBER(outYear),UPO37+UPO42+#REF!+UPO59,"")</f>
        <v/>
      </c>
      <c r="UPP62" s="87" t="str">
        <f>IF(ISNUMBER(outYear),UPP37+UPP42+#REF!+UPP59,"")</f>
        <v/>
      </c>
      <c r="UPQ62" s="87" t="str">
        <f>IF(ISNUMBER(outYear),UPQ37+UPQ42+#REF!+UPQ59,"")</f>
        <v/>
      </c>
      <c r="UPR62" s="87" t="str">
        <f>IF(ISNUMBER(outYear),UPR37+UPR42+#REF!+UPR59,"")</f>
        <v/>
      </c>
      <c r="UPS62" s="87" t="str">
        <f>IF(ISNUMBER(outYear),UPS37+UPS42+#REF!+UPS59,"")</f>
        <v/>
      </c>
      <c r="UPT62" s="87" t="str">
        <f>IF(ISNUMBER(outYear),UPT37+UPT42+#REF!+UPT59,"")</f>
        <v/>
      </c>
      <c r="UPU62" s="87" t="str">
        <f>IF(ISNUMBER(outYear),UPU37+UPU42+#REF!+UPU59,"")</f>
        <v/>
      </c>
      <c r="UPV62" s="87" t="str">
        <f>IF(ISNUMBER(outYear),UPV37+UPV42+#REF!+UPV59,"")</f>
        <v/>
      </c>
      <c r="UPW62" s="87" t="str">
        <f>IF(ISNUMBER(outYear),UPW37+UPW42+#REF!+UPW59,"")</f>
        <v/>
      </c>
      <c r="UPX62" s="87" t="str">
        <f>IF(ISNUMBER(outYear),UPX37+UPX42+#REF!+UPX59,"")</f>
        <v/>
      </c>
      <c r="UPY62" s="87" t="str">
        <f>IF(ISNUMBER(outYear),UPY37+UPY42+#REF!+UPY59,"")</f>
        <v/>
      </c>
      <c r="UPZ62" s="87" t="str">
        <f>IF(ISNUMBER(outYear),UPZ37+UPZ42+#REF!+UPZ59,"")</f>
        <v/>
      </c>
      <c r="UQA62" s="87" t="str">
        <f>IF(ISNUMBER(outYear),UQA37+UQA42+#REF!+UQA59,"")</f>
        <v/>
      </c>
      <c r="UQB62" s="87" t="str">
        <f>IF(ISNUMBER(outYear),UQB37+UQB42+#REF!+UQB59,"")</f>
        <v/>
      </c>
      <c r="UQC62" s="87" t="str">
        <f>IF(ISNUMBER(outYear),UQC37+UQC42+#REF!+UQC59,"")</f>
        <v/>
      </c>
      <c r="UQD62" s="87" t="str">
        <f>IF(ISNUMBER(outYear),UQD37+UQD42+#REF!+UQD59,"")</f>
        <v/>
      </c>
      <c r="UQE62" s="87" t="str">
        <f>IF(ISNUMBER(outYear),UQE37+UQE42+#REF!+UQE59,"")</f>
        <v/>
      </c>
      <c r="UQF62" s="87" t="str">
        <f>IF(ISNUMBER(outYear),UQF37+UQF42+#REF!+UQF59,"")</f>
        <v/>
      </c>
      <c r="UQG62" s="87" t="str">
        <f>IF(ISNUMBER(outYear),UQG37+UQG42+#REF!+UQG59,"")</f>
        <v/>
      </c>
      <c r="UQH62" s="87" t="str">
        <f>IF(ISNUMBER(outYear),UQH37+UQH42+#REF!+UQH59,"")</f>
        <v/>
      </c>
      <c r="UQI62" s="87" t="str">
        <f>IF(ISNUMBER(outYear),UQI37+UQI42+#REF!+UQI59,"")</f>
        <v/>
      </c>
      <c r="UQJ62" s="87" t="str">
        <f>IF(ISNUMBER(outYear),UQJ37+UQJ42+#REF!+UQJ59,"")</f>
        <v/>
      </c>
      <c r="UQK62" s="87" t="str">
        <f>IF(ISNUMBER(outYear),UQK37+UQK42+#REF!+UQK59,"")</f>
        <v/>
      </c>
      <c r="UQL62" s="87" t="str">
        <f>IF(ISNUMBER(outYear),UQL37+UQL42+#REF!+UQL59,"")</f>
        <v/>
      </c>
      <c r="UQM62" s="87" t="str">
        <f>IF(ISNUMBER(outYear),UQM37+UQM42+#REF!+UQM59,"")</f>
        <v/>
      </c>
      <c r="UQN62" s="87" t="str">
        <f>IF(ISNUMBER(outYear),UQN37+UQN42+#REF!+UQN59,"")</f>
        <v/>
      </c>
      <c r="UQO62" s="87" t="str">
        <f>IF(ISNUMBER(outYear),UQO37+UQO42+#REF!+UQO59,"")</f>
        <v/>
      </c>
      <c r="UQP62" s="87" t="str">
        <f>IF(ISNUMBER(outYear),UQP37+UQP42+#REF!+UQP59,"")</f>
        <v/>
      </c>
      <c r="UQQ62" s="87" t="str">
        <f>IF(ISNUMBER(outYear),UQQ37+UQQ42+#REF!+UQQ59,"")</f>
        <v/>
      </c>
      <c r="UQR62" s="87" t="str">
        <f>IF(ISNUMBER(outYear),UQR37+UQR42+#REF!+UQR59,"")</f>
        <v/>
      </c>
      <c r="UQS62" s="87" t="str">
        <f>IF(ISNUMBER(outYear),UQS37+UQS42+#REF!+UQS59,"")</f>
        <v/>
      </c>
      <c r="UQT62" s="87" t="str">
        <f>IF(ISNUMBER(outYear),UQT37+UQT42+#REF!+UQT59,"")</f>
        <v/>
      </c>
      <c r="UQU62" s="87" t="str">
        <f>IF(ISNUMBER(outYear),UQU37+UQU42+#REF!+UQU59,"")</f>
        <v/>
      </c>
      <c r="UQV62" s="87" t="str">
        <f>IF(ISNUMBER(outYear),UQV37+UQV42+#REF!+UQV59,"")</f>
        <v/>
      </c>
      <c r="UQW62" s="87" t="str">
        <f>IF(ISNUMBER(outYear),UQW37+UQW42+#REF!+UQW59,"")</f>
        <v/>
      </c>
      <c r="UQX62" s="87" t="str">
        <f>IF(ISNUMBER(outYear),UQX37+UQX42+#REF!+UQX59,"")</f>
        <v/>
      </c>
      <c r="UQY62" s="87" t="str">
        <f>IF(ISNUMBER(outYear),UQY37+UQY42+#REF!+UQY59,"")</f>
        <v/>
      </c>
      <c r="UQZ62" s="87" t="str">
        <f>IF(ISNUMBER(outYear),UQZ37+UQZ42+#REF!+UQZ59,"")</f>
        <v/>
      </c>
      <c r="URA62" s="87" t="str">
        <f>IF(ISNUMBER(outYear),URA37+URA42+#REF!+URA59,"")</f>
        <v/>
      </c>
      <c r="URB62" s="87" t="str">
        <f>IF(ISNUMBER(outYear),URB37+URB42+#REF!+URB59,"")</f>
        <v/>
      </c>
      <c r="URC62" s="87" t="str">
        <f>IF(ISNUMBER(outYear),URC37+URC42+#REF!+URC59,"")</f>
        <v/>
      </c>
      <c r="URD62" s="87" t="str">
        <f>IF(ISNUMBER(outYear),URD37+URD42+#REF!+URD59,"")</f>
        <v/>
      </c>
      <c r="URE62" s="87" t="str">
        <f>IF(ISNUMBER(outYear),URE37+URE42+#REF!+URE59,"")</f>
        <v/>
      </c>
      <c r="URF62" s="87" t="str">
        <f>IF(ISNUMBER(outYear),URF37+URF42+#REF!+URF59,"")</f>
        <v/>
      </c>
      <c r="URG62" s="87" t="str">
        <f>IF(ISNUMBER(outYear),URG37+URG42+#REF!+URG59,"")</f>
        <v/>
      </c>
      <c r="URH62" s="87" t="str">
        <f>IF(ISNUMBER(outYear),URH37+URH42+#REF!+URH59,"")</f>
        <v/>
      </c>
      <c r="URI62" s="87" t="str">
        <f>IF(ISNUMBER(outYear),URI37+URI42+#REF!+URI59,"")</f>
        <v/>
      </c>
      <c r="URJ62" s="87" t="str">
        <f>IF(ISNUMBER(outYear),URJ37+URJ42+#REF!+URJ59,"")</f>
        <v/>
      </c>
      <c r="URK62" s="87" t="str">
        <f>IF(ISNUMBER(outYear),URK37+URK42+#REF!+URK59,"")</f>
        <v/>
      </c>
      <c r="URL62" s="87" t="str">
        <f>IF(ISNUMBER(outYear),URL37+URL42+#REF!+URL59,"")</f>
        <v/>
      </c>
      <c r="URM62" s="87" t="str">
        <f>IF(ISNUMBER(outYear),URM37+URM42+#REF!+URM59,"")</f>
        <v/>
      </c>
      <c r="URN62" s="87" t="str">
        <f>IF(ISNUMBER(outYear),URN37+URN42+#REF!+URN59,"")</f>
        <v/>
      </c>
      <c r="URO62" s="87" t="str">
        <f>IF(ISNUMBER(outYear),URO37+URO42+#REF!+URO59,"")</f>
        <v/>
      </c>
      <c r="URP62" s="87" t="str">
        <f>IF(ISNUMBER(outYear),URP37+URP42+#REF!+URP59,"")</f>
        <v/>
      </c>
      <c r="URQ62" s="87" t="str">
        <f>IF(ISNUMBER(outYear),URQ37+URQ42+#REF!+URQ59,"")</f>
        <v/>
      </c>
      <c r="URR62" s="87" t="str">
        <f>IF(ISNUMBER(outYear),URR37+URR42+#REF!+URR59,"")</f>
        <v/>
      </c>
      <c r="URS62" s="87" t="str">
        <f>IF(ISNUMBER(outYear),URS37+URS42+#REF!+URS59,"")</f>
        <v/>
      </c>
      <c r="URT62" s="87" t="str">
        <f>IF(ISNUMBER(outYear),URT37+URT42+#REF!+URT59,"")</f>
        <v/>
      </c>
      <c r="URU62" s="87" t="str">
        <f>IF(ISNUMBER(outYear),URU37+URU42+#REF!+URU59,"")</f>
        <v/>
      </c>
      <c r="URV62" s="87" t="str">
        <f>IF(ISNUMBER(outYear),URV37+URV42+#REF!+URV59,"")</f>
        <v/>
      </c>
      <c r="URW62" s="87" t="str">
        <f>IF(ISNUMBER(outYear),URW37+URW42+#REF!+URW59,"")</f>
        <v/>
      </c>
      <c r="URX62" s="87" t="str">
        <f>IF(ISNUMBER(outYear),URX37+URX42+#REF!+URX59,"")</f>
        <v/>
      </c>
      <c r="URY62" s="87" t="str">
        <f>IF(ISNUMBER(outYear),URY37+URY42+#REF!+URY59,"")</f>
        <v/>
      </c>
      <c r="URZ62" s="87" t="str">
        <f>IF(ISNUMBER(outYear),URZ37+URZ42+#REF!+URZ59,"")</f>
        <v/>
      </c>
      <c r="USA62" s="87" t="str">
        <f>IF(ISNUMBER(outYear),USA37+USA42+#REF!+USA59,"")</f>
        <v/>
      </c>
      <c r="USB62" s="87" t="str">
        <f>IF(ISNUMBER(outYear),USB37+USB42+#REF!+USB59,"")</f>
        <v/>
      </c>
      <c r="USC62" s="87" t="str">
        <f>IF(ISNUMBER(outYear),USC37+USC42+#REF!+USC59,"")</f>
        <v/>
      </c>
      <c r="USD62" s="87" t="str">
        <f>IF(ISNUMBER(outYear),USD37+USD42+#REF!+USD59,"")</f>
        <v/>
      </c>
      <c r="USE62" s="87" t="str">
        <f>IF(ISNUMBER(outYear),USE37+USE42+#REF!+USE59,"")</f>
        <v/>
      </c>
      <c r="USF62" s="87" t="str">
        <f>IF(ISNUMBER(outYear),USF37+USF42+#REF!+USF59,"")</f>
        <v/>
      </c>
      <c r="USG62" s="87" t="str">
        <f>IF(ISNUMBER(outYear),USG37+USG42+#REF!+USG59,"")</f>
        <v/>
      </c>
      <c r="USH62" s="87" t="str">
        <f>IF(ISNUMBER(outYear),USH37+USH42+#REF!+USH59,"")</f>
        <v/>
      </c>
      <c r="USI62" s="87" t="str">
        <f>IF(ISNUMBER(outYear),USI37+USI42+#REF!+USI59,"")</f>
        <v/>
      </c>
      <c r="USJ62" s="87" t="str">
        <f>IF(ISNUMBER(outYear),USJ37+USJ42+#REF!+USJ59,"")</f>
        <v/>
      </c>
      <c r="USK62" s="87" t="str">
        <f>IF(ISNUMBER(outYear),USK37+USK42+#REF!+USK59,"")</f>
        <v/>
      </c>
      <c r="USL62" s="87" t="str">
        <f>IF(ISNUMBER(outYear),USL37+USL42+#REF!+USL59,"")</f>
        <v/>
      </c>
      <c r="USM62" s="87" t="str">
        <f>IF(ISNUMBER(outYear),USM37+USM42+#REF!+USM59,"")</f>
        <v/>
      </c>
      <c r="USN62" s="87" t="str">
        <f>IF(ISNUMBER(outYear),USN37+USN42+#REF!+USN59,"")</f>
        <v/>
      </c>
      <c r="USO62" s="87" t="str">
        <f>IF(ISNUMBER(outYear),USO37+USO42+#REF!+USO59,"")</f>
        <v/>
      </c>
      <c r="USP62" s="87" t="str">
        <f>IF(ISNUMBER(outYear),USP37+USP42+#REF!+USP59,"")</f>
        <v/>
      </c>
      <c r="USQ62" s="87" t="str">
        <f>IF(ISNUMBER(outYear),USQ37+USQ42+#REF!+USQ59,"")</f>
        <v/>
      </c>
      <c r="USR62" s="87" t="str">
        <f>IF(ISNUMBER(outYear),USR37+USR42+#REF!+USR59,"")</f>
        <v/>
      </c>
      <c r="USS62" s="87" t="str">
        <f>IF(ISNUMBER(outYear),USS37+USS42+#REF!+USS59,"")</f>
        <v/>
      </c>
      <c r="UST62" s="87" t="str">
        <f>IF(ISNUMBER(outYear),UST37+UST42+#REF!+UST59,"")</f>
        <v/>
      </c>
      <c r="USU62" s="87" t="str">
        <f>IF(ISNUMBER(outYear),USU37+USU42+#REF!+USU59,"")</f>
        <v/>
      </c>
      <c r="USV62" s="87" t="str">
        <f>IF(ISNUMBER(outYear),USV37+USV42+#REF!+USV59,"")</f>
        <v/>
      </c>
      <c r="USW62" s="87" t="str">
        <f>IF(ISNUMBER(outYear),USW37+USW42+#REF!+USW59,"")</f>
        <v/>
      </c>
      <c r="USX62" s="87" t="str">
        <f>IF(ISNUMBER(outYear),USX37+USX42+#REF!+USX59,"")</f>
        <v/>
      </c>
      <c r="USY62" s="87" t="str">
        <f>IF(ISNUMBER(outYear),USY37+USY42+#REF!+USY59,"")</f>
        <v/>
      </c>
      <c r="USZ62" s="87" t="str">
        <f>IF(ISNUMBER(outYear),USZ37+USZ42+#REF!+USZ59,"")</f>
        <v/>
      </c>
      <c r="UTA62" s="87" t="str">
        <f>IF(ISNUMBER(outYear),UTA37+UTA42+#REF!+UTA59,"")</f>
        <v/>
      </c>
      <c r="UTB62" s="87" t="str">
        <f>IF(ISNUMBER(outYear),UTB37+UTB42+#REF!+UTB59,"")</f>
        <v/>
      </c>
      <c r="UTC62" s="87" t="str">
        <f>IF(ISNUMBER(outYear),UTC37+UTC42+#REF!+UTC59,"")</f>
        <v/>
      </c>
      <c r="UTD62" s="87" t="str">
        <f>IF(ISNUMBER(outYear),UTD37+UTD42+#REF!+UTD59,"")</f>
        <v/>
      </c>
      <c r="UTE62" s="87" t="str">
        <f>IF(ISNUMBER(outYear),UTE37+UTE42+#REF!+UTE59,"")</f>
        <v/>
      </c>
      <c r="UTF62" s="87" t="str">
        <f>IF(ISNUMBER(outYear),UTF37+UTF42+#REF!+UTF59,"")</f>
        <v/>
      </c>
      <c r="UTG62" s="87" t="str">
        <f>IF(ISNUMBER(outYear),UTG37+UTG42+#REF!+UTG59,"")</f>
        <v/>
      </c>
      <c r="UTH62" s="87" t="str">
        <f>IF(ISNUMBER(outYear),UTH37+UTH42+#REF!+UTH59,"")</f>
        <v/>
      </c>
      <c r="UTI62" s="87" t="str">
        <f>IF(ISNUMBER(outYear),UTI37+UTI42+#REF!+UTI59,"")</f>
        <v/>
      </c>
      <c r="UTJ62" s="87" t="str">
        <f>IF(ISNUMBER(outYear),UTJ37+UTJ42+#REF!+UTJ59,"")</f>
        <v/>
      </c>
      <c r="UTK62" s="87" t="str">
        <f>IF(ISNUMBER(outYear),UTK37+UTK42+#REF!+UTK59,"")</f>
        <v/>
      </c>
      <c r="UTL62" s="87" t="str">
        <f>IF(ISNUMBER(outYear),UTL37+UTL42+#REF!+UTL59,"")</f>
        <v/>
      </c>
      <c r="UTM62" s="87" t="str">
        <f>IF(ISNUMBER(outYear),UTM37+UTM42+#REF!+UTM59,"")</f>
        <v/>
      </c>
      <c r="UTN62" s="87" t="str">
        <f>IF(ISNUMBER(outYear),UTN37+UTN42+#REF!+UTN59,"")</f>
        <v/>
      </c>
      <c r="UTO62" s="87" t="str">
        <f>IF(ISNUMBER(outYear),UTO37+UTO42+#REF!+UTO59,"")</f>
        <v/>
      </c>
      <c r="UTP62" s="87" t="str">
        <f>IF(ISNUMBER(outYear),UTP37+UTP42+#REF!+UTP59,"")</f>
        <v/>
      </c>
      <c r="UTQ62" s="87" t="str">
        <f>IF(ISNUMBER(outYear),UTQ37+UTQ42+#REF!+UTQ59,"")</f>
        <v/>
      </c>
      <c r="UTR62" s="87" t="str">
        <f>IF(ISNUMBER(outYear),UTR37+UTR42+#REF!+UTR59,"")</f>
        <v/>
      </c>
      <c r="UTS62" s="87" t="str">
        <f>IF(ISNUMBER(outYear),UTS37+UTS42+#REF!+UTS59,"")</f>
        <v/>
      </c>
      <c r="UTT62" s="87" t="str">
        <f>IF(ISNUMBER(outYear),UTT37+UTT42+#REF!+UTT59,"")</f>
        <v/>
      </c>
      <c r="UTU62" s="87" t="str">
        <f>IF(ISNUMBER(outYear),UTU37+UTU42+#REF!+UTU59,"")</f>
        <v/>
      </c>
      <c r="UTV62" s="87" t="str">
        <f>IF(ISNUMBER(outYear),UTV37+UTV42+#REF!+UTV59,"")</f>
        <v/>
      </c>
      <c r="UTW62" s="87" t="str">
        <f>IF(ISNUMBER(outYear),UTW37+UTW42+#REF!+UTW59,"")</f>
        <v/>
      </c>
      <c r="UTX62" s="87" t="str">
        <f>IF(ISNUMBER(outYear),UTX37+UTX42+#REF!+UTX59,"")</f>
        <v/>
      </c>
      <c r="UTY62" s="87" t="str">
        <f>IF(ISNUMBER(outYear),UTY37+UTY42+#REF!+UTY59,"")</f>
        <v/>
      </c>
      <c r="UTZ62" s="87" t="str">
        <f>IF(ISNUMBER(outYear),UTZ37+UTZ42+#REF!+UTZ59,"")</f>
        <v/>
      </c>
      <c r="UUA62" s="87" t="str">
        <f>IF(ISNUMBER(outYear),UUA37+UUA42+#REF!+UUA59,"")</f>
        <v/>
      </c>
      <c r="UUB62" s="87" t="str">
        <f>IF(ISNUMBER(outYear),UUB37+UUB42+#REF!+UUB59,"")</f>
        <v/>
      </c>
      <c r="UUC62" s="87" t="str">
        <f>IF(ISNUMBER(outYear),UUC37+UUC42+#REF!+UUC59,"")</f>
        <v/>
      </c>
      <c r="UUD62" s="87" t="str">
        <f>IF(ISNUMBER(outYear),UUD37+UUD42+#REF!+UUD59,"")</f>
        <v/>
      </c>
      <c r="UUE62" s="87" t="str">
        <f>IF(ISNUMBER(outYear),UUE37+UUE42+#REF!+UUE59,"")</f>
        <v/>
      </c>
      <c r="UUF62" s="87" t="str">
        <f>IF(ISNUMBER(outYear),UUF37+UUF42+#REF!+UUF59,"")</f>
        <v/>
      </c>
      <c r="UUG62" s="87" t="str">
        <f>IF(ISNUMBER(outYear),UUG37+UUG42+#REF!+UUG59,"")</f>
        <v/>
      </c>
      <c r="UUH62" s="87" t="str">
        <f>IF(ISNUMBER(outYear),UUH37+UUH42+#REF!+UUH59,"")</f>
        <v/>
      </c>
      <c r="UUI62" s="87" t="str">
        <f>IF(ISNUMBER(outYear),UUI37+UUI42+#REF!+UUI59,"")</f>
        <v/>
      </c>
      <c r="UUJ62" s="87" t="str">
        <f>IF(ISNUMBER(outYear),UUJ37+UUJ42+#REF!+UUJ59,"")</f>
        <v/>
      </c>
      <c r="UUK62" s="87" t="str">
        <f>IF(ISNUMBER(outYear),UUK37+UUK42+#REF!+UUK59,"")</f>
        <v/>
      </c>
      <c r="UUL62" s="87" t="str">
        <f>IF(ISNUMBER(outYear),UUL37+UUL42+#REF!+UUL59,"")</f>
        <v/>
      </c>
      <c r="UUM62" s="87" t="str">
        <f>IF(ISNUMBER(outYear),UUM37+UUM42+#REF!+UUM59,"")</f>
        <v/>
      </c>
      <c r="UUN62" s="87" t="str">
        <f>IF(ISNUMBER(outYear),UUN37+UUN42+#REF!+UUN59,"")</f>
        <v/>
      </c>
      <c r="UUO62" s="87" t="str">
        <f>IF(ISNUMBER(outYear),UUO37+UUO42+#REF!+UUO59,"")</f>
        <v/>
      </c>
      <c r="UUP62" s="87" t="str">
        <f>IF(ISNUMBER(outYear),UUP37+UUP42+#REF!+UUP59,"")</f>
        <v/>
      </c>
      <c r="UUQ62" s="87" t="str">
        <f>IF(ISNUMBER(outYear),UUQ37+UUQ42+#REF!+UUQ59,"")</f>
        <v/>
      </c>
      <c r="UUR62" s="87" t="str">
        <f>IF(ISNUMBER(outYear),UUR37+UUR42+#REF!+UUR59,"")</f>
        <v/>
      </c>
      <c r="UUS62" s="87" t="str">
        <f>IF(ISNUMBER(outYear),UUS37+UUS42+#REF!+UUS59,"")</f>
        <v/>
      </c>
      <c r="UUT62" s="87" t="str">
        <f>IF(ISNUMBER(outYear),UUT37+UUT42+#REF!+UUT59,"")</f>
        <v/>
      </c>
      <c r="UUU62" s="87" t="str">
        <f>IF(ISNUMBER(outYear),UUU37+UUU42+#REF!+UUU59,"")</f>
        <v/>
      </c>
      <c r="UUV62" s="87" t="str">
        <f>IF(ISNUMBER(outYear),UUV37+UUV42+#REF!+UUV59,"")</f>
        <v/>
      </c>
      <c r="UUW62" s="87" t="str">
        <f>IF(ISNUMBER(outYear),UUW37+UUW42+#REF!+UUW59,"")</f>
        <v/>
      </c>
      <c r="UUX62" s="87" t="str">
        <f>IF(ISNUMBER(outYear),UUX37+UUX42+#REF!+UUX59,"")</f>
        <v/>
      </c>
      <c r="UUY62" s="87" t="str">
        <f>IF(ISNUMBER(outYear),UUY37+UUY42+#REF!+UUY59,"")</f>
        <v/>
      </c>
      <c r="UUZ62" s="87" t="str">
        <f>IF(ISNUMBER(outYear),UUZ37+UUZ42+#REF!+UUZ59,"")</f>
        <v/>
      </c>
      <c r="UVA62" s="87" t="str">
        <f>IF(ISNUMBER(outYear),UVA37+UVA42+#REF!+UVA59,"")</f>
        <v/>
      </c>
      <c r="UVB62" s="87" t="str">
        <f>IF(ISNUMBER(outYear),UVB37+UVB42+#REF!+UVB59,"")</f>
        <v/>
      </c>
      <c r="UVC62" s="87" t="str">
        <f>IF(ISNUMBER(outYear),UVC37+UVC42+#REF!+UVC59,"")</f>
        <v/>
      </c>
      <c r="UVD62" s="87" t="str">
        <f>IF(ISNUMBER(outYear),UVD37+UVD42+#REF!+UVD59,"")</f>
        <v/>
      </c>
      <c r="UVE62" s="87" t="str">
        <f>IF(ISNUMBER(outYear),UVE37+UVE42+#REF!+UVE59,"")</f>
        <v/>
      </c>
      <c r="UVF62" s="87" t="str">
        <f>IF(ISNUMBER(outYear),UVF37+UVF42+#REF!+UVF59,"")</f>
        <v/>
      </c>
      <c r="UVG62" s="87" t="str">
        <f>IF(ISNUMBER(outYear),UVG37+UVG42+#REF!+UVG59,"")</f>
        <v/>
      </c>
      <c r="UVH62" s="87" t="str">
        <f>IF(ISNUMBER(outYear),UVH37+UVH42+#REF!+UVH59,"")</f>
        <v/>
      </c>
      <c r="UVI62" s="87" t="str">
        <f>IF(ISNUMBER(outYear),UVI37+UVI42+#REF!+UVI59,"")</f>
        <v/>
      </c>
      <c r="UVJ62" s="87" t="str">
        <f>IF(ISNUMBER(outYear),UVJ37+UVJ42+#REF!+UVJ59,"")</f>
        <v/>
      </c>
      <c r="UVK62" s="87" t="str">
        <f>IF(ISNUMBER(outYear),UVK37+UVK42+#REF!+UVK59,"")</f>
        <v/>
      </c>
      <c r="UVL62" s="87" t="str">
        <f>IF(ISNUMBER(outYear),UVL37+UVL42+#REF!+UVL59,"")</f>
        <v/>
      </c>
      <c r="UVM62" s="87" t="str">
        <f>IF(ISNUMBER(outYear),UVM37+UVM42+#REF!+UVM59,"")</f>
        <v/>
      </c>
      <c r="UVN62" s="87" t="str">
        <f>IF(ISNUMBER(outYear),UVN37+UVN42+#REF!+UVN59,"")</f>
        <v/>
      </c>
      <c r="UVO62" s="87" t="str">
        <f>IF(ISNUMBER(outYear),UVO37+UVO42+#REF!+UVO59,"")</f>
        <v/>
      </c>
      <c r="UVP62" s="87" t="str">
        <f>IF(ISNUMBER(outYear),UVP37+UVP42+#REF!+UVP59,"")</f>
        <v/>
      </c>
      <c r="UVQ62" s="87" t="str">
        <f>IF(ISNUMBER(outYear),UVQ37+UVQ42+#REF!+UVQ59,"")</f>
        <v/>
      </c>
      <c r="UVR62" s="87" t="str">
        <f>IF(ISNUMBER(outYear),UVR37+UVR42+#REF!+UVR59,"")</f>
        <v/>
      </c>
      <c r="UVS62" s="87" t="str">
        <f>IF(ISNUMBER(outYear),UVS37+UVS42+#REF!+UVS59,"")</f>
        <v/>
      </c>
      <c r="UVT62" s="87" t="str">
        <f>IF(ISNUMBER(outYear),UVT37+UVT42+#REF!+UVT59,"")</f>
        <v/>
      </c>
      <c r="UVU62" s="87" t="str">
        <f>IF(ISNUMBER(outYear),UVU37+UVU42+#REF!+UVU59,"")</f>
        <v/>
      </c>
      <c r="UVV62" s="87" t="str">
        <f>IF(ISNUMBER(outYear),UVV37+UVV42+#REF!+UVV59,"")</f>
        <v/>
      </c>
      <c r="UVW62" s="87" t="str">
        <f>IF(ISNUMBER(outYear),UVW37+UVW42+#REF!+UVW59,"")</f>
        <v/>
      </c>
      <c r="UVX62" s="87" t="str">
        <f>IF(ISNUMBER(outYear),UVX37+UVX42+#REF!+UVX59,"")</f>
        <v/>
      </c>
      <c r="UVY62" s="87" t="str">
        <f>IF(ISNUMBER(outYear),UVY37+UVY42+#REF!+UVY59,"")</f>
        <v/>
      </c>
      <c r="UVZ62" s="87" t="str">
        <f>IF(ISNUMBER(outYear),UVZ37+UVZ42+#REF!+UVZ59,"")</f>
        <v/>
      </c>
      <c r="UWA62" s="87" t="str">
        <f>IF(ISNUMBER(outYear),UWA37+UWA42+#REF!+UWA59,"")</f>
        <v/>
      </c>
      <c r="UWB62" s="87" t="str">
        <f>IF(ISNUMBER(outYear),UWB37+UWB42+#REF!+UWB59,"")</f>
        <v/>
      </c>
      <c r="UWC62" s="87" t="str">
        <f>IF(ISNUMBER(outYear),UWC37+UWC42+#REF!+UWC59,"")</f>
        <v/>
      </c>
      <c r="UWD62" s="87" t="str">
        <f>IF(ISNUMBER(outYear),UWD37+UWD42+#REF!+UWD59,"")</f>
        <v/>
      </c>
      <c r="UWE62" s="87" t="str">
        <f>IF(ISNUMBER(outYear),UWE37+UWE42+#REF!+UWE59,"")</f>
        <v/>
      </c>
      <c r="UWF62" s="87" t="str">
        <f>IF(ISNUMBER(outYear),UWF37+UWF42+#REF!+UWF59,"")</f>
        <v/>
      </c>
      <c r="UWG62" s="87" t="str">
        <f>IF(ISNUMBER(outYear),UWG37+UWG42+#REF!+UWG59,"")</f>
        <v/>
      </c>
      <c r="UWH62" s="87" t="str">
        <f>IF(ISNUMBER(outYear),UWH37+UWH42+#REF!+UWH59,"")</f>
        <v/>
      </c>
      <c r="UWI62" s="87" t="str">
        <f>IF(ISNUMBER(outYear),UWI37+UWI42+#REF!+UWI59,"")</f>
        <v/>
      </c>
      <c r="UWJ62" s="87" t="str">
        <f>IF(ISNUMBER(outYear),UWJ37+UWJ42+#REF!+UWJ59,"")</f>
        <v/>
      </c>
      <c r="UWK62" s="87" t="str">
        <f>IF(ISNUMBER(outYear),UWK37+UWK42+#REF!+UWK59,"")</f>
        <v/>
      </c>
      <c r="UWL62" s="87" t="str">
        <f>IF(ISNUMBER(outYear),UWL37+UWL42+#REF!+UWL59,"")</f>
        <v/>
      </c>
      <c r="UWM62" s="87" t="str">
        <f>IF(ISNUMBER(outYear),UWM37+UWM42+#REF!+UWM59,"")</f>
        <v/>
      </c>
      <c r="UWN62" s="87" t="str">
        <f>IF(ISNUMBER(outYear),UWN37+UWN42+#REF!+UWN59,"")</f>
        <v/>
      </c>
      <c r="UWO62" s="87" t="str">
        <f>IF(ISNUMBER(outYear),UWO37+UWO42+#REF!+UWO59,"")</f>
        <v/>
      </c>
      <c r="UWP62" s="87" t="str">
        <f>IF(ISNUMBER(outYear),UWP37+UWP42+#REF!+UWP59,"")</f>
        <v/>
      </c>
      <c r="UWQ62" s="87" t="str">
        <f>IF(ISNUMBER(outYear),UWQ37+UWQ42+#REF!+UWQ59,"")</f>
        <v/>
      </c>
      <c r="UWR62" s="87" t="str">
        <f>IF(ISNUMBER(outYear),UWR37+UWR42+#REF!+UWR59,"")</f>
        <v/>
      </c>
      <c r="UWS62" s="87" t="str">
        <f>IF(ISNUMBER(outYear),UWS37+UWS42+#REF!+UWS59,"")</f>
        <v/>
      </c>
      <c r="UWT62" s="87" t="str">
        <f>IF(ISNUMBER(outYear),UWT37+UWT42+#REF!+UWT59,"")</f>
        <v/>
      </c>
      <c r="UWU62" s="87" t="str">
        <f>IF(ISNUMBER(outYear),UWU37+UWU42+#REF!+UWU59,"")</f>
        <v/>
      </c>
      <c r="UWV62" s="87" t="str">
        <f>IF(ISNUMBER(outYear),UWV37+UWV42+#REF!+UWV59,"")</f>
        <v/>
      </c>
      <c r="UWW62" s="87" t="str">
        <f>IF(ISNUMBER(outYear),UWW37+UWW42+#REF!+UWW59,"")</f>
        <v/>
      </c>
      <c r="UWX62" s="87" t="str">
        <f>IF(ISNUMBER(outYear),UWX37+UWX42+#REF!+UWX59,"")</f>
        <v/>
      </c>
      <c r="UWY62" s="87" t="str">
        <f>IF(ISNUMBER(outYear),UWY37+UWY42+#REF!+UWY59,"")</f>
        <v/>
      </c>
      <c r="UWZ62" s="87" t="str">
        <f>IF(ISNUMBER(outYear),UWZ37+UWZ42+#REF!+UWZ59,"")</f>
        <v/>
      </c>
      <c r="UXA62" s="87" t="str">
        <f>IF(ISNUMBER(outYear),UXA37+UXA42+#REF!+UXA59,"")</f>
        <v/>
      </c>
      <c r="UXB62" s="87" t="str">
        <f>IF(ISNUMBER(outYear),UXB37+UXB42+#REF!+UXB59,"")</f>
        <v/>
      </c>
      <c r="UXC62" s="87" t="str">
        <f>IF(ISNUMBER(outYear),UXC37+UXC42+#REF!+UXC59,"")</f>
        <v/>
      </c>
      <c r="UXD62" s="87" t="str">
        <f>IF(ISNUMBER(outYear),UXD37+UXD42+#REF!+UXD59,"")</f>
        <v/>
      </c>
      <c r="UXE62" s="87" t="str">
        <f>IF(ISNUMBER(outYear),UXE37+UXE42+#REF!+UXE59,"")</f>
        <v/>
      </c>
      <c r="UXF62" s="87" t="str">
        <f>IF(ISNUMBER(outYear),UXF37+UXF42+#REF!+UXF59,"")</f>
        <v/>
      </c>
      <c r="UXG62" s="87" t="str">
        <f>IF(ISNUMBER(outYear),UXG37+UXG42+#REF!+UXG59,"")</f>
        <v/>
      </c>
      <c r="UXH62" s="87" t="str">
        <f>IF(ISNUMBER(outYear),UXH37+UXH42+#REF!+UXH59,"")</f>
        <v/>
      </c>
      <c r="UXI62" s="87" t="str">
        <f>IF(ISNUMBER(outYear),UXI37+UXI42+#REF!+UXI59,"")</f>
        <v/>
      </c>
      <c r="UXJ62" s="87" t="str">
        <f>IF(ISNUMBER(outYear),UXJ37+UXJ42+#REF!+UXJ59,"")</f>
        <v/>
      </c>
      <c r="UXK62" s="87" t="str">
        <f>IF(ISNUMBER(outYear),UXK37+UXK42+#REF!+UXK59,"")</f>
        <v/>
      </c>
      <c r="UXL62" s="87" t="str">
        <f>IF(ISNUMBER(outYear),UXL37+UXL42+#REF!+UXL59,"")</f>
        <v/>
      </c>
      <c r="UXM62" s="87" t="str">
        <f>IF(ISNUMBER(outYear),UXM37+UXM42+#REF!+UXM59,"")</f>
        <v/>
      </c>
      <c r="UXN62" s="87" t="str">
        <f>IF(ISNUMBER(outYear),UXN37+UXN42+#REF!+UXN59,"")</f>
        <v/>
      </c>
      <c r="UXO62" s="87" t="str">
        <f>IF(ISNUMBER(outYear),UXO37+UXO42+#REF!+UXO59,"")</f>
        <v/>
      </c>
      <c r="UXP62" s="87" t="str">
        <f>IF(ISNUMBER(outYear),UXP37+UXP42+#REF!+UXP59,"")</f>
        <v/>
      </c>
      <c r="UXQ62" s="87" t="str">
        <f>IF(ISNUMBER(outYear),UXQ37+UXQ42+#REF!+UXQ59,"")</f>
        <v/>
      </c>
      <c r="UXR62" s="87" t="str">
        <f>IF(ISNUMBER(outYear),UXR37+UXR42+#REF!+UXR59,"")</f>
        <v/>
      </c>
      <c r="UXS62" s="87" t="str">
        <f>IF(ISNUMBER(outYear),UXS37+UXS42+#REF!+UXS59,"")</f>
        <v/>
      </c>
      <c r="UXT62" s="87" t="str">
        <f>IF(ISNUMBER(outYear),UXT37+UXT42+#REF!+UXT59,"")</f>
        <v/>
      </c>
      <c r="UXU62" s="87" t="str">
        <f>IF(ISNUMBER(outYear),UXU37+UXU42+#REF!+UXU59,"")</f>
        <v/>
      </c>
      <c r="UXV62" s="87" t="str">
        <f>IF(ISNUMBER(outYear),UXV37+UXV42+#REF!+UXV59,"")</f>
        <v/>
      </c>
      <c r="UXW62" s="87" t="str">
        <f>IF(ISNUMBER(outYear),UXW37+UXW42+#REF!+UXW59,"")</f>
        <v/>
      </c>
      <c r="UXX62" s="87" t="str">
        <f>IF(ISNUMBER(outYear),UXX37+UXX42+#REF!+UXX59,"")</f>
        <v/>
      </c>
      <c r="UXY62" s="87" t="str">
        <f>IF(ISNUMBER(outYear),UXY37+UXY42+#REF!+UXY59,"")</f>
        <v/>
      </c>
      <c r="UXZ62" s="87" t="str">
        <f>IF(ISNUMBER(outYear),UXZ37+UXZ42+#REF!+UXZ59,"")</f>
        <v/>
      </c>
      <c r="UYA62" s="87" t="str">
        <f>IF(ISNUMBER(outYear),UYA37+UYA42+#REF!+UYA59,"")</f>
        <v/>
      </c>
      <c r="UYB62" s="87" t="str">
        <f>IF(ISNUMBER(outYear),UYB37+UYB42+#REF!+UYB59,"")</f>
        <v/>
      </c>
      <c r="UYC62" s="87" t="str">
        <f>IF(ISNUMBER(outYear),UYC37+UYC42+#REF!+UYC59,"")</f>
        <v/>
      </c>
      <c r="UYD62" s="87" t="str">
        <f>IF(ISNUMBER(outYear),UYD37+UYD42+#REF!+UYD59,"")</f>
        <v/>
      </c>
      <c r="UYE62" s="87" t="str">
        <f>IF(ISNUMBER(outYear),UYE37+UYE42+#REF!+UYE59,"")</f>
        <v/>
      </c>
      <c r="UYF62" s="87" t="str">
        <f>IF(ISNUMBER(outYear),UYF37+UYF42+#REF!+UYF59,"")</f>
        <v/>
      </c>
      <c r="UYG62" s="87" t="str">
        <f>IF(ISNUMBER(outYear),UYG37+UYG42+#REF!+UYG59,"")</f>
        <v/>
      </c>
      <c r="UYH62" s="87" t="str">
        <f>IF(ISNUMBER(outYear),UYH37+UYH42+#REF!+UYH59,"")</f>
        <v/>
      </c>
      <c r="UYI62" s="87" t="str">
        <f>IF(ISNUMBER(outYear),UYI37+UYI42+#REF!+UYI59,"")</f>
        <v/>
      </c>
      <c r="UYJ62" s="87" t="str">
        <f>IF(ISNUMBER(outYear),UYJ37+UYJ42+#REF!+UYJ59,"")</f>
        <v/>
      </c>
      <c r="UYK62" s="87" t="str">
        <f>IF(ISNUMBER(outYear),UYK37+UYK42+#REF!+UYK59,"")</f>
        <v/>
      </c>
      <c r="UYL62" s="87" t="str">
        <f>IF(ISNUMBER(outYear),UYL37+UYL42+#REF!+UYL59,"")</f>
        <v/>
      </c>
      <c r="UYM62" s="87" t="str">
        <f>IF(ISNUMBER(outYear),UYM37+UYM42+#REF!+UYM59,"")</f>
        <v/>
      </c>
      <c r="UYN62" s="87" t="str">
        <f>IF(ISNUMBER(outYear),UYN37+UYN42+#REF!+UYN59,"")</f>
        <v/>
      </c>
      <c r="UYO62" s="87" t="str">
        <f>IF(ISNUMBER(outYear),UYO37+UYO42+#REF!+UYO59,"")</f>
        <v/>
      </c>
      <c r="UYP62" s="87" t="str">
        <f>IF(ISNUMBER(outYear),UYP37+UYP42+#REF!+UYP59,"")</f>
        <v/>
      </c>
      <c r="UYQ62" s="87" t="str">
        <f>IF(ISNUMBER(outYear),UYQ37+UYQ42+#REF!+UYQ59,"")</f>
        <v/>
      </c>
      <c r="UYR62" s="87" t="str">
        <f>IF(ISNUMBER(outYear),UYR37+UYR42+#REF!+UYR59,"")</f>
        <v/>
      </c>
      <c r="UYS62" s="87" t="str">
        <f>IF(ISNUMBER(outYear),UYS37+UYS42+#REF!+UYS59,"")</f>
        <v/>
      </c>
      <c r="UYT62" s="87" t="str">
        <f>IF(ISNUMBER(outYear),UYT37+UYT42+#REF!+UYT59,"")</f>
        <v/>
      </c>
      <c r="UYU62" s="87" t="str">
        <f>IF(ISNUMBER(outYear),UYU37+UYU42+#REF!+UYU59,"")</f>
        <v/>
      </c>
      <c r="UYV62" s="87" t="str">
        <f>IF(ISNUMBER(outYear),UYV37+UYV42+#REF!+UYV59,"")</f>
        <v/>
      </c>
      <c r="UYW62" s="87" t="str">
        <f>IF(ISNUMBER(outYear),UYW37+UYW42+#REF!+UYW59,"")</f>
        <v/>
      </c>
      <c r="UYX62" s="87" t="str">
        <f>IF(ISNUMBER(outYear),UYX37+UYX42+#REF!+UYX59,"")</f>
        <v/>
      </c>
      <c r="UYY62" s="87" t="str">
        <f>IF(ISNUMBER(outYear),UYY37+UYY42+#REF!+UYY59,"")</f>
        <v/>
      </c>
      <c r="UYZ62" s="87" t="str">
        <f>IF(ISNUMBER(outYear),UYZ37+UYZ42+#REF!+UYZ59,"")</f>
        <v/>
      </c>
      <c r="UZA62" s="87" t="str">
        <f>IF(ISNUMBER(outYear),UZA37+UZA42+#REF!+UZA59,"")</f>
        <v/>
      </c>
      <c r="UZB62" s="87" t="str">
        <f>IF(ISNUMBER(outYear),UZB37+UZB42+#REF!+UZB59,"")</f>
        <v/>
      </c>
      <c r="UZC62" s="87" t="str">
        <f>IF(ISNUMBER(outYear),UZC37+UZC42+#REF!+UZC59,"")</f>
        <v/>
      </c>
      <c r="UZD62" s="87" t="str">
        <f>IF(ISNUMBER(outYear),UZD37+UZD42+#REF!+UZD59,"")</f>
        <v/>
      </c>
      <c r="UZE62" s="87" t="str">
        <f>IF(ISNUMBER(outYear),UZE37+UZE42+#REF!+UZE59,"")</f>
        <v/>
      </c>
      <c r="UZF62" s="87" t="str">
        <f>IF(ISNUMBER(outYear),UZF37+UZF42+#REF!+UZF59,"")</f>
        <v/>
      </c>
      <c r="UZG62" s="87" t="str">
        <f>IF(ISNUMBER(outYear),UZG37+UZG42+#REF!+UZG59,"")</f>
        <v/>
      </c>
      <c r="UZH62" s="87" t="str">
        <f>IF(ISNUMBER(outYear),UZH37+UZH42+#REF!+UZH59,"")</f>
        <v/>
      </c>
      <c r="UZI62" s="87" t="str">
        <f>IF(ISNUMBER(outYear),UZI37+UZI42+#REF!+UZI59,"")</f>
        <v/>
      </c>
      <c r="UZJ62" s="87" t="str">
        <f>IF(ISNUMBER(outYear),UZJ37+UZJ42+#REF!+UZJ59,"")</f>
        <v/>
      </c>
      <c r="UZK62" s="87" t="str">
        <f>IF(ISNUMBER(outYear),UZK37+UZK42+#REF!+UZK59,"")</f>
        <v/>
      </c>
      <c r="UZL62" s="87" t="str">
        <f>IF(ISNUMBER(outYear),UZL37+UZL42+#REF!+UZL59,"")</f>
        <v/>
      </c>
      <c r="UZM62" s="87" t="str">
        <f>IF(ISNUMBER(outYear),UZM37+UZM42+#REF!+UZM59,"")</f>
        <v/>
      </c>
      <c r="UZN62" s="87" t="str">
        <f>IF(ISNUMBER(outYear),UZN37+UZN42+#REF!+UZN59,"")</f>
        <v/>
      </c>
      <c r="UZO62" s="87" t="str">
        <f>IF(ISNUMBER(outYear),UZO37+UZO42+#REF!+UZO59,"")</f>
        <v/>
      </c>
      <c r="UZP62" s="87" t="str">
        <f>IF(ISNUMBER(outYear),UZP37+UZP42+#REF!+UZP59,"")</f>
        <v/>
      </c>
      <c r="UZQ62" s="87" t="str">
        <f>IF(ISNUMBER(outYear),UZQ37+UZQ42+#REF!+UZQ59,"")</f>
        <v/>
      </c>
      <c r="UZR62" s="87" t="str">
        <f>IF(ISNUMBER(outYear),UZR37+UZR42+#REF!+UZR59,"")</f>
        <v/>
      </c>
      <c r="UZS62" s="87" t="str">
        <f>IF(ISNUMBER(outYear),UZS37+UZS42+#REF!+UZS59,"")</f>
        <v/>
      </c>
      <c r="UZT62" s="87" t="str">
        <f>IF(ISNUMBER(outYear),UZT37+UZT42+#REF!+UZT59,"")</f>
        <v/>
      </c>
      <c r="UZU62" s="87" t="str">
        <f>IF(ISNUMBER(outYear),UZU37+UZU42+#REF!+UZU59,"")</f>
        <v/>
      </c>
      <c r="UZV62" s="87" t="str">
        <f>IF(ISNUMBER(outYear),UZV37+UZV42+#REF!+UZV59,"")</f>
        <v/>
      </c>
      <c r="UZW62" s="87" t="str">
        <f>IF(ISNUMBER(outYear),UZW37+UZW42+#REF!+UZW59,"")</f>
        <v/>
      </c>
      <c r="UZX62" s="87" t="str">
        <f>IF(ISNUMBER(outYear),UZX37+UZX42+#REF!+UZX59,"")</f>
        <v/>
      </c>
      <c r="UZY62" s="87" t="str">
        <f>IF(ISNUMBER(outYear),UZY37+UZY42+#REF!+UZY59,"")</f>
        <v/>
      </c>
      <c r="UZZ62" s="87" t="str">
        <f>IF(ISNUMBER(outYear),UZZ37+UZZ42+#REF!+UZZ59,"")</f>
        <v/>
      </c>
      <c r="VAA62" s="87" t="str">
        <f>IF(ISNUMBER(outYear),VAA37+VAA42+#REF!+VAA59,"")</f>
        <v/>
      </c>
      <c r="VAB62" s="87" t="str">
        <f>IF(ISNUMBER(outYear),VAB37+VAB42+#REF!+VAB59,"")</f>
        <v/>
      </c>
      <c r="VAC62" s="87" t="str">
        <f>IF(ISNUMBER(outYear),VAC37+VAC42+#REF!+VAC59,"")</f>
        <v/>
      </c>
      <c r="VAD62" s="87" t="str">
        <f>IF(ISNUMBER(outYear),VAD37+VAD42+#REF!+VAD59,"")</f>
        <v/>
      </c>
      <c r="VAE62" s="87" t="str">
        <f>IF(ISNUMBER(outYear),VAE37+VAE42+#REF!+VAE59,"")</f>
        <v/>
      </c>
      <c r="VAF62" s="87" t="str">
        <f>IF(ISNUMBER(outYear),VAF37+VAF42+#REF!+VAF59,"")</f>
        <v/>
      </c>
      <c r="VAG62" s="87" t="str">
        <f>IF(ISNUMBER(outYear),VAG37+VAG42+#REF!+VAG59,"")</f>
        <v/>
      </c>
      <c r="VAH62" s="87" t="str">
        <f>IF(ISNUMBER(outYear),VAH37+VAH42+#REF!+VAH59,"")</f>
        <v/>
      </c>
      <c r="VAI62" s="87" t="str">
        <f>IF(ISNUMBER(outYear),VAI37+VAI42+#REF!+VAI59,"")</f>
        <v/>
      </c>
      <c r="VAJ62" s="87" t="str">
        <f>IF(ISNUMBER(outYear),VAJ37+VAJ42+#REF!+VAJ59,"")</f>
        <v/>
      </c>
      <c r="VAK62" s="87" t="str">
        <f>IF(ISNUMBER(outYear),VAK37+VAK42+#REF!+VAK59,"")</f>
        <v/>
      </c>
      <c r="VAL62" s="87" t="str">
        <f>IF(ISNUMBER(outYear),VAL37+VAL42+#REF!+VAL59,"")</f>
        <v/>
      </c>
      <c r="VAM62" s="87" t="str">
        <f>IF(ISNUMBER(outYear),VAM37+VAM42+#REF!+VAM59,"")</f>
        <v/>
      </c>
      <c r="VAN62" s="87" t="str">
        <f>IF(ISNUMBER(outYear),VAN37+VAN42+#REF!+VAN59,"")</f>
        <v/>
      </c>
      <c r="VAO62" s="87" t="str">
        <f>IF(ISNUMBER(outYear),VAO37+VAO42+#REF!+VAO59,"")</f>
        <v/>
      </c>
      <c r="VAP62" s="87" t="str">
        <f>IF(ISNUMBER(outYear),VAP37+VAP42+#REF!+VAP59,"")</f>
        <v/>
      </c>
      <c r="VAQ62" s="87" t="str">
        <f>IF(ISNUMBER(outYear),VAQ37+VAQ42+#REF!+VAQ59,"")</f>
        <v/>
      </c>
      <c r="VAR62" s="87" t="str">
        <f>IF(ISNUMBER(outYear),VAR37+VAR42+#REF!+VAR59,"")</f>
        <v/>
      </c>
      <c r="VAS62" s="87" t="str">
        <f>IF(ISNUMBER(outYear),VAS37+VAS42+#REF!+VAS59,"")</f>
        <v/>
      </c>
      <c r="VAT62" s="87" t="str">
        <f>IF(ISNUMBER(outYear),VAT37+VAT42+#REF!+VAT59,"")</f>
        <v/>
      </c>
      <c r="VAU62" s="87" t="str">
        <f>IF(ISNUMBER(outYear),VAU37+VAU42+#REF!+VAU59,"")</f>
        <v/>
      </c>
      <c r="VAV62" s="87" t="str">
        <f>IF(ISNUMBER(outYear),VAV37+VAV42+#REF!+VAV59,"")</f>
        <v/>
      </c>
      <c r="VAW62" s="87" t="str">
        <f>IF(ISNUMBER(outYear),VAW37+VAW42+#REF!+VAW59,"")</f>
        <v/>
      </c>
      <c r="VAX62" s="87" t="str">
        <f>IF(ISNUMBER(outYear),VAX37+VAX42+#REF!+VAX59,"")</f>
        <v/>
      </c>
      <c r="VAY62" s="87" t="str">
        <f>IF(ISNUMBER(outYear),VAY37+VAY42+#REF!+VAY59,"")</f>
        <v/>
      </c>
      <c r="VAZ62" s="87" t="str">
        <f>IF(ISNUMBER(outYear),VAZ37+VAZ42+#REF!+VAZ59,"")</f>
        <v/>
      </c>
      <c r="VBA62" s="87" t="str">
        <f>IF(ISNUMBER(outYear),VBA37+VBA42+#REF!+VBA59,"")</f>
        <v/>
      </c>
      <c r="VBB62" s="87" t="str">
        <f>IF(ISNUMBER(outYear),VBB37+VBB42+#REF!+VBB59,"")</f>
        <v/>
      </c>
      <c r="VBC62" s="87" t="str">
        <f>IF(ISNUMBER(outYear),VBC37+VBC42+#REF!+VBC59,"")</f>
        <v/>
      </c>
      <c r="VBD62" s="87" t="str">
        <f>IF(ISNUMBER(outYear),VBD37+VBD42+#REF!+VBD59,"")</f>
        <v/>
      </c>
      <c r="VBE62" s="87" t="str">
        <f>IF(ISNUMBER(outYear),VBE37+VBE42+#REF!+VBE59,"")</f>
        <v/>
      </c>
      <c r="VBF62" s="87" t="str">
        <f>IF(ISNUMBER(outYear),VBF37+VBF42+#REF!+VBF59,"")</f>
        <v/>
      </c>
      <c r="VBG62" s="87" t="str">
        <f>IF(ISNUMBER(outYear),VBG37+VBG42+#REF!+VBG59,"")</f>
        <v/>
      </c>
      <c r="VBH62" s="87" t="str">
        <f>IF(ISNUMBER(outYear),VBH37+VBH42+#REF!+VBH59,"")</f>
        <v/>
      </c>
      <c r="VBI62" s="87" t="str">
        <f>IF(ISNUMBER(outYear),VBI37+VBI42+#REF!+VBI59,"")</f>
        <v/>
      </c>
      <c r="VBJ62" s="87" t="str">
        <f>IF(ISNUMBER(outYear),VBJ37+VBJ42+#REF!+VBJ59,"")</f>
        <v/>
      </c>
      <c r="VBK62" s="87" t="str">
        <f>IF(ISNUMBER(outYear),VBK37+VBK42+#REF!+VBK59,"")</f>
        <v/>
      </c>
      <c r="VBL62" s="87" t="str">
        <f>IF(ISNUMBER(outYear),VBL37+VBL42+#REF!+VBL59,"")</f>
        <v/>
      </c>
      <c r="VBM62" s="87" t="str">
        <f>IF(ISNUMBER(outYear),VBM37+VBM42+#REF!+VBM59,"")</f>
        <v/>
      </c>
      <c r="VBN62" s="87" t="str">
        <f>IF(ISNUMBER(outYear),VBN37+VBN42+#REF!+VBN59,"")</f>
        <v/>
      </c>
      <c r="VBO62" s="87" t="str">
        <f>IF(ISNUMBER(outYear),VBO37+VBO42+#REF!+VBO59,"")</f>
        <v/>
      </c>
      <c r="VBP62" s="87" t="str">
        <f>IF(ISNUMBER(outYear),VBP37+VBP42+#REF!+VBP59,"")</f>
        <v/>
      </c>
      <c r="VBQ62" s="87" t="str">
        <f>IF(ISNUMBER(outYear),VBQ37+VBQ42+#REF!+VBQ59,"")</f>
        <v/>
      </c>
      <c r="VBR62" s="87" t="str">
        <f>IF(ISNUMBER(outYear),VBR37+VBR42+#REF!+VBR59,"")</f>
        <v/>
      </c>
      <c r="VBS62" s="87" t="str">
        <f>IF(ISNUMBER(outYear),VBS37+VBS42+#REF!+VBS59,"")</f>
        <v/>
      </c>
      <c r="VBT62" s="87" t="str">
        <f>IF(ISNUMBER(outYear),VBT37+VBT42+#REF!+VBT59,"")</f>
        <v/>
      </c>
      <c r="VBU62" s="87" t="str">
        <f>IF(ISNUMBER(outYear),VBU37+VBU42+#REF!+VBU59,"")</f>
        <v/>
      </c>
      <c r="VBV62" s="87" t="str">
        <f>IF(ISNUMBER(outYear),VBV37+VBV42+#REF!+VBV59,"")</f>
        <v/>
      </c>
      <c r="VBW62" s="87" t="str">
        <f>IF(ISNUMBER(outYear),VBW37+VBW42+#REF!+VBW59,"")</f>
        <v/>
      </c>
      <c r="VBX62" s="87" t="str">
        <f>IF(ISNUMBER(outYear),VBX37+VBX42+#REF!+VBX59,"")</f>
        <v/>
      </c>
      <c r="VBY62" s="87" t="str">
        <f>IF(ISNUMBER(outYear),VBY37+VBY42+#REF!+VBY59,"")</f>
        <v/>
      </c>
      <c r="VBZ62" s="87" t="str">
        <f>IF(ISNUMBER(outYear),VBZ37+VBZ42+#REF!+VBZ59,"")</f>
        <v/>
      </c>
      <c r="VCA62" s="87" t="str">
        <f>IF(ISNUMBER(outYear),VCA37+VCA42+#REF!+VCA59,"")</f>
        <v/>
      </c>
      <c r="VCB62" s="87" t="str">
        <f>IF(ISNUMBER(outYear),VCB37+VCB42+#REF!+VCB59,"")</f>
        <v/>
      </c>
      <c r="VCC62" s="87" t="str">
        <f>IF(ISNUMBER(outYear),VCC37+VCC42+#REF!+VCC59,"")</f>
        <v/>
      </c>
      <c r="VCD62" s="87" t="str">
        <f>IF(ISNUMBER(outYear),VCD37+VCD42+#REF!+VCD59,"")</f>
        <v/>
      </c>
      <c r="VCE62" s="87" t="str">
        <f>IF(ISNUMBER(outYear),VCE37+VCE42+#REF!+VCE59,"")</f>
        <v/>
      </c>
      <c r="VCF62" s="87" t="str">
        <f>IF(ISNUMBER(outYear),VCF37+VCF42+#REF!+VCF59,"")</f>
        <v/>
      </c>
      <c r="VCG62" s="87" t="str">
        <f>IF(ISNUMBER(outYear),VCG37+VCG42+#REF!+VCG59,"")</f>
        <v/>
      </c>
      <c r="VCH62" s="87" t="str">
        <f>IF(ISNUMBER(outYear),VCH37+VCH42+#REF!+VCH59,"")</f>
        <v/>
      </c>
      <c r="VCI62" s="87" t="str">
        <f>IF(ISNUMBER(outYear),VCI37+VCI42+#REF!+VCI59,"")</f>
        <v/>
      </c>
      <c r="VCJ62" s="87" t="str">
        <f>IF(ISNUMBER(outYear),VCJ37+VCJ42+#REF!+VCJ59,"")</f>
        <v/>
      </c>
      <c r="VCK62" s="87" t="str">
        <f>IF(ISNUMBER(outYear),VCK37+VCK42+#REF!+VCK59,"")</f>
        <v/>
      </c>
      <c r="VCL62" s="87" t="str">
        <f>IF(ISNUMBER(outYear),VCL37+VCL42+#REF!+VCL59,"")</f>
        <v/>
      </c>
      <c r="VCM62" s="87" t="str">
        <f>IF(ISNUMBER(outYear),VCM37+VCM42+#REF!+VCM59,"")</f>
        <v/>
      </c>
      <c r="VCN62" s="87" t="str">
        <f>IF(ISNUMBER(outYear),VCN37+VCN42+#REF!+VCN59,"")</f>
        <v/>
      </c>
      <c r="VCO62" s="87" t="str">
        <f>IF(ISNUMBER(outYear),VCO37+VCO42+#REF!+VCO59,"")</f>
        <v/>
      </c>
      <c r="VCP62" s="87" t="str">
        <f>IF(ISNUMBER(outYear),VCP37+VCP42+#REF!+VCP59,"")</f>
        <v/>
      </c>
      <c r="VCQ62" s="87" t="str">
        <f>IF(ISNUMBER(outYear),VCQ37+VCQ42+#REF!+VCQ59,"")</f>
        <v/>
      </c>
      <c r="VCR62" s="87" t="str">
        <f>IF(ISNUMBER(outYear),VCR37+VCR42+#REF!+VCR59,"")</f>
        <v/>
      </c>
      <c r="VCS62" s="87" t="str">
        <f>IF(ISNUMBER(outYear),VCS37+VCS42+#REF!+VCS59,"")</f>
        <v/>
      </c>
      <c r="VCT62" s="87" t="str">
        <f>IF(ISNUMBER(outYear),VCT37+VCT42+#REF!+VCT59,"")</f>
        <v/>
      </c>
      <c r="VCU62" s="87" t="str">
        <f>IF(ISNUMBER(outYear),VCU37+VCU42+#REF!+VCU59,"")</f>
        <v/>
      </c>
      <c r="VCV62" s="87" t="str">
        <f>IF(ISNUMBER(outYear),VCV37+VCV42+#REF!+VCV59,"")</f>
        <v/>
      </c>
      <c r="VCW62" s="87" t="str">
        <f>IF(ISNUMBER(outYear),VCW37+VCW42+#REF!+VCW59,"")</f>
        <v/>
      </c>
      <c r="VCX62" s="87" t="str">
        <f>IF(ISNUMBER(outYear),VCX37+VCX42+#REF!+VCX59,"")</f>
        <v/>
      </c>
      <c r="VCY62" s="87" t="str">
        <f>IF(ISNUMBER(outYear),VCY37+VCY42+#REF!+VCY59,"")</f>
        <v/>
      </c>
      <c r="VCZ62" s="87" t="str">
        <f>IF(ISNUMBER(outYear),VCZ37+VCZ42+#REF!+VCZ59,"")</f>
        <v/>
      </c>
      <c r="VDA62" s="87" t="str">
        <f>IF(ISNUMBER(outYear),VDA37+VDA42+#REF!+VDA59,"")</f>
        <v/>
      </c>
      <c r="VDB62" s="87" t="str">
        <f>IF(ISNUMBER(outYear),VDB37+VDB42+#REF!+VDB59,"")</f>
        <v/>
      </c>
      <c r="VDC62" s="87" t="str">
        <f>IF(ISNUMBER(outYear),VDC37+VDC42+#REF!+VDC59,"")</f>
        <v/>
      </c>
      <c r="VDD62" s="87" t="str">
        <f>IF(ISNUMBER(outYear),VDD37+VDD42+#REF!+VDD59,"")</f>
        <v/>
      </c>
      <c r="VDE62" s="87" t="str">
        <f>IF(ISNUMBER(outYear),VDE37+VDE42+#REF!+VDE59,"")</f>
        <v/>
      </c>
      <c r="VDF62" s="87" t="str">
        <f>IF(ISNUMBER(outYear),VDF37+VDF42+#REF!+VDF59,"")</f>
        <v/>
      </c>
      <c r="VDG62" s="87" t="str">
        <f>IF(ISNUMBER(outYear),VDG37+VDG42+#REF!+VDG59,"")</f>
        <v/>
      </c>
      <c r="VDH62" s="87" t="str">
        <f>IF(ISNUMBER(outYear),VDH37+VDH42+#REF!+VDH59,"")</f>
        <v/>
      </c>
      <c r="VDI62" s="87" t="str">
        <f>IF(ISNUMBER(outYear),VDI37+VDI42+#REF!+VDI59,"")</f>
        <v/>
      </c>
      <c r="VDJ62" s="87" t="str">
        <f>IF(ISNUMBER(outYear),VDJ37+VDJ42+#REF!+VDJ59,"")</f>
        <v/>
      </c>
      <c r="VDK62" s="87" t="str">
        <f>IF(ISNUMBER(outYear),VDK37+VDK42+#REF!+VDK59,"")</f>
        <v/>
      </c>
      <c r="VDL62" s="87" t="str">
        <f>IF(ISNUMBER(outYear),VDL37+VDL42+#REF!+VDL59,"")</f>
        <v/>
      </c>
      <c r="VDM62" s="87" t="str">
        <f>IF(ISNUMBER(outYear),VDM37+VDM42+#REF!+VDM59,"")</f>
        <v/>
      </c>
      <c r="VDN62" s="87" t="str">
        <f>IF(ISNUMBER(outYear),VDN37+VDN42+#REF!+VDN59,"")</f>
        <v/>
      </c>
      <c r="VDO62" s="87" t="str">
        <f>IF(ISNUMBER(outYear),VDO37+VDO42+#REF!+VDO59,"")</f>
        <v/>
      </c>
      <c r="VDP62" s="87" t="str">
        <f>IF(ISNUMBER(outYear),VDP37+VDP42+#REF!+VDP59,"")</f>
        <v/>
      </c>
      <c r="VDQ62" s="87" t="str">
        <f>IF(ISNUMBER(outYear),VDQ37+VDQ42+#REF!+VDQ59,"")</f>
        <v/>
      </c>
      <c r="VDR62" s="87" t="str">
        <f>IF(ISNUMBER(outYear),VDR37+VDR42+#REF!+VDR59,"")</f>
        <v/>
      </c>
      <c r="VDS62" s="87" t="str">
        <f>IF(ISNUMBER(outYear),VDS37+VDS42+#REF!+VDS59,"")</f>
        <v/>
      </c>
      <c r="VDT62" s="87" t="str">
        <f>IF(ISNUMBER(outYear),VDT37+VDT42+#REF!+VDT59,"")</f>
        <v/>
      </c>
      <c r="VDU62" s="87" t="str">
        <f>IF(ISNUMBER(outYear),VDU37+VDU42+#REF!+VDU59,"")</f>
        <v/>
      </c>
      <c r="VDV62" s="87" t="str">
        <f>IF(ISNUMBER(outYear),VDV37+VDV42+#REF!+VDV59,"")</f>
        <v/>
      </c>
      <c r="VDW62" s="87" t="str">
        <f>IF(ISNUMBER(outYear),VDW37+VDW42+#REF!+VDW59,"")</f>
        <v/>
      </c>
      <c r="VDX62" s="87" t="str">
        <f>IF(ISNUMBER(outYear),VDX37+VDX42+#REF!+VDX59,"")</f>
        <v/>
      </c>
      <c r="VDY62" s="87" t="str">
        <f>IF(ISNUMBER(outYear),VDY37+VDY42+#REF!+VDY59,"")</f>
        <v/>
      </c>
      <c r="VDZ62" s="87" t="str">
        <f>IF(ISNUMBER(outYear),VDZ37+VDZ42+#REF!+VDZ59,"")</f>
        <v/>
      </c>
      <c r="VEA62" s="87" t="str">
        <f>IF(ISNUMBER(outYear),VEA37+VEA42+#REF!+VEA59,"")</f>
        <v/>
      </c>
      <c r="VEB62" s="87" t="str">
        <f>IF(ISNUMBER(outYear),VEB37+VEB42+#REF!+VEB59,"")</f>
        <v/>
      </c>
      <c r="VEC62" s="87" t="str">
        <f>IF(ISNUMBER(outYear),VEC37+VEC42+#REF!+VEC59,"")</f>
        <v/>
      </c>
      <c r="VED62" s="87" t="str">
        <f>IF(ISNUMBER(outYear),VED37+VED42+#REF!+VED59,"")</f>
        <v/>
      </c>
      <c r="VEE62" s="87" t="str">
        <f>IF(ISNUMBER(outYear),VEE37+VEE42+#REF!+VEE59,"")</f>
        <v/>
      </c>
      <c r="VEF62" s="87" t="str">
        <f>IF(ISNUMBER(outYear),VEF37+VEF42+#REF!+VEF59,"")</f>
        <v/>
      </c>
      <c r="VEG62" s="87" t="str">
        <f>IF(ISNUMBER(outYear),VEG37+VEG42+#REF!+VEG59,"")</f>
        <v/>
      </c>
      <c r="VEH62" s="87" t="str">
        <f>IF(ISNUMBER(outYear),VEH37+VEH42+#REF!+VEH59,"")</f>
        <v/>
      </c>
      <c r="VEI62" s="87" t="str">
        <f>IF(ISNUMBER(outYear),VEI37+VEI42+#REF!+VEI59,"")</f>
        <v/>
      </c>
      <c r="VEJ62" s="87" t="str">
        <f>IF(ISNUMBER(outYear),VEJ37+VEJ42+#REF!+VEJ59,"")</f>
        <v/>
      </c>
      <c r="VEK62" s="87" t="str">
        <f>IF(ISNUMBER(outYear),VEK37+VEK42+#REF!+VEK59,"")</f>
        <v/>
      </c>
      <c r="VEL62" s="87" t="str">
        <f>IF(ISNUMBER(outYear),VEL37+VEL42+#REF!+VEL59,"")</f>
        <v/>
      </c>
      <c r="VEM62" s="87" t="str">
        <f>IF(ISNUMBER(outYear),VEM37+VEM42+#REF!+VEM59,"")</f>
        <v/>
      </c>
      <c r="VEN62" s="87" t="str">
        <f>IF(ISNUMBER(outYear),VEN37+VEN42+#REF!+VEN59,"")</f>
        <v/>
      </c>
      <c r="VEO62" s="87" t="str">
        <f>IF(ISNUMBER(outYear),VEO37+VEO42+#REF!+VEO59,"")</f>
        <v/>
      </c>
      <c r="VEP62" s="87" t="str">
        <f>IF(ISNUMBER(outYear),VEP37+VEP42+#REF!+VEP59,"")</f>
        <v/>
      </c>
      <c r="VEQ62" s="87" t="str">
        <f>IF(ISNUMBER(outYear),VEQ37+VEQ42+#REF!+VEQ59,"")</f>
        <v/>
      </c>
      <c r="VER62" s="87" t="str">
        <f>IF(ISNUMBER(outYear),VER37+VER42+#REF!+VER59,"")</f>
        <v/>
      </c>
      <c r="VES62" s="87" t="str">
        <f>IF(ISNUMBER(outYear),VES37+VES42+#REF!+VES59,"")</f>
        <v/>
      </c>
      <c r="VET62" s="87" t="str">
        <f>IF(ISNUMBER(outYear),VET37+VET42+#REF!+VET59,"")</f>
        <v/>
      </c>
      <c r="VEU62" s="87" t="str">
        <f>IF(ISNUMBER(outYear),VEU37+VEU42+#REF!+VEU59,"")</f>
        <v/>
      </c>
      <c r="VEV62" s="87" t="str">
        <f>IF(ISNUMBER(outYear),VEV37+VEV42+#REF!+VEV59,"")</f>
        <v/>
      </c>
      <c r="VEW62" s="87" t="str">
        <f>IF(ISNUMBER(outYear),VEW37+VEW42+#REF!+VEW59,"")</f>
        <v/>
      </c>
      <c r="VEX62" s="87" t="str">
        <f>IF(ISNUMBER(outYear),VEX37+VEX42+#REF!+VEX59,"")</f>
        <v/>
      </c>
      <c r="VEY62" s="87" t="str">
        <f>IF(ISNUMBER(outYear),VEY37+VEY42+#REF!+VEY59,"")</f>
        <v/>
      </c>
      <c r="VEZ62" s="87" t="str">
        <f>IF(ISNUMBER(outYear),VEZ37+VEZ42+#REF!+VEZ59,"")</f>
        <v/>
      </c>
      <c r="VFA62" s="87" t="str">
        <f>IF(ISNUMBER(outYear),VFA37+VFA42+#REF!+VFA59,"")</f>
        <v/>
      </c>
      <c r="VFB62" s="87" t="str">
        <f>IF(ISNUMBER(outYear),VFB37+VFB42+#REF!+VFB59,"")</f>
        <v/>
      </c>
      <c r="VFC62" s="87" t="str">
        <f>IF(ISNUMBER(outYear),VFC37+VFC42+#REF!+VFC59,"")</f>
        <v/>
      </c>
      <c r="VFD62" s="87" t="str">
        <f>IF(ISNUMBER(outYear),VFD37+VFD42+#REF!+VFD59,"")</f>
        <v/>
      </c>
      <c r="VFE62" s="87" t="str">
        <f>IF(ISNUMBER(outYear),VFE37+VFE42+#REF!+VFE59,"")</f>
        <v/>
      </c>
      <c r="VFF62" s="87" t="str">
        <f>IF(ISNUMBER(outYear),VFF37+VFF42+#REF!+VFF59,"")</f>
        <v/>
      </c>
      <c r="VFG62" s="87" t="str">
        <f>IF(ISNUMBER(outYear),VFG37+VFG42+#REF!+VFG59,"")</f>
        <v/>
      </c>
      <c r="VFH62" s="87" t="str">
        <f>IF(ISNUMBER(outYear),VFH37+VFH42+#REF!+VFH59,"")</f>
        <v/>
      </c>
      <c r="VFI62" s="87" t="str">
        <f>IF(ISNUMBER(outYear),VFI37+VFI42+#REF!+VFI59,"")</f>
        <v/>
      </c>
      <c r="VFJ62" s="87" t="str">
        <f>IF(ISNUMBER(outYear),VFJ37+VFJ42+#REF!+VFJ59,"")</f>
        <v/>
      </c>
      <c r="VFK62" s="87" t="str">
        <f>IF(ISNUMBER(outYear),VFK37+VFK42+#REF!+VFK59,"")</f>
        <v/>
      </c>
      <c r="VFL62" s="87" t="str">
        <f>IF(ISNUMBER(outYear),VFL37+VFL42+#REF!+VFL59,"")</f>
        <v/>
      </c>
      <c r="VFM62" s="87" t="str">
        <f>IF(ISNUMBER(outYear),VFM37+VFM42+#REF!+VFM59,"")</f>
        <v/>
      </c>
      <c r="VFN62" s="87" t="str">
        <f>IF(ISNUMBER(outYear),VFN37+VFN42+#REF!+VFN59,"")</f>
        <v/>
      </c>
      <c r="VFO62" s="87" t="str">
        <f>IF(ISNUMBER(outYear),VFO37+VFO42+#REF!+VFO59,"")</f>
        <v/>
      </c>
      <c r="VFP62" s="87" t="str">
        <f>IF(ISNUMBER(outYear),VFP37+VFP42+#REF!+VFP59,"")</f>
        <v/>
      </c>
      <c r="VFQ62" s="87" t="str">
        <f>IF(ISNUMBER(outYear),VFQ37+VFQ42+#REF!+VFQ59,"")</f>
        <v/>
      </c>
      <c r="VFR62" s="87" t="str">
        <f>IF(ISNUMBER(outYear),VFR37+VFR42+#REF!+VFR59,"")</f>
        <v/>
      </c>
      <c r="VFS62" s="87" t="str">
        <f>IF(ISNUMBER(outYear),VFS37+VFS42+#REF!+VFS59,"")</f>
        <v/>
      </c>
      <c r="VFT62" s="87" t="str">
        <f>IF(ISNUMBER(outYear),VFT37+VFT42+#REF!+VFT59,"")</f>
        <v/>
      </c>
      <c r="VFU62" s="87" t="str">
        <f>IF(ISNUMBER(outYear),VFU37+VFU42+#REF!+VFU59,"")</f>
        <v/>
      </c>
      <c r="VFV62" s="87" t="str">
        <f>IF(ISNUMBER(outYear),VFV37+VFV42+#REF!+VFV59,"")</f>
        <v/>
      </c>
      <c r="VFW62" s="87" t="str">
        <f>IF(ISNUMBER(outYear),VFW37+VFW42+#REF!+VFW59,"")</f>
        <v/>
      </c>
      <c r="VFX62" s="87" t="str">
        <f>IF(ISNUMBER(outYear),VFX37+VFX42+#REF!+VFX59,"")</f>
        <v/>
      </c>
      <c r="VFY62" s="87" t="str">
        <f>IF(ISNUMBER(outYear),VFY37+VFY42+#REF!+VFY59,"")</f>
        <v/>
      </c>
      <c r="VFZ62" s="87" t="str">
        <f>IF(ISNUMBER(outYear),VFZ37+VFZ42+#REF!+VFZ59,"")</f>
        <v/>
      </c>
      <c r="VGA62" s="87" t="str">
        <f>IF(ISNUMBER(outYear),VGA37+VGA42+#REF!+VGA59,"")</f>
        <v/>
      </c>
      <c r="VGB62" s="87" t="str">
        <f>IF(ISNUMBER(outYear),VGB37+VGB42+#REF!+VGB59,"")</f>
        <v/>
      </c>
      <c r="VGC62" s="87" t="str">
        <f>IF(ISNUMBER(outYear),VGC37+VGC42+#REF!+VGC59,"")</f>
        <v/>
      </c>
      <c r="VGD62" s="87" t="str">
        <f>IF(ISNUMBER(outYear),VGD37+VGD42+#REF!+VGD59,"")</f>
        <v/>
      </c>
      <c r="VGE62" s="87" t="str">
        <f>IF(ISNUMBER(outYear),VGE37+VGE42+#REF!+VGE59,"")</f>
        <v/>
      </c>
      <c r="VGF62" s="87" t="str">
        <f>IF(ISNUMBER(outYear),VGF37+VGF42+#REF!+VGF59,"")</f>
        <v/>
      </c>
      <c r="VGG62" s="87" t="str">
        <f>IF(ISNUMBER(outYear),VGG37+VGG42+#REF!+VGG59,"")</f>
        <v/>
      </c>
      <c r="VGH62" s="87" t="str">
        <f>IF(ISNUMBER(outYear),VGH37+VGH42+#REF!+VGH59,"")</f>
        <v/>
      </c>
      <c r="VGI62" s="87" t="str">
        <f>IF(ISNUMBER(outYear),VGI37+VGI42+#REF!+VGI59,"")</f>
        <v/>
      </c>
      <c r="VGJ62" s="87" t="str">
        <f>IF(ISNUMBER(outYear),VGJ37+VGJ42+#REF!+VGJ59,"")</f>
        <v/>
      </c>
      <c r="VGK62" s="87" t="str">
        <f>IF(ISNUMBER(outYear),VGK37+VGK42+#REF!+VGK59,"")</f>
        <v/>
      </c>
      <c r="VGL62" s="87" t="str">
        <f>IF(ISNUMBER(outYear),VGL37+VGL42+#REF!+VGL59,"")</f>
        <v/>
      </c>
      <c r="VGM62" s="87" t="str">
        <f>IF(ISNUMBER(outYear),VGM37+VGM42+#REF!+VGM59,"")</f>
        <v/>
      </c>
      <c r="VGN62" s="87" t="str">
        <f>IF(ISNUMBER(outYear),VGN37+VGN42+#REF!+VGN59,"")</f>
        <v/>
      </c>
      <c r="VGO62" s="87" t="str">
        <f>IF(ISNUMBER(outYear),VGO37+VGO42+#REF!+VGO59,"")</f>
        <v/>
      </c>
      <c r="VGP62" s="87" t="str">
        <f>IF(ISNUMBER(outYear),VGP37+VGP42+#REF!+VGP59,"")</f>
        <v/>
      </c>
      <c r="VGQ62" s="87" t="str">
        <f>IF(ISNUMBER(outYear),VGQ37+VGQ42+#REF!+VGQ59,"")</f>
        <v/>
      </c>
      <c r="VGR62" s="87" t="str">
        <f>IF(ISNUMBER(outYear),VGR37+VGR42+#REF!+VGR59,"")</f>
        <v/>
      </c>
      <c r="VGS62" s="87" t="str">
        <f>IF(ISNUMBER(outYear),VGS37+VGS42+#REF!+VGS59,"")</f>
        <v/>
      </c>
      <c r="VGT62" s="87" t="str">
        <f>IF(ISNUMBER(outYear),VGT37+VGT42+#REF!+VGT59,"")</f>
        <v/>
      </c>
      <c r="VGU62" s="87" t="str">
        <f>IF(ISNUMBER(outYear),VGU37+VGU42+#REF!+VGU59,"")</f>
        <v/>
      </c>
      <c r="VGV62" s="87" t="str">
        <f>IF(ISNUMBER(outYear),VGV37+VGV42+#REF!+VGV59,"")</f>
        <v/>
      </c>
      <c r="VGW62" s="87" t="str">
        <f>IF(ISNUMBER(outYear),VGW37+VGW42+#REF!+VGW59,"")</f>
        <v/>
      </c>
      <c r="VGX62" s="87" t="str">
        <f>IF(ISNUMBER(outYear),VGX37+VGX42+#REF!+VGX59,"")</f>
        <v/>
      </c>
      <c r="VGY62" s="87" t="str">
        <f>IF(ISNUMBER(outYear),VGY37+VGY42+#REF!+VGY59,"")</f>
        <v/>
      </c>
      <c r="VGZ62" s="87" t="str">
        <f>IF(ISNUMBER(outYear),VGZ37+VGZ42+#REF!+VGZ59,"")</f>
        <v/>
      </c>
      <c r="VHA62" s="87" t="str">
        <f>IF(ISNUMBER(outYear),VHA37+VHA42+#REF!+VHA59,"")</f>
        <v/>
      </c>
      <c r="VHB62" s="87" t="str">
        <f>IF(ISNUMBER(outYear),VHB37+VHB42+#REF!+VHB59,"")</f>
        <v/>
      </c>
      <c r="VHC62" s="87" t="str">
        <f>IF(ISNUMBER(outYear),VHC37+VHC42+#REF!+VHC59,"")</f>
        <v/>
      </c>
      <c r="VHD62" s="87" t="str">
        <f>IF(ISNUMBER(outYear),VHD37+VHD42+#REF!+VHD59,"")</f>
        <v/>
      </c>
      <c r="VHE62" s="87" t="str">
        <f>IF(ISNUMBER(outYear),VHE37+VHE42+#REF!+VHE59,"")</f>
        <v/>
      </c>
      <c r="VHF62" s="87" t="str">
        <f>IF(ISNUMBER(outYear),VHF37+VHF42+#REF!+VHF59,"")</f>
        <v/>
      </c>
      <c r="VHG62" s="87" t="str">
        <f>IF(ISNUMBER(outYear),VHG37+VHG42+#REF!+VHG59,"")</f>
        <v/>
      </c>
      <c r="VHH62" s="87" t="str">
        <f>IF(ISNUMBER(outYear),VHH37+VHH42+#REF!+VHH59,"")</f>
        <v/>
      </c>
      <c r="VHI62" s="87" t="str">
        <f>IF(ISNUMBER(outYear),VHI37+VHI42+#REF!+VHI59,"")</f>
        <v/>
      </c>
      <c r="VHJ62" s="87" t="str">
        <f>IF(ISNUMBER(outYear),VHJ37+VHJ42+#REF!+VHJ59,"")</f>
        <v/>
      </c>
      <c r="VHK62" s="87" t="str">
        <f>IF(ISNUMBER(outYear),VHK37+VHK42+#REF!+VHK59,"")</f>
        <v/>
      </c>
      <c r="VHL62" s="87" t="str">
        <f>IF(ISNUMBER(outYear),VHL37+VHL42+#REF!+VHL59,"")</f>
        <v/>
      </c>
      <c r="VHM62" s="87" t="str">
        <f>IF(ISNUMBER(outYear),VHM37+VHM42+#REF!+VHM59,"")</f>
        <v/>
      </c>
      <c r="VHN62" s="87" t="str">
        <f>IF(ISNUMBER(outYear),VHN37+VHN42+#REF!+VHN59,"")</f>
        <v/>
      </c>
      <c r="VHO62" s="87" t="str">
        <f>IF(ISNUMBER(outYear),VHO37+VHO42+#REF!+VHO59,"")</f>
        <v/>
      </c>
      <c r="VHP62" s="87" t="str">
        <f>IF(ISNUMBER(outYear),VHP37+VHP42+#REF!+VHP59,"")</f>
        <v/>
      </c>
      <c r="VHQ62" s="87" t="str">
        <f>IF(ISNUMBER(outYear),VHQ37+VHQ42+#REF!+VHQ59,"")</f>
        <v/>
      </c>
      <c r="VHR62" s="87" t="str">
        <f>IF(ISNUMBER(outYear),VHR37+VHR42+#REF!+VHR59,"")</f>
        <v/>
      </c>
      <c r="VHS62" s="87" t="str">
        <f>IF(ISNUMBER(outYear),VHS37+VHS42+#REF!+VHS59,"")</f>
        <v/>
      </c>
      <c r="VHT62" s="87" t="str">
        <f>IF(ISNUMBER(outYear),VHT37+VHT42+#REF!+VHT59,"")</f>
        <v/>
      </c>
      <c r="VHU62" s="87" t="str">
        <f>IF(ISNUMBER(outYear),VHU37+VHU42+#REF!+VHU59,"")</f>
        <v/>
      </c>
      <c r="VHV62" s="87" t="str">
        <f>IF(ISNUMBER(outYear),VHV37+VHV42+#REF!+VHV59,"")</f>
        <v/>
      </c>
      <c r="VHW62" s="87" t="str">
        <f>IF(ISNUMBER(outYear),VHW37+VHW42+#REF!+VHW59,"")</f>
        <v/>
      </c>
      <c r="VHX62" s="87" t="str">
        <f>IF(ISNUMBER(outYear),VHX37+VHX42+#REF!+VHX59,"")</f>
        <v/>
      </c>
      <c r="VHY62" s="87" t="str">
        <f>IF(ISNUMBER(outYear),VHY37+VHY42+#REF!+VHY59,"")</f>
        <v/>
      </c>
      <c r="VHZ62" s="87" t="str">
        <f>IF(ISNUMBER(outYear),VHZ37+VHZ42+#REF!+VHZ59,"")</f>
        <v/>
      </c>
      <c r="VIA62" s="87" t="str">
        <f>IF(ISNUMBER(outYear),VIA37+VIA42+#REF!+VIA59,"")</f>
        <v/>
      </c>
      <c r="VIB62" s="87" t="str">
        <f>IF(ISNUMBER(outYear),VIB37+VIB42+#REF!+VIB59,"")</f>
        <v/>
      </c>
      <c r="VIC62" s="87" t="str">
        <f>IF(ISNUMBER(outYear),VIC37+VIC42+#REF!+VIC59,"")</f>
        <v/>
      </c>
      <c r="VID62" s="87" t="str">
        <f>IF(ISNUMBER(outYear),VID37+VID42+#REF!+VID59,"")</f>
        <v/>
      </c>
      <c r="VIE62" s="87" t="str">
        <f>IF(ISNUMBER(outYear),VIE37+VIE42+#REF!+VIE59,"")</f>
        <v/>
      </c>
      <c r="VIF62" s="87" t="str">
        <f>IF(ISNUMBER(outYear),VIF37+VIF42+#REF!+VIF59,"")</f>
        <v/>
      </c>
      <c r="VIG62" s="87" t="str">
        <f>IF(ISNUMBER(outYear),VIG37+VIG42+#REF!+VIG59,"")</f>
        <v/>
      </c>
      <c r="VIH62" s="87" t="str">
        <f>IF(ISNUMBER(outYear),VIH37+VIH42+#REF!+VIH59,"")</f>
        <v/>
      </c>
      <c r="VII62" s="87" t="str">
        <f>IF(ISNUMBER(outYear),VII37+VII42+#REF!+VII59,"")</f>
        <v/>
      </c>
      <c r="VIJ62" s="87" t="str">
        <f>IF(ISNUMBER(outYear),VIJ37+VIJ42+#REF!+VIJ59,"")</f>
        <v/>
      </c>
      <c r="VIK62" s="87" t="str">
        <f>IF(ISNUMBER(outYear),VIK37+VIK42+#REF!+VIK59,"")</f>
        <v/>
      </c>
      <c r="VIL62" s="87" t="str">
        <f>IF(ISNUMBER(outYear),VIL37+VIL42+#REF!+VIL59,"")</f>
        <v/>
      </c>
      <c r="VIM62" s="87" t="str">
        <f>IF(ISNUMBER(outYear),VIM37+VIM42+#REF!+VIM59,"")</f>
        <v/>
      </c>
      <c r="VIN62" s="87" t="str">
        <f>IF(ISNUMBER(outYear),VIN37+VIN42+#REF!+VIN59,"")</f>
        <v/>
      </c>
      <c r="VIO62" s="87" t="str">
        <f>IF(ISNUMBER(outYear),VIO37+VIO42+#REF!+VIO59,"")</f>
        <v/>
      </c>
      <c r="VIP62" s="87" t="str">
        <f>IF(ISNUMBER(outYear),VIP37+VIP42+#REF!+VIP59,"")</f>
        <v/>
      </c>
      <c r="VIQ62" s="87" t="str">
        <f>IF(ISNUMBER(outYear),VIQ37+VIQ42+#REF!+VIQ59,"")</f>
        <v/>
      </c>
      <c r="VIR62" s="87" t="str">
        <f>IF(ISNUMBER(outYear),VIR37+VIR42+#REF!+VIR59,"")</f>
        <v/>
      </c>
      <c r="VIS62" s="87" t="str">
        <f>IF(ISNUMBER(outYear),VIS37+VIS42+#REF!+VIS59,"")</f>
        <v/>
      </c>
      <c r="VIT62" s="87" t="str">
        <f>IF(ISNUMBER(outYear),VIT37+VIT42+#REF!+VIT59,"")</f>
        <v/>
      </c>
      <c r="VIU62" s="87" t="str">
        <f>IF(ISNUMBER(outYear),VIU37+VIU42+#REF!+VIU59,"")</f>
        <v/>
      </c>
      <c r="VIV62" s="87" t="str">
        <f>IF(ISNUMBER(outYear),VIV37+VIV42+#REF!+VIV59,"")</f>
        <v/>
      </c>
      <c r="VIW62" s="87" t="str">
        <f>IF(ISNUMBER(outYear),VIW37+VIW42+#REF!+VIW59,"")</f>
        <v/>
      </c>
      <c r="VIX62" s="87" t="str">
        <f>IF(ISNUMBER(outYear),VIX37+VIX42+#REF!+VIX59,"")</f>
        <v/>
      </c>
      <c r="VIY62" s="87" t="str">
        <f>IF(ISNUMBER(outYear),VIY37+VIY42+#REF!+VIY59,"")</f>
        <v/>
      </c>
      <c r="VIZ62" s="87" t="str">
        <f>IF(ISNUMBER(outYear),VIZ37+VIZ42+#REF!+VIZ59,"")</f>
        <v/>
      </c>
      <c r="VJA62" s="87" t="str">
        <f>IF(ISNUMBER(outYear),VJA37+VJA42+#REF!+VJA59,"")</f>
        <v/>
      </c>
      <c r="VJB62" s="87" t="str">
        <f>IF(ISNUMBER(outYear),VJB37+VJB42+#REF!+VJB59,"")</f>
        <v/>
      </c>
      <c r="VJC62" s="87" t="str">
        <f>IF(ISNUMBER(outYear),VJC37+VJC42+#REF!+VJC59,"")</f>
        <v/>
      </c>
      <c r="VJD62" s="87" t="str">
        <f>IF(ISNUMBER(outYear),VJD37+VJD42+#REF!+VJD59,"")</f>
        <v/>
      </c>
      <c r="VJE62" s="87" t="str">
        <f>IF(ISNUMBER(outYear),VJE37+VJE42+#REF!+VJE59,"")</f>
        <v/>
      </c>
      <c r="VJF62" s="87" t="str">
        <f>IF(ISNUMBER(outYear),VJF37+VJF42+#REF!+VJF59,"")</f>
        <v/>
      </c>
      <c r="VJG62" s="87" t="str">
        <f>IF(ISNUMBER(outYear),VJG37+VJG42+#REF!+VJG59,"")</f>
        <v/>
      </c>
      <c r="VJH62" s="87" t="str">
        <f>IF(ISNUMBER(outYear),VJH37+VJH42+#REF!+VJH59,"")</f>
        <v/>
      </c>
      <c r="VJI62" s="87" t="str">
        <f>IF(ISNUMBER(outYear),VJI37+VJI42+#REF!+VJI59,"")</f>
        <v/>
      </c>
      <c r="VJJ62" s="87" t="str">
        <f>IF(ISNUMBER(outYear),VJJ37+VJJ42+#REF!+VJJ59,"")</f>
        <v/>
      </c>
      <c r="VJK62" s="87" t="str">
        <f>IF(ISNUMBER(outYear),VJK37+VJK42+#REF!+VJK59,"")</f>
        <v/>
      </c>
      <c r="VJL62" s="87" t="str">
        <f>IF(ISNUMBER(outYear),VJL37+VJL42+#REF!+VJL59,"")</f>
        <v/>
      </c>
      <c r="VJM62" s="87" t="str">
        <f>IF(ISNUMBER(outYear),VJM37+VJM42+#REF!+VJM59,"")</f>
        <v/>
      </c>
      <c r="VJN62" s="87" t="str">
        <f>IF(ISNUMBER(outYear),VJN37+VJN42+#REF!+VJN59,"")</f>
        <v/>
      </c>
      <c r="VJO62" s="87" t="str">
        <f>IF(ISNUMBER(outYear),VJO37+VJO42+#REF!+VJO59,"")</f>
        <v/>
      </c>
      <c r="VJP62" s="87" t="str">
        <f>IF(ISNUMBER(outYear),VJP37+VJP42+#REF!+VJP59,"")</f>
        <v/>
      </c>
      <c r="VJQ62" s="87" t="str">
        <f>IF(ISNUMBER(outYear),VJQ37+VJQ42+#REF!+VJQ59,"")</f>
        <v/>
      </c>
      <c r="VJR62" s="87" t="str">
        <f>IF(ISNUMBER(outYear),VJR37+VJR42+#REF!+VJR59,"")</f>
        <v/>
      </c>
      <c r="VJS62" s="87" t="str">
        <f>IF(ISNUMBER(outYear),VJS37+VJS42+#REF!+VJS59,"")</f>
        <v/>
      </c>
      <c r="VJT62" s="87" t="str">
        <f>IF(ISNUMBER(outYear),VJT37+VJT42+#REF!+VJT59,"")</f>
        <v/>
      </c>
      <c r="VJU62" s="87" t="str">
        <f>IF(ISNUMBER(outYear),VJU37+VJU42+#REF!+VJU59,"")</f>
        <v/>
      </c>
      <c r="VJV62" s="87" t="str">
        <f>IF(ISNUMBER(outYear),VJV37+VJV42+#REF!+VJV59,"")</f>
        <v/>
      </c>
      <c r="VJW62" s="87" t="str">
        <f>IF(ISNUMBER(outYear),VJW37+VJW42+#REF!+VJW59,"")</f>
        <v/>
      </c>
      <c r="VJX62" s="87" t="str">
        <f>IF(ISNUMBER(outYear),VJX37+VJX42+#REF!+VJX59,"")</f>
        <v/>
      </c>
      <c r="VJY62" s="87" t="str">
        <f>IF(ISNUMBER(outYear),VJY37+VJY42+#REF!+VJY59,"")</f>
        <v/>
      </c>
      <c r="VJZ62" s="87" t="str">
        <f>IF(ISNUMBER(outYear),VJZ37+VJZ42+#REF!+VJZ59,"")</f>
        <v/>
      </c>
      <c r="VKA62" s="87" t="str">
        <f>IF(ISNUMBER(outYear),VKA37+VKA42+#REF!+VKA59,"")</f>
        <v/>
      </c>
      <c r="VKB62" s="87" t="str">
        <f>IF(ISNUMBER(outYear),VKB37+VKB42+#REF!+VKB59,"")</f>
        <v/>
      </c>
      <c r="VKC62" s="87" t="str">
        <f>IF(ISNUMBER(outYear),VKC37+VKC42+#REF!+VKC59,"")</f>
        <v/>
      </c>
      <c r="VKD62" s="87" t="str">
        <f>IF(ISNUMBER(outYear),VKD37+VKD42+#REF!+VKD59,"")</f>
        <v/>
      </c>
      <c r="VKE62" s="87" t="str">
        <f>IF(ISNUMBER(outYear),VKE37+VKE42+#REF!+VKE59,"")</f>
        <v/>
      </c>
      <c r="VKF62" s="87" t="str">
        <f>IF(ISNUMBER(outYear),VKF37+VKF42+#REF!+VKF59,"")</f>
        <v/>
      </c>
      <c r="VKG62" s="87" t="str">
        <f>IF(ISNUMBER(outYear),VKG37+VKG42+#REF!+VKG59,"")</f>
        <v/>
      </c>
      <c r="VKH62" s="87" t="str">
        <f>IF(ISNUMBER(outYear),VKH37+VKH42+#REF!+VKH59,"")</f>
        <v/>
      </c>
      <c r="VKI62" s="87" t="str">
        <f>IF(ISNUMBER(outYear),VKI37+VKI42+#REF!+VKI59,"")</f>
        <v/>
      </c>
      <c r="VKJ62" s="87" t="str">
        <f>IF(ISNUMBER(outYear),VKJ37+VKJ42+#REF!+VKJ59,"")</f>
        <v/>
      </c>
      <c r="VKK62" s="87" t="str">
        <f>IF(ISNUMBER(outYear),VKK37+VKK42+#REF!+VKK59,"")</f>
        <v/>
      </c>
      <c r="VKL62" s="87" t="str">
        <f>IF(ISNUMBER(outYear),VKL37+VKL42+#REF!+VKL59,"")</f>
        <v/>
      </c>
      <c r="VKM62" s="87" t="str">
        <f>IF(ISNUMBER(outYear),VKM37+VKM42+#REF!+VKM59,"")</f>
        <v/>
      </c>
      <c r="VKN62" s="87" t="str">
        <f>IF(ISNUMBER(outYear),VKN37+VKN42+#REF!+VKN59,"")</f>
        <v/>
      </c>
      <c r="VKO62" s="87" t="str">
        <f>IF(ISNUMBER(outYear),VKO37+VKO42+#REF!+VKO59,"")</f>
        <v/>
      </c>
      <c r="VKP62" s="87" t="str">
        <f>IF(ISNUMBER(outYear),VKP37+VKP42+#REF!+VKP59,"")</f>
        <v/>
      </c>
      <c r="VKQ62" s="87" t="str">
        <f>IF(ISNUMBER(outYear),VKQ37+VKQ42+#REF!+VKQ59,"")</f>
        <v/>
      </c>
      <c r="VKR62" s="87" t="str">
        <f>IF(ISNUMBER(outYear),VKR37+VKR42+#REF!+VKR59,"")</f>
        <v/>
      </c>
      <c r="VKS62" s="87" t="str">
        <f>IF(ISNUMBER(outYear),VKS37+VKS42+#REF!+VKS59,"")</f>
        <v/>
      </c>
      <c r="VKT62" s="87" t="str">
        <f>IF(ISNUMBER(outYear),VKT37+VKT42+#REF!+VKT59,"")</f>
        <v/>
      </c>
      <c r="VKU62" s="87" t="str">
        <f>IF(ISNUMBER(outYear),VKU37+VKU42+#REF!+VKU59,"")</f>
        <v/>
      </c>
      <c r="VKV62" s="87" t="str">
        <f>IF(ISNUMBER(outYear),VKV37+VKV42+#REF!+VKV59,"")</f>
        <v/>
      </c>
      <c r="VKW62" s="87" t="str">
        <f>IF(ISNUMBER(outYear),VKW37+VKW42+#REF!+VKW59,"")</f>
        <v/>
      </c>
      <c r="VKX62" s="87" t="str">
        <f>IF(ISNUMBER(outYear),VKX37+VKX42+#REF!+VKX59,"")</f>
        <v/>
      </c>
      <c r="VKY62" s="87" t="str">
        <f>IF(ISNUMBER(outYear),VKY37+VKY42+#REF!+VKY59,"")</f>
        <v/>
      </c>
      <c r="VKZ62" s="87" t="str">
        <f>IF(ISNUMBER(outYear),VKZ37+VKZ42+#REF!+VKZ59,"")</f>
        <v/>
      </c>
      <c r="VLA62" s="87" t="str">
        <f>IF(ISNUMBER(outYear),VLA37+VLA42+#REF!+VLA59,"")</f>
        <v/>
      </c>
      <c r="VLB62" s="87" t="str">
        <f>IF(ISNUMBER(outYear),VLB37+VLB42+#REF!+VLB59,"")</f>
        <v/>
      </c>
      <c r="VLC62" s="87" t="str">
        <f>IF(ISNUMBER(outYear),VLC37+VLC42+#REF!+VLC59,"")</f>
        <v/>
      </c>
      <c r="VLD62" s="87" t="str">
        <f>IF(ISNUMBER(outYear),VLD37+VLD42+#REF!+VLD59,"")</f>
        <v/>
      </c>
      <c r="VLE62" s="87" t="str">
        <f>IF(ISNUMBER(outYear),VLE37+VLE42+#REF!+VLE59,"")</f>
        <v/>
      </c>
      <c r="VLF62" s="87" t="str">
        <f>IF(ISNUMBER(outYear),VLF37+VLF42+#REF!+VLF59,"")</f>
        <v/>
      </c>
      <c r="VLG62" s="87" t="str">
        <f>IF(ISNUMBER(outYear),VLG37+VLG42+#REF!+VLG59,"")</f>
        <v/>
      </c>
      <c r="VLH62" s="87" t="str">
        <f>IF(ISNUMBER(outYear),VLH37+VLH42+#REF!+VLH59,"")</f>
        <v/>
      </c>
      <c r="VLI62" s="87" t="str">
        <f>IF(ISNUMBER(outYear),VLI37+VLI42+#REF!+VLI59,"")</f>
        <v/>
      </c>
      <c r="VLJ62" s="87" t="str">
        <f>IF(ISNUMBER(outYear),VLJ37+VLJ42+#REF!+VLJ59,"")</f>
        <v/>
      </c>
      <c r="VLK62" s="87" t="str">
        <f>IF(ISNUMBER(outYear),VLK37+VLK42+#REF!+VLK59,"")</f>
        <v/>
      </c>
      <c r="VLL62" s="87" t="str">
        <f>IF(ISNUMBER(outYear),VLL37+VLL42+#REF!+VLL59,"")</f>
        <v/>
      </c>
      <c r="VLM62" s="87" t="str">
        <f>IF(ISNUMBER(outYear),VLM37+VLM42+#REF!+VLM59,"")</f>
        <v/>
      </c>
      <c r="VLN62" s="87" t="str">
        <f>IF(ISNUMBER(outYear),VLN37+VLN42+#REF!+VLN59,"")</f>
        <v/>
      </c>
      <c r="VLO62" s="87" t="str">
        <f>IF(ISNUMBER(outYear),VLO37+VLO42+#REF!+VLO59,"")</f>
        <v/>
      </c>
      <c r="VLP62" s="87" t="str">
        <f>IF(ISNUMBER(outYear),VLP37+VLP42+#REF!+VLP59,"")</f>
        <v/>
      </c>
      <c r="VLQ62" s="87" t="str">
        <f>IF(ISNUMBER(outYear),VLQ37+VLQ42+#REF!+VLQ59,"")</f>
        <v/>
      </c>
      <c r="VLR62" s="87" t="str">
        <f>IF(ISNUMBER(outYear),VLR37+VLR42+#REF!+VLR59,"")</f>
        <v/>
      </c>
      <c r="VLS62" s="87" t="str">
        <f>IF(ISNUMBER(outYear),VLS37+VLS42+#REF!+VLS59,"")</f>
        <v/>
      </c>
      <c r="VLT62" s="87" t="str">
        <f>IF(ISNUMBER(outYear),VLT37+VLT42+#REF!+VLT59,"")</f>
        <v/>
      </c>
      <c r="VLU62" s="87" t="str">
        <f>IF(ISNUMBER(outYear),VLU37+VLU42+#REF!+VLU59,"")</f>
        <v/>
      </c>
      <c r="VLV62" s="87" t="str">
        <f>IF(ISNUMBER(outYear),VLV37+VLV42+#REF!+VLV59,"")</f>
        <v/>
      </c>
      <c r="VLW62" s="87" t="str">
        <f>IF(ISNUMBER(outYear),VLW37+VLW42+#REF!+VLW59,"")</f>
        <v/>
      </c>
      <c r="VLX62" s="87" t="str">
        <f>IF(ISNUMBER(outYear),VLX37+VLX42+#REF!+VLX59,"")</f>
        <v/>
      </c>
      <c r="VLY62" s="87" t="str">
        <f>IF(ISNUMBER(outYear),VLY37+VLY42+#REF!+VLY59,"")</f>
        <v/>
      </c>
      <c r="VLZ62" s="87" t="str">
        <f>IF(ISNUMBER(outYear),VLZ37+VLZ42+#REF!+VLZ59,"")</f>
        <v/>
      </c>
      <c r="VMA62" s="87" t="str">
        <f>IF(ISNUMBER(outYear),VMA37+VMA42+#REF!+VMA59,"")</f>
        <v/>
      </c>
      <c r="VMB62" s="87" t="str">
        <f>IF(ISNUMBER(outYear),VMB37+VMB42+#REF!+VMB59,"")</f>
        <v/>
      </c>
      <c r="VMC62" s="87" t="str">
        <f>IF(ISNUMBER(outYear),VMC37+VMC42+#REF!+VMC59,"")</f>
        <v/>
      </c>
      <c r="VMD62" s="87" t="str">
        <f>IF(ISNUMBER(outYear),VMD37+VMD42+#REF!+VMD59,"")</f>
        <v/>
      </c>
      <c r="VME62" s="87" t="str">
        <f>IF(ISNUMBER(outYear),VME37+VME42+#REF!+VME59,"")</f>
        <v/>
      </c>
      <c r="VMF62" s="87" t="str">
        <f>IF(ISNUMBER(outYear),VMF37+VMF42+#REF!+VMF59,"")</f>
        <v/>
      </c>
      <c r="VMG62" s="87" t="str">
        <f>IF(ISNUMBER(outYear),VMG37+VMG42+#REF!+VMG59,"")</f>
        <v/>
      </c>
      <c r="VMH62" s="87" t="str">
        <f>IF(ISNUMBER(outYear),VMH37+VMH42+#REF!+VMH59,"")</f>
        <v/>
      </c>
      <c r="VMI62" s="87" t="str">
        <f>IF(ISNUMBER(outYear),VMI37+VMI42+#REF!+VMI59,"")</f>
        <v/>
      </c>
      <c r="VMJ62" s="87" t="str">
        <f>IF(ISNUMBER(outYear),VMJ37+VMJ42+#REF!+VMJ59,"")</f>
        <v/>
      </c>
      <c r="VMK62" s="87" t="str">
        <f>IF(ISNUMBER(outYear),VMK37+VMK42+#REF!+VMK59,"")</f>
        <v/>
      </c>
      <c r="VML62" s="87" t="str">
        <f>IF(ISNUMBER(outYear),VML37+VML42+#REF!+VML59,"")</f>
        <v/>
      </c>
      <c r="VMM62" s="87" t="str">
        <f>IF(ISNUMBER(outYear),VMM37+VMM42+#REF!+VMM59,"")</f>
        <v/>
      </c>
      <c r="VMN62" s="87" t="str">
        <f>IF(ISNUMBER(outYear),VMN37+VMN42+#REF!+VMN59,"")</f>
        <v/>
      </c>
      <c r="VMO62" s="87" t="str">
        <f>IF(ISNUMBER(outYear),VMO37+VMO42+#REF!+VMO59,"")</f>
        <v/>
      </c>
      <c r="VMP62" s="87" t="str">
        <f>IF(ISNUMBER(outYear),VMP37+VMP42+#REF!+VMP59,"")</f>
        <v/>
      </c>
      <c r="VMQ62" s="87" t="str">
        <f>IF(ISNUMBER(outYear),VMQ37+VMQ42+#REF!+VMQ59,"")</f>
        <v/>
      </c>
      <c r="VMR62" s="87" t="str">
        <f>IF(ISNUMBER(outYear),VMR37+VMR42+#REF!+VMR59,"")</f>
        <v/>
      </c>
      <c r="VMS62" s="87" t="str">
        <f>IF(ISNUMBER(outYear),VMS37+VMS42+#REF!+VMS59,"")</f>
        <v/>
      </c>
      <c r="VMT62" s="87" t="str">
        <f>IF(ISNUMBER(outYear),VMT37+VMT42+#REF!+VMT59,"")</f>
        <v/>
      </c>
      <c r="VMU62" s="87" t="str">
        <f>IF(ISNUMBER(outYear),VMU37+VMU42+#REF!+VMU59,"")</f>
        <v/>
      </c>
      <c r="VMV62" s="87" t="str">
        <f>IF(ISNUMBER(outYear),VMV37+VMV42+#REF!+VMV59,"")</f>
        <v/>
      </c>
      <c r="VMW62" s="87" t="str">
        <f>IF(ISNUMBER(outYear),VMW37+VMW42+#REF!+VMW59,"")</f>
        <v/>
      </c>
      <c r="VMX62" s="87" t="str">
        <f>IF(ISNUMBER(outYear),VMX37+VMX42+#REF!+VMX59,"")</f>
        <v/>
      </c>
      <c r="VMY62" s="87" t="str">
        <f>IF(ISNUMBER(outYear),VMY37+VMY42+#REF!+VMY59,"")</f>
        <v/>
      </c>
      <c r="VMZ62" s="87" t="str">
        <f>IF(ISNUMBER(outYear),VMZ37+VMZ42+#REF!+VMZ59,"")</f>
        <v/>
      </c>
      <c r="VNA62" s="87" t="str">
        <f>IF(ISNUMBER(outYear),VNA37+VNA42+#REF!+VNA59,"")</f>
        <v/>
      </c>
      <c r="VNB62" s="87" t="str">
        <f>IF(ISNUMBER(outYear),VNB37+VNB42+#REF!+VNB59,"")</f>
        <v/>
      </c>
      <c r="VNC62" s="87" t="str">
        <f>IF(ISNUMBER(outYear),VNC37+VNC42+#REF!+VNC59,"")</f>
        <v/>
      </c>
      <c r="VND62" s="87" t="str">
        <f>IF(ISNUMBER(outYear),VND37+VND42+#REF!+VND59,"")</f>
        <v/>
      </c>
      <c r="VNE62" s="87" t="str">
        <f>IF(ISNUMBER(outYear),VNE37+VNE42+#REF!+VNE59,"")</f>
        <v/>
      </c>
      <c r="VNF62" s="87" t="str">
        <f>IF(ISNUMBER(outYear),VNF37+VNF42+#REF!+VNF59,"")</f>
        <v/>
      </c>
      <c r="VNG62" s="87" t="str">
        <f>IF(ISNUMBER(outYear),VNG37+VNG42+#REF!+VNG59,"")</f>
        <v/>
      </c>
      <c r="VNH62" s="87" t="str">
        <f>IF(ISNUMBER(outYear),VNH37+VNH42+#REF!+VNH59,"")</f>
        <v/>
      </c>
      <c r="VNI62" s="87" t="str">
        <f>IF(ISNUMBER(outYear),VNI37+VNI42+#REF!+VNI59,"")</f>
        <v/>
      </c>
      <c r="VNJ62" s="87" t="str">
        <f>IF(ISNUMBER(outYear),VNJ37+VNJ42+#REF!+VNJ59,"")</f>
        <v/>
      </c>
      <c r="VNK62" s="87" t="str">
        <f>IF(ISNUMBER(outYear),VNK37+VNK42+#REF!+VNK59,"")</f>
        <v/>
      </c>
      <c r="VNL62" s="87" t="str">
        <f>IF(ISNUMBER(outYear),VNL37+VNL42+#REF!+VNL59,"")</f>
        <v/>
      </c>
      <c r="VNM62" s="87" t="str">
        <f>IF(ISNUMBER(outYear),VNM37+VNM42+#REF!+VNM59,"")</f>
        <v/>
      </c>
      <c r="VNN62" s="87" t="str">
        <f>IF(ISNUMBER(outYear),VNN37+VNN42+#REF!+VNN59,"")</f>
        <v/>
      </c>
      <c r="VNO62" s="87" t="str">
        <f>IF(ISNUMBER(outYear),VNO37+VNO42+#REF!+VNO59,"")</f>
        <v/>
      </c>
      <c r="VNP62" s="87" t="str">
        <f>IF(ISNUMBER(outYear),VNP37+VNP42+#REF!+VNP59,"")</f>
        <v/>
      </c>
      <c r="VNQ62" s="87" t="str">
        <f>IF(ISNUMBER(outYear),VNQ37+VNQ42+#REF!+VNQ59,"")</f>
        <v/>
      </c>
      <c r="VNR62" s="87" t="str">
        <f>IF(ISNUMBER(outYear),VNR37+VNR42+#REF!+VNR59,"")</f>
        <v/>
      </c>
      <c r="VNS62" s="87" t="str">
        <f>IF(ISNUMBER(outYear),VNS37+VNS42+#REF!+VNS59,"")</f>
        <v/>
      </c>
      <c r="VNT62" s="87" t="str">
        <f>IF(ISNUMBER(outYear),VNT37+VNT42+#REF!+VNT59,"")</f>
        <v/>
      </c>
      <c r="VNU62" s="87" t="str">
        <f>IF(ISNUMBER(outYear),VNU37+VNU42+#REF!+VNU59,"")</f>
        <v/>
      </c>
      <c r="VNV62" s="87" t="str">
        <f>IF(ISNUMBER(outYear),VNV37+VNV42+#REF!+VNV59,"")</f>
        <v/>
      </c>
      <c r="VNW62" s="87" t="str">
        <f>IF(ISNUMBER(outYear),VNW37+VNW42+#REF!+VNW59,"")</f>
        <v/>
      </c>
      <c r="VNX62" s="87" t="str">
        <f>IF(ISNUMBER(outYear),VNX37+VNX42+#REF!+VNX59,"")</f>
        <v/>
      </c>
      <c r="VNY62" s="87" t="str">
        <f>IF(ISNUMBER(outYear),VNY37+VNY42+#REF!+VNY59,"")</f>
        <v/>
      </c>
      <c r="VNZ62" s="87" t="str">
        <f>IF(ISNUMBER(outYear),VNZ37+VNZ42+#REF!+VNZ59,"")</f>
        <v/>
      </c>
      <c r="VOA62" s="87" t="str">
        <f>IF(ISNUMBER(outYear),VOA37+VOA42+#REF!+VOA59,"")</f>
        <v/>
      </c>
      <c r="VOB62" s="87" t="str">
        <f>IF(ISNUMBER(outYear),VOB37+VOB42+#REF!+VOB59,"")</f>
        <v/>
      </c>
      <c r="VOC62" s="87" t="str">
        <f>IF(ISNUMBER(outYear),VOC37+VOC42+#REF!+VOC59,"")</f>
        <v/>
      </c>
      <c r="VOD62" s="87" t="str">
        <f>IF(ISNUMBER(outYear),VOD37+VOD42+#REF!+VOD59,"")</f>
        <v/>
      </c>
      <c r="VOE62" s="87" t="str">
        <f>IF(ISNUMBER(outYear),VOE37+VOE42+#REF!+VOE59,"")</f>
        <v/>
      </c>
      <c r="VOF62" s="87" t="str">
        <f>IF(ISNUMBER(outYear),VOF37+VOF42+#REF!+VOF59,"")</f>
        <v/>
      </c>
      <c r="VOG62" s="87" t="str">
        <f>IF(ISNUMBER(outYear),VOG37+VOG42+#REF!+VOG59,"")</f>
        <v/>
      </c>
      <c r="VOH62" s="87" t="str">
        <f>IF(ISNUMBER(outYear),VOH37+VOH42+#REF!+VOH59,"")</f>
        <v/>
      </c>
      <c r="VOI62" s="87" t="str">
        <f>IF(ISNUMBER(outYear),VOI37+VOI42+#REF!+VOI59,"")</f>
        <v/>
      </c>
      <c r="VOJ62" s="87" t="str">
        <f>IF(ISNUMBER(outYear),VOJ37+VOJ42+#REF!+VOJ59,"")</f>
        <v/>
      </c>
      <c r="VOK62" s="87" t="str">
        <f>IF(ISNUMBER(outYear),VOK37+VOK42+#REF!+VOK59,"")</f>
        <v/>
      </c>
      <c r="VOL62" s="87" t="str">
        <f>IF(ISNUMBER(outYear),VOL37+VOL42+#REF!+VOL59,"")</f>
        <v/>
      </c>
      <c r="VOM62" s="87" t="str">
        <f>IF(ISNUMBER(outYear),VOM37+VOM42+#REF!+VOM59,"")</f>
        <v/>
      </c>
      <c r="VON62" s="87" t="str">
        <f>IF(ISNUMBER(outYear),VON37+VON42+#REF!+VON59,"")</f>
        <v/>
      </c>
      <c r="VOO62" s="87" t="str">
        <f>IF(ISNUMBER(outYear),VOO37+VOO42+#REF!+VOO59,"")</f>
        <v/>
      </c>
      <c r="VOP62" s="87" t="str">
        <f>IF(ISNUMBER(outYear),VOP37+VOP42+#REF!+VOP59,"")</f>
        <v/>
      </c>
      <c r="VOQ62" s="87" t="str">
        <f>IF(ISNUMBER(outYear),VOQ37+VOQ42+#REF!+VOQ59,"")</f>
        <v/>
      </c>
      <c r="VOR62" s="87" t="str">
        <f>IF(ISNUMBER(outYear),VOR37+VOR42+#REF!+VOR59,"")</f>
        <v/>
      </c>
      <c r="VOS62" s="87" t="str">
        <f>IF(ISNUMBER(outYear),VOS37+VOS42+#REF!+VOS59,"")</f>
        <v/>
      </c>
      <c r="VOT62" s="87" t="str">
        <f>IF(ISNUMBER(outYear),VOT37+VOT42+#REF!+VOT59,"")</f>
        <v/>
      </c>
      <c r="VOU62" s="87" t="str">
        <f>IF(ISNUMBER(outYear),VOU37+VOU42+#REF!+VOU59,"")</f>
        <v/>
      </c>
      <c r="VOV62" s="87" t="str">
        <f>IF(ISNUMBER(outYear),VOV37+VOV42+#REF!+VOV59,"")</f>
        <v/>
      </c>
      <c r="VOW62" s="87" t="str">
        <f>IF(ISNUMBER(outYear),VOW37+VOW42+#REF!+VOW59,"")</f>
        <v/>
      </c>
      <c r="VOX62" s="87" t="str">
        <f>IF(ISNUMBER(outYear),VOX37+VOX42+#REF!+VOX59,"")</f>
        <v/>
      </c>
      <c r="VOY62" s="87" t="str">
        <f>IF(ISNUMBER(outYear),VOY37+VOY42+#REF!+VOY59,"")</f>
        <v/>
      </c>
      <c r="VOZ62" s="87" t="str">
        <f>IF(ISNUMBER(outYear),VOZ37+VOZ42+#REF!+VOZ59,"")</f>
        <v/>
      </c>
      <c r="VPA62" s="87" t="str">
        <f>IF(ISNUMBER(outYear),VPA37+VPA42+#REF!+VPA59,"")</f>
        <v/>
      </c>
      <c r="VPB62" s="87" t="str">
        <f>IF(ISNUMBER(outYear),VPB37+VPB42+#REF!+VPB59,"")</f>
        <v/>
      </c>
      <c r="VPC62" s="87" t="str">
        <f>IF(ISNUMBER(outYear),VPC37+VPC42+#REF!+VPC59,"")</f>
        <v/>
      </c>
      <c r="VPD62" s="87" t="str">
        <f>IF(ISNUMBER(outYear),VPD37+VPD42+#REF!+VPD59,"")</f>
        <v/>
      </c>
      <c r="VPE62" s="87" t="str">
        <f>IF(ISNUMBER(outYear),VPE37+VPE42+#REF!+VPE59,"")</f>
        <v/>
      </c>
      <c r="VPF62" s="87" t="str">
        <f>IF(ISNUMBER(outYear),VPF37+VPF42+#REF!+VPF59,"")</f>
        <v/>
      </c>
      <c r="VPG62" s="87" t="str">
        <f>IF(ISNUMBER(outYear),VPG37+VPG42+#REF!+VPG59,"")</f>
        <v/>
      </c>
      <c r="VPH62" s="87" t="str">
        <f>IF(ISNUMBER(outYear),VPH37+VPH42+#REF!+VPH59,"")</f>
        <v/>
      </c>
      <c r="VPI62" s="87" t="str">
        <f>IF(ISNUMBER(outYear),VPI37+VPI42+#REF!+VPI59,"")</f>
        <v/>
      </c>
      <c r="VPJ62" s="87" t="str">
        <f>IF(ISNUMBER(outYear),VPJ37+VPJ42+#REF!+VPJ59,"")</f>
        <v/>
      </c>
      <c r="VPK62" s="87" t="str">
        <f>IF(ISNUMBER(outYear),VPK37+VPK42+#REF!+VPK59,"")</f>
        <v/>
      </c>
      <c r="VPL62" s="87" t="str">
        <f>IF(ISNUMBER(outYear),VPL37+VPL42+#REF!+VPL59,"")</f>
        <v/>
      </c>
      <c r="VPM62" s="87" t="str">
        <f>IF(ISNUMBER(outYear),VPM37+VPM42+#REF!+VPM59,"")</f>
        <v/>
      </c>
      <c r="VPN62" s="87" t="str">
        <f>IF(ISNUMBER(outYear),VPN37+VPN42+#REF!+VPN59,"")</f>
        <v/>
      </c>
      <c r="VPO62" s="87" t="str">
        <f>IF(ISNUMBER(outYear),VPO37+VPO42+#REF!+VPO59,"")</f>
        <v/>
      </c>
      <c r="VPP62" s="87" t="str">
        <f>IF(ISNUMBER(outYear),VPP37+VPP42+#REF!+VPP59,"")</f>
        <v/>
      </c>
      <c r="VPQ62" s="87" t="str">
        <f>IF(ISNUMBER(outYear),VPQ37+VPQ42+#REF!+VPQ59,"")</f>
        <v/>
      </c>
      <c r="VPR62" s="87" t="str">
        <f>IF(ISNUMBER(outYear),VPR37+VPR42+#REF!+VPR59,"")</f>
        <v/>
      </c>
      <c r="VPS62" s="87" t="str">
        <f>IF(ISNUMBER(outYear),VPS37+VPS42+#REF!+VPS59,"")</f>
        <v/>
      </c>
      <c r="VPT62" s="87" t="str">
        <f>IF(ISNUMBER(outYear),VPT37+VPT42+#REF!+VPT59,"")</f>
        <v/>
      </c>
      <c r="VPU62" s="87" t="str">
        <f>IF(ISNUMBER(outYear),VPU37+VPU42+#REF!+VPU59,"")</f>
        <v/>
      </c>
      <c r="VPV62" s="87" t="str">
        <f>IF(ISNUMBER(outYear),VPV37+VPV42+#REF!+VPV59,"")</f>
        <v/>
      </c>
      <c r="VPW62" s="87" t="str">
        <f>IF(ISNUMBER(outYear),VPW37+VPW42+#REF!+VPW59,"")</f>
        <v/>
      </c>
      <c r="VPX62" s="87" t="str">
        <f>IF(ISNUMBER(outYear),VPX37+VPX42+#REF!+VPX59,"")</f>
        <v/>
      </c>
      <c r="VPY62" s="87" t="str">
        <f>IF(ISNUMBER(outYear),VPY37+VPY42+#REF!+VPY59,"")</f>
        <v/>
      </c>
      <c r="VPZ62" s="87" t="str">
        <f>IF(ISNUMBER(outYear),VPZ37+VPZ42+#REF!+VPZ59,"")</f>
        <v/>
      </c>
      <c r="VQA62" s="87" t="str">
        <f>IF(ISNUMBER(outYear),VQA37+VQA42+#REF!+VQA59,"")</f>
        <v/>
      </c>
      <c r="VQB62" s="87" t="str">
        <f>IF(ISNUMBER(outYear),VQB37+VQB42+#REF!+VQB59,"")</f>
        <v/>
      </c>
      <c r="VQC62" s="87" t="str">
        <f>IF(ISNUMBER(outYear),VQC37+VQC42+#REF!+VQC59,"")</f>
        <v/>
      </c>
      <c r="VQD62" s="87" t="str">
        <f>IF(ISNUMBER(outYear),VQD37+VQD42+#REF!+VQD59,"")</f>
        <v/>
      </c>
      <c r="VQE62" s="87" t="str">
        <f>IF(ISNUMBER(outYear),VQE37+VQE42+#REF!+VQE59,"")</f>
        <v/>
      </c>
      <c r="VQF62" s="87" t="str">
        <f>IF(ISNUMBER(outYear),VQF37+VQF42+#REF!+VQF59,"")</f>
        <v/>
      </c>
      <c r="VQG62" s="87" t="str">
        <f>IF(ISNUMBER(outYear),VQG37+VQG42+#REF!+VQG59,"")</f>
        <v/>
      </c>
      <c r="VQH62" s="87" t="str">
        <f>IF(ISNUMBER(outYear),VQH37+VQH42+#REF!+VQH59,"")</f>
        <v/>
      </c>
      <c r="VQI62" s="87" t="str">
        <f>IF(ISNUMBER(outYear),VQI37+VQI42+#REF!+VQI59,"")</f>
        <v/>
      </c>
      <c r="VQJ62" s="87" t="str">
        <f>IF(ISNUMBER(outYear),VQJ37+VQJ42+#REF!+VQJ59,"")</f>
        <v/>
      </c>
      <c r="VQK62" s="87" t="str">
        <f>IF(ISNUMBER(outYear),VQK37+VQK42+#REF!+VQK59,"")</f>
        <v/>
      </c>
      <c r="VQL62" s="87" t="str">
        <f>IF(ISNUMBER(outYear),VQL37+VQL42+#REF!+VQL59,"")</f>
        <v/>
      </c>
      <c r="VQM62" s="87" t="str">
        <f>IF(ISNUMBER(outYear),VQM37+VQM42+#REF!+VQM59,"")</f>
        <v/>
      </c>
      <c r="VQN62" s="87" t="str">
        <f>IF(ISNUMBER(outYear),VQN37+VQN42+#REF!+VQN59,"")</f>
        <v/>
      </c>
      <c r="VQO62" s="87" t="str">
        <f>IF(ISNUMBER(outYear),VQO37+VQO42+#REF!+VQO59,"")</f>
        <v/>
      </c>
      <c r="VQP62" s="87" t="str">
        <f>IF(ISNUMBER(outYear),VQP37+VQP42+#REF!+VQP59,"")</f>
        <v/>
      </c>
      <c r="VQQ62" s="87" t="str">
        <f>IF(ISNUMBER(outYear),VQQ37+VQQ42+#REF!+VQQ59,"")</f>
        <v/>
      </c>
      <c r="VQR62" s="87" t="str">
        <f>IF(ISNUMBER(outYear),VQR37+VQR42+#REF!+VQR59,"")</f>
        <v/>
      </c>
      <c r="VQS62" s="87" t="str">
        <f>IF(ISNUMBER(outYear),VQS37+VQS42+#REF!+VQS59,"")</f>
        <v/>
      </c>
      <c r="VQT62" s="87" t="str">
        <f>IF(ISNUMBER(outYear),VQT37+VQT42+#REF!+VQT59,"")</f>
        <v/>
      </c>
      <c r="VQU62" s="87" t="str">
        <f>IF(ISNUMBER(outYear),VQU37+VQU42+#REF!+VQU59,"")</f>
        <v/>
      </c>
      <c r="VQV62" s="87" t="str">
        <f>IF(ISNUMBER(outYear),VQV37+VQV42+#REF!+VQV59,"")</f>
        <v/>
      </c>
      <c r="VQW62" s="87" t="str">
        <f>IF(ISNUMBER(outYear),VQW37+VQW42+#REF!+VQW59,"")</f>
        <v/>
      </c>
      <c r="VQX62" s="87" t="str">
        <f>IF(ISNUMBER(outYear),VQX37+VQX42+#REF!+VQX59,"")</f>
        <v/>
      </c>
      <c r="VQY62" s="87" t="str">
        <f>IF(ISNUMBER(outYear),VQY37+VQY42+#REF!+VQY59,"")</f>
        <v/>
      </c>
      <c r="VQZ62" s="87" t="str">
        <f>IF(ISNUMBER(outYear),VQZ37+VQZ42+#REF!+VQZ59,"")</f>
        <v/>
      </c>
      <c r="VRA62" s="87" t="str">
        <f>IF(ISNUMBER(outYear),VRA37+VRA42+#REF!+VRA59,"")</f>
        <v/>
      </c>
      <c r="VRB62" s="87" t="str">
        <f>IF(ISNUMBER(outYear),VRB37+VRB42+#REF!+VRB59,"")</f>
        <v/>
      </c>
      <c r="VRC62" s="87" t="str">
        <f>IF(ISNUMBER(outYear),VRC37+VRC42+#REF!+VRC59,"")</f>
        <v/>
      </c>
      <c r="VRD62" s="87" t="str">
        <f>IF(ISNUMBER(outYear),VRD37+VRD42+#REF!+VRD59,"")</f>
        <v/>
      </c>
      <c r="VRE62" s="87" t="str">
        <f>IF(ISNUMBER(outYear),VRE37+VRE42+#REF!+VRE59,"")</f>
        <v/>
      </c>
      <c r="VRF62" s="87" t="str">
        <f>IF(ISNUMBER(outYear),VRF37+VRF42+#REF!+VRF59,"")</f>
        <v/>
      </c>
      <c r="VRG62" s="87" t="str">
        <f>IF(ISNUMBER(outYear),VRG37+VRG42+#REF!+VRG59,"")</f>
        <v/>
      </c>
      <c r="VRH62" s="87" t="str">
        <f>IF(ISNUMBER(outYear),VRH37+VRH42+#REF!+VRH59,"")</f>
        <v/>
      </c>
      <c r="VRI62" s="87" t="str">
        <f>IF(ISNUMBER(outYear),VRI37+VRI42+#REF!+VRI59,"")</f>
        <v/>
      </c>
      <c r="VRJ62" s="87" t="str">
        <f>IF(ISNUMBER(outYear),VRJ37+VRJ42+#REF!+VRJ59,"")</f>
        <v/>
      </c>
      <c r="VRK62" s="87" t="str">
        <f>IF(ISNUMBER(outYear),VRK37+VRK42+#REF!+VRK59,"")</f>
        <v/>
      </c>
      <c r="VRL62" s="87" t="str">
        <f>IF(ISNUMBER(outYear),VRL37+VRL42+#REF!+VRL59,"")</f>
        <v/>
      </c>
      <c r="VRM62" s="87" t="str">
        <f>IF(ISNUMBER(outYear),VRM37+VRM42+#REF!+VRM59,"")</f>
        <v/>
      </c>
      <c r="VRN62" s="87" t="str">
        <f>IF(ISNUMBER(outYear),VRN37+VRN42+#REF!+VRN59,"")</f>
        <v/>
      </c>
      <c r="VRO62" s="87" t="str">
        <f>IF(ISNUMBER(outYear),VRO37+VRO42+#REF!+VRO59,"")</f>
        <v/>
      </c>
      <c r="VRP62" s="87" t="str">
        <f>IF(ISNUMBER(outYear),VRP37+VRP42+#REF!+VRP59,"")</f>
        <v/>
      </c>
      <c r="VRQ62" s="87" t="str">
        <f>IF(ISNUMBER(outYear),VRQ37+VRQ42+#REF!+VRQ59,"")</f>
        <v/>
      </c>
      <c r="VRR62" s="87" t="str">
        <f>IF(ISNUMBER(outYear),VRR37+VRR42+#REF!+VRR59,"")</f>
        <v/>
      </c>
      <c r="VRS62" s="87" t="str">
        <f>IF(ISNUMBER(outYear),VRS37+VRS42+#REF!+VRS59,"")</f>
        <v/>
      </c>
      <c r="VRT62" s="87" t="str">
        <f>IF(ISNUMBER(outYear),VRT37+VRT42+#REF!+VRT59,"")</f>
        <v/>
      </c>
      <c r="VRU62" s="87" t="str">
        <f>IF(ISNUMBER(outYear),VRU37+VRU42+#REF!+VRU59,"")</f>
        <v/>
      </c>
      <c r="VRV62" s="87" t="str">
        <f>IF(ISNUMBER(outYear),VRV37+VRV42+#REF!+VRV59,"")</f>
        <v/>
      </c>
      <c r="VRW62" s="87" t="str">
        <f>IF(ISNUMBER(outYear),VRW37+VRW42+#REF!+VRW59,"")</f>
        <v/>
      </c>
      <c r="VRX62" s="87" t="str">
        <f>IF(ISNUMBER(outYear),VRX37+VRX42+#REF!+VRX59,"")</f>
        <v/>
      </c>
      <c r="VRY62" s="87" t="str">
        <f>IF(ISNUMBER(outYear),VRY37+VRY42+#REF!+VRY59,"")</f>
        <v/>
      </c>
      <c r="VRZ62" s="87" t="str">
        <f>IF(ISNUMBER(outYear),VRZ37+VRZ42+#REF!+VRZ59,"")</f>
        <v/>
      </c>
      <c r="VSA62" s="87" t="str">
        <f>IF(ISNUMBER(outYear),VSA37+VSA42+#REF!+VSA59,"")</f>
        <v/>
      </c>
      <c r="VSB62" s="87" t="str">
        <f>IF(ISNUMBER(outYear),VSB37+VSB42+#REF!+VSB59,"")</f>
        <v/>
      </c>
      <c r="VSC62" s="87" t="str">
        <f>IF(ISNUMBER(outYear),VSC37+VSC42+#REF!+VSC59,"")</f>
        <v/>
      </c>
      <c r="VSD62" s="87" t="str">
        <f>IF(ISNUMBER(outYear),VSD37+VSD42+#REF!+VSD59,"")</f>
        <v/>
      </c>
      <c r="VSE62" s="87" t="str">
        <f>IF(ISNUMBER(outYear),VSE37+VSE42+#REF!+VSE59,"")</f>
        <v/>
      </c>
      <c r="VSF62" s="87" t="str">
        <f>IF(ISNUMBER(outYear),VSF37+VSF42+#REF!+VSF59,"")</f>
        <v/>
      </c>
      <c r="VSG62" s="87" t="str">
        <f>IF(ISNUMBER(outYear),VSG37+VSG42+#REF!+VSG59,"")</f>
        <v/>
      </c>
      <c r="VSH62" s="87" t="str">
        <f>IF(ISNUMBER(outYear),VSH37+VSH42+#REF!+VSH59,"")</f>
        <v/>
      </c>
      <c r="VSI62" s="87" t="str">
        <f>IF(ISNUMBER(outYear),VSI37+VSI42+#REF!+VSI59,"")</f>
        <v/>
      </c>
      <c r="VSJ62" s="87" t="str">
        <f>IF(ISNUMBER(outYear),VSJ37+VSJ42+#REF!+VSJ59,"")</f>
        <v/>
      </c>
      <c r="VSK62" s="87" t="str">
        <f>IF(ISNUMBER(outYear),VSK37+VSK42+#REF!+VSK59,"")</f>
        <v/>
      </c>
      <c r="VSL62" s="87" t="str">
        <f>IF(ISNUMBER(outYear),VSL37+VSL42+#REF!+VSL59,"")</f>
        <v/>
      </c>
      <c r="VSM62" s="87" t="str">
        <f>IF(ISNUMBER(outYear),VSM37+VSM42+#REF!+VSM59,"")</f>
        <v/>
      </c>
      <c r="VSN62" s="87" t="str">
        <f>IF(ISNUMBER(outYear),VSN37+VSN42+#REF!+VSN59,"")</f>
        <v/>
      </c>
      <c r="VSO62" s="87" t="str">
        <f>IF(ISNUMBER(outYear),VSO37+VSO42+#REF!+VSO59,"")</f>
        <v/>
      </c>
      <c r="VSP62" s="87" t="str">
        <f>IF(ISNUMBER(outYear),VSP37+VSP42+#REF!+VSP59,"")</f>
        <v/>
      </c>
      <c r="VSQ62" s="87" t="str">
        <f>IF(ISNUMBER(outYear),VSQ37+VSQ42+#REF!+VSQ59,"")</f>
        <v/>
      </c>
      <c r="VSR62" s="87" t="str">
        <f>IF(ISNUMBER(outYear),VSR37+VSR42+#REF!+VSR59,"")</f>
        <v/>
      </c>
      <c r="VSS62" s="87" t="str">
        <f>IF(ISNUMBER(outYear),VSS37+VSS42+#REF!+VSS59,"")</f>
        <v/>
      </c>
      <c r="VST62" s="87" t="str">
        <f>IF(ISNUMBER(outYear),VST37+VST42+#REF!+VST59,"")</f>
        <v/>
      </c>
      <c r="VSU62" s="87" t="str">
        <f>IF(ISNUMBER(outYear),VSU37+VSU42+#REF!+VSU59,"")</f>
        <v/>
      </c>
      <c r="VSV62" s="87" t="str">
        <f>IF(ISNUMBER(outYear),VSV37+VSV42+#REF!+VSV59,"")</f>
        <v/>
      </c>
      <c r="VSW62" s="87" t="str">
        <f>IF(ISNUMBER(outYear),VSW37+VSW42+#REF!+VSW59,"")</f>
        <v/>
      </c>
      <c r="VSX62" s="87" t="str">
        <f>IF(ISNUMBER(outYear),VSX37+VSX42+#REF!+VSX59,"")</f>
        <v/>
      </c>
      <c r="VSY62" s="87" t="str">
        <f>IF(ISNUMBER(outYear),VSY37+VSY42+#REF!+VSY59,"")</f>
        <v/>
      </c>
      <c r="VSZ62" s="87" t="str">
        <f>IF(ISNUMBER(outYear),VSZ37+VSZ42+#REF!+VSZ59,"")</f>
        <v/>
      </c>
      <c r="VTA62" s="87" t="str">
        <f>IF(ISNUMBER(outYear),VTA37+VTA42+#REF!+VTA59,"")</f>
        <v/>
      </c>
      <c r="VTB62" s="87" t="str">
        <f>IF(ISNUMBER(outYear),VTB37+VTB42+#REF!+VTB59,"")</f>
        <v/>
      </c>
      <c r="VTC62" s="87" t="str">
        <f>IF(ISNUMBER(outYear),VTC37+VTC42+#REF!+VTC59,"")</f>
        <v/>
      </c>
      <c r="VTD62" s="87" t="str">
        <f>IF(ISNUMBER(outYear),VTD37+VTD42+#REF!+VTD59,"")</f>
        <v/>
      </c>
      <c r="VTE62" s="87" t="str">
        <f>IF(ISNUMBER(outYear),VTE37+VTE42+#REF!+VTE59,"")</f>
        <v/>
      </c>
      <c r="VTF62" s="87" t="str">
        <f>IF(ISNUMBER(outYear),VTF37+VTF42+#REF!+VTF59,"")</f>
        <v/>
      </c>
      <c r="VTG62" s="87" t="str">
        <f>IF(ISNUMBER(outYear),VTG37+VTG42+#REF!+VTG59,"")</f>
        <v/>
      </c>
      <c r="VTH62" s="87" t="str">
        <f>IF(ISNUMBER(outYear),VTH37+VTH42+#REF!+VTH59,"")</f>
        <v/>
      </c>
      <c r="VTI62" s="87" t="str">
        <f>IF(ISNUMBER(outYear),VTI37+VTI42+#REF!+VTI59,"")</f>
        <v/>
      </c>
      <c r="VTJ62" s="87" t="str">
        <f>IF(ISNUMBER(outYear),VTJ37+VTJ42+#REF!+VTJ59,"")</f>
        <v/>
      </c>
      <c r="VTK62" s="87" t="str">
        <f>IF(ISNUMBER(outYear),VTK37+VTK42+#REF!+VTK59,"")</f>
        <v/>
      </c>
      <c r="VTL62" s="87" t="str">
        <f>IF(ISNUMBER(outYear),VTL37+VTL42+#REF!+VTL59,"")</f>
        <v/>
      </c>
      <c r="VTM62" s="87" t="str">
        <f>IF(ISNUMBER(outYear),VTM37+VTM42+#REF!+VTM59,"")</f>
        <v/>
      </c>
      <c r="VTN62" s="87" t="str">
        <f>IF(ISNUMBER(outYear),VTN37+VTN42+#REF!+VTN59,"")</f>
        <v/>
      </c>
      <c r="VTO62" s="87" t="str">
        <f>IF(ISNUMBER(outYear),VTO37+VTO42+#REF!+VTO59,"")</f>
        <v/>
      </c>
      <c r="VTP62" s="87" t="str">
        <f>IF(ISNUMBER(outYear),VTP37+VTP42+#REF!+VTP59,"")</f>
        <v/>
      </c>
      <c r="VTQ62" s="87" t="str">
        <f>IF(ISNUMBER(outYear),VTQ37+VTQ42+#REF!+VTQ59,"")</f>
        <v/>
      </c>
      <c r="VTR62" s="87" t="str">
        <f>IF(ISNUMBER(outYear),VTR37+VTR42+#REF!+VTR59,"")</f>
        <v/>
      </c>
      <c r="VTS62" s="87" t="str">
        <f>IF(ISNUMBER(outYear),VTS37+VTS42+#REF!+VTS59,"")</f>
        <v/>
      </c>
      <c r="VTT62" s="87" t="str">
        <f>IF(ISNUMBER(outYear),VTT37+VTT42+#REF!+VTT59,"")</f>
        <v/>
      </c>
      <c r="VTU62" s="87" t="str">
        <f>IF(ISNUMBER(outYear),VTU37+VTU42+#REF!+VTU59,"")</f>
        <v/>
      </c>
      <c r="VTV62" s="87" t="str">
        <f>IF(ISNUMBER(outYear),VTV37+VTV42+#REF!+VTV59,"")</f>
        <v/>
      </c>
      <c r="VTW62" s="87" t="str">
        <f>IF(ISNUMBER(outYear),VTW37+VTW42+#REF!+VTW59,"")</f>
        <v/>
      </c>
      <c r="VTX62" s="87" t="str">
        <f>IF(ISNUMBER(outYear),VTX37+VTX42+#REF!+VTX59,"")</f>
        <v/>
      </c>
      <c r="VTY62" s="87" t="str">
        <f>IF(ISNUMBER(outYear),VTY37+VTY42+#REF!+VTY59,"")</f>
        <v/>
      </c>
      <c r="VTZ62" s="87" t="str">
        <f>IF(ISNUMBER(outYear),VTZ37+VTZ42+#REF!+VTZ59,"")</f>
        <v/>
      </c>
      <c r="VUA62" s="87" t="str">
        <f>IF(ISNUMBER(outYear),VUA37+VUA42+#REF!+VUA59,"")</f>
        <v/>
      </c>
      <c r="VUB62" s="87" t="str">
        <f>IF(ISNUMBER(outYear),VUB37+VUB42+#REF!+VUB59,"")</f>
        <v/>
      </c>
      <c r="VUC62" s="87" t="str">
        <f>IF(ISNUMBER(outYear),VUC37+VUC42+#REF!+VUC59,"")</f>
        <v/>
      </c>
      <c r="VUD62" s="87" t="str">
        <f>IF(ISNUMBER(outYear),VUD37+VUD42+#REF!+VUD59,"")</f>
        <v/>
      </c>
      <c r="VUE62" s="87" t="str">
        <f>IF(ISNUMBER(outYear),VUE37+VUE42+#REF!+VUE59,"")</f>
        <v/>
      </c>
      <c r="VUF62" s="87" t="str">
        <f>IF(ISNUMBER(outYear),VUF37+VUF42+#REF!+VUF59,"")</f>
        <v/>
      </c>
      <c r="VUG62" s="87" t="str">
        <f>IF(ISNUMBER(outYear),VUG37+VUG42+#REF!+VUG59,"")</f>
        <v/>
      </c>
      <c r="VUH62" s="87" t="str">
        <f>IF(ISNUMBER(outYear),VUH37+VUH42+#REF!+VUH59,"")</f>
        <v/>
      </c>
      <c r="VUI62" s="87" t="str">
        <f>IF(ISNUMBER(outYear),VUI37+VUI42+#REF!+VUI59,"")</f>
        <v/>
      </c>
      <c r="VUJ62" s="87" t="str">
        <f>IF(ISNUMBER(outYear),VUJ37+VUJ42+#REF!+VUJ59,"")</f>
        <v/>
      </c>
      <c r="VUK62" s="87" t="str">
        <f>IF(ISNUMBER(outYear),VUK37+VUK42+#REF!+VUK59,"")</f>
        <v/>
      </c>
      <c r="VUL62" s="87" t="str">
        <f>IF(ISNUMBER(outYear),VUL37+VUL42+#REF!+VUL59,"")</f>
        <v/>
      </c>
      <c r="VUM62" s="87" t="str">
        <f>IF(ISNUMBER(outYear),VUM37+VUM42+#REF!+VUM59,"")</f>
        <v/>
      </c>
      <c r="VUN62" s="87" t="str">
        <f>IF(ISNUMBER(outYear),VUN37+VUN42+#REF!+VUN59,"")</f>
        <v/>
      </c>
      <c r="VUO62" s="87" t="str">
        <f>IF(ISNUMBER(outYear),VUO37+VUO42+#REF!+VUO59,"")</f>
        <v/>
      </c>
      <c r="VUP62" s="87" t="str">
        <f>IF(ISNUMBER(outYear),VUP37+VUP42+#REF!+VUP59,"")</f>
        <v/>
      </c>
      <c r="VUQ62" s="87" t="str">
        <f>IF(ISNUMBER(outYear),VUQ37+VUQ42+#REF!+VUQ59,"")</f>
        <v/>
      </c>
      <c r="VUR62" s="87" t="str">
        <f>IF(ISNUMBER(outYear),VUR37+VUR42+#REF!+VUR59,"")</f>
        <v/>
      </c>
      <c r="VUS62" s="87" t="str">
        <f>IF(ISNUMBER(outYear),VUS37+VUS42+#REF!+VUS59,"")</f>
        <v/>
      </c>
      <c r="VUT62" s="87" t="str">
        <f>IF(ISNUMBER(outYear),VUT37+VUT42+#REF!+VUT59,"")</f>
        <v/>
      </c>
      <c r="VUU62" s="87" t="str">
        <f>IF(ISNUMBER(outYear),VUU37+VUU42+#REF!+VUU59,"")</f>
        <v/>
      </c>
      <c r="VUV62" s="87" t="str">
        <f>IF(ISNUMBER(outYear),VUV37+VUV42+#REF!+VUV59,"")</f>
        <v/>
      </c>
      <c r="VUW62" s="87" t="str">
        <f>IF(ISNUMBER(outYear),VUW37+VUW42+#REF!+VUW59,"")</f>
        <v/>
      </c>
      <c r="VUX62" s="87" t="str">
        <f>IF(ISNUMBER(outYear),VUX37+VUX42+#REF!+VUX59,"")</f>
        <v/>
      </c>
      <c r="VUY62" s="87" t="str">
        <f>IF(ISNUMBER(outYear),VUY37+VUY42+#REF!+VUY59,"")</f>
        <v/>
      </c>
      <c r="VUZ62" s="87" t="str">
        <f>IF(ISNUMBER(outYear),VUZ37+VUZ42+#REF!+VUZ59,"")</f>
        <v/>
      </c>
      <c r="VVA62" s="87" t="str">
        <f>IF(ISNUMBER(outYear),VVA37+VVA42+#REF!+VVA59,"")</f>
        <v/>
      </c>
      <c r="VVB62" s="87" t="str">
        <f>IF(ISNUMBER(outYear),VVB37+VVB42+#REF!+VVB59,"")</f>
        <v/>
      </c>
      <c r="VVC62" s="87" t="str">
        <f>IF(ISNUMBER(outYear),VVC37+VVC42+#REF!+VVC59,"")</f>
        <v/>
      </c>
      <c r="VVD62" s="87" t="str">
        <f>IF(ISNUMBER(outYear),VVD37+VVD42+#REF!+VVD59,"")</f>
        <v/>
      </c>
      <c r="VVE62" s="87" t="str">
        <f>IF(ISNUMBER(outYear),VVE37+VVE42+#REF!+VVE59,"")</f>
        <v/>
      </c>
      <c r="VVF62" s="87" t="str">
        <f>IF(ISNUMBER(outYear),VVF37+VVF42+#REF!+VVF59,"")</f>
        <v/>
      </c>
      <c r="VVG62" s="87" t="str">
        <f>IF(ISNUMBER(outYear),VVG37+VVG42+#REF!+VVG59,"")</f>
        <v/>
      </c>
      <c r="VVH62" s="87" t="str">
        <f>IF(ISNUMBER(outYear),VVH37+VVH42+#REF!+VVH59,"")</f>
        <v/>
      </c>
      <c r="VVI62" s="87" t="str">
        <f>IF(ISNUMBER(outYear),VVI37+VVI42+#REF!+VVI59,"")</f>
        <v/>
      </c>
      <c r="VVJ62" s="87" t="str">
        <f>IF(ISNUMBER(outYear),VVJ37+VVJ42+#REF!+VVJ59,"")</f>
        <v/>
      </c>
      <c r="VVK62" s="87" t="str">
        <f>IF(ISNUMBER(outYear),VVK37+VVK42+#REF!+VVK59,"")</f>
        <v/>
      </c>
      <c r="VVL62" s="87" t="str">
        <f>IF(ISNUMBER(outYear),VVL37+VVL42+#REF!+VVL59,"")</f>
        <v/>
      </c>
      <c r="VVM62" s="87" t="str">
        <f>IF(ISNUMBER(outYear),VVM37+VVM42+#REF!+VVM59,"")</f>
        <v/>
      </c>
      <c r="VVN62" s="87" t="str">
        <f>IF(ISNUMBER(outYear),VVN37+VVN42+#REF!+VVN59,"")</f>
        <v/>
      </c>
      <c r="VVO62" s="87" t="str">
        <f>IF(ISNUMBER(outYear),VVO37+VVO42+#REF!+VVO59,"")</f>
        <v/>
      </c>
      <c r="VVP62" s="87" t="str">
        <f>IF(ISNUMBER(outYear),VVP37+VVP42+#REF!+VVP59,"")</f>
        <v/>
      </c>
      <c r="VVQ62" s="87" t="str">
        <f>IF(ISNUMBER(outYear),VVQ37+VVQ42+#REF!+VVQ59,"")</f>
        <v/>
      </c>
      <c r="VVR62" s="87" t="str">
        <f>IF(ISNUMBER(outYear),VVR37+VVR42+#REF!+VVR59,"")</f>
        <v/>
      </c>
      <c r="VVS62" s="87" t="str">
        <f>IF(ISNUMBER(outYear),VVS37+VVS42+#REF!+VVS59,"")</f>
        <v/>
      </c>
      <c r="VVT62" s="87" t="str">
        <f>IF(ISNUMBER(outYear),VVT37+VVT42+#REF!+VVT59,"")</f>
        <v/>
      </c>
      <c r="VVU62" s="87" t="str">
        <f>IF(ISNUMBER(outYear),VVU37+VVU42+#REF!+VVU59,"")</f>
        <v/>
      </c>
      <c r="VVV62" s="87" t="str">
        <f>IF(ISNUMBER(outYear),VVV37+VVV42+#REF!+VVV59,"")</f>
        <v/>
      </c>
      <c r="VVW62" s="87" t="str">
        <f>IF(ISNUMBER(outYear),VVW37+VVW42+#REF!+VVW59,"")</f>
        <v/>
      </c>
      <c r="VVX62" s="87" t="str">
        <f>IF(ISNUMBER(outYear),VVX37+VVX42+#REF!+VVX59,"")</f>
        <v/>
      </c>
      <c r="VVY62" s="87" t="str">
        <f>IF(ISNUMBER(outYear),VVY37+VVY42+#REF!+VVY59,"")</f>
        <v/>
      </c>
      <c r="VVZ62" s="87" t="str">
        <f>IF(ISNUMBER(outYear),VVZ37+VVZ42+#REF!+VVZ59,"")</f>
        <v/>
      </c>
      <c r="VWA62" s="87" t="str">
        <f>IF(ISNUMBER(outYear),VWA37+VWA42+#REF!+VWA59,"")</f>
        <v/>
      </c>
      <c r="VWB62" s="87" t="str">
        <f>IF(ISNUMBER(outYear),VWB37+VWB42+#REF!+VWB59,"")</f>
        <v/>
      </c>
      <c r="VWC62" s="87" t="str">
        <f>IF(ISNUMBER(outYear),VWC37+VWC42+#REF!+VWC59,"")</f>
        <v/>
      </c>
      <c r="VWD62" s="87" t="str">
        <f>IF(ISNUMBER(outYear),VWD37+VWD42+#REF!+VWD59,"")</f>
        <v/>
      </c>
      <c r="VWE62" s="87" t="str">
        <f>IF(ISNUMBER(outYear),VWE37+VWE42+#REF!+VWE59,"")</f>
        <v/>
      </c>
      <c r="VWF62" s="87" t="str">
        <f>IF(ISNUMBER(outYear),VWF37+VWF42+#REF!+VWF59,"")</f>
        <v/>
      </c>
      <c r="VWG62" s="87" t="str">
        <f>IF(ISNUMBER(outYear),VWG37+VWG42+#REF!+VWG59,"")</f>
        <v/>
      </c>
      <c r="VWH62" s="87" t="str">
        <f>IF(ISNUMBER(outYear),VWH37+VWH42+#REF!+VWH59,"")</f>
        <v/>
      </c>
      <c r="VWI62" s="87" t="str">
        <f>IF(ISNUMBER(outYear),VWI37+VWI42+#REF!+VWI59,"")</f>
        <v/>
      </c>
      <c r="VWJ62" s="87" t="str">
        <f>IF(ISNUMBER(outYear),VWJ37+VWJ42+#REF!+VWJ59,"")</f>
        <v/>
      </c>
      <c r="VWK62" s="87" t="str">
        <f>IF(ISNUMBER(outYear),VWK37+VWK42+#REF!+VWK59,"")</f>
        <v/>
      </c>
      <c r="VWL62" s="87" t="str">
        <f>IF(ISNUMBER(outYear),VWL37+VWL42+#REF!+VWL59,"")</f>
        <v/>
      </c>
      <c r="VWM62" s="87" t="str">
        <f>IF(ISNUMBER(outYear),VWM37+VWM42+#REF!+VWM59,"")</f>
        <v/>
      </c>
      <c r="VWN62" s="87" t="str">
        <f>IF(ISNUMBER(outYear),VWN37+VWN42+#REF!+VWN59,"")</f>
        <v/>
      </c>
      <c r="VWO62" s="87" t="str">
        <f>IF(ISNUMBER(outYear),VWO37+VWO42+#REF!+VWO59,"")</f>
        <v/>
      </c>
      <c r="VWP62" s="87" t="str">
        <f>IF(ISNUMBER(outYear),VWP37+VWP42+#REF!+VWP59,"")</f>
        <v/>
      </c>
      <c r="VWQ62" s="87" t="str">
        <f>IF(ISNUMBER(outYear),VWQ37+VWQ42+#REF!+VWQ59,"")</f>
        <v/>
      </c>
      <c r="VWR62" s="87" t="str">
        <f>IF(ISNUMBER(outYear),VWR37+VWR42+#REF!+VWR59,"")</f>
        <v/>
      </c>
      <c r="VWS62" s="87" t="str">
        <f>IF(ISNUMBER(outYear),VWS37+VWS42+#REF!+VWS59,"")</f>
        <v/>
      </c>
      <c r="VWT62" s="87" t="str">
        <f>IF(ISNUMBER(outYear),VWT37+VWT42+#REF!+VWT59,"")</f>
        <v/>
      </c>
      <c r="VWU62" s="87" t="str">
        <f>IF(ISNUMBER(outYear),VWU37+VWU42+#REF!+VWU59,"")</f>
        <v/>
      </c>
      <c r="VWV62" s="87" t="str">
        <f>IF(ISNUMBER(outYear),VWV37+VWV42+#REF!+VWV59,"")</f>
        <v/>
      </c>
      <c r="VWW62" s="87" t="str">
        <f>IF(ISNUMBER(outYear),VWW37+VWW42+#REF!+VWW59,"")</f>
        <v/>
      </c>
      <c r="VWX62" s="87" t="str">
        <f>IF(ISNUMBER(outYear),VWX37+VWX42+#REF!+VWX59,"")</f>
        <v/>
      </c>
      <c r="VWY62" s="87" t="str">
        <f>IF(ISNUMBER(outYear),VWY37+VWY42+#REF!+VWY59,"")</f>
        <v/>
      </c>
      <c r="VWZ62" s="87" t="str">
        <f>IF(ISNUMBER(outYear),VWZ37+VWZ42+#REF!+VWZ59,"")</f>
        <v/>
      </c>
      <c r="VXA62" s="87" t="str">
        <f>IF(ISNUMBER(outYear),VXA37+VXA42+#REF!+VXA59,"")</f>
        <v/>
      </c>
      <c r="VXB62" s="87" t="str">
        <f>IF(ISNUMBER(outYear),VXB37+VXB42+#REF!+VXB59,"")</f>
        <v/>
      </c>
      <c r="VXC62" s="87" t="str">
        <f>IF(ISNUMBER(outYear),VXC37+VXC42+#REF!+VXC59,"")</f>
        <v/>
      </c>
      <c r="VXD62" s="87" t="str">
        <f>IF(ISNUMBER(outYear),VXD37+VXD42+#REF!+VXD59,"")</f>
        <v/>
      </c>
      <c r="VXE62" s="87" t="str">
        <f>IF(ISNUMBER(outYear),VXE37+VXE42+#REF!+VXE59,"")</f>
        <v/>
      </c>
      <c r="VXF62" s="87" t="str">
        <f>IF(ISNUMBER(outYear),VXF37+VXF42+#REF!+VXF59,"")</f>
        <v/>
      </c>
      <c r="VXG62" s="87" t="str">
        <f>IF(ISNUMBER(outYear),VXG37+VXG42+#REF!+VXG59,"")</f>
        <v/>
      </c>
      <c r="VXH62" s="87" t="str">
        <f>IF(ISNUMBER(outYear),VXH37+VXH42+#REF!+VXH59,"")</f>
        <v/>
      </c>
      <c r="VXI62" s="87" t="str">
        <f>IF(ISNUMBER(outYear),VXI37+VXI42+#REF!+VXI59,"")</f>
        <v/>
      </c>
      <c r="VXJ62" s="87" t="str">
        <f>IF(ISNUMBER(outYear),VXJ37+VXJ42+#REF!+VXJ59,"")</f>
        <v/>
      </c>
      <c r="VXK62" s="87" t="str">
        <f>IF(ISNUMBER(outYear),VXK37+VXK42+#REF!+VXK59,"")</f>
        <v/>
      </c>
      <c r="VXL62" s="87" t="str">
        <f>IF(ISNUMBER(outYear),VXL37+VXL42+#REF!+VXL59,"")</f>
        <v/>
      </c>
      <c r="VXM62" s="87" t="str">
        <f>IF(ISNUMBER(outYear),VXM37+VXM42+#REF!+VXM59,"")</f>
        <v/>
      </c>
      <c r="VXN62" s="87" t="str">
        <f>IF(ISNUMBER(outYear),VXN37+VXN42+#REF!+VXN59,"")</f>
        <v/>
      </c>
      <c r="VXO62" s="87" t="str">
        <f>IF(ISNUMBER(outYear),VXO37+VXO42+#REF!+VXO59,"")</f>
        <v/>
      </c>
      <c r="VXP62" s="87" t="str">
        <f>IF(ISNUMBER(outYear),VXP37+VXP42+#REF!+VXP59,"")</f>
        <v/>
      </c>
      <c r="VXQ62" s="87" t="str">
        <f>IF(ISNUMBER(outYear),VXQ37+VXQ42+#REF!+VXQ59,"")</f>
        <v/>
      </c>
      <c r="VXR62" s="87" t="str">
        <f>IF(ISNUMBER(outYear),VXR37+VXR42+#REF!+VXR59,"")</f>
        <v/>
      </c>
      <c r="VXS62" s="87" t="str">
        <f>IF(ISNUMBER(outYear),VXS37+VXS42+#REF!+VXS59,"")</f>
        <v/>
      </c>
      <c r="VXT62" s="87" t="str">
        <f>IF(ISNUMBER(outYear),VXT37+VXT42+#REF!+VXT59,"")</f>
        <v/>
      </c>
      <c r="VXU62" s="87" t="str">
        <f>IF(ISNUMBER(outYear),VXU37+VXU42+#REF!+VXU59,"")</f>
        <v/>
      </c>
      <c r="VXV62" s="87" t="str">
        <f>IF(ISNUMBER(outYear),VXV37+VXV42+#REF!+VXV59,"")</f>
        <v/>
      </c>
      <c r="VXW62" s="87" t="str">
        <f>IF(ISNUMBER(outYear),VXW37+VXW42+#REF!+VXW59,"")</f>
        <v/>
      </c>
      <c r="VXX62" s="87" t="str">
        <f>IF(ISNUMBER(outYear),VXX37+VXX42+#REF!+VXX59,"")</f>
        <v/>
      </c>
      <c r="VXY62" s="87" t="str">
        <f>IF(ISNUMBER(outYear),VXY37+VXY42+#REF!+VXY59,"")</f>
        <v/>
      </c>
      <c r="VXZ62" s="87" t="str">
        <f>IF(ISNUMBER(outYear),VXZ37+VXZ42+#REF!+VXZ59,"")</f>
        <v/>
      </c>
      <c r="VYA62" s="87" t="str">
        <f>IF(ISNUMBER(outYear),VYA37+VYA42+#REF!+VYA59,"")</f>
        <v/>
      </c>
      <c r="VYB62" s="87" t="str">
        <f>IF(ISNUMBER(outYear),VYB37+VYB42+#REF!+VYB59,"")</f>
        <v/>
      </c>
      <c r="VYC62" s="87" t="str">
        <f>IF(ISNUMBER(outYear),VYC37+VYC42+#REF!+VYC59,"")</f>
        <v/>
      </c>
      <c r="VYD62" s="87" t="str">
        <f>IF(ISNUMBER(outYear),VYD37+VYD42+#REF!+VYD59,"")</f>
        <v/>
      </c>
      <c r="VYE62" s="87" t="str">
        <f>IF(ISNUMBER(outYear),VYE37+VYE42+#REF!+VYE59,"")</f>
        <v/>
      </c>
      <c r="VYF62" s="87" t="str">
        <f>IF(ISNUMBER(outYear),VYF37+VYF42+#REF!+VYF59,"")</f>
        <v/>
      </c>
      <c r="VYG62" s="87" t="str">
        <f>IF(ISNUMBER(outYear),VYG37+VYG42+#REF!+VYG59,"")</f>
        <v/>
      </c>
      <c r="VYH62" s="87" t="str">
        <f>IF(ISNUMBER(outYear),VYH37+VYH42+#REF!+VYH59,"")</f>
        <v/>
      </c>
      <c r="VYI62" s="87" t="str">
        <f>IF(ISNUMBER(outYear),VYI37+VYI42+#REF!+VYI59,"")</f>
        <v/>
      </c>
      <c r="VYJ62" s="87" t="str">
        <f>IF(ISNUMBER(outYear),VYJ37+VYJ42+#REF!+VYJ59,"")</f>
        <v/>
      </c>
      <c r="VYK62" s="87" t="str">
        <f>IF(ISNUMBER(outYear),VYK37+VYK42+#REF!+VYK59,"")</f>
        <v/>
      </c>
      <c r="VYL62" s="87" t="str">
        <f>IF(ISNUMBER(outYear),VYL37+VYL42+#REF!+VYL59,"")</f>
        <v/>
      </c>
      <c r="VYM62" s="87" t="str">
        <f>IF(ISNUMBER(outYear),VYM37+VYM42+#REF!+VYM59,"")</f>
        <v/>
      </c>
      <c r="VYN62" s="87" t="str">
        <f>IF(ISNUMBER(outYear),VYN37+VYN42+#REF!+VYN59,"")</f>
        <v/>
      </c>
      <c r="VYO62" s="87" t="str">
        <f>IF(ISNUMBER(outYear),VYO37+VYO42+#REF!+VYO59,"")</f>
        <v/>
      </c>
      <c r="VYP62" s="87" t="str">
        <f>IF(ISNUMBER(outYear),VYP37+VYP42+#REF!+VYP59,"")</f>
        <v/>
      </c>
      <c r="VYQ62" s="87" t="str">
        <f>IF(ISNUMBER(outYear),VYQ37+VYQ42+#REF!+VYQ59,"")</f>
        <v/>
      </c>
      <c r="VYR62" s="87" t="str">
        <f>IF(ISNUMBER(outYear),VYR37+VYR42+#REF!+VYR59,"")</f>
        <v/>
      </c>
      <c r="VYS62" s="87" t="str">
        <f>IF(ISNUMBER(outYear),VYS37+VYS42+#REF!+VYS59,"")</f>
        <v/>
      </c>
      <c r="VYT62" s="87" t="str">
        <f>IF(ISNUMBER(outYear),VYT37+VYT42+#REF!+VYT59,"")</f>
        <v/>
      </c>
      <c r="VYU62" s="87" t="str">
        <f>IF(ISNUMBER(outYear),VYU37+VYU42+#REF!+VYU59,"")</f>
        <v/>
      </c>
      <c r="VYV62" s="87" t="str">
        <f>IF(ISNUMBER(outYear),VYV37+VYV42+#REF!+VYV59,"")</f>
        <v/>
      </c>
      <c r="VYW62" s="87" t="str">
        <f>IF(ISNUMBER(outYear),VYW37+VYW42+#REF!+VYW59,"")</f>
        <v/>
      </c>
      <c r="VYX62" s="87" t="str">
        <f>IF(ISNUMBER(outYear),VYX37+VYX42+#REF!+VYX59,"")</f>
        <v/>
      </c>
      <c r="VYY62" s="87" t="str">
        <f>IF(ISNUMBER(outYear),VYY37+VYY42+#REF!+VYY59,"")</f>
        <v/>
      </c>
      <c r="VYZ62" s="87" t="str">
        <f>IF(ISNUMBER(outYear),VYZ37+VYZ42+#REF!+VYZ59,"")</f>
        <v/>
      </c>
      <c r="VZA62" s="87" t="str">
        <f>IF(ISNUMBER(outYear),VZA37+VZA42+#REF!+VZA59,"")</f>
        <v/>
      </c>
      <c r="VZB62" s="87" t="str">
        <f>IF(ISNUMBER(outYear),VZB37+VZB42+#REF!+VZB59,"")</f>
        <v/>
      </c>
      <c r="VZC62" s="87" t="str">
        <f>IF(ISNUMBER(outYear),VZC37+VZC42+#REF!+VZC59,"")</f>
        <v/>
      </c>
      <c r="VZD62" s="87" t="str">
        <f>IF(ISNUMBER(outYear),VZD37+VZD42+#REF!+VZD59,"")</f>
        <v/>
      </c>
      <c r="VZE62" s="87" t="str">
        <f>IF(ISNUMBER(outYear),VZE37+VZE42+#REF!+VZE59,"")</f>
        <v/>
      </c>
      <c r="VZF62" s="87" t="str">
        <f>IF(ISNUMBER(outYear),VZF37+VZF42+#REF!+VZF59,"")</f>
        <v/>
      </c>
      <c r="VZG62" s="87" t="str">
        <f>IF(ISNUMBER(outYear),VZG37+VZG42+#REF!+VZG59,"")</f>
        <v/>
      </c>
      <c r="VZH62" s="87" t="str">
        <f>IF(ISNUMBER(outYear),VZH37+VZH42+#REF!+VZH59,"")</f>
        <v/>
      </c>
      <c r="VZI62" s="87" t="str">
        <f>IF(ISNUMBER(outYear),VZI37+VZI42+#REF!+VZI59,"")</f>
        <v/>
      </c>
      <c r="VZJ62" s="87" t="str">
        <f>IF(ISNUMBER(outYear),VZJ37+VZJ42+#REF!+VZJ59,"")</f>
        <v/>
      </c>
      <c r="VZK62" s="87" t="str">
        <f>IF(ISNUMBER(outYear),VZK37+VZK42+#REF!+VZK59,"")</f>
        <v/>
      </c>
      <c r="VZL62" s="87" t="str">
        <f>IF(ISNUMBER(outYear),VZL37+VZL42+#REF!+VZL59,"")</f>
        <v/>
      </c>
      <c r="VZM62" s="87" t="str">
        <f>IF(ISNUMBER(outYear),VZM37+VZM42+#REF!+VZM59,"")</f>
        <v/>
      </c>
      <c r="VZN62" s="87" t="str">
        <f>IF(ISNUMBER(outYear),VZN37+VZN42+#REF!+VZN59,"")</f>
        <v/>
      </c>
      <c r="VZO62" s="87" t="str">
        <f>IF(ISNUMBER(outYear),VZO37+VZO42+#REF!+VZO59,"")</f>
        <v/>
      </c>
      <c r="VZP62" s="87" t="str">
        <f>IF(ISNUMBER(outYear),VZP37+VZP42+#REF!+VZP59,"")</f>
        <v/>
      </c>
      <c r="VZQ62" s="87" t="str">
        <f>IF(ISNUMBER(outYear),VZQ37+VZQ42+#REF!+VZQ59,"")</f>
        <v/>
      </c>
      <c r="VZR62" s="87" t="str">
        <f>IF(ISNUMBER(outYear),VZR37+VZR42+#REF!+VZR59,"")</f>
        <v/>
      </c>
      <c r="VZS62" s="87" t="str">
        <f>IF(ISNUMBER(outYear),VZS37+VZS42+#REF!+VZS59,"")</f>
        <v/>
      </c>
      <c r="VZT62" s="87" t="str">
        <f>IF(ISNUMBER(outYear),VZT37+VZT42+#REF!+VZT59,"")</f>
        <v/>
      </c>
      <c r="VZU62" s="87" t="str">
        <f>IF(ISNUMBER(outYear),VZU37+VZU42+#REF!+VZU59,"")</f>
        <v/>
      </c>
      <c r="VZV62" s="87" t="str">
        <f>IF(ISNUMBER(outYear),VZV37+VZV42+#REF!+VZV59,"")</f>
        <v/>
      </c>
      <c r="VZW62" s="87" t="str">
        <f>IF(ISNUMBER(outYear),VZW37+VZW42+#REF!+VZW59,"")</f>
        <v/>
      </c>
      <c r="VZX62" s="87" t="str">
        <f>IF(ISNUMBER(outYear),VZX37+VZX42+#REF!+VZX59,"")</f>
        <v/>
      </c>
      <c r="VZY62" s="87" t="str">
        <f>IF(ISNUMBER(outYear),VZY37+VZY42+#REF!+VZY59,"")</f>
        <v/>
      </c>
      <c r="VZZ62" s="87" t="str">
        <f>IF(ISNUMBER(outYear),VZZ37+VZZ42+#REF!+VZZ59,"")</f>
        <v/>
      </c>
      <c r="WAA62" s="87" t="str">
        <f>IF(ISNUMBER(outYear),WAA37+WAA42+#REF!+WAA59,"")</f>
        <v/>
      </c>
      <c r="WAB62" s="87" t="str">
        <f>IF(ISNUMBER(outYear),WAB37+WAB42+#REF!+WAB59,"")</f>
        <v/>
      </c>
      <c r="WAC62" s="87" t="str">
        <f>IF(ISNUMBER(outYear),WAC37+WAC42+#REF!+WAC59,"")</f>
        <v/>
      </c>
      <c r="WAD62" s="87" t="str">
        <f>IF(ISNUMBER(outYear),WAD37+WAD42+#REF!+WAD59,"")</f>
        <v/>
      </c>
      <c r="WAE62" s="87" t="str">
        <f>IF(ISNUMBER(outYear),WAE37+WAE42+#REF!+WAE59,"")</f>
        <v/>
      </c>
      <c r="WAF62" s="87" t="str">
        <f>IF(ISNUMBER(outYear),WAF37+WAF42+#REF!+WAF59,"")</f>
        <v/>
      </c>
      <c r="WAG62" s="87" t="str">
        <f>IF(ISNUMBER(outYear),WAG37+WAG42+#REF!+WAG59,"")</f>
        <v/>
      </c>
      <c r="WAH62" s="87" t="str">
        <f>IF(ISNUMBER(outYear),WAH37+WAH42+#REF!+WAH59,"")</f>
        <v/>
      </c>
      <c r="WAI62" s="87" t="str">
        <f>IF(ISNUMBER(outYear),WAI37+WAI42+#REF!+WAI59,"")</f>
        <v/>
      </c>
      <c r="WAJ62" s="87" t="str">
        <f>IF(ISNUMBER(outYear),WAJ37+WAJ42+#REF!+WAJ59,"")</f>
        <v/>
      </c>
      <c r="WAK62" s="87" t="str">
        <f>IF(ISNUMBER(outYear),WAK37+WAK42+#REF!+WAK59,"")</f>
        <v/>
      </c>
      <c r="WAL62" s="87" t="str">
        <f>IF(ISNUMBER(outYear),WAL37+WAL42+#REF!+WAL59,"")</f>
        <v/>
      </c>
      <c r="WAM62" s="87" t="str">
        <f>IF(ISNUMBER(outYear),WAM37+WAM42+#REF!+WAM59,"")</f>
        <v/>
      </c>
      <c r="WAN62" s="87" t="str">
        <f>IF(ISNUMBER(outYear),WAN37+WAN42+#REF!+WAN59,"")</f>
        <v/>
      </c>
      <c r="WAO62" s="87" t="str">
        <f>IF(ISNUMBER(outYear),WAO37+WAO42+#REF!+WAO59,"")</f>
        <v/>
      </c>
      <c r="WAP62" s="87" t="str">
        <f>IF(ISNUMBER(outYear),WAP37+WAP42+#REF!+WAP59,"")</f>
        <v/>
      </c>
      <c r="WAQ62" s="87" t="str">
        <f>IF(ISNUMBER(outYear),WAQ37+WAQ42+#REF!+WAQ59,"")</f>
        <v/>
      </c>
      <c r="WAR62" s="87" t="str">
        <f>IF(ISNUMBER(outYear),WAR37+WAR42+#REF!+WAR59,"")</f>
        <v/>
      </c>
      <c r="WAS62" s="87" t="str">
        <f>IF(ISNUMBER(outYear),WAS37+WAS42+#REF!+WAS59,"")</f>
        <v/>
      </c>
      <c r="WAT62" s="87" t="str">
        <f>IF(ISNUMBER(outYear),WAT37+WAT42+#REF!+WAT59,"")</f>
        <v/>
      </c>
      <c r="WAU62" s="87" t="str">
        <f>IF(ISNUMBER(outYear),WAU37+WAU42+#REF!+WAU59,"")</f>
        <v/>
      </c>
      <c r="WAV62" s="87" t="str">
        <f>IF(ISNUMBER(outYear),WAV37+WAV42+#REF!+WAV59,"")</f>
        <v/>
      </c>
      <c r="WAW62" s="87" t="str">
        <f>IF(ISNUMBER(outYear),WAW37+WAW42+#REF!+WAW59,"")</f>
        <v/>
      </c>
      <c r="WAX62" s="87" t="str">
        <f>IF(ISNUMBER(outYear),WAX37+WAX42+#REF!+WAX59,"")</f>
        <v/>
      </c>
      <c r="WAY62" s="87" t="str">
        <f>IF(ISNUMBER(outYear),WAY37+WAY42+#REF!+WAY59,"")</f>
        <v/>
      </c>
      <c r="WAZ62" s="87" t="str">
        <f>IF(ISNUMBER(outYear),WAZ37+WAZ42+#REF!+WAZ59,"")</f>
        <v/>
      </c>
      <c r="WBA62" s="87" t="str">
        <f>IF(ISNUMBER(outYear),WBA37+WBA42+#REF!+WBA59,"")</f>
        <v/>
      </c>
      <c r="WBB62" s="87" t="str">
        <f>IF(ISNUMBER(outYear),WBB37+WBB42+#REF!+WBB59,"")</f>
        <v/>
      </c>
      <c r="WBC62" s="87" t="str">
        <f>IF(ISNUMBER(outYear),WBC37+WBC42+#REF!+WBC59,"")</f>
        <v/>
      </c>
      <c r="WBD62" s="87" t="str">
        <f>IF(ISNUMBER(outYear),WBD37+WBD42+#REF!+WBD59,"")</f>
        <v/>
      </c>
      <c r="WBE62" s="87" t="str">
        <f>IF(ISNUMBER(outYear),WBE37+WBE42+#REF!+WBE59,"")</f>
        <v/>
      </c>
      <c r="WBF62" s="87" t="str">
        <f>IF(ISNUMBER(outYear),WBF37+WBF42+#REF!+WBF59,"")</f>
        <v/>
      </c>
      <c r="WBG62" s="87" t="str">
        <f>IF(ISNUMBER(outYear),WBG37+WBG42+#REF!+WBG59,"")</f>
        <v/>
      </c>
      <c r="WBH62" s="87" t="str">
        <f>IF(ISNUMBER(outYear),WBH37+WBH42+#REF!+WBH59,"")</f>
        <v/>
      </c>
      <c r="WBI62" s="87" t="str">
        <f>IF(ISNUMBER(outYear),WBI37+WBI42+#REF!+WBI59,"")</f>
        <v/>
      </c>
      <c r="WBJ62" s="87" t="str">
        <f>IF(ISNUMBER(outYear),WBJ37+WBJ42+#REF!+WBJ59,"")</f>
        <v/>
      </c>
      <c r="WBK62" s="87" t="str">
        <f>IF(ISNUMBER(outYear),WBK37+WBK42+#REF!+WBK59,"")</f>
        <v/>
      </c>
      <c r="WBL62" s="87" t="str">
        <f>IF(ISNUMBER(outYear),WBL37+WBL42+#REF!+WBL59,"")</f>
        <v/>
      </c>
      <c r="WBM62" s="87" t="str">
        <f>IF(ISNUMBER(outYear),WBM37+WBM42+#REF!+WBM59,"")</f>
        <v/>
      </c>
      <c r="WBN62" s="87" t="str">
        <f>IF(ISNUMBER(outYear),WBN37+WBN42+#REF!+WBN59,"")</f>
        <v/>
      </c>
      <c r="WBO62" s="87" t="str">
        <f>IF(ISNUMBER(outYear),WBO37+WBO42+#REF!+WBO59,"")</f>
        <v/>
      </c>
      <c r="WBP62" s="87" t="str">
        <f>IF(ISNUMBER(outYear),WBP37+WBP42+#REF!+WBP59,"")</f>
        <v/>
      </c>
      <c r="WBQ62" s="87" t="str">
        <f>IF(ISNUMBER(outYear),WBQ37+WBQ42+#REF!+WBQ59,"")</f>
        <v/>
      </c>
      <c r="WBR62" s="87" t="str">
        <f>IF(ISNUMBER(outYear),WBR37+WBR42+#REF!+WBR59,"")</f>
        <v/>
      </c>
      <c r="WBS62" s="87" t="str">
        <f>IF(ISNUMBER(outYear),WBS37+WBS42+#REF!+WBS59,"")</f>
        <v/>
      </c>
      <c r="WBT62" s="87" t="str">
        <f>IF(ISNUMBER(outYear),WBT37+WBT42+#REF!+WBT59,"")</f>
        <v/>
      </c>
      <c r="WBU62" s="87" t="str">
        <f>IF(ISNUMBER(outYear),WBU37+WBU42+#REF!+WBU59,"")</f>
        <v/>
      </c>
      <c r="WBV62" s="87" t="str">
        <f>IF(ISNUMBER(outYear),WBV37+WBV42+#REF!+WBV59,"")</f>
        <v/>
      </c>
      <c r="WBW62" s="87" t="str">
        <f>IF(ISNUMBER(outYear),WBW37+WBW42+#REF!+WBW59,"")</f>
        <v/>
      </c>
      <c r="WBX62" s="87" t="str">
        <f>IF(ISNUMBER(outYear),WBX37+WBX42+#REF!+WBX59,"")</f>
        <v/>
      </c>
      <c r="WBY62" s="87" t="str">
        <f>IF(ISNUMBER(outYear),WBY37+WBY42+#REF!+WBY59,"")</f>
        <v/>
      </c>
      <c r="WBZ62" s="87" t="str">
        <f>IF(ISNUMBER(outYear),WBZ37+WBZ42+#REF!+WBZ59,"")</f>
        <v/>
      </c>
      <c r="WCA62" s="87" t="str">
        <f>IF(ISNUMBER(outYear),WCA37+WCA42+#REF!+WCA59,"")</f>
        <v/>
      </c>
      <c r="WCB62" s="87" t="str">
        <f>IF(ISNUMBER(outYear),WCB37+WCB42+#REF!+WCB59,"")</f>
        <v/>
      </c>
      <c r="WCC62" s="87" t="str">
        <f>IF(ISNUMBER(outYear),WCC37+WCC42+#REF!+WCC59,"")</f>
        <v/>
      </c>
      <c r="WCD62" s="87" t="str">
        <f>IF(ISNUMBER(outYear),WCD37+WCD42+#REF!+WCD59,"")</f>
        <v/>
      </c>
      <c r="WCE62" s="87" t="str">
        <f>IF(ISNUMBER(outYear),WCE37+WCE42+#REF!+WCE59,"")</f>
        <v/>
      </c>
      <c r="WCF62" s="87" t="str">
        <f>IF(ISNUMBER(outYear),WCF37+WCF42+#REF!+WCF59,"")</f>
        <v/>
      </c>
      <c r="WCG62" s="87" t="str">
        <f>IF(ISNUMBER(outYear),WCG37+WCG42+#REF!+WCG59,"")</f>
        <v/>
      </c>
      <c r="WCH62" s="87" t="str">
        <f>IF(ISNUMBER(outYear),WCH37+WCH42+#REF!+WCH59,"")</f>
        <v/>
      </c>
      <c r="WCI62" s="87" t="str">
        <f>IF(ISNUMBER(outYear),WCI37+WCI42+#REF!+WCI59,"")</f>
        <v/>
      </c>
      <c r="WCJ62" s="87" t="str">
        <f>IF(ISNUMBER(outYear),WCJ37+WCJ42+#REF!+WCJ59,"")</f>
        <v/>
      </c>
      <c r="WCK62" s="87" t="str">
        <f>IF(ISNUMBER(outYear),WCK37+WCK42+#REF!+WCK59,"")</f>
        <v/>
      </c>
      <c r="WCL62" s="87" t="str">
        <f>IF(ISNUMBER(outYear),WCL37+WCL42+#REF!+WCL59,"")</f>
        <v/>
      </c>
      <c r="WCM62" s="87" t="str">
        <f>IF(ISNUMBER(outYear),WCM37+WCM42+#REF!+WCM59,"")</f>
        <v/>
      </c>
      <c r="WCN62" s="87" t="str">
        <f>IF(ISNUMBER(outYear),WCN37+WCN42+#REF!+WCN59,"")</f>
        <v/>
      </c>
      <c r="WCO62" s="87" t="str">
        <f>IF(ISNUMBER(outYear),WCO37+WCO42+#REF!+WCO59,"")</f>
        <v/>
      </c>
      <c r="WCP62" s="87" t="str">
        <f>IF(ISNUMBER(outYear),WCP37+WCP42+#REF!+WCP59,"")</f>
        <v/>
      </c>
      <c r="WCQ62" s="87" t="str">
        <f>IF(ISNUMBER(outYear),WCQ37+WCQ42+#REF!+WCQ59,"")</f>
        <v/>
      </c>
      <c r="WCR62" s="87" t="str">
        <f>IF(ISNUMBER(outYear),WCR37+WCR42+#REF!+WCR59,"")</f>
        <v/>
      </c>
      <c r="WCS62" s="87" t="str">
        <f>IF(ISNUMBER(outYear),WCS37+WCS42+#REF!+WCS59,"")</f>
        <v/>
      </c>
      <c r="WCT62" s="87" t="str">
        <f>IF(ISNUMBER(outYear),WCT37+WCT42+#REF!+WCT59,"")</f>
        <v/>
      </c>
      <c r="WCU62" s="87" t="str">
        <f>IF(ISNUMBER(outYear),WCU37+WCU42+#REF!+WCU59,"")</f>
        <v/>
      </c>
      <c r="WCV62" s="87" t="str">
        <f>IF(ISNUMBER(outYear),WCV37+WCV42+#REF!+WCV59,"")</f>
        <v/>
      </c>
      <c r="WCW62" s="87" t="str">
        <f>IF(ISNUMBER(outYear),WCW37+WCW42+#REF!+WCW59,"")</f>
        <v/>
      </c>
      <c r="WCX62" s="87" t="str">
        <f>IF(ISNUMBER(outYear),WCX37+WCX42+#REF!+WCX59,"")</f>
        <v/>
      </c>
      <c r="WCY62" s="87" t="str">
        <f>IF(ISNUMBER(outYear),WCY37+WCY42+#REF!+WCY59,"")</f>
        <v/>
      </c>
      <c r="WCZ62" s="87" t="str">
        <f>IF(ISNUMBER(outYear),WCZ37+WCZ42+#REF!+WCZ59,"")</f>
        <v/>
      </c>
      <c r="WDA62" s="87" t="str">
        <f>IF(ISNUMBER(outYear),WDA37+WDA42+#REF!+WDA59,"")</f>
        <v/>
      </c>
      <c r="WDB62" s="87" t="str">
        <f>IF(ISNUMBER(outYear),WDB37+WDB42+#REF!+WDB59,"")</f>
        <v/>
      </c>
      <c r="WDC62" s="87" t="str">
        <f>IF(ISNUMBER(outYear),WDC37+WDC42+#REF!+WDC59,"")</f>
        <v/>
      </c>
      <c r="WDD62" s="87" t="str">
        <f>IF(ISNUMBER(outYear),WDD37+WDD42+#REF!+WDD59,"")</f>
        <v/>
      </c>
      <c r="WDE62" s="87" t="str">
        <f>IF(ISNUMBER(outYear),WDE37+WDE42+#REF!+WDE59,"")</f>
        <v/>
      </c>
      <c r="WDF62" s="87" t="str">
        <f>IF(ISNUMBER(outYear),WDF37+WDF42+#REF!+WDF59,"")</f>
        <v/>
      </c>
      <c r="WDG62" s="87" t="str">
        <f>IF(ISNUMBER(outYear),WDG37+WDG42+#REF!+WDG59,"")</f>
        <v/>
      </c>
      <c r="WDH62" s="87" t="str">
        <f>IF(ISNUMBER(outYear),WDH37+WDH42+#REF!+WDH59,"")</f>
        <v/>
      </c>
      <c r="WDI62" s="87" t="str">
        <f>IF(ISNUMBER(outYear),WDI37+WDI42+#REF!+WDI59,"")</f>
        <v/>
      </c>
      <c r="WDJ62" s="87" t="str">
        <f>IF(ISNUMBER(outYear),WDJ37+WDJ42+#REF!+WDJ59,"")</f>
        <v/>
      </c>
      <c r="WDK62" s="87" t="str">
        <f>IF(ISNUMBER(outYear),WDK37+WDK42+#REF!+WDK59,"")</f>
        <v/>
      </c>
      <c r="WDL62" s="87" t="str">
        <f>IF(ISNUMBER(outYear),WDL37+WDL42+#REF!+WDL59,"")</f>
        <v/>
      </c>
      <c r="WDM62" s="87" t="str">
        <f>IF(ISNUMBER(outYear),WDM37+WDM42+#REF!+WDM59,"")</f>
        <v/>
      </c>
      <c r="WDN62" s="87" t="str">
        <f>IF(ISNUMBER(outYear),WDN37+WDN42+#REF!+WDN59,"")</f>
        <v/>
      </c>
      <c r="WDO62" s="87" t="str">
        <f>IF(ISNUMBER(outYear),WDO37+WDO42+#REF!+WDO59,"")</f>
        <v/>
      </c>
      <c r="WDP62" s="87" t="str">
        <f>IF(ISNUMBER(outYear),WDP37+WDP42+#REF!+WDP59,"")</f>
        <v/>
      </c>
      <c r="WDQ62" s="87" t="str">
        <f>IF(ISNUMBER(outYear),WDQ37+WDQ42+#REF!+WDQ59,"")</f>
        <v/>
      </c>
      <c r="WDR62" s="87" t="str">
        <f>IF(ISNUMBER(outYear),WDR37+WDR42+#REF!+WDR59,"")</f>
        <v/>
      </c>
      <c r="WDS62" s="87" t="str">
        <f>IF(ISNUMBER(outYear),WDS37+WDS42+#REF!+WDS59,"")</f>
        <v/>
      </c>
      <c r="WDT62" s="87" t="str">
        <f>IF(ISNUMBER(outYear),WDT37+WDT42+#REF!+WDT59,"")</f>
        <v/>
      </c>
      <c r="WDU62" s="87" t="str">
        <f>IF(ISNUMBER(outYear),WDU37+WDU42+#REF!+WDU59,"")</f>
        <v/>
      </c>
      <c r="WDV62" s="87" t="str">
        <f>IF(ISNUMBER(outYear),WDV37+WDV42+#REF!+WDV59,"")</f>
        <v/>
      </c>
      <c r="WDW62" s="87" t="str">
        <f>IF(ISNUMBER(outYear),WDW37+WDW42+#REF!+WDW59,"")</f>
        <v/>
      </c>
      <c r="WDX62" s="87" t="str">
        <f>IF(ISNUMBER(outYear),WDX37+WDX42+#REF!+WDX59,"")</f>
        <v/>
      </c>
      <c r="WDY62" s="87" t="str">
        <f>IF(ISNUMBER(outYear),WDY37+WDY42+#REF!+WDY59,"")</f>
        <v/>
      </c>
      <c r="WDZ62" s="87" t="str">
        <f>IF(ISNUMBER(outYear),WDZ37+WDZ42+#REF!+WDZ59,"")</f>
        <v/>
      </c>
      <c r="WEA62" s="87" t="str">
        <f>IF(ISNUMBER(outYear),WEA37+WEA42+#REF!+WEA59,"")</f>
        <v/>
      </c>
      <c r="WEB62" s="87" t="str">
        <f>IF(ISNUMBER(outYear),WEB37+WEB42+#REF!+WEB59,"")</f>
        <v/>
      </c>
      <c r="WEC62" s="87" t="str">
        <f>IF(ISNUMBER(outYear),WEC37+WEC42+#REF!+WEC59,"")</f>
        <v/>
      </c>
      <c r="WED62" s="87" t="str">
        <f>IF(ISNUMBER(outYear),WED37+WED42+#REF!+WED59,"")</f>
        <v/>
      </c>
      <c r="WEE62" s="87" t="str">
        <f>IF(ISNUMBER(outYear),WEE37+WEE42+#REF!+WEE59,"")</f>
        <v/>
      </c>
      <c r="WEF62" s="87" t="str">
        <f>IF(ISNUMBER(outYear),WEF37+WEF42+#REF!+WEF59,"")</f>
        <v/>
      </c>
      <c r="WEG62" s="87" t="str">
        <f>IF(ISNUMBER(outYear),WEG37+WEG42+#REF!+WEG59,"")</f>
        <v/>
      </c>
      <c r="WEH62" s="87" t="str">
        <f>IF(ISNUMBER(outYear),WEH37+WEH42+#REF!+WEH59,"")</f>
        <v/>
      </c>
      <c r="WEI62" s="87" t="str">
        <f>IF(ISNUMBER(outYear),WEI37+WEI42+#REF!+WEI59,"")</f>
        <v/>
      </c>
      <c r="WEJ62" s="87" t="str">
        <f>IF(ISNUMBER(outYear),WEJ37+WEJ42+#REF!+WEJ59,"")</f>
        <v/>
      </c>
      <c r="WEK62" s="87" t="str">
        <f>IF(ISNUMBER(outYear),WEK37+WEK42+#REF!+WEK59,"")</f>
        <v/>
      </c>
      <c r="WEL62" s="87" t="str">
        <f>IF(ISNUMBER(outYear),WEL37+WEL42+#REF!+WEL59,"")</f>
        <v/>
      </c>
      <c r="WEM62" s="87" t="str">
        <f>IF(ISNUMBER(outYear),WEM37+WEM42+#REF!+WEM59,"")</f>
        <v/>
      </c>
      <c r="WEN62" s="87" t="str">
        <f>IF(ISNUMBER(outYear),WEN37+WEN42+#REF!+WEN59,"")</f>
        <v/>
      </c>
      <c r="WEO62" s="87" t="str">
        <f>IF(ISNUMBER(outYear),WEO37+WEO42+#REF!+WEO59,"")</f>
        <v/>
      </c>
      <c r="WEP62" s="87" t="str">
        <f>IF(ISNUMBER(outYear),WEP37+WEP42+#REF!+WEP59,"")</f>
        <v/>
      </c>
      <c r="WEQ62" s="87" t="str">
        <f>IF(ISNUMBER(outYear),WEQ37+WEQ42+#REF!+WEQ59,"")</f>
        <v/>
      </c>
      <c r="WER62" s="87" t="str">
        <f>IF(ISNUMBER(outYear),WER37+WER42+#REF!+WER59,"")</f>
        <v/>
      </c>
      <c r="WES62" s="87" t="str">
        <f>IF(ISNUMBER(outYear),WES37+WES42+#REF!+WES59,"")</f>
        <v/>
      </c>
      <c r="WET62" s="87" t="str">
        <f>IF(ISNUMBER(outYear),WET37+WET42+#REF!+WET59,"")</f>
        <v/>
      </c>
      <c r="WEU62" s="87" t="str">
        <f>IF(ISNUMBER(outYear),WEU37+WEU42+#REF!+WEU59,"")</f>
        <v/>
      </c>
      <c r="WEV62" s="87" t="str">
        <f>IF(ISNUMBER(outYear),WEV37+WEV42+#REF!+WEV59,"")</f>
        <v/>
      </c>
      <c r="WEW62" s="87" t="str">
        <f>IF(ISNUMBER(outYear),WEW37+WEW42+#REF!+WEW59,"")</f>
        <v/>
      </c>
      <c r="WEX62" s="87" t="str">
        <f>IF(ISNUMBER(outYear),WEX37+WEX42+#REF!+WEX59,"")</f>
        <v/>
      </c>
      <c r="WEY62" s="87" t="str">
        <f>IF(ISNUMBER(outYear),WEY37+WEY42+#REF!+WEY59,"")</f>
        <v/>
      </c>
      <c r="WEZ62" s="87" t="str">
        <f>IF(ISNUMBER(outYear),WEZ37+WEZ42+#REF!+WEZ59,"")</f>
        <v/>
      </c>
      <c r="WFA62" s="87" t="str">
        <f>IF(ISNUMBER(outYear),WFA37+WFA42+#REF!+WFA59,"")</f>
        <v/>
      </c>
      <c r="WFB62" s="87" t="str">
        <f>IF(ISNUMBER(outYear),WFB37+WFB42+#REF!+WFB59,"")</f>
        <v/>
      </c>
      <c r="WFC62" s="87" t="str">
        <f>IF(ISNUMBER(outYear),WFC37+WFC42+#REF!+WFC59,"")</f>
        <v/>
      </c>
      <c r="WFD62" s="87" t="str">
        <f>IF(ISNUMBER(outYear),WFD37+WFD42+#REF!+WFD59,"")</f>
        <v/>
      </c>
      <c r="WFE62" s="87" t="str">
        <f>IF(ISNUMBER(outYear),WFE37+WFE42+#REF!+WFE59,"")</f>
        <v/>
      </c>
      <c r="WFF62" s="87" t="str">
        <f>IF(ISNUMBER(outYear),WFF37+WFF42+#REF!+WFF59,"")</f>
        <v/>
      </c>
      <c r="WFG62" s="87" t="str">
        <f>IF(ISNUMBER(outYear),WFG37+WFG42+#REF!+WFG59,"")</f>
        <v/>
      </c>
      <c r="WFH62" s="87" t="str">
        <f>IF(ISNUMBER(outYear),WFH37+WFH42+#REF!+WFH59,"")</f>
        <v/>
      </c>
      <c r="WFI62" s="87" t="str">
        <f>IF(ISNUMBER(outYear),WFI37+WFI42+#REF!+WFI59,"")</f>
        <v/>
      </c>
      <c r="WFJ62" s="87" t="str">
        <f>IF(ISNUMBER(outYear),WFJ37+WFJ42+#REF!+WFJ59,"")</f>
        <v/>
      </c>
      <c r="WFK62" s="87" t="str">
        <f>IF(ISNUMBER(outYear),WFK37+WFK42+#REF!+WFK59,"")</f>
        <v/>
      </c>
      <c r="WFL62" s="87" t="str">
        <f>IF(ISNUMBER(outYear),WFL37+WFL42+#REF!+WFL59,"")</f>
        <v/>
      </c>
      <c r="WFM62" s="87" t="str">
        <f>IF(ISNUMBER(outYear),WFM37+WFM42+#REF!+WFM59,"")</f>
        <v/>
      </c>
      <c r="WFN62" s="87" t="str">
        <f>IF(ISNUMBER(outYear),WFN37+WFN42+#REF!+WFN59,"")</f>
        <v/>
      </c>
      <c r="WFO62" s="87" t="str">
        <f>IF(ISNUMBER(outYear),WFO37+WFO42+#REF!+WFO59,"")</f>
        <v/>
      </c>
      <c r="WFP62" s="87" t="str">
        <f>IF(ISNUMBER(outYear),WFP37+WFP42+#REF!+WFP59,"")</f>
        <v/>
      </c>
      <c r="WFQ62" s="87" t="str">
        <f>IF(ISNUMBER(outYear),WFQ37+WFQ42+#REF!+WFQ59,"")</f>
        <v/>
      </c>
      <c r="WFR62" s="87" t="str">
        <f>IF(ISNUMBER(outYear),WFR37+WFR42+#REF!+WFR59,"")</f>
        <v/>
      </c>
      <c r="WFS62" s="87" t="str">
        <f>IF(ISNUMBER(outYear),WFS37+WFS42+#REF!+WFS59,"")</f>
        <v/>
      </c>
      <c r="WFT62" s="87" t="str">
        <f>IF(ISNUMBER(outYear),WFT37+WFT42+#REF!+WFT59,"")</f>
        <v/>
      </c>
      <c r="WFU62" s="87" t="str">
        <f>IF(ISNUMBER(outYear),WFU37+WFU42+#REF!+WFU59,"")</f>
        <v/>
      </c>
      <c r="WFV62" s="87" t="str">
        <f>IF(ISNUMBER(outYear),WFV37+WFV42+#REF!+WFV59,"")</f>
        <v/>
      </c>
      <c r="WFW62" s="87" t="str">
        <f>IF(ISNUMBER(outYear),WFW37+WFW42+#REF!+WFW59,"")</f>
        <v/>
      </c>
      <c r="WFX62" s="87" t="str">
        <f>IF(ISNUMBER(outYear),WFX37+WFX42+#REF!+WFX59,"")</f>
        <v/>
      </c>
      <c r="WFY62" s="87" t="str">
        <f>IF(ISNUMBER(outYear),WFY37+WFY42+#REF!+WFY59,"")</f>
        <v/>
      </c>
      <c r="WFZ62" s="87" t="str">
        <f>IF(ISNUMBER(outYear),WFZ37+WFZ42+#REF!+WFZ59,"")</f>
        <v/>
      </c>
      <c r="WGA62" s="87" t="str">
        <f>IF(ISNUMBER(outYear),WGA37+WGA42+#REF!+WGA59,"")</f>
        <v/>
      </c>
      <c r="WGB62" s="87" t="str">
        <f>IF(ISNUMBER(outYear),WGB37+WGB42+#REF!+WGB59,"")</f>
        <v/>
      </c>
      <c r="WGC62" s="87" t="str">
        <f>IF(ISNUMBER(outYear),WGC37+WGC42+#REF!+WGC59,"")</f>
        <v/>
      </c>
      <c r="WGD62" s="87" t="str">
        <f>IF(ISNUMBER(outYear),WGD37+WGD42+#REF!+WGD59,"")</f>
        <v/>
      </c>
      <c r="WGE62" s="87" t="str">
        <f>IF(ISNUMBER(outYear),WGE37+WGE42+#REF!+WGE59,"")</f>
        <v/>
      </c>
      <c r="WGF62" s="87" t="str">
        <f>IF(ISNUMBER(outYear),WGF37+WGF42+#REF!+WGF59,"")</f>
        <v/>
      </c>
      <c r="WGG62" s="87" t="str">
        <f>IF(ISNUMBER(outYear),WGG37+WGG42+#REF!+WGG59,"")</f>
        <v/>
      </c>
      <c r="WGH62" s="87" t="str">
        <f>IF(ISNUMBER(outYear),WGH37+WGH42+#REF!+WGH59,"")</f>
        <v/>
      </c>
      <c r="WGI62" s="87" t="str">
        <f>IF(ISNUMBER(outYear),WGI37+WGI42+#REF!+WGI59,"")</f>
        <v/>
      </c>
      <c r="WGJ62" s="87" t="str">
        <f>IF(ISNUMBER(outYear),WGJ37+WGJ42+#REF!+WGJ59,"")</f>
        <v/>
      </c>
      <c r="WGK62" s="87" t="str">
        <f>IF(ISNUMBER(outYear),WGK37+WGK42+#REF!+WGK59,"")</f>
        <v/>
      </c>
      <c r="WGL62" s="87" t="str">
        <f>IF(ISNUMBER(outYear),WGL37+WGL42+#REF!+WGL59,"")</f>
        <v/>
      </c>
      <c r="WGM62" s="87" t="str">
        <f>IF(ISNUMBER(outYear),WGM37+WGM42+#REF!+WGM59,"")</f>
        <v/>
      </c>
      <c r="WGN62" s="87" t="str">
        <f>IF(ISNUMBER(outYear),WGN37+WGN42+#REF!+WGN59,"")</f>
        <v/>
      </c>
      <c r="WGO62" s="87" t="str">
        <f>IF(ISNUMBER(outYear),WGO37+WGO42+#REF!+WGO59,"")</f>
        <v/>
      </c>
      <c r="WGP62" s="87" t="str">
        <f>IF(ISNUMBER(outYear),WGP37+WGP42+#REF!+WGP59,"")</f>
        <v/>
      </c>
      <c r="WGQ62" s="87" t="str">
        <f>IF(ISNUMBER(outYear),WGQ37+WGQ42+#REF!+WGQ59,"")</f>
        <v/>
      </c>
      <c r="WGR62" s="87" t="str">
        <f>IF(ISNUMBER(outYear),WGR37+WGR42+#REF!+WGR59,"")</f>
        <v/>
      </c>
      <c r="WGS62" s="87" t="str">
        <f>IF(ISNUMBER(outYear),WGS37+WGS42+#REF!+WGS59,"")</f>
        <v/>
      </c>
      <c r="WGT62" s="87" t="str">
        <f>IF(ISNUMBER(outYear),WGT37+WGT42+#REF!+WGT59,"")</f>
        <v/>
      </c>
      <c r="WGU62" s="87" t="str">
        <f>IF(ISNUMBER(outYear),WGU37+WGU42+#REF!+WGU59,"")</f>
        <v/>
      </c>
      <c r="WGV62" s="87" t="str">
        <f>IF(ISNUMBER(outYear),WGV37+WGV42+#REF!+WGV59,"")</f>
        <v/>
      </c>
      <c r="WGW62" s="87" t="str">
        <f>IF(ISNUMBER(outYear),WGW37+WGW42+#REF!+WGW59,"")</f>
        <v/>
      </c>
      <c r="WGX62" s="87" t="str">
        <f>IF(ISNUMBER(outYear),WGX37+WGX42+#REF!+WGX59,"")</f>
        <v/>
      </c>
      <c r="WGY62" s="87" t="str">
        <f>IF(ISNUMBER(outYear),WGY37+WGY42+#REF!+WGY59,"")</f>
        <v/>
      </c>
      <c r="WGZ62" s="87" t="str">
        <f>IF(ISNUMBER(outYear),WGZ37+WGZ42+#REF!+WGZ59,"")</f>
        <v/>
      </c>
      <c r="WHA62" s="87" t="str">
        <f>IF(ISNUMBER(outYear),WHA37+WHA42+#REF!+WHA59,"")</f>
        <v/>
      </c>
      <c r="WHB62" s="87" t="str">
        <f>IF(ISNUMBER(outYear),WHB37+WHB42+#REF!+WHB59,"")</f>
        <v/>
      </c>
      <c r="WHC62" s="87" t="str">
        <f>IF(ISNUMBER(outYear),WHC37+WHC42+#REF!+WHC59,"")</f>
        <v/>
      </c>
      <c r="WHD62" s="87" t="str">
        <f>IF(ISNUMBER(outYear),WHD37+WHD42+#REF!+WHD59,"")</f>
        <v/>
      </c>
      <c r="WHE62" s="87" t="str">
        <f>IF(ISNUMBER(outYear),WHE37+WHE42+#REF!+WHE59,"")</f>
        <v/>
      </c>
      <c r="WHF62" s="87" t="str">
        <f>IF(ISNUMBER(outYear),WHF37+WHF42+#REF!+WHF59,"")</f>
        <v/>
      </c>
      <c r="WHG62" s="87" t="str">
        <f>IF(ISNUMBER(outYear),WHG37+WHG42+#REF!+WHG59,"")</f>
        <v/>
      </c>
      <c r="WHH62" s="87" t="str">
        <f>IF(ISNUMBER(outYear),WHH37+WHH42+#REF!+WHH59,"")</f>
        <v/>
      </c>
      <c r="WHI62" s="87" t="str">
        <f>IF(ISNUMBER(outYear),WHI37+WHI42+#REF!+WHI59,"")</f>
        <v/>
      </c>
      <c r="WHJ62" s="87" t="str">
        <f>IF(ISNUMBER(outYear),WHJ37+WHJ42+#REF!+WHJ59,"")</f>
        <v/>
      </c>
      <c r="WHK62" s="87" t="str">
        <f>IF(ISNUMBER(outYear),WHK37+WHK42+#REF!+WHK59,"")</f>
        <v/>
      </c>
      <c r="WHL62" s="87" t="str">
        <f>IF(ISNUMBER(outYear),WHL37+WHL42+#REF!+WHL59,"")</f>
        <v/>
      </c>
      <c r="WHM62" s="87" t="str">
        <f>IF(ISNUMBER(outYear),WHM37+WHM42+#REF!+WHM59,"")</f>
        <v/>
      </c>
      <c r="WHN62" s="87" t="str">
        <f>IF(ISNUMBER(outYear),WHN37+WHN42+#REF!+WHN59,"")</f>
        <v/>
      </c>
      <c r="WHO62" s="87" t="str">
        <f>IF(ISNUMBER(outYear),WHO37+WHO42+#REF!+WHO59,"")</f>
        <v/>
      </c>
      <c r="WHP62" s="87" t="str">
        <f>IF(ISNUMBER(outYear),WHP37+WHP42+#REF!+WHP59,"")</f>
        <v/>
      </c>
      <c r="WHQ62" s="87" t="str">
        <f>IF(ISNUMBER(outYear),WHQ37+WHQ42+#REF!+WHQ59,"")</f>
        <v/>
      </c>
      <c r="WHR62" s="87" t="str">
        <f>IF(ISNUMBER(outYear),WHR37+WHR42+#REF!+WHR59,"")</f>
        <v/>
      </c>
      <c r="WHS62" s="87" t="str">
        <f>IF(ISNUMBER(outYear),WHS37+WHS42+#REF!+WHS59,"")</f>
        <v/>
      </c>
      <c r="WHT62" s="87" t="str">
        <f>IF(ISNUMBER(outYear),WHT37+WHT42+#REF!+WHT59,"")</f>
        <v/>
      </c>
      <c r="WHU62" s="87" t="str">
        <f>IF(ISNUMBER(outYear),WHU37+WHU42+#REF!+WHU59,"")</f>
        <v/>
      </c>
      <c r="WHV62" s="87" t="str">
        <f>IF(ISNUMBER(outYear),WHV37+WHV42+#REF!+WHV59,"")</f>
        <v/>
      </c>
      <c r="WHW62" s="87" t="str">
        <f>IF(ISNUMBER(outYear),WHW37+WHW42+#REF!+WHW59,"")</f>
        <v/>
      </c>
      <c r="WHX62" s="87" t="str">
        <f>IF(ISNUMBER(outYear),WHX37+WHX42+#REF!+WHX59,"")</f>
        <v/>
      </c>
      <c r="WHY62" s="87" t="str">
        <f>IF(ISNUMBER(outYear),WHY37+WHY42+#REF!+WHY59,"")</f>
        <v/>
      </c>
      <c r="WHZ62" s="87" t="str">
        <f>IF(ISNUMBER(outYear),WHZ37+WHZ42+#REF!+WHZ59,"")</f>
        <v/>
      </c>
      <c r="WIA62" s="87" t="str">
        <f>IF(ISNUMBER(outYear),WIA37+WIA42+#REF!+WIA59,"")</f>
        <v/>
      </c>
      <c r="WIB62" s="87" t="str">
        <f>IF(ISNUMBER(outYear),WIB37+WIB42+#REF!+WIB59,"")</f>
        <v/>
      </c>
      <c r="WIC62" s="87" t="str">
        <f>IF(ISNUMBER(outYear),WIC37+WIC42+#REF!+WIC59,"")</f>
        <v/>
      </c>
      <c r="WID62" s="87" t="str">
        <f>IF(ISNUMBER(outYear),WID37+WID42+#REF!+WID59,"")</f>
        <v/>
      </c>
      <c r="WIE62" s="87" t="str">
        <f>IF(ISNUMBER(outYear),WIE37+WIE42+#REF!+WIE59,"")</f>
        <v/>
      </c>
      <c r="WIF62" s="87" t="str">
        <f>IF(ISNUMBER(outYear),WIF37+WIF42+#REF!+WIF59,"")</f>
        <v/>
      </c>
      <c r="WIG62" s="87" t="str">
        <f>IF(ISNUMBER(outYear),WIG37+WIG42+#REF!+WIG59,"")</f>
        <v/>
      </c>
      <c r="WIH62" s="87" t="str">
        <f>IF(ISNUMBER(outYear),WIH37+WIH42+#REF!+WIH59,"")</f>
        <v/>
      </c>
      <c r="WII62" s="87" t="str">
        <f>IF(ISNUMBER(outYear),WII37+WII42+#REF!+WII59,"")</f>
        <v/>
      </c>
      <c r="WIJ62" s="87" t="str">
        <f>IF(ISNUMBER(outYear),WIJ37+WIJ42+#REF!+WIJ59,"")</f>
        <v/>
      </c>
      <c r="WIK62" s="87" t="str">
        <f>IF(ISNUMBER(outYear),WIK37+WIK42+#REF!+WIK59,"")</f>
        <v/>
      </c>
      <c r="WIL62" s="87" t="str">
        <f>IF(ISNUMBER(outYear),WIL37+WIL42+#REF!+WIL59,"")</f>
        <v/>
      </c>
      <c r="WIM62" s="87" t="str">
        <f>IF(ISNUMBER(outYear),WIM37+WIM42+#REF!+WIM59,"")</f>
        <v/>
      </c>
      <c r="WIN62" s="87" t="str">
        <f>IF(ISNUMBER(outYear),WIN37+WIN42+#REF!+WIN59,"")</f>
        <v/>
      </c>
      <c r="WIO62" s="87" t="str">
        <f>IF(ISNUMBER(outYear),WIO37+WIO42+#REF!+WIO59,"")</f>
        <v/>
      </c>
      <c r="WIP62" s="87" t="str">
        <f>IF(ISNUMBER(outYear),WIP37+WIP42+#REF!+WIP59,"")</f>
        <v/>
      </c>
      <c r="WIQ62" s="87" t="str">
        <f>IF(ISNUMBER(outYear),WIQ37+WIQ42+#REF!+WIQ59,"")</f>
        <v/>
      </c>
      <c r="WIR62" s="87" t="str">
        <f>IF(ISNUMBER(outYear),WIR37+WIR42+#REF!+WIR59,"")</f>
        <v/>
      </c>
      <c r="WIS62" s="87" t="str">
        <f>IF(ISNUMBER(outYear),WIS37+WIS42+#REF!+WIS59,"")</f>
        <v/>
      </c>
      <c r="WIT62" s="87" t="str">
        <f>IF(ISNUMBER(outYear),WIT37+WIT42+#REF!+WIT59,"")</f>
        <v/>
      </c>
      <c r="WIU62" s="87" t="str">
        <f>IF(ISNUMBER(outYear),WIU37+WIU42+#REF!+WIU59,"")</f>
        <v/>
      </c>
      <c r="WIV62" s="87" t="str">
        <f>IF(ISNUMBER(outYear),WIV37+WIV42+#REF!+WIV59,"")</f>
        <v/>
      </c>
      <c r="WIW62" s="87" t="str">
        <f>IF(ISNUMBER(outYear),WIW37+WIW42+#REF!+WIW59,"")</f>
        <v/>
      </c>
      <c r="WIX62" s="87" t="str">
        <f>IF(ISNUMBER(outYear),WIX37+WIX42+#REF!+WIX59,"")</f>
        <v/>
      </c>
      <c r="WIY62" s="87" t="str">
        <f>IF(ISNUMBER(outYear),WIY37+WIY42+#REF!+WIY59,"")</f>
        <v/>
      </c>
      <c r="WIZ62" s="87" t="str">
        <f>IF(ISNUMBER(outYear),WIZ37+WIZ42+#REF!+WIZ59,"")</f>
        <v/>
      </c>
      <c r="WJA62" s="87" t="str">
        <f>IF(ISNUMBER(outYear),WJA37+WJA42+#REF!+WJA59,"")</f>
        <v/>
      </c>
      <c r="WJB62" s="87" t="str">
        <f>IF(ISNUMBER(outYear),WJB37+WJB42+#REF!+WJB59,"")</f>
        <v/>
      </c>
      <c r="WJC62" s="87" t="str">
        <f>IF(ISNUMBER(outYear),WJC37+WJC42+#REF!+WJC59,"")</f>
        <v/>
      </c>
      <c r="WJD62" s="87" t="str">
        <f>IF(ISNUMBER(outYear),WJD37+WJD42+#REF!+WJD59,"")</f>
        <v/>
      </c>
      <c r="WJE62" s="87" t="str">
        <f>IF(ISNUMBER(outYear),WJE37+WJE42+#REF!+WJE59,"")</f>
        <v/>
      </c>
      <c r="WJF62" s="87" t="str">
        <f>IF(ISNUMBER(outYear),WJF37+WJF42+#REF!+WJF59,"")</f>
        <v/>
      </c>
      <c r="WJG62" s="87" t="str">
        <f>IF(ISNUMBER(outYear),WJG37+WJG42+#REF!+WJG59,"")</f>
        <v/>
      </c>
      <c r="WJH62" s="87" t="str">
        <f>IF(ISNUMBER(outYear),WJH37+WJH42+#REF!+WJH59,"")</f>
        <v/>
      </c>
      <c r="WJI62" s="87" t="str">
        <f>IF(ISNUMBER(outYear),WJI37+WJI42+#REF!+WJI59,"")</f>
        <v/>
      </c>
      <c r="WJJ62" s="87" t="str">
        <f>IF(ISNUMBER(outYear),WJJ37+WJJ42+#REF!+WJJ59,"")</f>
        <v/>
      </c>
      <c r="WJK62" s="87" t="str">
        <f>IF(ISNUMBER(outYear),WJK37+WJK42+#REF!+WJK59,"")</f>
        <v/>
      </c>
      <c r="WJL62" s="87" t="str">
        <f>IF(ISNUMBER(outYear),WJL37+WJL42+#REF!+WJL59,"")</f>
        <v/>
      </c>
      <c r="WJM62" s="87" t="str">
        <f>IF(ISNUMBER(outYear),WJM37+WJM42+#REF!+WJM59,"")</f>
        <v/>
      </c>
      <c r="WJN62" s="87" t="str">
        <f>IF(ISNUMBER(outYear),WJN37+WJN42+#REF!+WJN59,"")</f>
        <v/>
      </c>
      <c r="WJO62" s="87" t="str">
        <f>IF(ISNUMBER(outYear),WJO37+WJO42+#REF!+WJO59,"")</f>
        <v/>
      </c>
      <c r="WJP62" s="87" t="str">
        <f>IF(ISNUMBER(outYear),WJP37+WJP42+#REF!+WJP59,"")</f>
        <v/>
      </c>
      <c r="WJQ62" s="87" t="str">
        <f>IF(ISNUMBER(outYear),WJQ37+WJQ42+#REF!+WJQ59,"")</f>
        <v/>
      </c>
      <c r="WJR62" s="87" t="str">
        <f>IF(ISNUMBER(outYear),WJR37+WJR42+#REF!+WJR59,"")</f>
        <v/>
      </c>
      <c r="WJS62" s="87" t="str">
        <f>IF(ISNUMBER(outYear),WJS37+WJS42+#REF!+WJS59,"")</f>
        <v/>
      </c>
      <c r="WJT62" s="87" t="str">
        <f>IF(ISNUMBER(outYear),WJT37+WJT42+#REF!+WJT59,"")</f>
        <v/>
      </c>
      <c r="WJU62" s="87" t="str">
        <f>IF(ISNUMBER(outYear),WJU37+WJU42+#REF!+WJU59,"")</f>
        <v/>
      </c>
      <c r="WJV62" s="87" t="str">
        <f>IF(ISNUMBER(outYear),WJV37+WJV42+#REF!+WJV59,"")</f>
        <v/>
      </c>
      <c r="WJW62" s="87" t="str">
        <f>IF(ISNUMBER(outYear),WJW37+WJW42+#REF!+WJW59,"")</f>
        <v/>
      </c>
      <c r="WJX62" s="87" t="str">
        <f>IF(ISNUMBER(outYear),WJX37+WJX42+#REF!+WJX59,"")</f>
        <v/>
      </c>
      <c r="WJY62" s="87" t="str">
        <f>IF(ISNUMBER(outYear),WJY37+WJY42+#REF!+WJY59,"")</f>
        <v/>
      </c>
      <c r="WJZ62" s="87" t="str">
        <f>IF(ISNUMBER(outYear),WJZ37+WJZ42+#REF!+WJZ59,"")</f>
        <v/>
      </c>
      <c r="WKA62" s="87" t="str">
        <f>IF(ISNUMBER(outYear),WKA37+WKA42+#REF!+WKA59,"")</f>
        <v/>
      </c>
      <c r="WKB62" s="87" t="str">
        <f>IF(ISNUMBER(outYear),WKB37+WKB42+#REF!+WKB59,"")</f>
        <v/>
      </c>
      <c r="WKC62" s="87" t="str">
        <f>IF(ISNUMBER(outYear),WKC37+WKC42+#REF!+WKC59,"")</f>
        <v/>
      </c>
      <c r="WKD62" s="87" t="str">
        <f>IF(ISNUMBER(outYear),WKD37+WKD42+#REF!+WKD59,"")</f>
        <v/>
      </c>
      <c r="WKE62" s="87" t="str">
        <f>IF(ISNUMBER(outYear),WKE37+WKE42+#REF!+WKE59,"")</f>
        <v/>
      </c>
      <c r="WKF62" s="87" t="str">
        <f>IF(ISNUMBER(outYear),WKF37+WKF42+#REF!+WKF59,"")</f>
        <v/>
      </c>
      <c r="WKG62" s="87" t="str">
        <f>IF(ISNUMBER(outYear),WKG37+WKG42+#REF!+WKG59,"")</f>
        <v/>
      </c>
      <c r="WKH62" s="87" t="str">
        <f>IF(ISNUMBER(outYear),WKH37+WKH42+#REF!+WKH59,"")</f>
        <v/>
      </c>
      <c r="WKI62" s="87" t="str">
        <f>IF(ISNUMBER(outYear),WKI37+WKI42+#REF!+WKI59,"")</f>
        <v/>
      </c>
      <c r="WKJ62" s="87" t="str">
        <f>IF(ISNUMBER(outYear),WKJ37+WKJ42+#REF!+WKJ59,"")</f>
        <v/>
      </c>
      <c r="WKK62" s="87" t="str">
        <f>IF(ISNUMBER(outYear),WKK37+WKK42+#REF!+WKK59,"")</f>
        <v/>
      </c>
      <c r="WKL62" s="87" t="str">
        <f>IF(ISNUMBER(outYear),WKL37+WKL42+#REF!+WKL59,"")</f>
        <v/>
      </c>
      <c r="WKM62" s="87" t="str">
        <f>IF(ISNUMBER(outYear),WKM37+WKM42+#REF!+WKM59,"")</f>
        <v/>
      </c>
      <c r="WKN62" s="87" t="str">
        <f>IF(ISNUMBER(outYear),WKN37+WKN42+#REF!+WKN59,"")</f>
        <v/>
      </c>
      <c r="WKO62" s="87" t="str">
        <f>IF(ISNUMBER(outYear),WKO37+WKO42+#REF!+WKO59,"")</f>
        <v/>
      </c>
      <c r="WKP62" s="87" t="str">
        <f>IF(ISNUMBER(outYear),WKP37+WKP42+#REF!+WKP59,"")</f>
        <v/>
      </c>
      <c r="WKQ62" s="87" t="str">
        <f>IF(ISNUMBER(outYear),WKQ37+WKQ42+#REF!+WKQ59,"")</f>
        <v/>
      </c>
      <c r="WKR62" s="87" t="str">
        <f>IF(ISNUMBER(outYear),WKR37+WKR42+#REF!+WKR59,"")</f>
        <v/>
      </c>
      <c r="WKS62" s="87" t="str">
        <f>IF(ISNUMBER(outYear),WKS37+WKS42+#REF!+WKS59,"")</f>
        <v/>
      </c>
      <c r="WKT62" s="87" t="str">
        <f>IF(ISNUMBER(outYear),WKT37+WKT42+#REF!+WKT59,"")</f>
        <v/>
      </c>
      <c r="WKU62" s="87" t="str">
        <f>IF(ISNUMBER(outYear),WKU37+WKU42+#REF!+WKU59,"")</f>
        <v/>
      </c>
      <c r="WKV62" s="87" t="str">
        <f>IF(ISNUMBER(outYear),WKV37+WKV42+#REF!+WKV59,"")</f>
        <v/>
      </c>
      <c r="WKW62" s="87" t="str">
        <f>IF(ISNUMBER(outYear),WKW37+WKW42+#REF!+WKW59,"")</f>
        <v/>
      </c>
      <c r="WKX62" s="87" t="str">
        <f>IF(ISNUMBER(outYear),WKX37+WKX42+#REF!+WKX59,"")</f>
        <v/>
      </c>
      <c r="WKY62" s="87" t="str">
        <f>IF(ISNUMBER(outYear),WKY37+WKY42+#REF!+WKY59,"")</f>
        <v/>
      </c>
      <c r="WKZ62" s="87" t="str">
        <f>IF(ISNUMBER(outYear),WKZ37+WKZ42+#REF!+WKZ59,"")</f>
        <v/>
      </c>
      <c r="WLA62" s="87" t="str">
        <f>IF(ISNUMBER(outYear),WLA37+WLA42+#REF!+WLA59,"")</f>
        <v/>
      </c>
      <c r="WLB62" s="87" t="str">
        <f>IF(ISNUMBER(outYear),WLB37+WLB42+#REF!+WLB59,"")</f>
        <v/>
      </c>
      <c r="WLC62" s="87" t="str">
        <f>IF(ISNUMBER(outYear),WLC37+WLC42+#REF!+WLC59,"")</f>
        <v/>
      </c>
      <c r="WLD62" s="87" t="str">
        <f>IF(ISNUMBER(outYear),WLD37+WLD42+#REF!+WLD59,"")</f>
        <v/>
      </c>
      <c r="WLE62" s="87" t="str">
        <f>IF(ISNUMBER(outYear),WLE37+WLE42+#REF!+WLE59,"")</f>
        <v/>
      </c>
      <c r="WLF62" s="87" t="str">
        <f>IF(ISNUMBER(outYear),WLF37+WLF42+#REF!+WLF59,"")</f>
        <v/>
      </c>
      <c r="WLG62" s="87" t="str">
        <f>IF(ISNUMBER(outYear),WLG37+WLG42+#REF!+WLG59,"")</f>
        <v/>
      </c>
      <c r="WLH62" s="87" t="str">
        <f>IF(ISNUMBER(outYear),WLH37+WLH42+#REF!+WLH59,"")</f>
        <v/>
      </c>
      <c r="WLI62" s="87" t="str">
        <f>IF(ISNUMBER(outYear),WLI37+WLI42+#REF!+WLI59,"")</f>
        <v/>
      </c>
      <c r="WLJ62" s="87" t="str">
        <f>IF(ISNUMBER(outYear),WLJ37+WLJ42+#REF!+WLJ59,"")</f>
        <v/>
      </c>
      <c r="WLK62" s="87" t="str">
        <f>IF(ISNUMBER(outYear),WLK37+WLK42+#REF!+WLK59,"")</f>
        <v/>
      </c>
      <c r="WLL62" s="87" t="str">
        <f>IF(ISNUMBER(outYear),WLL37+WLL42+#REF!+WLL59,"")</f>
        <v/>
      </c>
      <c r="WLM62" s="87" t="str">
        <f>IF(ISNUMBER(outYear),WLM37+WLM42+#REF!+WLM59,"")</f>
        <v/>
      </c>
      <c r="WLN62" s="87" t="str">
        <f>IF(ISNUMBER(outYear),WLN37+WLN42+#REF!+WLN59,"")</f>
        <v/>
      </c>
      <c r="WLO62" s="87" t="str">
        <f>IF(ISNUMBER(outYear),WLO37+WLO42+#REF!+WLO59,"")</f>
        <v/>
      </c>
      <c r="WLP62" s="87" t="str">
        <f>IF(ISNUMBER(outYear),WLP37+WLP42+#REF!+WLP59,"")</f>
        <v/>
      </c>
      <c r="WLQ62" s="87" t="str">
        <f>IF(ISNUMBER(outYear),WLQ37+WLQ42+#REF!+WLQ59,"")</f>
        <v/>
      </c>
      <c r="WLR62" s="87" t="str">
        <f>IF(ISNUMBER(outYear),WLR37+WLR42+#REF!+WLR59,"")</f>
        <v/>
      </c>
      <c r="WLS62" s="87" t="str">
        <f>IF(ISNUMBER(outYear),WLS37+WLS42+#REF!+WLS59,"")</f>
        <v/>
      </c>
      <c r="WLT62" s="87" t="str">
        <f>IF(ISNUMBER(outYear),WLT37+WLT42+#REF!+WLT59,"")</f>
        <v/>
      </c>
      <c r="WLU62" s="87" t="str">
        <f>IF(ISNUMBER(outYear),WLU37+WLU42+#REF!+WLU59,"")</f>
        <v/>
      </c>
      <c r="WLV62" s="87" t="str">
        <f>IF(ISNUMBER(outYear),WLV37+WLV42+#REF!+WLV59,"")</f>
        <v/>
      </c>
      <c r="WLW62" s="87" t="str">
        <f>IF(ISNUMBER(outYear),WLW37+WLW42+#REF!+WLW59,"")</f>
        <v/>
      </c>
      <c r="WLX62" s="87" t="str">
        <f>IF(ISNUMBER(outYear),WLX37+WLX42+#REF!+WLX59,"")</f>
        <v/>
      </c>
      <c r="WLY62" s="87" t="str">
        <f>IF(ISNUMBER(outYear),WLY37+WLY42+#REF!+WLY59,"")</f>
        <v/>
      </c>
      <c r="WLZ62" s="87" t="str">
        <f>IF(ISNUMBER(outYear),WLZ37+WLZ42+#REF!+WLZ59,"")</f>
        <v/>
      </c>
      <c r="WMA62" s="87" t="str">
        <f>IF(ISNUMBER(outYear),WMA37+WMA42+#REF!+WMA59,"")</f>
        <v/>
      </c>
      <c r="WMB62" s="87" t="str">
        <f>IF(ISNUMBER(outYear),WMB37+WMB42+#REF!+WMB59,"")</f>
        <v/>
      </c>
      <c r="WMC62" s="87" t="str">
        <f>IF(ISNUMBER(outYear),WMC37+WMC42+#REF!+WMC59,"")</f>
        <v/>
      </c>
      <c r="WMD62" s="87" t="str">
        <f>IF(ISNUMBER(outYear),WMD37+WMD42+#REF!+WMD59,"")</f>
        <v/>
      </c>
      <c r="WME62" s="87" t="str">
        <f>IF(ISNUMBER(outYear),WME37+WME42+#REF!+WME59,"")</f>
        <v/>
      </c>
      <c r="WMF62" s="87" t="str">
        <f>IF(ISNUMBER(outYear),WMF37+WMF42+#REF!+WMF59,"")</f>
        <v/>
      </c>
      <c r="WMG62" s="87" t="str">
        <f>IF(ISNUMBER(outYear),WMG37+WMG42+#REF!+WMG59,"")</f>
        <v/>
      </c>
      <c r="WMH62" s="87" t="str">
        <f>IF(ISNUMBER(outYear),WMH37+WMH42+#REF!+WMH59,"")</f>
        <v/>
      </c>
      <c r="WMI62" s="87" t="str">
        <f>IF(ISNUMBER(outYear),WMI37+WMI42+#REF!+WMI59,"")</f>
        <v/>
      </c>
      <c r="WMJ62" s="87" t="str">
        <f>IF(ISNUMBER(outYear),WMJ37+WMJ42+#REF!+WMJ59,"")</f>
        <v/>
      </c>
      <c r="WMK62" s="87" t="str">
        <f>IF(ISNUMBER(outYear),WMK37+WMK42+#REF!+WMK59,"")</f>
        <v/>
      </c>
      <c r="WML62" s="87" t="str">
        <f>IF(ISNUMBER(outYear),WML37+WML42+#REF!+WML59,"")</f>
        <v/>
      </c>
      <c r="WMM62" s="87" t="str">
        <f>IF(ISNUMBER(outYear),WMM37+WMM42+#REF!+WMM59,"")</f>
        <v/>
      </c>
      <c r="WMN62" s="87" t="str">
        <f>IF(ISNUMBER(outYear),WMN37+WMN42+#REF!+WMN59,"")</f>
        <v/>
      </c>
      <c r="WMO62" s="87" t="str">
        <f>IF(ISNUMBER(outYear),WMO37+WMO42+#REF!+WMO59,"")</f>
        <v/>
      </c>
      <c r="WMP62" s="87" t="str">
        <f>IF(ISNUMBER(outYear),WMP37+WMP42+#REF!+WMP59,"")</f>
        <v/>
      </c>
      <c r="WMQ62" s="87" t="str">
        <f>IF(ISNUMBER(outYear),WMQ37+WMQ42+#REF!+WMQ59,"")</f>
        <v/>
      </c>
      <c r="WMR62" s="87" t="str">
        <f>IF(ISNUMBER(outYear),WMR37+WMR42+#REF!+WMR59,"")</f>
        <v/>
      </c>
      <c r="WMS62" s="87" t="str">
        <f>IF(ISNUMBER(outYear),WMS37+WMS42+#REF!+WMS59,"")</f>
        <v/>
      </c>
      <c r="WMT62" s="87" t="str">
        <f>IF(ISNUMBER(outYear),WMT37+WMT42+#REF!+WMT59,"")</f>
        <v/>
      </c>
      <c r="WMU62" s="87" t="str">
        <f>IF(ISNUMBER(outYear),WMU37+WMU42+#REF!+WMU59,"")</f>
        <v/>
      </c>
      <c r="WMV62" s="87" t="str">
        <f>IF(ISNUMBER(outYear),WMV37+WMV42+#REF!+WMV59,"")</f>
        <v/>
      </c>
      <c r="WMW62" s="87" t="str">
        <f>IF(ISNUMBER(outYear),WMW37+WMW42+#REF!+WMW59,"")</f>
        <v/>
      </c>
      <c r="WMX62" s="87" t="str">
        <f>IF(ISNUMBER(outYear),WMX37+WMX42+#REF!+WMX59,"")</f>
        <v/>
      </c>
      <c r="WMY62" s="87" t="str">
        <f>IF(ISNUMBER(outYear),WMY37+WMY42+#REF!+WMY59,"")</f>
        <v/>
      </c>
      <c r="WMZ62" s="87" t="str">
        <f>IF(ISNUMBER(outYear),WMZ37+WMZ42+#REF!+WMZ59,"")</f>
        <v/>
      </c>
      <c r="WNA62" s="87" t="str">
        <f>IF(ISNUMBER(outYear),WNA37+WNA42+#REF!+WNA59,"")</f>
        <v/>
      </c>
      <c r="WNB62" s="87" t="str">
        <f>IF(ISNUMBER(outYear),WNB37+WNB42+#REF!+WNB59,"")</f>
        <v/>
      </c>
      <c r="WNC62" s="87" t="str">
        <f>IF(ISNUMBER(outYear),WNC37+WNC42+#REF!+WNC59,"")</f>
        <v/>
      </c>
      <c r="WND62" s="87" t="str">
        <f>IF(ISNUMBER(outYear),WND37+WND42+#REF!+WND59,"")</f>
        <v/>
      </c>
      <c r="WNE62" s="87" t="str">
        <f>IF(ISNUMBER(outYear),WNE37+WNE42+#REF!+WNE59,"")</f>
        <v/>
      </c>
      <c r="WNF62" s="87" t="str">
        <f>IF(ISNUMBER(outYear),WNF37+WNF42+#REF!+WNF59,"")</f>
        <v/>
      </c>
      <c r="WNG62" s="87" t="str">
        <f>IF(ISNUMBER(outYear),WNG37+WNG42+#REF!+WNG59,"")</f>
        <v/>
      </c>
      <c r="WNH62" s="87" t="str">
        <f>IF(ISNUMBER(outYear),WNH37+WNH42+#REF!+WNH59,"")</f>
        <v/>
      </c>
      <c r="WNI62" s="87" t="str">
        <f>IF(ISNUMBER(outYear),WNI37+WNI42+#REF!+WNI59,"")</f>
        <v/>
      </c>
      <c r="WNJ62" s="87" t="str">
        <f>IF(ISNUMBER(outYear),WNJ37+WNJ42+#REF!+WNJ59,"")</f>
        <v/>
      </c>
      <c r="WNK62" s="87" t="str">
        <f>IF(ISNUMBER(outYear),WNK37+WNK42+#REF!+WNK59,"")</f>
        <v/>
      </c>
      <c r="WNL62" s="87" t="str">
        <f>IF(ISNUMBER(outYear),WNL37+WNL42+#REF!+WNL59,"")</f>
        <v/>
      </c>
      <c r="WNM62" s="87" t="str">
        <f>IF(ISNUMBER(outYear),WNM37+WNM42+#REF!+WNM59,"")</f>
        <v/>
      </c>
      <c r="WNN62" s="87" t="str">
        <f>IF(ISNUMBER(outYear),WNN37+WNN42+#REF!+WNN59,"")</f>
        <v/>
      </c>
      <c r="WNO62" s="87" t="str">
        <f>IF(ISNUMBER(outYear),WNO37+WNO42+#REF!+WNO59,"")</f>
        <v/>
      </c>
      <c r="WNP62" s="87" t="str">
        <f>IF(ISNUMBER(outYear),WNP37+WNP42+#REF!+WNP59,"")</f>
        <v/>
      </c>
      <c r="WNQ62" s="87" t="str">
        <f>IF(ISNUMBER(outYear),WNQ37+WNQ42+#REF!+WNQ59,"")</f>
        <v/>
      </c>
      <c r="WNR62" s="87" t="str">
        <f>IF(ISNUMBER(outYear),WNR37+WNR42+#REF!+WNR59,"")</f>
        <v/>
      </c>
      <c r="WNS62" s="87" t="str">
        <f>IF(ISNUMBER(outYear),WNS37+WNS42+#REF!+WNS59,"")</f>
        <v/>
      </c>
      <c r="WNT62" s="87" t="str">
        <f>IF(ISNUMBER(outYear),WNT37+WNT42+#REF!+WNT59,"")</f>
        <v/>
      </c>
      <c r="WNU62" s="87" t="str">
        <f>IF(ISNUMBER(outYear),WNU37+WNU42+#REF!+WNU59,"")</f>
        <v/>
      </c>
      <c r="WNV62" s="87" t="str">
        <f>IF(ISNUMBER(outYear),WNV37+WNV42+#REF!+WNV59,"")</f>
        <v/>
      </c>
      <c r="WNW62" s="87" t="str">
        <f>IF(ISNUMBER(outYear),WNW37+WNW42+#REF!+WNW59,"")</f>
        <v/>
      </c>
      <c r="WNX62" s="87" t="str">
        <f>IF(ISNUMBER(outYear),WNX37+WNX42+#REF!+WNX59,"")</f>
        <v/>
      </c>
      <c r="WNY62" s="87" t="str">
        <f>IF(ISNUMBER(outYear),WNY37+WNY42+#REF!+WNY59,"")</f>
        <v/>
      </c>
      <c r="WNZ62" s="87" t="str">
        <f>IF(ISNUMBER(outYear),WNZ37+WNZ42+#REF!+WNZ59,"")</f>
        <v/>
      </c>
      <c r="WOA62" s="87" t="str">
        <f>IF(ISNUMBER(outYear),WOA37+WOA42+#REF!+WOA59,"")</f>
        <v/>
      </c>
      <c r="WOB62" s="87" t="str">
        <f>IF(ISNUMBER(outYear),WOB37+WOB42+#REF!+WOB59,"")</f>
        <v/>
      </c>
      <c r="WOC62" s="87" t="str">
        <f>IF(ISNUMBER(outYear),WOC37+WOC42+#REF!+WOC59,"")</f>
        <v/>
      </c>
      <c r="WOD62" s="87" t="str">
        <f>IF(ISNUMBER(outYear),WOD37+WOD42+#REF!+WOD59,"")</f>
        <v/>
      </c>
      <c r="WOE62" s="87" t="str">
        <f>IF(ISNUMBER(outYear),WOE37+WOE42+#REF!+WOE59,"")</f>
        <v/>
      </c>
      <c r="WOF62" s="87" t="str">
        <f>IF(ISNUMBER(outYear),WOF37+WOF42+#REF!+WOF59,"")</f>
        <v/>
      </c>
      <c r="WOG62" s="87" t="str">
        <f>IF(ISNUMBER(outYear),WOG37+WOG42+#REF!+WOG59,"")</f>
        <v/>
      </c>
      <c r="WOH62" s="87" t="str">
        <f>IF(ISNUMBER(outYear),WOH37+WOH42+#REF!+WOH59,"")</f>
        <v/>
      </c>
      <c r="WOI62" s="87" t="str">
        <f>IF(ISNUMBER(outYear),WOI37+WOI42+#REF!+WOI59,"")</f>
        <v/>
      </c>
      <c r="WOJ62" s="87" t="str">
        <f>IF(ISNUMBER(outYear),WOJ37+WOJ42+#REF!+WOJ59,"")</f>
        <v/>
      </c>
      <c r="WOK62" s="87" t="str">
        <f>IF(ISNUMBER(outYear),WOK37+WOK42+#REF!+WOK59,"")</f>
        <v/>
      </c>
      <c r="WOL62" s="87" t="str">
        <f>IF(ISNUMBER(outYear),WOL37+WOL42+#REF!+WOL59,"")</f>
        <v/>
      </c>
      <c r="WOM62" s="87" t="str">
        <f>IF(ISNUMBER(outYear),WOM37+WOM42+#REF!+WOM59,"")</f>
        <v/>
      </c>
      <c r="WON62" s="87" t="str">
        <f>IF(ISNUMBER(outYear),WON37+WON42+#REF!+WON59,"")</f>
        <v/>
      </c>
      <c r="WOO62" s="87" t="str">
        <f>IF(ISNUMBER(outYear),WOO37+WOO42+#REF!+WOO59,"")</f>
        <v/>
      </c>
      <c r="WOP62" s="87" t="str">
        <f>IF(ISNUMBER(outYear),WOP37+WOP42+#REF!+WOP59,"")</f>
        <v/>
      </c>
      <c r="WOQ62" s="87" t="str">
        <f>IF(ISNUMBER(outYear),WOQ37+WOQ42+#REF!+WOQ59,"")</f>
        <v/>
      </c>
      <c r="WOR62" s="87" t="str">
        <f>IF(ISNUMBER(outYear),WOR37+WOR42+#REF!+WOR59,"")</f>
        <v/>
      </c>
      <c r="WOS62" s="87" t="str">
        <f>IF(ISNUMBER(outYear),WOS37+WOS42+#REF!+WOS59,"")</f>
        <v/>
      </c>
      <c r="WOT62" s="87" t="str">
        <f>IF(ISNUMBER(outYear),WOT37+WOT42+#REF!+WOT59,"")</f>
        <v/>
      </c>
      <c r="WOU62" s="87" t="str">
        <f>IF(ISNUMBER(outYear),WOU37+WOU42+#REF!+WOU59,"")</f>
        <v/>
      </c>
      <c r="WOV62" s="87" t="str">
        <f>IF(ISNUMBER(outYear),WOV37+WOV42+#REF!+WOV59,"")</f>
        <v/>
      </c>
      <c r="WOW62" s="87" t="str">
        <f>IF(ISNUMBER(outYear),WOW37+WOW42+#REF!+WOW59,"")</f>
        <v/>
      </c>
      <c r="WOX62" s="87" t="str">
        <f>IF(ISNUMBER(outYear),WOX37+WOX42+#REF!+WOX59,"")</f>
        <v/>
      </c>
      <c r="WOY62" s="87" t="str">
        <f>IF(ISNUMBER(outYear),WOY37+WOY42+#REF!+WOY59,"")</f>
        <v/>
      </c>
      <c r="WOZ62" s="87" t="str">
        <f>IF(ISNUMBER(outYear),WOZ37+WOZ42+#REF!+WOZ59,"")</f>
        <v/>
      </c>
      <c r="WPA62" s="87" t="str">
        <f>IF(ISNUMBER(outYear),WPA37+WPA42+#REF!+WPA59,"")</f>
        <v/>
      </c>
      <c r="WPB62" s="87" t="str">
        <f>IF(ISNUMBER(outYear),WPB37+WPB42+#REF!+WPB59,"")</f>
        <v/>
      </c>
      <c r="WPC62" s="87" t="str">
        <f>IF(ISNUMBER(outYear),WPC37+WPC42+#REF!+WPC59,"")</f>
        <v/>
      </c>
      <c r="WPD62" s="87" t="str">
        <f>IF(ISNUMBER(outYear),WPD37+WPD42+#REF!+WPD59,"")</f>
        <v/>
      </c>
      <c r="WPE62" s="87" t="str">
        <f>IF(ISNUMBER(outYear),WPE37+WPE42+#REF!+WPE59,"")</f>
        <v/>
      </c>
      <c r="WPF62" s="87" t="str">
        <f>IF(ISNUMBER(outYear),WPF37+WPF42+#REF!+WPF59,"")</f>
        <v/>
      </c>
      <c r="WPG62" s="87" t="str">
        <f>IF(ISNUMBER(outYear),WPG37+WPG42+#REF!+WPG59,"")</f>
        <v/>
      </c>
      <c r="WPH62" s="87" t="str">
        <f>IF(ISNUMBER(outYear),WPH37+WPH42+#REF!+WPH59,"")</f>
        <v/>
      </c>
      <c r="WPI62" s="87" t="str">
        <f>IF(ISNUMBER(outYear),WPI37+WPI42+#REF!+WPI59,"")</f>
        <v/>
      </c>
      <c r="WPJ62" s="87" t="str">
        <f>IF(ISNUMBER(outYear),WPJ37+WPJ42+#REF!+WPJ59,"")</f>
        <v/>
      </c>
      <c r="WPK62" s="87" t="str">
        <f>IF(ISNUMBER(outYear),WPK37+WPK42+#REF!+WPK59,"")</f>
        <v/>
      </c>
      <c r="WPL62" s="87" t="str">
        <f>IF(ISNUMBER(outYear),WPL37+WPL42+#REF!+WPL59,"")</f>
        <v/>
      </c>
      <c r="WPM62" s="87" t="str">
        <f>IF(ISNUMBER(outYear),WPM37+WPM42+#REF!+WPM59,"")</f>
        <v/>
      </c>
      <c r="WPN62" s="87" t="str">
        <f>IF(ISNUMBER(outYear),WPN37+WPN42+#REF!+WPN59,"")</f>
        <v/>
      </c>
      <c r="WPO62" s="87" t="str">
        <f>IF(ISNUMBER(outYear),WPO37+WPO42+#REF!+WPO59,"")</f>
        <v/>
      </c>
      <c r="WPP62" s="87" t="str">
        <f>IF(ISNUMBER(outYear),WPP37+WPP42+#REF!+WPP59,"")</f>
        <v/>
      </c>
      <c r="WPQ62" s="87" t="str">
        <f>IF(ISNUMBER(outYear),WPQ37+WPQ42+#REF!+WPQ59,"")</f>
        <v/>
      </c>
      <c r="WPR62" s="87" t="str">
        <f>IF(ISNUMBER(outYear),WPR37+WPR42+#REF!+WPR59,"")</f>
        <v/>
      </c>
      <c r="WPS62" s="87" t="str">
        <f>IF(ISNUMBER(outYear),WPS37+WPS42+#REF!+WPS59,"")</f>
        <v/>
      </c>
      <c r="WPT62" s="87" t="str">
        <f>IF(ISNUMBER(outYear),WPT37+WPT42+#REF!+WPT59,"")</f>
        <v/>
      </c>
      <c r="WPU62" s="87" t="str">
        <f>IF(ISNUMBER(outYear),WPU37+WPU42+#REF!+WPU59,"")</f>
        <v/>
      </c>
      <c r="WPV62" s="87" t="str">
        <f>IF(ISNUMBER(outYear),WPV37+WPV42+#REF!+WPV59,"")</f>
        <v/>
      </c>
      <c r="WPW62" s="87" t="str">
        <f>IF(ISNUMBER(outYear),WPW37+WPW42+#REF!+WPW59,"")</f>
        <v/>
      </c>
      <c r="WPX62" s="87" t="str">
        <f>IF(ISNUMBER(outYear),WPX37+WPX42+#REF!+WPX59,"")</f>
        <v/>
      </c>
      <c r="WPY62" s="87" t="str">
        <f>IF(ISNUMBER(outYear),WPY37+WPY42+#REF!+WPY59,"")</f>
        <v/>
      </c>
      <c r="WPZ62" s="87" t="str">
        <f>IF(ISNUMBER(outYear),WPZ37+WPZ42+#REF!+WPZ59,"")</f>
        <v/>
      </c>
      <c r="WQA62" s="87" t="str">
        <f>IF(ISNUMBER(outYear),WQA37+WQA42+#REF!+WQA59,"")</f>
        <v/>
      </c>
      <c r="WQB62" s="87" t="str">
        <f>IF(ISNUMBER(outYear),WQB37+WQB42+#REF!+WQB59,"")</f>
        <v/>
      </c>
      <c r="WQC62" s="87" t="str">
        <f>IF(ISNUMBER(outYear),WQC37+WQC42+#REF!+WQC59,"")</f>
        <v/>
      </c>
      <c r="WQD62" s="87" t="str">
        <f>IF(ISNUMBER(outYear),WQD37+WQD42+#REF!+WQD59,"")</f>
        <v/>
      </c>
      <c r="WQE62" s="87" t="str">
        <f>IF(ISNUMBER(outYear),WQE37+WQE42+#REF!+WQE59,"")</f>
        <v/>
      </c>
      <c r="WQF62" s="87" t="str">
        <f>IF(ISNUMBER(outYear),WQF37+WQF42+#REF!+WQF59,"")</f>
        <v/>
      </c>
      <c r="WQG62" s="87" t="str">
        <f>IF(ISNUMBER(outYear),WQG37+WQG42+#REF!+WQG59,"")</f>
        <v/>
      </c>
      <c r="WQH62" s="87" t="str">
        <f>IF(ISNUMBER(outYear),WQH37+WQH42+#REF!+WQH59,"")</f>
        <v/>
      </c>
      <c r="WQI62" s="87" t="str">
        <f>IF(ISNUMBER(outYear),WQI37+WQI42+#REF!+WQI59,"")</f>
        <v/>
      </c>
      <c r="WQJ62" s="87" t="str">
        <f>IF(ISNUMBER(outYear),WQJ37+WQJ42+#REF!+WQJ59,"")</f>
        <v/>
      </c>
      <c r="WQK62" s="87" t="str">
        <f>IF(ISNUMBER(outYear),WQK37+WQK42+#REF!+WQK59,"")</f>
        <v/>
      </c>
      <c r="WQL62" s="87" t="str">
        <f>IF(ISNUMBER(outYear),WQL37+WQL42+#REF!+WQL59,"")</f>
        <v/>
      </c>
      <c r="WQM62" s="87" t="str">
        <f>IF(ISNUMBER(outYear),WQM37+WQM42+#REF!+WQM59,"")</f>
        <v/>
      </c>
      <c r="WQN62" s="87" t="str">
        <f>IF(ISNUMBER(outYear),WQN37+WQN42+#REF!+WQN59,"")</f>
        <v/>
      </c>
      <c r="WQO62" s="87" t="str">
        <f>IF(ISNUMBER(outYear),WQO37+WQO42+#REF!+WQO59,"")</f>
        <v/>
      </c>
      <c r="WQP62" s="87" t="str">
        <f>IF(ISNUMBER(outYear),WQP37+WQP42+#REF!+WQP59,"")</f>
        <v/>
      </c>
      <c r="WQQ62" s="87" t="str">
        <f>IF(ISNUMBER(outYear),WQQ37+WQQ42+#REF!+WQQ59,"")</f>
        <v/>
      </c>
      <c r="WQR62" s="87" t="str">
        <f>IF(ISNUMBER(outYear),WQR37+WQR42+#REF!+WQR59,"")</f>
        <v/>
      </c>
      <c r="WQS62" s="87" t="str">
        <f>IF(ISNUMBER(outYear),WQS37+WQS42+#REF!+WQS59,"")</f>
        <v/>
      </c>
      <c r="WQT62" s="87" t="str">
        <f>IF(ISNUMBER(outYear),WQT37+WQT42+#REF!+WQT59,"")</f>
        <v/>
      </c>
      <c r="WQU62" s="87" t="str">
        <f>IF(ISNUMBER(outYear),WQU37+WQU42+#REF!+WQU59,"")</f>
        <v/>
      </c>
      <c r="WQV62" s="87" t="str">
        <f>IF(ISNUMBER(outYear),WQV37+WQV42+#REF!+WQV59,"")</f>
        <v/>
      </c>
      <c r="WQW62" s="87" t="str">
        <f>IF(ISNUMBER(outYear),WQW37+WQW42+#REF!+WQW59,"")</f>
        <v/>
      </c>
      <c r="WQX62" s="87" t="str">
        <f>IF(ISNUMBER(outYear),WQX37+WQX42+#REF!+WQX59,"")</f>
        <v/>
      </c>
      <c r="WQY62" s="87" t="str">
        <f>IF(ISNUMBER(outYear),WQY37+WQY42+#REF!+WQY59,"")</f>
        <v/>
      </c>
      <c r="WQZ62" s="87" t="str">
        <f>IF(ISNUMBER(outYear),WQZ37+WQZ42+#REF!+WQZ59,"")</f>
        <v/>
      </c>
      <c r="WRA62" s="87" t="str">
        <f>IF(ISNUMBER(outYear),WRA37+WRA42+#REF!+WRA59,"")</f>
        <v/>
      </c>
      <c r="WRB62" s="87" t="str">
        <f>IF(ISNUMBER(outYear),WRB37+WRB42+#REF!+WRB59,"")</f>
        <v/>
      </c>
      <c r="WRC62" s="87" t="str">
        <f>IF(ISNUMBER(outYear),WRC37+WRC42+#REF!+WRC59,"")</f>
        <v/>
      </c>
      <c r="WRD62" s="87" t="str">
        <f>IF(ISNUMBER(outYear),WRD37+WRD42+#REF!+WRD59,"")</f>
        <v/>
      </c>
      <c r="WRE62" s="87" t="str">
        <f>IF(ISNUMBER(outYear),WRE37+WRE42+#REF!+WRE59,"")</f>
        <v/>
      </c>
      <c r="WRF62" s="87" t="str">
        <f>IF(ISNUMBER(outYear),WRF37+WRF42+#REF!+WRF59,"")</f>
        <v/>
      </c>
      <c r="WRG62" s="87" t="str">
        <f>IF(ISNUMBER(outYear),WRG37+WRG42+#REF!+WRG59,"")</f>
        <v/>
      </c>
      <c r="WRH62" s="87" t="str">
        <f>IF(ISNUMBER(outYear),WRH37+WRH42+#REF!+WRH59,"")</f>
        <v/>
      </c>
      <c r="WRI62" s="87" t="str">
        <f>IF(ISNUMBER(outYear),WRI37+WRI42+#REF!+WRI59,"")</f>
        <v/>
      </c>
      <c r="WRJ62" s="87" t="str">
        <f>IF(ISNUMBER(outYear),WRJ37+WRJ42+#REF!+WRJ59,"")</f>
        <v/>
      </c>
      <c r="WRK62" s="87" t="str">
        <f>IF(ISNUMBER(outYear),WRK37+WRK42+#REF!+WRK59,"")</f>
        <v/>
      </c>
      <c r="WRL62" s="87" t="str">
        <f>IF(ISNUMBER(outYear),WRL37+WRL42+#REF!+WRL59,"")</f>
        <v/>
      </c>
      <c r="WRM62" s="87" t="str">
        <f>IF(ISNUMBER(outYear),WRM37+WRM42+#REF!+WRM59,"")</f>
        <v/>
      </c>
      <c r="WRN62" s="87" t="str">
        <f>IF(ISNUMBER(outYear),WRN37+WRN42+#REF!+WRN59,"")</f>
        <v/>
      </c>
      <c r="WRO62" s="87" t="str">
        <f>IF(ISNUMBER(outYear),WRO37+WRO42+#REF!+WRO59,"")</f>
        <v/>
      </c>
      <c r="WRP62" s="87" t="str">
        <f>IF(ISNUMBER(outYear),WRP37+WRP42+#REF!+WRP59,"")</f>
        <v/>
      </c>
      <c r="WRQ62" s="87" t="str">
        <f>IF(ISNUMBER(outYear),WRQ37+WRQ42+#REF!+WRQ59,"")</f>
        <v/>
      </c>
      <c r="WRR62" s="87" t="str">
        <f>IF(ISNUMBER(outYear),WRR37+WRR42+#REF!+WRR59,"")</f>
        <v/>
      </c>
      <c r="WRS62" s="87" t="str">
        <f>IF(ISNUMBER(outYear),WRS37+WRS42+#REF!+WRS59,"")</f>
        <v/>
      </c>
      <c r="WRT62" s="87" t="str">
        <f>IF(ISNUMBER(outYear),WRT37+WRT42+#REF!+WRT59,"")</f>
        <v/>
      </c>
      <c r="WRU62" s="87" t="str">
        <f>IF(ISNUMBER(outYear),WRU37+WRU42+#REF!+WRU59,"")</f>
        <v/>
      </c>
      <c r="WRV62" s="87" t="str">
        <f>IF(ISNUMBER(outYear),WRV37+WRV42+#REF!+WRV59,"")</f>
        <v/>
      </c>
      <c r="WRW62" s="87" t="str">
        <f>IF(ISNUMBER(outYear),WRW37+WRW42+#REF!+WRW59,"")</f>
        <v/>
      </c>
      <c r="WRX62" s="87" t="str">
        <f>IF(ISNUMBER(outYear),WRX37+WRX42+#REF!+WRX59,"")</f>
        <v/>
      </c>
      <c r="WRY62" s="87" t="str">
        <f>IF(ISNUMBER(outYear),WRY37+WRY42+#REF!+WRY59,"")</f>
        <v/>
      </c>
      <c r="WRZ62" s="87" t="str">
        <f>IF(ISNUMBER(outYear),WRZ37+WRZ42+#REF!+WRZ59,"")</f>
        <v/>
      </c>
      <c r="WSA62" s="87" t="str">
        <f>IF(ISNUMBER(outYear),WSA37+WSA42+#REF!+WSA59,"")</f>
        <v/>
      </c>
      <c r="WSB62" s="87" t="str">
        <f>IF(ISNUMBER(outYear),WSB37+WSB42+#REF!+WSB59,"")</f>
        <v/>
      </c>
      <c r="WSC62" s="87" t="str">
        <f>IF(ISNUMBER(outYear),WSC37+WSC42+#REF!+WSC59,"")</f>
        <v/>
      </c>
      <c r="WSD62" s="87" t="str">
        <f>IF(ISNUMBER(outYear),WSD37+WSD42+#REF!+WSD59,"")</f>
        <v/>
      </c>
      <c r="WSE62" s="87" t="str">
        <f>IF(ISNUMBER(outYear),WSE37+WSE42+#REF!+WSE59,"")</f>
        <v/>
      </c>
      <c r="WSF62" s="87" t="str">
        <f>IF(ISNUMBER(outYear),WSF37+WSF42+#REF!+WSF59,"")</f>
        <v/>
      </c>
      <c r="WSG62" s="87" t="str">
        <f>IF(ISNUMBER(outYear),WSG37+WSG42+#REF!+WSG59,"")</f>
        <v/>
      </c>
      <c r="WSH62" s="87" t="str">
        <f>IF(ISNUMBER(outYear),WSH37+WSH42+#REF!+WSH59,"")</f>
        <v/>
      </c>
      <c r="WSI62" s="87" t="str">
        <f>IF(ISNUMBER(outYear),WSI37+WSI42+#REF!+WSI59,"")</f>
        <v/>
      </c>
      <c r="WSJ62" s="87" t="str">
        <f>IF(ISNUMBER(outYear),WSJ37+WSJ42+#REF!+WSJ59,"")</f>
        <v/>
      </c>
      <c r="WSK62" s="87" t="str">
        <f>IF(ISNUMBER(outYear),WSK37+WSK42+#REF!+WSK59,"")</f>
        <v/>
      </c>
      <c r="WSL62" s="87" t="str">
        <f>IF(ISNUMBER(outYear),WSL37+WSL42+#REF!+WSL59,"")</f>
        <v/>
      </c>
      <c r="WSM62" s="87" t="str">
        <f>IF(ISNUMBER(outYear),WSM37+WSM42+#REF!+WSM59,"")</f>
        <v/>
      </c>
      <c r="WSN62" s="87" t="str">
        <f>IF(ISNUMBER(outYear),WSN37+WSN42+#REF!+WSN59,"")</f>
        <v/>
      </c>
      <c r="WSO62" s="87" t="str">
        <f>IF(ISNUMBER(outYear),WSO37+WSO42+#REF!+WSO59,"")</f>
        <v/>
      </c>
      <c r="WSP62" s="87" t="str">
        <f>IF(ISNUMBER(outYear),WSP37+WSP42+#REF!+WSP59,"")</f>
        <v/>
      </c>
      <c r="WSQ62" s="87" t="str">
        <f>IF(ISNUMBER(outYear),WSQ37+WSQ42+#REF!+WSQ59,"")</f>
        <v/>
      </c>
      <c r="WSR62" s="87" t="str">
        <f>IF(ISNUMBER(outYear),WSR37+WSR42+#REF!+WSR59,"")</f>
        <v/>
      </c>
      <c r="WSS62" s="87" t="str">
        <f>IF(ISNUMBER(outYear),WSS37+WSS42+#REF!+WSS59,"")</f>
        <v/>
      </c>
      <c r="WST62" s="87" t="str">
        <f>IF(ISNUMBER(outYear),WST37+WST42+#REF!+WST59,"")</f>
        <v/>
      </c>
      <c r="WSU62" s="87" t="str">
        <f>IF(ISNUMBER(outYear),WSU37+WSU42+#REF!+WSU59,"")</f>
        <v/>
      </c>
      <c r="WSV62" s="87" t="str">
        <f>IF(ISNUMBER(outYear),WSV37+WSV42+#REF!+WSV59,"")</f>
        <v/>
      </c>
      <c r="WSW62" s="87" t="str">
        <f>IF(ISNUMBER(outYear),WSW37+WSW42+#REF!+WSW59,"")</f>
        <v/>
      </c>
      <c r="WSX62" s="87" t="str">
        <f>IF(ISNUMBER(outYear),WSX37+WSX42+#REF!+WSX59,"")</f>
        <v/>
      </c>
      <c r="WSY62" s="87" t="str">
        <f>IF(ISNUMBER(outYear),WSY37+WSY42+#REF!+WSY59,"")</f>
        <v/>
      </c>
      <c r="WSZ62" s="87" t="str">
        <f>IF(ISNUMBER(outYear),WSZ37+WSZ42+#REF!+WSZ59,"")</f>
        <v/>
      </c>
      <c r="WTA62" s="87" t="str">
        <f>IF(ISNUMBER(outYear),WTA37+WTA42+#REF!+WTA59,"")</f>
        <v/>
      </c>
      <c r="WTB62" s="87" t="str">
        <f>IF(ISNUMBER(outYear),WTB37+WTB42+#REF!+WTB59,"")</f>
        <v/>
      </c>
      <c r="WTC62" s="87" t="str">
        <f>IF(ISNUMBER(outYear),WTC37+WTC42+#REF!+WTC59,"")</f>
        <v/>
      </c>
      <c r="WTD62" s="87" t="str">
        <f>IF(ISNUMBER(outYear),WTD37+WTD42+#REF!+WTD59,"")</f>
        <v/>
      </c>
      <c r="WTE62" s="87" t="str">
        <f>IF(ISNUMBER(outYear),WTE37+WTE42+#REF!+WTE59,"")</f>
        <v/>
      </c>
      <c r="WTF62" s="87" t="str">
        <f>IF(ISNUMBER(outYear),WTF37+WTF42+#REF!+WTF59,"")</f>
        <v/>
      </c>
      <c r="WTG62" s="87" t="str">
        <f>IF(ISNUMBER(outYear),WTG37+WTG42+#REF!+WTG59,"")</f>
        <v/>
      </c>
      <c r="WTH62" s="87" t="str">
        <f>IF(ISNUMBER(outYear),WTH37+WTH42+#REF!+WTH59,"")</f>
        <v/>
      </c>
      <c r="WTI62" s="87" t="str">
        <f>IF(ISNUMBER(outYear),WTI37+WTI42+#REF!+WTI59,"")</f>
        <v/>
      </c>
      <c r="WTJ62" s="87" t="str">
        <f>IF(ISNUMBER(outYear),WTJ37+WTJ42+#REF!+WTJ59,"")</f>
        <v/>
      </c>
      <c r="WTK62" s="87" t="str">
        <f>IF(ISNUMBER(outYear),WTK37+WTK42+#REF!+WTK59,"")</f>
        <v/>
      </c>
      <c r="WTL62" s="87" t="str">
        <f>IF(ISNUMBER(outYear),WTL37+WTL42+#REF!+WTL59,"")</f>
        <v/>
      </c>
      <c r="WTM62" s="87" t="str">
        <f>IF(ISNUMBER(outYear),WTM37+WTM42+#REF!+WTM59,"")</f>
        <v/>
      </c>
      <c r="WTN62" s="87" t="str">
        <f>IF(ISNUMBER(outYear),WTN37+WTN42+#REF!+WTN59,"")</f>
        <v/>
      </c>
      <c r="WTO62" s="87" t="str">
        <f>IF(ISNUMBER(outYear),WTO37+WTO42+#REF!+WTO59,"")</f>
        <v/>
      </c>
      <c r="WTP62" s="87" t="str">
        <f>IF(ISNUMBER(outYear),WTP37+WTP42+#REF!+WTP59,"")</f>
        <v/>
      </c>
      <c r="WTQ62" s="87" t="str">
        <f>IF(ISNUMBER(outYear),WTQ37+WTQ42+#REF!+WTQ59,"")</f>
        <v/>
      </c>
      <c r="WTR62" s="87" t="str">
        <f>IF(ISNUMBER(outYear),WTR37+WTR42+#REF!+WTR59,"")</f>
        <v/>
      </c>
      <c r="WTS62" s="87" t="str">
        <f>IF(ISNUMBER(outYear),WTS37+WTS42+#REF!+WTS59,"")</f>
        <v/>
      </c>
      <c r="WTT62" s="87" t="str">
        <f>IF(ISNUMBER(outYear),WTT37+WTT42+#REF!+WTT59,"")</f>
        <v/>
      </c>
      <c r="WTU62" s="87" t="str">
        <f>IF(ISNUMBER(outYear),WTU37+WTU42+#REF!+WTU59,"")</f>
        <v/>
      </c>
      <c r="WTV62" s="87" t="str">
        <f>IF(ISNUMBER(outYear),WTV37+WTV42+#REF!+WTV59,"")</f>
        <v/>
      </c>
      <c r="WTW62" s="87" t="str">
        <f>IF(ISNUMBER(outYear),WTW37+WTW42+#REF!+WTW59,"")</f>
        <v/>
      </c>
      <c r="WTX62" s="87" t="str">
        <f>IF(ISNUMBER(outYear),WTX37+WTX42+#REF!+WTX59,"")</f>
        <v/>
      </c>
      <c r="WTY62" s="87" t="str">
        <f>IF(ISNUMBER(outYear),WTY37+WTY42+#REF!+WTY59,"")</f>
        <v/>
      </c>
      <c r="WTZ62" s="87" t="str">
        <f>IF(ISNUMBER(outYear),WTZ37+WTZ42+#REF!+WTZ59,"")</f>
        <v/>
      </c>
      <c r="WUA62" s="87" t="str">
        <f>IF(ISNUMBER(outYear),WUA37+WUA42+#REF!+WUA59,"")</f>
        <v/>
      </c>
      <c r="WUB62" s="87" t="str">
        <f>IF(ISNUMBER(outYear),WUB37+WUB42+#REF!+WUB59,"")</f>
        <v/>
      </c>
      <c r="WUC62" s="87" t="str">
        <f>IF(ISNUMBER(outYear),WUC37+WUC42+#REF!+WUC59,"")</f>
        <v/>
      </c>
      <c r="WUD62" s="87" t="str">
        <f>IF(ISNUMBER(outYear),WUD37+WUD42+#REF!+WUD59,"")</f>
        <v/>
      </c>
      <c r="WUE62" s="87" t="str">
        <f>IF(ISNUMBER(outYear),WUE37+WUE42+#REF!+WUE59,"")</f>
        <v/>
      </c>
      <c r="WUF62" s="87" t="str">
        <f>IF(ISNUMBER(outYear),WUF37+WUF42+#REF!+WUF59,"")</f>
        <v/>
      </c>
      <c r="WUG62" s="87" t="str">
        <f>IF(ISNUMBER(outYear),WUG37+WUG42+#REF!+WUG59,"")</f>
        <v/>
      </c>
      <c r="WUH62" s="87" t="str">
        <f>IF(ISNUMBER(outYear),WUH37+WUH42+#REF!+WUH59,"")</f>
        <v/>
      </c>
      <c r="WUI62" s="87" t="str">
        <f>IF(ISNUMBER(outYear),WUI37+WUI42+#REF!+WUI59,"")</f>
        <v/>
      </c>
      <c r="WUJ62" s="87" t="str">
        <f>IF(ISNUMBER(outYear),WUJ37+WUJ42+#REF!+WUJ59,"")</f>
        <v/>
      </c>
      <c r="WUK62" s="87" t="str">
        <f>IF(ISNUMBER(outYear),WUK37+WUK42+#REF!+WUK59,"")</f>
        <v/>
      </c>
      <c r="WUL62" s="87" t="str">
        <f>IF(ISNUMBER(outYear),WUL37+WUL42+#REF!+WUL59,"")</f>
        <v/>
      </c>
      <c r="WUM62" s="87" t="str">
        <f>IF(ISNUMBER(outYear),WUM37+WUM42+#REF!+WUM59,"")</f>
        <v/>
      </c>
      <c r="WUN62" s="87" t="str">
        <f>IF(ISNUMBER(outYear),WUN37+WUN42+#REF!+WUN59,"")</f>
        <v/>
      </c>
      <c r="WUO62" s="87" t="str">
        <f>IF(ISNUMBER(outYear),WUO37+WUO42+#REF!+WUO59,"")</f>
        <v/>
      </c>
      <c r="WUP62" s="87" t="str">
        <f>IF(ISNUMBER(outYear),WUP37+WUP42+#REF!+WUP59,"")</f>
        <v/>
      </c>
      <c r="WUQ62" s="87" t="str">
        <f>IF(ISNUMBER(outYear),WUQ37+WUQ42+#REF!+WUQ59,"")</f>
        <v/>
      </c>
      <c r="WUR62" s="87" t="str">
        <f>IF(ISNUMBER(outYear),WUR37+WUR42+#REF!+WUR59,"")</f>
        <v/>
      </c>
      <c r="WUS62" s="87" t="str">
        <f>IF(ISNUMBER(outYear),WUS37+WUS42+#REF!+WUS59,"")</f>
        <v/>
      </c>
      <c r="WUT62" s="87" t="str">
        <f>IF(ISNUMBER(outYear),WUT37+WUT42+#REF!+WUT59,"")</f>
        <v/>
      </c>
      <c r="WUU62" s="87" t="str">
        <f>IF(ISNUMBER(outYear),WUU37+WUU42+#REF!+WUU59,"")</f>
        <v/>
      </c>
      <c r="WUV62" s="87" t="str">
        <f>IF(ISNUMBER(outYear),WUV37+WUV42+#REF!+WUV59,"")</f>
        <v/>
      </c>
      <c r="WUW62" s="87" t="str">
        <f>IF(ISNUMBER(outYear),WUW37+WUW42+#REF!+WUW59,"")</f>
        <v/>
      </c>
      <c r="WUX62" s="87" t="str">
        <f>IF(ISNUMBER(outYear),WUX37+WUX42+#REF!+WUX59,"")</f>
        <v/>
      </c>
      <c r="WUY62" s="87" t="str">
        <f>IF(ISNUMBER(outYear),WUY37+WUY42+#REF!+WUY59,"")</f>
        <v/>
      </c>
      <c r="WUZ62" s="87" t="str">
        <f>IF(ISNUMBER(outYear),WUZ37+WUZ42+#REF!+WUZ59,"")</f>
        <v/>
      </c>
      <c r="WVA62" s="87" t="str">
        <f>IF(ISNUMBER(outYear),WVA37+WVA42+#REF!+WVA59,"")</f>
        <v/>
      </c>
      <c r="WVB62" s="87" t="str">
        <f>IF(ISNUMBER(outYear),WVB37+WVB42+#REF!+WVB59,"")</f>
        <v/>
      </c>
      <c r="WVC62" s="87" t="str">
        <f>IF(ISNUMBER(outYear),WVC37+WVC42+#REF!+WVC59,"")</f>
        <v/>
      </c>
      <c r="WVD62" s="87" t="str">
        <f>IF(ISNUMBER(outYear),WVD37+WVD42+#REF!+WVD59,"")</f>
        <v/>
      </c>
      <c r="WVE62" s="87" t="str">
        <f>IF(ISNUMBER(outYear),WVE37+WVE42+#REF!+WVE59,"")</f>
        <v/>
      </c>
      <c r="WVF62" s="87" t="str">
        <f>IF(ISNUMBER(outYear),WVF37+WVF42+#REF!+WVF59,"")</f>
        <v/>
      </c>
      <c r="WVG62" s="87" t="str">
        <f>IF(ISNUMBER(outYear),WVG37+WVG42+#REF!+WVG59,"")</f>
        <v/>
      </c>
      <c r="WVH62" s="87" t="str">
        <f>IF(ISNUMBER(outYear),WVH37+WVH42+#REF!+WVH59,"")</f>
        <v/>
      </c>
      <c r="WVI62" s="87" t="str">
        <f>IF(ISNUMBER(outYear),WVI37+WVI42+#REF!+WVI59,"")</f>
        <v/>
      </c>
      <c r="WVJ62" s="87" t="str">
        <f>IF(ISNUMBER(outYear),WVJ37+WVJ42+#REF!+WVJ59,"")</f>
        <v/>
      </c>
      <c r="WVK62" s="87" t="str">
        <f>IF(ISNUMBER(outYear),WVK37+WVK42+#REF!+WVK59,"")</f>
        <v/>
      </c>
      <c r="WVL62" s="87" t="str">
        <f>IF(ISNUMBER(outYear),WVL37+WVL42+#REF!+WVL59,"")</f>
        <v/>
      </c>
      <c r="WVM62" s="87" t="str">
        <f>IF(ISNUMBER(outYear),WVM37+WVM42+#REF!+WVM59,"")</f>
        <v/>
      </c>
      <c r="WVN62" s="87" t="str">
        <f>IF(ISNUMBER(outYear),WVN37+WVN42+#REF!+WVN59,"")</f>
        <v/>
      </c>
      <c r="WVO62" s="87" t="str">
        <f>IF(ISNUMBER(outYear),WVO37+WVO42+#REF!+WVO59,"")</f>
        <v/>
      </c>
      <c r="WVP62" s="87" t="str">
        <f>IF(ISNUMBER(outYear),WVP37+WVP42+#REF!+WVP59,"")</f>
        <v/>
      </c>
      <c r="WVQ62" s="87" t="str">
        <f>IF(ISNUMBER(outYear),WVQ37+WVQ42+#REF!+WVQ59,"")</f>
        <v/>
      </c>
      <c r="WVR62" s="87" t="str">
        <f>IF(ISNUMBER(outYear),WVR37+WVR42+#REF!+WVR59,"")</f>
        <v/>
      </c>
      <c r="WVS62" s="87" t="str">
        <f>IF(ISNUMBER(outYear),WVS37+WVS42+#REF!+WVS59,"")</f>
        <v/>
      </c>
      <c r="WVT62" s="87" t="str">
        <f>IF(ISNUMBER(outYear),WVT37+WVT42+#REF!+WVT59,"")</f>
        <v/>
      </c>
      <c r="WVU62" s="87" t="str">
        <f>IF(ISNUMBER(outYear),WVU37+WVU42+#REF!+WVU59,"")</f>
        <v/>
      </c>
      <c r="WVV62" s="87" t="str">
        <f>IF(ISNUMBER(outYear),WVV37+WVV42+#REF!+WVV59,"")</f>
        <v/>
      </c>
      <c r="WVW62" s="87" t="str">
        <f>IF(ISNUMBER(outYear),WVW37+WVW42+#REF!+WVW59,"")</f>
        <v/>
      </c>
      <c r="WVX62" s="87" t="str">
        <f>IF(ISNUMBER(outYear),WVX37+WVX42+#REF!+WVX59,"")</f>
        <v/>
      </c>
      <c r="WVY62" s="87" t="str">
        <f>IF(ISNUMBER(outYear),WVY37+WVY42+#REF!+WVY59,"")</f>
        <v/>
      </c>
      <c r="WVZ62" s="87" t="str">
        <f>IF(ISNUMBER(outYear),WVZ37+WVZ42+#REF!+WVZ59,"")</f>
        <v/>
      </c>
      <c r="WWA62" s="87" t="str">
        <f>IF(ISNUMBER(outYear),WWA37+WWA42+#REF!+WWA59,"")</f>
        <v/>
      </c>
      <c r="WWB62" s="87" t="str">
        <f>IF(ISNUMBER(outYear),WWB37+WWB42+#REF!+WWB59,"")</f>
        <v/>
      </c>
      <c r="WWC62" s="87" t="str">
        <f>IF(ISNUMBER(outYear),WWC37+WWC42+#REF!+WWC59,"")</f>
        <v/>
      </c>
      <c r="WWD62" s="87" t="str">
        <f>IF(ISNUMBER(outYear),WWD37+WWD42+#REF!+WWD59,"")</f>
        <v/>
      </c>
      <c r="WWE62" s="87" t="str">
        <f>IF(ISNUMBER(outYear),WWE37+WWE42+#REF!+WWE59,"")</f>
        <v/>
      </c>
      <c r="WWF62" s="87" t="str">
        <f>IF(ISNUMBER(outYear),WWF37+WWF42+#REF!+WWF59,"")</f>
        <v/>
      </c>
      <c r="WWG62" s="87" t="str">
        <f>IF(ISNUMBER(outYear),WWG37+WWG42+#REF!+WWG59,"")</f>
        <v/>
      </c>
      <c r="WWH62" s="87" t="str">
        <f>IF(ISNUMBER(outYear),WWH37+WWH42+#REF!+WWH59,"")</f>
        <v/>
      </c>
      <c r="WWI62" s="87" t="str">
        <f>IF(ISNUMBER(outYear),WWI37+WWI42+#REF!+WWI59,"")</f>
        <v/>
      </c>
      <c r="WWJ62" s="87" t="str">
        <f>IF(ISNUMBER(outYear),WWJ37+WWJ42+#REF!+WWJ59,"")</f>
        <v/>
      </c>
      <c r="WWK62" s="87" t="str">
        <f>IF(ISNUMBER(outYear),WWK37+WWK42+#REF!+WWK59,"")</f>
        <v/>
      </c>
      <c r="WWL62" s="87" t="str">
        <f>IF(ISNUMBER(outYear),WWL37+WWL42+#REF!+WWL59,"")</f>
        <v/>
      </c>
      <c r="WWM62" s="87" t="str">
        <f>IF(ISNUMBER(outYear),WWM37+WWM42+#REF!+WWM59,"")</f>
        <v/>
      </c>
      <c r="WWN62" s="87" t="str">
        <f>IF(ISNUMBER(outYear),WWN37+WWN42+#REF!+WWN59,"")</f>
        <v/>
      </c>
      <c r="WWO62" s="87" t="str">
        <f>IF(ISNUMBER(outYear),WWO37+WWO42+#REF!+WWO59,"")</f>
        <v/>
      </c>
      <c r="WWP62" s="87" t="str">
        <f>IF(ISNUMBER(outYear),WWP37+WWP42+#REF!+WWP59,"")</f>
        <v/>
      </c>
      <c r="WWQ62" s="87" t="str">
        <f>IF(ISNUMBER(outYear),WWQ37+WWQ42+#REF!+WWQ59,"")</f>
        <v/>
      </c>
      <c r="WWR62" s="87" t="str">
        <f>IF(ISNUMBER(outYear),WWR37+WWR42+#REF!+WWR59,"")</f>
        <v/>
      </c>
      <c r="WWS62" s="87" t="str">
        <f>IF(ISNUMBER(outYear),WWS37+WWS42+#REF!+WWS59,"")</f>
        <v/>
      </c>
      <c r="WWT62" s="87" t="str">
        <f>IF(ISNUMBER(outYear),WWT37+WWT42+#REF!+WWT59,"")</f>
        <v/>
      </c>
      <c r="WWU62" s="87" t="str">
        <f>IF(ISNUMBER(outYear),WWU37+WWU42+#REF!+WWU59,"")</f>
        <v/>
      </c>
      <c r="WWV62" s="87" t="str">
        <f>IF(ISNUMBER(outYear),WWV37+WWV42+#REF!+WWV59,"")</f>
        <v/>
      </c>
      <c r="WWW62" s="87" t="str">
        <f>IF(ISNUMBER(outYear),WWW37+WWW42+#REF!+WWW59,"")</f>
        <v/>
      </c>
      <c r="WWX62" s="87" t="str">
        <f>IF(ISNUMBER(outYear),WWX37+WWX42+#REF!+WWX59,"")</f>
        <v/>
      </c>
      <c r="WWY62" s="87" t="str">
        <f>IF(ISNUMBER(outYear),WWY37+WWY42+#REF!+WWY59,"")</f>
        <v/>
      </c>
      <c r="WWZ62" s="87" t="str">
        <f>IF(ISNUMBER(outYear),WWZ37+WWZ42+#REF!+WWZ59,"")</f>
        <v/>
      </c>
      <c r="WXA62" s="87" t="str">
        <f>IF(ISNUMBER(outYear),WXA37+WXA42+#REF!+WXA59,"")</f>
        <v/>
      </c>
      <c r="WXB62" s="87" t="str">
        <f>IF(ISNUMBER(outYear),WXB37+WXB42+#REF!+WXB59,"")</f>
        <v/>
      </c>
      <c r="WXC62" s="87" t="str">
        <f>IF(ISNUMBER(outYear),WXC37+WXC42+#REF!+WXC59,"")</f>
        <v/>
      </c>
      <c r="WXD62" s="87" t="str">
        <f>IF(ISNUMBER(outYear),WXD37+WXD42+#REF!+WXD59,"")</f>
        <v/>
      </c>
      <c r="WXE62" s="87" t="str">
        <f>IF(ISNUMBER(outYear),WXE37+WXE42+#REF!+WXE59,"")</f>
        <v/>
      </c>
      <c r="WXF62" s="87" t="str">
        <f>IF(ISNUMBER(outYear),WXF37+WXF42+#REF!+WXF59,"")</f>
        <v/>
      </c>
      <c r="WXG62" s="87" t="str">
        <f>IF(ISNUMBER(outYear),WXG37+WXG42+#REF!+WXG59,"")</f>
        <v/>
      </c>
      <c r="WXH62" s="87" t="str">
        <f>IF(ISNUMBER(outYear),WXH37+WXH42+#REF!+WXH59,"")</f>
        <v/>
      </c>
      <c r="WXI62" s="87" t="str">
        <f>IF(ISNUMBER(outYear),WXI37+WXI42+#REF!+WXI59,"")</f>
        <v/>
      </c>
      <c r="WXJ62" s="87" t="str">
        <f>IF(ISNUMBER(outYear),WXJ37+WXJ42+#REF!+WXJ59,"")</f>
        <v/>
      </c>
      <c r="WXK62" s="87" t="str">
        <f>IF(ISNUMBER(outYear),WXK37+WXK42+#REF!+WXK59,"")</f>
        <v/>
      </c>
      <c r="WXL62" s="87" t="str">
        <f>IF(ISNUMBER(outYear),WXL37+WXL42+#REF!+WXL59,"")</f>
        <v/>
      </c>
      <c r="WXM62" s="87" t="str">
        <f>IF(ISNUMBER(outYear),WXM37+WXM42+#REF!+WXM59,"")</f>
        <v/>
      </c>
      <c r="WXN62" s="87" t="str">
        <f>IF(ISNUMBER(outYear),WXN37+WXN42+#REF!+WXN59,"")</f>
        <v/>
      </c>
      <c r="WXO62" s="87" t="str">
        <f>IF(ISNUMBER(outYear),WXO37+WXO42+#REF!+WXO59,"")</f>
        <v/>
      </c>
      <c r="WXP62" s="87" t="str">
        <f>IF(ISNUMBER(outYear),WXP37+WXP42+#REF!+WXP59,"")</f>
        <v/>
      </c>
      <c r="WXQ62" s="87" t="str">
        <f>IF(ISNUMBER(outYear),WXQ37+WXQ42+#REF!+WXQ59,"")</f>
        <v/>
      </c>
      <c r="WXR62" s="87" t="str">
        <f>IF(ISNUMBER(outYear),WXR37+WXR42+#REF!+WXR59,"")</f>
        <v/>
      </c>
      <c r="WXS62" s="87" t="str">
        <f>IF(ISNUMBER(outYear),WXS37+WXS42+#REF!+WXS59,"")</f>
        <v/>
      </c>
      <c r="WXT62" s="87" t="str">
        <f>IF(ISNUMBER(outYear),WXT37+WXT42+#REF!+WXT59,"")</f>
        <v/>
      </c>
      <c r="WXU62" s="87" t="str">
        <f>IF(ISNUMBER(outYear),WXU37+WXU42+#REF!+WXU59,"")</f>
        <v/>
      </c>
      <c r="WXV62" s="87" t="str">
        <f>IF(ISNUMBER(outYear),WXV37+WXV42+#REF!+WXV59,"")</f>
        <v/>
      </c>
      <c r="WXW62" s="87" t="str">
        <f>IF(ISNUMBER(outYear),WXW37+WXW42+#REF!+WXW59,"")</f>
        <v/>
      </c>
      <c r="WXX62" s="87" t="str">
        <f>IF(ISNUMBER(outYear),WXX37+WXX42+#REF!+WXX59,"")</f>
        <v/>
      </c>
      <c r="WXY62" s="87" t="str">
        <f>IF(ISNUMBER(outYear),WXY37+WXY42+#REF!+WXY59,"")</f>
        <v/>
      </c>
      <c r="WXZ62" s="87" t="str">
        <f>IF(ISNUMBER(outYear),WXZ37+WXZ42+#REF!+WXZ59,"")</f>
        <v/>
      </c>
      <c r="WYA62" s="87" t="str">
        <f>IF(ISNUMBER(outYear),WYA37+WYA42+#REF!+WYA59,"")</f>
        <v/>
      </c>
      <c r="WYB62" s="87" t="str">
        <f>IF(ISNUMBER(outYear),WYB37+WYB42+#REF!+WYB59,"")</f>
        <v/>
      </c>
      <c r="WYC62" s="87" t="str">
        <f>IF(ISNUMBER(outYear),WYC37+WYC42+#REF!+WYC59,"")</f>
        <v/>
      </c>
      <c r="WYD62" s="87" t="str">
        <f>IF(ISNUMBER(outYear),WYD37+WYD42+#REF!+WYD59,"")</f>
        <v/>
      </c>
      <c r="WYE62" s="87" t="str">
        <f>IF(ISNUMBER(outYear),WYE37+WYE42+#REF!+WYE59,"")</f>
        <v/>
      </c>
      <c r="WYF62" s="87" t="str">
        <f>IF(ISNUMBER(outYear),WYF37+WYF42+#REF!+WYF59,"")</f>
        <v/>
      </c>
      <c r="WYG62" s="87" t="str">
        <f>IF(ISNUMBER(outYear),WYG37+WYG42+#REF!+WYG59,"")</f>
        <v/>
      </c>
      <c r="WYH62" s="87" t="str">
        <f>IF(ISNUMBER(outYear),WYH37+WYH42+#REF!+WYH59,"")</f>
        <v/>
      </c>
      <c r="WYI62" s="87" t="str">
        <f>IF(ISNUMBER(outYear),WYI37+WYI42+#REF!+WYI59,"")</f>
        <v/>
      </c>
      <c r="WYJ62" s="87" t="str">
        <f>IF(ISNUMBER(outYear),WYJ37+WYJ42+#REF!+WYJ59,"")</f>
        <v/>
      </c>
      <c r="WYK62" s="87" t="str">
        <f>IF(ISNUMBER(outYear),WYK37+WYK42+#REF!+WYK59,"")</f>
        <v/>
      </c>
      <c r="WYL62" s="87" t="str">
        <f>IF(ISNUMBER(outYear),WYL37+WYL42+#REF!+WYL59,"")</f>
        <v/>
      </c>
      <c r="WYM62" s="87" t="str">
        <f>IF(ISNUMBER(outYear),WYM37+WYM42+#REF!+WYM59,"")</f>
        <v/>
      </c>
      <c r="WYN62" s="87" t="str">
        <f>IF(ISNUMBER(outYear),WYN37+WYN42+#REF!+WYN59,"")</f>
        <v/>
      </c>
      <c r="WYO62" s="87" t="str">
        <f>IF(ISNUMBER(outYear),WYO37+WYO42+#REF!+WYO59,"")</f>
        <v/>
      </c>
      <c r="WYP62" s="87" t="str">
        <f>IF(ISNUMBER(outYear),WYP37+WYP42+#REF!+WYP59,"")</f>
        <v/>
      </c>
      <c r="WYQ62" s="87" t="str">
        <f>IF(ISNUMBER(outYear),WYQ37+WYQ42+#REF!+WYQ59,"")</f>
        <v/>
      </c>
      <c r="WYR62" s="87" t="str">
        <f>IF(ISNUMBER(outYear),WYR37+WYR42+#REF!+WYR59,"")</f>
        <v/>
      </c>
      <c r="WYS62" s="87" t="str">
        <f>IF(ISNUMBER(outYear),WYS37+WYS42+#REF!+WYS59,"")</f>
        <v/>
      </c>
      <c r="WYT62" s="87" t="str">
        <f>IF(ISNUMBER(outYear),WYT37+WYT42+#REF!+WYT59,"")</f>
        <v/>
      </c>
      <c r="WYU62" s="87" t="str">
        <f>IF(ISNUMBER(outYear),WYU37+WYU42+#REF!+WYU59,"")</f>
        <v/>
      </c>
      <c r="WYV62" s="87" t="str">
        <f>IF(ISNUMBER(outYear),WYV37+WYV42+#REF!+WYV59,"")</f>
        <v/>
      </c>
      <c r="WYW62" s="87" t="str">
        <f>IF(ISNUMBER(outYear),WYW37+WYW42+#REF!+WYW59,"")</f>
        <v/>
      </c>
      <c r="WYX62" s="87" t="str">
        <f>IF(ISNUMBER(outYear),WYX37+WYX42+#REF!+WYX59,"")</f>
        <v/>
      </c>
      <c r="WYY62" s="87" t="str">
        <f>IF(ISNUMBER(outYear),WYY37+WYY42+#REF!+WYY59,"")</f>
        <v/>
      </c>
      <c r="WYZ62" s="87" t="str">
        <f>IF(ISNUMBER(outYear),WYZ37+WYZ42+#REF!+WYZ59,"")</f>
        <v/>
      </c>
      <c r="WZA62" s="87" t="str">
        <f>IF(ISNUMBER(outYear),WZA37+WZA42+#REF!+WZA59,"")</f>
        <v/>
      </c>
      <c r="WZB62" s="87" t="str">
        <f>IF(ISNUMBER(outYear),WZB37+WZB42+#REF!+WZB59,"")</f>
        <v/>
      </c>
      <c r="WZC62" s="87" t="str">
        <f>IF(ISNUMBER(outYear),WZC37+WZC42+#REF!+WZC59,"")</f>
        <v/>
      </c>
      <c r="WZD62" s="87" t="str">
        <f>IF(ISNUMBER(outYear),WZD37+WZD42+#REF!+WZD59,"")</f>
        <v/>
      </c>
      <c r="WZE62" s="87" t="str">
        <f>IF(ISNUMBER(outYear),WZE37+WZE42+#REF!+WZE59,"")</f>
        <v/>
      </c>
      <c r="WZF62" s="87" t="str">
        <f>IF(ISNUMBER(outYear),WZF37+WZF42+#REF!+WZF59,"")</f>
        <v/>
      </c>
      <c r="WZG62" s="87" t="str">
        <f>IF(ISNUMBER(outYear),WZG37+WZG42+#REF!+WZG59,"")</f>
        <v/>
      </c>
      <c r="WZH62" s="87" t="str">
        <f>IF(ISNUMBER(outYear),WZH37+WZH42+#REF!+WZH59,"")</f>
        <v/>
      </c>
      <c r="WZI62" s="87" t="str">
        <f>IF(ISNUMBER(outYear),WZI37+WZI42+#REF!+WZI59,"")</f>
        <v/>
      </c>
      <c r="WZJ62" s="87" t="str">
        <f>IF(ISNUMBER(outYear),WZJ37+WZJ42+#REF!+WZJ59,"")</f>
        <v/>
      </c>
      <c r="WZK62" s="87" t="str">
        <f>IF(ISNUMBER(outYear),WZK37+WZK42+#REF!+WZK59,"")</f>
        <v/>
      </c>
      <c r="WZL62" s="87" t="str">
        <f>IF(ISNUMBER(outYear),WZL37+WZL42+#REF!+WZL59,"")</f>
        <v/>
      </c>
      <c r="WZM62" s="87" t="str">
        <f>IF(ISNUMBER(outYear),WZM37+WZM42+#REF!+WZM59,"")</f>
        <v/>
      </c>
      <c r="WZN62" s="87" t="str">
        <f>IF(ISNUMBER(outYear),WZN37+WZN42+#REF!+WZN59,"")</f>
        <v/>
      </c>
      <c r="WZO62" s="87" t="str">
        <f>IF(ISNUMBER(outYear),WZO37+WZO42+#REF!+WZO59,"")</f>
        <v/>
      </c>
      <c r="WZP62" s="87" t="str">
        <f>IF(ISNUMBER(outYear),WZP37+WZP42+#REF!+WZP59,"")</f>
        <v/>
      </c>
      <c r="WZQ62" s="87" t="str">
        <f>IF(ISNUMBER(outYear),WZQ37+WZQ42+#REF!+WZQ59,"")</f>
        <v/>
      </c>
      <c r="WZR62" s="87" t="str">
        <f>IF(ISNUMBER(outYear),WZR37+WZR42+#REF!+WZR59,"")</f>
        <v/>
      </c>
      <c r="WZS62" s="87" t="str">
        <f>IF(ISNUMBER(outYear),WZS37+WZS42+#REF!+WZS59,"")</f>
        <v/>
      </c>
      <c r="WZT62" s="87" t="str">
        <f>IF(ISNUMBER(outYear),WZT37+WZT42+#REF!+WZT59,"")</f>
        <v/>
      </c>
      <c r="WZU62" s="87" t="str">
        <f>IF(ISNUMBER(outYear),WZU37+WZU42+#REF!+WZU59,"")</f>
        <v/>
      </c>
      <c r="WZV62" s="87" t="str">
        <f>IF(ISNUMBER(outYear),WZV37+WZV42+#REF!+WZV59,"")</f>
        <v/>
      </c>
      <c r="WZW62" s="87" t="str">
        <f>IF(ISNUMBER(outYear),WZW37+WZW42+#REF!+WZW59,"")</f>
        <v/>
      </c>
      <c r="WZX62" s="87" t="str">
        <f>IF(ISNUMBER(outYear),WZX37+WZX42+#REF!+WZX59,"")</f>
        <v/>
      </c>
      <c r="WZY62" s="87" t="str">
        <f>IF(ISNUMBER(outYear),WZY37+WZY42+#REF!+WZY59,"")</f>
        <v/>
      </c>
      <c r="WZZ62" s="87" t="str">
        <f>IF(ISNUMBER(outYear),WZZ37+WZZ42+#REF!+WZZ59,"")</f>
        <v/>
      </c>
      <c r="XAA62" s="87" t="str">
        <f>IF(ISNUMBER(outYear),XAA37+XAA42+#REF!+XAA59,"")</f>
        <v/>
      </c>
      <c r="XAB62" s="87" t="str">
        <f>IF(ISNUMBER(outYear),XAB37+XAB42+#REF!+XAB59,"")</f>
        <v/>
      </c>
      <c r="XAC62" s="87" t="str">
        <f>IF(ISNUMBER(outYear),XAC37+XAC42+#REF!+XAC59,"")</f>
        <v/>
      </c>
      <c r="XAD62" s="87" t="str">
        <f>IF(ISNUMBER(outYear),XAD37+XAD42+#REF!+XAD59,"")</f>
        <v/>
      </c>
      <c r="XAE62" s="87" t="str">
        <f>IF(ISNUMBER(outYear),XAE37+XAE42+#REF!+XAE59,"")</f>
        <v/>
      </c>
      <c r="XAF62" s="87" t="str">
        <f>IF(ISNUMBER(outYear),XAF37+XAF42+#REF!+XAF59,"")</f>
        <v/>
      </c>
      <c r="XAG62" s="87" t="str">
        <f>IF(ISNUMBER(outYear),XAG37+XAG42+#REF!+XAG59,"")</f>
        <v/>
      </c>
      <c r="XAH62" s="87" t="str">
        <f>IF(ISNUMBER(outYear),XAH37+XAH42+#REF!+XAH59,"")</f>
        <v/>
      </c>
      <c r="XAI62" s="87" t="str">
        <f>IF(ISNUMBER(outYear),XAI37+XAI42+#REF!+XAI59,"")</f>
        <v/>
      </c>
      <c r="XAJ62" s="87" t="str">
        <f>IF(ISNUMBER(outYear),XAJ37+XAJ42+#REF!+XAJ59,"")</f>
        <v/>
      </c>
      <c r="XAK62" s="87" t="str">
        <f>IF(ISNUMBER(outYear),XAK37+XAK42+#REF!+XAK59,"")</f>
        <v/>
      </c>
      <c r="XAL62" s="87" t="str">
        <f>IF(ISNUMBER(outYear),XAL37+XAL42+#REF!+XAL59,"")</f>
        <v/>
      </c>
      <c r="XAM62" s="87" t="str">
        <f>IF(ISNUMBER(outYear),XAM37+XAM42+#REF!+XAM59,"")</f>
        <v/>
      </c>
      <c r="XAN62" s="87" t="str">
        <f>IF(ISNUMBER(outYear),XAN37+XAN42+#REF!+XAN59,"")</f>
        <v/>
      </c>
      <c r="XAO62" s="87" t="str">
        <f>IF(ISNUMBER(outYear),XAO37+XAO42+#REF!+XAO59,"")</f>
        <v/>
      </c>
      <c r="XAP62" s="87" t="str">
        <f>IF(ISNUMBER(outYear),XAP37+XAP42+#REF!+XAP59,"")</f>
        <v/>
      </c>
      <c r="XAQ62" s="87" t="str">
        <f>IF(ISNUMBER(outYear),XAQ37+XAQ42+#REF!+XAQ59,"")</f>
        <v/>
      </c>
      <c r="XAR62" s="87" t="str">
        <f>IF(ISNUMBER(outYear),XAR37+XAR42+#REF!+XAR59,"")</f>
        <v/>
      </c>
      <c r="XAS62" s="87" t="str">
        <f>IF(ISNUMBER(outYear),XAS37+XAS42+#REF!+XAS59,"")</f>
        <v/>
      </c>
      <c r="XAT62" s="87" t="str">
        <f>IF(ISNUMBER(outYear),XAT37+XAT42+#REF!+XAT59,"")</f>
        <v/>
      </c>
      <c r="XAU62" s="87" t="str">
        <f>IF(ISNUMBER(outYear),XAU37+XAU42+#REF!+XAU59,"")</f>
        <v/>
      </c>
      <c r="XAV62" s="87" t="str">
        <f>IF(ISNUMBER(outYear),XAV37+XAV42+#REF!+XAV59,"")</f>
        <v/>
      </c>
      <c r="XAW62" s="87" t="str">
        <f>IF(ISNUMBER(outYear),XAW37+XAW42+#REF!+XAW59,"")</f>
        <v/>
      </c>
      <c r="XAX62" s="87" t="str">
        <f>IF(ISNUMBER(outYear),XAX37+XAX42+#REF!+XAX59,"")</f>
        <v/>
      </c>
      <c r="XAY62" s="87" t="str">
        <f>IF(ISNUMBER(outYear),XAY37+XAY42+#REF!+XAY59,"")</f>
        <v/>
      </c>
      <c r="XAZ62" s="87" t="str">
        <f>IF(ISNUMBER(outYear),XAZ37+XAZ42+#REF!+XAZ59,"")</f>
        <v/>
      </c>
      <c r="XBA62" s="87" t="str">
        <f>IF(ISNUMBER(outYear),XBA37+XBA42+#REF!+XBA59,"")</f>
        <v/>
      </c>
      <c r="XBB62" s="87" t="str">
        <f>IF(ISNUMBER(outYear),XBB37+XBB42+#REF!+XBB59,"")</f>
        <v/>
      </c>
      <c r="XBC62" s="87" t="str">
        <f>IF(ISNUMBER(outYear),XBC37+XBC42+#REF!+XBC59,"")</f>
        <v/>
      </c>
      <c r="XBD62" s="87" t="str">
        <f>IF(ISNUMBER(outYear),XBD37+XBD42+#REF!+XBD59,"")</f>
        <v/>
      </c>
      <c r="XBE62" s="87" t="str">
        <f>IF(ISNUMBER(outYear),XBE37+XBE42+#REF!+XBE59,"")</f>
        <v/>
      </c>
      <c r="XBF62" s="87" t="str">
        <f>IF(ISNUMBER(outYear),XBF37+XBF42+#REF!+XBF59,"")</f>
        <v/>
      </c>
      <c r="XBG62" s="87" t="str">
        <f>IF(ISNUMBER(outYear),XBG37+XBG42+#REF!+XBG59,"")</f>
        <v/>
      </c>
      <c r="XBH62" s="87" t="str">
        <f>IF(ISNUMBER(outYear),XBH37+XBH42+#REF!+XBH59,"")</f>
        <v/>
      </c>
      <c r="XBI62" s="87" t="str">
        <f>IF(ISNUMBER(outYear),XBI37+XBI42+#REF!+XBI59,"")</f>
        <v/>
      </c>
      <c r="XBJ62" s="87" t="str">
        <f>IF(ISNUMBER(outYear),XBJ37+XBJ42+#REF!+XBJ59,"")</f>
        <v/>
      </c>
      <c r="XBK62" s="87" t="str">
        <f>IF(ISNUMBER(outYear),XBK37+XBK42+#REF!+XBK59,"")</f>
        <v/>
      </c>
      <c r="XBL62" s="87" t="str">
        <f>IF(ISNUMBER(outYear),XBL37+XBL42+#REF!+XBL59,"")</f>
        <v/>
      </c>
      <c r="XBM62" s="87" t="str">
        <f>IF(ISNUMBER(outYear),XBM37+XBM42+#REF!+XBM59,"")</f>
        <v/>
      </c>
      <c r="XBN62" s="87" t="str">
        <f>IF(ISNUMBER(outYear),XBN37+XBN42+#REF!+XBN59,"")</f>
        <v/>
      </c>
      <c r="XBO62" s="87" t="str">
        <f>IF(ISNUMBER(outYear),XBO37+XBO42+#REF!+XBO59,"")</f>
        <v/>
      </c>
      <c r="XBP62" s="87" t="str">
        <f>IF(ISNUMBER(outYear),XBP37+XBP42+#REF!+XBP59,"")</f>
        <v/>
      </c>
      <c r="XBQ62" s="87" t="str">
        <f>IF(ISNUMBER(outYear),XBQ37+XBQ42+#REF!+XBQ59,"")</f>
        <v/>
      </c>
      <c r="XBR62" s="87" t="str">
        <f>IF(ISNUMBER(outYear),XBR37+XBR42+#REF!+XBR59,"")</f>
        <v/>
      </c>
      <c r="XBS62" s="87" t="str">
        <f>IF(ISNUMBER(outYear),XBS37+XBS42+#REF!+XBS59,"")</f>
        <v/>
      </c>
      <c r="XBT62" s="87" t="str">
        <f>IF(ISNUMBER(outYear),XBT37+XBT42+#REF!+XBT59,"")</f>
        <v/>
      </c>
      <c r="XBU62" s="87" t="str">
        <f>IF(ISNUMBER(outYear),XBU37+XBU42+#REF!+XBU59,"")</f>
        <v/>
      </c>
      <c r="XBV62" s="87" t="str">
        <f>IF(ISNUMBER(outYear),XBV37+XBV42+#REF!+XBV59,"")</f>
        <v/>
      </c>
      <c r="XBW62" s="87" t="str">
        <f>IF(ISNUMBER(outYear),XBW37+XBW42+#REF!+XBW59,"")</f>
        <v/>
      </c>
      <c r="XBX62" s="87" t="str">
        <f>IF(ISNUMBER(outYear),XBX37+XBX42+#REF!+XBX59,"")</f>
        <v/>
      </c>
      <c r="XBY62" s="87" t="str">
        <f>IF(ISNUMBER(outYear),XBY37+XBY42+#REF!+XBY59,"")</f>
        <v/>
      </c>
      <c r="XBZ62" s="87" t="str">
        <f>IF(ISNUMBER(outYear),XBZ37+XBZ42+#REF!+XBZ59,"")</f>
        <v/>
      </c>
      <c r="XCA62" s="87" t="str">
        <f>IF(ISNUMBER(outYear),XCA37+XCA42+#REF!+XCA59,"")</f>
        <v/>
      </c>
      <c r="XCB62" s="87" t="str">
        <f>IF(ISNUMBER(outYear),XCB37+XCB42+#REF!+XCB59,"")</f>
        <v/>
      </c>
      <c r="XCC62" s="87" t="str">
        <f>IF(ISNUMBER(outYear),XCC37+XCC42+#REF!+XCC59,"")</f>
        <v/>
      </c>
      <c r="XCD62" s="87" t="str">
        <f>IF(ISNUMBER(outYear),XCD37+XCD42+#REF!+XCD59,"")</f>
        <v/>
      </c>
      <c r="XCE62" s="87" t="str">
        <f>IF(ISNUMBER(outYear),XCE37+XCE42+#REF!+XCE59,"")</f>
        <v/>
      </c>
      <c r="XCF62" s="87" t="str">
        <f>IF(ISNUMBER(outYear),XCF37+XCF42+#REF!+XCF59,"")</f>
        <v/>
      </c>
      <c r="XCG62" s="87" t="str">
        <f>IF(ISNUMBER(outYear),XCG37+XCG42+#REF!+XCG59,"")</f>
        <v/>
      </c>
      <c r="XCH62" s="87" t="str">
        <f>IF(ISNUMBER(outYear),XCH37+XCH42+#REF!+XCH59,"")</f>
        <v/>
      </c>
      <c r="XCI62" s="87" t="str">
        <f>IF(ISNUMBER(outYear),XCI37+XCI42+#REF!+XCI59,"")</f>
        <v/>
      </c>
      <c r="XCJ62" s="87" t="str">
        <f>IF(ISNUMBER(outYear),XCJ37+XCJ42+#REF!+XCJ59,"")</f>
        <v/>
      </c>
      <c r="XCK62" s="87" t="str">
        <f>IF(ISNUMBER(outYear),XCK37+XCK42+#REF!+XCK59,"")</f>
        <v/>
      </c>
      <c r="XCL62" s="87" t="str">
        <f>IF(ISNUMBER(outYear),XCL37+XCL42+#REF!+XCL59,"")</f>
        <v/>
      </c>
      <c r="XCM62" s="87" t="str">
        <f>IF(ISNUMBER(outYear),XCM37+XCM42+#REF!+XCM59,"")</f>
        <v/>
      </c>
      <c r="XCN62" s="87" t="str">
        <f>IF(ISNUMBER(outYear),XCN37+XCN42+#REF!+XCN59,"")</f>
        <v/>
      </c>
      <c r="XCO62" s="87" t="str">
        <f>IF(ISNUMBER(outYear),XCO37+XCO42+#REF!+XCO59,"")</f>
        <v/>
      </c>
      <c r="XCP62" s="87" t="str">
        <f>IF(ISNUMBER(outYear),XCP37+XCP42+#REF!+XCP59,"")</f>
        <v/>
      </c>
      <c r="XCQ62" s="87" t="str">
        <f>IF(ISNUMBER(outYear),XCQ37+XCQ42+#REF!+XCQ59,"")</f>
        <v/>
      </c>
      <c r="XCR62" s="87" t="str">
        <f>IF(ISNUMBER(outYear),XCR37+XCR42+#REF!+XCR59,"")</f>
        <v/>
      </c>
      <c r="XCS62" s="87" t="str">
        <f>IF(ISNUMBER(outYear),XCS37+XCS42+#REF!+XCS59,"")</f>
        <v/>
      </c>
      <c r="XCT62" s="87" t="str">
        <f>IF(ISNUMBER(outYear),XCT37+XCT42+#REF!+XCT59,"")</f>
        <v/>
      </c>
      <c r="XCU62" s="87" t="str">
        <f>IF(ISNUMBER(outYear),XCU37+XCU42+#REF!+XCU59,"")</f>
        <v/>
      </c>
      <c r="XCV62" s="87" t="str">
        <f>IF(ISNUMBER(outYear),XCV37+XCV42+#REF!+XCV59,"")</f>
        <v/>
      </c>
      <c r="XCW62" s="87" t="str">
        <f>IF(ISNUMBER(outYear),XCW37+XCW42+#REF!+XCW59,"")</f>
        <v/>
      </c>
      <c r="XCX62" s="87" t="str">
        <f>IF(ISNUMBER(outYear),XCX37+XCX42+#REF!+XCX59,"")</f>
        <v/>
      </c>
      <c r="XCY62" s="87" t="str">
        <f>IF(ISNUMBER(outYear),XCY37+XCY42+#REF!+XCY59,"")</f>
        <v/>
      </c>
      <c r="XCZ62" s="87" t="str">
        <f>IF(ISNUMBER(outYear),XCZ37+XCZ42+#REF!+XCZ59,"")</f>
        <v/>
      </c>
      <c r="XDA62" s="87" t="str">
        <f>IF(ISNUMBER(outYear),XDA37+XDA42+#REF!+XDA59,"")</f>
        <v/>
      </c>
      <c r="XDB62" s="87" t="str">
        <f>IF(ISNUMBER(outYear),XDB37+XDB42+#REF!+XDB59,"")</f>
        <v/>
      </c>
      <c r="XDC62" s="87" t="str">
        <f>IF(ISNUMBER(outYear),XDC37+XDC42+#REF!+XDC59,"")</f>
        <v/>
      </c>
      <c r="XDD62" s="87" t="str">
        <f>IF(ISNUMBER(outYear),XDD37+XDD42+#REF!+XDD59,"")</f>
        <v/>
      </c>
      <c r="XDE62" s="87" t="str">
        <f>IF(ISNUMBER(outYear),XDE37+XDE42+#REF!+XDE59,"")</f>
        <v/>
      </c>
      <c r="XDF62" s="87" t="str">
        <f>IF(ISNUMBER(outYear),XDF37+XDF42+#REF!+XDF59,"")</f>
        <v/>
      </c>
      <c r="XDG62" s="87" t="str">
        <f>IF(ISNUMBER(outYear),XDG37+XDG42+#REF!+XDG59,"")</f>
        <v/>
      </c>
      <c r="XDH62" s="87" t="str">
        <f>IF(ISNUMBER(outYear),XDH37+XDH42+#REF!+XDH59,"")</f>
        <v/>
      </c>
      <c r="XDI62" s="87" t="str">
        <f>IF(ISNUMBER(outYear),XDI37+XDI42+#REF!+XDI59,"")</f>
        <v/>
      </c>
      <c r="XDJ62" s="87" t="str">
        <f>IF(ISNUMBER(outYear),XDJ37+XDJ42+#REF!+XDJ59,"")</f>
        <v/>
      </c>
      <c r="XDK62" s="87" t="str">
        <f>IF(ISNUMBER(outYear),XDK37+XDK42+#REF!+XDK59,"")</f>
        <v/>
      </c>
      <c r="XDL62" s="87" t="str">
        <f>IF(ISNUMBER(outYear),XDL37+XDL42+#REF!+XDL59,"")</f>
        <v/>
      </c>
      <c r="XDM62" s="87" t="str">
        <f>IF(ISNUMBER(outYear),XDM37+XDM42+#REF!+XDM59,"")</f>
        <v/>
      </c>
      <c r="XDN62" s="87" t="str">
        <f>IF(ISNUMBER(outYear),XDN37+XDN42+#REF!+XDN59,"")</f>
        <v/>
      </c>
      <c r="XDO62" s="87" t="str">
        <f>IF(ISNUMBER(outYear),XDO37+XDO42+#REF!+XDO59,"")</f>
        <v/>
      </c>
      <c r="XDP62" s="87" t="str">
        <f>IF(ISNUMBER(outYear),XDP37+XDP42+#REF!+XDP59,"")</f>
        <v/>
      </c>
      <c r="XDQ62" s="87" t="str">
        <f>IF(ISNUMBER(outYear),XDQ37+XDQ42+#REF!+XDQ59,"")</f>
        <v/>
      </c>
      <c r="XDR62" s="87" t="str">
        <f>IF(ISNUMBER(outYear),XDR37+XDR42+#REF!+XDR59,"")</f>
        <v/>
      </c>
      <c r="XDS62" s="87" t="str">
        <f>IF(ISNUMBER(outYear),XDS37+XDS42+#REF!+XDS59,"")</f>
        <v/>
      </c>
      <c r="XDT62" s="87" t="str">
        <f>IF(ISNUMBER(outYear),XDT37+XDT42+#REF!+XDT59,"")</f>
        <v/>
      </c>
      <c r="XDU62" s="87" t="str">
        <f>IF(ISNUMBER(outYear),XDU37+XDU42+#REF!+XDU59,"")</f>
        <v/>
      </c>
      <c r="XDV62" s="87" t="str">
        <f>IF(ISNUMBER(outYear),XDV37+XDV42+#REF!+XDV59,"")</f>
        <v/>
      </c>
      <c r="XDW62" s="87" t="str">
        <f>IF(ISNUMBER(outYear),XDW37+XDW42+#REF!+XDW59,"")</f>
        <v/>
      </c>
      <c r="XDX62" s="87" t="str">
        <f>IF(ISNUMBER(outYear),XDX37+XDX42+#REF!+XDX59,"")</f>
        <v/>
      </c>
      <c r="XDY62" s="87" t="str">
        <f>IF(ISNUMBER(outYear),XDY37+XDY42+#REF!+XDY59,"")</f>
        <v/>
      </c>
      <c r="XDZ62" s="87" t="str">
        <f>IF(ISNUMBER(outYear),XDZ37+XDZ42+#REF!+XDZ59,"")</f>
        <v/>
      </c>
      <c r="XEA62" s="87" t="str">
        <f>IF(ISNUMBER(outYear),XEA37+XEA42+#REF!+XEA59,"")</f>
        <v/>
      </c>
      <c r="XEB62" s="87" t="str">
        <f>IF(ISNUMBER(outYear),XEB37+XEB42+#REF!+XEB59,"")</f>
        <v/>
      </c>
      <c r="XEC62" s="87" t="str">
        <f>IF(ISNUMBER(outYear),XEC37+XEC42+#REF!+XEC59,"")</f>
        <v/>
      </c>
      <c r="XED62" s="87" t="str">
        <f>IF(ISNUMBER(outYear),XED37+XED42+#REF!+XED59,"")</f>
        <v/>
      </c>
      <c r="XEE62" s="87" t="str">
        <f>IF(ISNUMBER(outYear),XEE37+XEE42+#REF!+XEE59,"")</f>
        <v/>
      </c>
      <c r="XEF62" s="87" t="str">
        <f>IF(ISNUMBER(outYear),XEF37+XEF42+#REF!+XEF59,"")</f>
        <v/>
      </c>
      <c r="XEG62" s="87" t="str">
        <f>IF(ISNUMBER(outYear),XEG37+XEG42+#REF!+XEG59,"")</f>
        <v/>
      </c>
      <c r="XEH62" s="87" t="str">
        <f>IF(ISNUMBER(outYear),XEH37+XEH42+#REF!+XEH59,"")</f>
        <v/>
      </c>
      <c r="XEI62" s="87" t="str">
        <f>IF(ISNUMBER(outYear),XEI37+XEI42+#REF!+XEI59,"")</f>
        <v/>
      </c>
      <c r="XEJ62" s="87" t="str">
        <f>IF(ISNUMBER(outYear),XEJ37+XEJ42+#REF!+XEJ59,"")</f>
        <v/>
      </c>
      <c r="XEK62" s="87" t="str">
        <f>IF(ISNUMBER(outYear),XEK37+XEK42+#REF!+XEK59,"")</f>
        <v/>
      </c>
      <c r="XEL62" s="87" t="str">
        <f>IF(ISNUMBER(outYear),XEL37+XEL42+#REF!+XEL59,"")</f>
        <v/>
      </c>
      <c r="XEM62" s="87" t="str">
        <f>IF(ISNUMBER(outYear),XEM37+XEM42+#REF!+XEM59,"")</f>
        <v/>
      </c>
      <c r="XEN62" s="87" t="str">
        <f>IF(ISNUMBER(outYear),XEN37+XEN42+#REF!+XEN59,"")</f>
        <v/>
      </c>
      <c r="XEO62" s="87" t="str">
        <f>IF(ISNUMBER(outYear),XEO37+XEO42+#REF!+XEO59,"")</f>
        <v/>
      </c>
      <c r="XEP62" s="87" t="str">
        <f>IF(ISNUMBER(outYear),XEP37+XEP42+#REF!+XEP59,"")</f>
        <v/>
      </c>
      <c r="XEQ62" s="87" t="str">
        <f>IF(ISNUMBER(outYear),XEQ37+XEQ42+#REF!+XEQ59,"")</f>
        <v/>
      </c>
      <c r="XER62" s="87" t="str">
        <f>IF(ISNUMBER(outYear),XER37+XER42+#REF!+XER59,"")</f>
        <v/>
      </c>
      <c r="XES62" s="87" t="str">
        <f>IF(ISNUMBER(outYear),XES37+XES42+#REF!+XES59,"")</f>
        <v/>
      </c>
      <c r="XET62" s="87" t="str">
        <f>IF(ISNUMBER(outYear),XET37+XET42+#REF!+XET59,"")</f>
        <v/>
      </c>
      <c r="XEU62" s="87" t="str">
        <f>IF(ISNUMBER(outYear),XEU37+XEU42+#REF!+XEU59,"")</f>
        <v/>
      </c>
      <c r="XEV62" s="87" t="str">
        <f>IF(ISNUMBER(outYear),XEV37+XEV42+#REF!+XEV59,"")</f>
        <v/>
      </c>
      <c r="XEW62" s="87" t="str">
        <f>IF(ISNUMBER(outYear),XEW37+XEW42+#REF!+XEW59,"")</f>
        <v/>
      </c>
      <c r="XEX62" s="87" t="str">
        <f>IF(ISNUMBER(outYear),XEX37+XEX42+#REF!+XEX59,"")</f>
        <v/>
      </c>
      <c r="XEY62" s="87" t="str">
        <f>IF(ISNUMBER(outYear),XEY37+XEY42+#REF!+XEY59,"")</f>
        <v/>
      </c>
      <c r="XEZ62" s="87" t="str">
        <f>IF(ISNUMBER(outYear),XEZ37+XEZ42+#REF!+XEZ59,"")</f>
        <v/>
      </c>
      <c r="XFA62" s="87" t="str">
        <f>IF(ISNUMBER(outYear),XFA37+XFA42+#REF!+XFA59,"")</f>
        <v/>
      </c>
      <c r="XFB62" s="87" t="str">
        <f>IF(ISNUMBER(outYear),XFB37+XFB42+#REF!+XFB59,"")</f>
        <v/>
      </c>
      <c r="XFC62" s="87" t="str">
        <f>IF(ISNUMBER(outYear),XFC37+XFC42+#REF!+XFC59,"")</f>
        <v/>
      </c>
      <c r="XFD62" s="87" t="str">
        <f>IF(ISNUMBER(outYear),XFD37+XFD42+#REF!+XFD59,"")</f>
        <v/>
      </c>
    </row>
    <row r="63" spans="1:16384" s="88" customFormat="1" x14ac:dyDescent="0.2">
      <c r="A63" s="61" t="s">
        <v>34</v>
      </c>
      <c r="B63" s="86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  <c r="AL63" s="87"/>
      <c r="AM63" s="87"/>
      <c r="AN63" s="87"/>
      <c r="AO63" s="87"/>
      <c r="AP63" s="87"/>
      <c r="AQ63" s="87"/>
      <c r="AR63" s="87"/>
      <c r="AS63" s="87"/>
      <c r="AT63" s="87"/>
      <c r="AU63" s="87"/>
      <c r="AV63" s="87"/>
      <c r="AW63" s="87"/>
      <c r="AX63" s="87"/>
      <c r="AY63" s="87"/>
      <c r="AZ63" s="87"/>
      <c r="BA63" s="87"/>
      <c r="BB63" s="87"/>
      <c r="BC63" s="87"/>
      <c r="BD63" s="87"/>
      <c r="BE63" s="87"/>
      <c r="BF63" s="87"/>
      <c r="BG63" s="87"/>
      <c r="BH63" s="87"/>
      <c r="BI63" s="87"/>
      <c r="BJ63" s="87"/>
      <c r="BK63" s="87"/>
      <c r="BL63" s="87"/>
      <c r="BM63" s="87"/>
      <c r="BN63" s="87"/>
      <c r="BO63" s="87"/>
      <c r="BP63" s="87"/>
      <c r="BQ63" s="87"/>
      <c r="BR63" s="87"/>
      <c r="BS63" s="87"/>
      <c r="BT63" s="87"/>
      <c r="BU63" s="87"/>
      <c r="BV63" s="87"/>
      <c r="BW63" s="87"/>
      <c r="BX63" s="87"/>
      <c r="BY63" s="87"/>
      <c r="BZ63" s="87"/>
      <c r="CA63" s="87"/>
      <c r="CB63" s="87"/>
      <c r="CC63" s="87"/>
      <c r="CD63" s="87"/>
      <c r="CE63" s="87"/>
      <c r="CF63" s="87"/>
      <c r="CG63" s="87"/>
      <c r="CH63" s="87"/>
      <c r="CI63" s="87"/>
      <c r="CJ63" s="87"/>
      <c r="CK63" s="87"/>
      <c r="CL63" s="87"/>
      <c r="CM63" s="87"/>
      <c r="CN63" s="87"/>
      <c r="CO63" s="87"/>
      <c r="CP63" s="87"/>
      <c r="CQ63" s="87"/>
      <c r="CR63" s="87"/>
      <c r="CS63" s="87"/>
      <c r="CT63" s="87"/>
      <c r="CU63" s="87"/>
      <c r="CV63" s="87"/>
      <c r="CW63" s="87"/>
      <c r="CX63" s="87"/>
    </row>
    <row r="64" spans="1:16384" s="88" customFormat="1" x14ac:dyDescent="0.2">
      <c r="A64" s="67" t="s">
        <v>37</v>
      </c>
      <c r="B64" s="86"/>
      <c r="C64" s="87">
        <f>C18</f>
        <v>4391.72</v>
      </c>
      <c r="D64" s="87">
        <f t="shared" ref="D64:BO64" si="47">D18</f>
        <v>4479.5544</v>
      </c>
      <c r="E64" s="87">
        <f t="shared" si="47"/>
        <v>4569.1454880000001</v>
      </c>
      <c r="F64" s="87">
        <f t="shared" si="47"/>
        <v>4660.5283977600002</v>
      </c>
      <c r="G64" s="87">
        <f t="shared" si="47"/>
        <v>4753.7389657151998</v>
      </c>
      <c r="H64" s="87">
        <f t="shared" si="47"/>
        <v>4848.8137450295044</v>
      </c>
      <c r="I64" s="87">
        <f t="shared" si="47"/>
        <v>4945.7900199300948</v>
      </c>
      <c r="J64" s="87">
        <f t="shared" si="47"/>
        <v>5044.7058203286961</v>
      </c>
      <c r="K64" s="87">
        <f t="shared" si="47"/>
        <v>5145.5999367352697</v>
      </c>
      <c r="L64" s="87">
        <f t="shared" si="47"/>
        <v>94880.454582143284</v>
      </c>
      <c r="M64" s="87">
        <f t="shared" si="47"/>
        <v>5353.4821741793758</v>
      </c>
      <c r="N64" s="87">
        <f t="shared" si="47"/>
        <v>5460.5518176629621</v>
      </c>
      <c r="O64" s="87">
        <f t="shared" si="47"/>
        <v>5569.7628540162214</v>
      </c>
      <c r="P64" s="87">
        <f t="shared" si="47"/>
        <v>5681.1581110965462</v>
      </c>
      <c r="Q64" s="87">
        <f t="shared" si="47"/>
        <v>5794.7812733184765</v>
      </c>
      <c r="R64" s="87">
        <f t="shared" si="47"/>
        <v>5910.6768987848445</v>
      </c>
      <c r="S64" s="87">
        <f t="shared" si="47"/>
        <v>6028.8904367605428</v>
      </c>
      <c r="T64" s="87">
        <f t="shared" si="47"/>
        <v>6149.4682454957547</v>
      </c>
      <c r="U64" s="87">
        <f t="shared" si="47"/>
        <v>6272.4576104056687</v>
      </c>
      <c r="V64" s="87">
        <f t="shared" si="47"/>
        <v>6397.9067626137821</v>
      </c>
      <c r="W64" s="87">
        <f t="shared" si="47"/>
        <v>6525.8648978660585</v>
      </c>
      <c r="X64" s="87">
        <f t="shared" si="47"/>
        <v>6656.3821958233793</v>
      </c>
      <c r="Y64" s="87">
        <f t="shared" si="47"/>
        <v>6789.5098397398469</v>
      </c>
      <c r="Z64" s="87">
        <f t="shared" si="47"/>
        <v>6925.3000365346425</v>
      </c>
      <c r="AA64" s="87">
        <f t="shared" si="47"/>
        <v>7063.8060372653363</v>
      </c>
      <c r="AB64" s="87" t="str">
        <f t="shared" si="47"/>
        <v/>
      </c>
      <c r="AC64" s="87" t="str">
        <f t="shared" si="47"/>
        <v/>
      </c>
      <c r="AD64" s="87" t="str">
        <f t="shared" si="47"/>
        <v/>
      </c>
      <c r="AE64" s="87" t="str">
        <f t="shared" si="47"/>
        <v/>
      </c>
      <c r="AF64" s="87" t="str">
        <f t="shared" si="47"/>
        <v/>
      </c>
      <c r="AG64" s="87" t="str">
        <f t="shared" si="47"/>
        <v/>
      </c>
      <c r="AH64" s="87" t="str">
        <f t="shared" si="47"/>
        <v/>
      </c>
      <c r="AI64" s="87" t="str">
        <f t="shared" si="47"/>
        <v/>
      </c>
      <c r="AJ64" s="87" t="str">
        <f t="shared" si="47"/>
        <v/>
      </c>
      <c r="AK64" s="87" t="str">
        <f t="shared" si="47"/>
        <v/>
      </c>
      <c r="AL64" s="87" t="str">
        <f t="shared" si="47"/>
        <v/>
      </c>
      <c r="AM64" s="87" t="str">
        <f t="shared" si="47"/>
        <v/>
      </c>
      <c r="AN64" s="87" t="str">
        <f t="shared" si="47"/>
        <v/>
      </c>
      <c r="AO64" s="87" t="str">
        <f t="shared" si="47"/>
        <v/>
      </c>
      <c r="AP64" s="87" t="str">
        <f t="shared" si="47"/>
        <v/>
      </c>
      <c r="AQ64" s="87" t="str">
        <f t="shared" si="47"/>
        <v/>
      </c>
      <c r="AR64" s="87" t="str">
        <f t="shared" si="47"/>
        <v/>
      </c>
      <c r="AS64" s="87" t="str">
        <f t="shared" si="47"/>
        <v/>
      </c>
      <c r="AT64" s="87" t="str">
        <f t="shared" si="47"/>
        <v/>
      </c>
      <c r="AU64" s="87" t="str">
        <f t="shared" si="47"/>
        <v/>
      </c>
      <c r="AV64" s="87" t="str">
        <f t="shared" si="47"/>
        <v/>
      </c>
      <c r="AW64" s="87" t="str">
        <f t="shared" si="47"/>
        <v/>
      </c>
      <c r="AX64" s="87" t="str">
        <f t="shared" si="47"/>
        <v/>
      </c>
      <c r="AY64" s="87" t="str">
        <f t="shared" si="47"/>
        <v/>
      </c>
      <c r="AZ64" s="87" t="str">
        <f t="shared" si="47"/>
        <v/>
      </c>
      <c r="BA64" s="87" t="str">
        <f t="shared" si="47"/>
        <v/>
      </c>
      <c r="BB64" s="87" t="str">
        <f t="shared" si="47"/>
        <v/>
      </c>
      <c r="BC64" s="87" t="str">
        <f t="shared" si="47"/>
        <v/>
      </c>
      <c r="BD64" s="87" t="str">
        <f t="shared" si="47"/>
        <v/>
      </c>
      <c r="BE64" s="87" t="str">
        <f t="shared" si="47"/>
        <v/>
      </c>
      <c r="BF64" s="87" t="str">
        <f t="shared" si="47"/>
        <v/>
      </c>
      <c r="BG64" s="87" t="str">
        <f t="shared" si="47"/>
        <v/>
      </c>
      <c r="BH64" s="87" t="str">
        <f t="shared" si="47"/>
        <v/>
      </c>
      <c r="BI64" s="87" t="str">
        <f t="shared" si="47"/>
        <v/>
      </c>
      <c r="BJ64" s="87" t="str">
        <f t="shared" si="47"/>
        <v/>
      </c>
      <c r="BK64" s="87" t="str">
        <f t="shared" si="47"/>
        <v/>
      </c>
      <c r="BL64" s="87" t="str">
        <f t="shared" si="47"/>
        <v/>
      </c>
      <c r="BM64" s="87" t="str">
        <f t="shared" si="47"/>
        <v/>
      </c>
      <c r="BN64" s="87" t="str">
        <f t="shared" si="47"/>
        <v/>
      </c>
      <c r="BO64" s="87" t="str">
        <f t="shared" si="47"/>
        <v/>
      </c>
      <c r="BP64" s="87" t="str">
        <f t="shared" ref="BP64:BV64" si="48">BP18</f>
        <v/>
      </c>
      <c r="BQ64" s="87" t="str">
        <f t="shared" si="48"/>
        <v/>
      </c>
      <c r="BR64" s="87" t="str">
        <f t="shared" si="48"/>
        <v/>
      </c>
      <c r="BS64" s="87" t="str">
        <f t="shared" si="48"/>
        <v/>
      </c>
      <c r="BT64" s="87" t="str">
        <f t="shared" si="48"/>
        <v/>
      </c>
      <c r="BU64" s="87" t="str">
        <f t="shared" si="48"/>
        <v/>
      </c>
      <c r="BV64" s="87" t="str">
        <f t="shared" si="48"/>
        <v/>
      </c>
      <c r="BW64" s="87" t="e">
        <f>#REF!</f>
        <v>#REF!</v>
      </c>
      <c r="BX64" s="87" t="e">
        <f>#REF!</f>
        <v>#REF!</v>
      </c>
      <c r="BY64" s="87" t="e">
        <f>#REF!</f>
        <v>#REF!</v>
      </c>
      <c r="BZ64" s="87" t="e">
        <f>#REF!</f>
        <v>#REF!</v>
      </c>
      <c r="CA64" s="87" t="e">
        <f>#REF!</f>
        <v>#REF!</v>
      </c>
      <c r="CB64" s="87" t="e">
        <f>#REF!</f>
        <v>#REF!</v>
      </c>
      <c r="CC64" s="87" t="e">
        <f>#REF!</f>
        <v>#REF!</v>
      </c>
      <c r="CD64" s="87" t="e">
        <f>#REF!</f>
        <v>#REF!</v>
      </c>
      <c r="CE64" s="87" t="e">
        <f>#REF!</f>
        <v>#REF!</v>
      </c>
      <c r="CF64" s="87" t="e">
        <f>#REF!</f>
        <v>#REF!</v>
      </c>
      <c r="CG64" s="87" t="e">
        <f>#REF!</f>
        <v>#REF!</v>
      </c>
      <c r="CH64" s="87" t="e">
        <f>#REF!</f>
        <v>#REF!</v>
      </c>
      <c r="CI64" s="87" t="e">
        <f>#REF!</f>
        <v>#REF!</v>
      </c>
      <c r="CJ64" s="87" t="e">
        <f>#REF!</f>
        <v>#REF!</v>
      </c>
      <c r="CK64" s="87" t="e">
        <f>#REF!</f>
        <v>#REF!</v>
      </c>
      <c r="CL64" s="87" t="e">
        <f>#REF!</f>
        <v>#REF!</v>
      </c>
      <c r="CM64" s="87" t="e">
        <f>#REF!</f>
        <v>#REF!</v>
      </c>
      <c r="CN64" s="87" t="e">
        <f>#REF!</f>
        <v>#REF!</v>
      </c>
      <c r="CO64" s="87" t="e">
        <f>#REF!</f>
        <v>#REF!</v>
      </c>
      <c r="CP64" s="87" t="e">
        <f>#REF!</f>
        <v>#REF!</v>
      </c>
      <c r="CQ64" s="87" t="e">
        <f>#REF!</f>
        <v>#REF!</v>
      </c>
      <c r="CR64" s="87" t="e">
        <f>#REF!</f>
        <v>#REF!</v>
      </c>
      <c r="CS64" s="87" t="e">
        <f>#REF!</f>
        <v>#REF!</v>
      </c>
      <c r="CT64" s="87" t="e">
        <f>#REF!</f>
        <v>#REF!</v>
      </c>
      <c r="CU64" s="87" t="e">
        <f>#REF!</f>
        <v>#REF!</v>
      </c>
      <c r="CV64" s="87" t="e">
        <f>#REF!</f>
        <v>#REF!</v>
      </c>
      <c r="CW64" s="87" t="e">
        <f>#REF!</f>
        <v>#REF!</v>
      </c>
      <c r="CX64" s="87" t="e">
        <f>#REF!</f>
        <v>#REF!</v>
      </c>
    </row>
    <row r="65" spans="1:255" s="88" customFormat="1" x14ac:dyDescent="0.2">
      <c r="A65" s="67" t="s">
        <v>26</v>
      </c>
      <c r="B65" s="86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  <c r="AL65" s="87"/>
      <c r="AM65" s="87"/>
      <c r="AN65" s="87"/>
      <c r="AO65" s="87"/>
      <c r="AP65" s="87"/>
      <c r="AQ65" s="87"/>
      <c r="AR65" s="87"/>
      <c r="AS65" s="87"/>
      <c r="AT65" s="87"/>
      <c r="AU65" s="87"/>
      <c r="AV65" s="87"/>
      <c r="AW65" s="87"/>
      <c r="AX65" s="87"/>
      <c r="AY65" s="87"/>
      <c r="AZ65" s="87"/>
      <c r="BA65" s="87"/>
      <c r="BB65" s="87"/>
      <c r="BC65" s="87"/>
      <c r="BD65" s="87"/>
      <c r="BE65" s="87"/>
      <c r="BF65" s="87"/>
      <c r="BG65" s="87"/>
      <c r="BH65" s="87"/>
      <c r="BI65" s="87"/>
      <c r="BJ65" s="87"/>
      <c r="BK65" s="87"/>
      <c r="BL65" s="87"/>
      <c r="BM65" s="87"/>
      <c r="BN65" s="87"/>
      <c r="BO65" s="87"/>
      <c r="BP65" s="87"/>
      <c r="BQ65" s="87"/>
      <c r="BR65" s="87"/>
      <c r="BS65" s="87"/>
      <c r="BT65" s="87"/>
      <c r="BU65" s="87"/>
      <c r="BV65" s="87"/>
      <c r="BW65" s="87"/>
      <c r="BX65" s="87"/>
      <c r="BY65" s="87"/>
      <c r="BZ65" s="87"/>
      <c r="CA65" s="87"/>
      <c r="CB65" s="87"/>
      <c r="CC65" s="87"/>
      <c r="CD65" s="87"/>
      <c r="CE65" s="87"/>
      <c r="CF65" s="87"/>
      <c r="CG65" s="87"/>
      <c r="CH65" s="87"/>
      <c r="CI65" s="87"/>
      <c r="CJ65" s="87"/>
      <c r="CK65" s="87"/>
      <c r="CL65" s="87"/>
      <c r="CM65" s="87"/>
      <c r="CN65" s="87"/>
      <c r="CO65" s="87"/>
      <c r="CP65" s="87"/>
      <c r="CQ65" s="87"/>
      <c r="CR65" s="87"/>
      <c r="CS65" s="87"/>
      <c r="CT65" s="87"/>
      <c r="CU65" s="87"/>
      <c r="CV65" s="87"/>
      <c r="CW65" s="87"/>
      <c r="CX65" s="87"/>
    </row>
    <row r="66" spans="1:255" s="89" customFormat="1" x14ac:dyDescent="0.2">
      <c r="A66" s="68" t="s">
        <v>46</v>
      </c>
      <c r="B66" s="86"/>
      <c r="C66" s="81">
        <f t="array" ref="C66:CX66">'Inputs and Outputs'!C68:CX68</f>
        <v>0.2</v>
      </c>
      <c r="D66" s="81">
        <v>0.32</v>
      </c>
      <c r="E66" s="81">
        <v>0.192</v>
      </c>
      <c r="F66" s="81">
        <v>0.1152</v>
      </c>
      <c r="G66" s="81">
        <v>0.1152</v>
      </c>
      <c r="H66" s="81">
        <v>5.7599999999999998E-2</v>
      </c>
      <c r="I66" s="81">
        <v>0</v>
      </c>
      <c r="J66" s="81">
        <v>0</v>
      </c>
      <c r="K66" s="81">
        <v>0</v>
      </c>
      <c r="L66" s="81">
        <v>0</v>
      </c>
      <c r="M66" s="81">
        <v>0</v>
      </c>
      <c r="N66" s="81">
        <v>0</v>
      </c>
      <c r="O66" s="81">
        <v>0</v>
      </c>
      <c r="P66" s="81">
        <v>0</v>
      </c>
      <c r="Q66" s="81">
        <v>0</v>
      </c>
      <c r="R66" s="81">
        <v>0</v>
      </c>
      <c r="S66" s="81">
        <v>0</v>
      </c>
      <c r="T66" s="81">
        <v>0</v>
      </c>
      <c r="U66" s="81">
        <v>0</v>
      </c>
      <c r="V66" s="81">
        <v>0</v>
      </c>
      <c r="W66" s="81">
        <v>0</v>
      </c>
      <c r="X66" s="81">
        <v>0</v>
      </c>
      <c r="Y66" s="81">
        <v>0</v>
      </c>
      <c r="Z66" s="81">
        <v>0</v>
      </c>
      <c r="AA66" s="81">
        <v>0</v>
      </c>
      <c r="AB66" s="81">
        <v>0</v>
      </c>
      <c r="AC66" s="81">
        <v>0</v>
      </c>
      <c r="AD66" s="81">
        <v>0</v>
      </c>
      <c r="AE66" s="81">
        <v>0</v>
      </c>
      <c r="AF66" s="81">
        <v>0</v>
      </c>
      <c r="AG66" s="81">
        <v>0</v>
      </c>
      <c r="AH66" s="81">
        <v>0</v>
      </c>
      <c r="AI66" s="81">
        <v>0</v>
      </c>
      <c r="AJ66" s="81">
        <v>0</v>
      </c>
      <c r="AK66" s="81">
        <v>0</v>
      </c>
      <c r="AL66" s="81">
        <v>0</v>
      </c>
      <c r="AM66" s="81">
        <v>0</v>
      </c>
      <c r="AN66" s="81">
        <v>0</v>
      </c>
      <c r="AO66" s="81">
        <v>0</v>
      </c>
      <c r="AP66" s="81">
        <v>0</v>
      </c>
      <c r="AQ66" s="81">
        <v>0</v>
      </c>
      <c r="AR66" s="81">
        <v>0</v>
      </c>
      <c r="AS66" s="81">
        <v>0</v>
      </c>
      <c r="AT66" s="81">
        <v>0</v>
      </c>
      <c r="AU66" s="81">
        <v>0</v>
      </c>
      <c r="AV66" s="81">
        <v>0</v>
      </c>
      <c r="AW66" s="81">
        <v>0</v>
      </c>
      <c r="AX66" s="81">
        <v>0</v>
      </c>
      <c r="AY66" s="81">
        <v>0</v>
      </c>
      <c r="AZ66" s="81">
        <v>0</v>
      </c>
      <c r="BA66" s="81">
        <v>0</v>
      </c>
      <c r="BB66" s="81">
        <v>0</v>
      </c>
      <c r="BC66" s="81">
        <v>0</v>
      </c>
      <c r="BD66" s="81">
        <v>0</v>
      </c>
      <c r="BE66" s="81">
        <v>0</v>
      </c>
      <c r="BF66" s="81">
        <v>0</v>
      </c>
      <c r="BG66" s="81">
        <v>0</v>
      </c>
      <c r="BH66" s="81">
        <v>0</v>
      </c>
      <c r="BI66" s="81">
        <v>0</v>
      </c>
      <c r="BJ66" s="81">
        <v>0</v>
      </c>
      <c r="BK66" s="81">
        <v>0</v>
      </c>
      <c r="BL66" s="81">
        <v>0</v>
      </c>
      <c r="BM66" s="81">
        <v>0</v>
      </c>
      <c r="BN66" s="81">
        <v>0</v>
      </c>
      <c r="BO66" s="81">
        <v>0</v>
      </c>
      <c r="BP66" s="81">
        <v>0</v>
      </c>
      <c r="BQ66" s="81">
        <v>0</v>
      </c>
      <c r="BR66" s="81">
        <v>0</v>
      </c>
      <c r="BS66" s="81">
        <v>0</v>
      </c>
      <c r="BT66" s="81">
        <v>0</v>
      </c>
      <c r="BU66" s="81">
        <v>0</v>
      </c>
      <c r="BV66" s="81">
        <v>0</v>
      </c>
      <c r="BW66" s="81">
        <v>0</v>
      </c>
      <c r="BX66" s="81">
        <v>0</v>
      </c>
      <c r="BY66" s="81">
        <v>0</v>
      </c>
      <c r="BZ66" s="81">
        <v>0</v>
      </c>
      <c r="CA66" s="81">
        <v>0</v>
      </c>
      <c r="CB66" s="81">
        <v>0</v>
      </c>
      <c r="CC66" s="81">
        <v>0</v>
      </c>
      <c r="CD66" s="81">
        <v>0</v>
      </c>
      <c r="CE66" s="81">
        <v>0</v>
      </c>
      <c r="CF66" s="81">
        <v>0</v>
      </c>
      <c r="CG66" s="81">
        <v>0</v>
      </c>
      <c r="CH66" s="81">
        <v>0</v>
      </c>
      <c r="CI66" s="81">
        <v>0</v>
      </c>
      <c r="CJ66" s="81">
        <v>0</v>
      </c>
      <c r="CK66" s="81">
        <v>0</v>
      </c>
      <c r="CL66" s="81">
        <v>0</v>
      </c>
      <c r="CM66" s="81">
        <v>0</v>
      </c>
      <c r="CN66" s="81">
        <v>0</v>
      </c>
      <c r="CO66" s="81">
        <v>0</v>
      </c>
      <c r="CP66" s="81">
        <v>0</v>
      </c>
      <c r="CQ66" s="81">
        <v>0</v>
      </c>
      <c r="CR66" s="81">
        <v>0</v>
      </c>
      <c r="CS66" s="81">
        <v>0</v>
      </c>
      <c r="CT66" s="81">
        <v>0</v>
      </c>
      <c r="CU66" s="81">
        <v>0</v>
      </c>
      <c r="CV66" s="81">
        <v>0</v>
      </c>
      <c r="CW66" s="81">
        <v>0</v>
      </c>
      <c r="CX66" s="81">
        <v>0</v>
      </c>
    </row>
    <row r="67" spans="1:255" s="89" customFormat="1" x14ac:dyDescent="0.2">
      <c r="A67" s="68" t="s">
        <v>47</v>
      </c>
      <c r="B67" s="87">
        <f>IF(ISNUMBER(outYear),IF(FederalDepreciation="N/A",0,($B$73-IF(itc_fed_percent_deprbas_fed="Yes",0.5*MIN(itc_fed_percent/100*$B$73,itc_fed_percent_maxvalue),0))),"")</f>
        <v>461310.3</v>
      </c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1"/>
      <c r="CI67" s="81"/>
      <c r="CJ67" s="81"/>
      <c r="CK67" s="81"/>
      <c r="CL67" s="81"/>
      <c r="CM67" s="81"/>
      <c r="CN67" s="81"/>
      <c r="CO67" s="81"/>
      <c r="CP67" s="81"/>
      <c r="CQ67" s="81"/>
      <c r="CR67" s="81"/>
      <c r="CS67" s="81"/>
      <c r="CT67" s="81"/>
      <c r="CU67" s="81"/>
      <c r="CV67" s="81"/>
      <c r="CW67" s="81"/>
      <c r="CX67" s="81"/>
    </row>
    <row r="68" spans="1:255" s="80" customFormat="1" x14ac:dyDescent="0.2">
      <c r="A68" s="68" t="s">
        <v>0</v>
      </c>
      <c r="B68" s="86"/>
      <c r="C68" s="87">
        <f>IF(ISNUMBER(outYear),$B$67*(C66+'Inputs and Outputs'!B60),"")</f>
        <v>322917.20999999996</v>
      </c>
      <c r="D68" s="87">
        <f t="shared" ref="D68:AH68" si="49">IF(ISNUMBER(outYear),$B$67*D66,"")</f>
        <v>147619.296</v>
      </c>
      <c r="E68" s="87">
        <f t="shared" si="49"/>
        <v>88571.577600000004</v>
      </c>
      <c r="F68" s="87">
        <f t="shared" si="49"/>
        <v>53142.946559999997</v>
      </c>
      <c r="G68" s="87">
        <f t="shared" si="49"/>
        <v>53142.946559999997</v>
      </c>
      <c r="H68" s="87">
        <f t="shared" si="49"/>
        <v>26571.473279999998</v>
      </c>
      <c r="I68" s="87">
        <f t="shared" si="49"/>
        <v>0</v>
      </c>
      <c r="J68" s="87">
        <f t="shared" si="49"/>
        <v>0</v>
      </c>
      <c r="K68" s="87">
        <f t="shared" si="49"/>
        <v>0</v>
      </c>
      <c r="L68" s="87">
        <f t="shared" si="49"/>
        <v>0</v>
      </c>
      <c r="M68" s="87">
        <f t="shared" si="49"/>
        <v>0</v>
      </c>
      <c r="N68" s="87">
        <f t="shared" si="49"/>
        <v>0</v>
      </c>
      <c r="O68" s="87">
        <f t="shared" si="49"/>
        <v>0</v>
      </c>
      <c r="P68" s="87">
        <f t="shared" si="49"/>
        <v>0</v>
      </c>
      <c r="Q68" s="87">
        <f t="shared" si="49"/>
        <v>0</v>
      </c>
      <c r="R68" s="87">
        <f t="shared" si="49"/>
        <v>0</v>
      </c>
      <c r="S68" s="87">
        <f t="shared" si="49"/>
        <v>0</v>
      </c>
      <c r="T68" s="87">
        <f t="shared" si="49"/>
        <v>0</v>
      </c>
      <c r="U68" s="87">
        <f t="shared" si="49"/>
        <v>0</v>
      </c>
      <c r="V68" s="87">
        <f t="shared" si="49"/>
        <v>0</v>
      </c>
      <c r="W68" s="87">
        <f t="shared" si="49"/>
        <v>0</v>
      </c>
      <c r="X68" s="87">
        <f t="shared" si="49"/>
        <v>0</v>
      </c>
      <c r="Y68" s="87">
        <f t="shared" si="49"/>
        <v>0</v>
      </c>
      <c r="Z68" s="87">
        <f t="shared" si="49"/>
        <v>0</v>
      </c>
      <c r="AA68" s="87">
        <f t="shared" si="49"/>
        <v>0</v>
      </c>
      <c r="AB68" s="87" t="str">
        <f t="shared" si="49"/>
        <v/>
      </c>
      <c r="AC68" s="87" t="str">
        <f t="shared" si="49"/>
        <v/>
      </c>
      <c r="AD68" s="87" t="str">
        <f t="shared" si="49"/>
        <v/>
      </c>
      <c r="AE68" s="87" t="str">
        <f t="shared" si="49"/>
        <v/>
      </c>
      <c r="AF68" s="87" t="str">
        <f t="shared" si="49"/>
        <v/>
      </c>
      <c r="AG68" s="87" t="str">
        <f t="shared" si="49"/>
        <v/>
      </c>
      <c r="AH68" s="87" t="str">
        <f t="shared" si="49"/>
        <v/>
      </c>
      <c r="AI68" s="87" t="str">
        <f t="shared" ref="AI68:BN68" si="50">IF(ISNUMBER(outYear),$B$67*AI66,"")</f>
        <v/>
      </c>
      <c r="AJ68" s="87" t="str">
        <f t="shared" si="50"/>
        <v/>
      </c>
      <c r="AK68" s="87" t="str">
        <f t="shared" si="50"/>
        <v/>
      </c>
      <c r="AL68" s="87" t="str">
        <f t="shared" si="50"/>
        <v/>
      </c>
      <c r="AM68" s="87" t="str">
        <f t="shared" si="50"/>
        <v/>
      </c>
      <c r="AN68" s="87" t="str">
        <f t="shared" si="50"/>
        <v/>
      </c>
      <c r="AO68" s="87" t="str">
        <f t="shared" si="50"/>
        <v/>
      </c>
      <c r="AP68" s="87" t="str">
        <f t="shared" si="50"/>
        <v/>
      </c>
      <c r="AQ68" s="87" t="str">
        <f t="shared" si="50"/>
        <v/>
      </c>
      <c r="AR68" s="87" t="str">
        <f t="shared" si="50"/>
        <v/>
      </c>
      <c r="AS68" s="87" t="str">
        <f t="shared" si="50"/>
        <v/>
      </c>
      <c r="AT68" s="87" t="str">
        <f t="shared" si="50"/>
        <v/>
      </c>
      <c r="AU68" s="87" t="str">
        <f t="shared" si="50"/>
        <v/>
      </c>
      <c r="AV68" s="87" t="str">
        <f t="shared" si="50"/>
        <v/>
      </c>
      <c r="AW68" s="87" t="str">
        <f t="shared" si="50"/>
        <v/>
      </c>
      <c r="AX68" s="87" t="str">
        <f t="shared" si="50"/>
        <v/>
      </c>
      <c r="AY68" s="87" t="str">
        <f t="shared" si="50"/>
        <v/>
      </c>
      <c r="AZ68" s="87" t="str">
        <f t="shared" si="50"/>
        <v/>
      </c>
      <c r="BA68" s="87" t="str">
        <f t="shared" si="50"/>
        <v/>
      </c>
      <c r="BB68" s="87" t="str">
        <f t="shared" si="50"/>
        <v/>
      </c>
      <c r="BC68" s="87" t="str">
        <f t="shared" si="50"/>
        <v/>
      </c>
      <c r="BD68" s="87" t="str">
        <f t="shared" si="50"/>
        <v/>
      </c>
      <c r="BE68" s="87" t="str">
        <f t="shared" si="50"/>
        <v/>
      </c>
      <c r="BF68" s="87" t="str">
        <f t="shared" si="50"/>
        <v/>
      </c>
      <c r="BG68" s="87" t="str">
        <f t="shared" si="50"/>
        <v/>
      </c>
      <c r="BH68" s="87" t="str">
        <f t="shared" si="50"/>
        <v/>
      </c>
      <c r="BI68" s="87" t="str">
        <f t="shared" si="50"/>
        <v/>
      </c>
      <c r="BJ68" s="87" t="str">
        <f t="shared" si="50"/>
        <v/>
      </c>
      <c r="BK68" s="87" t="str">
        <f t="shared" si="50"/>
        <v/>
      </c>
      <c r="BL68" s="87" t="str">
        <f t="shared" si="50"/>
        <v/>
      </c>
      <c r="BM68" s="87" t="str">
        <f t="shared" si="50"/>
        <v/>
      </c>
      <c r="BN68" s="87" t="str">
        <f t="shared" si="50"/>
        <v/>
      </c>
      <c r="BO68" s="87" t="str">
        <f t="shared" ref="BO68:CX68" si="51">IF(ISNUMBER(outYear),$B$67*BO66,"")</f>
        <v/>
      </c>
      <c r="BP68" s="87" t="str">
        <f t="shared" si="51"/>
        <v/>
      </c>
      <c r="BQ68" s="87" t="str">
        <f t="shared" si="51"/>
        <v/>
      </c>
      <c r="BR68" s="87" t="str">
        <f t="shared" si="51"/>
        <v/>
      </c>
      <c r="BS68" s="87" t="str">
        <f t="shared" si="51"/>
        <v/>
      </c>
      <c r="BT68" s="87" t="str">
        <f t="shared" si="51"/>
        <v/>
      </c>
      <c r="BU68" s="87" t="str">
        <f t="shared" si="51"/>
        <v/>
      </c>
      <c r="BV68" s="87" t="str">
        <f t="shared" si="51"/>
        <v/>
      </c>
      <c r="BW68" s="87" t="str">
        <f t="shared" si="51"/>
        <v/>
      </c>
      <c r="BX68" s="87" t="str">
        <f t="shared" si="51"/>
        <v/>
      </c>
      <c r="BY68" s="87" t="str">
        <f t="shared" si="51"/>
        <v/>
      </c>
      <c r="BZ68" s="87" t="str">
        <f t="shared" si="51"/>
        <v/>
      </c>
      <c r="CA68" s="87" t="str">
        <f t="shared" si="51"/>
        <v/>
      </c>
      <c r="CB68" s="87" t="str">
        <f t="shared" si="51"/>
        <v/>
      </c>
      <c r="CC68" s="87" t="str">
        <f t="shared" si="51"/>
        <v/>
      </c>
      <c r="CD68" s="87" t="str">
        <f t="shared" si="51"/>
        <v/>
      </c>
      <c r="CE68" s="87" t="str">
        <f t="shared" si="51"/>
        <v/>
      </c>
      <c r="CF68" s="87" t="str">
        <f t="shared" si="51"/>
        <v/>
      </c>
      <c r="CG68" s="87" t="str">
        <f t="shared" si="51"/>
        <v/>
      </c>
      <c r="CH68" s="87" t="str">
        <f t="shared" si="51"/>
        <v/>
      </c>
      <c r="CI68" s="87" t="str">
        <f t="shared" si="51"/>
        <v/>
      </c>
      <c r="CJ68" s="87" t="str">
        <f t="shared" si="51"/>
        <v/>
      </c>
      <c r="CK68" s="87" t="str">
        <f t="shared" si="51"/>
        <v/>
      </c>
      <c r="CL68" s="87" t="str">
        <f t="shared" si="51"/>
        <v/>
      </c>
      <c r="CM68" s="87" t="str">
        <f t="shared" si="51"/>
        <v/>
      </c>
      <c r="CN68" s="87" t="str">
        <f t="shared" si="51"/>
        <v/>
      </c>
      <c r="CO68" s="87" t="str">
        <f t="shared" si="51"/>
        <v/>
      </c>
      <c r="CP68" s="87" t="str">
        <f t="shared" si="51"/>
        <v/>
      </c>
      <c r="CQ68" s="87" t="str">
        <f t="shared" si="51"/>
        <v/>
      </c>
      <c r="CR68" s="87" t="str">
        <f t="shared" si="51"/>
        <v/>
      </c>
      <c r="CS68" s="87" t="str">
        <f t="shared" si="51"/>
        <v/>
      </c>
      <c r="CT68" s="87" t="str">
        <f t="shared" si="51"/>
        <v/>
      </c>
      <c r="CU68" s="87" t="str">
        <f t="shared" si="51"/>
        <v/>
      </c>
      <c r="CV68" s="87" t="str">
        <f t="shared" si="51"/>
        <v/>
      </c>
      <c r="CW68" s="87" t="str">
        <f t="shared" si="51"/>
        <v/>
      </c>
      <c r="CX68" s="87" t="str">
        <f t="shared" si="51"/>
        <v/>
      </c>
    </row>
    <row r="69" spans="1:255" s="89" customFormat="1" x14ac:dyDescent="0.2">
      <c r="A69" s="67" t="s">
        <v>97</v>
      </c>
      <c r="B69" s="86"/>
      <c r="C69" s="94">
        <f t="shared" ref="C69:AH69" si="52">IF(ISNUMBER(outYear),-C59,"")</f>
        <v>-22911.625099999997</v>
      </c>
      <c r="D69" s="94">
        <f t="shared" si="52"/>
        <v>-10646.941928</v>
      </c>
      <c r="E69" s="94">
        <f t="shared" si="52"/>
        <v>-6519.8640561600005</v>
      </c>
      <c r="F69" s="94">
        <f t="shared" si="52"/>
        <v>-4046.2513110431992</v>
      </c>
      <c r="G69" s="94">
        <f t="shared" si="52"/>
        <v>-4052.7760508000642</v>
      </c>
      <c r="H69" s="94">
        <f t="shared" si="52"/>
        <v>-2199.424123752065</v>
      </c>
      <c r="I69" s="94">
        <f t="shared" si="52"/>
        <v>-346.20530139510663</v>
      </c>
      <c r="J69" s="94">
        <f t="shared" si="52"/>
        <v>-353.12940742300873</v>
      </c>
      <c r="K69" s="94">
        <f t="shared" si="52"/>
        <v>-360.19199557146885</v>
      </c>
      <c r="L69" s="94">
        <f t="shared" si="52"/>
        <v>-6641.631820750029</v>
      </c>
      <c r="M69" s="94">
        <f t="shared" si="52"/>
        <v>-374.74375219255626</v>
      </c>
      <c r="N69" s="94">
        <f t="shared" si="52"/>
        <v>-382.23862723640735</v>
      </c>
      <c r="O69" s="94">
        <f t="shared" si="52"/>
        <v>-389.88339978113549</v>
      </c>
      <c r="P69" s="94">
        <f t="shared" si="52"/>
        <v>-397.6810677767582</v>
      </c>
      <c r="Q69" s="94">
        <f t="shared" si="52"/>
        <v>-405.63468913229337</v>
      </c>
      <c r="R69" s="94">
        <f t="shared" si="52"/>
        <v>-413.74738291493907</v>
      </c>
      <c r="S69" s="94">
        <f t="shared" si="52"/>
        <v>-422.02233057323798</v>
      </c>
      <c r="T69" s="94">
        <f t="shared" si="52"/>
        <v>-430.46277718470287</v>
      </c>
      <c r="U69" s="94">
        <f t="shared" si="52"/>
        <v>-439.07203272839683</v>
      </c>
      <c r="V69" s="94">
        <f t="shared" si="52"/>
        <v>-447.85347338296475</v>
      </c>
      <c r="W69" s="94">
        <f t="shared" si="52"/>
        <v>-456.81054285062413</v>
      </c>
      <c r="X69" s="94">
        <f t="shared" si="52"/>
        <v>-465.9467537076365</v>
      </c>
      <c r="Y69" s="94">
        <f t="shared" si="52"/>
        <v>-475.26568878178927</v>
      </c>
      <c r="Z69" s="94">
        <f t="shared" si="52"/>
        <v>-484.77100255742494</v>
      </c>
      <c r="AA69" s="94">
        <f t="shared" si="52"/>
        <v>-494.46642260857357</v>
      </c>
      <c r="AB69" s="94" t="str">
        <f t="shared" si="52"/>
        <v/>
      </c>
      <c r="AC69" s="94" t="str">
        <f t="shared" si="52"/>
        <v/>
      </c>
      <c r="AD69" s="94" t="str">
        <f t="shared" si="52"/>
        <v/>
      </c>
      <c r="AE69" s="94" t="str">
        <f t="shared" si="52"/>
        <v/>
      </c>
      <c r="AF69" s="94" t="str">
        <f t="shared" si="52"/>
        <v/>
      </c>
      <c r="AG69" s="94" t="str">
        <f t="shared" si="52"/>
        <v/>
      </c>
      <c r="AH69" s="94" t="str">
        <f t="shared" si="52"/>
        <v/>
      </c>
      <c r="AI69" s="94" t="str">
        <f t="shared" ref="AI69:BN69" si="53">IF(ISNUMBER(outYear),-AI59,"")</f>
        <v/>
      </c>
      <c r="AJ69" s="94" t="str">
        <f t="shared" si="53"/>
        <v/>
      </c>
      <c r="AK69" s="94" t="str">
        <f t="shared" si="53"/>
        <v/>
      </c>
      <c r="AL69" s="94" t="str">
        <f t="shared" si="53"/>
        <v/>
      </c>
      <c r="AM69" s="94" t="str">
        <f t="shared" si="53"/>
        <v/>
      </c>
      <c r="AN69" s="94" t="str">
        <f t="shared" si="53"/>
        <v/>
      </c>
      <c r="AO69" s="94" t="str">
        <f t="shared" si="53"/>
        <v/>
      </c>
      <c r="AP69" s="94" t="str">
        <f t="shared" si="53"/>
        <v/>
      </c>
      <c r="AQ69" s="94" t="str">
        <f t="shared" si="53"/>
        <v/>
      </c>
      <c r="AR69" s="94" t="str">
        <f t="shared" si="53"/>
        <v/>
      </c>
      <c r="AS69" s="94" t="str">
        <f t="shared" si="53"/>
        <v/>
      </c>
      <c r="AT69" s="94" t="str">
        <f t="shared" si="53"/>
        <v/>
      </c>
      <c r="AU69" s="94" t="str">
        <f t="shared" si="53"/>
        <v/>
      </c>
      <c r="AV69" s="94" t="str">
        <f t="shared" si="53"/>
        <v/>
      </c>
      <c r="AW69" s="94" t="str">
        <f t="shared" si="53"/>
        <v/>
      </c>
      <c r="AX69" s="94" t="str">
        <f t="shared" si="53"/>
        <v/>
      </c>
      <c r="AY69" s="94" t="str">
        <f t="shared" si="53"/>
        <v/>
      </c>
      <c r="AZ69" s="94" t="str">
        <f t="shared" si="53"/>
        <v/>
      </c>
      <c r="BA69" s="94" t="str">
        <f t="shared" si="53"/>
        <v/>
      </c>
      <c r="BB69" s="94" t="str">
        <f t="shared" si="53"/>
        <v/>
      </c>
      <c r="BC69" s="94" t="str">
        <f t="shared" si="53"/>
        <v/>
      </c>
      <c r="BD69" s="94" t="str">
        <f t="shared" si="53"/>
        <v/>
      </c>
      <c r="BE69" s="94" t="str">
        <f t="shared" si="53"/>
        <v/>
      </c>
      <c r="BF69" s="94" t="str">
        <f t="shared" si="53"/>
        <v/>
      </c>
      <c r="BG69" s="94" t="str">
        <f t="shared" si="53"/>
        <v/>
      </c>
      <c r="BH69" s="94" t="str">
        <f t="shared" si="53"/>
        <v/>
      </c>
      <c r="BI69" s="94" t="str">
        <f t="shared" si="53"/>
        <v/>
      </c>
      <c r="BJ69" s="94" t="str">
        <f t="shared" si="53"/>
        <v/>
      </c>
      <c r="BK69" s="94" t="str">
        <f t="shared" si="53"/>
        <v/>
      </c>
      <c r="BL69" s="94" t="str">
        <f t="shared" si="53"/>
        <v/>
      </c>
      <c r="BM69" s="94" t="str">
        <f t="shared" si="53"/>
        <v/>
      </c>
      <c r="BN69" s="94" t="str">
        <f t="shared" si="53"/>
        <v/>
      </c>
      <c r="BO69" s="94" t="str">
        <f t="shared" ref="BO69:CX69" si="54">IF(ISNUMBER(outYear),-BO59,"")</f>
        <v/>
      </c>
      <c r="BP69" s="94" t="str">
        <f t="shared" si="54"/>
        <v/>
      </c>
      <c r="BQ69" s="94" t="str">
        <f t="shared" si="54"/>
        <v/>
      </c>
      <c r="BR69" s="94" t="str">
        <f t="shared" si="54"/>
        <v/>
      </c>
      <c r="BS69" s="94" t="str">
        <f t="shared" si="54"/>
        <v/>
      </c>
      <c r="BT69" s="94" t="str">
        <f t="shared" si="54"/>
        <v/>
      </c>
      <c r="BU69" s="94" t="str">
        <f t="shared" si="54"/>
        <v/>
      </c>
      <c r="BV69" s="94" t="str">
        <f t="shared" si="54"/>
        <v/>
      </c>
      <c r="BW69" s="94" t="str">
        <f t="shared" si="54"/>
        <v/>
      </c>
      <c r="BX69" s="94" t="str">
        <f t="shared" si="54"/>
        <v/>
      </c>
      <c r="BY69" s="94" t="str">
        <f t="shared" si="54"/>
        <v/>
      </c>
      <c r="BZ69" s="94" t="str">
        <f t="shared" si="54"/>
        <v/>
      </c>
      <c r="CA69" s="94" t="str">
        <f t="shared" si="54"/>
        <v/>
      </c>
      <c r="CB69" s="94" t="str">
        <f t="shared" si="54"/>
        <v/>
      </c>
      <c r="CC69" s="94" t="str">
        <f t="shared" si="54"/>
        <v/>
      </c>
      <c r="CD69" s="94" t="str">
        <f t="shared" si="54"/>
        <v/>
      </c>
      <c r="CE69" s="94" t="str">
        <f t="shared" si="54"/>
        <v/>
      </c>
      <c r="CF69" s="94" t="str">
        <f t="shared" si="54"/>
        <v/>
      </c>
      <c r="CG69" s="94" t="str">
        <f t="shared" si="54"/>
        <v/>
      </c>
      <c r="CH69" s="94" t="str">
        <f t="shared" si="54"/>
        <v/>
      </c>
      <c r="CI69" s="94" t="str">
        <f t="shared" si="54"/>
        <v/>
      </c>
      <c r="CJ69" s="94" t="str">
        <f t="shared" si="54"/>
        <v/>
      </c>
      <c r="CK69" s="94" t="str">
        <f t="shared" si="54"/>
        <v/>
      </c>
      <c r="CL69" s="94" t="str">
        <f t="shared" si="54"/>
        <v/>
      </c>
      <c r="CM69" s="94" t="str">
        <f t="shared" si="54"/>
        <v/>
      </c>
      <c r="CN69" s="94" t="str">
        <f t="shared" si="54"/>
        <v/>
      </c>
      <c r="CO69" s="94" t="str">
        <f t="shared" si="54"/>
        <v/>
      </c>
      <c r="CP69" s="94" t="str">
        <f t="shared" si="54"/>
        <v/>
      </c>
      <c r="CQ69" s="94" t="str">
        <f t="shared" si="54"/>
        <v/>
      </c>
      <c r="CR69" s="94" t="str">
        <f t="shared" si="54"/>
        <v/>
      </c>
      <c r="CS69" s="94" t="str">
        <f t="shared" si="54"/>
        <v/>
      </c>
      <c r="CT69" s="94" t="str">
        <f t="shared" si="54"/>
        <v/>
      </c>
      <c r="CU69" s="94" t="str">
        <f t="shared" si="54"/>
        <v/>
      </c>
      <c r="CV69" s="94" t="str">
        <f t="shared" si="54"/>
        <v/>
      </c>
      <c r="CW69" s="94" t="str">
        <f t="shared" si="54"/>
        <v/>
      </c>
      <c r="CX69" s="94" t="str">
        <f t="shared" si="54"/>
        <v/>
      </c>
    </row>
    <row r="70" spans="1:255" x14ac:dyDescent="0.2">
      <c r="A70" s="67" t="s">
        <v>38</v>
      </c>
      <c r="B70" s="16"/>
      <c r="C70" s="87">
        <f t="shared" ref="C70:AH70" si="55">IF(ISNUMBER(outYear),SUM(C64,C68:C69),"")</f>
        <v>304397.30489999993</v>
      </c>
      <c r="D70" s="87">
        <f t="shared" si="55"/>
        <v>141451.90847199998</v>
      </c>
      <c r="E70" s="87">
        <f t="shared" si="55"/>
        <v>86620.859031839995</v>
      </c>
      <c r="F70" s="87">
        <f t="shared" si="55"/>
        <v>53757.223646716797</v>
      </c>
      <c r="G70" s="87">
        <f t="shared" si="55"/>
        <v>53843.909474915134</v>
      </c>
      <c r="H70" s="87">
        <f t="shared" si="55"/>
        <v>29220.862901277436</v>
      </c>
      <c r="I70" s="87">
        <f t="shared" si="55"/>
        <v>4599.5847185349885</v>
      </c>
      <c r="J70" s="87">
        <f t="shared" si="55"/>
        <v>4691.576412905687</v>
      </c>
      <c r="K70" s="87">
        <f t="shared" si="55"/>
        <v>4785.4079411638013</v>
      </c>
      <c r="L70" s="87">
        <f t="shared" si="55"/>
        <v>88238.822761393254</v>
      </c>
      <c r="M70" s="87">
        <f t="shared" si="55"/>
        <v>4978.73842198682</v>
      </c>
      <c r="N70" s="87">
        <f t="shared" si="55"/>
        <v>5078.3131904265547</v>
      </c>
      <c r="O70" s="87">
        <f t="shared" si="55"/>
        <v>5179.8794542350861</v>
      </c>
      <c r="P70" s="87">
        <f t="shared" si="55"/>
        <v>5283.4770433197882</v>
      </c>
      <c r="Q70" s="87">
        <f t="shared" si="55"/>
        <v>5389.1465841861827</v>
      </c>
      <c r="R70" s="87">
        <f t="shared" si="55"/>
        <v>5496.9295158699051</v>
      </c>
      <c r="S70" s="87">
        <f t="shared" si="55"/>
        <v>5606.8681061873049</v>
      </c>
      <c r="T70" s="87">
        <f t="shared" si="55"/>
        <v>5719.005468311052</v>
      </c>
      <c r="U70" s="87">
        <f t="shared" si="55"/>
        <v>5833.3855776772716</v>
      </c>
      <c r="V70" s="87">
        <f t="shared" si="55"/>
        <v>5950.0532892308174</v>
      </c>
      <c r="W70" s="87">
        <f t="shared" si="55"/>
        <v>6069.0543550154343</v>
      </c>
      <c r="X70" s="87">
        <f t="shared" si="55"/>
        <v>6190.4354421157432</v>
      </c>
      <c r="Y70" s="87">
        <f t="shared" si="55"/>
        <v>6314.2441509580576</v>
      </c>
      <c r="Z70" s="87">
        <f t="shared" si="55"/>
        <v>6440.5290339772173</v>
      </c>
      <c r="AA70" s="87">
        <f t="shared" si="55"/>
        <v>6569.3396146567629</v>
      </c>
      <c r="AB70" s="87" t="str">
        <f t="shared" si="55"/>
        <v/>
      </c>
      <c r="AC70" s="87" t="str">
        <f t="shared" si="55"/>
        <v/>
      </c>
      <c r="AD70" s="87" t="str">
        <f t="shared" si="55"/>
        <v/>
      </c>
      <c r="AE70" s="87" t="str">
        <f t="shared" si="55"/>
        <v/>
      </c>
      <c r="AF70" s="87" t="str">
        <f t="shared" si="55"/>
        <v/>
      </c>
      <c r="AG70" s="87" t="str">
        <f t="shared" si="55"/>
        <v/>
      </c>
      <c r="AH70" s="87" t="str">
        <f t="shared" si="55"/>
        <v/>
      </c>
      <c r="AI70" s="87" t="str">
        <f t="shared" ref="AI70:BN70" si="56">IF(ISNUMBER(outYear),SUM(AI64,AI68:AI69),"")</f>
        <v/>
      </c>
      <c r="AJ70" s="87" t="str">
        <f t="shared" si="56"/>
        <v/>
      </c>
      <c r="AK70" s="87" t="str">
        <f t="shared" si="56"/>
        <v/>
      </c>
      <c r="AL70" s="87" t="str">
        <f t="shared" si="56"/>
        <v/>
      </c>
      <c r="AM70" s="87" t="str">
        <f t="shared" si="56"/>
        <v/>
      </c>
      <c r="AN70" s="87" t="str">
        <f t="shared" si="56"/>
        <v/>
      </c>
      <c r="AO70" s="87" t="str">
        <f t="shared" si="56"/>
        <v/>
      </c>
      <c r="AP70" s="87" t="str">
        <f t="shared" si="56"/>
        <v/>
      </c>
      <c r="AQ70" s="87" t="str">
        <f t="shared" si="56"/>
        <v/>
      </c>
      <c r="AR70" s="87" t="str">
        <f t="shared" si="56"/>
        <v/>
      </c>
      <c r="AS70" s="87" t="str">
        <f t="shared" si="56"/>
        <v/>
      </c>
      <c r="AT70" s="87" t="str">
        <f t="shared" si="56"/>
        <v/>
      </c>
      <c r="AU70" s="87" t="str">
        <f t="shared" si="56"/>
        <v/>
      </c>
      <c r="AV70" s="87" t="str">
        <f t="shared" si="56"/>
        <v/>
      </c>
      <c r="AW70" s="87" t="str">
        <f t="shared" si="56"/>
        <v/>
      </c>
      <c r="AX70" s="87" t="str">
        <f t="shared" si="56"/>
        <v/>
      </c>
      <c r="AY70" s="87" t="str">
        <f t="shared" si="56"/>
        <v/>
      </c>
      <c r="AZ70" s="87" t="str">
        <f t="shared" si="56"/>
        <v/>
      </c>
      <c r="BA70" s="87" t="str">
        <f t="shared" si="56"/>
        <v/>
      </c>
      <c r="BB70" s="87" t="str">
        <f t="shared" si="56"/>
        <v/>
      </c>
      <c r="BC70" s="87" t="str">
        <f t="shared" si="56"/>
        <v/>
      </c>
      <c r="BD70" s="87" t="str">
        <f t="shared" si="56"/>
        <v/>
      </c>
      <c r="BE70" s="87" t="str">
        <f t="shared" si="56"/>
        <v/>
      </c>
      <c r="BF70" s="87" t="str">
        <f t="shared" si="56"/>
        <v/>
      </c>
      <c r="BG70" s="87" t="str">
        <f t="shared" si="56"/>
        <v/>
      </c>
      <c r="BH70" s="87" t="str">
        <f t="shared" si="56"/>
        <v/>
      </c>
      <c r="BI70" s="87" t="str">
        <f t="shared" si="56"/>
        <v/>
      </c>
      <c r="BJ70" s="87" t="str">
        <f t="shared" si="56"/>
        <v/>
      </c>
      <c r="BK70" s="87" t="str">
        <f t="shared" si="56"/>
        <v/>
      </c>
      <c r="BL70" s="87" t="str">
        <f t="shared" si="56"/>
        <v/>
      </c>
      <c r="BM70" s="87" t="str">
        <f t="shared" si="56"/>
        <v/>
      </c>
      <c r="BN70" s="87" t="str">
        <f t="shared" si="56"/>
        <v/>
      </c>
      <c r="BO70" s="87" t="str">
        <f t="shared" ref="BO70:CT70" si="57">IF(ISNUMBER(outYear),SUM(BO64,BO68:BO69),"")</f>
        <v/>
      </c>
      <c r="BP70" s="87" t="str">
        <f t="shared" si="57"/>
        <v/>
      </c>
      <c r="BQ70" s="87" t="str">
        <f t="shared" si="57"/>
        <v/>
      </c>
      <c r="BR70" s="87" t="str">
        <f t="shared" si="57"/>
        <v/>
      </c>
      <c r="BS70" s="87" t="str">
        <f t="shared" si="57"/>
        <v/>
      </c>
      <c r="BT70" s="87" t="str">
        <f t="shared" si="57"/>
        <v/>
      </c>
      <c r="BU70" s="87" t="str">
        <f t="shared" si="57"/>
        <v/>
      </c>
      <c r="BV70" s="87" t="str">
        <f t="shared" si="57"/>
        <v/>
      </c>
      <c r="BW70" s="87" t="str">
        <f t="shared" si="57"/>
        <v/>
      </c>
      <c r="BX70" s="87" t="str">
        <f t="shared" si="57"/>
        <v/>
      </c>
      <c r="BY70" s="87" t="str">
        <f t="shared" si="57"/>
        <v/>
      </c>
      <c r="BZ70" s="87" t="str">
        <f t="shared" si="57"/>
        <v/>
      </c>
      <c r="CA70" s="87" t="str">
        <f t="shared" si="57"/>
        <v/>
      </c>
      <c r="CB70" s="87" t="str">
        <f t="shared" si="57"/>
        <v/>
      </c>
      <c r="CC70" s="87" t="str">
        <f t="shared" si="57"/>
        <v/>
      </c>
      <c r="CD70" s="87" t="str">
        <f t="shared" si="57"/>
        <v/>
      </c>
      <c r="CE70" s="87" t="str">
        <f t="shared" si="57"/>
        <v/>
      </c>
      <c r="CF70" s="87" t="str">
        <f t="shared" si="57"/>
        <v/>
      </c>
      <c r="CG70" s="87" t="str">
        <f t="shared" si="57"/>
        <v/>
      </c>
      <c r="CH70" s="87" t="str">
        <f t="shared" si="57"/>
        <v/>
      </c>
      <c r="CI70" s="87" t="str">
        <f t="shared" si="57"/>
        <v/>
      </c>
      <c r="CJ70" s="87" t="str">
        <f t="shared" si="57"/>
        <v/>
      </c>
      <c r="CK70" s="87" t="str">
        <f t="shared" si="57"/>
        <v/>
      </c>
      <c r="CL70" s="87" t="str">
        <f t="shared" si="57"/>
        <v/>
      </c>
      <c r="CM70" s="87" t="str">
        <f t="shared" si="57"/>
        <v/>
      </c>
      <c r="CN70" s="87" t="str">
        <f t="shared" si="57"/>
        <v/>
      </c>
      <c r="CO70" s="87" t="str">
        <f t="shared" si="57"/>
        <v/>
      </c>
      <c r="CP70" s="87" t="str">
        <f t="shared" si="57"/>
        <v/>
      </c>
      <c r="CQ70" s="87" t="str">
        <f t="shared" si="57"/>
        <v/>
      </c>
      <c r="CR70" s="87" t="str">
        <f t="shared" si="57"/>
        <v/>
      </c>
      <c r="CS70" s="87" t="str">
        <f t="shared" si="57"/>
        <v/>
      </c>
      <c r="CT70" s="87" t="str">
        <f t="shared" si="57"/>
        <v/>
      </c>
      <c r="CU70" s="87" t="str">
        <f t="shared" ref="CU70:CX70" si="58">IF(ISNUMBER(outYear),SUM(CU64,CU68:CU69),"")</f>
        <v/>
      </c>
      <c r="CV70" s="87" t="str">
        <f t="shared" si="58"/>
        <v/>
      </c>
      <c r="CW70" s="87" t="str">
        <f t="shared" si="58"/>
        <v/>
      </c>
      <c r="CX70" s="87" t="str">
        <f t="shared" si="58"/>
        <v/>
      </c>
    </row>
    <row r="71" spans="1:255" x14ac:dyDescent="0.2">
      <c r="A71" s="62" t="s">
        <v>96</v>
      </c>
      <c r="B71" s="16"/>
      <c r="C71" s="82">
        <f t="shared" ref="C71:AH71" si="59">IF(ISNUMBER(outYear),C62-C70,"")</f>
        <v>-304397.30489999993</v>
      </c>
      <c r="D71" s="82">
        <f t="shared" si="59"/>
        <v>-141451.90847199998</v>
      </c>
      <c r="E71" s="82">
        <f t="shared" si="59"/>
        <v>-86620.859031839995</v>
      </c>
      <c r="F71" s="82">
        <f t="shared" si="59"/>
        <v>-53757.223646716797</v>
      </c>
      <c r="G71" s="82">
        <f t="shared" si="59"/>
        <v>-53843.909474915134</v>
      </c>
      <c r="H71" s="82">
        <f t="shared" si="59"/>
        <v>-29220.862901277436</v>
      </c>
      <c r="I71" s="82">
        <f t="shared" si="59"/>
        <v>-4599.5847185349885</v>
      </c>
      <c r="J71" s="82">
        <f t="shared" si="59"/>
        <v>-4691.576412905687</v>
      </c>
      <c r="K71" s="82">
        <f t="shared" si="59"/>
        <v>-4785.4079411638013</v>
      </c>
      <c r="L71" s="82">
        <f t="shared" si="59"/>
        <v>-88238.822761393254</v>
      </c>
      <c r="M71" s="82">
        <f t="shared" si="59"/>
        <v>-4978.73842198682</v>
      </c>
      <c r="N71" s="82">
        <f t="shared" si="59"/>
        <v>-5078.3131904265547</v>
      </c>
      <c r="O71" s="82">
        <f t="shared" si="59"/>
        <v>-5179.8794542350861</v>
      </c>
      <c r="P71" s="82">
        <f t="shared" si="59"/>
        <v>-5283.4770433197882</v>
      </c>
      <c r="Q71" s="82">
        <f t="shared" si="59"/>
        <v>-5389.1465841861827</v>
      </c>
      <c r="R71" s="82">
        <f t="shared" si="59"/>
        <v>-5496.9295158699051</v>
      </c>
      <c r="S71" s="82">
        <f t="shared" si="59"/>
        <v>-5606.8681061873049</v>
      </c>
      <c r="T71" s="82">
        <f t="shared" si="59"/>
        <v>-5719.005468311052</v>
      </c>
      <c r="U71" s="82">
        <f t="shared" si="59"/>
        <v>-5833.3855776772716</v>
      </c>
      <c r="V71" s="82">
        <f t="shared" si="59"/>
        <v>-5950.0532892308174</v>
      </c>
      <c r="W71" s="82">
        <f t="shared" si="59"/>
        <v>-6069.0543550154343</v>
      </c>
      <c r="X71" s="82">
        <f t="shared" si="59"/>
        <v>-6190.4354421157432</v>
      </c>
      <c r="Y71" s="82">
        <f t="shared" si="59"/>
        <v>-6314.2441509580576</v>
      </c>
      <c r="Z71" s="82">
        <f t="shared" si="59"/>
        <v>-6440.5290339772173</v>
      </c>
      <c r="AA71" s="82">
        <f t="shared" si="59"/>
        <v>-6569.3396146567629</v>
      </c>
      <c r="AB71" s="82" t="str">
        <f t="shared" si="59"/>
        <v/>
      </c>
      <c r="AC71" s="82" t="str">
        <f t="shared" si="59"/>
        <v/>
      </c>
      <c r="AD71" s="82" t="str">
        <f t="shared" si="59"/>
        <v/>
      </c>
      <c r="AE71" s="82" t="str">
        <f t="shared" si="59"/>
        <v/>
      </c>
      <c r="AF71" s="82" t="str">
        <f t="shared" si="59"/>
        <v/>
      </c>
      <c r="AG71" s="82" t="str">
        <f t="shared" si="59"/>
        <v/>
      </c>
      <c r="AH71" s="82" t="str">
        <f t="shared" si="59"/>
        <v/>
      </c>
      <c r="AI71" s="82" t="str">
        <f t="shared" ref="AI71:BN71" si="60">IF(ISNUMBER(outYear),AI62-AI70,"")</f>
        <v/>
      </c>
      <c r="AJ71" s="82" t="str">
        <f t="shared" si="60"/>
        <v/>
      </c>
      <c r="AK71" s="82" t="str">
        <f t="shared" si="60"/>
        <v/>
      </c>
      <c r="AL71" s="82" t="str">
        <f t="shared" si="60"/>
        <v/>
      </c>
      <c r="AM71" s="82" t="str">
        <f t="shared" si="60"/>
        <v/>
      </c>
      <c r="AN71" s="82" t="str">
        <f t="shared" si="60"/>
        <v/>
      </c>
      <c r="AO71" s="82" t="str">
        <f t="shared" si="60"/>
        <v/>
      </c>
      <c r="AP71" s="82" t="str">
        <f t="shared" si="60"/>
        <v/>
      </c>
      <c r="AQ71" s="82" t="str">
        <f t="shared" si="60"/>
        <v/>
      </c>
      <c r="AR71" s="82" t="str">
        <f t="shared" si="60"/>
        <v/>
      </c>
      <c r="AS71" s="82" t="str">
        <f t="shared" si="60"/>
        <v/>
      </c>
      <c r="AT71" s="82" t="str">
        <f t="shared" si="60"/>
        <v/>
      </c>
      <c r="AU71" s="82" t="str">
        <f t="shared" si="60"/>
        <v/>
      </c>
      <c r="AV71" s="82" t="str">
        <f t="shared" si="60"/>
        <v/>
      </c>
      <c r="AW71" s="82" t="str">
        <f t="shared" si="60"/>
        <v/>
      </c>
      <c r="AX71" s="82" t="str">
        <f t="shared" si="60"/>
        <v/>
      </c>
      <c r="AY71" s="82" t="str">
        <f t="shared" si="60"/>
        <v/>
      </c>
      <c r="AZ71" s="82" t="str">
        <f t="shared" si="60"/>
        <v/>
      </c>
      <c r="BA71" s="82" t="str">
        <f t="shared" si="60"/>
        <v/>
      </c>
      <c r="BB71" s="82" t="str">
        <f t="shared" si="60"/>
        <v/>
      </c>
      <c r="BC71" s="82" t="str">
        <f t="shared" si="60"/>
        <v/>
      </c>
      <c r="BD71" s="82" t="str">
        <f t="shared" si="60"/>
        <v/>
      </c>
      <c r="BE71" s="82" t="str">
        <f t="shared" si="60"/>
        <v/>
      </c>
      <c r="BF71" s="82" t="str">
        <f t="shared" si="60"/>
        <v/>
      </c>
      <c r="BG71" s="82" t="str">
        <f t="shared" si="60"/>
        <v/>
      </c>
      <c r="BH71" s="82" t="str">
        <f t="shared" si="60"/>
        <v/>
      </c>
      <c r="BI71" s="82" t="str">
        <f t="shared" si="60"/>
        <v/>
      </c>
      <c r="BJ71" s="82" t="str">
        <f t="shared" si="60"/>
        <v/>
      </c>
      <c r="BK71" s="82" t="str">
        <f t="shared" si="60"/>
        <v/>
      </c>
      <c r="BL71" s="82" t="str">
        <f t="shared" si="60"/>
        <v/>
      </c>
      <c r="BM71" s="82" t="str">
        <f t="shared" si="60"/>
        <v/>
      </c>
      <c r="BN71" s="82" t="str">
        <f t="shared" si="60"/>
        <v/>
      </c>
      <c r="BO71" s="82" t="str">
        <f t="shared" ref="BO71:CT71" si="61">IF(ISNUMBER(outYear),BO62-BO70,"")</f>
        <v/>
      </c>
      <c r="BP71" s="82" t="str">
        <f t="shared" si="61"/>
        <v/>
      </c>
      <c r="BQ71" s="82" t="str">
        <f t="shared" si="61"/>
        <v/>
      </c>
      <c r="BR71" s="82" t="str">
        <f t="shared" si="61"/>
        <v/>
      </c>
      <c r="BS71" s="82" t="str">
        <f t="shared" si="61"/>
        <v/>
      </c>
      <c r="BT71" s="82" t="str">
        <f t="shared" si="61"/>
        <v/>
      </c>
      <c r="BU71" s="82" t="str">
        <f t="shared" si="61"/>
        <v/>
      </c>
      <c r="BV71" s="82" t="str">
        <f t="shared" si="61"/>
        <v/>
      </c>
      <c r="BW71" s="82" t="str">
        <f t="shared" si="61"/>
        <v/>
      </c>
      <c r="BX71" s="82" t="str">
        <f t="shared" si="61"/>
        <v/>
      </c>
      <c r="BY71" s="82" t="str">
        <f t="shared" si="61"/>
        <v/>
      </c>
      <c r="BZ71" s="82" t="str">
        <f t="shared" si="61"/>
        <v/>
      </c>
      <c r="CA71" s="82" t="str">
        <f t="shared" si="61"/>
        <v/>
      </c>
      <c r="CB71" s="82" t="str">
        <f t="shared" si="61"/>
        <v/>
      </c>
      <c r="CC71" s="82" t="str">
        <f t="shared" si="61"/>
        <v/>
      </c>
      <c r="CD71" s="82" t="str">
        <f t="shared" si="61"/>
        <v/>
      </c>
      <c r="CE71" s="82" t="str">
        <f t="shared" si="61"/>
        <v/>
      </c>
      <c r="CF71" s="82" t="str">
        <f t="shared" si="61"/>
        <v/>
      </c>
      <c r="CG71" s="82" t="str">
        <f t="shared" si="61"/>
        <v/>
      </c>
      <c r="CH71" s="82" t="str">
        <f t="shared" si="61"/>
        <v/>
      </c>
      <c r="CI71" s="82" t="str">
        <f t="shared" si="61"/>
        <v/>
      </c>
      <c r="CJ71" s="82" t="str">
        <f t="shared" si="61"/>
        <v/>
      </c>
      <c r="CK71" s="82" t="str">
        <f t="shared" si="61"/>
        <v/>
      </c>
      <c r="CL71" s="82" t="str">
        <f t="shared" si="61"/>
        <v/>
      </c>
      <c r="CM71" s="82" t="str">
        <f t="shared" si="61"/>
        <v/>
      </c>
      <c r="CN71" s="82" t="str">
        <f t="shared" si="61"/>
        <v/>
      </c>
      <c r="CO71" s="82" t="str">
        <f t="shared" si="61"/>
        <v/>
      </c>
      <c r="CP71" s="82" t="str">
        <f t="shared" si="61"/>
        <v/>
      </c>
      <c r="CQ71" s="82" t="str">
        <f t="shared" si="61"/>
        <v/>
      </c>
      <c r="CR71" s="82" t="str">
        <f t="shared" si="61"/>
        <v/>
      </c>
      <c r="CS71" s="82" t="str">
        <f t="shared" si="61"/>
        <v/>
      </c>
      <c r="CT71" s="82" t="str">
        <f t="shared" si="61"/>
        <v/>
      </c>
      <c r="CU71" s="82" t="str">
        <f t="shared" ref="CU71:CX71" si="62">IF(ISNUMBER(outYear),CU62-CU70,"")</f>
        <v/>
      </c>
      <c r="CV71" s="82" t="str">
        <f t="shared" si="62"/>
        <v/>
      </c>
      <c r="CW71" s="82" t="str">
        <f t="shared" si="62"/>
        <v/>
      </c>
      <c r="CX71" s="82" t="str">
        <f t="shared" si="62"/>
        <v/>
      </c>
    </row>
    <row r="72" spans="1:255" x14ac:dyDescent="0.2">
      <c r="A72" s="70" t="s">
        <v>9</v>
      </c>
      <c r="B72" s="16"/>
      <c r="C72" s="82">
        <f t="shared" ref="C72:AH72" si="63">IF(ISNUMBER(outYear),+C71*federal_tax_rate/100,"")</f>
        <v>-91319.191469999976</v>
      </c>
      <c r="D72" s="82">
        <f t="shared" si="63"/>
        <v>-42435.572541599991</v>
      </c>
      <c r="E72" s="82">
        <f t="shared" si="63"/>
        <v>-25986.257709551999</v>
      </c>
      <c r="F72" s="82">
        <f t="shared" si="63"/>
        <v>-16127.16709401504</v>
      </c>
      <c r="G72" s="82">
        <f t="shared" si="63"/>
        <v>-16153.17284247454</v>
      </c>
      <c r="H72" s="82">
        <f t="shared" si="63"/>
        <v>-8766.2588703832316</v>
      </c>
      <c r="I72" s="82">
        <f t="shared" si="63"/>
        <v>-1379.8754155604965</v>
      </c>
      <c r="J72" s="82">
        <f t="shared" si="63"/>
        <v>-1407.4729238717059</v>
      </c>
      <c r="K72" s="82">
        <f t="shared" si="63"/>
        <v>-1435.6223823491403</v>
      </c>
      <c r="L72" s="82">
        <f t="shared" si="63"/>
        <v>-26471.646828417979</v>
      </c>
      <c r="M72" s="82">
        <f t="shared" si="63"/>
        <v>-1493.6215265960459</v>
      </c>
      <c r="N72" s="82">
        <f t="shared" si="63"/>
        <v>-1523.4939571279663</v>
      </c>
      <c r="O72" s="82">
        <f t="shared" si="63"/>
        <v>-1553.9638362705259</v>
      </c>
      <c r="P72" s="82">
        <f t="shared" si="63"/>
        <v>-1585.0431129959366</v>
      </c>
      <c r="Q72" s="82">
        <f t="shared" si="63"/>
        <v>-1616.7439752558548</v>
      </c>
      <c r="R72" s="82">
        <f t="shared" si="63"/>
        <v>-1649.0788547609714</v>
      </c>
      <c r="S72" s="82">
        <f t="shared" si="63"/>
        <v>-1682.0604318561914</v>
      </c>
      <c r="T72" s="82">
        <f t="shared" si="63"/>
        <v>-1715.7016404933156</v>
      </c>
      <c r="U72" s="82">
        <f t="shared" si="63"/>
        <v>-1750.0156733031815</v>
      </c>
      <c r="V72" s="82">
        <f t="shared" si="63"/>
        <v>-1785.0159867692453</v>
      </c>
      <c r="W72" s="82">
        <f t="shared" si="63"/>
        <v>-1820.7163065046302</v>
      </c>
      <c r="X72" s="82">
        <f t="shared" si="63"/>
        <v>-1857.1306326347228</v>
      </c>
      <c r="Y72" s="82">
        <f t="shared" si="63"/>
        <v>-1894.2732452874175</v>
      </c>
      <c r="Z72" s="82">
        <f t="shared" si="63"/>
        <v>-1932.1587101931652</v>
      </c>
      <c r="AA72" s="82">
        <f t="shared" si="63"/>
        <v>-1970.8018843970287</v>
      </c>
      <c r="AB72" s="82" t="str">
        <f t="shared" si="63"/>
        <v/>
      </c>
      <c r="AC72" s="82" t="str">
        <f t="shared" si="63"/>
        <v/>
      </c>
      <c r="AD72" s="82" t="str">
        <f t="shared" si="63"/>
        <v/>
      </c>
      <c r="AE72" s="82" t="str">
        <f t="shared" si="63"/>
        <v/>
      </c>
      <c r="AF72" s="82" t="str">
        <f t="shared" si="63"/>
        <v/>
      </c>
      <c r="AG72" s="82" t="str">
        <f t="shared" si="63"/>
        <v/>
      </c>
      <c r="AH72" s="82" t="str">
        <f t="shared" si="63"/>
        <v/>
      </c>
      <c r="AI72" s="82" t="str">
        <f t="shared" ref="AI72:BN72" si="64">IF(ISNUMBER(outYear),+AI71*federal_tax_rate/100,"")</f>
        <v/>
      </c>
      <c r="AJ72" s="82" t="str">
        <f t="shared" si="64"/>
        <v/>
      </c>
      <c r="AK72" s="82" t="str">
        <f t="shared" si="64"/>
        <v/>
      </c>
      <c r="AL72" s="82" t="str">
        <f t="shared" si="64"/>
        <v/>
      </c>
      <c r="AM72" s="82" t="str">
        <f t="shared" si="64"/>
        <v/>
      </c>
      <c r="AN72" s="82" t="str">
        <f t="shared" si="64"/>
        <v/>
      </c>
      <c r="AO72" s="82" t="str">
        <f t="shared" si="64"/>
        <v/>
      </c>
      <c r="AP72" s="82" t="str">
        <f t="shared" si="64"/>
        <v/>
      </c>
      <c r="AQ72" s="82" t="str">
        <f t="shared" si="64"/>
        <v/>
      </c>
      <c r="AR72" s="82" t="str">
        <f t="shared" si="64"/>
        <v/>
      </c>
      <c r="AS72" s="82" t="str">
        <f t="shared" si="64"/>
        <v/>
      </c>
      <c r="AT72" s="82" t="str">
        <f t="shared" si="64"/>
        <v/>
      </c>
      <c r="AU72" s="82" t="str">
        <f t="shared" si="64"/>
        <v/>
      </c>
      <c r="AV72" s="82" t="str">
        <f t="shared" si="64"/>
        <v/>
      </c>
      <c r="AW72" s="82" t="str">
        <f t="shared" si="64"/>
        <v/>
      </c>
      <c r="AX72" s="82" t="str">
        <f t="shared" si="64"/>
        <v/>
      </c>
      <c r="AY72" s="82" t="str">
        <f t="shared" si="64"/>
        <v/>
      </c>
      <c r="AZ72" s="82" t="str">
        <f t="shared" si="64"/>
        <v/>
      </c>
      <c r="BA72" s="82" t="str">
        <f t="shared" si="64"/>
        <v/>
      </c>
      <c r="BB72" s="82" t="str">
        <f t="shared" si="64"/>
        <v/>
      </c>
      <c r="BC72" s="82" t="str">
        <f t="shared" si="64"/>
        <v/>
      </c>
      <c r="BD72" s="82" t="str">
        <f t="shared" si="64"/>
        <v/>
      </c>
      <c r="BE72" s="82" t="str">
        <f t="shared" si="64"/>
        <v/>
      </c>
      <c r="BF72" s="82" t="str">
        <f t="shared" si="64"/>
        <v/>
      </c>
      <c r="BG72" s="82" t="str">
        <f t="shared" si="64"/>
        <v/>
      </c>
      <c r="BH72" s="82" t="str">
        <f t="shared" si="64"/>
        <v/>
      </c>
      <c r="BI72" s="82" t="str">
        <f t="shared" si="64"/>
        <v/>
      </c>
      <c r="BJ72" s="82" t="str">
        <f t="shared" si="64"/>
        <v/>
      </c>
      <c r="BK72" s="82" t="str">
        <f t="shared" si="64"/>
        <v/>
      </c>
      <c r="BL72" s="82" t="str">
        <f t="shared" si="64"/>
        <v/>
      </c>
      <c r="BM72" s="82" t="str">
        <f t="shared" si="64"/>
        <v/>
      </c>
      <c r="BN72" s="82" t="str">
        <f t="shared" si="64"/>
        <v/>
      </c>
      <c r="BO72" s="82" t="str">
        <f t="shared" ref="BO72:CT72" si="65">IF(ISNUMBER(outYear),+BO71*federal_tax_rate/100,"")</f>
        <v/>
      </c>
      <c r="BP72" s="82" t="str">
        <f t="shared" si="65"/>
        <v/>
      </c>
      <c r="BQ72" s="82" t="str">
        <f t="shared" si="65"/>
        <v/>
      </c>
      <c r="BR72" s="82" t="str">
        <f t="shared" si="65"/>
        <v/>
      </c>
      <c r="BS72" s="82" t="str">
        <f t="shared" si="65"/>
        <v/>
      </c>
      <c r="BT72" s="82" t="str">
        <f t="shared" si="65"/>
        <v/>
      </c>
      <c r="BU72" s="82" t="str">
        <f t="shared" si="65"/>
        <v/>
      </c>
      <c r="BV72" s="82" t="str">
        <f t="shared" si="65"/>
        <v/>
      </c>
      <c r="BW72" s="82" t="str">
        <f t="shared" si="65"/>
        <v/>
      </c>
      <c r="BX72" s="82" t="str">
        <f t="shared" si="65"/>
        <v/>
      </c>
      <c r="BY72" s="82" t="str">
        <f t="shared" si="65"/>
        <v/>
      </c>
      <c r="BZ72" s="82" t="str">
        <f t="shared" si="65"/>
        <v/>
      </c>
      <c r="CA72" s="82" t="str">
        <f t="shared" si="65"/>
        <v/>
      </c>
      <c r="CB72" s="82" t="str">
        <f t="shared" si="65"/>
        <v/>
      </c>
      <c r="CC72" s="82" t="str">
        <f t="shared" si="65"/>
        <v/>
      </c>
      <c r="CD72" s="82" t="str">
        <f t="shared" si="65"/>
        <v/>
      </c>
      <c r="CE72" s="82" t="str">
        <f t="shared" si="65"/>
        <v/>
      </c>
      <c r="CF72" s="82" t="str">
        <f t="shared" si="65"/>
        <v/>
      </c>
      <c r="CG72" s="82" t="str">
        <f t="shared" si="65"/>
        <v/>
      </c>
      <c r="CH72" s="82" t="str">
        <f t="shared" si="65"/>
        <v/>
      </c>
      <c r="CI72" s="82" t="str">
        <f t="shared" si="65"/>
        <v/>
      </c>
      <c r="CJ72" s="82" t="str">
        <f t="shared" si="65"/>
        <v/>
      </c>
      <c r="CK72" s="82" t="str">
        <f t="shared" si="65"/>
        <v/>
      </c>
      <c r="CL72" s="82" t="str">
        <f t="shared" si="65"/>
        <v/>
      </c>
      <c r="CM72" s="82" t="str">
        <f t="shared" si="65"/>
        <v/>
      </c>
      <c r="CN72" s="82" t="str">
        <f t="shared" si="65"/>
        <v/>
      </c>
      <c r="CO72" s="82" t="str">
        <f t="shared" si="65"/>
        <v/>
      </c>
      <c r="CP72" s="82" t="str">
        <f t="shared" si="65"/>
        <v/>
      </c>
      <c r="CQ72" s="82" t="str">
        <f t="shared" si="65"/>
        <v/>
      </c>
      <c r="CR72" s="82" t="str">
        <f t="shared" si="65"/>
        <v/>
      </c>
      <c r="CS72" s="82" t="str">
        <f t="shared" si="65"/>
        <v/>
      </c>
      <c r="CT72" s="82" t="str">
        <f t="shared" si="65"/>
        <v/>
      </c>
      <c r="CU72" s="82" t="str">
        <f t="shared" ref="CU72:CX72" si="66">IF(ISNUMBER(outYear),+CU71*federal_tax_rate/100,"")</f>
        <v/>
      </c>
      <c r="CV72" s="82" t="str">
        <f t="shared" si="66"/>
        <v/>
      </c>
      <c r="CW72" s="82" t="str">
        <f t="shared" si="66"/>
        <v/>
      </c>
      <c r="CX72" s="82" t="str">
        <f t="shared" si="66"/>
        <v/>
      </c>
    </row>
    <row r="73" spans="1:255" x14ac:dyDescent="0.2">
      <c r="A73" s="62" t="s">
        <v>101</v>
      </c>
      <c r="B73" s="82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C39,0)-IF(cbi_sta_deprbas_fed="Yes",C40,0)-IF(cbi_uti_deprbas_fed="Yes",C41,0),"")</f>
        <v>542718</v>
      </c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2"/>
      <c r="AH73" s="82"/>
      <c r="AI73" s="82"/>
      <c r="AJ73" s="82"/>
      <c r="AK73" s="82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2"/>
      <c r="AW73" s="82"/>
      <c r="AX73" s="82"/>
      <c r="AY73" s="82"/>
      <c r="AZ73" s="82"/>
      <c r="BA73" s="82"/>
      <c r="BB73" s="82"/>
      <c r="BC73" s="82"/>
      <c r="BD73" s="82"/>
      <c r="BE73" s="82"/>
      <c r="BF73" s="82"/>
      <c r="BG73" s="82"/>
      <c r="BH73" s="82"/>
      <c r="BI73" s="82"/>
      <c r="BJ73" s="82"/>
      <c r="BK73" s="82"/>
      <c r="BL73" s="82"/>
      <c r="BM73" s="82"/>
      <c r="BN73" s="82"/>
      <c r="BO73" s="82"/>
      <c r="BP73" s="82"/>
      <c r="BQ73" s="82"/>
      <c r="BR73" s="82"/>
      <c r="BS73" s="82"/>
      <c r="BT73" s="82"/>
      <c r="BU73" s="82"/>
      <c r="BV73" s="82"/>
      <c r="BW73" s="82"/>
      <c r="BX73" s="82"/>
      <c r="BY73" s="82"/>
      <c r="BZ73" s="82"/>
      <c r="CA73" s="82"/>
      <c r="CB73" s="82"/>
      <c r="CC73" s="82"/>
      <c r="CD73" s="82"/>
      <c r="CE73" s="82"/>
      <c r="CF73" s="82"/>
      <c r="CG73" s="82"/>
      <c r="CH73" s="82"/>
      <c r="CI73" s="82"/>
      <c r="CJ73" s="82"/>
      <c r="CK73" s="82"/>
      <c r="CL73" s="82"/>
      <c r="CM73" s="82"/>
      <c r="CN73" s="82"/>
      <c r="CO73" s="82"/>
      <c r="CP73" s="82"/>
      <c r="CQ73" s="82"/>
      <c r="CR73" s="82"/>
      <c r="CS73" s="82"/>
      <c r="CT73" s="82"/>
      <c r="CU73" s="82"/>
      <c r="CV73" s="82"/>
      <c r="CW73" s="82"/>
      <c r="CX73" s="82"/>
    </row>
    <row r="74" spans="1:255" x14ac:dyDescent="0.2">
      <c r="A74" s="62" t="s">
        <v>102</v>
      </c>
      <c r="B74" s="16"/>
      <c r="C74" s="82">
        <f>IF(ISNUMBER(outYear),MIN(itc_fed_percent/100*$B$73,itc_fed_percent_maxvalue),"")</f>
        <v>162815.4</v>
      </c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82"/>
      <c r="AD74" s="82"/>
      <c r="AE74" s="82"/>
      <c r="AF74" s="82"/>
      <c r="AG74" s="82"/>
      <c r="AH74" s="82"/>
      <c r="AI74" s="82"/>
      <c r="AJ74" s="82"/>
      <c r="AK74" s="82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2"/>
      <c r="AW74" s="82"/>
      <c r="AX74" s="82"/>
      <c r="AY74" s="82"/>
      <c r="AZ74" s="82"/>
      <c r="BA74" s="82"/>
      <c r="BB74" s="82"/>
      <c r="BC74" s="82"/>
      <c r="BD74" s="82"/>
      <c r="BE74" s="82"/>
      <c r="BF74" s="82"/>
      <c r="BG74" s="82"/>
      <c r="BH74" s="82"/>
      <c r="BI74" s="82"/>
      <c r="BJ74" s="82"/>
      <c r="BK74" s="82"/>
      <c r="BL74" s="82"/>
      <c r="BM74" s="82"/>
      <c r="BN74" s="82"/>
      <c r="BO74" s="82"/>
      <c r="BP74" s="82"/>
      <c r="BQ74" s="82"/>
      <c r="BR74" s="82"/>
      <c r="BS74" s="82"/>
      <c r="BT74" s="82"/>
      <c r="BU74" s="82"/>
      <c r="BV74" s="82"/>
      <c r="BW74" s="82"/>
      <c r="BX74" s="82"/>
      <c r="BY74" s="82"/>
      <c r="BZ74" s="82"/>
      <c r="CA74" s="82"/>
      <c r="CB74" s="82"/>
      <c r="CC74" s="82"/>
      <c r="CD74" s="82"/>
      <c r="CE74" s="82"/>
      <c r="CF74" s="82"/>
      <c r="CG74" s="82"/>
      <c r="CH74" s="82"/>
      <c r="CI74" s="82"/>
      <c r="CJ74" s="82"/>
      <c r="CK74" s="82"/>
      <c r="CL74" s="82"/>
      <c r="CM74" s="82"/>
      <c r="CN74" s="82"/>
      <c r="CO74" s="82"/>
      <c r="CP74" s="82"/>
      <c r="CQ74" s="82"/>
      <c r="CR74" s="82"/>
      <c r="CS74" s="82"/>
      <c r="CT74" s="82"/>
      <c r="CU74" s="82"/>
      <c r="CV74" s="82"/>
      <c r="CW74" s="82"/>
      <c r="CX74" s="82"/>
    </row>
    <row r="75" spans="1:255" x14ac:dyDescent="0.2">
      <c r="A75" s="72" t="s">
        <v>45</v>
      </c>
      <c r="B75" s="71"/>
      <c r="C75" s="83">
        <f>-C72+C74</f>
        <v>254134.59146999998</v>
      </c>
      <c r="D75" s="83">
        <f t="shared" ref="D75:AA75" si="67">-D72+D74</f>
        <v>42435.572541599991</v>
      </c>
      <c r="E75" s="83">
        <f t="shared" si="67"/>
        <v>25986.257709551999</v>
      </c>
      <c r="F75" s="83">
        <f t="shared" si="67"/>
        <v>16127.16709401504</v>
      </c>
      <c r="G75" s="83">
        <f t="shared" si="67"/>
        <v>16153.17284247454</v>
      </c>
      <c r="H75" s="83">
        <f t="shared" si="67"/>
        <v>8766.2588703832316</v>
      </c>
      <c r="I75" s="83">
        <f t="shared" si="67"/>
        <v>1379.8754155604965</v>
      </c>
      <c r="J75" s="83">
        <f t="shared" si="67"/>
        <v>1407.4729238717059</v>
      </c>
      <c r="K75" s="83">
        <f t="shared" si="67"/>
        <v>1435.6223823491403</v>
      </c>
      <c r="L75" s="83">
        <f t="shared" si="67"/>
        <v>26471.646828417979</v>
      </c>
      <c r="M75" s="83">
        <f t="shared" si="67"/>
        <v>1493.6215265960459</v>
      </c>
      <c r="N75" s="83">
        <f t="shared" si="67"/>
        <v>1523.4939571279663</v>
      </c>
      <c r="O75" s="83">
        <f t="shared" si="67"/>
        <v>1553.9638362705259</v>
      </c>
      <c r="P75" s="83">
        <f t="shared" si="67"/>
        <v>1585.0431129959366</v>
      </c>
      <c r="Q75" s="83">
        <f t="shared" si="67"/>
        <v>1616.7439752558548</v>
      </c>
      <c r="R75" s="83">
        <f t="shared" si="67"/>
        <v>1649.0788547609714</v>
      </c>
      <c r="S75" s="83">
        <f t="shared" si="67"/>
        <v>1682.0604318561914</v>
      </c>
      <c r="T75" s="83">
        <f t="shared" si="67"/>
        <v>1715.7016404933156</v>
      </c>
      <c r="U75" s="83">
        <f t="shared" si="67"/>
        <v>1750.0156733031815</v>
      </c>
      <c r="V75" s="83">
        <f t="shared" si="67"/>
        <v>1785.0159867692453</v>
      </c>
      <c r="W75" s="83">
        <f t="shared" si="67"/>
        <v>1820.7163065046302</v>
      </c>
      <c r="X75" s="83">
        <f t="shared" si="67"/>
        <v>1857.1306326347228</v>
      </c>
      <c r="Y75" s="83">
        <f t="shared" si="67"/>
        <v>1894.2732452874175</v>
      </c>
      <c r="Z75" s="83">
        <f t="shared" si="67"/>
        <v>1932.1587101931652</v>
      </c>
      <c r="AA75" s="83">
        <f t="shared" si="67"/>
        <v>1970.8018843970287</v>
      </c>
      <c r="AB75" s="83" t="str">
        <f>IF(ISNUMBER(outYear),-AB72+#REF!,"")</f>
        <v/>
      </c>
      <c r="AC75" s="83" t="str">
        <f>IF(ISNUMBER(outYear),-AC72+#REF!,"")</f>
        <v/>
      </c>
      <c r="AD75" s="83" t="str">
        <f>IF(ISNUMBER(outYear),-AD72+#REF!,"")</f>
        <v/>
      </c>
      <c r="AE75" s="83" t="str">
        <f>IF(ISNUMBER(outYear),-AE72+#REF!,"")</f>
        <v/>
      </c>
      <c r="AF75" s="83" t="str">
        <f>IF(ISNUMBER(outYear),-AF72+#REF!,"")</f>
        <v/>
      </c>
      <c r="AG75" s="83" t="str">
        <f>IF(ISNUMBER(outYear),-AG72+#REF!,"")</f>
        <v/>
      </c>
      <c r="AH75" s="83" t="str">
        <f>IF(ISNUMBER(outYear),-AH72+#REF!,"")</f>
        <v/>
      </c>
      <c r="AI75" s="83" t="str">
        <f>IF(ISNUMBER(outYear),-AI72+#REF!,"")</f>
        <v/>
      </c>
      <c r="AJ75" s="83" t="str">
        <f>IF(ISNUMBER(outYear),-AJ72+#REF!,"")</f>
        <v/>
      </c>
      <c r="AK75" s="83" t="str">
        <f>IF(ISNUMBER(outYear),-AK72+#REF!,"")</f>
        <v/>
      </c>
      <c r="AL75" s="83" t="str">
        <f>IF(ISNUMBER(outYear),-AL72+#REF!,"")</f>
        <v/>
      </c>
      <c r="AM75" s="83" t="str">
        <f>IF(ISNUMBER(outYear),-AM72+#REF!,"")</f>
        <v/>
      </c>
      <c r="AN75" s="83" t="str">
        <f>IF(ISNUMBER(outYear),-AN72+#REF!,"")</f>
        <v/>
      </c>
      <c r="AO75" s="83" t="str">
        <f>IF(ISNUMBER(outYear),-AO72+#REF!,"")</f>
        <v/>
      </c>
      <c r="AP75" s="83" t="str">
        <f>IF(ISNUMBER(outYear),-AP72+#REF!,"")</f>
        <v/>
      </c>
      <c r="AQ75" s="83" t="str">
        <f>IF(ISNUMBER(outYear),-AQ72+#REF!,"")</f>
        <v/>
      </c>
      <c r="AR75" s="83" t="str">
        <f>IF(ISNUMBER(outYear),-AR72+#REF!,"")</f>
        <v/>
      </c>
      <c r="AS75" s="83" t="str">
        <f>IF(ISNUMBER(outYear),-AS72+#REF!,"")</f>
        <v/>
      </c>
      <c r="AT75" s="83" t="str">
        <f>IF(ISNUMBER(outYear),-AT72+#REF!,"")</f>
        <v/>
      </c>
      <c r="AU75" s="83" t="str">
        <f>IF(ISNUMBER(outYear),-AU72+#REF!,"")</f>
        <v/>
      </c>
      <c r="AV75" s="83" t="str">
        <f>IF(ISNUMBER(outYear),-AV72+#REF!,"")</f>
        <v/>
      </c>
      <c r="AW75" s="83" t="str">
        <f>IF(ISNUMBER(outYear),-AW72+#REF!,"")</f>
        <v/>
      </c>
      <c r="AX75" s="83" t="str">
        <f>IF(ISNUMBER(outYear),-AX72+#REF!,"")</f>
        <v/>
      </c>
      <c r="AY75" s="83" t="str">
        <f>IF(ISNUMBER(outYear),-AY72+#REF!,"")</f>
        <v/>
      </c>
      <c r="AZ75" s="83" t="str">
        <f>IF(ISNUMBER(outYear),-AZ72+#REF!,"")</f>
        <v/>
      </c>
      <c r="BA75" s="83" t="str">
        <f>IF(ISNUMBER(outYear),-BA72+#REF!,"")</f>
        <v/>
      </c>
      <c r="BB75" s="83" t="str">
        <f>IF(ISNUMBER(outYear),-BB72+#REF!,"")</f>
        <v/>
      </c>
      <c r="BC75" s="83" t="str">
        <f>IF(ISNUMBER(outYear),-BC72+#REF!,"")</f>
        <v/>
      </c>
      <c r="BD75" s="83" t="str">
        <f>IF(ISNUMBER(outYear),-BD72+#REF!,"")</f>
        <v/>
      </c>
      <c r="BE75" s="83" t="str">
        <f>IF(ISNUMBER(outYear),-BE72+#REF!,"")</f>
        <v/>
      </c>
      <c r="BF75" s="83" t="str">
        <f>IF(ISNUMBER(outYear),-BF72+#REF!,"")</f>
        <v/>
      </c>
      <c r="BG75" s="83" t="str">
        <f>IF(ISNUMBER(outYear),-BG72+#REF!,"")</f>
        <v/>
      </c>
      <c r="BH75" s="83" t="str">
        <f>IF(ISNUMBER(outYear),-BH72+#REF!,"")</f>
        <v/>
      </c>
      <c r="BI75" s="83" t="str">
        <f>IF(ISNUMBER(outYear),-BI72+#REF!,"")</f>
        <v/>
      </c>
      <c r="BJ75" s="83" t="str">
        <f>IF(ISNUMBER(outYear),-BJ72+#REF!,"")</f>
        <v/>
      </c>
      <c r="BK75" s="83" t="str">
        <f>IF(ISNUMBER(outYear),-BK72+#REF!,"")</f>
        <v/>
      </c>
      <c r="BL75" s="83" t="str">
        <f>IF(ISNUMBER(outYear),-BL72+#REF!,"")</f>
        <v/>
      </c>
      <c r="BM75" s="83" t="str">
        <f>IF(ISNUMBER(outYear),-BM72+#REF!,"")</f>
        <v/>
      </c>
      <c r="BN75" s="83" t="str">
        <f>IF(ISNUMBER(outYear),-BN72+#REF!,"")</f>
        <v/>
      </c>
      <c r="BO75" s="83" t="str">
        <f>IF(ISNUMBER(outYear),-BO72+#REF!,"")</f>
        <v/>
      </c>
      <c r="BP75" s="83" t="str">
        <f>IF(ISNUMBER(outYear),-BP72+#REF!,"")</f>
        <v/>
      </c>
      <c r="BQ75" s="83" t="str">
        <f>IF(ISNUMBER(outYear),-BQ72+#REF!,"")</f>
        <v/>
      </c>
      <c r="BR75" s="83" t="str">
        <f>IF(ISNUMBER(outYear),-BR72+#REF!,"")</f>
        <v/>
      </c>
      <c r="BS75" s="83" t="str">
        <f>IF(ISNUMBER(outYear),-BS72+#REF!,"")</f>
        <v/>
      </c>
      <c r="BT75" s="83" t="str">
        <f>IF(ISNUMBER(outYear),-BT72+#REF!,"")</f>
        <v/>
      </c>
      <c r="BU75" s="83" t="str">
        <f>IF(ISNUMBER(outYear),-BU72+#REF!,"")</f>
        <v/>
      </c>
      <c r="BV75" s="83" t="str">
        <f>IF(ISNUMBER(outYear),-BV72+#REF!,"")</f>
        <v/>
      </c>
      <c r="BW75" s="83" t="str">
        <f>IF(ISNUMBER(outYear),-BW72+#REF!,"")</f>
        <v/>
      </c>
      <c r="BX75" s="83" t="str">
        <f>IF(ISNUMBER(outYear),-BX72+#REF!,"")</f>
        <v/>
      </c>
      <c r="BY75" s="83" t="str">
        <f>IF(ISNUMBER(outYear),-BY72+#REF!,"")</f>
        <v/>
      </c>
      <c r="BZ75" s="83" t="str">
        <f>IF(ISNUMBER(outYear),-BZ72+#REF!,"")</f>
        <v/>
      </c>
      <c r="CA75" s="83" t="str">
        <f>IF(ISNUMBER(outYear),-CA72+#REF!,"")</f>
        <v/>
      </c>
      <c r="CB75" s="83" t="str">
        <f>IF(ISNUMBER(outYear),-CB72+#REF!,"")</f>
        <v/>
      </c>
      <c r="CC75" s="83" t="str">
        <f>IF(ISNUMBER(outYear),-CC72+#REF!,"")</f>
        <v/>
      </c>
      <c r="CD75" s="83" t="str">
        <f>IF(ISNUMBER(outYear),-CD72+#REF!,"")</f>
        <v/>
      </c>
      <c r="CE75" s="83" t="str">
        <f>IF(ISNUMBER(outYear),-CE72+#REF!,"")</f>
        <v/>
      </c>
      <c r="CF75" s="83" t="str">
        <f>IF(ISNUMBER(outYear),-CF72+#REF!,"")</f>
        <v/>
      </c>
      <c r="CG75" s="83" t="str">
        <f>IF(ISNUMBER(outYear),-CG72+#REF!,"")</f>
        <v/>
      </c>
      <c r="CH75" s="83" t="str">
        <f>IF(ISNUMBER(outYear),-CH72+#REF!,"")</f>
        <v/>
      </c>
      <c r="CI75" s="83" t="str">
        <f>IF(ISNUMBER(outYear),-CI72+#REF!,"")</f>
        <v/>
      </c>
      <c r="CJ75" s="83" t="str">
        <f>IF(ISNUMBER(outYear),-CJ72+#REF!,"")</f>
        <v/>
      </c>
      <c r="CK75" s="83" t="str">
        <f>IF(ISNUMBER(outYear),-CK72+#REF!,"")</f>
        <v/>
      </c>
      <c r="CL75" s="83" t="str">
        <f>IF(ISNUMBER(outYear),-CL72+#REF!,"")</f>
        <v/>
      </c>
      <c r="CM75" s="83" t="str">
        <f>IF(ISNUMBER(outYear),-CM72+#REF!,"")</f>
        <v/>
      </c>
      <c r="CN75" s="83" t="str">
        <f>IF(ISNUMBER(outYear),-CN72+#REF!,"")</f>
        <v/>
      </c>
      <c r="CO75" s="83" t="str">
        <f>IF(ISNUMBER(outYear),-CO72+#REF!,"")</f>
        <v/>
      </c>
      <c r="CP75" s="83" t="str">
        <f>IF(ISNUMBER(outYear),-CP72+#REF!,"")</f>
        <v/>
      </c>
      <c r="CQ75" s="83" t="str">
        <f>IF(ISNUMBER(outYear),-CQ72+#REF!,"")</f>
        <v/>
      </c>
      <c r="CR75" s="83" t="str">
        <f>IF(ISNUMBER(outYear),-CR72+#REF!,"")</f>
        <v/>
      </c>
      <c r="CS75" s="83" t="str">
        <f>IF(ISNUMBER(outYear),-CS72+#REF!,"")</f>
        <v/>
      </c>
      <c r="CT75" s="83" t="str">
        <f>IF(ISNUMBER(outYear),-CT72+#REF!,"")</f>
        <v/>
      </c>
      <c r="CU75" s="83" t="str">
        <f>IF(ISNUMBER(outYear),-CU72+#REF!,"")</f>
        <v/>
      </c>
      <c r="CV75" s="83" t="str">
        <f>IF(ISNUMBER(outYear),-CV72+#REF!,"")</f>
        <v/>
      </c>
      <c r="CW75" s="83" t="str">
        <f>IF(ISNUMBER(outYear),-CW72+#REF!,"")</f>
        <v/>
      </c>
      <c r="CX75" s="83" t="str">
        <f>IF(ISNUMBER(outYear),-CX72+#REF!,"")</f>
        <v/>
      </c>
    </row>
    <row r="76" spans="1:255" x14ac:dyDescent="0.2">
      <c r="A76" s="62"/>
      <c r="B76" s="16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</row>
    <row r="77" spans="1:255" x14ac:dyDescent="0.2">
      <c r="A77" s="70"/>
      <c r="B77" s="16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</row>
    <row r="78" spans="1:255" x14ac:dyDescent="0.2">
      <c r="A78" s="61" t="s">
        <v>48</v>
      </c>
      <c r="B78" s="82">
        <f>IF(ISNUMBER(outYear),(B31+B45+B59+B75),"")</f>
        <v>-542718</v>
      </c>
      <c r="C78" s="82">
        <f>IF(ISNUMBER(outYear),(C31+C45+C59+C75),"")</f>
        <v>272654.49656999996</v>
      </c>
      <c r="D78" s="82">
        <f>IF(ISNUMBER(outYear),(D31+D45+D59+D75),"")</f>
        <v>48602.960069599991</v>
      </c>
      <c r="E78" s="82">
        <f>IF(ISNUMBER(outYear),(E31+E45+E59+E75),"")</f>
        <v>27936.976277711998</v>
      </c>
      <c r="F78" s="82">
        <f>IF(ISNUMBER(outYear),(F31+F45+F59+F75),"")</f>
        <v>15512.89000729824</v>
      </c>
      <c r="G78" s="82">
        <f>IF(ISNUMBER(outYear),(G31+G45+G59+G75),"")</f>
        <v>15452.209927559405</v>
      </c>
      <c r="H78" s="82">
        <f>IF(ISNUMBER(outYear),(H31+H45+H59+H75),"")</f>
        <v>6116.8692491057918</v>
      </c>
      <c r="I78" s="82">
        <f>IF(ISNUMBER(outYear),(I31+I45+I59+I75),"")</f>
        <v>-3219.7093029744919</v>
      </c>
      <c r="J78" s="82">
        <f>IF(ISNUMBER(outYear),(J31+J45+J59+J75),"")</f>
        <v>-3284.1034890339811</v>
      </c>
      <c r="K78" s="82">
        <f>IF(ISNUMBER(outYear),(K31+K45+K59+K75),"")</f>
        <v>-3349.7855588146613</v>
      </c>
      <c r="L78" s="82">
        <f>IF(ISNUMBER(outYear),(L31+L45+L59+L75),"")</f>
        <v>-61767.175932975275</v>
      </c>
      <c r="M78" s="82">
        <f>IF(ISNUMBER(outYear),(M31+M45+M59+M75),"")</f>
        <v>-3485.1168953907741</v>
      </c>
      <c r="N78" s="82">
        <f>IF(ISNUMBER(outYear),(N31+N45+N59+N75),"")</f>
        <v>-3554.8192332985882</v>
      </c>
      <c r="O78" s="82">
        <f>IF(ISNUMBER(outYear),(O31+O45+O59+O75),"")</f>
        <v>-3625.9156179645602</v>
      </c>
      <c r="P78" s="82">
        <f>IF(ISNUMBER(outYear),(P31+P45+P59+P75),"")</f>
        <v>-3698.4339303238517</v>
      </c>
      <c r="Q78" s="82">
        <f>IF(ISNUMBER(outYear),(Q31+Q45+Q59+Q75),"")</f>
        <v>-3772.4026089303279</v>
      </c>
      <c r="R78" s="82">
        <f>IF(ISNUMBER(outYear),(R31+R45+R59+R75),"")</f>
        <v>-3847.8506611089338</v>
      </c>
      <c r="S78" s="82">
        <f>IF(ISNUMBER(outYear),(S31+S45+S59+S75),"")</f>
        <v>-3924.8076743311135</v>
      </c>
      <c r="T78" s="82">
        <f>IF(ISNUMBER(outYear),(T31+T45+T59+T75),"")</f>
        <v>-4003.3038278177364</v>
      </c>
      <c r="U78" s="82">
        <f>IF(ISNUMBER(outYear),(U31+U45+U59+U75),"")</f>
        <v>-4083.3699043740899</v>
      </c>
      <c r="V78" s="82">
        <f>IF(ISNUMBER(outYear),(V31+V45+V59+V75),"")</f>
        <v>-4165.0373024615719</v>
      </c>
      <c r="W78" s="82">
        <f>IF(ISNUMBER(outYear),(W31+W45+W59+W75),"")</f>
        <v>-4248.3380485108046</v>
      </c>
      <c r="X78" s="82">
        <f>IF(ISNUMBER(outYear),(X31+X45+X59+X75),"")</f>
        <v>-4333.3048094810201</v>
      </c>
      <c r="Y78" s="82">
        <f>IF(ISNUMBER(outYear),(Y31+Y45+Y59+Y75),"")</f>
        <v>-4419.9709056706397</v>
      </c>
      <c r="Z78" s="82">
        <f>IF(ISNUMBER(outYear),(Z31+Z45+Z59+Z75),"")</f>
        <v>-4508.3703237840518</v>
      </c>
      <c r="AA78" s="82">
        <f>IF(ISNUMBER(outYear),(AA31+AA45+AA59+AA75),"")</f>
        <v>-4598.5377302597344</v>
      </c>
      <c r="AB78" s="82" t="str">
        <f>IF(ISNUMBER(outYear),(AB31+AB45+AB59+AB75),"")</f>
        <v/>
      </c>
      <c r="AC78" s="82" t="str">
        <f>IF(ISNUMBER(outYear),(AC31+AC45+AC59+AC75),"")</f>
        <v/>
      </c>
      <c r="AD78" s="82" t="str">
        <f>IF(ISNUMBER(outYear),(AD31+AD45+AD59+AD75),"")</f>
        <v/>
      </c>
      <c r="AE78" s="82" t="str">
        <f>IF(ISNUMBER(outYear),(AE31+AE45+AE59+AE75),"")</f>
        <v/>
      </c>
      <c r="AF78" s="82" t="str">
        <f>IF(ISNUMBER(outYear),(AF31+AF45+AF59+AF75),"")</f>
        <v/>
      </c>
      <c r="AG78" s="82" t="str">
        <f>IF(ISNUMBER(outYear),(AG31+AG45+AG59+AG75),"")</f>
        <v/>
      </c>
      <c r="AH78" s="82" t="str">
        <f>IF(ISNUMBER(outYear),(AH31+AH45+AH59+AH75),"")</f>
        <v/>
      </c>
      <c r="AI78" s="82" t="str">
        <f>IF(ISNUMBER(outYear),(AI31+AI45+AI59+AI75),"")</f>
        <v/>
      </c>
      <c r="AJ78" s="82" t="str">
        <f>IF(ISNUMBER(outYear),(AJ31+AJ45+AJ59+AJ75),"")</f>
        <v/>
      </c>
      <c r="AK78" s="82" t="str">
        <f>IF(ISNUMBER(outYear),(AK31+AK45+AK59+AK75),"")</f>
        <v/>
      </c>
      <c r="AL78" s="82" t="str">
        <f>IF(ISNUMBER(outYear),(AL31+AL45+AL59+AL75),"")</f>
        <v/>
      </c>
      <c r="AM78" s="82" t="str">
        <f>IF(ISNUMBER(outYear),(AM31+AM45+AM59+AM75),"")</f>
        <v/>
      </c>
      <c r="AN78" s="82" t="str">
        <f>IF(ISNUMBER(outYear),(AN31+AN45+AN59+AN75),"")</f>
        <v/>
      </c>
      <c r="AO78" s="82" t="str">
        <f>IF(ISNUMBER(outYear),(AO31+AO45+AO59+AO75),"")</f>
        <v/>
      </c>
      <c r="AP78" s="82" t="str">
        <f>IF(ISNUMBER(outYear),(AP31+AP45+AP59+AP75),"")</f>
        <v/>
      </c>
      <c r="AQ78" s="82" t="str">
        <f>IF(ISNUMBER(outYear),(AQ31+AQ45+AQ59+AQ75),"")</f>
        <v/>
      </c>
      <c r="AR78" s="82" t="str">
        <f>IF(ISNUMBER(outYear),(AR31+AR45+AR59+AR75),"")</f>
        <v/>
      </c>
      <c r="AS78" s="82" t="str">
        <f>IF(ISNUMBER(outYear),(AS31+AS45+AS59+AS75),"")</f>
        <v/>
      </c>
      <c r="AT78" s="82" t="str">
        <f>IF(ISNUMBER(outYear),(AT31+AT45+AT59+AT75),"")</f>
        <v/>
      </c>
      <c r="AU78" s="82" t="str">
        <f>IF(ISNUMBER(outYear),(AU31+AU45+AU59+AU75),"")</f>
        <v/>
      </c>
      <c r="AV78" s="82" t="str">
        <f>IF(ISNUMBER(outYear),(AV31+AV45+AV59+AV75),"")</f>
        <v/>
      </c>
      <c r="AW78" s="82" t="str">
        <f>IF(ISNUMBER(outYear),(AW31+AW45+AW59+AW75),"")</f>
        <v/>
      </c>
      <c r="AX78" s="82" t="str">
        <f>IF(ISNUMBER(outYear),(AX31+AX45+AX59+AX75),"")</f>
        <v/>
      </c>
      <c r="AY78" s="82" t="str">
        <f>IF(ISNUMBER(outYear),(AY31+AY45+AY59+AY75),"")</f>
        <v/>
      </c>
      <c r="AZ78" s="82" t="str">
        <f>IF(ISNUMBER(outYear),(AZ31+AZ45+AZ59+AZ75),"")</f>
        <v/>
      </c>
      <c r="BA78" s="82" t="str">
        <f>IF(ISNUMBER(outYear),(BA31+BA45+BA59+BA75),"")</f>
        <v/>
      </c>
      <c r="BB78" s="82" t="str">
        <f>IF(ISNUMBER(outYear),(BB31+BB45+BB59+BB75),"")</f>
        <v/>
      </c>
      <c r="BC78" s="82" t="str">
        <f>IF(ISNUMBER(outYear),(BC31+BC45+BC59+BC75),"")</f>
        <v/>
      </c>
      <c r="BD78" s="82" t="str">
        <f>IF(ISNUMBER(outYear),(BD31+BD45+BD59+BD75),"")</f>
        <v/>
      </c>
      <c r="BE78" s="82" t="str">
        <f>IF(ISNUMBER(outYear),(BE31+BE45+BE59+BE75),"")</f>
        <v/>
      </c>
      <c r="BF78" s="82" t="str">
        <f>IF(ISNUMBER(outYear),(BF31+BF45+BF59+BF75),"")</f>
        <v/>
      </c>
      <c r="BG78" s="82" t="str">
        <f>IF(ISNUMBER(outYear),(BG31+BG45+BG59+BG75),"")</f>
        <v/>
      </c>
      <c r="BH78" s="82" t="str">
        <f>IF(ISNUMBER(outYear),(BH31+BH45+BH59+BH75),"")</f>
        <v/>
      </c>
      <c r="BI78" s="82" t="str">
        <f>IF(ISNUMBER(outYear),(BI31+BI45+BI59+BI75),"")</f>
        <v/>
      </c>
      <c r="BJ78" s="82" t="str">
        <f>IF(ISNUMBER(outYear),(BJ31+BJ45+BJ59+BJ75),"")</f>
        <v/>
      </c>
      <c r="BK78" s="82" t="str">
        <f>IF(ISNUMBER(outYear),(BK31+BK45+BK59+BK75),"")</f>
        <v/>
      </c>
      <c r="BL78" s="82" t="str">
        <f>IF(ISNUMBER(outYear),(BL31+BL45+BL59+BL75),"")</f>
        <v/>
      </c>
      <c r="BM78" s="82" t="str">
        <f>IF(ISNUMBER(outYear),(BM31+BM45+BM59+BM75),"")</f>
        <v/>
      </c>
      <c r="BN78" s="82" t="str">
        <f>IF(ISNUMBER(outYear),(BN31+BN45+BN59+BN75),"")</f>
        <v/>
      </c>
      <c r="BO78" s="82" t="str">
        <f>IF(ISNUMBER(outYear),(BO31+BO45+BO59+BO75),"")</f>
        <v/>
      </c>
      <c r="BP78" s="82" t="str">
        <f>IF(ISNUMBER(outYear),(BP31+BP45+BP59+BP75),"")</f>
        <v/>
      </c>
      <c r="BQ78" s="82" t="str">
        <f>IF(ISNUMBER(outYear),(BQ31+BQ45+BQ59+BQ75),"")</f>
        <v/>
      </c>
      <c r="BR78" s="82" t="str">
        <f>IF(ISNUMBER(outYear),(BR31+BR45+BR59+BR75),"")</f>
        <v/>
      </c>
      <c r="BS78" s="82" t="str">
        <f>IF(ISNUMBER(outYear),(BS31+BS45+BS59+BS75),"")</f>
        <v/>
      </c>
      <c r="BT78" s="82" t="str">
        <f>IF(ISNUMBER(outYear),(BT31+BT45+BT59+BT75),"")</f>
        <v/>
      </c>
      <c r="BU78" s="82" t="str">
        <f>IF(ISNUMBER(outYear),(BU31+BU45+BU59+BU75),"")</f>
        <v/>
      </c>
      <c r="BV78" s="82" t="str">
        <f>IF(ISNUMBER(outYear),(BV31+BV45+BV59+BV75),"")</f>
        <v/>
      </c>
      <c r="BW78" s="82" t="str">
        <f>IF(ISNUMBER(outYear),(BW31+BW45+BW59+BW75),"")</f>
        <v/>
      </c>
      <c r="BX78" s="82" t="str">
        <f>IF(ISNUMBER(outYear),(BX31+BX45+BX59+BX75),"")</f>
        <v/>
      </c>
      <c r="BY78" s="82" t="str">
        <f>IF(ISNUMBER(outYear),(BY31+BY45+BY59+BY75),"")</f>
        <v/>
      </c>
      <c r="BZ78" s="82" t="str">
        <f>IF(ISNUMBER(outYear),(BZ31+BZ45+BZ59+BZ75),"")</f>
        <v/>
      </c>
      <c r="CA78" s="82" t="str">
        <f>IF(ISNUMBER(outYear),(CA31+CA45+CA59+CA75),"")</f>
        <v/>
      </c>
      <c r="CB78" s="82" t="str">
        <f>IF(ISNUMBER(outYear),(CB31+CB45+CB59+CB75),"")</f>
        <v/>
      </c>
      <c r="CC78" s="82" t="str">
        <f>IF(ISNUMBER(outYear),(CC31+CC45+CC59+CC75),"")</f>
        <v/>
      </c>
      <c r="CD78" s="82" t="str">
        <f>IF(ISNUMBER(outYear),(CD31+CD45+CD59+CD75),"")</f>
        <v/>
      </c>
      <c r="CE78" s="82" t="str">
        <f>IF(ISNUMBER(outYear),(CE31+CE45+CE59+CE75),"")</f>
        <v/>
      </c>
      <c r="CF78" s="82" t="str">
        <f>IF(ISNUMBER(outYear),(CF31+CF45+CF59+CF75),"")</f>
        <v/>
      </c>
      <c r="CG78" s="82" t="str">
        <f>IF(ISNUMBER(outYear),(CG31+CG45+CG59+CG75),"")</f>
        <v/>
      </c>
      <c r="CH78" s="82" t="str">
        <f>IF(ISNUMBER(outYear),(CH31+CH45+CH59+CH75),"")</f>
        <v/>
      </c>
      <c r="CI78" s="82" t="str">
        <f>IF(ISNUMBER(outYear),(CI31+CI45+CI59+CI75),"")</f>
        <v/>
      </c>
      <c r="CJ78" s="82" t="str">
        <f>IF(ISNUMBER(outYear),(CJ31+CJ45+CJ59+CJ75),"")</f>
        <v/>
      </c>
      <c r="CK78" s="82" t="str">
        <f>IF(ISNUMBER(outYear),(CK31+CK45+CK59+CK75),"")</f>
        <v/>
      </c>
      <c r="CL78" s="82" t="str">
        <f>IF(ISNUMBER(outYear),(CL31+CL45+CL59+CL75),"")</f>
        <v/>
      </c>
      <c r="CM78" s="82" t="str">
        <f>IF(ISNUMBER(outYear),(CM31+CM45+CM59+CM75),"")</f>
        <v/>
      </c>
      <c r="CN78" s="82" t="str">
        <f>IF(ISNUMBER(outYear),(CN31+CN45+CN59+CN75),"")</f>
        <v/>
      </c>
      <c r="CO78" s="82" t="str">
        <f>IF(ISNUMBER(outYear),(CO31+CO45+CO59+CO75),"")</f>
        <v/>
      </c>
      <c r="CP78" s="82" t="str">
        <f>IF(ISNUMBER(outYear),(CP31+CP45+CP59+CP75),"")</f>
        <v/>
      </c>
      <c r="CQ78" s="82" t="str">
        <f>IF(ISNUMBER(outYear),(CQ31+CQ45+CQ59+CQ75),"")</f>
        <v/>
      </c>
      <c r="CR78" s="82" t="str">
        <f>IF(ISNUMBER(outYear),(CR31+CR45+CR59+CR75),"")</f>
        <v/>
      </c>
      <c r="CS78" s="82" t="str">
        <f>IF(ISNUMBER(outYear),(CS31+CS45+CS59+CS75),"")</f>
        <v/>
      </c>
      <c r="CT78" s="82" t="str">
        <f>IF(ISNUMBER(outYear),(CT31+CT45+CT59+CT75),"")</f>
        <v/>
      </c>
      <c r="CU78" s="82" t="str">
        <f>IF(ISNUMBER(outYear),(CU31+CU45+CU59+CU75),"")</f>
        <v/>
      </c>
      <c r="CV78" s="82" t="str">
        <f>IF(ISNUMBER(outYear),(CV31+CV45+CV59+CV75),"")</f>
        <v/>
      </c>
      <c r="CW78" s="82" t="str">
        <f>IF(ISNUMBER(outYear),(CW31+CW45+CW59+CW75),"")</f>
        <v/>
      </c>
      <c r="CX78" s="82" t="str">
        <f>IF(ISNUMBER(outYear),(CX31+CX45+CX59+CX75),"")</f>
        <v/>
      </c>
    </row>
    <row r="79" spans="1:255" x14ac:dyDescent="0.2">
      <c r="A79" s="61" t="s">
        <v>103</v>
      </c>
      <c r="B79" s="84">
        <v>0</v>
      </c>
      <c r="C79" s="84">
        <f>IF(ISNUMBER(outYear),IF(FederalDepreciation="N/A",'Cash Flow'!C8,'Cash Flow'!C8*(1-(state_tax_rate/100+(1-state_tax_rate/100)*federal_tax_rate/100))),"")</f>
        <v>27872.565000000002</v>
      </c>
      <c r="D79" s="84">
        <f>IF(ISNUMBER(outYear),IF(FederalDepreciation="N/A",'Cash Flow'!D8,'Cash Flow'!D8*(1-(state_tax_rate/100+(1-state_tax_rate/100)*federal_tax_rate/100))),"")</f>
        <v>28430.016299999956</v>
      </c>
      <c r="E79" s="84">
        <f>IF(ISNUMBER(outYear),IF(FederalDepreciation="N/A",'Cash Flow'!E8,'Cash Flow'!E8*(1-(state_tax_rate/100+(1-state_tax_rate/100)*federal_tax_rate/100))),"")</f>
        <v>28998.616625999941</v>
      </c>
      <c r="F79" s="84">
        <f>IF(ISNUMBER(outYear),IF(FederalDepreciation="N/A",'Cash Flow'!F8,'Cash Flow'!F8*(1-(state_tax_rate/100+(1-state_tax_rate/100)*federal_tax_rate/100))),"")</f>
        <v>29578.588958519922</v>
      </c>
      <c r="G79" s="84">
        <f>IF(ISNUMBER(outYear),IF(FederalDepreciation="N/A",'Cash Flow'!G8,'Cash Flow'!G8*(1-(state_tax_rate/100+(1-state_tax_rate/100)*federal_tax_rate/100))),"")</f>
        <v>30170.160737690348</v>
      </c>
      <c r="H79" s="84">
        <f>IF(ISNUMBER(outYear),IF(FederalDepreciation="N/A",'Cash Flow'!H8,'Cash Flow'!H8*(1-(state_tax_rate/100+(1-state_tax_rate/100)*federal_tax_rate/100))),"")</f>
        <v>30773.563952444219</v>
      </c>
      <c r="I79" s="84">
        <f>IF(ISNUMBER(outYear),IF(FederalDepreciation="N/A",'Cash Flow'!I8,'Cash Flow'!I8*(1-(state_tax_rate/100+(1-state_tax_rate/100)*federal_tax_rate/100))),"")</f>
        <v>31389.035231493108</v>
      </c>
      <c r="J79" s="84">
        <f>IF(ISNUMBER(outYear),IF(FederalDepreciation="N/A",'Cash Flow'!J8,'Cash Flow'!J8*(1-(state_tax_rate/100+(1-state_tax_rate/100)*federal_tax_rate/100))),"")</f>
        <v>32016.815936123014</v>
      </c>
      <c r="K79" s="84">
        <f>IF(ISNUMBER(outYear),IF(FederalDepreciation="N/A",'Cash Flow'!K8,'Cash Flow'!K8*(1-(state_tax_rate/100+(1-state_tax_rate/100)*federal_tax_rate/100))),"")</f>
        <v>32657.152254845496</v>
      </c>
      <c r="L79" s="84">
        <f>IF(ISNUMBER(outYear),IF(FederalDepreciation="N/A",'Cash Flow'!L8,'Cash Flow'!L8*(1-(state_tax_rate/100+(1-state_tax_rate/100)*federal_tax_rate/100))),"")</f>
        <v>33310.29529994246</v>
      </c>
      <c r="M79" s="84">
        <f>IF(ISNUMBER(outYear),IF(FederalDepreciation="N/A",'Cash Flow'!M8,'Cash Flow'!M8*(1-(state_tax_rate/100+(1-state_tax_rate/100)*federal_tax_rate/100))),"")</f>
        <v>33976.501205941291</v>
      </c>
      <c r="N79" s="84">
        <f>IF(ISNUMBER(outYear),IF(FederalDepreciation="N/A",'Cash Flow'!N8,'Cash Flow'!N8*(1-(state_tax_rate/100+(1-state_tax_rate/100)*federal_tax_rate/100))),"")</f>
        <v>34656.031230060107</v>
      </c>
      <c r="O79" s="84">
        <f>IF(ISNUMBER(outYear),IF(FederalDepreciation="N/A",'Cash Flow'!O8,'Cash Flow'!O8*(1-(state_tax_rate/100+(1-state_tax_rate/100)*federal_tax_rate/100))),"")</f>
        <v>35349.151854661352</v>
      </c>
      <c r="P79" s="84">
        <f>IF(ISNUMBER(outYear),IF(FederalDepreciation="N/A",'Cash Flow'!P8,'Cash Flow'!P8*(1-(state_tax_rate/100+(1-state_tax_rate/100)*federal_tax_rate/100))),"")</f>
        <v>36056.134891754613</v>
      </c>
      <c r="Q79" s="84">
        <f>IF(ISNUMBER(outYear),IF(FederalDepreciation="N/A",'Cash Flow'!Q8,'Cash Flow'!Q8*(1-(state_tax_rate/100+(1-state_tax_rate/100)*federal_tax_rate/100))),"")</f>
        <v>36777.257589589739</v>
      </c>
      <c r="R79" s="84">
        <f>IF(ISNUMBER(outYear),IF(FederalDepreciation="N/A",'Cash Flow'!R8,'Cash Flow'!R8*(1-(state_tax_rate/100+(1-state_tax_rate/100)*federal_tax_rate/100))),"")</f>
        <v>37512.802741381667</v>
      </c>
      <c r="S79" s="84">
        <f>IF(ISNUMBER(outYear),IF(FederalDepreciation="N/A",'Cash Flow'!S8,'Cash Flow'!S8*(1-(state_tax_rate/100+(1-state_tax_rate/100)*federal_tax_rate/100))),"")</f>
        <v>38263.058796209189</v>
      </c>
      <c r="T79" s="84">
        <f>IF(ISNUMBER(outYear),IF(FederalDepreciation="N/A",'Cash Flow'!T8,'Cash Flow'!T8*(1-(state_tax_rate/100+(1-state_tax_rate/100)*federal_tax_rate/100))),"")</f>
        <v>39028.3199721333</v>
      </c>
      <c r="U79" s="84">
        <f>IF(ISNUMBER(outYear),IF(FederalDepreciation="N/A",'Cash Flow'!U8,'Cash Flow'!U8*(1-(state_tax_rate/100+(1-state_tax_rate/100)*federal_tax_rate/100))),"")</f>
        <v>39808.886371575827</v>
      </c>
      <c r="V79" s="84">
        <f>IF(ISNUMBER(outYear),IF(FederalDepreciation="N/A",'Cash Flow'!V8,'Cash Flow'!V8*(1-(state_tax_rate/100+(1-state_tax_rate/100)*federal_tax_rate/100))),"")</f>
        <v>40605.06409900725</v>
      </c>
      <c r="W79" s="84">
        <f>IF(ISNUMBER(outYear),IF(FederalDepreciation="N/A",'Cash Flow'!W8,'Cash Flow'!W8*(1-(state_tax_rate/100+(1-state_tax_rate/100)*federal_tax_rate/100))),"")</f>
        <v>41417.165380987448</v>
      </c>
      <c r="X79" s="84">
        <f>IF(ISNUMBER(outYear),IF(FederalDepreciation="N/A",'Cash Flow'!X8,'Cash Flow'!X8*(1-(state_tax_rate/100+(1-state_tax_rate/100)*federal_tax_rate/100))),"")</f>
        <v>42245.508688607275</v>
      </c>
      <c r="Y79" s="84">
        <f>IF(ISNUMBER(outYear),IF(FederalDepreciation="N/A",'Cash Flow'!Y8,'Cash Flow'!Y8*(1-(state_tax_rate/100+(1-state_tax_rate/100)*federal_tax_rate/100))),"")</f>
        <v>43090.418862379454</v>
      </c>
      <c r="Z79" s="84">
        <f>IF(ISNUMBER(outYear),IF(FederalDepreciation="N/A",'Cash Flow'!Z8,'Cash Flow'!Z8*(1-(state_tax_rate/100+(1-state_tax_rate/100)*federal_tax_rate/100))),"")</f>
        <v>43952.227239627005</v>
      </c>
      <c r="AA79" s="84">
        <f>IF(ISNUMBER(outYear),IF(FederalDepreciation="N/A",'Cash Flow'!AA8,'Cash Flow'!AA8*(1-(state_tax_rate/100+(1-state_tax_rate/100)*federal_tax_rate/100))),"")</f>
        <v>44831.271784419601</v>
      </c>
      <c r="AB79" s="84" t="str">
        <f>IF(ISNUMBER(outYear),IF(FederalDepreciation="N/A",'Cash Flow'!AB8,'Cash Flow'!AB8*(1-(state_tax_rate/100+(1-state_tax_rate/100)*federal_tax_rate/100))),"")</f>
        <v/>
      </c>
      <c r="AC79" s="84" t="str">
        <f>IF(ISNUMBER(outYear),IF(FederalDepreciation="N/A",'Cash Flow'!AC8,'Cash Flow'!AC8*(1-(state_tax_rate/100+(1-state_tax_rate/100)*federal_tax_rate/100))),"")</f>
        <v/>
      </c>
      <c r="AD79" s="84" t="str">
        <f>IF(ISNUMBER(outYear),IF(FederalDepreciation="N/A",'Cash Flow'!AD8,'Cash Flow'!AD8*(1-(state_tax_rate/100+(1-state_tax_rate/100)*federal_tax_rate/100))),"")</f>
        <v/>
      </c>
      <c r="AE79" s="84" t="str">
        <f>IF(ISNUMBER(outYear),IF(FederalDepreciation="N/A",'Cash Flow'!AE8,'Cash Flow'!AE8*(1-(state_tax_rate/100+(1-state_tax_rate/100)*federal_tax_rate/100))),"")</f>
        <v/>
      </c>
      <c r="AF79" s="84" t="str">
        <f>IF(ISNUMBER(outYear),IF(FederalDepreciation="N/A",'Cash Flow'!AF8,'Cash Flow'!AF8*(1-(state_tax_rate/100+(1-state_tax_rate/100)*federal_tax_rate/100))),"")</f>
        <v/>
      </c>
      <c r="AG79" s="84" t="str">
        <f>IF(ISNUMBER(outYear),IF(FederalDepreciation="N/A",'Cash Flow'!AG8,'Cash Flow'!AG8*(1-(state_tax_rate/100+(1-state_tax_rate/100)*federal_tax_rate/100))),"")</f>
        <v/>
      </c>
      <c r="AH79" s="84" t="str">
        <f>IF(ISNUMBER(outYear),IF(FederalDepreciation="N/A",'Cash Flow'!AH8,'Cash Flow'!AH8*(1-(state_tax_rate/100+(1-state_tax_rate/100)*federal_tax_rate/100))),"")</f>
        <v/>
      </c>
      <c r="AI79" s="84" t="str">
        <f>IF(ISNUMBER(outYear),IF(FederalDepreciation="N/A",'Cash Flow'!AI8,'Cash Flow'!AI8*(1-(state_tax_rate/100+(1-state_tax_rate/100)*federal_tax_rate/100))),"")</f>
        <v/>
      </c>
      <c r="AJ79" s="84" t="str">
        <f>IF(ISNUMBER(outYear),IF(FederalDepreciation="N/A",'Cash Flow'!AJ8,'Cash Flow'!AJ8*(1-(state_tax_rate/100+(1-state_tax_rate/100)*federal_tax_rate/100))),"")</f>
        <v/>
      </c>
      <c r="AK79" s="84" t="str">
        <f>IF(ISNUMBER(outYear),IF(FederalDepreciation="N/A",'Cash Flow'!AK8,'Cash Flow'!AK8*(1-(state_tax_rate/100+(1-state_tax_rate/100)*federal_tax_rate/100))),"")</f>
        <v/>
      </c>
      <c r="AL79" s="84" t="str">
        <f>IF(ISNUMBER(outYear),IF(FederalDepreciation="N/A",'Cash Flow'!AL8,'Cash Flow'!AL8*(1-(state_tax_rate/100+(1-state_tax_rate/100)*federal_tax_rate/100))),"")</f>
        <v/>
      </c>
      <c r="AM79" s="84" t="str">
        <f>IF(ISNUMBER(outYear),IF(FederalDepreciation="N/A",'Cash Flow'!AM8,'Cash Flow'!AM8*(1-(state_tax_rate/100+(1-state_tax_rate/100)*federal_tax_rate/100))),"")</f>
        <v/>
      </c>
      <c r="AN79" s="84" t="str">
        <f>IF(ISNUMBER(outYear),IF(FederalDepreciation="N/A",'Cash Flow'!AN8,'Cash Flow'!AN8*(1-(state_tax_rate/100+(1-state_tax_rate/100)*federal_tax_rate/100))),"")</f>
        <v/>
      </c>
      <c r="AO79" s="84" t="str">
        <f>IF(ISNUMBER(outYear),IF(FederalDepreciation="N/A",'Cash Flow'!AO8,'Cash Flow'!AO8*(1-(state_tax_rate/100+(1-state_tax_rate/100)*federal_tax_rate/100))),"")</f>
        <v/>
      </c>
      <c r="AP79" s="84" t="str">
        <f>IF(ISNUMBER(outYear),IF(FederalDepreciation="N/A",'Cash Flow'!AP8,'Cash Flow'!AP8*(1-(state_tax_rate/100+(1-state_tax_rate/100)*federal_tax_rate/100))),"")</f>
        <v/>
      </c>
      <c r="AQ79" s="84" t="str">
        <f>IF(ISNUMBER(outYear),IF(FederalDepreciation="N/A",'Cash Flow'!AQ8,'Cash Flow'!AQ8*(1-(state_tax_rate/100+(1-state_tax_rate/100)*federal_tax_rate/100))),"")</f>
        <v/>
      </c>
      <c r="AR79" s="84" t="str">
        <f>IF(ISNUMBER(outYear),IF(FederalDepreciation="N/A",'Cash Flow'!AR8,'Cash Flow'!AR8*(1-(state_tax_rate/100+(1-state_tax_rate/100)*federal_tax_rate/100))),"")</f>
        <v/>
      </c>
      <c r="AS79" s="84" t="str">
        <f>IF(ISNUMBER(outYear),IF(FederalDepreciation="N/A",'Cash Flow'!AS8,'Cash Flow'!AS8*(1-(state_tax_rate/100+(1-state_tax_rate/100)*federal_tax_rate/100))),"")</f>
        <v/>
      </c>
      <c r="AT79" s="84" t="str">
        <f>IF(ISNUMBER(outYear),IF(FederalDepreciation="N/A",'Cash Flow'!AT8,'Cash Flow'!AT8*(1-(state_tax_rate/100+(1-state_tax_rate/100)*federal_tax_rate/100))),"")</f>
        <v/>
      </c>
      <c r="AU79" s="84" t="str">
        <f>IF(ISNUMBER(outYear),IF(FederalDepreciation="N/A",'Cash Flow'!AU8,'Cash Flow'!AU8*(1-(state_tax_rate/100+(1-state_tax_rate/100)*federal_tax_rate/100))),"")</f>
        <v/>
      </c>
      <c r="AV79" s="84" t="str">
        <f>IF(ISNUMBER(outYear),IF(FederalDepreciation="N/A",'Cash Flow'!AV8,'Cash Flow'!AV8*(1-(state_tax_rate/100+(1-state_tax_rate/100)*federal_tax_rate/100))),"")</f>
        <v/>
      </c>
      <c r="AW79" s="84" t="str">
        <f>IF(ISNUMBER(outYear),IF(FederalDepreciation="N/A",'Cash Flow'!AW8,'Cash Flow'!AW8*(1-(state_tax_rate/100+(1-state_tax_rate/100)*federal_tax_rate/100))),"")</f>
        <v/>
      </c>
      <c r="AX79" s="84" t="str">
        <f>IF(ISNUMBER(outYear),IF(FederalDepreciation="N/A",'Cash Flow'!AX8,'Cash Flow'!AX8*(1-(state_tax_rate/100+(1-state_tax_rate/100)*federal_tax_rate/100))),"")</f>
        <v/>
      </c>
      <c r="AY79" s="84" t="str">
        <f>IF(ISNUMBER(outYear),IF(FederalDepreciation="N/A",'Cash Flow'!AY8,'Cash Flow'!AY8*(1-(state_tax_rate/100+(1-state_tax_rate/100)*federal_tax_rate/100))),"")</f>
        <v/>
      </c>
      <c r="AZ79" s="84" t="str">
        <f>IF(ISNUMBER(outYear),IF(FederalDepreciation="N/A",'Cash Flow'!AZ8,'Cash Flow'!AZ8*(1-(state_tax_rate/100+(1-state_tax_rate/100)*federal_tax_rate/100))),"")</f>
        <v/>
      </c>
      <c r="BA79" s="84" t="str">
        <f>IF(ISNUMBER(outYear),IF(FederalDepreciation="N/A",'Cash Flow'!BA8,'Cash Flow'!BA8*(1-(state_tax_rate/100+(1-state_tax_rate/100)*federal_tax_rate/100))),"")</f>
        <v/>
      </c>
      <c r="BB79" s="84" t="str">
        <f>IF(ISNUMBER(outYear),IF(FederalDepreciation="N/A",'Cash Flow'!BB8,'Cash Flow'!BB8*(1-(state_tax_rate/100+(1-state_tax_rate/100)*federal_tax_rate/100))),"")</f>
        <v/>
      </c>
      <c r="BC79" s="84" t="str">
        <f>IF(ISNUMBER(outYear),IF(FederalDepreciation="N/A",'Cash Flow'!BC8,'Cash Flow'!BC8*(1-(state_tax_rate/100+(1-state_tax_rate/100)*federal_tax_rate/100))),"")</f>
        <v/>
      </c>
      <c r="BD79" s="84" t="str">
        <f>IF(ISNUMBER(outYear),IF(FederalDepreciation="N/A",'Cash Flow'!BD8,'Cash Flow'!BD8*(1-(state_tax_rate/100+(1-state_tax_rate/100)*federal_tax_rate/100))),"")</f>
        <v/>
      </c>
      <c r="BE79" s="84" t="str">
        <f>IF(ISNUMBER(outYear),IF(FederalDepreciation="N/A",'Cash Flow'!BE8,'Cash Flow'!BE8*(1-(state_tax_rate/100+(1-state_tax_rate/100)*federal_tax_rate/100))),"")</f>
        <v/>
      </c>
      <c r="BF79" s="84" t="str">
        <f>IF(ISNUMBER(outYear),IF(FederalDepreciation="N/A",'Cash Flow'!BF8,'Cash Flow'!BF8*(1-(state_tax_rate/100+(1-state_tax_rate/100)*federal_tax_rate/100))),"")</f>
        <v/>
      </c>
      <c r="BG79" s="84" t="str">
        <f>IF(ISNUMBER(outYear),IF(FederalDepreciation="N/A",'Cash Flow'!BG8,'Cash Flow'!BG8*(1-(state_tax_rate/100+(1-state_tax_rate/100)*federal_tax_rate/100))),"")</f>
        <v/>
      </c>
      <c r="BH79" s="84" t="str">
        <f>IF(ISNUMBER(outYear),IF(FederalDepreciation="N/A",'Cash Flow'!BH8,'Cash Flow'!BH8*(1-(state_tax_rate/100+(1-state_tax_rate/100)*federal_tax_rate/100))),"")</f>
        <v/>
      </c>
      <c r="BI79" s="84" t="str">
        <f>IF(ISNUMBER(outYear),IF(FederalDepreciation="N/A",'Cash Flow'!BI8,'Cash Flow'!BI8*(1-(state_tax_rate/100+(1-state_tax_rate/100)*federal_tax_rate/100))),"")</f>
        <v/>
      </c>
      <c r="BJ79" s="84" t="str">
        <f>IF(ISNUMBER(outYear),IF(FederalDepreciation="N/A",'Cash Flow'!BJ8,'Cash Flow'!BJ8*(1-(state_tax_rate/100+(1-state_tax_rate/100)*federal_tax_rate/100))),"")</f>
        <v/>
      </c>
      <c r="BK79" s="84" t="str">
        <f>IF(ISNUMBER(outYear),IF(FederalDepreciation="N/A",'Cash Flow'!BK8,'Cash Flow'!BK8*(1-(state_tax_rate/100+(1-state_tax_rate/100)*federal_tax_rate/100))),"")</f>
        <v/>
      </c>
      <c r="BL79" s="84" t="str">
        <f>IF(ISNUMBER(outYear),IF(FederalDepreciation="N/A",'Cash Flow'!BL8,'Cash Flow'!BL8*(1-(state_tax_rate/100+(1-state_tax_rate/100)*federal_tax_rate/100))),"")</f>
        <v/>
      </c>
      <c r="BM79" s="84" t="str">
        <f>IF(ISNUMBER(outYear),IF(FederalDepreciation="N/A",'Cash Flow'!BM8,'Cash Flow'!BM8*(1-(state_tax_rate/100+(1-state_tax_rate/100)*federal_tax_rate/100))),"")</f>
        <v/>
      </c>
      <c r="BN79" s="84" t="str">
        <f>IF(ISNUMBER(outYear),IF(FederalDepreciation="N/A",'Cash Flow'!BN8,'Cash Flow'!BN8*(1-(state_tax_rate/100+(1-state_tax_rate/100)*federal_tax_rate/100))),"")</f>
        <v/>
      </c>
      <c r="BO79" s="84" t="str">
        <f>IF(ISNUMBER(outYear),IF(FederalDepreciation="N/A",'Cash Flow'!BO8,'Cash Flow'!BO8*(1-(state_tax_rate/100+(1-state_tax_rate/100)*federal_tax_rate/100))),"")</f>
        <v/>
      </c>
      <c r="BP79" s="84" t="str">
        <f>IF(ISNUMBER(outYear),IF(FederalDepreciation="N/A",'Cash Flow'!BP8,'Cash Flow'!BP8*(1-(state_tax_rate/100+(1-state_tax_rate/100)*federal_tax_rate/100))),"")</f>
        <v/>
      </c>
      <c r="BQ79" s="84" t="str">
        <f>IF(ISNUMBER(outYear),IF(FederalDepreciation="N/A",'Cash Flow'!BQ8,'Cash Flow'!BQ8*(1-(state_tax_rate/100+(1-state_tax_rate/100)*federal_tax_rate/100))),"")</f>
        <v/>
      </c>
      <c r="BR79" s="84" t="str">
        <f>IF(ISNUMBER(outYear),IF(FederalDepreciation="N/A",'Cash Flow'!BR8,'Cash Flow'!BR8*(1-(state_tax_rate/100+(1-state_tax_rate/100)*federal_tax_rate/100))),"")</f>
        <v/>
      </c>
      <c r="BS79" s="84" t="str">
        <f>IF(ISNUMBER(outYear),IF(FederalDepreciation="N/A",'Cash Flow'!BS8,'Cash Flow'!BS8*(1-(state_tax_rate/100+(1-state_tax_rate/100)*federal_tax_rate/100))),"")</f>
        <v/>
      </c>
      <c r="BT79" s="84" t="str">
        <f>IF(ISNUMBER(outYear),IF(FederalDepreciation="N/A",'Cash Flow'!BT8,'Cash Flow'!BT8*(1-(state_tax_rate/100+(1-state_tax_rate/100)*federal_tax_rate/100))),"")</f>
        <v/>
      </c>
      <c r="BU79" s="84" t="str">
        <f>IF(ISNUMBER(outYear),IF(FederalDepreciation="N/A",'Cash Flow'!BU8,'Cash Flow'!BU8*(1-(state_tax_rate/100+(1-state_tax_rate/100)*federal_tax_rate/100))),"")</f>
        <v/>
      </c>
      <c r="BV79" s="84" t="str">
        <f>IF(ISNUMBER(outYear),IF(FederalDepreciation="N/A",'Cash Flow'!BV8,'Cash Flow'!BV8*(1-(state_tax_rate/100+(1-state_tax_rate/100)*federal_tax_rate/100))),"")</f>
        <v/>
      </c>
      <c r="BW79" s="84" t="str">
        <f>IF(ISNUMBER(outYear),IF(FederalDepreciation="N/A",'Cash Flow'!BW8,'Cash Flow'!BW8*(1-(state_tax_rate/100+(1-state_tax_rate/100)*federal_tax_rate/100))),"")</f>
        <v/>
      </c>
      <c r="BX79" s="84" t="str">
        <f>IF(ISNUMBER(outYear),IF(FederalDepreciation="N/A",'Cash Flow'!BX8,'Cash Flow'!BX8*(1-(state_tax_rate/100+(1-state_tax_rate/100)*federal_tax_rate/100))),"")</f>
        <v/>
      </c>
      <c r="BY79" s="84" t="str">
        <f>IF(ISNUMBER(outYear),IF(FederalDepreciation="N/A",'Cash Flow'!BY8,'Cash Flow'!BY8*(1-(state_tax_rate/100+(1-state_tax_rate/100)*federal_tax_rate/100))),"")</f>
        <v/>
      </c>
      <c r="BZ79" s="84" t="str">
        <f>IF(ISNUMBER(outYear),IF(FederalDepreciation="N/A",'Cash Flow'!BZ8,'Cash Flow'!BZ8*(1-(state_tax_rate/100+(1-state_tax_rate/100)*federal_tax_rate/100))),"")</f>
        <v/>
      </c>
      <c r="CA79" s="84" t="str">
        <f>IF(ISNUMBER(outYear),IF(FederalDepreciation="N/A",'Cash Flow'!CA8,'Cash Flow'!CA8*(1-(state_tax_rate/100+(1-state_tax_rate/100)*federal_tax_rate/100))),"")</f>
        <v/>
      </c>
      <c r="CB79" s="84" t="str">
        <f>IF(ISNUMBER(outYear),IF(FederalDepreciation="N/A",'Cash Flow'!CB8,'Cash Flow'!CB8*(1-(state_tax_rate/100+(1-state_tax_rate/100)*federal_tax_rate/100))),"")</f>
        <v/>
      </c>
      <c r="CC79" s="84" t="str">
        <f>IF(ISNUMBER(outYear),IF(FederalDepreciation="N/A",'Cash Flow'!CC8,'Cash Flow'!CC8*(1-(state_tax_rate/100+(1-state_tax_rate/100)*federal_tax_rate/100))),"")</f>
        <v/>
      </c>
      <c r="CD79" s="84" t="str">
        <f>IF(ISNUMBER(outYear),IF(FederalDepreciation="N/A",'Cash Flow'!CD8,'Cash Flow'!CD8*(1-(state_tax_rate/100+(1-state_tax_rate/100)*federal_tax_rate/100))),"")</f>
        <v/>
      </c>
      <c r="CE79" s="84" t="str">
        <f>IF(ISNUMBER(outYear),IF(FederalDepreciation="N/A",'Cash Flow'!CE8,'Cash Flow'!CE8*(1-(state_tax_rate/100+(1-state_tax_rate/100)*federal_tax_rate/100))),"")</f>
        <v/>
      </c>
      <c r="CF79" s="84" t="str">
        <f>IF(ISNUMBER(outYear),IF(FederalDepreciation="N/A",'Cash Flow'!CF8,'Cash Flow'!CF8*(1-(state_tax_rate/100+(1-state_tax_rate/100)*federal_tax_rate/100))),"")</f>
        <v/>
      </c>
      <c r="CG79" s="84" t="str">
        <f>IF(ISNUMBER(outYear),IF(FederalDepreciation="N/A",'Cash Flow'!CG8,'Cash Flow'!CG8*(1-(state_tax_rate/100+(1-state_tax_rate/100)*federal_tax_rate/100))),"")</f>
        <v/>
      </c>
      <c r="CH79" s="84" t="str">
        <f>IF(ISNUMBER(outYear),IF(FederalDepreciation="N/A",'Cash Flow'!CH8,'Cash Flow'!CH8*(1-(state_tax_rate/100+(1-state_tax_rate/100)*federal_tax_rate/100))),"")</f>
        <v/>
      </c>
      <c r="CI79" s="84" t="str">
        <f>IF(ISNUMBER(outYear),IF(FederalDepreciation="N/A",'Cash Flow'!CI8,'Cash Flow'!CI8*(1-(state_tax_rate/100+(1-state_tax_rate/100)*federal_tax_rate/100))),"")</f>
        <v/>
      </c>
      <c r="CJ79" s="84" t="str">
        <f>IF(ISNUMBER(outYear),IF(FederalDepreciation="N/A",'Cash Flow'!CJ8,'Cash Flow'!CJ8*(1-(state_tax_rate/100+(1-state_tax_rate/100)*federal_tax_rate/100))),"")</f>
        <v/>
      </c>
      <c r="CK79" s="84" t="str">
        <f>IF(ISNUMBER(outYear),IF(FederalDepreciation="N/A",'Cash Flow'!CK8,'Cash Flow'!CK8*(1-(state_tax_rate/100+(1-state_tax_rate/100)*federal_tax_rate/100))),"")</f>
        <v/>
      </c>
      <c r="CL79" s="84" t="str">
        <f>IF(ISNUMBER(outYear),IF(FederalDepreciation="N/A",'Cash Flow'!CL8,'Cash Flow'!CL8*(1-(state_tax_rate/100+(1-state_tax_rate/100)*federal_tax_rate/100))),"")</f>
        <v/>
      </c>
      <c r="CM79" s="84" t="str">
        <f>IF(ISNUMBER(outYear),IF(FederalDepreciation="N/A",'Cash Flow'!CM8,'Cash Flow'!CM8*(1-(state_tax_rate/100+(1-state_tax_rate/100)*federal_tax_rate/100))),"")</f>
        <v/>
      </c>
      <c r="CN79" s="84" t="str">
        <f>IF(ISNUMBER(outYear),IF(FederalDepreciation="N/A",'Cash Flow'!CN8,'Cash Flow'!CN8*(1-(state_tax_rate/100+(1-state_tax_rate/100)*federal_tax_rate/100))),"")</f>
        <v/>
      </c>
      <c r="CO79" s="84" t="str">
        <f>IF(ISNUMBER(outYear),IF(FederalDepreciation="N/A",'Cash Flow'!CO8,'Cash Flow'!CO8*(1-(state_tax_rate/100+(1-state_tax_rate/100)*federal_tax_rate/100))),"")</f>
        <v/>
      </c>
      <c r="CP79" s="84" t="str">
        <f>IF(ISNUMBER(outYear),IF(FederalDepreciation="N/A",'Cash Flow'!CP8,'Cash Flow'!CP8*(1-(state_tax_rate/100+(1-state_tax_rate/100)*federal_tax_rate/100))),"")</f>
        <v/>
      </c>
      <c r="CQ79" s="84" t="str">
        <f>IF(ISNUMBER(outYear),IF(FederalDepreciation="N/A",'Cash Flow'!CQ8,'Cash Flow'!CQ8*(1-(state_tax_rate/100+(1-state_tax_rate/100)*federal_tax_rate/100))),"")</f>
        <v/>
      </c>
      <c r="CR79" s="84" t="str">
        <f>IF(ISNUMBER(outYear),IF(FederalDepreciation="N/A",'Cash Flow'!CR8,'Cash Flow'!CR8*(1-(state_tax_rate/100+(1-state_tax_rate/100)*federal_tax_rate/100))),"")</f>
        <v/>
      </c>
      <c r="CS79" s="84" t="str">
        <f>IF(ISNUMBER(outYear),IF(FederalDepreciation="N/A",'Cash Flow'!CS8,'Cash Flow'!CS8*(1-(state_tax_rate/100+(1-state_tax_rate/100)*federal_tax_rate/100))),"")</f>
        <v/>
      </c>
      <c r="CT79" s="84" t="str">
        <f>IF(ISNUMBER(outYear),IF(FederalDepreciation="N/A",'Cash Flow'!CT8,'Cash Flow'!CT8*(1-(state_tax_rate/100+(1-state_tax_rate/100)*federal_tax_rate/100))),"")</f>
        <v/>
      </c>
      <c r="CU79" s="84" t="str">
        <f>IF(ISNUMBER(outYear),IF(FederalDepreciation="N/A",'Cash Flow'!CU8,'Cash Flow'!CU8*(1-(state_tax_rate/100+(1-state_tax_rate/100)*federal_tax_rate/100))),"")</f>
        <v/>
      </c>
      <c r="CV79" s="84" t="str">
        <f>IF(ISNUMBER(outYear),IF(FederalDepreciation="N/A",'Cash Flow'!CV8,'Cash Flow'!CV8*(1-(state_tax_rate/100+(1-state_tax_rate/100)*federal_tax_rate/100))),"")</f>
        <v/>
      </c>
      <c r="CW79" s="84" t="str">
        <f>IF(ISNUMBER(outYear),IF(FederalDepreciation="N/A",'Cash Flow'!CW8,'Cash Flow'!CW8*(1-(state_tax_rate/100+(1-state_tax_rate/100)*federal_tax_rate/100))),"")</f>
        <v/>
      </c>
      <c r="CX79" s="84" t="str">
        <f>IF(ISNUMBER(outYear),IF(FederalDepreciation="N/A",'Cash Flow'!CX8,'Cash Flow'!CX8*(1-(state_tax_rate/100+(1-state_tax_rate/100)*federal_tax_rate/100))),"")</f>
        <v/>
      </c>
    </row>
    <row r="80" spans="1:255" s="2" customFormat="1" x14ac:dyDescent="0.2">
      <c r="A80" s="15" t="s">
        <v>49</v>
      </c>
      <c r="B80" s="102">
        <f>IF(ISNUMBER(outYear),+B78+B8,"")</f>
        <v>-542718</v>
      </c>
      <c r="C80" s="102">
        <f t="shared" ref="C80:AH80" si="68">IF(ISNUMBER(outYear),+C78+C79,"")</f>
        <v>300527.06156999996</v>
      </c>
      <c r="D80" s="102">
        <f t="shared" si="68"/>
        <v>77032.976369599943</v>
      </c>
      <c r="E80" s="102">
        <f t="shared" si="68"/>
        <v>56935.592903711935</v>
      </c>
      <c r="F80" s="102">
        <f t="shared" si="68"/>
        <v>45091.478965818162</v>
      </c>
      <c r="G80" s="102">
        <f t="shared" si="68"/>
        <v>45622.370665249749</v>
      </c>
      <c r="H80" s="102">
        <f t="shared" si="68"/>
        <v>36890.433201550011</v>
      </c>
      <c r="I80" s="102">
        <f t="shared" si="68"/>
        <v>28169.325928518614</v>
      </c>
      <c r="J80" s="102">
        <f t="shared" si="68"/>
        <v>28732.712447089034</v>
      </c>
      <c r="K80" s="102">
        <f t="shared" si="68"/>
        <v>29307.366696030833</v>
      </c>
      <c r="L80" s="102">
        <f t="shared" si="68"/>
        <v>-28456.880633032815</v>
      </c>
      <c r="M80" s="102">
        <f t="shared" si="68"/>
        <v>30491.384310550518</v>
      </c>
      <c r="N80" s="102">
        <f t="shared" si="68"/>
        <v>31101.211996761518</v>
      </c>
      <c r="O80" s="102">
        <f t="shared" si="68"/>
        <v>31723.23623669679</v>
      </c>
      <c r="P80" s="102">
        <f t="shared" si="68"/>
        <v>32357.700961430761</v>
      </c>
      <c r="Q80" s="102">
        <f t="shared" si="68"/>
        <v>33004.854980659409</v>
      </c>
      <c r="R80" s="102">
        <f t="shared" si="68"/>
        <v>33664.952080272735</v>
      </c>
      <c r="S80" s="102">
        <f t="shared" si="68"/>
        <v>34338.251121878078</v>
      </c>
      <c r="T80" s="102">
        <f t="shared" si="68"/>
        <v>35025.016144315567</v>
      </c>
      <c r="U80" s="102">
        <f t="shared" si="68"/>
        <v>35725.516467201734</v>
      </c>
      <c r="V80" s="102">
        <f t="shared" si="68"/>
        <v>36440.026796545681</v>
      </c>
      <c r="W80" s="102">
        <f t="shared" si="68"/>
        <v>37168.827332476641</v>
      </c>
      <c r="X80" s="102">
        <f t="shared" si="68"/>
        <v>37912.203879126253</v>
      </c>
      <c r="Y80" s="102">
        <f t="shared" si="68"/>
        <v>38670.447956708813</v>
      </c>
      <c r="Z80" s="102">
        <f t="shared" si="68"/>
        <v>39443.856915842953</v>
      </c>
      <c r="AA80" s="102">
        <f t="shared" si="68"/>
        <v>40232.734054159868</v>
      </c>
      <c r="AB80" s="102" t="str">
        <f t="shared" si="68"/>
        <v/>
      </c>
      <c r="AC80" s="102" t="str">
        <f t="shared" si="68"/>
        <v/>
      </c>
      <c r="AD80" s="102" t="str">
        <f t="shared" si="68"/>
        <v/>
      </c>
      <c r="AE80" s="102" t="str">
        <f t="shared" si="68"/>
        <v/>
      </c>
      <c r="AF80" s="102" t="str">
        <f t="shared" si="68"/>
        <v/>
      </c>
      <c r="AG80" s="102" t="str">
        <f t="shared" si="68"/>
        <v/>
      </c>
      <c r="AH80" s="102" t="str">
        <f t="shared" si="68"/>
        <v/>
      </c>
      <c r="AI80" s="102" t="str">
        <f t="shared" ref="AI80:BN80" si="69">IF(ISNUMBER(outYear),+AI78+AI79,"")</f>
        <v/>
      </c>
      <c r="AJ80" s="102" t="str">
        <f t="shared" si="69"/>
        <v/>
      </c>
      <c r="AK80" s="102" t="str">
        <f t="shared" si="69"/>
        <v/>
      </c>
      <c r="AL80" s="102" t="str">
        <f t="shared" si="69"/>
        <v/>
      </c>
      <c r="AM80" s="102" t="str">
        <f t="shared" si="69"/>
        <v/>
      </c>
      <c r="AN80" s="102" t="str">
        <f t="shared" si="69"/>
        <v/>
      </c>
      <c r="AO80" s="102" t="str">
        <f t="shared" si="69"/>
        <v/>
      </c>
      <c r="AP80" s="102" t="str">
        <f t="shared" si="69"/>
        <v/>
      </c>
      <c r="AQ80" s="102" t="str">
        <f t="shared" si="69"/>
        <v/>
      </c>
      <c r="AR80" s="102" t="str">
        <f t="shared" si="69"/>
        <v/>
      </c>
      <c r="AS80" s="102" t="str">
        <f t="shared" si="69"/>
        <v/>
      </c>
      <c r="AT80" s="102" t="str">
        <f t="shared" si="69"/>
        <v/>
      </c>
      <c r="AU80" s="102" t="str">
        <f t="shared" si="69"/>
        <v/>
      </c>
      <c r="AV80" s="102" t="str">
        <f t="shared" si="69"/>
        <v/>
      </c>
      <c r="AW80" s="102" t="str">
        <f t="shared" si="69"/>
        <v/>
      </c>
      <c r="AX80" s="102" t="str">
        <f t="shared" si="69"/>
        <v/>
      </c>
      <c r="AY80" s="102" t="str">
        <f t="shared" si="69"/>
        <v/>
      </c>
      <c r="AZ80" s="102" t="str">
        <f t="shared" si="69"/>
        <v/>
      </c>
      <c r="BA80" s="102" t="str">
        <f t="shared" si="69"/>
        <v/>
      </c>
      <c r="BB80" s="102" t="str">
        <f t="shared" si="69"/>
        <v/>
      </c>
      <c r="BC80" s="102" t="str">
        <f t="shared" si="69"/>
        <v/>
      </c>
      <c r="BD80" s="102" t="str">
        <f t="shared" si="69"/>
        <v/>
      </c>
      <c r="BE80" s="102" t="str">
        <f t="shared" si="69"/>
        <v/>
      </c>
      <c r="BF80" s="102" t="str">
        <f t="shared" si="69"/>
        <v/>
      </c>
      <c r="BG80" s="102" t="str">
        <f t="shared" si="69"/>
        <v/>
      </c>
      <c r="BH80" s="102" t="str">
        <f t="shared" si="69"/>
        <v/>
      </c>
      <c r="BI80" s="102" t="str">
        <f t="shared" si="69"/>
        <v/>
      </c>
      <c r="BJ80" s="102" t="str">
        <f t="shared" si="69"/>
        <v/>
      </c>
      <c r="BK80" s="102" t="str">
        <f t="shared" si="69"/>
        <v/>
      </c>
      <c r="BL80" s="102" t="str">
        <f t="shared" si="69"/>
        <v/>
      </c>
      <c r="BM80" s="102" t="str">
        <f t="shared" si="69"/>
        <v/>
      </c>
      <c r="BN80" s="102" t="str">
        <f t="shared" si="69"/>
        <v/>
      </c>
      <c r="BO80" s="102" t="str">
        <f t="shared" ref="BO80:CT80" si="70">IF(ISNUMBER(outYear),+BO78+BO79,"")</f>
        <v/>
      </c>
      <c r="BP80" s="102" t="str">
        <f t="shared" si="70"/>
        <v/>
      </c>
      <c r="BQ80" s="102" t="str">
        <f t="shared" si="70"/>
        <v/>
      </c>
      <c r="BR80" s="102" t="str">
        <f t="shared" si="70"/>
        <v/>
      </c>
      <c r="BS80" s="102" t="str">
        <f t="shared" si="70"/>
        <v/>
      </c>
      <c r="BT80" s="102" t="str">
        <f t="shared" si="70"/>
        <v/>
      </c>
      <c r="BU80" s="102" t="str">
        <f t="shared" si="70"/>
        <v/>
      </c>
      <c r="BV80" s="102" t="str">
        <f t="shared" si="70"/>
        <v/>
      </c>
      <c r="BW80" s="102" t="str">
        <f t="shared" si="70"/>
        <v/>
      </c>
      <c r="BX80" s="102" t="str">
        <f t="shared" si="70"/>
        <v/>
      </c>
      <c r="BY80" s="102" t="str">
        <f t="shared" si="70"/>
        <v/>
      </c>
      <c r="BZ80" s="102" t="str">
        <f t="shared" si="70"/>
        <v/>
      </c>
      <c r="CA80" s="102" t="str">
        <f t="shared" si="70"/>
        <v/>
      </c>
      <c r="CB80" s="102" t="str">
        <f t="shared" si="70"/>
        <v/>
      </c>
      <c r="CC80" s="102" t="str">
        <f t="shared" si="70"/>
        <v/>
      </c>
      <c r="CD80" s="102" t="str">
        <f t="shared" si="70"/>
        <v/>
      </c>
      <c r="CE80" s="102" t="str">
        <f t="shared" si="70"/>
        <v/>
      </c>
      <c r="CF80" s="102" t="str">
        <f t="shared" si="70"/>
        <v/>
      </c>
      <c r="CG80" s="102" t="str">
        <f t="shared" si="70"/>
        <v/>
      </c>
      <c r="CH80" s="102" t="str">
        <f t="shared" si="70"/>
        <v/>
      </c>
      <c r="CI80" s="102" t="str">
        <f t="shared" si="70"/>
        <v/>
      </c>
      <c r="CJ80" s="102" t="str">
        <f t="shared" si="70"/>
        <v/>
      </c>
      <c r="CK80" s="102" t="str">
        <f t="shared" si="70"/>
        <v/>
      </c>
      <c r="CL80" s="102" t="str">
        <f t="shared" si="70"/>
        <v/>
      </c>
      <c r="CM80" s="102" t="str">
        <f t="shared" si="70"/>
        <v/>
      </c>
      <c r="CN80" s="102" t="str">
        <f t="shared" si="70"/>
        <v/>
      </c>
      <c r="CO80" s="102" t="str">
        <f t="shared" si="70"/>
        <v/>
      </c>
      <c r="CP80" s="102" t="str">
        <f t="shared" si="70"/>
        <v/>
      </c>
      <c r="CQ80" s="102" t="str">
        <f t="shared" si="70"/>
        <v/>
      </c>
      <c r="CR80" s="102" t="str">
        <f t="shared" si="70"/>
        <v/>
      </c>
      <c r="CS80" s="102" t="str">
        <f t="shared" si="70"/>
        <v/>
      </c>
      <c r="CT80" s="102" t="str">
        <f t="shared" si="70"/>
        <v/>
      </c>
      <c r="CU80" s="102" t="str">
        <f t="shared" ref="CU80:CX80" si="71">IF(ISNUMBER(outYear),+CU78+CU79,"")</f>
        <v/>
      </c>
      <c r="CV80" s="102" t="str">
        <f t="shared" si="71"/>
        <v/>
      </c>
      <c r="CW80" s="102" t="str">
        <f t="shared" si="71"/>
        <v/>
      </c>
      <c r="CX80" s="102" t="str">
        <f t="shared" si="71"/>
        <v/>
      </c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</row>
    <row r="81" spans="1:102" x14ac:dyDescent="0.2"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</row>
    <row r="82" spans="1:102" x14ac:dyDescent="0.2">
      <c r="A82" s="66" t="s">
        <v>125</v>
      </c>
      <c r="B82" s="77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/>
      <c r="BQ82" s="78"/>
      <c r="BR82" s="78"/>
      <c r="BS82" s="78"/>
      <c r="BT82" s="78"/>
      <c r="BU82" s="78"/>
      <c r="BV82" s="78"/>
      <c r="BW82" s="78"/>
      <c r="BX82" s="78"/>
      <c r="BY82" s="78"/>
      <c r="BZ82" s="78"/>
      <c r="CA82" s="78"/>
      <c r="CB82" s="78"/>
      <c r="CC82" s="78"/>
      <c r="CD82" s="78"/>
      <c r="CE82" s="78"/>
      <c r="CF82" s="78"/>
      <c r="CG82" s="78"/>
      <c r="CH82" s="78"/>
      <c r="CI82" s="78"/>
      <c r="CJ82" s="78"/>
      <c r="CK82" s="78"/>
      <c r="CL82" s="78"/>
      <c r="CM82" s="78"/>
      <c r="CN82" s="78"/>
      <c r="CO82" s="78"/>
      <c r="CP82" s="78"/>
      <c r="CQ82" s="78"/>
      <c r="CR82" s="78"/>
      <c r="CS82" s="78"/>
      <c r="CT82" s="78"/>
      <c r="CU82" s="78"/>
      <c r="CV82" s="78"/>
      <c r="CW82" s="78"/>
      <c r="CX82" s="75"/>
    </row>
    <row r="83" spans="1:102" x14ac:dyDescent="0.2">
      <c r="A83" t="s">
        <v>127</v>
      </c>
      <c r="B83" s="182">
        <f>IF(ISNUMBER(outYear),-'Inputs and Outputs'!B65,"")</f>
        <v>0</v>
      </c>
      <c r="C83" s="182">
        <f>IF(ISNUMBER(outYear),-'Inputs and Outputs'!C65*(1-(state_tax_rate/100+(1-state_tax_rate/100)*federal_tax_rate/100)),"")</f>
        <v>-537745.53</v>
      </c>
      <c r="D83" s="182">
        <f>IF(ISNUMBER(outYear),-'Inputs and Outputs'!D65*(1-(state_tax_rate/100+(1-state_tax_rate/100)*federal_tax_rate/100)),"")</f>
        <v>-548500.44059999997</v>
      </c>
      <c r="E83" s="182">
        <f>IF(ISNUMBER(outYear),-'Inputs and Outputs'!E65*(1-(state_tax_rate/100+(1-state_tax_rate/100)*federal_tax_rate/100)),"")</f>
        <v>-559470.44941200002</v>
      </c>
      <c r="F83" s="182">
        <f>IF(ISNUMBER(outYear),-'Inputs and Outputs'!F65*(1-(state_tax_rate/100+(1-state_tax_rate/100)*federal_tax_rate/100)),"")</f>
        <v>-570659.85840023996</v>
      </c>
      <c r="G83" s="182">
        <f>IF(ISNUMBER(outYear),-'Inputs and Outputs'!G65*(1-(state_tax_rate/100+(1-state_tax_rate/100)*federal_tax_rate/100)),"")</f>
        <v>-582073.05556824477</v>
      </c>
      <c r="H83" s="182">
        <f>IF(ISNUMBER(outYear),-'Inputs and Outputs'!H65*(1-(state_tax_rate/100+(1-state_tax_rate/100)*federal_tax_rate/100)),"")</f>
        <v>-593714.51667960966</v>
      </c>
      <c r="I83" s="182">
        <f>IF(ISNUMBER(outYear),-'Inputs and Outputs'!I65*(1-(state_tax_rate/100+(1-state_tax_rate/100)*federal_tax_rate/100)),"")</f>
        <v>-605588.80701320188</v>
      </c>
      <c r="J83" s="182">
        <f>IF(ISNUMBER(outYear),-'Inputs and Outputs'!J65*(1-(state_tax_rate/100+(1-state_tax_rate/100)*federal_tax_rate/100)),"")</f>
        <v>-617700.583153466</v>
      </c>
      <c r="K83" s="182">
        <f>IF(ISNUMBER(outYear),-'Inputs and Outputs'!K65*(1-(state_tax_rate/100+(1-state_tax_rate/100)*federal_tax_rate/100)),"")</f>
        <v>-630054.59481653525</v>
      </c>
      <c r="L83" s="182">
        <f>IF(ISNUMBER(outYear),-'Inputs and Outputs'!L65*(1-(state_tax_rate/100+(1-state_tax_rate/100)*federal_tax_rate/100)),"")</f>
        <v>-642655.68671286607</v>
      </c>
      <c r="M83" s="182">
        <f>IF(ISNUMBER(outYear),-'Inputs and Outputs'!M65*(1-(state_tax_rate/100+(1-state_tax_rate/100)*federal_tax_rate/100)),"")</f>
        <v>-655508.80044712336</v>
      </c>
      <c r="N83" s="182">
        <f>IF(ISNUMBER(outYear),-'Inputs and Outputs'!N65*(1-(state_tax_rate/100+(1-state_tax_rate/100)*federal_tax_rate/100)),"")</f>
        <v>-668618.9764560659</v>
      </c>
      <c r="O83" s="182">
        <f>IF(ISNUMBER(outYear),-'Inputs and Outputs'!O65*(1-(state_tax_rate/100+(1-state_tax_rate/100)*federal_tax_rate/100)),"")</f>
        <v>-681991.35598518723</v>
      </c>
      <c r="P83" s="182">
        <f>IF(ISNUMBER(outYear),-'Inputs and Outputs'!P65*(1-(state_tax_rate/100+(1-state_tax_rate/100)*federal_tax_rate/100)),"")</f>
        <v>-695631.18310489098</v>
      </c>
      <c r="Q83" s="182">
        <f>IF(ISNUMBER(outYear),-'Inputs and Outputs'!Q65*(1-(state_tax_rate/100+(1-state_tax_rate/100)*federal_tax_rate/100)),"")</f>
        <v>-709543.80676698883</v>
      </c>
      <c r="R83" s="182">
        <f>IF(ISNUMBER(outYear),-'Inputs and Outputs'!R65*(1-(state_tax_rate/100+(1-state_tax_rate/100)*federal_tax_rate/100)),"")</f>
        <v>-723734.68290232879</v>
      </c>
      <c r="S83" s="182">
        <f>IF(ISNUMBER(outYear),-'Inputs and Outputs'!S65*(1-(state_tax_rate/100+(1-state_tax_rate/100)*federal_tax_rate/100)),"")</f>
        <v>-738209.37656037533</v>
      </c>
      <c r="T83" s="182">
        <f>IF(ISNUMBER(outYear),-'Inputs and Outputs'!T65*(1-(state_tax_rate/100+(1-state_tax_rate/100)*federal_tax_rate/100)),"")</f>
        <v>-752973.56409158278</v>
      </c>
      <c r="U83" s="182">
        <f>IF(ISNUMBER(outYear),-'Inputs and Outputs'!U65*(1-(state_tax_rate/100+(1-state_tax_rate/100)*federal_tax_rate/100)),"")</f>
        <v>-768033.0353734144</v>
      </c>
      <c r="V83" s="182">
        <f>IF(ISNUMBER(outYear),-'Inputs and Outputs'!V65*(1-(state_tax_rate/100+(1-state_tax_rate/100)*federal_tax_rate/100)),"")</f>
        <v>-783393.69608088257</v>
      </c>
      <c r="W83" s="182">
        <f>IF(ISNUMBER(outYear),-'Inputs and Outputs'!W65*(1-(state_tax_rate/100+(1-state_tax_rate/100)*federal_tax_rate/100)),"")</f>
        <v>-799061.57000250032</v>
      </c>
      <c r="X83" s="182">
        <f>IF(ISNUMBER(outYear),-'Inputs and Outputs'!X65*(1-(state_tax_rate/100+(1-state_tax_rate/100)*federal_tax_rate/100)),"")</f>
        <v>-815042.80140255031</v>
      </c>
      <c r="Y83" s="182">
        <f>IF(ISNUMBER(outYear),-'Inputs and Outputs'!Y65*(1-(state_tax_rate/100+(1-state_tax_rate/100)*federal_tax_rate/100)),"")</f>
        <v>-831343.65743060131</v>
      </c>
      <c r="Z83" s="182">
        <f>IF(ISNUMBER(outYear),-'Inputs and Outputs'!Z65*(1-(state_tax_rate/100+(1-state_tax_rate/100)*federal_tax_rate/100)),"")</f>
        <v>-847970.5305792134</v>
      </c>
      <c r="AA83" s="182">
        <f>IF(ISNUMBER(outYear),-'Inputs and Outputs'!AA65*(1-(state_tax_rate/100+(1-state_tax_rate/100)*federal_tax_rate/100)),"")</f>
        <v>-864929.94119079772</v>
      </c>
      <c r="AB83" s="182" t="str">
        <f>IF(ISNUMBER(outYear),AB77-'Inputs and Outputs'!AB65,"")</f>
        <v/>
      </c>
      <c r="AC83" s="182" t="str">
        <f>IF(ISNUMBER(outYear),AC77-'Inputs and Outputs'!AC65,"")</f>
        <v/>
      </c>
      <c r="AD83" s="182" t="str">
        <f>IF(ISNUMBER(outYear),AD77-'Inputs and Outputs'!AD65,"")</f>
        <v/>
      </c>
      <c r="AE83" s="182" t="str">
        <f>IF(ISNUMBER(outYear),AE77-'Inputs and Outputs'!AE65,"")</f>
        <v/>
      </c>
      <c r="AF83" s="182" t="str">
        <f>IF(ISNUMBER(outYear),AF77-'Inputs and Outputs'!AF65,"")</f>
        <v/>
      </c>
      <c r="AG83" s="182" t="str">
        <f>IF(ISNUMBER(outYear),AG77-'Inputs and Outputs'!AG65,"")</f>
        <v/>
      </c>
      <c r="AH83" s="182" t="str">
        <f>IF(ISNUMBER(outYear),AH77-'Inputs and Outputs'!AH65,"")</f>
        <v/>
      </c>
      <c r="AI83" s="182" t="str">
        <f>IF(ISNUMBER(outYear),AI77-'Inputs and Outputs'!AI65,"")</f>
        <v/>
      </c>
      <c r="AJ83" s="182" t="str">
        <f>IF(ISNUMBER(outYear),AJ77-'Inputs and Outputs'!AJ65,"")</f>
        <v/>
      </c>
      <c r="AK83" s="182" t="str">
        <f>IF(ISNUMBER(outYear),AK77-'Inputs and Outputs'!AK65,"")</f>
        <v/>
      </c>
      <c r="AL83" s="182" t="str">
        <f>IF(ISNUMBER(outYear),AL77-'Inputs and Outputs'!AL65,"")</f>
        <v/>
      </c>
      <c r="AM83" s="182" t="str">
        <f>IF(ISNUMBER(outYear),AM77-'Inputs and Outputs'!AM65,"")</f>
        <v/>
      </c>
      <c r="AN83" s="182" t="str">
        <f>IF(ISNUMBER(outYear),AN77-'Inputs and Outputs'!AN65,"")</f>
        <v/>
      </c>
      <c r="AO83" s="182" t="str">
        <f>IF(ISNUMBER(outYear),AO77-'Inputs and Outputs'!AO65,"")</f>
        <v/>
      </c>
      <c r="AP83" s="182" t="str">
        <f>IF(ISNUMBER(outYear),AP77-'Inputs and Outputs'!AP65,"")</f>
        <v/>
      </c>
      <c r="AQ83" s="182" t="str">
        <f>IF(ISNUMBER(outYear),AQ77-'Inputs and Outputs'!AQ65,"")</f>
        <v/>
      </c>
      <c r="AR83" s="182" t="str">
        <f>IF(ISNUMBER(outYear),AR77-'Inputs and Outputs'!AR65,"")</f>
        <v/>
      </c>
      <c r="AS83" s="182" t="str">
        <f>IF(ISNUMBER(outYear),AS77-'Inputs and Outputs'!AS65,"")</f>
        <v/>
      </c>
      <c r="AT83" s="182" t="str">
        <f>IF(ISNUMBER(outYear),AT77-'Inputs and Outputs'!AT65,"")</f>
        <v/>
      </c>
      <c r="AU83" s="182" t="str">
        <f>IF(ISNUMBER(outYear),AU77-'Inputs and Outputs'!AU65,"")</f>
        <v/>
      </c>
      <c r="AV83" s="182" t="str">
        <f>IF(ISNUMBER(outYear),AV77-'Inputs and Outputs'!AV65,"")</f>
        <v/>
      </c>
      <c r="AW83" s="182" t="str">
        <f>IF(ISNUMBER(outYear),AW77-'Inputs and Outputs'!AW65,"")</f>
        <v/>
      </c>
      <c r="AX83" s="182" t="str">
        <f>IF(ISNUMBER(outYear),AX77-'Inputs and Outputs'!AX65,"")</f>
        <v/>
      </c>
      <c r="AY83" s="182" t="str">
        <f>IF(ISNUMBER(outYear),AY77-'Inputs and Outputs'!AY65,"")</f>
        <v/>
      </c>
      <c r="AZ83" s="182" t="str">
        <f>IF(ISNUMBER(outYear),AZ77-'Inputs and Outputs'!AZ65,"")</f>
        <v/>
      </c>
      <c r="BA83" s="182" t="str">
        <f>IF(ISNUMBER(outYear),BA77-'Inputs and Outputs'!BA65,"")</f>
        <v/>
      </c>
      <c r="BB83" s="182" t="str">
        <f>IF(ISNUMBER(outYear),BB77-'Inputs and Outputs'!BB65,"")</f>
        <v/>
      </c>
      <c r="BC83" s="182" t="str">
        <f>IF(ISNUMBER(outYear),BC77-'Inputs and Outputs'!BC65,"")</f>
        <v/>
      </c>
      <c r="BD83" s="182" t="str">
        <f>IF(ISNUMBER(outYear),BD77-'Inputs and Outputs'!BD65,"")</f>
        <v/>
      </c>
      <c r="BE83" s="182" t="str">
        <f>IF(ISNUMBER(outYear),BE77-'Inputs and Outputs'!BE65,"")</f>
        <v/>
      </c>
      <c r="BF83" s="182" t="str">
        <f>IF(ISNUMBER(outYear),BF77-'Inputs and Outputs'!BF65,"")</f>
        <v/>
      </c>
      <c r="BG83" s="182" t="str">
        <f>IF(ISNUMBER(outYear),BG77-'Inputs and Outputs'!BG65,"")</f>
        <v/>
      </c>
      <c r="BH83" s="182" t="str">
        <f>IF(ISNUMBER(outYear),BH77-'Inputs and Outputs'!BH65,"")</f>
        <v/>
      </c>
      <c r="BI83" s="182" t="str">
        <f>IF(ISNUMBER(outYear),BI77-'Inputs and Outputs'!BI65,"")</f>
        <v/>
      </c>
      <c r="BJ83" s="182" t="str">
        <f>IF(ISNUMBER(outYear),BJ77-'Inputs and Outputs'!BJ65,"")</f>
        <v/>
      </c>
      <c r="BK83" s="182" t="str">
        <f>IF(ISNUMBER(outYear),BK77-'Inputs and Outputs'!BK65,"")</f>
        <v/>
      </c>
      <c r="BL83" s="182" t="str">
        <f>IF(ISNUMBER(outYear),BL77-'Inputs and Outputs'!BL65,"")</f>
        <v/>
      </c>
      <c r="BM83" s="182" t="str">
        <f>IF(ISNUMBER(outYear),BM77-'Inputs and Outputs'!BM65,"")</f>
        <v/>
      </c>
      <c r="BN83" s="182" t="str">
        <f>IF(ISNUMBER(outYear),BN77-'Inputs and Outputs'!BN65,"")</f>
        <v/>
      </c>
      <c r="BO83" s="182" t="str">
        <f>IF(ISNUMBER(outYear),BO77-'Inputs and Outputs'!BO65,"")</f>
        <v/>
      </c>
      <c r="BP83" s="182" t="str">
        <f>IF(ISNUMBER(outYear),BP77-'Inputs and Outputs'!BP65,"")</f>
        <v/>
      </c>
      <c r="BQ83" s="182" t="str">
        <f>IF(ISNUMBER(outYear),BQ77-'Inputs and Outputs'!BQ65,"")</f>
        <v/>
      </c>
      <c r="BR83" s="182" t="str">
        <f>IF(ISNUMBER(outYear),BR77-'Inputs and Outputs'!BR65,"")</f>
        <v/>
      </c>
      <c r="BS83" s="182" t="str">
        <f>IF(ISNUMBER(outYear),BS77-'Inputs and Outputs'!BS65,"")</f>
        <v/>
      </c>
      <c r="BT83" s="182" t="str">
        <f>IF(ISNUMBER(outYear),BT77-'Inputs and Outputs'!BT65,"")</f>
        <v/>
      </c>
      <c r="BU83" s="182" t="str">
        <f>IF(ISNUMBER(outYear),BU77-'Inputs and Outputs'!BU65,"")</f>
        <v/>
      </c>
      <c r="BV83" s="182" t="str">
        <f>IF(ISNUMBER(outYear),BV77-'Inputs and Outputs'!BV65,"")</f>
        <v/>
      </c>
      <c r="BW83" s="182" t="str">
        <f>IF(ISNUMBER(outYear),BW77-'Inputs and Outputs'!BW65,"")</f>
        <v/>
      </c>
      <c r="BX83" s="182" t="str">
        <f>IF(ISNUMBER(outYear),BX77-'Inputs and Outputs'!BX65,"")</f>
        <v/>
      </c>
      <c r="BY83" s="182" t="str">
        <f>IF(ISNUMBER(outYear),BY77-'Inputs and Outputs'!BY65,"")</f>
        <v/>
      </c>
      <c r="BZ83" s="182" t="str">
        <f>IF(ISNUMBER(outYear),BZ77-'Inputs and Outputs'!BZ65,"")</f>
        <v/>
      </c>
      <c r="CA83" s="182" t="str">
        <f>IF(ISNUMBER(outYear),CA77-'Inputs and Outputs'!CA65,"")</f>
        <v/>
      </c>
      <c r="CB83" s="182" t="str">
        <f>IF(ISNUMBER(outYear),CB77-'Inputs and Outputs'!CB65,"")</f>
        <v/>
      </c>
      <c r="CC83" s="182" t="str">
        <f>IF(ISNUMBER(outYear),CC77-'Inputs and Outputs'!CC65,"")</f>
        <v/>
      </c>
      <c r="CD83" s="182" t="str">
        <f>IF(ISNUMBER(outYear),CD77-'Inputs and Outputs'!CD65,"")</f>
        <v/>
      </c>
      <c r="CE83" s="182" t="str">
        <f>IF(ISNUMBER(outYear),CE77-'Inputs and Outputs'!CE65,"")</f>
        <v/>
      </c>
      <c r="CF83" s="182" t="str">
        <f>IF(ISNUMBER(outYear),CF77-'Inputs and Outputs'!CF65,"")</f>
        <v/>
      </c>
      <c r="CG83" s="182" t="str">
        <f>IF(ISNUMBER(outYear),CG77-'Inputs and Outputs'!CG65,"")</f>
        <v/>
      </c>
      <c r="CH83" s="182" t="str">
        <f>IF(ISNUMBER(outYear),CH77-'Inputs and Outputs'!CH65,"")</f>
        <v/>
      </c>
      <c r="CI83" s="182" t="str">
        <f>IF(ISNUMBER(outYear),CI77-'Inputs and Outputs'!CI65,"")</f>
        <v/>
      </c>
      <c r="CJ83" s="182" t="str">
        <f>IF(ISNUMBER(outYear),CJ77-'Inputs and Outputs'!CJ65,"")</f>
        <v/>
      </c>
      <c r="CK83" s="182" t="str">
        <f>IF(ISNUMBER(outYear),CK77-'Inputs and Outputs'!CK65,"")</f>
        <v/>
      </c>
      <c r="CL83" s="182" t="str">
        <f>IF(ISNUMBER(outYear),CL77-'Inputs and Outputs'!CL65,"")</f>
        <v/>
      </c>
      <c r="CM83" s="182" t="str">
        <f>IF(ISNUMBER(outYear),CM77-'Inputs and Outputs'!CM65,"")</f>
        <v/>
      </c>
      <c r="CN83" s="182" t="str">
        <f>IF(ISNUMBER(outYear),CN77-'Inputs and Outputs'!CN65,"")</f>
        <v/>
      </c>
      <c r="CO83" s="182" t="str">
        <f>IF(ISNUMBER(outYear),CO77-'Inputs and Outputs'!CO65,"")</f>
        <v/>
      </c>
      <c r="CP83" s="182" t="str">
        <f>IF(ISNUMBER(outYear),CP77-'Inputs and Outputs'!CP65,"")</f>
        <v/>
      </c>
      <c r="CQ83" s="182" t="str">
        <f>IF(ISNUMBER(outYear),CQ77-'Inputs and Outputs'!CQ65,"")</f>
        <v/>
      </c>
      <c r="CR83" s="182" t="str">
        <f>IF(ISNUMBER(outYear),CR77-'Inputs and Outputs'!CR65,"")</f>
        <v/>
      </c>
      <c r="CS83" s="182" t="str">
        <f>IF(ISNUMBER(outYear),CS77-'Inputs and Outputs'!CS65,"")</f>
        <v/>
      </c>
      <c r="CT83" s="182" t="str">
        <f>IF(ISNUMBER(outYear),CT77-'Inputs and Outputs'!CT65,"")</f>
        <v/>
      </c>
      <c r="CU83" s="182" t="str">
        <f>IF(ISNUMBER(outYear),CU77-'Inputs and Outputs'!CU65,"")</f>
        <v/>
      </c>
      <c r="CV83" s="182" t="str">
        <f>IF(ISNUMBER(outYear),CV77-'Inputs and Outputs'!CV65,"")</f>
        <v/>
      </c>
      <c r="CW83" s="182" t="str">
        <f>IF(ISNUMBER(outYear),CW77-'Inputs and Outputs'!CW65,"")</f>
        <v/>
      </c>
      <c r="CX83" s="182" t="str">
        <f>IF(ISNUMBER(outYear),CX77-'Inputs and Outputs'!CX65,"")</f>
        <v/>
      </c>
    </row>
    <row r="84" spans="1:102" x14ac:dyDescent="0.2">
      <c r="A84" t="s">
        <v>126</v>
      </c>
      <c r="B84" s="182">
        <f>IF(ISNUMBER(outYear),B78-'Inputs and Outputs'!B66,"")</f>
        <v>-542718</v>
      </c>
      <c r="C84" s="182">
        <f>IF(ISNUMBER(outYear),C78-'Inputs and Outputs'!C66*(1-(state_tax_rate/100+(1-state_tax_rate/100)*federal_tax_rate/100)),"")</f>
        <v>-237218.46843000007</v>
      </c>
      <c r="D84" s="182">
        <f>IF(ISNUMBER(outYear),D78-'Inputs and Outputs'!D66*(1-(state_tax_rate/100+(1-state_tax_rate/100)*federal_tax_rate/100)),"")</f>
        <v>-471467.4642304001</v>
      </c>
      <c r="E84" s="182">
        <f>IF(ISNUMBER(outYear),E78-'Inputs and Outputs'!E66*(1-(state_tax_rate/100+(1-state_tax_rate/100)*federal_tax_rate/100)),"")</f>
        <v>-502534.85650828813</v>
      </c>
      <c r="F84" s="182">
        <f>IF(ISNUMBER(outYear),F78-'Inputs and Outputs'!F66*(1-(state_tax_rate/100+(1-state_tax_rate/100)*federal_tax_rate/100)),"")</f>
        <v>-525568.37943442189</v>
      </c>
      <c r="G84" s="182">
        <f>IF(ISNUMBER(outYear),G78-'Inputs and Outputs'!G66*(1-(state_tax_rate/100+(1-state_tax_rate/100)*federal_tax_rate/100)),"")</f>
        <v>-536450.68490299501</v>
      </c>
      <c r="H84" s="182">
        <f>IF(ISNUMBER(outYear),H78-'Inputs and Outputs'!H66*(1-(state_tax_rate/100+(1-state_tax_rate/100)*federal_tax_rate/100)),"")</f>
        <v>-556824.08347805974</v>
      </c>
      <c r="I84" s="182">
        <f>IF(ISNUMBER(outYear),I78-'Inputs and Outputs'!I66*(1-(state_tax_rate/100+(1-state_tax_rate/100)*federal_tax_rate/100)),"")</f>
        <v>-577419.48108468333</v>
      </c>
      <c r="J84" s="182">
        <f>IF(ISNUMBER(outYear),J78-'Inputs and Outputs'!J66*(1-(state_tax_rate/100+(1-state_tax_rate/100)*federal_tax_rate/100)),"")</f>
        <v>-588967.87070637697</v>
      </c>
      <c r="K84" s="182">
        <f>IF(ISNUMBER(outYear),K78-'Inputs and Outputs'!K66*(1-(state_tax_rate/100+(1-state_tax_rate/100)*federal_tax_rate/100)),"")</f>
        <v>-600747.22812050441</v>
      </c>
      <c r="L84" s="182">
        <f>IF(ISNUMBER(outYear),L78-'Inputs and Outputs'!L66*(1-(state_tax_rate/100+(1-state_tax_rate/100)*federal_tax_rate/100)),"")</f>
        <v>-671112.56734589883</v>
      </c>
      <c r="M84" s="182">
        <f>IF(ISNUMBER(outYear),M78-'Inputs and Outputs'!M66*(1-(state_tax_rate/100+(1-state_tax_rate/100)*federal_tax_rate/100)),"")</f>
        <v>-625017.41613657284</v>
      </c>
      <c r="N84" s="182">
        <f>IF(ISNUMBER(outYear),N78-'Inputs and Outputs'!N66*(1-(state_tax_rate/100+(1-state_tax_rate/100)*federal_tax_rate/100)),"")</f>
        <v>-637517.76445930428</v>
      </c>
      <c r="O84" s="182">
        <f>IF(ISNUMBER(outYear),O78-'Inputs and Outputs'!O66*(1-(state_tax_rate/100+(1-state_tax_rate/100)*federal_tax_rate/100)),"")</f>
        <v>-650268.1197484904</v>
      </c>
      <c r="P84" s="182">
        <f>IF(ISNUMBER(outYear),P78-'Inputs and Outputs'!P66*(1-(state_tax_rate/100+(1-state_tax_rate/100)*federal_tax_rate/100)),"")</f>
        <v>-663273.48214346019</v>
      </c>
      <c r="Q84" s="182">
        <f>IF(ISNUMBER(outYear),Q78-'Inputs and Outputs'!Q66*(1-(state_tax_rate/100+(1-state_tax_rate/100)*federal_tax_rate/100)),"")</f>
        <v>-676538.9517863295</v>
      </c>
      <c r="R84" s="182">
        <f>IF(ISNUMBER(outYear),R78-'Inputs and Outputs'!R66*(1-(state_tax_rate/100+(1-state_tax_rate/100)*federal_tax_rate/100)),"")</f>
        <v>-690069.73082205607</v>
      </c>
      <c r="S84" s="182">
        <f>IF(ISNUMBER(outYear),S78-'Inputs and Outputs'!S66*(1-(state_tax_rate/100+(1-state_tax_rate/100)*federal_tax_rate/100)),"")</f>
        <v>-703871.12543849717</v>
      </c>
      <c r="T84" s="182">
        <f>IF(ISNUMBER(outYear),T78-'Inputs and Outputs'!T66*(1-(state_tax_rate/100+(1-state_tax_rate/100)*federal_tax_rate/100)),"")</f>
        <v>-717948.54794726719</v>
      </c>
      <c r="U84" s="182">
        <f>IF(ISNUMBER(outYear),U78-'Inputs and Outputs'!U66*(1-(state_tax_rate/100+(1-state_tax_rate/100)*federal_tax_rate/100)),"")</f>
        <v>-732307.51890621264</v>
      </c>
      <c r="V84" s="182">
        <f>IF(ISNUMBER(outYear),V78-'Inputs and Outputs'!V66*(1-(state_tax_rate/100+(1-state_tax_rate/100)*federal_tax_rate/100)),"")</f>
        <v>-746953.66928433697</v>
      </c>
      <c r="W84" s="182">
        <f>IF(ISNUMBER(outYear),W78-'Inputs and Outputs'!W66*(1-(state_tax_rate/100+(1-state_tax_rate/100)*federal_tax_rate/100)),"")</f>
        <v>-761892.7426700237</v>
      </c>
      <c r="X84" s="182">
        <f>IF(ISNUMBER(outYear),X78-'Inputs and Outputs'!X66*(1-(state_tax_rate/100+(1-state_tax_rate/100)*federal_tax_rate/100)),"")</f>
        <v>-777130.59752342408</v>
      </c>
      <c r="Y84" s="182">
        <f>IF(ISNUMBER(outYear),Y78-'Inputs and Outputs'!Y66*(1-(state_tax_rate/100+(1-state_tax_rate/100)*federal_tax_rate/100)),"")</f>
        <v>-792673.20947389258</v>
      </c>
      <c r="Z84" s="182">
        <f>IF(ISNUMBER(outYear),Z78-'Inputs and Outputs'!Z66*(1-(state_tax_rate/100+(1-state_tax_rate/100)*federal_tax_rate/100)),"")</f>
        <v>-808526.67366337043</v>
      </c>
      <c r="AA84" s="182">
        <f>IF(ISNUMBER(outYear),AA78-'Inputs and Outputs'!AA66*(1-(state_tax_rate/100+(1-state_tax_rate/100)*federal_tax_rate/100)),"")</f>
        <v>-824697.20713663788</v>
      </c>
      <c r="AB84" s="182" t="str">
        <f>IF(ISNUMBER(outYear),AB78-'Inputs and Outputs'!AB66,"")</f>
        <v/>
      </c>
      <c r="AC84" s="182" t="str">
        <f>IF(ISNUMBER(outYear),AC78-'Inputs and Outputs'!AC66,"")</f>
        <v/>
      </c>
      <c r="AD84" s="182" t="str">
        <f>IF(ISNUMBER(outYear),AD78-'Inputs and Outputs'!AD66,"")</f>
        <v/>
      </c>
      <c r="AE84" s="182" t="str">
        <f>IF(ISNUMBER(outYear),AE78-'Inputs and Outputs'!AE66,"")</f>
        <v/>
      </c>
      <c r="AF84" s="182" t="str">
        <f>IF(ISNUMBER(outYear),AF78-'Inputs and Outputs'!AF66,"")</f>
        <v/>
      </c>
      <c r="AG84" s="182" t="str">
        <f>IF(ISNUMBER(outYear),AG78-'Inputs and Outputs'!AG66,"")</f>
        <v/>
      </c>
      <c r="AH84" s="182" t="str">
        <f>IF(ISNUMBER(outYear),AH78-'Inputs and Outputs'!AH66,"")</f>
        <v/>
      </c>
      <c r="AI84" s="182" t="str">
        <f>IF(ISNUMBER(outYear),AI78-'Inputs and Outputs'!AI66,"")</f>
        <v/>
      </c>
      <c r="AJ84" s="182" t="str">
        <f>IF(ISNUMBER(outYear),AJ78-'Inputs and Outputs'!AJ66,"")</f>
        <v/>
      </c>
      <c r="AK84" s="182" t="str">
        <f>IF(ISNUMBER(outYear),AK78-'Inputs and Outputs'!AK66,"")</f>
        <v/>
      </c>
      <c r="AL84" s="182" t="str">
        <f>IF(ISNUMBER(outYear),AL78-'Inputs and Outputs'!AL66,"")</f>
        <v/>
      </c>
      <c r="AM84" s="182" t="str">
        <f>IF(ISNUMBER(outYear),AM78-'Inputs and Outputs'!AM66,"")</f>
        <v/>
      </c>
      <c r="AN84" s="182" t="str">
        <f>IF(ISNUMBER(outYear),AN78-'Inputs and Outputs'!AN66,"")</f>
        <v/>
      </c>
      <c r="AO84" s="182" t="str">
        <f>IF(ISNUMBER(outYear),AO78-'Inputs and Outputs'!AO66,"")</f>
        <v/>
      </c>
      <c r="AP84" s="182" t="str">
        <f>IF(ISNUMBER(outYear),AP78-'Inputs and Outputs'!AP66,"")</f>
        <v/>
      </c>
      <c r="AQ84" s="182" t="str">
        <f>IF(ISNUMBER(outYear),AQ78-'Inputs and Outputs'!AQ66,"")</f>
        <v/>
      </c>
      <c r="AR84" s="182" t="str">
        <f>IF(ISNUMBER(outYear),AR78-'Inputs and Outputs'!AR66,"")</f>
        <v/>
      </c>
      <c r="AS84" s="182" t="str">
        <f>IF(ISNUMBER(outYear),AS78-'Inputs and Outputs'!AS66,"")</f>
        <v/>
      </c>
      <c r="AT84" s="182" t="str">
        <f>IF(ISNUMBER(outYear),AT78-'Inputs and Outputs'!AT66,"")</f>
        <v/>
      </c>
      <c r="AU84" s="182" t="str">
        <f>IF(ISNUMBER(outYear),AU78-'Inputs and Outputs'!AU66,"")</f>
        <v/>
      </c>
      <c r="AV84" s="182" t="str">
        <f>IF(ISNUMBER(outYear),AV78-'Inputs and Outputs'!AV66,"")</f>
        <v/>
      </c>
      <c r="AW84" s="182" t="str">
        <f>IF(ISNUMBER(outYear),AW78-'Inputs and Outputs'!AW66,"")</f>
        <v/>
      </c>
      <c r="AX84" s="182" t="str">
        <f>IF(ISNUMBER(outYear),AX78-'Inputs and Outputs'!AX66,"")</f>
        <v/>
      </c>
      <c r="AY84" s="182" t="str">
        <f>IF(ISNUMBER(outYear),AY78-'Inputs and Outputs'!AY66,"")</f>
        <v/>
      </c>
      <c r="AZ84" s="182" t="str">
        <f>IF(ISNUMBER(outYear),AZ78-'Inputs and Outputs'!AZ66,"")</f>
        <v/>
      </c>
      <c r="BA84" s="182" t="str">
        <f>IF(ISNUMBER(outYear),BA78-'Inputs and Outputs'!BA66,"")</f>
        <v/>
      </c>
      <c r="BB84" s="182" t="str">
        <f>IF(ISNUMBER(outYear),BB78-'Inputs and Outputs'!BB66,"")</f>
        <v/>
      </c>
      <c r="BC84" s="182" t="str">
        <f>IF(ISNUMBER(outYear),BC78-'Inputs and Outputs'!BC66,"")</f>
        <v/>
      </c>
      <c r="BD84" s="182" t="str">
        <f>IF(ISNUMBER(outYear),BD78-'Inputs and Outputs'!BD66,"")</f>
        <v/>
      </c>
      <c r="BE84" s="182" t="str">
        <f>IF(ISNUMBER(outYear),BE78-'Inputs and Outputs'!BE66,"")</f>
        <v/>
      </c>
      <c r="BF84" s="182" t="str">
        <f>IF(ISNUMBER(outYear),BF78-'Inputs and Outputs'!BF66,"")</f>
        <v/>
      </c>
      <c r="BG84" s="182" t="str">
        <f>IF(ISNUMBER(outYear),BG78-'Inputs and Outputs'!BG66,"")</f>
        <v/>
      </c>
      <c r="BH84" s="182" t="str">
        <f>IF(ISNUMBER(outYear),BH78-'Inputs and Outputs'!BH66,"")</f>
        <v/>
      </c>
      <c r="BI84" s="182" t="str">
        <f>IF(ISNUMBER(outYear),BI78-'Inputs and Outputs'!BI66,"")</f>
        <v/>
      </c>
      <c r="BJ84" s="182" t="str">
        <f>IF(ISNUMBER(outYear),BJ78-'Inputs and Outputs'!BJ66,"")</f>
        <v/>
      </c>
      <c r="BK84" s="182" t="str">
        <f>IF(ISNUMBER(outYear),BK78-'Inputs and Outputs'!BK66,"")</f>
        <v/>
      </c>
      <c r="BL84" s="182" t="str">
        <f>IF(ISNUMBER(outYear),BL78-'Inputs and Outputs'!BL66,"")</f>
        <v/>
      </c>
      <c r="BM84" s="182" t="str">
        <f>IF(ISNUMBER(outYear),BM78-'Inputs and Outputs'!BM66,"")</f>
        <v/>
      </c>
      <c r="BN84" s="182" t="str">
        <f>IF(ISNUMBER(outYear),BN78-'Inputs and Outputs'!BN66,"")</f>
        <v/>
      </c>
      <c r="BO84" s="182" t="str">
        <f>IF(ISNUMBER(outYear),BO78-'Inputs and Outputs'!BO66,"")</f>
        <v/>
      </c>
      <c r="BP84" s="182" t="str">
        <f>IF(ISNUMBER(outYear),BP78-'Inputs and Outputs'!BP66,"")</f>
        <v/>
      </c>
      <c r="BQ84" s="182" t="str">
        <f>IF(ISNUMBER(outYear),BQ78-'Inputs and Outputs'!BQ66,"")</f>
        <v/>
      </c>
      <c r="BR84" s="182" t="str">
        <f>IF(ISNUMBER(outYear),BR78-'Inputs and Outputs'!BR66,"")</f>
        <v/>
      </c>
      <c r="BS84" s="182" t="str">
        <f>IF(ISNUMBER(outYear),BS78-'Inputs and Outputs'!BS66,"")</f>
        <v/>
      </c>
      <c r="BT84" s="182" t="str">
        <f>IF(ISNUMBER(outYear),BT78-'Inputs and Outputs'!BT66,"")</f>
        <v/>
      </c>
      <c r="BU84" s="182" t="str">
        <f>IF(ISNUMBER(outYear),BU78-'Inputs and Outputs'!BU66,"")</f>
        <v/>
      </c>
      <c r="BV84" s="182" t="str">
        <f>IF(ISNUMBER(outYear),BV78-'Inputs and Outputs'!BV66,"")</f>
        <v/>
      </c>
      <c r="BW84" s="182" t="str">
        <f>IF(ISNUMBER(outYear),BW78-'Inputs and Outputs'!BW66,"")</f>
        <v/>
      </c>
      <c r="BX84" s="182" t="str">
        <f>IF(ISNUMBER(outYear),BX78-'Inputs and Outputs'!BX66,"")</f>
        <v/>
      </c>
      <c r="BY84" s="182" t="str">
        <f>IF(ISNUMBER(outYear),BY78-'Inputs and Outputs'!BY66,"")</f>
        <v/>
      </c>
      <c r="BZ84" s="182" t="str">
        <f>IF(ISNUMBER(outYear),BZ78-'Inputs and Outputs'!BZ66,"")</f>
        <v/>
      </c>
      <c r="CA84" s="182" t="str">
        <f>IF(ISNUMBER(outYear),CA78-'Inputs and Outputs'!CA66,"")</f>
        <v/>
      </c>
      <c r="CB84" s="182" t="str">
        <f>IF(ISNUMBER(outYear),CB78-'Inputs and Outputs'!CB66,"")</f>
        <v/>
      </c>
      <c r="CC84" s="182" t="str">
        <f>IF(ISNUMBER(outYear),CC78-'Inputs and Outputs'!CC66,"")</f>
        <v/>
      </c>
      <c r="CD84" s="182" t="str">
        <f>IF(ISNUMBER(outYear),CD78-'Inputs and Outputs'!CD66,"")</f>
        <v/>
      </c>
      <c r="CE84" s="182" t="str">
        <f>IF(ISNUMBER(outYear),CE78-'Inputs and Outputs'!CE66,"")</f>
        <v/>
      </c>
      <c r="CF84" s="182" t="str">
        <f>IF(ISNUMBER(outYear),CF78-'Inputs and Outputs'!CF66,"")</f>
        <v/>
      </c>
      <c r="CG84" s="182" t="str">
        <f>IF(ISNUMBER(outYear),CG78-'Inputs and Outputs'!CG66,"")</f>
        <v/>
      </c>
      <c r="CH84" s="182" t="str">
        <f>IF(ISNUMBER(outYear),CH78-'Inputs and Outputs'!CH66,"")</f>
        <v/>
      </c>
      <c r="CI84" s="182" t="str">
        <f>IF(ISNUMBER(outYear),CI78-'Inputs and Outputs'!CI66,"")</f>
        <v/>
      </c>
      <c r="CJ84" s="182" t="str">
        <f>IF(ISNUMBER(outYear),CJ78-'Inputs and Outputs'!CJ66,"")</f>
        <v/>
      </c>
      <c r="CK84" s="182" t="str">
        <f>IF(ISNUMBER(outYear),CK78-'Inputs and Outputs'!CK66,"")</f>
        <v/>
      </c>
      <c r="CL84" s="182" t="str">
        <f>IF(ISNUMBER(outYear),CL78-'Inputs and Outputs'!CL66,"")</f>
        <v/>
      </c>
      <c r="CM84" s="182" t="str">
        <f>IF(ISNUMBER(outYear),CM78-'Inputs and Outputs'!CM66,"")</f>
        <v/>
      </c>
      <c r="CN84" s="182" t="str">
        <f>IF(ISNUMBER(outYear),CN78-'Inputs and Outputs'!CN66,"")</f>
        <v/>
      </c>
      <c r="CO84" s="182" t="str">
        <f>IF(ISNUMBER(outYear),CO78-'Inputs and Outputs'!CO66,"")</f>
        <v/>
      </c>
      <c r="CP84" s="182" t="str">
        <f>IF(ISNUMBER(outYear),CP78-'Inputs and Outputs'!CP66,"")</f>
        <v/>
      </c>
      <c r="CQ84" s="182" t="str">
        <f>IF(ISNUMBER(outYear),CQ78-'Inputs and Outputs'!CQ66,"")</f>
        <v/>
      </c>
      <c r="CR84" s="182" t="str">
        <f>IF(ISNUMBER(outYear),CR78-'Inputs and Outputs'!CR66,"")</f>
        <v/>
      </c>
      <c r="CS84" s="182" t="str">
        <f>IF(ISNUMBER(outYear),CS78-'Inputs and Outputs'!CS66,"")</f>
        <v/>
      </c>
      <c r="CT84" s="182" t="str">
        <f>IF(ISNUMBER(outYear),CT78-'Inputs and Outputs'!CT66,"")</f>
        <v/>
      </c>
      <c r="CU84" s="182" t="str">
        <f>IF(ISNUMBER(outYear),CU78-'Inputs and Outputs'!CU66,"")</f>
        <v/>
      </c>
      <c r="CV84" s="182" t="str">
        <f>IF(ISNUMBER(outYear),CV78-'Inputs and Outputs'!CV66,"")</f>
        <v/>
      </c>
      <c r="CW84" s="182" t="str">
        <f>IF(ISNUMBER(outYear),CW78-'Inputs and Outputs'!CW66,"")</f>
        <v/>
      </c>
      <c r="CX84" s="182" t="str">
        <f>IF(ISNUMBER(outYear),CX78-'Inputs and Outputs'!CX66,"")</f>
        <v/>
      </c>
    </row>
    <row r="86" spans="1:102" x14ac:dyDescent="0.2">
      <c r="C86" s="182"/>
    </row>
    <row r="87" spans="1:102" x14ac:dyDescent="0.2">
      <c r="C87" s="182"/>
      <c r="D87" s="182"/>
    </row>
    <row r="89" spans="1:102" x14ac:dyDescent="0.2">
      <c r="B89" s="182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74</vt:i4>
      </vt:variant>
    </vt:vector>
  </HeadingPairs>
  <TitlesOfParts>
    <vt:vector size="76" baseType="lpstr">
      <vt:lpstr>Inputs and Outputs</vt:lpstr>
      <vt:lpstr>Cash Flow</vt:lpstr>
      <vt:lpstr>analysis_period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CashFlow</vt:lpstr>
      <vt:lpstr>cbi_fed_amount</vt:lpstr>
      <vt:lpstr>cbi_fed_deprbas_fed</vt:lpstr>
      <vt:lpstr>cbi_fed_deprbas_sta</vt:lpstr>
      <vt:lpstr>cbi_fed_maxvalue</vt:lpstr>
      <vt:lpstr>cbi_fed_tax_fed</vt:lpstr>
      <vt:lpstr>cbi_fed_tax_sta</vt:lpstr>
      <vt:lpstr>cbi_sta_amount</vt:lpstr>
      <vt:lpstr>cbi_sta_deprbas_fed</vt:lpstr>
      <vt:lpstr>cbi_sta_deprbas_sta</vt:lpstr>
      <vt:lpstr>cbi_sta_maxvalue</vt:lpstr>
      <vt:lpstr>cbi_sta_tax_fed</vt:lpstr>
      <vt:lpstr>cbi_sta_tax_sta</vt:lpstr>
      <vt:lpstr>cbi_uti_amount</vt:lpstr>
      <vt:lpstr>cbi_uti_deprbas_fed</vt:lpstr>
      <vt:lpstr>cbi_uti_deprbas_sta</vt:lpstr>
      <vt:lpstr>cbi_uti_maxvalue</vt:lpstr>
      <vt:lpstr>cbi_uti_tax_fed</vt:lpstr>
      <vt:lpstr>cbi_uti_tax_sta</vt:lpstr>
      <vt:lpstr>CostFlow</vt:lpstr>
      <vt:lpstr>debt_fraction</vt:lpstr>
      <vt:lpstr>escalation_rate</vt:lpstr>
      <vt:lpstr>federal_tax_rate</vt:lpstr>
      <vt:lpstr>FederalDepreciation</vt:lpstr>
      <vt:lpstr>ibi_sta_percent</vt:lpstr>
      <vt:lpstr>ibi_sta_percent_deprbas_fed</vt:lpstr>
      <vt:lpstr>ibi_sta_percent_deprbas_sta</vt:lpstr>
      <vt:lpstr>ibi_sta_percent_maxvalue</vt:lpstr>
      <vt:lpstr>ibi_sta_percent_tax_fed</vt:lpstr>
      <vt:lpstr>ibi_sta_percent_tax_sta</vt:lpstr>
      <vt:lpstr>ibi_uti_percent</vt:lpstr>
      <vt:lpstr>ibi_uti_percent_deprbas_fed</vt:lpstr>
      <vt:lpstr>ibi_uti_percent_deprbas_sta</vt:lpstr>
      <vt:lpstr>ibi_uti_percent_maxvalue</vt:lpstr>
      <vt:lpstr>ibi_uti_percent_tax_fed</vt:lpstr>
      <vt:lpstr>ibi_uti_percent_tax_sta</vt:lpstr>
      <vt:lpstr>inflation_rate</vt:lpstr>
      <vt:lpstr>itc_fed_percent</vt:lpstr>
      <vt:lpstr>itc_fed_percent_deprbas_fed</vt:lpstr>
      <vt:lpstr>itc_fed_percent_deprbas_sta</vt:lpstr>
      <vt:lpstr>itc_fed_percent_deprbas_state</vt:lpstr>
      <vt:lpstr>itc_fed_percent_maxvalue</vt:lpstr>
      <vt:lpstr>loan_rate</vt:lpstr>
      <vt:lpstr>loan_term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pbi_combined_tax_sta</vt:lpstr>
      <vt:lpstr>pbi_combined_term</vt:lpstr>
      <vt:lpstr>prop_tax_assessed_decline</vt:lpstr>
      <vt:lpstr>prop_tax_cost_assessed_percent</vt:lpstr>
      <vt:lpstr>property_tax_rate</vt:lpstr>
      <vt:lpstr>pv_degradation</vt:lpstr>
      <vt:lpstr>pv_degradation_rate</vt:lpstr>
      <vt:lpstr>real_discount_rate</vt:lpstr>
      <vt:lpstr>state_tax_rate</vt:lpstr>
      <vt:lpstr>StateDepreciation</vt:lpstr>
      <vt:lpstr>system_capacity</vt:lpstr>
      <vt:lpstr>total_installed_cost</vt:lpstr>
      <vt:lpstr>UseTaxDeductibleInterest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2017-05-24T23:13:16Z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r8>0</vt:r8>
  </property>
  <property fmtid="{D5CDD505-2E9C-101B-9397-08002B2CF9AE}" pid="3" name="tax_cost_assessed_percent" linkTarget="prop_tax_cost_assessed_percent">
    <vt:r8>100</vt:r8>
  </property>
</Properties>
</file>