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ndiorio\Documents\VirtualBoxShare\"/>
    </mc:Choice>
  </mc:AlternateContent>
  <xr:revisionPtr revIDLastSave="0" documentId="13_ncr:1_{0F75CF37-68B7-4A2A-9E6F-3D649EDB1956}" xr6:coauthVersionLast="34" xr6:coauthVersionMax="34" xr10:uidLastSave="{00000000-0000-0000-0000-000000000000}"/>
  <workbookProtection lockWindows="1"/>
  <bookViews>
    <workbookView xWindow="0" yWindow="0" windowWidth="16380" windowHeight="8190" tabRatio="993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Outputs'!$B$37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Outputs'!$B$90</definedName>
    <definedName name="batt_cbi_fed_deprbas_fed">'Inputs and Outputs'!$E$90</definedName>
    <definedName name="batt_cbi_fed_maxvalue">'Inputs and Outputs'!$C$90</definedName>
    <definedName name="batt_cbi_fed_tax_fed">'Inputs and Outputs'!$D$90</definedName>
    <definedName name="batt_cbi_sta_amount">'Inputs and Outputs'!$B$91</definedName>
    <definedName name="batt_cbi_sta_deprbas_fed">'Inputs and Outputs'!$E$91</definedName>
    <definedName name="batt_cbi_sta_maxvalue">'Inputs and Outputs'!$C$91</definedName>
    <definedName name="batt_cbi_sta_tax_fed">'Inputs and Outputs'!$D$91</definedName>
    <definedName name="batt_cbi_uti_amount">'Inputs and Outputs'!$B$92</definedName>
    <definedName name="batt_cbi_uti_deprbas_fed">'Inputs and Outputs'!$E$92</definedName>
    <definedName name="batt_cbi_uti_maxvalue">'Inputs and Outputs'!$C$92</definedName>
    <definedName name="batt_cbi_uti_tax_fed">'Inputs and Outputs'!$D$92</definedName>
    <definedName name="batt_ibi_sta_percent">'Inputs and Outputs'!$B$87</definedName>
    <definedName name="batt_ibi_sta_percent_deprbas_fed">'Inputs and Outputs'!$E$87</definedName>
    <definedName name="batt_ibi_sta_percent_maxvalue">'Inputs and Outputs'!$C$87</definedName>
    <definedName name="batt_ibi_sta_percent_tax_fed">'Inputs and Outputs'!$D$87</definedName>
    <definedName name="batt_ibi_uti_percent">'Inputs and Outputs'!$B$88</definedName>
    <definedName name="batt_ibi_uti_percent_deprbas_fed">'Inputs and Outputs'!$E$88</definedName>
    <definedName name="batt_ibi_uti_percent_maxvalue">'Inputs and Outputs'!$C$88</definedName>
    <definedName name="batt_ibi_uti_percent_tax_fed">'Inputs and Outputs'!$D$88</definedName>
    <definedName name="batt_itc_fed_percent">'Inputs and Outputs'!$B$82</definedName>
    <definedName name="batt_itc_fed_percent_deprbas_fed">'Inputs and Outputs'!$D$82</definedName>
    <definedName name="batt_itc_fed_percent_maxvalue">'Inputs and Outputs'!$C$82</definedName>
    <definedName name="batt_kw">'Inputs and Outputs'!$B$7</definedName>
    <definedName name="batt_kwh">'Inputs and Outputs'!$B$8</definedName>
    <definedName name="batt_repl_cost_kw">'Inputs and Outputs'!$B$26</definedName>
    <definedName name="batt_repl_cost_kwh">'Inputs and Outputs'!$B$28</definedName>
    <definedName name="batt_repl_kw_year">'Inputs and Outputs'!$B$27</definedName>
    <definedName name="batt_repl_year_kw">'Inputs and Outputs'!$B$27</definedName>
    <definedName name="batt_repl_year_kwh">'Inputs and Outputs'!$B$29</definedName>
    <definedName name="battery_installed_cost">'Inputs and Outputs'!$B$22</definedName>
    <definedName name="BatteryBonusFraction">'Inputs and Outputs'!$C$96</definedName>
    <definedName name="BatteryFederalDepreciation">'Inputs and Outputs'!$C$95</definedName>
    <definedName name="BatteryMACRSBonusFraction">'Inputs and Outputs'!$C$96</definedName>
    <definedName name="BonusFraction">'Inputs and Outputs'!$B$96</definedName>
    <definedName name="CashFlow">'Cash Flow'!$C$101:$CX$101</definedName>
    <definedName name="cbi_fed_amount">'Inputs and Outputs'!$B$56</definedName>
    <definedName name="cbi_fed_deprbas_fed">'Inputs and Outputs'!$E$56</definedName>
    <definedName name="cbi_fed_deprbas_sta">'Inputs and Outputs'!#REF!</definedName>
    <definedName name="cbi_fed_maxvalue">'Inputs and Outputs'!$C$56</definedName>
    <definedName name="cbi_fed_tax_fed">'Inputs and Outputs'!$D$56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Outputs'!$B$57</definedName>
    <definedName name="cbi_sta_deprbas_fed">'Inputs and Outputs'!$E$57</definedName>
    <definedName name="cbi_sta_deprbas_sta">'Inputs and Outputs'!#REF!</definedName>
    <definedName name="cbi_sta_maxvalue">'Inputs and Outputs'!$C$57</definedName>
    <definedName name="cbi_sta_tax_fed">'Inputs and Outputs'!$D$57</definedName>
    <definedName name="cbi_sta_tax_sta">'Inputs and Outputs'!#REF!</definedName>
    <definedName name="cbi_uti_amount">'Inputs and Outputs'!$B$58</definedName>
    <definedName name="cbi_uti_deprbas_fed">'Inputs and Outputs'!$E$58</definedName>
    <definedName name="cbi_uti_deprbas_sta">'Inputs and Outputs'!#REF!</definedName>
    <definedName name="cbi_uti_maxvalue">'Inputs and Outputs'!$C$58</definedName>
    <definedName name="cbi_uti_tax_fed">'Inputs and Outputs'!$D$58</definedName>
    <definedName name="cbi_uti_tax_sta">'Inputs and Outputs'!#REF!</definedName>
    <definedName name="CostFlow">'Cash Flow'!$C$99:$CX$99</definedName>
    <definedName name="CumulativePaybackCashFlowWithExpenses">'Cash Flow'!#REF!</definedName>
    <definedName name="CumulativePaybackNoIncentives">'Cash Flow'!#REF!</definedName>
    <definedName name="debt_fraction">'Inputs and Outputs'!$B$32</definedName>
    <definedName name="EnergyValue">'Inputs and Outputs'!#REF!</definedName>
    <definedName name="escalation_rate">'Inputs and Outputs'!#REF!</definedName>
    <definedName name="escalation_rate_nominal">'Inputs and Outputs'!$B$39</definedName>
    <definedName name="existing_pv">'Inputs and Outputs'!$B$4</definedName>
    <definedName name="federal_tax_rate">'Inputs and Outputs'!$B$43</definedName>
    <definedName name="FederalDepreciation">'Inputs and Outputs'!$B$95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Outputs'!$B$53</definedName>
    <definedName name="ibi_sta_percent_deprbas_fed">'Inputs and Outputs'!$E$53</definedName>
    <definedName name="ibi_sta_percent_deprbas_sta">'Inputs and Outputs'!#REF!</definedName>
    <definedName name="ibi_sta_percent_maxvalue">'Inputs and Outputs'!$C$53</definedName>
    <definedName name="ibi_sta_percent_tax_fed">'Inputs and Outputs'!$D$53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Outputs'!$B$54</definedName>
    <definedName name="ibi_uti_percent_deprbas_fed">'Inputs and Outputs'!$E$54</definedName>
    <definedName name="ibi_uti_percent_deprbas_sta">'Inputs and Outputs'!#REF!</definedName>
    <definedName name="ibi_uti_percent_maxvalue">'Inputs and Outputs'!$C$54</definedName>
    <definedName name="ibi_uti_percent_tax_fed">'Inputs and Outputs'!$D$54</definedName>
    <definedName name="ibi_uti_percent_tax_sta">'Inputs and Outputs'!#REF!</definedName>
    <definedName name="inflation_rate">'Inputs and Outputs'!$B$38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Outputs'!$B$48</definedName>
    <definedName name="itc_fed_percent_deprbas_fed">'Inputs and Outputs'!$D$48</definedName>
    <definedName name="itc_fed_percent_deprbas_sta">'Inputs and Outputs'!#REF!</definedName>
    <definedName name="itc_fed_percent_deprbas_state">'Inputs and Outputs'!#REF!</definedName>
    <definedName name="itc_fed_percent_maxvalue">'Inputs and Outputs'!$C$48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Outputs'!$B$34</definedName>
    <definedName name="loan_term">'Inputs and Outputs'!$B$33</definedName>
    <definedName name="MACRSBonusFraction">'Inputs and Outputs'!$B$96</definedName>
    <definedName name="NominalDiscountRate">'Inputs and Outputs'!$B$40</definedName>
    <definedName name="O_M_cost_escalation_rate__nominal_____year">'Inputs and Outputs'!$B$38</definedName>
    <definedName name="om_capacity">'Inputs and Outputs'!$B$24</definedName>
    <definedName name="om_capacity_escal">'Inputs and Outputs'!#REF!</definedName>
    <definedName name="om_capacity_wind">'Inputs and Outputs'!$B$25</definedName>
    <definedName name="om_cost_escalation_rate_nominal">'Inputs and Outputs'!$B$38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Outputs'!$H$24</definedName>
    <definedName name="outUtilityPBILineItem">'Cash Flow'!#REF!</definedName>
    <definedName name="outYear">'Cash Flow'!$B$2:$CX$2</definedName>
    <definedName name="outYearZeroCashFlow">'Cash Flow'!$B$101</definedName>
    <definedName name="outYearZeroCostFlow">'Cash Flow'!$B$99</definedName>
    <definedName name="pbi_combined_amount">'Inputs and Outputs'!$B$60</definedName>
    <definedName name="pbi_combined_maxvalue">'Inputs and Outputs'!$C$60</definedName>
    <definedName name="pbi_combined_tax_fed">'Inputs and Outputs'!$D$60</definedName>
    <definedName name="pbi_combined_tax_sta">'Inputs and Outputs'!#REF!</definedName>
    <definedName name="pbi_combined_term">'Inputs and Outputs'!$E$60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Outputs'!$B$20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wind">'Inputs and Outputs'!$B$6</definedName>
    <definedName name="system_heat_rate">'Inputs and Outputs'!#REF!</definedName>
    <definedName name="total_installed_cost">'Inputs and Outputs'!$B$19</definedName>
    <definedName name="UseDepreciation">'Inputs and Outputs'!#REF!</definedName>
    <definedName name="UseTaxDeductibleInterest">'Inputs and Outputs'!#REF!</definedName>
    <definedName name="wind_cbi_fed_amount">'Inputs and Outputs'!$B$73</definedName>
    <definedName name="wind_cbi_fed_deprbas_fed">'Inputs and Outputs'!$E$73</definedName>
    <definedName name="wind_cbi_fed_maxvalue">'Inputs and Outputs'!$C$73</definedName>
    <definedName name="wind_cbi_fed_tax_fed">'Inputs and Outputs'!$D$73</definedName>
    <definedName name="wind_cbi_sta_amount">'Inputs and Outputs'!$B$74</definedName>
    <definedName name="wind_cbi_sta_deprbas_fed">'Inputs and Outputs'!$E$74</definedName>
    <definedName name="wind_cbi_sta_maxvalue">'Inputs and Outputs'!$C$74</definedName>
    <definedName name="wind_cbi_sta_tax_fed">'Inputs and Outputs'!$D$74</definedName>
    <definedName name="wind_cbi_uti_amount">'Inputs and Outputs'!$B$75</definedName>
    <definedName name="wind_cbi_uti_deprbas_fed">'Inputs and Outputs'!$E$75</definedName>
    <definedName name="wind_cbi_uti_maxvalue">'Inputs and Outputs'!$C$75</definedName>
    <definedName name="wind_cbi_uti_tax_fed">'Inputs and Outputs'!$D$75</definedName>
    <definedName name="wind_ibi_sta_percent">'Inputs and Outputs'!$B$70</definedName>
    <definedName name="wind_ibi_sta_percent_deprbas_fed">'Inputs and Outputs'!$E$70</definedName>
    <definedName name="wind_ibi_sta_percent_maxvalue">'Inputs and Outputs'!$C$70</definedName>
    <definedName name="wind_ibi_sta_percent_tax_fed">'Inputs and Outputs'!$D$70</definedName>
    <definedName name="wind_ibi_uti_percent">'Inputs and Outputs'!$B$71</definedName>
    <definedName name="wind_ibi_uti_percent_deprbas_fed">'Inputs and Outputs'!$E$71</definedName>
    <definedName name="wind_ibi_uti_percent_maxvalue">'Inputs and Outputs'!$C$71</definedName>
    <definedName name="wind_ibi_uti_percent_tax_fed">'Inputs and Outputs'!$D$71</definedName>
    <definedName name="wind_installed_cost">'Inputs and Outputs'!$B$21</definedName>
    <definedName name="wind_itc_fed_percent">'Inputs and Outputs'!$B$65</definedName>
    <definedName name="wind_itc_fed_percent_deprbas_fed">'Inputs and Outputs'!$D$65</definedName>
    <definedName name="wind_itc_fed_percent_maxvalue">'Inputs and Outputs'!$C$65</definedName>
    <definedName name="wind_pbi_combined_amount">'Inputs and Outputs'!$B$77</definedName>
    <definedName name="wind_pbi_combined_maxvalue">'Inputs and Outputs'!$C$77</definedName>
    <definedName name="wind_pbi_combined_tax_fed">'Inputs and Outputs'!$D$77</definedName>
    <definedName name="wind_pbi_combined_term">'Inputs and Outputs'!$E$77</definedName>
    <definedName name="WindBonusFraction">'Inputs and Outputs'!$D$96</definedName>
    <definedName name="WindFederalDepreciation">'Inputs and Outputs'!$D$95</definedName>
  </definedNames>
  <calcPr calcId="1790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96" i="2" l="1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96" i="2"/>
  <c r="C93" i="2"/>
  <c r="B92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B79" i="2"/>
  <c r="B80" i="2" s="1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6" i="2"/>
  <c r="B6" i="2"/>
  <c r="C5" i="2"/>
  <c r="B5" i="2"/>
  <c r="C101" i="1"/>
  <c r="C100" i="1"/>
  <c r="B52" i="2"/>
  <c r="B51" i="2"/>
  <c r="B50" i="2"/>
  <c r="B47" i="2"/>
  <c r="I81" i="2" l="1"/>
  <c r="I87" i="2" s="1"/>
  <c r="Y81" i="2"/>
  <c r="Y87" i="2" s="1"/>
  <c r="J81" i="2"/>
  <c r="J87" i="2" s="1"/>
  <c r="R81" i="2"/>
  <c r="R87" i="2" s="1"/>
  <c r="Z81" i="2"/>
  <c r="Z87" i="2" s="1"/>
  <c r="K81" i="2"/>
  <c r="K87" i="2" s="1"/>
  <c r="S81" i="2"/>
  <c r="S87" i="2" s="1"/>
  <c r="AA81" i="2"/>
  <c r="AA87" i="2" s="1"/>
  <c r="E81" i="2"/>
  <c r="E87" i="2" s="1"/>
  <c r="M81" i="2"/>
  <c r="M87" i="2" s="1"/>
  <c r="L81" i="2"/>
  <c r="L87" i="2" s="1"/>
  <c r="T81" i="2"/>
  <c r="T87" i="2" s="1"/>
  <c r="U81" i="2"/>
  <c r="U87" i="2" s="1"/>
  <c r="F81" i="2"/>
  <c r="F87" i="2" s="1"/>
  <c r="N81" i="2"/>
  <c r="N87" i="2" s="1"/>
  <c r="V81" i="2"/>
  <c r="V87" i="2" s="1"/>
  <c r="G81" i="2"/>
  <c r="G87" i="2" s="1"/>
  <c r="O81" i="2"/>
  <c r="O87" i="2" s="1"/>
  <c r="W81" i="2"/>
  <c r="W87" i="2" s="1"/>
  <c r="D81" i="2"/>
  <c r="D87" i="2" s="1"/>
  <c r="H81" i="2"/>
  <c r="H87" i="2" s="1"/>
  <c r="P81" i="2"/>
  <c r="P87" i="2" s="1"/>
  <c r="X81" i="2"/>
  <c r="X87" i="2" s="1"/>
  <c r="C81" i="2"/>
  <c r="C87" i="2" s="1"/>
  <c r="Q81" i="2"/>
  <c r="Q87" i="2" s="1"/>
  <c r="B46" i="2"/>
  <c r="B48" i="2" s="1"/>
  <c r="B53" i="2"/>
  <c r="B104" i="2" l="1"/>
  <c r="B94" i="2"/>
  <c r="B84" i="2" s="1"/>
  <c r="B85" i="2" s="1"/>
  <c r="AMJ69" i="2"/>
  <c r="AMI69" i="2"/>
  <c r="AMH69" i="2"/>
  <c r="AMG69" i="2"/>
  <c r="AMF69" i="2"/>
  <c r="AME69" i="2"/>
  <c r="AMD69" i="2"/>
  <c r="AMC69" i="2"/>
  <c r="AMB69" i="2"/>
  <c r="AMA69" i="2"/>
  <c r="ALZ69" i="2"/>
  <c r="ALY69" i="2"/>
  <c r="ALX69" i="2"/>
  <c r="ALW69" i="2"/>
  <c r="ALV69" i="2"/>
  <c r="ALU69" i="2"/>
  <c r="ALT69" i="2"/>
  <c r="ALS69" i="2"/>
  <c r="ALR69" i="2"/>
  <c r="ALQ69" i="2"/>
  <c r="ALP69" i="2"/>
  <c r="ALO69" i="2"/>
  <c r="ALN69" i="2"/>
  <c r="ALM69" i="2"/>
  <c r="ALL69" i="2"/>
  <c r="ALK69" i="2"/>
  <c r="ALJ69" i="2"/>
  <c r="ALI69" i="2"/>
  <c r="ALH69" i="2"/>
  <c r="ALG69" i="2"/>
  <c r="ALF69" i="2"/>
  <c r="ALE69" i="2"/>
  <c r="ALD69" i="2"/>
  <c r="ALC69" i="2"/>
  <c r="ALB69" i="2"/>
  <c r="ALA69" i="2"/>
  <c r="AKZ69" i="2"/>
  <c r="AKY69" i="2"/>
  <c r="AKX69" i="2"/>
  <c r="AKW69" i="2"/>
  <c r="AKV69" i="2"/>
  <c r="AKU69" i="2"/>
  <c r="AKT69" i="2"/>
  <c r="AKS69" i="2"/>
  <c r="AKR69" i="2"/>
  <c r="AKQ69" i="2"/>
  <c r="AKP69" i="2"/>
  <c r="AKO69" i="2"/>
  <c r="AKN69" i="2"/>
  <c r="AKM69" i="2"/>
  <c r="AKL69" i="2"/>
  <c r="AKK69" i="2"/>
  <c r="AKJ69" i="2"/>
  <c r="AKI69" i="2"/>
  <c r="AKH69" i="2"/>
  <c r="AKG69" i="2"/>
  <c r="AKF69" i="2"/>
  <c r="AKE69" i="2"/>
  <c r="AKD69" i="2"/>
  <c r="AKC69" i="2"/>
  <c r="AKB69" i="2"/>
  <c r="AKA69" i="2"/>
  <c r="AJZ69" i="2"/>
  <c r="AJY69" i="2"/>
  <c r="AJX69" i="2"/>
  <c r="AJW69" i="2"/>
  <c r="AJV69" i="2"/>
  <c r="AJU69" i="2"/>
  <c r="AJT69" i="2"/>
  <c r="AJS69" i="2"/>
  <c r="AJR69" i="2"/>
  <c r="AJQ69" i="2"/>
  <c r="AJP69" i="2"/>
  <c r="AJO69" i="2"/>
  <c r="AJN69" i="2"/>
  <c r="AJM69" i="2"/>
  <c r="AJL69" i="2"/>
  <c r="AJK69" i="2"/>
  <c r="AJJ69" i="2"/>
  <c r="AJI69" i="2"/>
  <c r="AJH69" i="2"/>
  <c r="AJG69" i="2"/>
  <c r="AJF69" i="2"/>
  <c r="AJE69" i="2"/>
  <c r="AJD69" i="2"/>
  <c r="AJC69" i="2"/>
  <c r="AJB69" i="2"/>
  <c r="AJA69" i="2"/>
  <c r="AIZ69" i="2"/>
  <c r="AIY69" i="2"/>
  <c r="AIX69" i="2"/>
  <c r="AIW69" i="2"/>
  <c r="AIV69" i="2"/>
  <c r="AIU69" i="2"/>
  <c r="AIT69" i="2"/>
  <c r="AIS69" i="2"/>
  <c r="AIR69" i="2"/>
  <c r="AIQ69" i="2"/>
  <c r="AIP69" i="2"/>
  <c r="AIO69" i="2"/>
  <c r="AIN69" i="2"/>
  <c r="AIM69" i="2"/>
  <c r="AIL69" i="2"/>
  <c r="AIK69" i="2"/>
  <c r="AIJ69" i="2"/>
  <c r="AII69" i="2"/>
  <c r="AIH69" i="2"/>
  <c r="AIG69" i="2"/>
  <c r="AIF69" i="2"/>
  <c r="AIE69" i="2"/>
  <c r="AID69" i="2"/>
  <c r="AIC69" i="2"/>
  <c r="AIB69" i="2"/>
  <c r="AIA69" i="2"/>
  <c r="AHZ69" i="2"/>
  <c r="AHY69" i="2"/>
  <c r="AHX69" i="2"/>
  <c r="AHW69" i="2"/>
  <c r="AHV69" i="2"/>
  <c r="AHU69" i="2"/>
  <c r="AHT69" i="2"/>
  <c r="AHS69" i="2"/>
  <c r="AHR69" i="2"/>
  <c r="AHQ69" i="2"/>
  <c r="AHP69" i="2"/>
  <c r="AHO69" i="2"/>
  <c r="AHN69" i="2"/>
  <c r="AHM69" i="2"/>
  <c r="AHL69" i="2"/>
  <c r="AHK69" i="2"/>
  <c r="AHJ69" i="2"/>
  <c r="AHI69" i="2"/>
  <c r="AHH69" i="2"/>
  <c r="AHG69" i="2"/>
  <c r="AHF69" i="2"/>
  <c r="AHE69" i="2"/>
  <c r="AHD69" i="2"/>
  <c r="AHC69" i="2"/>
  <c r="AHB69" i="2"/>
  <c r="AHA69" i="2"/>
  <c r="AGZ69" i="2"/>
  <c r="AGY69" i="2"/>
  <c r="AGX69" i="2"/>
  <c r="AGW69" i="2"/>
  <c r="AGV69" i="2"/>
  <c r="AGU69" i="2"/>
  <c r="AGT69" i="2"/>
  <c r="AGS69" i="2"/>
  <c r="AGR69" i="2"/>
  <c r="AGQ69" i="2"/>
  <c r="AGP69" i="2"/>
  <c r="AGO69" i="2"/>
  <c r="AGN69" i="2"/>
  <c r="AGM69" i="2"/>
  <c r="AGL69" i="2"/>
  <c r="AGK69" i="2"/>
  <c r="AGJ69" i="2"/>
  <c r="AGI69" i="2"/>
  <c r="AGH69" i="2"/>
  <c r="AGG69" i="2"/>
  <c r="AGF69" i="2"/>
  <c r="AGE69" i="2"/>
  <c r="AGD69" i="2"/>
  <c r="AGC69" i="2"/>
  <c r="AGB69" i="2"/>
  <c r="AGA69" i="2"/>
  <c r="AFZ69" i="2"/>
  <c r="AFY69" i="2"/>
  <c r="AFX69" i="2"/>
  <c r="AFW69" i="2"/>
  <c r="AFV69" i="2"/>
  <c r="AFU69" i="2"/>
  <c r="AFT69" i="2"/>
  <c r="AFS69" i="2"/>
  <c r="AFR69" i="2"/>
  <c r="AFQ69" i="2"/>
  <c r="AFP69" i="2"/>
  <c r="AFO69" i="2"/>
  <c r="AFN69" i="2"/>
  <c r="AFM69" i="2"/>
  <c r="AFL69" i="2"/>
  <c r="AFK69" i="2"/>
  <c r="AFJ69" i="2"/>
  <c r="AFI69" i="2"/>
  <c r="AFH69" i="2"/>
  <c r="AFG69" i="2"/>
  <c r="AFF69" i="2"/>
  <c r="AFE69" i="2"/>
  <c r="AFD69" i="2"/>
  <c r="AFC69" i="2"/>
  <c r="AFB69" i="2"/>
  <c r="AFA69" i="2"/>
  <c r="AEZ69" i="2"/>
  <c r="AEY69" i="2"/>
  <c r="AEX69" i="2"/>
  <c r="AEW69" i="2"/>
  <c r="AEV69" i="2"/>
  <c r="AEU69" i="2"/>
  <c r="AET69" i="2"/>
  <c r="AES69" i="2"/>
  <c r="AER69" i="2"/>
  <c r="AEQ69" i="2"/>
  <c r="AEP69" i="2"/>
  <c r="AEO69" i="2"/>
  <c r="AEN69" i="2"/>
  <c r="AEM69" i="2"/>
  <c r="AEL69" i="2"/>
  <c r="AEK69" i="2"/>
  <c r="AEJ69" i="2"/>
  <c r="AEI69" i="2"/>
  <c r="AEH69" i="2"/>
  <c r="AEG69" i="2"/>
  <c r="AEF69" i="2"/>
  <c r="AEE69" i="2"/>
  <c r="AED69" i="2"/>
  <c r="AEC69" i="2"/>
  <c r="AEB69" i="2"/>
  <c r="AEA69" i="2"/>
  <c r="ADZ69" i="2"/>
  <c r="ADY69" i="2"/>
  <c r="ADX69" i="2"/>
  <c r="ADW69" i="2"/>
  <c r="ADV69" i="2"/>
  <c r="ADU69" i="2"/>
  <c r="ADT69" i="2"/>
  <c r="ADS69" i="2"/>
  <c r="ADR69" i="2"/>
  <c r="ADQ69" i="2"/>
  <c r="ADP69" i="2"/>
  <c r="ADO69" i="2"/>
  <c r="ADN69" i="2"/>
  <c r="ADM69" i="2"/>
  <c r="ADL69" i="2"/>
  <c r="ADK69" i="2"/>
  <c r="ADJ69" i="2"/>
  <c r="ADI69" i="2"/>
  <c r="ADH69" i="2"/>
  <c r="ADG69" i="2"/>
  <c r="ADF69" i="2"/>
  <c r="ADE69" i="2"/>
  <c r="ADD69" i="2"/>
  <c r="ADC69" i="2"/>
  <c r="ADB69" i="2"/>
  <c r="ADA69" i="2"/>
  <c r="ACZ69" i="2"/>
  <c r="ACY69" i="2"/>
  <c r="ACX69" i="2"/>
  <c r="ACW69" i="2"/>
  <c r="ACV69" i="2"/>
  <c r="ACU69" i="2"/>
  <c r="ACT69" i="2"/>
  <c r="ACS69" i="2"/>
  <c r="ACR69" i="2"/>
  <c r="ACQ69" i="2"/>
  <c r="ACP69" i="2"/>
  <c r="ACO69" i="2"/>
  <c r="ACN69" i="2"/>
  <c r="ACM69" i="2"/>
  <c r="ACL69" i="2"/>
  <c r="ACK69" i="2"/>
  <c r="ACJ69" i="2"/>
  <c r="ACI69" i="2"/>
  <c r="ACH69" i="2"/>
  <c r="ACG69" i="2"/>
  <c r="ACF69" i="2"/>
  <c r="ACE69" i="2"/>
  <c r="ACD69" i="2"/>
  <c r="ACC69" i="2"/>
  <c r="ACB69" i="2"/>
  <c r="ACA69" i="2"/>
  <c r="ABZ69" i="2"/>
  <c r="ABY69" i="2"/>
  <c r="ABX69" i="2"/>
  <c r="ABW69" i="2"/>
  <c r="ABV69" i="2"/>
  <c r="ABU69" i="2"/>
  <c r="ABT69" i="2"/>
  <c r="ABS69" i="2"/>
  <c r="ABR69" i="2"/>
  <c r="ABQ69" i="2"/>
  <c r="ABP69" i="2"/>
  <c r="ABO69" i="2"/>
  <c r="ABN69" i="2"/>
  <c r="ABM69" i="2"/>
  <c r="ABL69" i="2"/>
  <c r="ABK69" i="2"/>
  <c r="ABJ69" i="2"/>
  <c r="ABI69" i="2"/>
  <c r="ABH69" i="2"/>
  <c r="ABG69" i="2"/>
  <c r="ABF69" i="2"/>
  <c r="ABE69" i="2"/>
  <c r="ABD69" i="2"/>
  <c r="ABC69" i="2"/>
  <c r="ABB69" i="2"/>
  <c r="ABA69" i="2"/>
  <c r="AAZ69" i="2"/>
  <c r="AAY69" i="2"/>
  <c r="AAX69" i="2"/>
  <c r="AAW69" i="2"/>
  <c r="AAV69" i="2"/>
  <c r="AAU69" i="2"/>
  <c r="AAT69" i="2"/>
  <c r="AAS69" i="2"/>
  <c r="AAR69" i="2"/>
  <c r="AAQ69" i="2"/>
  <c r="AAP69" i="2"/>
  <c r="AAO69" i="2"/>
  <c r="AAN69" i="2"/>
  <c r="AAM69" i="2"/>
  <c r="AAL69" i="2"/>
  <c r="AAK69" i="2"/>
  <c r="AAJ69" i="2"/>
  <c r="AAI69" i="2"/>
  <c r="AAH69" i="2"/>
  <c r="AAG69" i="2"/>
  <c r="AAF69" i="2"/>
  <c r="AAE69" i="2"/>
  <c r="AAD69" i="2"/>
  <c r="AAC69" i="2"/>
  <c r="AAB69" i="2"/>
  <c r="AAA69" i="2"/>
  <c r="ZZ69" i="2"/>
  <c r="ZY69" i="2"/>
  <c r="ZX69" i="2"/>
  <c r="ZW69" i="2"/>
  <c r="ZV69" i="2"/>
  <c r="ZU69" i="2"/>
  <c r="ZT69" i="2"/>
  <c r="ZS69" i="2"/>
  <c r="ZR69" i="2"/>
  <c r="ZQ69" i="2"/>
  <c r="ZP69" i="2"/>
  <c r="ZO69" i="2"/>
  <c r="ZN69" i="2"/>
  <c r="ZM69" i="2"/>
  <c r="ZL69" i="2"/>
  <c r="ZK69" i="2"/>
  <c r="ZJ69" i="2"/>
  <c r="ZI69" i="2"/>
  <c r="ZH69" i="2"/>
  <c r="ZG69" i="2"/>
  <c r="ZF69" i="2"/>
  <c r="ZE69" i="2"/>
  <c r="ZD69" i="2"/>
  <c r="ZC69" i="2"/>
  <c r="ZB69" i="2"/>
  <c r="ZA69" i="2"/>
  <c r="YZ69" i="2"/>
  <c r="YY69" i="2"/>
  <c r="YX69" i="2"/>
  <c r="YW69" i="2"/>
  <c r="YV69" i="2"/>
  <c r="YU69" i="2"/>
  <c r="YT69" i="2"/>
  <c r="YS69" i="2"/>
  <c r="YR69" i="2"/>
  <c r="YQ69" i="2"/>
  <c r="YP69" i="2"/>
  <c r="YO69" i="2"/>
  <c r="YN69" i="2"/>
  <c r="YM69" i="2"/>
  <c r="YL69" i="2"/>
  <c r="YK69" i="2"/>
  <c r="YJ69" i="2"/>
  <c r="YI69" i="2"/>
  <c r="YH69" i="2"/>
  <c r="YG69" i="2"/>
  <c r="YF69" i="2"/>
  <c r="YE69" i="2"/>
  <c r="YD69" i="2"/>
  <c r="YC69" i="2"/>
  <c r="YB69" i="2"/>
  <c r="YA69" i="2"/>
  <c r="XZ69" i="2"/>
  <c r="XY69" i="2"/>
  <c r="XX69" i="2"/>
  <c r="XW69" i="2"/>
  <c r="XV69" i="2"/>
  <c r="XU69" i="2"/>
  <c r="XT69" i="2"/>
  <c r="XS69" i="2"/>
  <c r="XR69" i="2"/>
  <c r="XQ69" i="2"/>
  <c r="XP69" i="2"/>
  <c r="XO69" i="2"/>
  <c r="XN69" i="2"/>
  <c r="XM69" i="2"/>
  <c r="XL69" i="2"/>
  <c r="XK69" i="2"/>
  <c r="XJ69" i="2"/>
  <c r="XI69" i="2"/>
  <c r="XH69" i="2"/>
  <c r="XG69" i="2"/>
  <c r="XF69" i="2"/>
  <c r="XE69" i="2"/>
  <c r="XD69" i="2"/>
  <c r="XC69" i="2"/>
  <c r="XB69" i="2"/>
  <c r="XA69" i="2"/>
  <c r="WZ69" i="2"/>
  <c r="WY69" i="2"/>
  <c r="WX69" i="2"/>
  <c r="WW69" i="2"/>
  <c r="WV69" i="2"/>
  <c r="WU69" i="2"/>
  <c r="WT69" i="2"/>
  <c r="WS69" i="2"/>
  <c r="WR69" i="2"/>
  <c r="WQ69" i="2"/>
  <c r="WP69" i="2"/>
  <c r="WO69" i="2"/>
  <c r="WN69" i="2"/>
  <c r="WM69" i="2"/>
  <c r="WL69" i="2"/>
  <c r="WK69" i="2"/>
  <c r="WJ69" i="2"/>
  <c r="WI69" i="2"/>
  <c r="WH69" i="2"/>
  <c r="WG69" i="2"/>
  <c r="WF69" i="2"/>
  <c r="WE69" i="2"/>
  <c r="WD69" i="2"/>
  <c r="WC69" i="2"/>
  <c r="WB69" i="2"/>
  <c r="WA69" i="2"/>
  <c r="VZ69" i="2"/>
  <c r="VY69" i="2"/>
  <c r="VX69" i="2"/>
  <c r="VW69" i="2"/>
  <c r="VV69" i="2"/>
  <c r="VU69" i="2"/>
  <c r="VT69" i="2"/>
  <c r="VS69" i="2"/>
  <c r="VR69" i="2"/>
  <c r="VQ69" i="2"/>
  <c r="VP69" i="2"/>
  <c r="VO69" i="2"/>
  <c r="VN69" i="2"/>
  <c r="VM69" i="2"/>
  <c r="VL69" i="2"/>
  <c r="VK69" i="2"/>
  <c r="VJ69" i="2"/>
  <c r="VI69" i="2"/>
  <c r="VH69" i="2"/>
  <c r="VG69" i="2"/>
  <c r="VF69" i="2"/>
  <c r="VE69" i="2"/>
  <c r="VD69" i="2"/>
  <c r="VC69" i="2"/>
  <c r="VB69" i="2"/>
  <c r="VA69" i="2"/>
  <c r="UZ69" i="2"/>
  <c r="UY69" i="2"/>
  <c r="UX69" i="2"/>
  <c r="UW69" i="2"/>
  <c r="UV69" i="2"/>
  <c r="UU69" i="2"/>
  <c r="UT69" i="2"/>
  <c r="US69" i="2"/>
  <c r="UR69" i="2"/>
  <c r="UQ69" i="2"/>
  <c r="UP69" i="2"/>
  <c r="UO69" i="2"/>
  <c r="UN69" i="2"/>
  <c r="UM69" i="2"/>
  <c r="UL69" i="2"/>
  <c r="UK69" i="2"/>
  <c r="UJ69" i="2"/>
  <c r="UI69" i="2"/>
  <c r="UH69" i="2"/>
  <c r="UG69" i="2"/>
  <c r="UF69" i="2"/>
  <c r="UE69" i="2"/>
  <c r="UD69" i="2"/>
  <c r="UC69" i="2"/>
  <c r="UB69" i="2"/>
  <c r="UA69" i="2"/>
  <c r="TZ69" i="2"/>
  <c r="TY69" i="2"/>
  <c r="TX69" i="2"/>
  <c r="TW69" i="2"/>
  <c r="TV69" i="2"/>
  <c r="TU69" i="2"/>
  <c r="TT69" i="2"/>
  <c r="TS69" i="2"/>
  <c r="TR69" i="2"/>
  <c r="TQ69" i="2"/>
  <c r="TP69" i="2"/>
  <c r="TO69" i="2"/>
  <c r="TN69" i="2"/>
  <c r="TM69" i="2"/>
  <c r="TL69" i="2"/>
  <c r="TK69" i="2"/>
  <c r="TJ69" i="2"/>
  <c r="TI69" i="2"/>
  <c r="TH69" i="2"/>
  <c r="TG69" i="2"/>
  <c r="TF69" i="2"/>
  <c r="TE69" i="2"/>
  <c r="TD69" i="2"/>
  <c r="TC69" i="2"/>
  <c r="TB69" i="2"/>
  <c r="TA69" i="2"/>
  <c r="SZ69" i="2"/>
  <c r="SY69" i="2"/>
  <c r="SX69" i="2"/>
  <c r="SW69" i="2"/>
  <c r="SV69" i="2"/>
  <c r="SU69" i="2"/>
  <c r="ST69" i="2"/>
  <c r="SS69" i="2"/>
  <c r="SR69" i="2"/>
  <c r="SQ69" i="2"/>
  <c r="SP69" i="2"/>
  <c r="SO69" i="2"/>
  <c r="SN69" i="2"/>
  <c r="SM69" i="2"/>
  <c r="SL69" i="2"/>
  <c r="SK69" i="2"/>
  <c r="SJ69" i="2"/>
  <c r="SI69" i="2"/>
  <c r="SH69" i="2"/>
  <c r="SG69" i="2"/>
  <c r="SF69" i="2"/>
  <c r="SE69" i="2"/>
  <c r="SD69" i="2"/>
  <c r="SC69" i="2"/>
  <c r="SB69" i="2"/>
  <c r="SA69" i="2"/>
  <c r="RZ69" i="2"/>
  <c r="RY69" i="2"/>
  <c r="RX69" i="2"/>
  <c r="RW69" i="2"/>
  <c r="RV69" i="2"/>
  <c r="RU69" i="2"/>
  <c r="RT69" i="2"/>
  <c r="RS69" i="2"/>
  <c r="RR69" i="2"/>
  <c r="RQ69" i="2"/>
  <c r="RP69" i="2"/>
  <c r="RO69" i="2"/>
  <c r="RN69" i="2"/>
  <c r="RM69" i="2"/>
  <c r="RL69" i="2"/>
  <c r="RK69" i="2"/>
  <c r="RJ69" i="2"/>
  <c r="RI69" i="2"/>
  <c r="RH69" i="2"/>
  <c r="RG69" i="2"/>
  <c r="RF69" i="2"/>
  <c r="RE69" i="2"/>
  <c r="RD69" i="2"/>
  <c r="RC69" i="2"/>
  <c r="RB69" i="2"/>
  <c r="RA69" i="2"/>
  <c r="QZ69" i="2"/>
  <c r="QY69" i="2"/>
  <c r="QX69" i="2"/>
  <c r="QW69" i="2"/>
  <c r="QV69" i="2"/>
  <c r="QU69" i="2"/>
  <c r="QT69" i="2"/>
  <c r="QS69" i="2"/>
  <c r="QR69" i="2"/>
  <c r="QQ69" i="2"/>
  <c r="QP69" i="2"/>
  <c r="QO69" i="2"/>
  <c r="QN69" i="2"/>
  <c r="QM69" i="2"/>
  <c r="QL69" i="2"/>
  <c r="QK69" i="2"/>
  <c r="QJ69" i="2"/>
  <c r="QI69" i="2"/>
  <c r="QH69" i="2"/>
  <c r="QG69" i="2"/>
  <c r="QF69" i="2"/>
  <c r="QE69" i="2"/>
  <c r="QD69" i="2"/>
  <c r="QC69" i="2"/>
  <c r="QB69" i="2"/>
  <c r="QA69" i="2"/>
  <c r="PZ69" i="2"/>
  <c r="PY69" i="2"/>
  <c r="PX69" i="2"/>
  <c r="PW69" i="2"/>
  <c r="PV69" i="2"/>
  <c r="PU69" i="2"/>
  <c r="PT69" i="2"/>
  <c r="PS69" i="2"/>
  <c r="PR69" i="2"/>
  <c r="PQ69" i="2"/>
  <c r="PP69" i="2"/>
  <c r="PO69" i="2"/>
  <c r="PN69" i="2"/>
  <c r="PM69" i="2"/>
  <c r="PL69" i="2"/>
  <c r="PK69" i="2"/>
  <c r="PJ69" i="2"/>
  <c r="PI69" i="2"/>
  <c r="PH69" i="2"/>
  <c r="PG69" i="2"/>
  <c r="PF69" i="2"/>
  <c r="PE69" i="2"/>
  <c r="PD69" i="2"/>
  <c r="PC69" i="2"/>
  <c r="PB69" i="2"/>
  <c r="PA69" i="2"/>
  <c r="OZ69" i="2"/>
  <c r="OY69" i="2"/>
  <c r="OX69" i="2"/>
  <c r="OW69" i="2"/>
  <c r="OV69" i="2"/>
  <c r="OU69" i="2"/>
  <c r="OT69" i="2"/>
  <c r="OS69" i="2"/>
  <c r="OR69" i="2"/>
  <c r="OQ69" i="2"/>
  <c r="OP69" i="2"/>
  <c r="OO69" i="2"/>
  <c r="ON69" i="2"/>
  <c r="OM69" i="2"/>
  <c r="OL69" i="2"/>
  <c r="OK69" i="2"/>
  <c r="OJ69" i="2"/>
  <c r="OI69" i="2"/>
  <c r="OH69" i="2"/>
  <c r="OG69" i="2"/>
  <c r="OF69" i="2"/>
  <c r="OE69" i="2"/>
  <c r="OD69" i="2"/>
  <c r="OC69" i="2"/>
  <c r="OB69" i="2"/>
  <c r="OA69" i="2"/>
  <c r="NZ69" i="2"/>
  <c r="NY69" i="2"/>
  <c r="NX69" i="2"/>
  <c r="NW69" i="2"/>
  <c r="NV69" i="2"/>
  <c r="NU69" i="2"/>
  <c r="NT69" i="2"/>
  <c r="NS69" i="2"/>
  <c r="NR69" i="2"/>
  <c r="NQ69" i="2"/>
  <c r="NP69" i="2"/>
  <c r="NO69" i="2"/>
  <c r="NN69" i="2"/>
  <c r="NM69" i="2"/>
  <c r="NL69" i="2"/>
  <c r="NK69" i="2"/>
  <c r="NJ69" i="2"/>
  <c r="NI69" i="2"/>
  <c r="NH69" i="2"/>
  <c r="NG69" i="2"/>
  <c r="NF69" i="2"/>
  <c r="NE69" i="2"/>
  <c r="ND69" i="2"/>
  <c r="NC69" i="2"/>
  <c r="NB69" i="2"/>
  <c r="NA69" i="2"/>
  <c r="MZ69" i="2"/>
  <c r="MY69" i="2"/>
  <c r="MX69" i="2"/>
  <c r="MW69" i="2"/>
  <c r="MV69" i="2"/>
  <c r="MU69" i="2"/>
  <c r="MT69" i="2"/>
  <c r="MS69" i="2"/>
  <c r="MR69" i="2"/>
  <c r="MQ69" i="2"/>
  <c r="MP69" i="2"/>
  <c r="MO69" i="2"/>
  <c r="MN69" i="2"/>
  <c r="MM69" i="2"/>
  <c r="ML69" i="2"/>
  <c r="MK69" i="2"/>
  <c r="MJ69" i="2"/>
  <c r="MI69" i="2"/>
  <c r="MH69" i="2"/>
  <c r="MG69" i="2"/>
  <c r="MF69" i="2"/>
  <c r="ME69" i="2"/>
  <c r="MD69" i="2"/>
  <c r="MC69" i="2"/>
  <c r="MB69" i="2"/>
  <c r="MA69" i="2"/>
  <c r="LZ69" i="2"/>
  <c r="LY69" i="2"/>
  <c r="LX69" i="2"/>
  <c r="LW69" i="2"/>
  <c r="LV69" i="2"/>
  <c r="LU69" i="2"/>
  <c r="LT69" i="2"/>
  <c r="LS69" i="2"/>
  <c r="LR69" i="2"/>
  <c r="LQ69" i="2"/>
  <c r="LP69" i="2"/>
  <c r="LO69" i="2"/>
  <c r="LN69" i="2"/>
  <c r="LM69" i="2"/>
  <c r="LL69" i="2"/>
  <c r="LK69" i="2"/>
  <c r="LJ69" i="2"/>
  <c r="LI69" i="2"/>
  <c r="LH69" i="2"/>
  <c r="LG69" i="2"/>
  <c r="LF69" i="2"/>
  <c r="LE69" i="2"/>
  <c r="LD69" i="2"/>
  <c r="LC69" i="2"/>
  <c r="LB69" i="2"/>
  <c r="LA69" i="2"/>
  <c r="KZ69" i="2"/>
  <c r="KY69" i="2"/>
  <c r="KX69" i="2"/>
  <c r="KW69" i="2"/>
  <c r="KV69" i="2"/>
  <c r="KU69" i="2"/>
  <c r="KT69" i="2"/>
  <c r="KS69" i="2"/>
  <c r="KR69" i="2"/>
  <c r="KQ69" i="2"/>
  <c r="KP69" i="2"/>
  <c r="KO69" i="2"/>
  <c r="KN69" i="2"/>
  <c r="KM69" i="2"/>
  <c r="KL69" i="2"/>
  <c r="KK69" i="2"/>
  <c r="KJ69" i="2"/>
  <c r="KI69" i="2"/>
  <c r="KH69" i="2"/>
  <c r="KG69" i="2"/>
  <c r="KF69" i="2"/>
  <c r="KE69" i="2"/>
  <c r="KD69" i="2"/>
  <c r="KC69" i="2"/>
  <c r="KB69" i="2"/>
  <c r="KA69" i="2"/>
  <c r="JZ69" i="2"/>
  <c r="JY69" i="2"/>
  <c r="JX69" i="2"/>
  <c r="JW69" i="2"/>
  <c r="JV69" i="2"/>
  <c r="JU69" i="2"/>
  <c r="JT69" i="2"/>
  <c r="JS69" i="2"/>
  <c r="JR69" i="2"/>
  <c r="JQ69" i="2"/>
  <c r="JP69" i="2"/>
  <c r="JO69" i="2"/>
  <c r="JN69" i="2"/>
  <c r="JM69" i="2"/>
  <c r="JL69" i="2"/>
  <c r="JK69" i="2"/>
  <c r="JJ69" i="2"/>
  <c r="JI69" i="2"/>
  <c r="JH69" i="2"/>
  <c r="JG69" i="2"/>
  <c r="JF69" i="2"/>
  <c r="JE69" i="2"/>
  <c r="JD69" i="2"/>
  <c r="JC69" i="2"/>
  <c r="JB69" i="2"/>
  <c r="JA69" i="2"/>
  <c r="IZ69" i="2"/>
  <c r="IY69" i="2"/>
  <c r="IX69" i="2"/>
  <c r="IW69" i="2"/>
  <c r="IV69" i="2"/>
  <c r="IU69" i="2"/>
  <c r="IT69" i="2"/>
  <c r="IS69" i="2"/>
  <c r="IR69" i="2"/>
  <c r="IQ69" i="2"/>
  <c r="IP69" i="2"/>
  <c r="IO69" i="2"/>
  <c r="IN69" i="2"/>
  <c r="IM69" i="2"/>
  <c r="IL69" i="2"/>
  <c r="IK69" i="2"/>
  <c r="IJ69" i="2"/>
  <c r="II69" i="2"/>
  <c r="IH69" i="2"/>
  <c r="IG69" i="2"/>
  <c r="IF69" i="2"/>
  <c r="IE69" i="2"/>
  <c r="ID69" i="2"/>
  <c r="IC69" i="2"/>
  <c r="IB69" i="2"/>
  <c r="IA69" i="2"/>
  <c r="HZ69" i="2"/>
  <c r="HY69" i="2"/>
  <c r="HX69" i="2"/>
  <c r="HW69" i="2"/>
  <c r="HV69" i="2"/>
  <c r="HU69" i="2"/>
  <c r="HT69" i="2"/>
  <c r="HS69" i="2"/>
  <c r="HR69" i="2"/>
  <c r="HQ69" i="2"/>
  <c r="HP69" i="2"/>
  <c r="HO69" i="2"/>
  <c r="HN69" i="2"/>
  <c r="HM69" i="2"/>
  <c r="HL69" i="2"/>
  <c r="HK69" i="2"/>
  <c r="HJ69" i="2"/>
  <c r="HI69" i="2"/>
  <c r="HH69" i="2"/>
  <c r="HG69" i="2"/>
  <c r="HF69" i="2"/>
  <c r="HE69" i="2"/>
  <c r="HD69" i="2"/>
  <c r="HC69" i="2"/>
  <c r="HB69" i="2"/>
  <c r="HA69" i="2"/>
  <c r="GZ69" i="2"/>
  <c r="GY69" i="2"/>
  <c r="GX69" i="2"/>
  <c r="GW69" i="2"/>
  <c r="GV69" i="2"/>
  <c r="GU69" i="2"/>
  <c r="GT69" i="2"/>
  <c r="GS69" i="2"/>
  <c r="GR69" i="2"/>
  <c r="GQ69" i="2"/>
  <c r="GP69" i="2"/>
  <c r="GO69" i="2"/>
  <c r="GN69" i="2"/>
  <c r="GM69" i="2"/>
  <c r="GL69" i="2"/>
  <c r="GK69" i="2"/>
  <c r="GJ69" i="2"/>
  <c r="GI69" i="2"/>
  <c r="GH69" i="2"/>
  <c r="GG69" i="2"/>
  <c r="GF69" i="2"/>
  <c r="GE69" i="2"/>
  <c r="GD69" i="2"/>
  <c r="GC69" i="2"/>
  <c r="GB69" i="2"/>
  <c r="GA69" i="2"/>
  <c r="FZ69" i="2"/>
  <c r="FY69" i="2"/>
  <c r="FX69" i="2"/>
  <c r="FW69" i="2"/>
  <c r="FV69" i="2"/>
  <c r="FU69" i="2"/>
  <c r="FT69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F69" i="2"/>
  <c r="DE69" i="2"/>
  <c r="DD69" i="2"/>
  <c r="DC69" i="2"/>
  <c r="DB69" i="2"/>
  <c r="DA69" i="2"/>
  <c r="CZ69" i="2"/>
  <c r="CY69" i="2"/>
  <c r="B61" i="2"/>
  <c r="B60" i="2"/>
  <c r="B59" i="2"/>
  <c r="B56" i="2"/>
  <c r="B55" i="2"/>
  <c r="B43" i="2"/>
  <c r="B42" i="2"/>
  <c r="B41" i="2"/>
  <c r="B38" i="2"/>
  <c r="C28" i="2"/>
  <c r="C2" i="2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C99" i="1"/>
  <c r="C65" i="2" l="1"/>
  <c r="C107" i="1"/>
  <c r="C78" i="2" s="1"/>
  <c r="C106" i="1"/>
  <c r="C73" i="2" s="1"/>
  <c r="C14" i="2"/>
  <c r="C108" i="1"/>
  <c r="C83" i="2" s="1"/>
  <c r="C86" i="2" s="1"/>
  <c r="C102" i="1"/>
  <c r="C104" i="2" s="1"/>
  <c r="C103" i="1"/>
  <c r="C104" i="1"/>
  <c r="B37" i="2"/>
  <c r="B39" i="2" s="1"/>
  <c r="B57" i="2"/>
  <c r="D2" i="2"/>
  <c r="B62" i="2"/>
  <c r="C95" i="2"/>
  <c r="C30" i="2"/>
  <c r="C29" i="2"/>
  <c r="C16" i="2"/>
  <c r="C15" i="2"/>
  <c r="C13" i="2"/>
  <c r="B44" i="2"/>
  <c r="B66" i="2" l="1"/>
  <c r="B24" i="2"/>
  <c r="D100" i="1"/>
  <c r="D101" i="1"/>
  <c r="D6" i="2" s="1"/>
  <c r="D65" i="2"/>
  <c r="D14" i="2"/>
  <c r="D107" i="1"/>
  <c r="D78" i="2" s="1"/>
  <c r="D104" i="1"/>
  <c r="D28" i="2"/>
  <c r="C105" i="1"/>
  <c r="B90" i="2"/>
  <c r="D108" i="1"/>
  <c r="D83" i="2" s="1"/>
  <c r="D86" i="2" s="1"/>
  <c r="D103" i="1"/>
  <c r="D102" i="1"/>
  <c r="D30" i="2"/>
  <c r="D15" i="2"/>
  <c r="D13" i="2"/>
  <c r="D106" i="1"/>
  <c r="D73" i="2" s="1"/>
  <c r="D16" i="2"/>
  <c r="D29" i="2"/>
  <c r="D99" i="1"/>
  <c r="E2" i="2"/>
  <c r="C17" i="2"/>
  <c r="C31" i="2"/>
  <c r="B74" i="2" l="1"/>
  <c r="E100" i="1"/>
  <c r="E5" i="2" s="1"/>
  <c r="D5" i="2"/>
  <c r="E101" i="1"/>
  <c r="E6" i="2" s="1"/>
  <c r="E65" i="2"/>
  <c r="E107" i="1"/>
  <c r="E78" i="2" s="1"/>
  <c r="E14" i="2"/>
  <c r="E103" i="1"/>
  <c r="D105" i="1"/>
  <c r="E13" i="2"/>
  <c r="D104" i="2"/>
  <c r="C91" i="2"/>
  <c r="D31" i="2"/>
  <c r="E108" i="1"/>
  <c r="E83" i="2" s="1"/>
  <c r="E86" i="2" s="1"/>
  <c r="E29" i="2"/>
  <c r="E99" i="1"/>
  <c r="E16" i="2"/>
  <c r="E28" i="2"/>
  <c r="E102" i="1"/>
  <c r="E104" i="2" s="1"/>
  <c r="E104" i="1"/>
  <c r="E106" i="1"/>
  <c r="E73" i="2" s="1"/>
  <c r="C33" i="2"/>
  <c r="E15" i="2"/>
  <c r="E30" i="2"/>
  <c r="F2" i="2"/>
  <c r="D17" i="2"/>
  <c r="C20" i="2"/>
  <c r="C71" i="2" s="1"/>
  <c r="B25" i="2"/>
  <c r="B99" i="2" s="1"/>
  <c r="B75" i="2" l="1"/>
  <c r="E76" i="2"/>
  <c r="F100" i="1"/>
  <c r="F5" i="2" s="1"/>
  <c r="F101" i="1"/>
  <c r="F6" i="2" s="1"/>
  <c r="F65" i="2"/>
  <c r="F107" i="1"/>
  <c r="F78" i="2" s="1"/>
  <c r="F14" i="2"/>
  <c r="F13" i="2"/>
  <c r="E31" i="2"/>
  <c r="F102" i="1"/>
  <c r="F104" i="2" s="1"/>
  <c r="E105" i="1"/>
  <c r="F29" i="2"/>
  <c r="E17" i="2"/>
  <c r="F108" i="1"/>
  <c r="F83" i="2" s="1"/>
  <c r="F86" i="2" s="1"/>
  <c r="F106" i="1"/>
  <c r="F73" i="2" s="1"/>
  <c r="F76" i="2" s="1"/>
  <c r="G2" i="2"/>
  <c r="F99" i="1"/>
  <c r="F103" i="1"/>
  <c r="F15" i="2"/>
  <c r="F30" i="2"/>
  <c r="F104" i="1"/>
  <c r="F16" i="2"/>
  <c r="F28" i="2"/>
  <c r="D20" i="2"/>
  <c r="D71" i="2" s="1"/>
  <c r="D33" i="2"/>
  <c r="B26" i="2"/>
  <c r="B33" i="2" s="1"/>
  <c r="B105" i="2"/>
  <c r="C76" i="2" l="1"/>
  <c r="D76" i="2"/>
  <c r="G100" i="1"/>
  <c r="G5" i="2" s="1"/>
  <c r="G101" i="1"/>
  <c r="G6" i="2" s="1"/>
  <c r="G65" i="2"/>
  <c r="G107" i="1"/>
  <c r="G78" i="2" s="1"/>
  <c r="G14" i="2"/>
  <c r="G106" i="1"/>
  <c r="G73" i="2" s="1"/>
  <c r="G76" i="2" s="1"/>
  <c r="F105" i="1"/>
  <c r="F17" i="2"/>
  <c r="F20" i="2" s="1"/>
  <c r="F71" i="2" s="1"/>
  <c r="G29" i="2"/>
  <c r="G13" i="2"/>
  <c r="H2" i="2"/>
  <c r="G99" i="1"/>
  <c r="G103" i="1"/>
  <c r="G16" i="2"/>
  <c r="G108" i="1"/>
  <c r="G83" i="2" s="1"/>
  <c r="G86" i="2" s="1"/>
  <c r="E33" i="2"/>
  <c r="G102" i="1"/>
  <c r="G104" i="2" s="1"/>
  <c r="G30" i="2"/>
  <c r="G28" i="2"/>
  <c r="F31" i="2"/>
  <c r="G15" i="2"/>
  <c r="G104" i="1"/>
  <c r="E20" i="2"/>
  <c r="E71" i="2" s="1"/>
  <c r="H100" i="1" l="1"/>
  <c r="H5" i="2" s="1"/>
  <c r="H101" i="1"/>
  <c r="H6" i="2" s="1"/>
  <c r="H65" i="2"/>
  <c r="H107" i="1"/>
  <c r="H78" i="2" s="1"/>
  <c r="H14" i="2"/>
  <c r="H30" i="2"/>
  <c r="H108" i="1"/>
  <c r="H83" i="2" s="1"/>
  <c r="H86" i="2" s="1"/>
  <c r="H103" i="1"/>
  <c r="H104" i="1"/>
  <c r="H13" i="2"/>
  <c r="H29" i="2"/>
  <c r="H102" i="1"/>
  <c r="H104" i="2" s="1"/>
  <c r="H16" i="2"/>
  <c r="H106" i="1"/>
  <c r="H73" i="2" s="1"/>
  <c r="H76" i="2" s="1"/>
  <c r="I2" i="2"/>
  <c r="F33" i="2"/>
  <c r="H99" i="1"/>
  <c r="H15" i="2"/>
  <c r="H28" i="2"/>
  <c r="G17" i="2"/>
  <c r="G20" i="2" s="1"/>
  <c r="G71" i="2" s="1"/>
  <c r="G105" i="1"/>
  <c r="G31" i="2"/>
  <c r="I100" i="1" l="1"/>
  <c r="I5" i="2" s="1"/>
  <c r="I101" i="1"/>
  <c r="I6" i="2" s="1"/>
  <c r="I65" i="2"/>
  <c r="I14" i="2"/>
  <c r="I107" i="1"/>
  <c r="I78" i="2" s="1"/>
  <c r="H31" i="2"/>
  <c r="I104" i="1"/>
  <c r="H105" i="1"/>
  <c r="I29" i="2"/>
  <c r="I16" i="2"/>
  <c r="H17" i="2"/>
  <c r="H20" i="2" s="1"/>
  <c r="H71" i="2" s="1"/>
  <c r="I99" i="1"/>
  <c r="I106" i="1"/>
  <c r="I73" i="2" s="1"/>
  <c r="I76" i="2" s="1"/>
  <c r="I103" i="1"/>
  <c r="I30" i="2"/>
  <c r="I15" i="2"/>
  <c r="I102" i="1"/>
  <c r="I13" i="2"/>
  <c r="J2" i="2"/>
  <c r="J100" i="1" s="1"/>
  <c r="J5" i="2" s="1"/>
  <c r="I28" i="2"/>
  <c r="I108" i="1"/>
  <c r="I83" i="2" s="1"/>
  <c r="I86" i="2" s="1"/>
  <c r="G33" i="2"/>
  <c r="J101" i="1" l="1"/>
  <c r="J6" i="2" s="1"/>
  <c r="J65" i="2"/>
  <c r="J14" i="2"/>
  <c r="J107" i="1"/>
  <c r="J78" i="2" s="1"/>
  <c r="J29" i="2"/>
  <c r="H33" i="2"/>
  <c r="I31" i="2"/>
  <c r="I105" i="1"/>
  <c r="I104" i="2"/>
  <c r="I17" i="2"/>
  <c r="I20" i="2" s="1"/>
  <c r="I71" i="2" s="1"/>
  <c r="J15" i="2"/>
  <c r="K2" i="2"/>
  <c r="K100" i="1" s="1"/>
  <c r="K5" i="2" s="1"/>
  <c r="J103" i="1"/>
  <c r="J99" i="1"/>
  <c r="J30" i="2"/>
  <c r="J102" i="1"/>
  <c r="J104" i="2" s="1"/>
  <c r="J16" i="2"/>
  <c r="J104" i="1"/>
  <c r="J28" i="2"/>
  <c r="J108" i="1"/>
  <c r="J83" i="2" s="1"/>
  <c r="J86" i="2" s="1"/>
  <c r="J13" i="2"/>
  <c r="J106" i="1"/>
  <c r="J73" i="2" s="1"/>
  <c r="J76" i="2" s="1"/>
  <c r="K101" i="1" l="1"/>
  <c r="K6" i="2" s="1"/>
  <c r="K65" i="2"/>
  <c r="K14" i="2"/>
  <c r="K107" i="1"/>
  <c r="K78" i="2" s="1"/>
  <c r="K106" i="1"/>
  <c r="K73" i="2" s="1"/>
  <c r="K76" i="2" s="1"/>
  <c r="I33" i="2"/>
  <c r="K28" i="2"/>
  <c r="K16" i="2"/>
  <c r="K103" i="1"/>
  <c r="K99" i="1"/>
  <c r="L2" i="2"/>
  <c r="L100" i="1" s="1"/>
  <c r="L5" i="2" s="1"/>
  <c r="K108" i="1"/>
  <c r="K83" i="2" s="1"/>
  <c r="K86" i="2" s="1"/>
  <c r="K13" i="2"/>
  <c r="K15" i="2"/>
  <c r="K102" i="1"/>
  <c r="K104" i="2" s="1"/>
  <c r="K104" i="1"/>
  <c r="K30" i="2"/>
  <c r="K29" i="2"/>
  <c r="J31" i="2"/>
  <c r="J105" i="1"/>
  <c r="J17" i="2"/>
  <c r="J20" i="2" s="1"/>
  <c r="J71" i="2" s="1"/>
  <c r="L101" i="1" l="1"/>
  <c r="L6" i="2" s="1"/>
  <c r="L65" i="2"/>
  <c r="L14" i="2"/>
  <c r="L107" i="1"/>
  <c r="L78" i="2" s="1"/>
  <c r="L16" i="2"/>
  <c r="L29" i="2"/>
  <c r="L30" i="2"/>
  <c r="L106" i="1"/>
  <c r="L73" i="2" s="1"/>
  <c r="L76" i="2" s="1"/>
  <c r="L15" i="2"/>
  <c r="M2" i="2"/>
  <c r="M100" i="1" s="1"/>
  <c r="M5" i="2" s="1"/>
  <c r="J33" i="2"/>
  <c r="L99" i="1"/>
  <c r="L108" i="1"/>
  <c r="L83" i="2" s="1"/>
  <c r="L86" i="2" s="1"/>
  <c r="L102" i="1"/>
  <c r="L104" i="2" s="1"/>
  <c r="L103" i="1"/>
  <c r="L13" i="2"/>
  <c r="L104" i="1"/>
  <c r="L28" i="2"/>
  <c r="K105" i="1"/>
  <c r="K17" i="2"/>
  <c r="K20" i="2" s="1"/>
  <c r="K71" i="2" s="1"/>
  <c r="K31" i="2"/>
  <c r="N100" i="1" l="1"/>
  <c r="N5" i="2" s="1"/>
  <c r="M101" i="1"/>
  <c r="M6" i="2" s="1"/>
  <c r="M65" i="2"/>
  <c r="M14" i="2"/>
  <c r="M107" i="1"/>
  <c r="M78" i="2" s="1"/>
  <c r="M64" i="2"/>
  <c r="M99" i="1"/>
  <c r="L31" i="2"/>
  <c r="M13" i="2"/>
  <c r="M104" i="1"/>
  <c r="M106" i="1"/>
  <c r="M73" i="2" s="1"/>
  <c r="M76" i="2" s="1"/>
  <c r="M103" i="1"/>
  <c r="M16" i="2"/>
  <c r="L17" i="2"/>
  <c r="N2" i="2"/>
  <c r="M29" i="2"/>
  <c r="M30" i="2"/>
  <c r="M108" i="1"/>
  <c r="M83" i="2" s="1"/>
  <c r="M86" i="2" s="1"/>
  <c r="M28" i="2"/>
  <c r="M102" i="1"/>
  <c r="M15" i="2"/>
  <c r="L105" i="1"/>
  <c r="K33" i="2"/>
  <c r="M66" i="2" l="1"/>
  <c r="M69" i="2"/>
  <c r="N101" i="1"/>
  <c r="N6" i="2" s="1"/>
  <c r="N65" i="2"/>
  <c r="N107" i="1"/>
  <c r="N78" i="2" s="1"/>
  <c r="N14" i="2"/>
  <c r="N30" i="2"/>
  <c r="L33" i="2"/>
  <c r="M105" i="1"/>
  <c r="M17" i="2"/>
  <c r="M20" i="2" s="1"/>
  <c r="M71" i="2" s="1"/>
  <c r="N104" i="1"/>
  <c r="O2" i="2"/>
  <c r="O100" i="1" s="1"/>
  <c r="O5" i="2" s="1"/>
  <c r="N102" i="1"/>
  <c r="N104" i="2" s="1"/>
  <c r="N99" i="1"/>
  <c r="N106" i="1"/>
  <c r="N73" i="2" s="1"/>
  <c r="N76" i="2" s="1"/>
  <c r="N29" i="2"/>
  <c r="N64" i="2"/>
  <c r="M104" i="2"/>
  <c r="M31" i="2"/>
  <c r="L20" i="2"/>
  <c r="L71" i="2" s="1"/>
  <c r="N13" i="2"/>
  <c r="N28" i="2"/>
  <c r="N15" i="2"/>
  <c r="N103" i="1"/>
  <c r="N16" i="2"/>
  <c r="N108" i="1"/>
  <c r="N83" i="2" s="1"/>
  <c r="N86" i="2" s="1"/>
  <c r="N69" i="2" l="1"/>
  <c r="N66" i="2"/>
  <c r="O101" i="1"/>
  <c r="N31" i="2"/>
  <c r="M88" i="2"/>
  <c r="M89" i="2" s="1"/>
  <c r="O65" i="2"/>
  <c r="O107" i="1"/>
  <c r="O78" i="2" s="1"/>
  <c r="O14" i="2"/>
  <c r="O30" i="2"/>
  <c r="O102" i="1"/>
  <c r="O104" i="2" s="1"/>
  <c r="O108" i="1"/>
  <c r="O83" i="2" s="1"/>
  <c r="O86" i="2" s="1"/>
  <c r="O103" i="1"/>
  <c r="O28" i="2"/>
  <c r="P2" i="2"/>
  <c r="P100" i="1" s="1"/>
  <c r="P5" i="2" s="1"/>
  <c r="O29" i="2"/>
  <c r="O15" i="2"/>
  <c r="O16" i="2"/>
  <c r="O13" i="2"/>
  <c r="O64" i="2"/>
  <c r="O104" i="1"/>
  <c r="O106" i="1"/>
  <c r="O73" i="2" s="1"/>
  <c r="O76" i="2" s="1"/>
  <c r="M33" i="2"/>
  <c r="N105" i="1"/>
  <c r="O99" i="1"/>
  <c r="N17" i="2"/>
  <c r="N33" i="2" s="1"/>
  <c r="O69" i="2" l="1"/>
  <c r="O66" i="2"/>
  <c r="P101" i="1"/>
  <c r="P6" i="2" s="1"/>
  <c r="O6" i="2"/>
  <c r="O31" i="2"/>
  <c r="M99" i="2"/>
  <c r="M105" i="2" s="1"/>
  <c r="P65" i="2"/>
  <c r="P107" i="1"/>
  <c r="P78" i="2" s="1"/>
  <c r="P14" i="2"/>
  <c r="P64" i="2"/>
  <c r="P103" i="1"/>
  <c r="P102" i="1"/>
  <c r="P104" i="2" s="1"/>
  <c r="Q2" i="2"/>
  <c r="Q100" i="1" s="1"/>
  <c r="Q5" i="2" s="1"/>
  <c r="P106" i="1"/>
  <c r="P73" i="2" s="1"/>
  <c r="P76" i="2" s="1"/>
  <c r="P28" i="2"/>
  <c r="P29" i="2"/>
  <c r="P15" i="2"/>
  <c r="P108" i="1"/>
  <c r="P83" i="2" s="1"/>
  <c r="P86" i="2" s="1"/>
  <c r="P16" i="2"/>
  <c r="P99" i="1"/>
  <c r="P13" i="2"/>
  <c r="P30" i="2"/>
  <c r="P104" i="1"/>
  <c r="O105" i="1"/>
  <c r="O17" i="2"/>
  <c r="O20" i="2" s="1"/>
  <c r="O71" i="2" s="1"/>
  <c r="N20" i="2"/>
  <c r="N71" i="2" s="1"/>
  <c r="N88" i="2" s="1"/>
  <c r="N89" i="2" s="1"/>
  <c r="N99" i="2" s="1"/>
  <c r="N105" i="2" s="1"/>
  <c r="P66" i="2" l="1"/>
  <c r="P69" i="2"/>
  <c r="Q101" i="1"/>
  <c r="Q6" i="2" s="1"/>
  <c r="Q65" i="2"/>
  <c r="Q107" i="1"/>
  <c r="Q78" i="2" s="1"/>
  <c r="Q14" i="2"/>
  <c r="P105" i="1"/>
  <c r="Q64" i="2"/>
  <c r="Q108" i="1"/>
  <c r="Q83" i="2" s="1"/>
  <c r="Q86" i="2" s="1"/>
  <c r="Q29" i="2"/>
  <c r="Q102" i="1"/>
  <c r="Q104" i="2" s="1"/>
  <c r="Q16" i="2"/>
  <c r="R2" i="2"/>
  <c r="R100" i="1" s="1"/>
  <c r="R5" i="2" s="1"/>
  <c r="Q15" i="2"/>
  <c r="Q104" i="1"/>
  <c r="Q30" i="2"/>
  <c r="Q13" i="2"/>
  <c r="Q99" i="1"/>
  <c r="Q106" i="1"/>
  <c r="Q73" i="2" s="1"/>
  <c r="Q76" i="2" s="1"/>
  <c r="Q103" i="1"/>
  <c r="P31" i="2"/>
  <c r="P17" i="2"/>
  <c r="P20" i="2" s="1"/>
  <c r="P71" i="2" s="1"/>
  <c r="Q28" i="2"/>
  <c r="O33" i="2"/>
  <c r="O88" i="2"/>
  <c r="O89" i="2" s="1"/>
  <c r="Q66" i="2" l="1"/>
  <c r="Q69" i="2"/>
  <c r="R101" i="1"/>
  <c r="R6" i="2" s="1"/>
  <c r="P88" i="2"/>
  <c r="P89" i="2" s="1"/>
  <c r="R16" i="2"/>
  <c r="R65" i="2"/>
  <c r="R14" i="2"/>
  <c r="R107" i="1"/>
  <c r="R78" i="2" s="1"/>
  <c r="Q31" i="2"/>
  <c r="R29" i="2"/>
  <c r="R104" i="1"/>
  <c r="R99" i="1"/>
  <c r="R13" i="2"/>
  <c r="R64" i="2"/>
  <c r="R102" i="1"/>
  <c r="R104" i="2" s="1"/>
  <c r="R103" i="1"/>
  <c r="R106" i="1"/>
  <c r="R73" i="2" s="1"/>
  <c r="R76" i="2" s="1"/>
  <c r="R108" i="1"/>
  <c r="R83" i="2" s="1"/>
  <c r="R86" i="2" s="1"/>
  <c r="R15" i="2"/>
  <c r="R30" i="2"/>
  <c r="S2" i="2"/>
  <c r="S29" i="2" s="1"/>
  <c r="Q17" i="2"/>
  <c r="Q20" i="2" s="1"/>
  <c r="Q71" i="2" s="1"/>
  <c r="Q105" i="1"/>
  <c r="P33" i="2"/>
  <c r="R28" i="2"/>
  <c r="O99" i="2"/>
  <c r="O105" i="2" s="1"/>
  <c r="R66" i="2" l="1"/>
  <c r="R69" i="2"/>
  <c r="Q88" i="2"/>
  <c r="Q89" i="2" s="1"/>
  <c r="S101" i="1"/>
  <c r="S100" i="1"/>
  <c r="S5" i="2" s="1"/>
  <c r="R31" i="2"/>
  <c r="R33" i="2" s="1"/>
  <c r="P99" i="2"/>
  <c r="P105" i="2" s="1"/>
  <c r="S103" i="1"/>
  <c r="S108" i="1"/>
  <c r="S83" i="2" s="1"/>
  <c r="S86" i="2" s="1"/>
  <c r="S65" i="2"/>
  <c r="S14" i="2"/>
  <c r="S107" i="1"/>
  <c r="S78" i="2" s="1"/>
  <c r="R105" i="1"/>
  <c r="S64" i="2"/>
  <c r="R17" i="2"/>
  <c r="R20" i="2" s="1"/>
  <c r="R71" i="2" s="1"/>
  <c r="S106" i="1"/>
  <c r="S73" i="2" s="1"/>
  <c r="S76" i="2" s="1"/>
  <c r="S104" i="1"/>
  <c r="S99" i="1"/>
  <c r="S16" i="2"/>
  <c r="S15" i="2"/>
  <c r="Q33" i="2"/>
  <c r="T2" i="2"/>
  <c r="S30" i="2"/>
  <c r="S31" i="2" s="1"/>
  <c r="S102" i="1"/>
  <c r="S104" i="2" s="1"/>
  <c r="S13" i="2"/>
  <c r="S28" i="2"/>
  <c r="Q99" i="2" l="1"/>
  <c r="Q105" i="2" s="1"/>
  <c r="T101" i="1"/>
  <c r="T6" i="2" s="1"/>
  <c r="S6" i="2"/>
  <c r="S69" i="2"/>
  <c r="S88" i="2" s="1"/>
  <c r="S89" i="2" s="1"/>
  <c r="S66" i="2"/>
  <c r="T100" i="1"/>
  <c r="T5" i="2" s="1"/>
  <c r="S17" i="2"/>
  <c r="S20" i="2" s="1"/>
  <c r="S71" i="2" s="1"/>
  <c r="R88" i="2"/>
  <c r="R89" i="2" s="1"/>
  <c r="R99" i="2" s="1"/>
  <c r="R105" i="2" s="1"/>
  <c r="T65" i="2"/>
  <c r="T14" i="2"/>
  <c r="T107" i="1"/>
  <c r="T78" i="2" s="1"/>
  <c r="S105" i="1"/>
  <c r="T106" i="1"/>
  <c r="T73" i="2" s="1"/>
  <c r="T76" i="2" s="1"/>
  <c r="U2" i="2"/>
  <c r="U13" i="2" s="1"/>
  <c r="T102" i="1"/>
  <c r="T104" i="2" s="1"/>
  <c r="T15" i="2"/>
  <c r="T13" i="2"/>
  <c r="T108" i="1"/>
  <c r="T83" i="2" s="1"/>
  <c r="T86" i="2" s="1"/>
  <c r="T30" i="2"/>
  <c r="T28" i="2"/>
  <c r="T104" i="1"/>
  <c r="T29" i="2"/>
  <c r="T99" i="1"/>
  <c r="T16" i="2"/>
  <c r="T103" i="1"/>
  <c r="T64" i="2"/>
  <c r="S33" i="2"/>
  <c r="T69" i="2" l="1"/>
  <c r="T66" i="2"/>
  <c r="U100" i="1"/>
  <c r="U5" i="2" s="1"/>
  <c r="U101" i="1"/>
  <c r="U6" i="2" s="1"/>
  <c r="U64" i="2"/>
  <c r="U102" i="1"/>
  <c r="U104" i="2" s="1"/>
  <c r="T17" i="2"/>
  <c r="T20" i="2" s="1"/>
  <c r="T71" i="2" s="1"/>
  <c r="V2" i="2"/>
  <c r="V13" i="2" s="1"/>
  <c r="U29" i="2"/>
  <c r="U31" i="2" s="1"/>
  <c r="U104" i="1"/>
  <c r="U16" i="2"/>
  <c r="U106" i="1"/>
  <c r="U73" i="2" s="1"/>
  <c r="U76" i="2" s="1"/>
  <c r="U30" i="2"/>
  <c r="U99" i="1"/>
  <c r="U65" i="2"/>
  <c r="U14" i="2"/>
  <c r="U107" i="1"/>
  <c r="U78" i="2" s="1"/>
  <c r="U103" i="1"/>
  <c r="U28" i="2"/>
  <c r="U108" i="1"/>
  <c r="U83" i="2" s="1"/>
  <c r="U86" i="2" s="1"/>
  <c r="U15" i="2"/>
  <c r="T105" i="1"/>
  <c r="T31" i="2"/>
  <c r="T33" i="2" s="1"/>
  <c r="S99" i="2"/>
  <c r="S105" i="2" s="1"/>
  <c r="V64" i="2"/>
  <c r="V15" i="2"/>
  <c r="V29" i="2"/>
  <c r="W2" i="2"/>
  <c r="V106" i="1"/>
  <c r="V73" i="2" s="1"/>
  <c r="V76" i="2" s="1"/>
  <c r="V104" i="1"/>
  <c r="V16" i="2"/>
  <c r="V102" i="1"/>
  <c r="V108" i="1"/>
  <c r="V83" i="2" s="1"/>
  <c r="V86" i="2" s="1"/>
  <c r="V103" i="1"/>
  <c r="U69" i="2" l="1"/>
  <c r="U66" i="2"/>
  <c r="V107" i="1"/>
  <c r="V78" i="2" s="1"/>
  <c r="V30" i="2"/>
  <c r="V31" i="2" s="1"/>
  <c r="V101" i="1"/>
  <c r="V100" i="1"/>
  <c r="V65" i="2"/>
  <c r="V69" i="2" s="1"/>
  <c r="V99" i="1"/>
  <c r="W99" i="1" s="1"/>
  <c r="V28" i="2"/>
  <c r="V14" i="2"/>
  <c r="V17" i="2" s="1"/>
  <c r="V20" i="2" s="1"/>
  <c r="V71" i="2" s="1"/>
  <c r="U105" i="1"/>
  <c r="U17" i="2"/>
  <c r="U20" i="2" s="1"/>
  <c r="U71" i="2" s="1"/>
  <c r="W65" i="2"/>
  <c r="W107" i="1"/>
  <c r="W78" i="2" s="1"/>
  <c r="W14" i="2"/>
  <c r="T88" i="2"/>
  <c r="T89" i="2" s="1"/>
  <c r="T99" i="2" s="1"/>
  <c r="T105" i="2" s="1"/>
  <c r="V105" i="1"/>
  <c r="W30" i="2"/>
  <c r="W16" i="2"/>
  <c r="W64" i="2"/>
  <c r="W15" i="2"/>
  <c r="W29" i="2"/>
  <c r="W13" i="2"/>
  <c r="X2" i="2"/>
  <c r="W106" i="1"/>
  <c r="W73" i="2" s="1"/>
  <c r="W76" i="2" s="1"/>
  <c r="W104" i="1"/>
  <c r="W102" i="1"/>
  <c r="W104" i="2" s="1"/>
  <c r="W108" i="1"/>
  <c r="W83" i="2" s="1"/>
  <c r="W86" i="2" s="1"/>
  <c r="W103" i="1"/>
  <c r="V104" i="2"/>
  <c r="W28" i="2" l="1"/>
  <c r="W101" i="1"/>
  <c r="V6" i="2"/>
  <c r="W69" i="2"/>
  <c r="W66" i="2"/>
  <c r="W100" i="1"/>
  <c r="V5" i="2"/>
  <c r="V66" i="2"/>
  <c r="U88" i="2"/>
  <c r="U89" i="2" s="1"/>
  <c r="U33" i="2"/>
  <c r="X65" i="2"/>
  <c r="X107" i="1"/>
  <c r="X78" i="2" s="1"/>
  <c r="X14" i="2"/>
  <c r="V33" i="2"/>
  <c r="W17" i="2"/>
  <c r="W20" i="2" s="1"/>
  <c r="W71" i="2" s="1"/>
  <c r="W31" i="2"/>
  <c r="X64" i="2"/>
  <c r="X30" i="2"/>
  <c r="X28" i="2"/>
  <c r="X16" i="2"/>
  <c r="X29" i="2"/>
  <c r="X15" i="2"/>
  <c r="Y2" i="2"/>
  <c r="X106" i="1"/>
  <c r="X73" i="2" s="1"/>
  <c r="X76" i="2" s="1"/>
  <c r="X104" i="1"/>
  <c r="X13" i="2"/>
  <c r="X102" i="1"/>
  <c r="X104" i="2" s="1"/>
  <c r="X103" i="1"/>
  <c r="X108" i="1"/>
  <c r="X83" i="2" s="1"/>
  <c r="X86" i="2" s="1"/>
  <c r="X99" i="1"/>
  <c r="V88" i="2"/>
  <c r="V89" i="2" s="1"/>
  <c r="W105" i="1"/>
  <c r="U99" i="2" l="1"/>
  <c r="U105" i="2" s="1"/>
  <c r="X66" i="2"/>
  <c r="X69" i="2"/>
  <c r="X100" i="1"/>
  <c r="X5" i="2" s="1"/>
  <c r="W5" i="2"/>
  <c r="X101" i="1"/>
  <c r="X6" i="2" s="1"/>
  <c r="W6" i="2"/>
  <c r="Y65" i="2"/>
  <c r="Y14" i="2"/>
  <c r="Y107" i="1"/>
  <c r="Y78" i="2" s="1"/>
  <c r="V99" i="2"/>
  <c r="V105" i="2" s="1"/>
  <c r="W88" i="2"/>
  <c r="W89" i="2" s="1"/>
  <c r="W33" i="2"/>
  <c r="X17" i="2"/>
  <c r="X20" i="2" s="1"/>
  <c r="X71" i="2" s="1"/>
  <c r="X31" i="2"/>
  <c r="X105" i="1"/>
  <c r="Y29" i="2"/>
  <c r="Y28" i="2"/>
  <c r="Y64" i="2"/>
  <c r="Y16" i="2"/>
  <c r="Y13" i="2"/>
  <c r="Y15" i="2"/>
  <c r="Y30" i="2"/>
  <c r="Y106" i="1"/>
  <c r="Y73" i="2" s="1"/>
  <c r="Y76" i="2" s="1"/>
  <c r="Y104" i="1"/>
  <c r="Y108" i="1"/>
  <c r="Y83" i="2" s="1"/>
  <c r="Y86" i="2" s="1"/>
  <c r="Y103" i="1"/>
  <c r="Y99" i="1"/>
  <c r="Z2" i="2"/>
  <c r="Y102" i="1"/>
  <c r="Y104" i="2" s="1"/>
  <c r="Y101" i="1" l="1"/>
  <c r="Y6" i="2" s="1"/>
  <c r="Y66" i="2"/>
  <c r="Y69" i="2"/>
  <c r="Y100" i="1"/>
  <c r="Y5" i="2" s="1"/>
  <c r="Z65" i="2"/>
  <c r="Z14" i="2"/>
  <c r="Z107" i="1"/>
  <c r="Z78" i="2" s="1"/>
  <c r="W99" i="2"/>
  <c r="W105" i="2" s="1"/>
  <c r="X33" i="2"/>
  <c r="Y17" i="2"/>
  <c r="Y20" i="2" s="1"/>
  <c r="Y71" i="2" s="1"/>
  <c r="Y31" i="2"/>
  <c r="X88" i="2"/>
  <c r="X89" i="2" s="1"/>
  <c r="Y105" i="1"/>
  <c r="Z28" i="2"/>
  <c r="Z64" i="2"/>
  <c r="Z16" i="2"/>
  <c r="Z13" i="2"/>
  <c r="Z30" i="2"/>
  <c r="Z108" i="1"/>
  <c r="Z83" i="2" s="1"/>
  <c r="Z86" i="2" s="1"/>
  <c r="Z15" i="2"/>
  <c r="Z103" i="1"/>
  <c r="AA2" i="2"/>
  <c r="Z29" i="2"/>
  <c r="Z106" i="1"/>
  <c r="Z73" i="2" s="1"/>
  <c r="Z76" i="2" s="1"/>
  <c r="Z104" i="1"/>
  <c r="Z102" i="1"/>
  <c r="Z104" i="2" s="1"/>
  <c r="Z99" i="1"/>
  <c r="Z101" i="1" l="1"/>
  <c r="Z6" i="2" s="1"/>
  <c r="Z66" i="2"/>
  <c r="Z69" i="2"/>
  <c r="Z100" i="1"/>
  <c r="AA101" i="1"/>
  <c r="AA6" i="2" s="1"/>
  <c r="AA65" i="2"/>
  <c r="AA14" i="2"/>
  <c r="AA107" i="1"/>
  <c r="AA78" i="2" s="1"/>
  <c r="Y88" i="2"/>
  <c r="Y89" i="2" s="1"/>
  <c r="Y33" i="2"/>
  <c r="X99" i="2"/>
  <c r="X105" i="2" s="1"/>
  <c r="Z31" i="2"/>
  <c r="Z17" i="2"/>
  <c r="Z20" i="2" s="1"/>
  <c r="Z71" i="2" s="1"/>
  <c r="AA64" i="2"/>
  <c r="AA29" i="2"/>
  <c r="AA13" i="2"/>
  <c r="AA28" i="2"/>
  <c r="AA15" i="2"/>
  <c r="AA16" i="2"/>
  <c r="AA108" i="1"/>
  <c r="AA83" i="2" s="1"/>
  <c r="AA86" i="2" s="1"/>
  <c r="AA103" i="1"/>
  <c r="AA99" i="1"/>
  <c r="AA30" i="2"/>
  <c r="AA106" i="1"/>
  <c r="AA73" i="2" s="1"/>
  <c r="AA76" i="2" s="1"/>
  <c r="AA104" i="1"/>
  <c r="AA102" i="1"/>
  <c r="AB2" i="2"/>
  <c r="Z105" i="1"/>
  <c r="AA69" i="2" l="1"/>
  <c r="AA66" i="2"/>
  <c r="Z5" i="2"/>
  <c r="AA100" i="1"/>
  <c r="AA5" i="2" s="1"/>
  <c r="AB100" i="1"/>
  <c r="AB5" i="2" s="1"/>
  <c r="AB101" i="1"/>
  <c r="AB6" i="2" s="1"/>
  <c r="AB65" i="2"/>
  <c r="AB14" i="2"/>
  <c r="AB107" i="1"/>
  <c r="AB78" i="2" s="1"/>
  <c r="Y99" i="2"/>
  <c r="Y105" i="2" s="1"/>
  <c r="Z88" i="2"/>
  <c r="Z89" i="2" s="1"/>
  <c r="Z33" i="2"/>
  <c r="AA17" i="2"/>
  <c r="AA20" i="2" s="1"/>
  <c r="AA71" i="2" s="1"/>
  <c r="AA31" i="2"/>
  <c r="AA105" i="1"/>
  <c r="B9" i="2" s="1" a="1"/>
  <c r="AA104" i="2"/>
  <c r="AB105" i="2"/>
  <c r="AB99" i="2"/>
  <c r="AB89" i="2"/>
  <c r="AB104" i="2"/>
  <c r="AB88" i="2"/>
  <c r="AB100" i="2"/>
  <c r="AB101" i="2"/>
  <c r="AB86" i="2"/>
  <c r="AB76" i="2"/>
  <c r="AB64" i="2"/>
  <c r="AB20" i="2"/>
  <c r="AB71" i="2" s="1"/>
  <c r="AB33" i="2"/>
  <c r="AB16" i="2"/>
  <c r="AB13" i="2"/>
  <c r="AB108" i="1"/>
  <c r="AB83" i="2" s="1"/>
  <c r="AB15" i="2"/>
  <c r="AB17" i="2"/>
  <c r="AC2" i="2"/>
  <c r="AB103" i="1"/>
  <c r="AB99" i="1"/>
  <c r="AB102" i="1"/>
  <c r="AB104" i="1"/>
  <c r="AB106" i="1"/>
  <c r="AB73" i="2" s="1"/>
  <c r="AC101" i="1" l="1"/>
  <c r="AC6" i="2" s="1"/>
  <c r="AC100" i="1"/>
  <c r="AC5" i="2" s="1"/>
  <c r="AC65" i="2"/>
  <c r="AC107" i="1"/>
  <c r="AC78" i="2" s="1"/>
  <c r="AC14" i="2"/>
  <c r="Z99" i="2"/>
  <c r="Z105" i="2" s="1"/>
  <c r="AA33" i="2"/>
  <c r="AA88" i="2"/>
  <c r="AA89" i="2" s="1"/>
  <c r="AC100" i="2"/>
  <c r="AC105" i="2"/>
  <c r="AC104" i="2"/>
  <c r="AC99" i="2"/>
  <c r="AC101" i="2"/>
  <c r="AC86" i="2"/>
  <c r="AC88" i="2"/>
  <c r="AC76" i="2"/>
  <c r="AC89" i="2"/>
  <c r="AC64" i="2"/>
  <c r="AC33" i="2"/>
  <c r="AC20" i="2"/>
  <c r="AC71" i="2" s="1"/>
  <c r="AC16" i="2"/>
  <c r="AC15" i="2"/>
  <c r="AC17" i="2"/>
  <c r="AC108" i="1"/>
  <c r="AC83" i="2" s="1"/>
  <c r="AC103" i="1"/>
  <c r="AD2" i="2"/>
  <c r="AC106" i="1"/>
  <c r="AC73" i="2" s="1"/>
  <c r="AC104" i="1"/>
  <c r="AC102" i="1"/>
  <c r="AC13" i="2"/>
  <c r="AC99" i="1"/>
  <c r="CX9" i="2"/>
  <c r="CP9" i="2"/>
  <c r="CH9" i="2"/>
  <c r="BZ9" i="2"/>
  <c r="BR9" i="2"/>
  <c r="BJ9" i="2"/>
  <c r="BB9" i="2"/>
  <c r="AT9" i="2"/>
  <c r="AL9" i="2"/>
  <c r="AD9" i="2"/>
  <c r="V9" i="2"/>
  <c r="V100" i="2" s="1"/>
  <c r="V101" i="2" s="1"/>
  <c r="N9" i="2"/>
  <c r="N100" i="2" s="1"/>
  <c r="N101" i="2" s="1"/>
  <c r="F9" i="2"/>
  <c r="F100" i="2" s="1"/>
  <c r="CW9" i="2"/>
  <c r="CO9" i="2"/>
  <c r="CG9" i="2"/>
  <c r="BY9" i="2"/>
  <c r="BQ9" i="2"/>
  <c r="BI9" i="2"/>
  <c r="BA9" i="2"/>
  <c r="AS9" i="2"/>
  <c r="AK9" i="2"/>
  <c r="AC9" i="2"/>
  <c r="U9" i="2"/>
  <c r="U100" i="2" s="1"/>
  <c r="U101" i="2" s="1"/>
  <c r="M9" i="2"/>
  <c r="M100" i="2" s="1"/>
  <c r="M101" i="2" s="1"/>
  <c r="CR9" i="2"/>
  <c r="CJ9" i="2"/>
  <c r="CB9" i="2"/>
  <c r="BT9" i="2"/>
  <c r="BL9" i="2"/>
  <c r="CS9" i="2"/>
  <c r="CE9" i="2"/>
  <c r="BS9" i="2"/>
  <c r="BF9" i="2"/>
  <c r="AV9" i="2"/>
  <c r="AJ9" i="2"/>
  <c r="Z9" i="2"/>
  <c r="Z100" i="2" s="1"/>
  <c r="P9" i="2"/>
  <c r="P100" i="2" s="1"/>
  <c r="P101" i="2" s="1"/>
  <c r="E9" i="2"/>
  <c r="E100" i="2" s="1"/>
  <c r="CQ9" i="2"/>
  <c r="CD9" i="2"/>
  <c r="BP9" i="2"/>
  <c r="BE9" i="2"/>
  <c r="AU9" i="2"/>
  <c r="AI9" i="2"/>
  <c r="Y9" i="2"/>
  <c r="Y100" i="2" s="1"/>
  <c r="Y101" i="2" s="1"/>
  <c r="O9" i="2"/>
  <c r="O100" i="2" s="1"/>
  <c r="O101" i="2" s="1"/>
  <c r="D9" i="2"/>
  <c r="D100" i="2" s="1"/>
  <c r="CN9" i="2"/>
  <c r="CC9" i="2"/>
  <c r="BO9" i="2"/>
  <c r="BD9" i="2"/>
  <c r="AR9" i="2"/>
  <c r="AH9" i="2"/>
  <c r="X9" i="2"/>
  <c r="X100" i="2" s="1"/>
  <c r="X101" i="2" s="1"/>
  <c r="L9" i="2"/>
  <c r="L100" i="2" s="1"/>
  <c r="C9" i="2"/>
  <c r="C100" i="2" s="1"/>
  <c r="CM9" i="2"/>
  <c r="CA9" i="2"/>
  <c r="BN9" i="2"/>
  <c r="BC9" i="2"/>
  <c r="AQ9" i="2"/>
  <c r="AG9" i="2"/>
  <c r="W9" i="2"/>
  <c r="W100" i="2" s="1"/>
  <c r="W101" i="2" s="1"/>
  <c r="K9" i="2"/>
  <c r="K100" i="2" s="1"/>
  <c r="CL9" i="2"/>
  <c r="BX9" i="2"/>
  <c r="BM9" i="2"/>
  <c r="AZ9" i="2"/>
  <c r="AP9" i="2"/>
  <c r="AF9" i="2"/>
  <c r="T9" i="2"/>
  <c r="T100" i="2" s="1"/>
  <c r="T101" i="2" s="1"/>
  <c r="J9" i="2"/>
  <c r="J100" i="2" s="1"/>
  <c r="B9" i="2"/>
  <c r="B101" i="2" s="1"/>
  <c r="CU9" i="2"/>
  <c r="CI9" i="2"/>
  <c r="BV9" i="2"/>
  <c r="BH9" i="2"/>
  <c r="AX9" i="2"/>
  <c r="AN9" i="2"/>
  <c r="AB9" i="2"/>
  <c r="R9" i="2"/>
  <c r="R100" i="2" s="1"/>
  <c r="R101" i="2" s="1"/>
  <c r="H9" i="2"/>
  <c r="H100" i="2" s="1"/>
  <c r="CT9" i="2"/>
  <c r="CF9" i="2"/>
  <c r="BU9" i="2"/>
  <c r="BG9" i="2"/>
  <c r="AW9" i="2"/>
  <c r="AM9" i="2"/>
  <c r="AA9" i="2"/>
  <c r="AA100" i="2" s="1"/>
  <c r="Q9" i="2"/>
  <c r="Q100" i="2" s="1"/>
  <c r="Q101" i="2" s="1"/>
  <c r="G9" i="2"/>
  <c r="G100" i="2" s="1"/>
  <c r="AY9" i="2"/>
  <c r="CV9" i="2"/>
  <c r="CK9" i="2"/>
  <c r="AO9" i="2"/>
  <c r="AE9" i="2"/>
  <c r="I9" i="2"/>
  <c r="I100" i="2" s="1"/>
  <c r="S9" i="2"/>
  <c r="S100" i="2" s="1"/>
  <c r="S101" i="2" s="1"/>
  <c r="BW9" i="2"/>
  <c r="BK9" i="2"/>
  <c r="AD100" i="1" l="1"/>
  <c r="AD5" i="2" s="1"/>
  <c r="AD101" i="1"/>
  <c r="AD6" i="2" s="1"/>
  <c r="AD65" i="2"/>
  <c r="AD107" i="1"/>
  <c r="AD78" i="2" s="1"/>
  <c r="AD14" i="2"/>
  <c r="Z101" i="2"/>
  <c r="AA99" i="2"/>
  <c r="AA105" i="2" s="1"/>
  <c r="AD105" i="2"/>
  <c r="AD101" i="2"/>
  <c r="AD104" i="2"/>
  <c r="AD99" i="2"/>
  <c r="AD88" i="2"/>
  <c r="AD100" i="2"/>
  <c r="AD86" i="2"/>
  <c r="AD76" i="2"/>
  <c r="AD89" i="2"/>
  <c r="AD64" i="2"/>
  <c r="AD33" i="2"/>
  <c r="AD15" i="2"/>
  <c r="AD104" i="1"/>
  <c r="AD102" i="1"/>
  <c r="AD17" i="2"/>
  <c r="AE2" i="2"/>
  <c r="AD20" i="2"/>
  <c r="AD71" i="2" s="1"/>
  <c r="AD16" i="2"/>
  <c r="AD106" i="1"/>
  <c r="AD73" i="2" s="1"/>
  <c r="AD108" i="1"/>
  <c r="AD83" i="2" s="1"/>
  <c r="AD103" i="1"/>
  <c r="AD99" i="1"/>
  <c r="AD13" i="2"/>
  <c r="AE100" i="1" l="1"/>
  <c r="AE5" i="2" s="1"/>
  <c r="AE101" i="1"/>
  <c r="AE6" i="2" s="1"/>
  <c r="AE65" i="2"/>
  <c r="AE107" i="1"/>
  <c r="AE78" i="2" s="1"/>
  <c r="AE14" i="2"/>
  <c r="AA101" i="2"/>
  <c r="AE99" i="2"/>
  <c r="AE104" i="2"/>
  <c r="AE88" i="2"/>
  <c r="AE105" i="2"/>
  <c r="AE100" i="2"/>
  <c r="AE101" i="2"/>
  <c r="AE89" i="2"/>
  <c r="AE86" i="2"/>
  <c r="AE76" i="2"/>
  <c r="AE64" i="2"/>
  <c r="AE20" i="2"/>
  <c r="AE71" i="2" s="1"/>
  <c r="AE16" i="2"/>
  <c r="AE15" i="2"/>
  <c r="AE17" i="2"/>
  <c r="AE33" i="2"/>
  <c r="AF2" i="2"/>
  <c r="AE106" i="1"/>
  <c r="AE73" i="2" s="1"/>
  <c r="AE104" i="1"/>
  <c r="AE102" i="1"/>
  <c r="AE13" i="2"/>
  <c r="AE108" i="1"/>
  <c r="AE83" i="2" s="1"/>
  <c r="AE103" i="1"/>
  <c r="AE99" i="1"/>
  <c r="AF100" i="1" l="1"/>
  <c r="AF5" i="2" s="1"/>
  <c r="AF101" i="1"/>
  <c r="AF6" i="2" s="1"/>
  <c r="AF65" i="2"/>
  <c r="AF107" i="1"/>
  <c r="AF78" i="2" s="1"/>
  <c r="AF14" i="2"/>
  <c r="AF101" i="2"/>
  <c r="AF100" i="2"/>
  <c r="AF88" i="2"/>
  <c r="AF105" i="2"/>
  <c r="AF99" i="2"/>
  <c r="AF89" i="2"/>
  <c r="AF104" i="2"/>
  <c r="AF76" i="2"/>
  <c r="AF86" i="2"/>
  <c r="AF64" i="2"/>
  <c r="AF17" i="2"/>
  <c r="AF20" i="2"/>
  <c r="AF71" i="2" s="1"/>
  <c r="AF16" i="2"/>
  <c r="AF33" i="2"/>
  <c r="AF15" i="2"/>
  <c r="AG2" i="2"/>
  <c r="AF106" i="1"/>
  <c r="AF73" i="2" s="1"/>
  <c r="AF102" i="1"/>
  <c r="AF13" i="2"/>
  <c r="AF104" i="1"/>
  <c r="AF108" i="1"/>
  <c r="AF83" i="2" s="1"/>
  <c r="AF99" i="1"/>
  <c r="AF103" i="1"/>
  <c r="AG100" i="1" l="1"/>
  <c r="AG5" i="2" s="1"/>
  <c r="AG101" i="1"/>
  <c r="AG6" i="2" s="1"/>
  <c r="AG65" i="2"/>
  <c r="AG107" i="1"/>
  <c r="AG78" i="2" s="1"/>
  <c r="AG14" i="2"/>
  <c r="AG99" i="2"/>
  <c r="AG104" i="2"/>
  <c r="AG105" i="2"/>
  <c r="AG100" i="2"/>
  <c r="AG101" i="2"/>
  <c r="AG76" i="2"/>
  <c r="AG88" i="2"/>
  <c r="AG86" i="2"/>
  <c r="AG89" i="2"/>
  <c r="AG17" i="2"/>
  <c r="AG33" i="2"/>
  <c r="AG13" i="2"/>
  <c r="AG15" i="2"/>
  <c r="AG64" i="2"/>
  <c r="AG106" i="1"/>
  <c r="AG73" i="2" s="1"/>
  <c r="AG104" i="1"/>
  <c r="AG102" i="1"/>
  <c r="AG20" i="2"/>
  <c r="AG71" i="2" s="1"/>
  <c r="AG16" i="2"/>
  <c r="AG108" i="1"/>
  <c r="AG83" i="2" s="1"/>
  <c r="AG103" i="1"/>
  <c r="AG99" i="1"/>
  <c r="AH2" i="2"/>
  <c r="AH100" i="1" l="1"/>
  <c r="AH5" i="2" s="1"/>
  <c r="AH101" i="1"/>
  <c r="AH6" i="2" s="1"/>
  <c r="AH65" i="2"/>
  <c r="AH14" i="2"/>
  <c r="AH107" i="1"/>
  <c r="AH78" i="2" s="1"/>
  <c r="AH104" i="2"/>
  <c r="AH105" i="2"/>
  <c r="AH99" i="2"/>
  <c r="AH100" i="2"/>
  <c r="AH101" i="2"/>
  <c r="AH89" i="2"/>
  <c r="AH88" i="2"/>
  <c r="AH86" i="2"/>
  <c r="AH76" i="2"/>
  <c r="AH33" i="2"/>
  <c r="AH17" i="2"/>
  <c r="AH13" i="2"/>
  <c r="AH20" i="2"/>
  <c r="AH71" i="2" s="1"/>
  <c r="AH16" i="2"/>
  <c r="AH64" i="2"/>
  <c r="AH15" i="2"/>
  <c r="AH103" i="1"/>
  <c r="AH108" i="1"/>
  <c r="AH83" i="2" s="1"/>
  <c r="AI2" i="2"/>
  <c r="AH106" i="1"/>
  <c r="AH73" i="2" s="1"/>
  <c r="AH104" i="1"/>
  <c r="AH102" i="1"/>
  <c r="AH99" i="1"/>
  <c r="AI101" i="1" l="1"/>
  <c r="AI6" i="2" s="1"/>
  <c r="AI100" i="1"/>
  <c r="AI5" i="2" s="1"/>
  <c r="AI65" i="2"/>
  <c r="AI14" i="2"/>
  <c r="AI107" i="1"/>
  <c r="AI78" i="2" s="1"/>
  <c r="AI104" i="2"/>
  <c r="AI100" i="2"/>
  <c r="AI101" i="2"/>
  <c r="AI105" i="2"/>
  <c r="AI89" i="2"/>
  <c r="AI88" i="2"/>
  <c r="AI86" i="2"/>
  <c r="AI76" i="2"/>
  <c r="AI99" i="2"/>
  <c r="AI64" i="2"/>
  <c r="AI17" i="2"/>
  <c r="AI13" i="2"/>
  <c r="AI20" i="2"/>
  <c r="AI71" i="2" s="1"/>
  <c r="AI16" i="2"/>
  <c r="AI15" i="2"/>
  <c r="AI108" i="1"/>
  <c r="AI83" i="2" s="1"/>
  <c r="AI103" i="1"/>
  <c r="AI99" i="1"/>
  <c r="AI33" i="2"/>
  <c r="AI106" i="1"/>
  <c r="AI73" i="2" s="1"/>
  <c r="AI104" i="1"/>
  <c r="AI102" i="1"/>
  <c r="AJ2" i="2"/>
  <c r="AJ101" i="1" l="1"/>
  <c r="AJ6" i="2" s="1"/>
  <c r="AJ100" i="1"/>
  <c r="AJ5" i="2" s="1"/>
  <c r="AJ65" i="2"/>
  <c r="AJ14" i="2"/>
  <c r="AJ107" i="1"/>
  <c r="AJ78" i="2" s="1"/>
  <c r="AJ105" i="2"/>
  <c r="AJ99" i="2"/>
  <c r="AJ100" i="2"/>
  <c r="AJ89" i="2"/>
  <c r="AJ101" i="2"/>
  <c r="AJ88" i="2"/>
  <c r="AJ104" i="2"/>
  <c r="AJ86" i="2"/>
  <c r="AJ76" i="2"/>
  <c r="AJ20" i="2"/>
  <c r="AJ71" i="2" s="1"/>
  <c r="AJ33" i="2"/>
  <c r="AJ17" i="2"/>
  <c r="AJ16" i="2"/>
  <c r="AJ13" i="2"/>
  <c r="AJ15" i="2"/>
  <c r="AJ99" i="1"/>
  <c r="AJ108" i="1"/>
  <c r="AJ83" i="2" s="1"/>
  <c r="AJ103" i="1"/>
  <c r="AK2" i="2"/>
  <c r="AJ64" i="2"/>
  <c r="AJ104" i="1"/>
  <c r="AJ102" i="1"/>
  <c r="AJ106" i="1"/>
  <c r="AJ73" i="2" s="1"/>
  <c r="AK101" i="1" l="1"/>
  <c r="AK6" i="2" s="1"/>
  <c r="AK100" i="1"/>
  <c r="AK5" i="2" s="1"/>
  <c r="AK65" i="2"/>
  <c r="AK107" i="1"/>
  <c r="AK78" i="2" s="1"/>
  <c r="AK14" i="2"/>
  <c r="AK100" i="2"/>
  <c r="AK105" i="2"/>
  <c r="AK101" i="2"/>
  <c r="AK104" i="2"/>
  <c r="AK99" i="2"/>
  <c r="AK88" i="2"/>
  <c r="AK86" i="2"/>
  <c r="AK89" i="2"/>
  <c r="AK76" i="2"/>
  <c r="AK64" i="2"/>
  <c r="AK33" i="2"/>
  <c r="AK20" i="2"/>
  <c r="AK71" i="2" s="1"/>
  <c r="AK16" i="2"/>
  <c r="AK15" i="2"/>
  <c r="AK17" i="2"/>
  <c r="AK108" i="1"/>
  <c r="AK83" i="2" s="1"/>
  <c r="AK103" i="1"/>
  <c r="AK99" i="1"/>
  <c r="AK13" i="2"/>
  <c r="AL2" i="2"/>
  <c r="AK106" i="1"/>
  <c r="AK73" i="2" s="1"/>
  <c r="AK104" i="1"/>
  <c r="AK102" i="1"/>
  <c r="AL101" i="1" l="1"/>
  <c r="AL6" i="2" s="1"/>
  <c r="AL100" i="1"/>
  <c r="AL5" i="2" s="1"/>
  <c r="AL65" i="2"/>
  <c r="AL107" i="1"/>
  <c r="AL78" i="2" s="1"/>
  <c r="AL14" i="2"/>
  <c r="AL105" i="2"/>
  <c r="AL89" i="2"/>
  <c r="AL101" i="2"/>
  <c r="AL104" i="2"/>
  <c r="AL88" i="2"/>
  <c r="AL99" i="2"/>
  <c r="AL86" i="2"/>
  <c r="AL76" i="2"/>
  <c r="AL100" i="2"/>
  <c r="AL64" i="2"/>
  <c r="AL20" i="2"/>
  <c r="AL71" i="2" s="1"/>
  <c r="AL15" i="2"/>
  <c r="AL33" i="2"/>
  <c r="AL17" i="2"/>
  <c r="AL16" i="2"/>
  <c r="AL13" i="2"/>
  <c r="AM2" i="2"/>
  <c r="AL106" i="1"/>
  <c r="AL73" i="2" s="1"/>
  <c r="AL102" i="1"/>
  <c r="AL104" i="1"/>
  <c r="AL108" i="1"/>
  <c r="AL83" i="2" s="1"/>
  <c r="AL103" i="1"/>
  <c r="AL99" i="1"/>
  <c r="AM100" i="1" l="1"/>
  <c r="AM5" i="2" s="1"/>
  <c r="AM101" i="1"/>
  <c r="AM6" i="2" s="1"/>
  <c r="AM65" i="2"/>
  <c r="AM107" i="1"/>
  <c r="AM78" i="2" s="1"/>
  <c r="AM14" i="2"/>
  <c r="AM99" i="2"/>
  <c r="AM88" i="2"/>
  <c r="AM104" i="2"/>
  <c r="AM100" i="2"/>
  <c r="AM86" i="2"/>
  <c r="AM105" i="2"/>
  <c r="AM76" i="2"/>
  <c r="AM89" i="2"/>
  <c r="AM101" i="2"/>
  <c r="AM64" i="2"/>
  <c r="AM20" i="2"/>
  <c r="AM71" i="2" s="1"/>
  <c r="AM16" i="2"/>
  <c r="AM15" i="2"/>
  <c r="AM13" i="2"/>
  <c r="AM17" i="2"/>
  <c r="AN2" i="2"/>
  <c r="AM106" i="1"/>
  <c r="AM73" i="2" s="1"/>
  <c r="AM104" i="1"/>
  <c r="AM102" i="1"/>
  <c r="AM33" i="2"/>
  <c r="AM108" i="1"/>
  <c r="AM83" i="2" s="1"/>
  <c r="AM103" i="1"/>
  <c r="AM99" i="1"/>
  <c r="AN101" i="1" l="1"/>
  <c r="AN6" i="2" s="1"/>
  <c r="AN100" i="1"/>
  <c r="AN5" i="2" s="1"/>
  <c r="AN65" i="2"/>
  <c r="AN107" i="1"/>
  <c r="AN78" i="2" s="1"/>
  <c r="AN14" i="2"/>
  <c r="AN101" i="2"/>
  <c r="AN100" i="2"/>
  <c r="AN88" i="2"/>
  <c r="AN86" i="2"/>
  <c r="AN104" i="2"/>
  <c r="AN99" i="2"/>
  <c r="AN89" i="2"/>
  <c r="AN105" i="2"/>
  <c r="AN76" i="2"/>
  <c r="AN64" i="2"/>
  <c r="AN17" i="2"/>
  <c r="AN33" i="2"/>
  <c r="AN16" i="2"/>
  <c r="AN20" i="2"/>
  <c r="AN71" i="2" s="1"/>
  <c r="AN15" i="2"/>
  <c r="AO2" i="2"/>
  <c r="AN104" i="1"/>
  <c r="AN13" i="2"/>
  <c r="AN106" i="1"/>
  <c r="AN73" i="2" s="1"/>
  <c r="AN102" i="1"/>
  <c r="AN99" i="1"/>
  <c r="AN103" i="1"/>
  <c r="AN108" i="1"/>
  <c r="AN83" i="2" s="1"/>
  <c r="AO100" i="1" l="1"/>
  <c r="AO5" i="2" s="1"/>
  <c r="AO101" i="1"/>
  <c r="AO6" i="2" s="1"/>
  <c r="AO65" i="2"/>
  <c r="AO14" i="2"/>
  <c r="AO107" i="1"/>
  <c r="AO78" i="2" s="1"/>
  <c r="AO99" i="2"/>
  <c r="AO104" i="2"/>
  <c r="AO105" i="2"/>
  <c r="AO89" i="2"/>
  <c r="AO100" i="2"/>
  <c r="AO101" i="2"/>
  <c r="AO88" i="2"/>
  <c r="AO76" i="2"/>
  <c r="AO86" i="2"/>
  <c r="AO64" i="2"/>
  <c r="AO17" i="2"/>
  <c r="AO33" i="2"/>
  <c r="AO13" i="2"/>
  <c r="AO20" i="2"/>
  <c r="AO71" i="2" s="1"/>
  <c r="AO15" i="2"/>
  <c r="AO106" i="1"/>
  <c r="AO73" i="2" s="1"/>
  <c r="AO104" i="1"/>
  <c r="AO102" i="1"/>
  <c r="AO16" i="2"/>
  <c r="AO108" i="1"/>
  <c r="AO83" i="2" s="1"/>
  <c r="AO103" i="1"/>
  <c r="AO99" i="1"/>
  <c r="AP2" i="2"/>
  <c r="AP100" i="1" l="1"/>
  <c r="AP5" i="2" s="1"/>
  <c r="AP101" i="1"/>
  <c r="AP6" i="2" s="1"/>
  <c r="AP65" i="2"/>
  <c r="AP14" i="2"/>
  <c r="AP107" i="1"/>
  <c r="AP78" i="2" s="1"/>
  <c r="AP104" i="2"/>
  <c r="AP105" i="2"/>
  <c r="AP99" i="2"/>
  <c r="AP100" i="2"/>
  <c r="AP101" i="2"/>
  <c r="AP89" i="2"/>
  <c r="AP86" i="2"/>
  <c r="AP88" i="2"/>
  <c r="AP76" i="2"/>
  <c r="AP64" i="2"/>
  <c r="AP33" i="2"/>
  <c r="AP13" i="2"/>
  <c r="AP17" i="2"/>
  <c r="AP16" i="2"/>
  <c r="AP20" i="2"/>
  <c r="AP71" i="2" s="1"/>
  <c r="AP108" i="1"/>
  <c r="AP83" i="2" s="1"/>
  <c r="AQ2" i="2"/>
  <c r="AP15" i="2"/>
  <c r="AP106" i="1"/>
  <c r="AP73" i="2" s="1"/>
  <c r="AP104" i="1"/>
  <c r="AP102" i="1"/>
  <c r="AP103" i="1"/>
  <c r="AP99" i="1"/>
  <c r="AQ101" i="1" l="1"/>
  <c r="AQ6" i="2" s="1"/>
  <c r="AQ100" i="1"/>
  <c r="AQ5" i="2" s="1"/>
  <c r="AQ65" i="2"/>
  <c r="AQ14" i="2"/>
  <c r="AQ107" i="1"/>
  <c r="AQ78" i="2" s="1"/>
  <c r="AQ104" i="2"/>
  <c r="AQ100" i="2"/>
  <c r="AQ101" i="2"/>
  <c r="AQ99" i="2"/>
  <c r="AQ89" i="2"/>
  <c r="AQ105" i="2"/>
  <c r="AQ88" i="2"/>
  <c r="AQ76" i="2"/>
  <c r="AQ86" i="2"/>
  <c r="AQ64" i="2"/>
  <c r="AQ33" i="2"/>
  <c r="AQ17" i="2"/>
  <c r="AQ13" i="2"/>
  <c r="AQ20" i="2"/>
  <c r="AQ71" i="2" s="1"/>
  <c r="AQ15" i="2"/>
  <c r="AQ16" i="2"/>
  <c r="AQ108" i="1"/>
  <c r="AQ83" i="2" s="1"/>
  <c r="AQ103" i="1"/>
  <c r="AQ99" i="1"/>
  <c r="AQ106" i="1"/>
  <c r="AQ73" i="2" s="1"/>
  <c r="AQ104" i="1"/>
  <c r="AQ102" i="1"/>
  <c r="AR2" i="2"/>
  <c r="AR101" i="1" l="1"/>
  <c r="AR6" i="2" s="1"/>
  <c r="AR100" i="1"/>
  <c r="AR5" i="2" s="1"/>
  <c r="AR65" i="2"/>
  <c r="AR14" i="2"/>
  <c r="AR107" i="1"/>
  <c r="AR78" i="2" s="1"/>
  <c r="AR105" i="2"/>
  <c r="AR99" i="2"/>
  <c r="AR89" i="2"/>
  <c r="AR104" i="2"/>
  <c r="AR100" i="2"/>
  <c r="AR101" i="2"/>
  <c r="AR88" i="2"/>
  <c r="AR86" i="2"/>
  <c r="AR76" i="2"/>
  <c r="AR20" i="2"/>
  <c r="AR71" i="2" s="1"/>
  <c r="AR64" i="2"/>
  <c r="AR33" i="2"/>
  <c r="AR16" i="2"/>
  <c r="AR13" i="2"/>
  <c r="AR17" i="2"/>
  <c r="AR108" i="1"/>
  <c r="AR83" i="2" s="1"/>
  <c r="AR99" i="1"/>
  <c r="AS2" i="2"/>
  <c r="AR15" i="2"/>
  <c r="AR103" i="1"/>
  <c r="AR104" i="1"/>
  <c r="AR102" i="1"/>
  <c r="AR106" i="1"/>
  <c r="AR73" i="2" s="1"/>
  <c r="AS101" i="1" l="1"/>
  <c r="AS6" i="2" s="1"/>
  <c r="AS100" i="1"/>
  <c r="AS5" i="2" s="1"/>
  <c r="AS65" i="2"/>
  <c r="AS107" i="1"/>
  <c r="AS78" i="2" s="1"/>
  <c r="AS14" i="2"/>
  <c r="AS100" i="2"/>
  <c r="AS105" i="2"/>
  <c r="AS89" i="2"/>
  <c r="AS104" i="2"/>
  <c r="AS99" i="2"/>
  <c r="AS101" i="2"/>
  <c r="AS86" i="2"/>
  <c r="AS76" i="2"/>
  <c r="AS88" i="2"/>
  <c r="AS64" i="2"/>
  <c r="AS33" i="2"/>
  <c r="AS20" i="2"/>
  <c r="AS71" i="2" s="1"/>
  <c r="AS16" i="2"/>
  <c r="AS17" i="2"/>
  <c r="AS15" i="2"/>
  <c r="AS108" i="1"/>
  <c r="AS83" i="2" s="1"/>
  <c r="AS103" i="1"/>
  <c r="AT2" i="2"/>
  <c r="AS106" i="1"/>
  <c r="AS73" i="2" s="1"/>
  <c r="AS104" i="1"/>
  <c r="AS102" i="1"/>
  <c r="AS13" i="2"/>
  <c r="AS99" i="1"/>
  <c r="AT101" i="1" l="1"/>
  <c r="AT6" i="2" s="1"/>
  <c r="AT100" i="1"/>
  <c r="AT5" i="2" s="1"/>
  <c r="AT65" i="2"/>
  <c r="AT107" i="1"/>
  <c r="AT78" i="2" s="1"/>
  <c r="AT14" i="2"/>
  <c r="AT105" i="2"/>
  <c r="AT89" i="2"/>
  <c r="AT101" i="2"/>
  <c r="AT104" i="2"/>
  <c r="AT99" i="2"/>
  <c r="AT100" i="2"/>
  <c r="AT88" i="2"/>
  <c r="AT86" i="2"/>
  <c r="AT76" i="2"/>
  <c r="AT33" i="2"/>
  <c r="AT17" i="2"/>
  <c r="AT16" i="2"/>
  <c r="AT15" i="2"/>
  <c r="AT64" i="2"/>
  <c r="AT20" i="2"/>
  <c r="AT71" i="2" s="1"/>
  <c r="AT104" i="1"/>
  <c r="AT102" i="1"/>
  <c r="AU2" i="2"/>
  <c r="AT106" i="1"/>
  <c r="AT73" i="2" s="1"/>
  <c r="AT108" i="1"/>
  <c r="AT83" i="2" s="1"/>
  <c r="AT103" i="1"/>
  <c r="AT99" i="1"/>
  <c r="AT13" i="2"/>
  <c r="AU101" i="1" l="1"/>
  <c r="AU6" i="2" s="1"/>
  <c r="AU100" i="1"/>
  <c r="AU5" i="2" s="1"/>
  <c r="AU65" i="2"/>
  <c r="AU107" i="1"/>
  <c r="AU78" i="2" s="1"/>
  <c r="AU14" i="2"/>
  <c r="AU99" i="2"/>
  <c r="AU104" i="2"/>
  <c r="AU100" i="2"/>
  <c r="AU88" i="2"/>
  <c r="AU101" i="2"/>
  <c r="AU105" i="2"/>
  <c r="AU89" i="2"/>
  <c r="AU86" i="2"/>
  <c r="AU76" i="2"/>
  <c r="AU20" i="2"/>
  <c r="AU71" i="2" s="1"/>
  <c r="AU16" i="2"/>
  <c r="AU17" i="2"/>
  <c r="AU15" i="2"/>
  <c r="AU33" i="2"/>
  <c r="AV2" i="2"/>
  <c r="AU106" i="1"/>
  <c r="AU73" i="2" s="1"/>
  <c r="AU104" i="1"/>
  <c r="AU102" i="1"/>
  <c r="AU13" i="2"/>
  <c r="AU64" i="2"/>
  <c r="AU108" i="1"/>
  <c r="AU83" i="2" s="1"/>
  <c r="AU103" i="1"/>
  <c r="AU99" i="1"/>
  <c r="AV100" i="1" l="1"/>
  <c r="AV5" i="2" s="1"/>
  <c r="AV101" i="1"/>
  <c r="AV6" i="2" s="1"/>
  <c r="AV65" i="2"/>
  <c r="AV107" i="1"/>
  <c r="AV78" i="2" s="1"/>
  <c r="AV14" i="2"/>
  <c r="AV101" i="2"/>
  <c r="AV100" i="2"/>
  <c r="AV88" i="2"/>
  <c r="AV86" i="2"/>
  <c r="AV105" i="2"/>
  <c r="AV89" i="2"/>
  <c r="AV76" i="2"/>
  <c r="AV99" i="2"/>
  <c r="AV104" i="2"/>
  <c r="AV64" i="2"/>
  <c r="AV17" i="2"/>
  <c r="AV16" i="2"/>
  <c r="AV20" i="2"/>
  <c r="AV71" i="2" s="1"/>
  <c r="AV33" i="2"/>
  <c r="AV15" i="2"/>
  <c r="AW2" i="2"/>
  <c r="AV102" i="1"/>
  <c r="AV106" i="1"/>
  <c r="AV73" i="2" s="1"/>
  <c r="AV104" i="1"/>
  <c r="AV13" i="2"/>
  <c r="AV103" i="1"/>
  <c r="AV108" i="1"/>
  <c r="AV83" i="2" s="1"/>
  <c r="AV99" i="1"/>
  <c r="AW100" i="1" l="1"/>
  <c r="AW5" i="2" s="1"/>
  <c r="AW101" i="1"/>
  <c r="AW6" i="2" s="1"/>
  <c r="AW65" i="2"/>
  <c r="AW107" i="1"/>
  <c r="AW78" i="2" s="1"/>
  <c r="AW14" i="2"/>
  <c r="AW99" i="2"/>
  <c r="AW104" i="2"/>
  <c r="AW105" i="2"/>
  <c r="AW100" i="2"/>
  <c r="AW101" i="2"/>
  <c r="AW89" i="2"/>
  <c r="AW86" i="2"/>
  <c r="AW76" i="2"/>
  <c r="AW88" i="2"/>
  <c r="AW17" i="2"/>
  <c r="AW20" i="2"/>
  <c r="AW71" i="2" s="1"/>
  <c r="AW64" i="2"/>
  <c r="AW13" i="2"/>
  <c r="AW15" i="2"/>
  <c r="AW16" i="2"/>
  <c r="AW106" i="1"/>
  <c r="AW73" i="2" s="1"/>
  <c r="AW104" i="1"/>
  <c r="AW102" i="1"/>
  <c r="AW33" i="2"/>
  <c r="AW108" i="1"/>
  <c r="AW83" i="2" s="1"/>
  <c r="AW103" i="1"/>
  <c r="AW99" i="1"/>
  <c r="AX2" i="2"/>
  <c r="AX100" i="1" l="1"/>
  <c r="AX5" i="2" s="1"/>
  <c r="AX101" i="1"/>
  <c r="AX6" i="2" s="1"/>
  <c r="AX65" i="2"/>
  <c r="AX14" i="2"/>
  <c r="AX107" i="1"/>
  <c r="AX78" i="2" s="1"/>
  <c r="AX104" i="2"/>
  <c r="AX105" i="2"/>
  <c r="AX101" i="2"/>
  <c r="AX89" i="2"/>
  <c r="AX99" i="2"/>
  <c r="AX88" i="2"/>
  <c r="AX100" i="2"/>
  <c r="AX76" i="2"/>
  <c r="AX86" i="2"/>
  <c r="AX64" i="2"/>
  <c r="AX20" i="2"/>
  <c r="AX71" i="2" s="1"/>
  <c r="AX13" i="2"/>
  <c r="AX33" i="2"/>
  <c r="AX16" i="2"/>
  <c r="AX17" i="2"/>
  <c r="AX108" i="1"/>
  <c r="AX83" i="2" s="1"/>
  <c r="AX103" i="1"/>
  <c r="AY2" i="2"/>
  <c r="AX106" i="1"/>
  <c r="AX73" i="2" s="1"/>
  <c r="AX104" i="1"/>
  <c r="AX102" i="1"/>
  <c r="AX15" i="2"/>
  <c r="AX99" i="1"/>
  <c r="AY100" i="1" l="1"/>
  <c r="AY5" i="2" s="1"/>
  <c r="AY101" i="1"/>
  <c r="AY6" i="2" s="1"/>
  <c r="AY65" i="2"/>
  <c r="AY14" i="2"/>
  <c r="AY107" i="1"/>
  <c r="AY78" i="2" s="1"/>
  <c r="AY104" i="2"/>
  <c r="AY100" i="2"/>
  <c r="AY101" i="2"/>
  <c r="AY105" i="2"/>
  <c r="AY99" i="2"/>
  <c r="AY88" i="2"/>
  <c r="AY86" i="2"/>
  <c r="AY76" i="2"/>
  <c r="AY64" i="2"/>
  <c r="AY33" i="2"/>
  <c r="AY89" i="2"/>
  <c r="AY17" i="2"/>
  <c r="AY13" i="2"/>
  <c r="AY15" i="2"/>
  <c r="AY20" i="2"/>
  <c r="AY71" i="2" s="1"/>
  <c r="AY108" i="1"/>
  <c r="AY83" i="2" s="1"/>
  <c r="AY103" i="1"/>
  <c r="AY99" i="1"/>
  <c r="AY106" i="1"/>
  <c r="AY73" i="2" s="1"/>
  <c r="AY104" i="1"/>
  <c r="AY102" i="1"/>
  <c r="AY16" i="2"/>
  <c r="AZ2" i="2"/>
  <c r="AZ100" i="1" l="1"/>
  <c r="AZ5" i="2" s="1"/>
  <c r="AZ101" i="1"/>
  <c r="AZ6" i="2" s="1"/>
  <c r="AZ65" i="2"/>
  <c r="AZ107" i="1"/>
  <c r="AZ78" i="2" s="1"/>
  <c r="AZ14" i="2"/>
  <c r="AZ105" i="2"/>
  <c r="AZ99" i="2"/>
  <c r="AZ89" i="2"/>
  <c r="AZ88" i="2"/>
  <c r="AZ86" i="2"/>
  <c r="AZ104" i="2"/>
  <c r="AZ100" i="2"/>
  <c r="AZ101" i="2"/>
  <c r="AZ76" i="2"/>
  <c r="AZ33" i="2"/>
  <c r="AZ64" i="2"/>
  <c r="AZ20" i="2"/>
  <c r="AZ71" i="2" s="1"/>
  <c r="AZ16" i="2"/>
  <c r="AZ17" i="2"/>
  <c r="AZ13" i="2"/>
  <c r="AZ103" i="1"/>
  <c r="AZ15" i="2"/>
  <c r="BA2" i="2"/>
  <c r="AZ108" i="1"/>
  <c r="AZ83" i="2" s="1"/>
  <c r="AZ99" i="1"/>
  <c r="AZ102" i="1"/>
  <c r="AZ106" i="1"/>
  <c r="AZ73" i="2" s="1"/>
  <c r="AZ104" i="1"/>
  <c r="BA101" i="1" l="1"/>
  <c r="BA6" i="2" s="1"/>
  <c r="BA100" i="1"/>
  <c r="BA5" i="2" s="1"/>
  <c r="BA65" i="2"/>
  <c r="BA14" i="2"/>
  <c r="BA107" i="1"/>
  <c r="BA78" i="2" s="1"/>
  <c r="BA100" i="2"/>
  <c r="BA105" i="2"/>
  <c r="BA89" i="2"/>
  <c r="BA99" i="2"/>
  <c r="BA104" i="2"/>
  <c r="BA101" i="2"/>
  <c r="BA88" i="2"/>
  <c r="BA76" i="2"/>
  <c r="BA86" i="2"/>
  <c r="BA64" i="2"/>
  <c r="BA33" i="2"/>
  <c r="BA20" i="2"/>
  <c r="BA71" i="2" s="1"/>
  <c r="BA16" i="2"/>
  <c r="BA15" i="2"/>
  <c r="BA108" i="1"/>
  <c r="BA83" i="2" s="1"/>
  <c r="BA103" i="1"/>
  <c r="BA13" i="2"/>
  <c r="BB2" i="2"/>
  <c r="BA106" i="1"/>
  <c r="BA73" i="2" s="1"/>
  <c r="BA104" i="1"/>
  <c r="BA102" i="1"/>
  <c r="BA17" i="2"/>
  <c r="BA99" i="1"/>
  <c r="BB100" i="1" l="1"/>
  <c r="BB5" i="2" s="1"/>
  <c r="BB101" i="1"/>
  <c r="BB6" i="2" s="1"/>
  <c r="BB65" i="2"/>
  <c r="BB107" i="1"/>
  <c r="BB78" i="2" s="1"/>
  <c r="BB14" i="2"/>
  <c r="BB105" i="2"/>
  <c r="BB89" i="2"/>
  <c r="BB101" i="2"/>
  <c r="BB104" i="2"/>
  <c r="BB88" i="2"/>
  <c r="BB99" i="2"/>
  <c r="BB100" i="2"/>
  <c r="BB76" i="2"/>
  <c r="BB86" i="2"/>
  <c r="BB64" i="2"/>
  <c r="BB15" i="2"/>
  <c r="BB17" i="2"/>
  <c r="BB20" i="2"/>
  <c r="BB71" i="2" s="1"/>
  <c r="BB33" i="2"/>
  <c r="BB13" i="2"/>
  <c r="BC2" i="2"/>
  <c r="BB106" i="1"/>
  <c r="BB73" i="2" s="1"/>
  <c r="BB104" i="1"/>
  <c r="BB16" i="2"/>
  <c r="BB108" i="1"/>
  <c r="BB83" i="2" s="1"/>
  <c r="BB103" i="1"/>
  <c r="BB99" i="1"/>
  <c r="BB102" i="1"/>
  <c r="BC100" i="1" l="1"/>
  <c r="BC5" i="2" s="1"/>
  <c r="BC101" i="1"/>
  <c r="BC6" i="2" s="1"/>
  <c r="BC65" i="2"/>
  <c r="BC107" i="1"/>
  <c r="BC78" i="2" s="1"/>
  <c r="BC14" i="2"/>
  <c r="BC99" i="2"/>
  <c r="BC89" i="2"/>
  <c r="BC105" i="2"/>
  <c r="BC88" i="2"/>
  <c r="BC104" i="2"/>
  <c r="BC100" i="2"/>
  <c r="BC101" i="2"/>
  <c r="BC76" i="2"/>
  <c r="BC86" i="2"/>
  <c r="BC64" i="2"/>
  <c r="BC33" i="2"/>
  <c r="BC20" i="2"/>
  <c r="BC71" i="2" s="1"/>
  <c r="BC16" i="2"/>
  <c r="BC15" i="2"/>
  <c r="BC13" i="2"/>
  <c r="BD2" i="2"/>
  <c r="BC106" i="1"/>
  <c r="BC73" i="2" s="1"/>
  <c r="BC104" i="1"/>
  <c r="BC102" i="1"/>
  <c r="BC17" i="2"/>
  <c r="BC108" i="1"/>
  <c r="BC83" i="2" s="1"/>
  <c r="BC103" i="1"/>
  <c r="BC99" i="1"/>
  <c r="BD100" i="1" l="1"/>
  <c r="BD5" i="2" s="1"/>
  <c r="BD101" i="1"/>
  <c r="BD6" i="2" s="1"/>
  <c r="BD65" i="2"/>
  <c r="BD107" i="1"/>
  <c r="BD78" i="2" s="1"/>
  <c r="BD14" i="2"/>
  <c r="BD101" i="2"/>
  <c r="BD100" i="2"/>
  <c r="BD105" i="2"/>
  <c r="BD88" i="2"/>
  <c r="BD86" i="2"/>
  <c r="BD99" i="2"/>
  <c r="BD104" i="2"/>
  <c r="BD76" i="2"/>
  <c r="BD89" i="2"/>
  <c r="BD64" i="2"/>
  <c r="BD17" i="2"/>
  <c r="BD33" i="2"/>
  <c r="BD16" i="2"/>
  <c r="BD15" i="2"/>
  <c r="BD13" i="2"/>
  <c r="BE2" i="2"/>
  <c r="BD102" i="1"/>
  <c r="BD20" i="2"/>
  <c r="BD71" i="2" s="1"/>
  <c r="BD106" i="1"/>
  <c r="BD73" i="2" s="1"/>
  <c r="BD104" i="1"/>
  <c r="BD99" i="1"/>
  <c r="BD103" i="1"/>
  <c r="BD108" i="1"/>
  <c r="BD83" i="2" s="1"/>
  <c r="BE100" i="1" l="1"/>
  <c r="BE5" i="2" s="1"/>
  <c r="BE101" i="1"/>
  <c r="BE6" i="2" s="1"/>
  <c r="BE65" i="2"/>
  <c r="BE107" i="1"/>
  <c r="BE78" i="2" s="1"/>
  <c r="BE14" i="2"/>
  <c r="BE99" i="2"/>
  <c r="BE104" i="2"/>
  <c r="BE105" i="2"/>
  <c r="BE100" i="2"/>
  <c r="BE101" i="2"/>
  <c r="BE76" i="2"/>
  <c r="BE88" i="2"/>
  <c r="BE86" i="2"/>
  <c r="BE89" i="2"/>
  <c r="BE17" i="2"/>
  <c r="BE64" i="2"/>
  <c r="BE33" i="2"/>
  <c r="BE16" i="2"/>
  <c r="BE13" i="2"/>
  <c r="BE20" i="2"/>
  <c r="BE71" i="2" s="1"/>
  <c r="BE15" i="2"/>
  <c r="BE106" i="1"/>
  <c r="BE73" i="2" s="1"/>
  <c r="BE104" i="1"/>
  <c r="BE102" i="1"/>
  <c r="BE108" i="1"/>
  <c r="BE83" i="2" s="1"/>
  <c r="BE103" i="1"/>
  <c r="BE99" i="1"/>
  <c r="BF2" i="2"/>
  <c r="BF101" i="1" l="1"/>
  <c r="BF6" i="2" s="1"/>
  <c r="BF100" i="1"/>
  <c r="BF5" i="2" s="1"/>
  <c r="BF65" i="2"/>
  <c r="BF14" i="2"/>
  <c r="BF107" i="1"/>
  <c r="BF78" i="2" s="1"/>
  <c r="BF104" i="2"/>
  <c r="BF105" i="2"/>
  <c r="BF99" i="2"/>
  <c r="BF100" i="2"/>
  <c r="BF101" i="2"/>
  <c r="BF89" i="2"/>
  <c r="BF88" i="2"/>
  <c r="BF86" i="2"/>
  <c r="BF76" i="2"/>
  <c r="BF33" i="2"/>
  <c r="BF16" i="2"/>
  <c r="BF64" i="2"/>
  <c r="BF13" i="2"/>
  <c r="BF17" i="2"/>
  <c r="BF103" i="1"/>
  <c r="BF15" i="2"/>
  <c r="BF108" i="1"/>
  <c r="BF83" i="2" s="1"/>
  <c r="BF20" i="2"/>
  <c r="BF71" i="2" s="1"/>
  <c r="BG2" i="2"/>
  <c r="BF106" i="1"/>
  <c r="BF73" i="2" s="1"/>
  <c r="BF104" i="1"/>
  <c r="BF102" i="1"/>
  <c r="BF99" i="1"/>
  <c r="BG101" i="1" l="1"/>
  <c r="BG6" i="2" s="1"/>
  <c r="BG100" i="1"/>
  <c r="BG5" i="2" s="1"/>
  <c r="BG65" i="2"/>
  <c r="BG14" i="2"/>
  <c r="BG107" i="1"/>
  <c r="BG78" i="2" s="1"/>
  <c r="BG104" i="2"/>
  <c r="BG100" i="2"/>
  <c r="BG101" i="2"/>
  <c r="BG99" i="2"/>
  <c r="BG89" i="2"/>
  <c r="BG88" i="2"/>
  <c r="BG86" i="2"/>
  <c r="BG105" i="2"/>
  <c r="BG76" i="2"/>
  <c r="BG64" i="2"/>
  <c r="BG17" i="2"/>
  <c r="BG13" i="2"/>
  <c r="BG20" i="2"/>
  <c r="BG71" i="2" s="1"/>
  <c r="BG15" i="2"/>
  <c r="BG33" i="2"/>
  <c r="BG16" i="2"/>
  <c r="BG108" i="1"/>
  <c r="BG83" i="2" s="1"/>
  <c r="BG103" i="1"/>
  <c r="BG99" i="1"/>
  <c r="BG106" i="1"/>
  <c r="BG73" i="2" s="1"/>
  <c r="BG104" i="1"/>
  <c r="BG102" i="1"/>
  <c r="BH2" i="2"/>
  <c r="BH101" i="1" l="1"/>
  <c r="BH6" i="2" s="1"/>
  <c r="BH100" i="1"/>
  <c r="BH5" i="2" s="1"/>
  <c r="BH65" i="2"/>
  <c r="BH14" i="2"/>
  <c r="BH107" i="1"/>
  <c r="BH78" i="2" s="1"/>
  <c r="BH105" i="2"/>
  <c r="BH99" i="2"/>
  <c r="BH100" i="2"/>
  <c r="BH104" i="2"/>
  <c r="BH101" i="2"/>
  <c r="BH88" i="2"/>
  <c r="BH86" i="2"/>
  <c r="BH89" i="2"/>
  <c r="BH76" i="2"/>
  <c r="BH33" i="2"/>
  <c r="BH20" i="2"/>
  <c r="BH71" i="2" s="1"/>
  <c r="BH16" i="2"/>
  <c r="BH64" i="2"/>
  <c r="BH17" i="2"/>
  <c r="BH13" i="2"/>
  <c r="BH108" i="1"/>
  <c r="BH83" i="2" s="1"/>
  <c r="BH15" i="2"/>
  <c r="BI2" i="2"/>
  <c r="BH103" i="1"/>
  <c r="BH99" i="1"/>
  <c r="BH102" i="1"/>
  <c r="BH106" i="1"/>
  <c r="BH73" i="2" s="1"/>
  <c r="BH104" i="1"/>
  <c r="BI101" i="1" l="1"/>
  <c r="BI6" i="2" s="1"/>
  <c r="BI100" i="1"/>
  <c r="BI5" i="2" s="1"/>
  <c r="BI65" i="2"/>
  <c r="BI107" i="1"/>
  <c r="BI78" i="2" s="1"/>
  <c r="BI14" i="2"/>
  <c r="BI100" i="2"/>
  <c r="BI105" i="2"/>
  <c r="BI104" i="2"/>
  <c r="BI101" i="2"/>
  <c r="BI89" i="2"/>
  <c r="BI88" i="2"/>
  <c r="BI76" i="2"/>
  <c r="BI86" i="2"/>
  <c r="BI64" i="2"/>
  <c r="BI33" i="2"/>
  <c r="BI99" i="2"/>
  <c r="BI20" i="2"/>
  <c r="BI71" i="2" s="1"/>
  <c r="BI16" i="2"/>
  <c r="BI17" i="2"/>
  <c r="BI15" i="2"/>
  <c r="BI108" i="1"/>
  <c r="BI83" i="2" s="1"/>
  <c r="BI103" i="1"/>
  <c r="BI99" i="1"/>
  <c r="BJ2" i="2"/>
  <c r="BI106" i="1"/>
  <c r="BI73" i="2" s="1"/>
  <c r="BI104" i="1"/>
  <c r="BI102" i="1"/>
  <c r="BI13" i="2"/>
  <c r="BJ100" i="1" l="1"/>
  <c r="BJ5" i="2" s="1"/>
  <c r="BJ101" i="1"/>
  <c r="BJ6" i="2" s="1"/>
  <c r="BJ65" i="2"/>
  <c r="BJ107" i="1"/>
  <c r="BJ78" i="2" s="1"/>
  <c r="BJ14" i="2"/>
  <c r="BJ105" i="2"/>
  <c r="BJ89" i="2"/>
  <c r="BJ101" i="2"/>
  <c r="BJ104" i="2"/>
  <c r="BJ100" i="2"/>
  <c r="BJ88" i="2"/>
  <c r="BJ99" i="2"/>
  <c r="BJ76" i="2"/>
  <c r="BJ86" i="2"/>
  <c r="BJ33" i="2"/>
  <c r="BJ20" i="2"/>
  <c r="BJ71" i="2" s="1"/>
  <c r="BJ15" i="2"/>
  <c r="BJ16" i="2"/>
  <c r="BJ64" i="2"/>
  <c r="BJ17" i="2"/>
  <c r="BK2" i="2"/>
  <c r="BJ102" i="1"/>
  <c r="BJ106" i="1"/>
  <c r="BJ73" i="2" s="1"/>
  <c r="BJ13" i="2"/>
  <c r="BJ108" i="1"/>
  <c r="BJ83" i="2" s="1"/>
  <c r="BJ103" i="1"/>
  <c r="BJ99" i="1"/>
  <c r="BJ104" i="1"/>
  <c r="BK101" i="1" l="1"/>
  <c r="BK6" i="2" s="1"/>
  <c r="BK100" i="1"/>
  <c r="BK5" i="2" s="1"/>
  <c r="BK65" i="2"/>
  <c r="BK107" i="1"/>
  <c r="BK78" i="2" s="1"/>
  <c r="BK14" i="2"/>
  <c r="BK99" i="2"/>
  <c r="BK104" i="2"/>
  <c r="BK101" i="2"/>
  <c r="BK89" i="2"/>
  <c r="BK88" i="2"/>
  <c r="BK105" i="2"/>
  <c r="BK76" i="2"/>
  <c r="BK86" i="2"/>
  <c r="BK100" i="2"/>
  <c r="BK64" i="2"/>
  <c r="BK20" i="2"/>
  <c r="BK71" i="2" s="1"/>
  <c r="BK16" i="2"/>
  <c r="BK15" i="2"/>
  <c r="BK13" i="2"/>
  <c r="BK33" i="2"/>
  <c r="BK17" i="2"/>
  <c r="BL2" i="2"/>
  <c r="BK106" i="1"/>
  <c r="BK73" i="2" s="1"/>
  <c r="BK104" i="1"/>
  <c r="BK102" i="1"/>
  <c r="BK108" i="1"/>
  <c r="BK83" i="2" s="1"/>
  <c r="BK103" i="1"/>
  <c r="BK99" i="1"/>
  <c r="BL100" i="1" l="1"/>
  <c r="BL5" i="2" s="1"/>
  <c r="BL101" i="1"/>
  <c r="BL6" i="2" s="1"/>
  <c r="BL65" i="2"/>
  <c r="BL107" i="1"/>
  <c r="BL78" i="2" s="1"/>
  <c r="BL14" i="2"/>
  <c r="BL101" i="2"/>
  <c r="BL100" i="2"/>
  <c r="BL89" i="2"/>
  <c r="BL88" i="2"/>
  <c r="BL86" i="2"/>
  <c r="BL105" i="2"/>
  <c r="BL99" i="2"/>
  <c r="BL76" i="2"/>
  <c r="BL104" i="2"/>
  <c r="BL64" i="2"/>
  <c r="BL17" i="2"/>
  <c r="BL33" i="2"/>
  <c r="BL20" i="2"/>
  <c r="BL71" i="2" s="1"/>
  <c r="BL15" i="2"/>
  <c r="BM2" i="2"/>
  <c r="BL104" i="1"/>
  <c r="BL106" i="1"/>
  <c r="BL73" i="2" s="1"/>
  <c r="BL102" i="1"/>
  <c r="BL13" i="2"/>
  <c r="BL16" i="2"/>
  <c r="BL103" i="1"/>
  <c r="BL99" i="1"/>
  <c r="BL108" i="1"/>
  <c r="BL83" i="2" s="1"/>
  <c r="BM100" i="1" l="1"/>
  <c r="BM5" i="2" s="1"/>
  <c r="BM101" i="1"/>
  <c r="BM6" i="2" s="1"/>
  <c r="BM65" i="2"/>
  <c r="BM107" i="1"/>
  <c r="BM78" i="2" s="1"/>
  <c r="BM14" i="2"/>
  <c r="BM99" i="2"/>
  <c r="BM104" i="2"/>
  <c r="BM105" i="2"/>
  <c r="BM100" i="2"/>
  <c r="BM76" i="2"/>
  <c r="BM89" i="2"/>
  <c r="BM86" i="2"/>
  <c r="BM101" i="2"/>
  <c r="BM17" i="2"/>
  <c r="BM64" i="2"/>
  <c r="BM88" i="2"/>
  <c r="BM13" i="2"/>
  <c r="BM16" i="2"/>
  <c r="BM15" i="2"/>
  <c r="BM20" i="2"/>
  <c r="BM71" i="2" s="1"/>
  <c r="BM33" i="2"/>
  <c r="BM106" i="1"/>
  <c r="BM73" i="2" s="1"/>
  <c r="BM104" i="1"/>
  <c r="BM102" i="1"/>
  <c r="BM108" i="1"/>
  <c r="BM83" i="2" s="1"/>
  <c r="BM103" i="1"/>
  <c r="BM99" i="1"/>
  <c r="BN2" i="2"/>
  <c r="BN101" i="1" l="1"/>
  <c r="BN6" i="2" s="1"/>
  <c r="BN100" i="1"/>
  <c r="BN5" i="2" s="1"/>
  <c r="BN65" i="2"/>
  <c r="BN14" i="2"/>
  <c r="BN107" i="1"/>
  <c r="BN78" i="2" s="1"/>
  <c r="BN104" i="2"/>
  <c r="BN105" i="2"/>
  <c r="BN99" i="2"/>
  <c r="BN100" i="2"/>
  <c r="BN101" i="2"/>
  <c r="BN89" i="2"/>
  <c r="BN86" i="2"/>
  <c r="BN88" i="2"/>
  <c r="BN76" i="2"/>
  <c r="BN64" i="2"/>
  <c r="BN13" i="2"/>
  <c r="BN33" i="2"/>
  <c r="BN20" i="2"/>
  <c r="BN71" i="2" s="1"/>
  <c r="BN15" i="2"/>
  <c r="BN108" i="1"/>
  <c r="BN83" i="2" s="1"/>
  <c r="BN103" i="1"/>
  <c r="BN16" i="2"/>
  <c r="BN17" i="2"/>
  <c r="BO2" i="2"/>
  <c r="BN106" i="1"/>
  <c r="BN73" i="2" s="1"/>
  <c r="BN104" i="1"/>
  <c r="BN102" i="1"/>
  <c r="BN99" i="1"/>
  <c r="BO101" i="1" l="1"/>
  <c r="BO6" i="2" s="1"/>
  <c r="BO100" i="1"/>
  <c r="BO5" i="2" s="1"/>
  <c r="BO65" i="2"/>
  <c r="BO14" i="2"/>
  <c r="BO107" i="1"/>
  <c r="BO78" i="2" s="1"/>
  <c r="BO104" i="2"/>
  <c r="BO100" i="2"/>
  <c r="BO101" i="2"/>
  <c r="BO99" i="2"/>
  <c r="BO105" i="2"/>
  <c r="BO89" i="2"/>
  <c r="BO88" i="2"/>
  <c r="BO86" i="2"/>
  <c r="BO76" i="2"/>
  <c r="BO64" i="2"/>
  <c r="BO17" i="2"/>
  <c r="BO13" i="2"/>
  <c r="BO16" i="2"/>
  <c r="BO15" i="2"/>
  <c r="BO108" i="1"/>
  <c r="BO83" i="2" s="1"/>
  <c r="BO103" i="1"/>
  <c r="BO99" i="1"/>
  <c r="BO20" i="2"/>
  <c r="BO71" i="2" s="1"/>
  <c r="BO106" i="1"/>
  <c r="BO73" i="2" s="1"/>
  <c r="BO104" i="1"/>
  <c r="BO102" i="1"/>
  <c r="BO33" i="2"/>
  <c r="BP2" i="2"/>
  <c r="BP101" i="1" l="1"/>
  <c r="BP6" i="2" s="1"/>
  <c r="BP100" i="1"/>
  <c r="BP5" i="2" s="1"/>
  <c r="BP65" i="2"/>
  <c r="BP14" i="2"/>
  <c r="BP107" i="1"/>
  <c r="BP78" i="2" s="1"/>
  <c r="BP105" i="2"/>
  <c r="BP99" i="2"/>
  <c r="BP100" i="2"/>
  <c r="BP89" i="2"/>
  <c r="BP88" i="2"/>
  <c r="BP86" i="2"/>
  <c r="BP101" i="2"/>
  <c r="BP104" i="2"/>
  <c r="BP76" i="2"/>
  <c r="BP64" i="2"/>
  <c r="BP20" i="2"/>
  <c r="BP71" i="2" s="1"/>
  <c r="BP16" i="2"/>
  <c r="BP33" i="2"/>
  <c r="BP17" i="2"/>
  <c r="BP13" i="2"/>
  <c r="BP15" i="2"/>
  <c r="BP108" i="1"/>
  <c r="BP83" i="2" s="1"/>
  <c r="BP103" i="1"/>
  <c r="BQ2" i="2"/>
  <c r="BP99" i="1"/>
  <c r="BP102" i="1"/>
  <c r="BP106" i="1"/>
  <c r="BP73" i="2" s="1"/>
  <c r="BP104" i="1"/>
  <c r="BQ101" i="1" l="1"/>
  <c r="BQ6" i="2" s="1"/>
  <c r="BQ100" i="1"/>
  <c r="BQ5" i="2" s="1"/>
  <c r="BQ65" i="2"/>
  <c r="BQ14" i="2"/>
  <c r="BQ107" i="1"/>
  <c r="BQ78" i="2" s="1"/>
  <c r="BQ100" i="2"/>
  <c r="BQ105" i="2"/>
  <c r="BQ99" i="2"/>
  <c r="BQ89" i="2"/>
  <c r="BQ101" i="2"/>
  <c r="BQ104" i="2"/>
  <c r="BQ86" i="2"/>
  <c r="BQ76" i="2"/>
  <c r="BQ64" i="2"/>
  <c r="BQ88" i="2"/>
  <c r="BQ33" i="2"/>
  <c r="BQ20" i="2"/>
  <c r="BQ71" i="2" s="1"/>
  <c r="BQ16" i="2"/>
  <c r="BQ15" i="2"/>
  <c r="BQ108" i="1"/>
  <c r="BQ83" i="2" s="1"/>
  <c r="BQ103" i="1"/>
  <c r="BR2" i="2"/>
  <c r="BQ17" i="2"/>
  <c r="BQ13" i="2"/>
  <c r="BQ106" i="1"/>
  <c r="BQ73" i="2" s="1"/>
  <c r="BQ104" i="1"/>
  <c r="BQ102" i="1"/>
  <c r="BQ99" i="1"/>
  <c r="BR101" i="1" l="1"/>
  <c r="BR6" i="2" s="1"/>
  <c r="BR100" i="1"/>
  <c r="BR5" i="2" s="1"/>
  <c r="BR65" i="2"/>
  <c r="BR107" i="1"/>
  <c r="BR78" i="2" s="1"/>
  <c r="BR14" i="2"/>
  <c r="BR105" i="2"/>
  <c r="BR89" i="2"/>
  <c r="BR101" i="2"/>
  <c r="BR104" i="2"/>
  <c r="BR99" i="2"/>
  <c r="BR88" i="2"/>
  <c r="BR86" i="2"/>
  <c r="BR100" i="2"/>
  <c r="BR76" i="2"/>
  <c r="BR33" i="2"/>
  <c r="BR64" i="2"/>
  <c r="BR16" i="2"/>
  <c r="BR15" i="2"/>
  <c r="BR17" i="2"/>
  <c r="BR20" i="2"/>
  <c r="BR71" i="2" s="1"/>
  <c r="BR102" i="1"/>
  <c r="BS2" i="2"/>
  <c r="BR106" i="1"/>
  <c r="BR73" i="2" s="1"/>
  <c r="BR13" i="2"/>
  <c r="BR104" i="1"/>
  <c r="BR108" i="1"/>
  <c r="BR83" i="2" s="1"/>
  <c r="BR103" i="1"/>
  <c r="BR99" i="1"/>
  <c r="BS100" i="1" l="1"/>
  <c r="BS5" i="2" s="1"/>
  <c r="BS101" i="1"/>
  <c r="BS6" i="2" s="1"/>
  <c r="BS65" i="2"/>
  <c r="BS107" i="1"/>
  <c r="BS78" i="2" s="1"/>
  <c r="BS14" i="2"/>
  <c r="BS99" i="2"/>
  <c r="BS88" i="2"/>
  <c r="BS100" i="2"/>
  <c r="BS89" i="2"/>
  <c r="BS105" i="2"/>
  <c r="BS101" i="2"/>
  <c r="BS104" i="2"/>
  <c r="BS86" i="2"/>
  <c r="BS76" i="2"/>
  <c r="BS33" i="2"/>
  <c r="BS20" i="2"/>
  <c r="BS71" i="2" s="1"/>
  <c r="BS16" i="2"/>
  <c r="BS15" i="2"/>
  <c r="BS17" i="2"/>
  <c r="BS13" i="2"/>
  <c r="BS64" i="2"/>
  <c r="BT2" i="2"/>
  <c r="BS106" i="1"/>
  <c r="BS73" i="2" s="1"/>
  <c r="BS104" i="1"/>
  <c r="BS102" i="1"/>
  <c r="BS108" i="1"/>
  <c r="BS83" i="2" s="1"/>
  <c r="BS103" i="1"/>
  <c r="BS99" i="1"/>
  <c r="BT100" i="1" l="1"/>
  <c r="BT5" i="2" s="1"/>
  <c r="BT101" i="1"/>
  <c r="BT6" i="2" s="1"/>
  <c r="BT65" i="2"/>
  <c r="BT107" i="1"/>
  <c r="BT78" i="2" s="1"/>
  <c r="BT14" i="2"/>
  <c r="BT101" i="2"/>
  <c r="BT100" i="2"/>
  <c r="BT99" i="2"/>
  <c r="BT88" i="2"/>
  <c r="BT86" i="2"/>
  <c r="BT89" i="2"/>
  <c r="BT105" i="2"/>
  <c r="BT104" i="2"/>
  <c r="BT76" i="2"/>
  <c r="BT64" i="2"/>
  <c r="BT17" i="2"/>
  <c r="BT16" i="2"/>
  <c r="BT33" i="2"/>
  <c r="BT15" i="2"/>
  <c r="BU2" i="2"/>
  <c r="BT106" i="1"/>
  <c r="BT73" i="2" s="1"/>
  <c r="BT104" i="1"/>
  <c r="BT102" i="1"/>
  <c r="BT13" i="2"/>
  <c r="BT20" i="2"/>
  <c r="BT71" i="2" s="1"/>
  <c r="BT99" i="1"/>
  <c r="BT103" i="1"/>
  <c r="BT108" i="1"/>
  <c r="BT83" i="2" s="1"/>
  <c r="BU100" i="1" l="1"/>
  <c r="BU5" i="2" s="1"/>
  <c r="BU101" i="1"/>
  <c r="BU6" i="2" s="1"/>
  <c r="BU65" i="2"/>
  <c r="BU107" i="1"/>
  <c r="BU78" i="2" s="1"/>
  <c r="BU14" i="2"/>
  <c r="BU99" i="2"/>
  <c r="BU104" i="2"/>
  <c r="BU105" i="2"/>
  <c r="BU89" i="2"/>
  <c r="BU100" i="2"/>
  <c r="BU101" i="2"/>
  <c r="BU76" i="2"/>
  <c r="BU88" i="2"/>
  <c r="BU86" i="2"/>
  <c r="BU17" i="2"/>
  <c r="BU33" i="2"/>
  <c r="BU20" i="2"/>
  <c r="BU71" i="2" s="1"/>
  <c r="BU13" i="2"/>
  <c r="BU15" i="2"/>
  <c r="BU16" i="2"/>
  <c r="BU106" i="1"/>
  <c r="BU73" i="2" s="1"/>
  <c r="BU104" i="1"/>
  <c r="BU64" i="2"/>
  <c r="BU108" i="1"/>
  <c r="BU83" i="2" s="1"/>
  <c r="BU103" i="1"/>
  <c r="BU99" i="1"/>
  <c r="BV2" i="2"/>
  <c r="BU102" i="1"/>
  <c r="BV100" i="1" l="1"/>
  <c r="BV5" i="2" s="1"/>
  <c r="BV101" i="1"/>
  <c r="BV6" i="2" s="1"/>
  <c r="BV65" i="2"/>
  <c r="BV14" i="2"/>
  <c r="BV107" i="1"/>
  <c r="BV78" i="2" s="1"/>
  <c r="BV104" i="2"/>
  <c r="BV105" i="2"/>
  <c r="BV100" i="2"/>
  <c r="BV101" i="2"/>
  <c r="BV89" i="2"/>
  <c r="BV88" i="2"/>
  <c r="BV99" i="2"/>
  <c r="BV86" i="2"/>
  <c r="BV76" i="2"/>
  <c r="BV33" i="2"/>
  <c r="BV17" i="2"/>
  <c r="BV20" i="2"/>
  <c r="BV71" i="2" s="1"/>
  <c r="BV13" i="2"/>
  <c r="BV64" i="2"/>
  <c r="BV16" i="2"/>
  <c r="BV108" i="1"/>
  <c r="BV83" i="2" s="1"/>
  <c r="BV103" i="1"/>
  <c r="BW2" i="2"/>
  <c r="BV15" i="2"/>
  <c r="BV106" i="1"/>
  <c r="BV73" i="2" s="1"/>
  <c r="BV104" i="1"/>
  <c r="BV102" i="1"/>
  <c r="BV99" i="1"/>
  <c r="BW100" i="1" l="1"/>
  <c r="BW5" i="2" s="1"/>
  <c r="BW101" i="1"/>
  <c r="BW6" i="2" s="1"/>
  <c r="BW65" i="2"/>
  <c r="BW14" i="2"/>
  <c r="BW107" i="1"/>
  <c r="BW78" i="2" s="1"/>
  <c r="BW104" i="2"/>
  <c r="BW100" i="2"/>
  <c r="BW101" i="2"/>
  <c r="BW105" i="2"/>
  <c r="BW88" i="2"/>
  <c r="BW99" i="2"/>
  <c r="BW89" i="2"/>
  <c r="BW76" i="2"/>
  <c r="BW86" i="2"/>
  <c r="BW64" i="2"/>
  <c r="BW17" i="2"/>
  <c r="BW20" i="2"/>
  <c r="BW71" i="2" s="1"/>
  <c r="BW13" i="2"/>
  <c r="BW15" i="2"/>
  <c r="BW33" i="2"/>
  <c r="BW108" i="1"/>
  <c r="BW83" i="2" s="1"/>
  <c r="BW103" i="1"/>
  <c r="BW99" i="1"/>
  <c r="BW16" i="2"/>
  <c r="BW106" i="1"/>
  <c r="BW73" i="2" s="1"/>
  <c r="BW104" i="1"/>
  <c r="BW102" i="1"/>
  <c r="BX2" i="2"/>
  <c r="BX101" i="1" l="1"/>
  <c r="BX6" i="2" s="1"/>
  <c r="BX100" i="1"/>
  <c r="BX5" i="2" s="1"/>
  <c r="BX65" i="2"/>
  <c r="BX14" i="2"/>
  <c r="BX107" i="1"/>
  <c r="BX78" i="2" s="1"/>
  <c r="BX105" i="2"/>
  <c r="BX99" i="2"/>
  <c r="BX101" i="2"/>
  <c r="BX104" i="2"/>
  <c r="BX88" i="2"/>
  <c r="BX86" i="2"/>
  <c r="BX89" i="2"/>
  <c r="BX100" i="2"/>
  <c r="BX76" i="2"/>
  <c r="BX20" i="2"/>
  <c r="BX71" i="2" s="1"/>
  <c r="BX16" i="2"/>
  <c r="BX64" i="2"/>
  <c r="BX33" i="2"/>
  <c r="BX17" i="2"/>
  <c r="BX13" i="2"/>
  <c r="BX99" i="1"/>
  <c r="BX108" i="1"/>
  <c r="BX83" i="2" s="1"/>
  <c r="BY2" i="2"/>
  <c r="BX15" i="2"/>
  <c r="BX103" i="1"/>
  <c r="BX106" i="1"/>
  <c r="BX73" i="2" s="1"/>
  <c r="BX104" i="1"/>
  <c r="BX102" i="1"/>
  <c r="BY101" i="1" l="1"/>
  <c r="BY6" i="2" s="1"/>
  <c r="BY100" i="1"/>
  <c r="BY5" i="2" s="1"/>
  <c r="BY65" i="2"/>
  <c r="BY107" i="1"/>
  <c r="BY78" i="2" s="1"/>
  <c r="BY14" i="2"/>
  <c r="BY100" i="2"/>
  <c r="BY105" i="2"/>
  <c r="BY104" i="2"/>
  <c r="BY89" i="2"/>
  <c r="BY99" i="2"/>
  <c r="BY88" i="2"/>
  <c r="BY101" i="2"/>
  <c r="BY86" i="2"/>
  <c r="BY76" i="2"/>
  <c r="BY64" i="2"/>
  <c r="BY33" i="2"/>
  <c r="BY20" i="2"/>
  <c r="BY71" i="2" s="1"/>
  <c r="BY16" i="2"/>
  <c r="BY15" i="2"/>
  <c r="BY17" i="2"/>
  <c r="BY108" i="1"/>
  <c r="BY83" i="2" s="1"/>
  <c r="BY103" i="1"/>
  <c r="BY13" i="2"/>
  <c r="BZ2" i="2"/>
  <c r="BY106" i="1"/>
  <c r="BY73" i="2" s="1"/>
  <c r="BY104" i="1"/>
  <c r="BY102" i="1"/>
  <c r="BY99" i="1"/>
  <c r="BZ101" i="1" l="1"/>
  <c r="BZ6" i="2" s="1"/>
  <c r="BZ100" i="1"/>
  <c r="BZ5" i="2" s="1"/>
  <c r="BZ65" i="2"/>
  <c r="BZ107" i="1"/>
  <c r="BZ78" i="2" s="1"/>
  <c r="BZ14" i="2"/>
  <c r="BZ105" i="2"/>
  <c r="BZ89" i="2"/>
  <c r="BZ101" i="2"/>
  <c r="BZ104" i="2"/>
  <c r="BZ88" i="2"/>
  <c r="BZ86" i="2"/>
  <c r="BZ99" i="2"/>
  <c r="BZ100" i="2"/>
  <c r="BZ76" i="2"/>
  <c r="BZ64" i="2"/>
  <c r="BZ15" i="2"/>
  <c r="BZ16" i="2"/>
  <c r="BZ20" i="2"/>
  <c r="BZ71" i="2" s="1"/>
  <c r="BZ13" i="2"/>
  <c r="CA2" i="2"/>
  <c r="BZ106" i="1"/>
  <c r="BZ73" i="2" s="1"/>
  <c r="BZ17" i="2"/>
  <c r="BZ104" i="1"/>
  <c r="BZ102" i="1"/>
  <c r="BZ33" i="2"/>
  <c r="BZ108" i="1"/>
  <c r="BZ83" i="2" s="1"/>
  <c r="BZ103" i="1"/>
  <c r="BZ99" i="1"/>
  <c r="CA100" i="1" l="1"/>
  <c r="CA5" i="2" s="1"/>
  <c r="CA101" i="1"/>
  <c r="CA6" i="2" s="1"/>
  <c r="CA65" i="2"/>
  <c r="CA107" i="1"/>
  <c r="CA78" i="2" s="1"/>
  <c r="CA14" i="2"/>
  <c r="CA99" i="2"/>
  <c r="CA105" i="2"/>
  <c r="CA104" i="2"/>
  <c r="CA88" i="2"/>
  <c r="CA89" i="2"/>
  <c r="CA100" i="2"/>
  <c r="CA101" i="2"/>
  <c r="CA76" i="2"/>
  <c r="CA86" i="2"/>
  <c r="CA64" i="2"/>
  <c r="CA33" i="2"/>
  <c r="CA20" i="2"/>
  <c r="CA71" i="2" s="1"/>
  <c r="CA16" i="2"/>
  <c r="CA15" i="2"/>
  <c r="CA17" i="2"/>
  <c r="CA13" i="2"/>
  <c r="CB2" i="2"/>
  <c r="CA106" i="1"/>
  <c r="CA73" i="2" s="1"/>
  <c r="CA104" i="1"/>
  <c r="CA102" i="1"/>
  <c r="CA108" i="1"/>
  <c r="CA83" i="2" s="1"/>
  <c r="CA103" i="1"/>
  <c r="CA99" i="1"/>
  <c r="CB100" i="1" l="1"/>
  <c r="CB5" i="2" s="1"/>
  <c r="CB101" i="1"/>
  <c r="CB6" i="2" s="1"/>
  <c r="CB65" i="2"/>
  <c r="CB107" i="1"/>
  <c r="CB78" i="2" s="1"/>
  <c r="CB14" i="2"/>
  <c r="CB101" i="2"/>
  <c r="CB100" i="2"/>
  <c r="CB88" i="2"/>
  <c r="CB86" i="2"/>
  <c r="CB89" i="2"/>
  <c r="CB99" i="2"/>
  <c r="CB105" i="2"/>
  <c r="CB76" i="2"/>
  <c r="CB104" i="2"/>
  <c r="CB64" i="2"/>
  <c r="CB33" i="2"/>
  <c r="CB17" i="2"/>
  <c r="CB20" i="2"/>
  <c r="CB71" i="2" s="1"/>
  <c r="CB15" i="2"/>
  <c r="CC2" i="2"/>
  <c r="CB102" i="1"/>
  <c r="CB16" i="2"/>
  <c r="CB13" i="2"/>
  <c r="CB106" i="1"/>
  <c r="CB73" i="2" s="1"/>
  <c r="CB104" i="1"/>
  <c r="CB103" i="1"/>
  <c r="CB108" i="1"/>
  <c r="CB83" i="2" s="1"/>
  <c r="CB99" i="1"/>
  <c r="CC100" i="1" l="1"/>
  <c r="CC5" i="2" s="1"/>
  <c r="CC101" i="1"/>
  <c r="CC6" i="2" s="1"/>
  <c r="CC65" i="2"/>
  <c r="CC107" i="1"/>
  <c r="CC78" i="2" s="1"/>
  <c r="CC14" i="2"/>
  <c r="CC99" i="2"/>
  <c r="CC104" i="2"/>
  <c r="CC105" i="2"/>
  <c r="CC89" i="2"/>
  <c r="CC100" i="2"/>
  <c r="CC101" i="2"/>
  <c r="CC76" i="2"/>
  <c r="CC88" i="2"/>
  <c r="CC86" i="2"/>
  <c r="CC64" i="2"/>
  <c r="CC17" i="2"/>
  <c r="CC16" i="2"/>
  <c r="CC13" i="2"/>
  <c r="CC33" i="2"/>
  <c r="CC15" i="2"/>
  <c r="CC106" i="1"/>
  <c r="CC73" i="2" s="1"/>
  <c r="CC104" i="1"/>
  <c r="CC102" i="1"/>
  <c r="CC20" i="2"/>
  <c r="CC71" i="2" s="1"/>
  <c r="CC108" i="1"/>
  <c r="CC83" i="2" s="1"/>
  <c r="CC103" i="1"/>
  <c r="CC99" i="1"/>
  <c r="CD2" i="2"/>
  <c r="CD100" i="1" l="1"/>
  <c r="CD5" i="2" s="1"/>
  <c r="CD101" i="1"/>
  <c r="CD6" i="2" s="1"/>
  <c r="CD65" i="2"/>
  <c r="CD14" i="2"/>
  <c r="CD107" i="1"/>
  <c r="CD78" i="2" s="1"/>
  <c r="CD104" i="2"/>
  <c r="CD105" i="2"/>
  <c r="CD89" i="2"/>
  <c r="CD99" i="2"/>
  <c r="CD100" i="2"/>
  <c r="CD101" i="2"/>
  <c r="CD88" i="2"/>
  <c r="CD86" i="2"/>
  <c r="CD76" i="2"/>
  <c r="CD64" i="2"/>
  <c r="CD33" i="2"/>
  <c r="CD16" i="2"/>
  <c r="CD13" i="2"/>
  <c r="CD20" i="2"/>
  <c r="CD71" i="2" s="1"/>
  <c r="CD17" i="2"/>
  <c r="CD108" i="1"/>
  <c r="CD83" i="2" s="1"/>
  <c r="CD103" i="1"/>
  <c r="CE2" i="2"/>
  <c r="CD106" i="1"/>
  <c r="CD73" i="2" s="1"/>
  <c r="CD104" i="1"/>
  <c r="CD102" i="1"/>
  <c r="CD99" i="1"/>
  <c r="CD15" i="2"/>
  <c r="CE101" i="1" l="1"/>
  <c r="CE6" i="2" s="1"/>
  <c r="CE100" i="1"/>
  <c r="CE5" i="2" s="1"/>
  <c r="CE65" i="2"/>
  <c r="CE14" i="2"/>
  <c r="CE107" i="1"/>
  <c r="CE78" i="2" s="1"/>
  <c r="CE104" i="2"/>
  <c r="CE100" i="2"/>
  <c r="CE101" i="2"/>
  <c r="CE99" i="2"/>
  <c r="CE88" i="2"/>
  <c r="CE105" i="2"/>
  <c r="CE86" i="2"/>
  <c r="CE76" i="2"/>
  <c r="CE89" i="2"/>
  <c r="CE64" i="2"/>
  <c r="CE17" i="2"/>
  <c r="CE16" i="2"/>
  <c r="CE13" i="2"/>
  <c r="CE15" i="2"/>
  <c r="CE20" i="2"/>
  <c r="CE71" i="2" s="1"/>
  <c r="CE108" i="1"/>
  <c r="CE83" i="2" s="1"/>
  <c r="CE103" i="1"/>
  <c r="CE99" i="1"/>
  <c r="CE33" i="2"/>
  <c r="CE106" i="1"/>
  <c r="CE73" i="2" s="1"/>
  <c r="CE104" i="1"/>
  <c r="CE102" i="1"/>
  <c r="CF2" i="2"/>
  <c r="CF101" i="1" l="1"/>
  <c r="CF6" i="2" s="1"/>
  <c r="CF100" i="1"/>
  <c r="CF5" i="2" s="1"/>
  <c r="CF65" i="2"/>
  <c r="CF107" i="1"/>
  <c r="CF78" i="2" s="1"/>
  <c r="CF14" i="2"/>
  <c r="CF105" i="2"/>
  <c r="CF99" i="2"/>
  <c r="CF100" i="2"/>
  <c r="CF101" i="2"/>
  <c r="CF88" i="2"/>
  <c r="CF86" i="2"/>
  <c r="CF104" i="2"/>
  <c r="CF89" i="2"/>
  <c r="CF20" i="2"/>
  <c r="CF71" i="2" s="1"/>
  <c r="CF16" i="2"/>
  <c r="CF76" i="2"/>
  <c r="CF33" i="2"/>
  <c r="CF17" i="2"/>
  <c r="CF13" i="2"/>
  <c r="CF103" i="1"/>
  <c r="CF108" i="1"/>
  <c r="CF83" i="2" s="1"/>
  <c r="CF99" i="1"/>
  <c r="CF64" i="2"/>
  <c r="CF15" i="2"/>
  <c r="CG2" i="2"/>
  <c r="CF104" i="1"/>
  <c r="CF102" i="1"/>
  <c r="CF106" i="1"/>
  <c r="CF73" i="2" s="1"/>
  <c r="CG101" i="1" l="1"/>
  <c r="CG6" i="2" s="1"/>
  <c r="CG100" i="1"/>
  <c r="CG5" i="2" s="1"/>
  <c r="CG65" i="2"/>
  <c r="CG107" i="1"/>
  <c r="CG78" i="2" s="1"/>
  <c r="CG14" i="2"/>
  <c r="CG100" i="2"/>
  <c r="CG105" i="2"/>
  <c r="CG99" i="2"/>
  <c r="CG101" i="2"/>
  <c r="CG104" i="2"/>
  <c r="CG89" i="2"/>
  <c r="CG76" i="2"/>
  <c r="CG64" i="2"/>
  <c r="CG88" i="2"/>
  <c r="CG33" i="2"/>
  <c r="CG20" i="2"/>
  <c r="CG71" i="2" s="1"/>
  <c r="CG16" i="2"/>
  <c r="CG86" i="2"/>
  <c r="CG17" i="2"/>
  <c r="CG15" i="2"/>
  <c r="CG108" i="1"/>
  <c r="CG83" i="2" s="1"/>
  <c r="CG103" i="1"/>
  <c r="CG99" i="1"/>
  <c r="CH2" i="2"/>
  <c r="CG106" i="1"/>
  <c r="CG73" i="2" s="1"/>
  <c r="CG104" i="1"/>
  <c r="CG102" i="1"/>
  <c r="CG13" i="2"/>
  <c r="CH100" i="1" l="1"/>
  <c r="CH5" i="2" s="1"/>
  <c r="CH101" i="1"/>
  <c r="CH6" i="2" s="1"/>
  <c r="CH65" i="2"/>
  <c r="CH107" i="1"/>
  <c r="CH78" i="2" s="1"/>
  <c r="CH14" i="2"/>
  <c r="CH105" i="2"/>
  <c r="CH89" i="2"/>
  <c r="CH101" i="2"/>
  <c r="CH104" i="2"/>
  <c r="CH100" i="2"/>
  <c r="CH88" i="2"/>
  <c r="CH86" i="2"/>
  <c r="CH99" i="2"/>
  <c r="CH76" i="2"/>
  <c r="CH17" i="2"/>
  <c r="CH33" i="2"/>
  <c r="CH15" i="2"/>
  <c r="CH64" i="2"/>
  <c r="CH20" i="2"/>
  <c r="CH71" i="2" s="1"/>
  <c r="CH16" i="2"/>
  <c r="CI2" i="2"/>
  <c r="CH106" i="1"/>
  <c r="CH73" i="2" s="1"/>
  <c r="CH104" i="1"/>
  <c r="CH108" i="1"/>
  <c r="CH83" i="2" s="1"/>
  <c r="CH103" i="1"/>
  <c r="CH99" i="1"/>
  <c r="CH102" i="1"/>
  <c r="CH13" i="2"/>
  <c r="CI101" i="1" l="1"/>
  <c r="CI6" i="2" s="1"/>
  <c r="CI100" i="1"/>
  <c r="CI5" i="2" s="1"/>
  <c r="CI65" i="2"/>
  <c r="CI107" i="1"/>
  <c r="CI78" i="2" s="1"/>
  <c r="CI14" i="2"/>
  <c r="CI99" i="2"/>
  <c r="CI100" i="2"/>
  <c r="CI101" i="2"/>
  <c r="CI88" i="2"/>
  <c r="CI104" i="2"/>
  <c r="CI89" i="2"/>
  <c r="CI105" i="2"/>
  <c r="CI76" i="2"/>
  <c r="CI86" i="2"/>
  <c r="CI20" i="2"/>
  <c r="CI71" i="2" s="1"/>
  <c r="CI16" i="2"/>
  <c r="CI33" i="2"/>
  <c r="CI15" i="2"/>
  <c r="CI64" i="2"/>
  <c r="CI13" i="2"/>
  <c r="CI17" i="2"/>
  <c r="CJ2" i="2"/>
  <c r="CI106" i="1"/>
  <c r="CI73" i="2" s="1"/>
  <c r="CI104" i="1"/>
  <c r="CI102" i="1"/>
  <c r="CI108" i="1"/>
  <c r="CI83" i="2" s="1"/>
  <c r="CI103" i="1"/>
  <c r="CI99" i="1"/>
  <c r="CJ100" i="1" l="1"/>
  <c r="CJ5" i="2" s="1"/>
  <c r="CJ101" i="1"/>
  <c r="CJ6" i="2" s="1"/>
  <c r="CJ65" i="2"/>
  <c r="CJ107" i="1"/>
  <c r="CJ78" i="2" s="1"/>
  <c r="CJ14" i="2"/>
  <c r="CJ101" i="2"/>
  <c r="CJ100" i="2"/>
  <c r="CJ88" i="2"/>
  <c r="CJ86" i="2"/>
  <c r="CJ104" i="2"/>
  <c r="CJ89" i="2"/>
  <c r="CJ105" i="2"/>
  <c r="CJ99" i="2"/>
  <c r="CJ76" i="2"/>
  <c r="CJ64" i="2"/>
  <c r="CJ33" i="2"/>
  <c r="CJ17" i="2"/>
  <c r="CJ20" i="2"/>
  <c r="CJ71" i="2" s="1"/>
  <c r="CJ16" i="2"/>
  <c r="CJ15" i="2"/>
  <c r="CK2" i="2"/>
  <c r="CJ104" i="1"/>
  <c r="CJ106" i="1"/>
  <c r="CJ73" i="2" s="1"/>
  <c r="CJ13" i="2"/>
  <c r="CJ102" i="1"/>
  <c r="CJ103" i="1"/>
  <c r="CJ108" i="1"/>
  <c r="CJ83" i="2" s="1"/>
  <c r="CJ99" i="1"/>
  <c r="CK100" i="1" l="1"/>
  <c r="CK5" i="2" s="1"/>
  <c r="CK101" i="1"/>
  <c r="CK6" i="2" s="1"/>
  <c r="CK65" i="2"/>
  <c r="CK107" i="1"/>
  <c r="CK78" i="2" s="1"/>
  <c r="CK14" i="2"/>
  <c r="CK99" i="2"/>
  <c r="CK104" i="2"/>
  <c r="CK105" i="2"/>
  <c r="CK101" i="2"/>
  <c r="CK89" i="2"/>
  <c r="CK76" i="2"/>
  <c r="CK100" i="2"/>
  <c r="CK88" i="2"/>
  <c r="CK86" i="2"/>
  <c r="CK33" i="2"/>
  <c r="CK17" i="2"/>
  <c r="CK15" i="2"/>
  <c r="CK64" i="2"/>
  <c r="CK20" i="2"/>
  <c r="CK71" i="2" s="1"/>
  <c r="CK13" i="2"/>
  <c r="CK106" i="1"/>
  <c r="CK73" i="2" s="1"/>
  <c r="CK104" i="1"/>
  <c r="CK102" i="1"/>
  <c r="CK16" i="2"/>
  <c r="CK108" i="1"/>
  <c r="CK83" i="2" s="1"/>
  <c r="CK103" i="1"/>
  <c r="CK99" i="1"/>
  <c r="CL2" i="2"/>
  <c r="CL100" i="1" l="1"/>
  <c r="CL5" i="2" s="1"/>
  <c r="CL101" i="1"/>
  <c r="CL6" i="2" s="1"/>
  <c r="CL65" i="2"/>
  <c r="CL14" i="2"/>
  <c r="CL107" i="1"/>
  <c r="CL78" i="2" s="1"/>
  <c r="CL104" i="2"/>
  <c r="CL105" i="2"/>
  <c r="CL89" i="2"/>
  <c r="CL99" i="2"/>
  <c r="CL100" i="2"/>
  <c r="CL101" i="2"/>
  <c r="CL86" i="2"/>
  <c r="CL88" i="2"/>
  <c r="CL76" i="2"/>
  <c r="CL64" i="2"/>
  <c r="CL13" i="2"/>
  <c r="CL16" i="2"/>
  <c r="CL17" i="2"/>
  <c r="CL15" i="2"/>
  <c r="CL33" i="2"/>
  <c r="CL20" i="2"/>
  <c r="CL71" i="2" s="1"/>
  <c r="CL108" i="1"/>
  <c r="CL83" i="2" s="1"/>
  <c r="CL103" i="1"/>
  <c r="CM2" i="2"/>
  <c r="CL106" i="1"/>
  <c r="CL73" i="2" s="1"/>
  <c r="CL104" i="1"/>
  <c r="CL102" i="1"/>
  <c r="CL99" i="1"/>
  <c r="CM101" i="1" l="1"/>
  <c r="CM6" i="2" s="1"/>
  <c r="CM100" i="1"/>
  <c r="CM5" i="2" s="1"/>
  <c r="CM65" i="2"/>
  <c r="CM14" i="2"/>
  <c r="CM107" i="1"/>
  <c r="CM78" i="2" s="1"/>
  <c r="CM104" i="2"/>
  <c r="CM100" i="2"/>
  <c r="CM101" i="2"/>
  <c r="CM89" i="2"/>
  <c r="CM105" i="2"/>
  <c r="CM99" i="2"/>
  <c r="CM88" i="2"/>
  <c r="CM86" i="2"/>
  <c r="CM76" i="2"/>
  <c r="CM64" i="2"/>
  <c r="CM33" i="2"/>
  <c r="CM17" i="2"/>
  <c r="CM13" i="2"/>
  <c r="CM20" i="2"/>
  <c r="CM71" i="2" s="1"/>
  <c r="CM16" i="2"/>
  <c r="CM108" i="1"/>
  <c r="CM83" i="2" s="1"/>
  <c r="CM103" i="1"/>
  <c r="CM99" i="1"/>
  <c r="CM15" i="2"/>
  <c r="CM106" i="1"/>
  <c r="CM73" i="2" s="1"/>
  <c r="CM104" i="1"/>
  <c r="CM102" i="1"/>
  <c r="CN2" i="2"/>
  <c r="CN101" i="1" l="1"/>
  <c r="CN6" i="2" s="1"/>
  <c r="CN100" i="1"/>
  <c r="CN5" i="2" s="1"/>
  <c r="CN65" i="2"/>
  <c r="CN14" i="2"/>
  <c r="CN107" i="1"/>
  <c r="CN78" i="2" s="1"/>
  <c r="CN105" i="2"/>
  <c r="CN99" i="2"/>
  <c r="CN104" i="2"/>
  <c r="CN88" i="2"/>
  <c r="CN86" i="2"/>
  <c r="CN100" i="2"/>
  <c r="CN101" i="2"/>
  <c r="CN89" i="2"/>
  <c r="CN76" i="2"/>
  <c r="CN64" i="2"/>
  <c r="CN20" i="2"/>
  <c r="CN71" i="2" s="1"/>
  <c r="CN16" i="2"/>
  <c r="CN15" i="2"/>
  <c r="CN33" i="2"/>
  <c r="CN13" i="2"/>
  <c r="CN17" i="2"/>
  <c r="CN108" i="1"/>
  <c r="CN83" i="2" s="1"/>
  <c r="CN103" i="1"/>
  <c r="CO2" i="2"/>
  <c r="CN99" i="1"/>
  <c r="CN104" i="1"/>
  <c r="CN102" i="1"/>
  <c r="CN106" i="1"/>
  <c r="CN73" i="2" s="1"/>
  <c r="CO101" i="1" l="1"/>
  <c r="CO6" i="2" s="1"/>
  <c r="CO100" i="1"/>
  <c r="CO5" i="2" s="1"/>
  <c r="CO65" i="2"/>
  <c r="CO14" i="2"/>
  <c r="CO107" i="1"/>
  <c r="CO78" i="2" s="1"/>
  <c r="CO100" i="2"/>
  <c r="CO105" i="2"/>
  <c r="CO104" i="2"/>
  <c r="CO99" i="2"/>
  <c r="CO101" i="2"/>
  <c r="CO86" i="2"/>
  <c r="CO89" i="2"/>
  <c r="CO88" i="2"/>
  <c r="CO76" i="2"/>
  <c r="CO64" i="2"/>
  <c r="CO33" i="2"/>
  <c r="CO20" i="2"/>
  <c r="CO71" i="2" s="1"/>
  <c r="CO16" i="2"/>
  <c r="CO17" i="2"/>
  <c r="CO13" i="2"/>
  <c r="CO108" i="1"/>
  <c r="CO83" i="2" s="1"/>
  <c r="CO103" i="1"/>
  <c r="CO15" i="2"/>
  <c r="CP2" i="2"/>
  <c r="CO106" i="1"/>
  <c r="CO73" i="2" s="1"/>
  <c r="CO104" i="1"/>
  <c r="CO102" i="1"/>
  <c r="CO99" i="1"/>
  <c r="CP100" i="1" l="1"/>
  <c r="CP5" i="2" s="1"/>
  <c r="CP101" i="1"/>
  <c r="CP6" i="2" s="1"/>
  <c r="CP65" i="2"/>
  <c r="CP107" i="1"/>
  <c r="CP78" i="2" s="1"/>
  <c r="CP14" i="2"/>
  <c r="CP105" i="2"/>
  <c r="CP89" i="2"/>
  <c r="CP101" i="2"/>
  <c r="CP104" i="2"/>
  <c r="CP99" i="2"/>
  <c r="CP88" i="2"/>
  <c r="CP86" i="2"/>
  <c r="CP100" i="2"/>
  <c r="CP76" i="2"/>
  <c r="CP64" i="2"/>
  <c r="CP16" i="2"/>
  <c r="CP15" i="2"/>
  <c r="CP17" i="2"/>
  <c r="CP20" i="2"/>
  <c r="CP71" i="2" s="1"/>
  <c r="CQ2" i="2"/>
  <c r="CP106" i="1"/>
  <c r="CP73" i="2" s="1"/>
  <c r="CP13" i="2"/>
  <c r="CP104" i="1"/>
  <c r="CP33" i="2"/>
  <c r="CP102" i="1"/>
  <c r="CP108" i="1"/>
  <c r="CP83" i="2" s="1"/>
  <c r="CP103" i="1"/>
  <c r="CP99" i="1"/>
  <c r="CQ100" i="1" l="1"/>
  <c r="CQ5" i="2" s="1"/>
  <c r="CQ101" i="1"/>
  <c r="CQ6" i="2" s="1"/>
  <c r="CQ65" i="2"/>
  <c r="CQ107" i="1"/>
  <c r="CQ78" i="2" s="1"/>
  <c r="CQ14" i="2"/>
  <c r="CQ99" i="2"/>
  <c r="CQ104" i="2"/>
  <c r="CQ88" i="2"/>
  <c r="CQ105" i="2"/>
  <c r="CQ100" i="2"/>
  <c r="CQ101" i="2"/>
  <c r="CQ89" i="2"/>
  <c r="CQ86" i="2"/>
  <c r="CQ76" i="2"/>
  <c r="CQ64" i="2"/>
  <c r="CQ20" i="2"/>
  <c r="CQ71" i="2" s="1"/>
  <c r="CQ16" i="2"/>
  <c r="CQ15" i="2"/>
  <c r="CQ17" i="2"/>
  <c r="CQ33" i="2"/>
  <c r="CQ13" i="2"/>
  <c r="CQ106" i="1"/>
  <c r="CQ73" i="2" s="1"/>
  <c r="CQ104" i="1"/>
  <c r="CQ102" i="1"/>
  <c r="CQ108" i="1"/>
  <c r="CQ83" i="2" s="1"/>
  <c r="CQ103" i="1"/>
  <c r="CQ99" i="1"/>
  <c r="CR2" i="2"/>
  <c r="CR100" i="1" l="1"/>
  <c r="CR5" i="2" s="1"/>
  <c r="CR101" i="1"/>
  <c r="CR6" i="2" s="1"/>
  <c r="CR65" i="2"/>
  <c r="CR107" i="1"/>
  <c r="CR78" i="2" s="1"/>
  <c r="CR14" i="2"/>
  <c r="CR101" i="2"/>
  <c r="CR100" i="2"/>
  <c r="CR88" i="2"/>
  <c r="CR86" i="2"/>
  <c r="CR105" i="2"/>
  <c r="CR99" i="2"/>
  <c r="CR89" i="2"/>
  <c r="CR76" i="2"/>
  <c r="CR104" i="2"/>
  <c r="CR64" i="2"/>
  <c r="CR17" i="2"/>
  <c r="CR15" i="2"/>
  <c r="CR16" i="2"/>
  <c r="CR20" i="2"/>
  <c r="CR71" i="2" s="1"/>
  <c r="CS2" i="2"/>
  <c r="CR106" i="1"/>
  <c r="CR73" i="2" s="1"/>
  <c r="CR104" i="1"/>
  <c r="CR13" i="2"/>
  <c r="CR33" i="2"/>
  <c r="CR102" i="1"/>
  <c r="CR108" i="1"/>
  <c r="CR83" i="2" s="1"/>
  <c r="CR99" i="1"/>
  <c r="CR103" i="1"/>
  <c r="CS100" i="1" l="1"/>
  <c r="CS5" i="2" s="1"/>
  <c r="CS101" i="1"/>
  <c r="CS6" i="2" s="1"/>
  <c r="CS65" i="2"/>
  <c r="CS107" i="1"/>
  <c r="CS78" i="2" s="1"/>
  <c r="CS14" i="2"/>
  <c r="CS99" i="2"/>
  <c r="CS104" i="2"/>
  <c r="CS105" i="2"/>
  <c r="CS100" i="2"/>
  <c r="CS101" i="2"/>
  <c r="CS89" i="2"/>
  <c r="CS86" i="2"/>
  <c r="CS76" i="2"/>
  <c r="CS88" i="2"/>
  <c r="CS17" i="2"/>
  <c r="CS15" i="2"/>
  <c r="CS33" i="2"/>
  <c r="CS64" i="2"/>
  <c r="CS16" i="2"/>
  <c r="CS13" i="2"/>
  <c r="CS20" i="2"/>
  <c r="CS71" i="2" s="1"/>
  <c r="CS106" i="1"/>
  <c r="CS73" i="2" s="1"/>
  <c r="CS104" i="1"/>
  <c r="CS102" i="1"/>
  <c r="CS108" i="1"/>
  <c r="CS83" i="2" s="1"/>
  <c r="CS103" i="1"/>
  <c r="CS99" i="1"/>
  <c r="CT2" i="2"/>
  <c r="CT101" i="1" l="1"/>
  <c r="CT6" i="2" s="1"/>
  <c r="CT100" i="1"/>
  <c r="CT5" i="2" s="1"/>
  <c r="CT65" i="2"/>
  <c r="CT14" i="2"/>
  <c r="CT107" i="1"/>
  <c r="CT78" i="2" s="1"/>
  <c r="CT104" i="2"/>
  <c r="CT105" i="2"/>
  <c r="CT99" i="2"/>
  <c r="CT100" i="2"/>
  <c r="CT101" i="2"/>
  <c r="CT89" i="2"/>
  <c r="CT88" i="2"/>
  <c r="CT76" i="2"/>
  <c r="CT86" i="2"/>
  <c r="CT33" i="2"/>
  <c r="CT17" i="2"/>
  <c r="CT13" i="2"/>
  <c r="CT20" i="2"/>
  <c r="CT71" i="2" s="1"/>
  <c r="CT64" i="2"/>
  <c r="CT16" i="2"/>
  <c r="CT15" i="2"/>
  <c r="CT108" i="1"/>
  <c r="CT83" i="2" s="1"/>
  <c r="CT103" i="1"/>
  <c r="CU2" i="2"/>
  <c r="CT106" i="1"/>
  <c r="CT73" i="2" s="1"/>
  <c r="CT104" i="1"/>
  <c r="CT102" i="1"/>
  <c r="CT99" i="1"/>
  <c r="CU100" i="1" l="1"/>
  <c r="CU5" i="2" s="1"/>
  <c r="CU101" i="1"/>
  <c r="CU6" i="2" s="1"/>
  <c r="CU65" i="2"/>
  <c r="CU14" i="2"/>
  <c r="CU107" i="1"/>
  <c r="CU78" i="2" s="1"/>
  <c r="CU104" i="2"/>
  <c r="CU100" i="2"/>
  <c r="CU101" i="2"/>
  <c r="CU105" i="2"/>
  <c r="CU89" i="2"/>
  <c r="CU88" i="2"/>
  <c r="CU99" i="2"/>
  <c r="CU86" i="2"/>
  <c r="CU76" i="2"/>
  <c r="CU64" i="2"/>
  <c r="CU17" i="2"/>
  <c r="CU13" i="2"/>
  <c r="CU20" i="2"/>
  <c r="CU71" i="2" s="1"/>
  <c r="CU33" i="2"/>
  <c r="CU16" i="2"/>
  <c r="CU15" i="2"/>
  <c r="CU108" i="1"/>
  <c r="CU83" i="2" s="1"/>
  <c r="CU103" i="1"/>
  <c r="CU99" i="1"/>
  <c r="CU106" i="1"/>
  <c r="CU73" i="2" s="1"/>
  <c r="CU104" i="1"/>
  <c r="CU102" i="1"/>
  <c r="CV2" i="2"/>
  <c r="CV101" i="1" l="1"/>
  <c r="CV6" i="2" s="1"/>
  <c r="CV100" i="1"/>
  <c r="CV5" i="2" s="1"/>
  <c r="CV65" i="2"/>
  <c r="CV107" i="1"/>
  <c r="CV78" i="2" s="1"/>
  <c r="CV14" i="2"/>
  <c r="CV105" i="2"/>
  <c r="CV99" i="2"/>
  <c r="CV100" i="2"/>
  <c r="CV89" i="2"/>
  <c r="CV101" i="2"/>
  <c r="CV88" i="2"/>
  <c r="CV86" i="2"/>
  <c r="CV104" i="2"/>
  <c r="CV76" i="2"/>
  <c r="CV20" i="2"/>
  <c r="CV71" i="2" s="1"/>
  <c r="CV16" i="2"/>
  <c r="CV33" i="2"/>
  <c r="CV17" i="2"/>
  <c r="CV64" i="2"/>
  <c r="CV13" i="2"/>
  <c r="CV15" i="2"/>
  <c r="CV108" i="1"/>
  <c r="CV83" i="2" s="1"/>
  <c r="CW2" i="2"/>
  <c r="CV103" i="1"/>
  <c r="CV99" i="1"/>
  <c r="CV104" i="1"/>
  <c r="CV106" i="1"/>
  <c r="CV73" i="2" s="1"/>
  <c r="CV102" i="1"/>
  <c r="CW101" i="1" l="1"/>
  <c r="CW6" i="2" s="1"/>
  <c r="CW100" i="1"/>
  <c r="CW5" i="2" s="1"/>
  <c r="CW65" i="2"/>
  <c r="CW107" i="1"/>
  <c r="CW78" i="2" s="1"/>
  <c r="CW14" i="2"/>
  <c r="CW100" i="2"/>
  <c r="CW105" i="2"/>
  <c r="CW101" i="2"/>
  <c r="CW104" i="2"/>
  <c r="CW99" i="2"/>
  <c r="CW88" i="2"/>
  <c r="CW89" i="2"/>
  <c r="CW76" i="2"/>
  <c r="CW86" i="2"/>
  <c r="CW64" i="2"/>
  <c r="CW33" i="2"/>
  <c r="CW20" i="2"/>
  <c r="CW71" i="2" s="1"/>
  <c r="CW16" i="2"/>
  <c r="CW15" i="2"/>
  <c r="CW13" i="2"/>
  <c r="CW17" i="2"/>
  <c r="CW108" i="1"/>
  <c r="CW83" i="2" s="1"/>
  <c r="CW103" i="1"/>
  <c r="CW99" i="1"/>
  <c r="CX2" i="2"/>
  <c r="CW106" i="1"/>
  <c r="CW73" i="2" s="1"/>
  <c r="CW104" i="1"/>
  <c r="CW102" i="1"/>
  <c r="CX101" i="1" l="1"/>
  <c r="CX6" i="2" s="1"/>
  <c r="CX100" i="1"/>
  <c r="CX5" i="2" s="1"/>
  <c r="CX65" i="2"/>
  <c r="CX107" i="1"/>
  <c r="CX78" i="2" s="1"/>
  <c r="CX14" i="2"/>
  <c r="CX105" i="2"/>
  <c r="CX89" i="2"/>
  <c r="CX101" i="2"/>
  <c r="CX104" i="2"/>
  <c r="E9" i="1" s="1"/>
  <c r="CX88" i="2"/>
  <c r="CX86" i="2"/>
  <c r="CX99" i="2"/>
  <c r="CX100" i="2"/>
  <c r="CX76" i="2"/>
  <c r="CX64" i="2"/>
  <c r="CX20" i="2"/>
  <c r="CX71" i="2" s="1"/>
  <c r="CX33" i="2"/>
  <c r="CX17" i="2"/>
  <c r="CX15" i="2"/>
  <c r="CX13" i="2"/>
  <c r="CX102" i="1"/>
  <c r="CX106" i="1"/>
  <c r="CX73" i="2" s="1"/>
  <c r="CX104" i="1"/>
  <c r="CX16" i="2"/>
  <c r="CX108" i="1"/>
  <c r="CX83" i="2" s="1"/>
  <c r="CX103" i="1"/>
  <c r="CX99" i="1"/>
  <c r="K64" i="2" l="1"/>
  <c r="C64" i="2"/>
  <c r="J64" i="2"/>
  <c r="I64" i="2"/>
  <c r="H64" i="2"/>
  <c r="G64" i="2"/>
  <c r="E64" i="2"/>
  <c r="L64" i="2"/>
  <c r="D64" i="2"/>
  <c r="F64" i="2"/>
  <c r="E66" i="2" l="1"/>
  <c r="E69" i="2"/>
  <c r="E88" i="2" s="1"/>
  <c r="E89" i="2" s="1"/>
  <c r="L69" i="2"/>
  <c r="L66" i="2"/>
  <c r="G69" i="2"/>
  <c r="G88" i="2" s="1"/>
  <c r="G89" i="2" s="1"/>
  <c r="G66" i="2"/>
  <c r="I66" i="2"/>
  <c r="I69" i="2"/>
  <c r="I88" i="2" s="1"/>
  <c r="I89" i="2" s="1"/>
  <c r="H66" i="2"/>
  <c r="H69" i="2"/>
  <c r="H88" i="2" s="1"/>
  <c r="H89" i="2" s="1"/>
  <c r="J66" i="2"/>
  <c r="J69" i="2"/>
  <c r="J88" i="2" s="1"/>
  <c r="J89" i="2" s="1"/>
  <c r="F69" i="2"/>
  <c r="F88" i="2" s="1"/>
  <c r="F89" i="2" s="1"/>
  <c r="F66" i="2"/>
  <c r="C69" i="2"/>
  <c r="C88" i="2" s="1"/>
  <c r="C89" i="2" s="1"/>
  <c r="C66" i="2"/>
  <c r="D69" i="2"/>
  <c r="D88" i="2" s="1"/>
  <c r="D89" i="2" s="1"/>
  <c r="D66" i="2"/>
  <c r="K66" i="2"/>
  <c r="K69" i="2"/>
  <c r="K88" i="2" s="1"/>
  <c r="K89" i="2" s="1"/>
  <c r="L88" i="2"/>
  <c r="L89" i="2" s="1"/>
  <c r="D99" i="2" l="1"/>
  <c r="F99" i="2"/>
  <c r="I99" i="2"/>
  <c r="J99" i="2"/>
  <c r="E99" i="2"/>
  <c r="L99" i="2"/>
  <c r="K99" i="2"/>
  <c r="H99" i="2"/>
  <c r="G99" i="2"/>
  <c r="C99" i="2"/>
  <c r="K101" i="2" l="1"/>
  <c r="K105" i="2"/>
  <c r="I105" i="2"/>
  <c r="I101" i="2"/>
  <c r="H105" i="2"/>
  <c r="H101" i="2"/>
  <c r="E105" i="2"/>
  <c r="E101" i="2"/>
  <c r="C101" i="2"/>
  <c r="C105" i="2"/>
  <c r="F101" i="2"/>
  <c r="F105" i="2"/>
  <c r="L105" i="2"/>
  <c r="L101" i="2"/>
  <c r="J105" i="2"/>
  <c r="J101" i="2"/>
  <c r="G101" i="2"/>
  <c r="G105" i="2"/>
  <c r="D101" i="2"/>
  <c r="D105" i="2"/>
  <c r="E10" i="1" l="1"/>
  <c r="E11" i="1"/>
  <c r="E12" i="1"/>
</calcChain>
</file>

<file path=xl/sharedStrings.xml><?xml version="1.0" encoding="utf-8"?>
<sst xmlns="http://schemas.openxmlformats.org/spreadsheetml/2006/main" count="287" uniqueCount="169">
  <si>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</si>
  <si>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</si>
  <si>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</si>
  <si>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</si>
  <si>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</si>
  <si>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</si>
  <si>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</si>
  <si>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</si>
  <si>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</si>
  <si>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Battery power (kW)</t>
  </si>
  <si>
    <t>Battery capacity (kWh)</t>
  </si>
  <si>
    <t>RESULTS</t>
  </si>
  <si>
    <t>LCC without system, $</t>
  </si>
  <si>
    <t>YEAR 1 RESULTS</t>
  </si>
  <si>
    <t>LCC with system, $</t>
  </si>
  <si>
    <t>Year 1 utility bill without system ($/year)</t>
  </si>
  <si>
    <t>NPV, $</t>
  </si>
  <si>
    <t>NOTE: This NPV can differ slightly (&lt;1%) from the Webtool/API results due to rounding and the tolerance in the optimizer.</t>
  </si>
  <si>
    <t>Year 1 utility bill with system ($/year)</t>
  </si>
  <si>
    <t>IRR, %</t>
  </si>
  <si>
    <t>Year 1 export credits with system ($/year)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</si>
  <si>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</si>
  <si>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</si>
  <si>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</si>
  <si>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</si>
  <si>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</si>
  <si>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</si>
  <si>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</si>
  <si>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</si>
  <si>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</si>
  <si>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</si>
  <si>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</si>
  <si>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</si>
  <si>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</si>
  <si>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</si>
  <si>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</si>
  <si>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</si>
  <si>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</si>
  <si>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</si>
  <si>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</si>
  <si>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</si>
  <si>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</si>
  <si>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</si>
  <si>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</si>
  <si>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</si>
  <si>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</si>
  <si>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</si>
  <si>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</si>
  <si>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</si>
  <si>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</si>
  <si>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</si>
  <si>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</si>
  <si>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</si>
  <si>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</si>
  <si>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</si>
  <si>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</si>
  <si>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</si>
  <si>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</si>
  <si>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</si>
  <si>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</si>
  <si>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</si>
  <si>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</si>
  <si>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</si>
  <si>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</si>
  <si>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</si>
  <si>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</si>
  <si>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</si>
  <si>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</si>
  <si>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</si>
  <si>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</si>
  <si>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MACRS SCHEDULES (INFORMATIONAL ONLY)</t>
  </si>
  <si>
    <t>BATTERY DIRECT CASH INCENTIVES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</si>
  <si>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</si>
  <si>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</si>
  <si>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</si>
  <si>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</si>
  <si>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</si>
  <si>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</si>
  <si>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</si>
  <si>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</si>
  <si>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</si>
  <si>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</si>
  <si>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</si>
  <si>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</si>
  <si>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</si>
  <si>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</si>
  <si>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</si>
  <si>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</si>
  <si>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</si>
  <si>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</si>
  <si>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Savings</t>
  </si>
  <si>
    <t>Operating Expenses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</si>
  <si>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</si>
  <si>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</si>
  <si>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</si>
  <si>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</si>
  <si>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</si>
  <si>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</si>
  <si>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</si>
  <si>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</si>
  <si>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</si>
  <si>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</si>
  <si>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</si>
  <si>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</si>
  <si>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</si>
  <si>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</si>
  <si>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</si>
  <si>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</si>
  <si>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</si>
  <si>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</si>
  <si>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</si>
  <si>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</si>
  <si>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</si>
  <si>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</si>
  <si>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</si>
  <si>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</si>
  <si>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</si>
  <si>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</si>
  <si>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</si>
  <si>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</si>
  <si>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</si>
  <si>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</si>
  <si>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</si>
  <si>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</si>
  <si>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</si>
  <si>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</si>
  <si>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</si>
  <si>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</si>
  <si>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</si>
  <si>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</si>
  <si>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</si>
  <si>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</si>
  <si>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</si>
  <si>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</si>
  <si>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</si>
  <si>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</si>
  <si>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</si>
  <si>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</si>
  <si>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</si>
  <si>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</si>
  <si>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</si>
  <si>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</si>
  <si>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</si>
  <si>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</si>
  <si>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</si>
  <si>
    <t>Wind Nameplace capacity (kW), purchased</t>
  </si>
  <si>
    <t>Wind Installed Cost ($)</t>
  </si>
  <si>
    <t>Fixed PV O&amp;M ($/kW-yr)</t>
  </si>
  <si>
    <t>Fixed Wind O&amp;M ($/kW-yr)</t>
  </si>
  <si>
    <t>WIND TAX CREDITS</t>
  </si>
  <si>
    <t>WIND DIRECT CASH INCENTIVES</t>
  </si>
  <si>
    <t>Wind Federal depreciation percentages (fraction)</t>
  </si>
  <si>
    <t>Wind</t>
  </si>
  <si>
    <t>PV cost in $/kW</t>
  </si>
  <si>
    <t>Wind cost in $/kW</t>
  </si>
  <si>
    <t>Wind Investment-based incentives (IBI)</t>
  </si>
  <si>
    <t>Wind Capacity-based incentives (CBI)</t>
  </si>
  <si>
    <t>PV Combined PBI</t>
  </si>
  <si>
    <t>Wind Combined PBI</t>
  </si>
  <si>
    <t>Year 1 net PV energy produced with system (kWh/year)</t>
  </si>
  <si>
    <t>Year 1 net wind energy produced with system (kWh/year)</t>
  </si>
  <si>
    <t>PV Annual energy (kWh)</t>
  </si>
  <si>
    <t>Total Annual energy (kWh)</t>
  </si>
  <si>
    <t>Wind Annual energy (kWh)</t>
  </si>
  <si>
    <t>PV Annual energy (AC kWh)</t>
  </si>
  <si>
    <t>Wind Annual energy (AC kWh)</t>
  </si>
  <si>
    <t>Wind Depreciation, Commercial only</t>
  </si>
  <si>
    <t>Federal ITC basis: Wind</t>
  </si>
  <si>
    <t>Federal ITC amount: Wind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</si>
</sst>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1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</fills>
  <borders count="1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9" fontId="10" fillId="0" borderId="0" applyBorder="0" applyProtection="0"/>
    <xf numFmtId="0" fontId="1" fillId="0" borderId="0" applyBorder="0" applyProtection="0"/>
  </cellStyleXfs>
  <cellXfs count="17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2" borderId="1" xfId="2" applyNumberFormat="1" applyFont="1" applyFill="1" applyBorder="1" applyAlignment="1">
      <alignment horizontal="left"/>
    </xf>
    <xf numFmtId="0" fontId="2" fillId="2" borderId="0" xfId="0" applyFont="1" applyFill="1" applyBorder="1"/>
    <xf numFmtId="0" fontId="2" fillId="0" borderId="0" xfId="0" applyFont="1" applyBorder="1" applyAlignment="1">
      <alignment horizontal="center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/>
    <xf numFmtId="0" fontId="2" fillId="0" borderId="4" xfId="0" applyFont="1" applyBorder="1"/>
    <xf numFmtId="0" fontId="2" fillId="0" borderId="4" xfId="2" applyNumberFormat="1" applyFont="1" applyFill="1" applyBorder="1" applyAlignment="1">
      <alignment horizontal="right"/>
    </xf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0" fontId="2" fillId="5" borderId="0" xfId="0" applyFont="1" applyFill="1" applyBorder="1"/>
    <xf numFmtId="3" fontId="2" fillId="0" borderId="4" xfId="2" applyNumberFormat="1" applyFont="1" applyFill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 applyProtection="1">
      <alignment horizontal="center"/>
    </xf>
    <xf numFmtId="2" fontId="2" fillId="0" borderId="0" xfId="0" applyNumberFormat="1" applyFont="1" applyBorder="1"/>
    <xf numFmtId="0" fontId="2" fillId="0" borderId="0" xfId="2" applyNumberFormat="1" applyFont="1" applyFill="1" applyBorder="1" applyAlignment="1">
      <alignment horizontal="left"/>
    </xf>
    <xf numFmtId="10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Border="1"/>
    <xf numFmtId="0" fontId="4" fillId="0" borderId="0" xfId="2" applyNumberFormat="1" applyFont="1" applyFill="1" applyBorder="1" applyAlignment="1">
      <alignment horizontal="left"/>
    </xf>
    <xf numFmtId="0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Border="1"/>
    <xf numFmtId="9" fontId="2" fillId="0" borderId="0" xfId="0" applyNumberFormat="1" applyFont="1" applyBorder="1" applyAlignment="1">
      <alignment horizontal="center"/>
    </xf>
    <xf numFmtId="0" fontId="2" fillId="0" borderId="5" xfId="0" applyFont="1" applyBorder="1"/>
    <xf numFmtId="3" fontId="2" fillId="0" borderId="5" xfId="2" applyNumberFormat="1" applyFont="1" applyFill="1" applyBorder="1" applyAlignment="1">
      <alignment horizontal="right"/>
    </xf>
    <xf numFmtId="166" fontId="2" fillId="0" borderId="0" xfId="2" applyNumberFormat="1" applyFont="1" applyFill="1" applyBorder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NumberFormat="1" applyFont="1" applyFill="1" applyBorder="1" applyAlignment="1">
      <alignment horizontal="left" indent="1"/>
    </xf>
    <xf numFmtId="0" fontId="2" fillId="0" borderId="0" xfId="2" applyNumberFormat="1" applyFont="1" applyFill="1" applyBorder="1" applyAlignment="1">
      <alignment horizontal="right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2" fontId="2" fillId="0" borderId="4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right"/>
    </xf>
    <xf numFmtId="0" fontId="2" fillId="0" borderId="2" xfId="2" applyNumberFormat="1" applyFont="1" applyFill="1" applyBorder="1" applyAlignment="1">
      <alignment horizontal="left"/>
    </xf>
    <xf numFmtId="2" fontId="2" fillId="0" borderId="3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right"/>
    </xf>
    <xf numFmtId="2" fontId="2" fillId="0" borderId="4" xfId="2" applyNumberFormat="1" applyFont="1" applyFill="1" applyBorder="1" applyAlignment="1">
      <alignment horizontal="right"/>
    </xf>
    <xf numFmtId="2" fontId="2" fillId="0" borderId="4" xfId="1" applyNumberFormat="1" applyFont="1" applyBorder="1" applyAlignment="1" applyProtection="1">
      <alignment horizontal="right"/>
    </xf>
    <xf numFmtId="0" fontId="2" fillId="0" borderId="0" xfId="0" applyFont="1" applyBorder="1" applyAlignment="1">
      <alignment horizontal="left"/>
    </xf>
    <xf numFmtId="0" fontId="2" fillId="0" borderId="0" xfId="2" applyNumberFormat="1" applyFont="1" applyFill="1" applyBorder="1"/>
    <xf numFmtId="0" fontId="4" fillId="3" borderId="6" xfId="2" applyNumberFormat="1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left" indent="3"/>
    </xf>
    <xf numFmtId="11" fontId="2" fillId="0" borderId="4" xfId="2" applyNumberFormat="1" applyFont="1" applyFill="1" applyBorder="1" applyAlignment="1">
      <alignment horizontal="right"/>
    </xf>
    <xf numFmtId="0" fontId="2" fillId="0" borderId="4" xfId="0" applyFont="1" applyBorder="1" applyAlignment="1">
      <alignment horizontal="center"/>
    </xf>
    <xf numFmtId="0" fontId="4" fillId="0" borderId="0" xfId="2" applyNumberFormat="1" applyFont="1" applyFill="1" applyBorder="1"/>
    <xf numFmtId="166" fontId="2" fillId="0" borderId="0" xfId="2" applyNumberFormat="1" applyFont="1" applyFill="1" applyBorder="1" applyAlignment="1">
      <alignment horizontal="left"/>
    </xf>
    <xf numFmtId="0" fontId="4" fillId="3" borderId="10" xfId="2" applyNumberFormat="1" applyFont="1" applyFill="1" applyBorder="1" applyAlignment="1">
      <alignment horizontal="left"/>
    </xf>
    <xf numFmtId="0" fontId="4" fillId="3" borderId="11" xfId="2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left"/>
    </xf>
    <xf numFmtId="0" fontId="2" fillId="0" borderId="6" xfId="2" applyNumberFormat="1" applyFont="1" applyFill="1" applyBorder="1" applyAlignment="1">
      <alignment horizontal="center"/>
    </xf>
    <xf numFmtId="0" fontId="2" fillId="0" borderId="6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center"/>
    </xf>
    <xf numFmtId="0" fontId="2" fillId="0" borderId="12" xfId="2" applyNumberFormat="1" applyFont="1" applyFill="1" applyBorder="1" applyAlignment="1">
      <alignment horizontal="center"/>
    </xf>
    <xf numFmtId="166" fontId="2" fillId="0" borderId="13" xfId="2" applyNumberFormat="1" applyFont="1" applyFill="1" applyBorder="1" applyAlignment="1">
      <alignment horizontal="center"/>
    </xf>
    <xf numFmtId="166" fontId="2" fillId="0" borderId="12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indent="3"/>
    </xf>
    <xf numFmtId="0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center"/>
    </xf>
    <xf numFmtId="0" fontId="4" fillId="0" borderId="7" xfId="2" applyNumberFormat="1" applyFont="1" applyFill="1" applyBorder="1" applyAlignment="1">
      <alignment horizontal="left"/>
    </xf>
    <xf numFmtId="0" fontId="2" fillId="0" borderId="12" xfId="2" applyNumberFormat="1" applyFont="1" applyFill="1" applyBorder="1" applyAlignment="1">
      <alignment horizontal="center"/>
    </xf>
    <xf numFmtId="166" fontId="2" fillId="0" borderId="14" xfId="2" applyNumberFormat="1" applyFont="1" applyFill="1" applyBorder="1" applyAlignment="1">
      <alignment horizontal="left"/>
    </xf>
    <xf numFmtId="11" fontId="2" fillId="0" borderId="5" xfId="2" applyNumberFormat="1" applyFont="1" applyFill="1" applyBorder="1" applyAlignment="1">
      <alignment horizontal="right"/>
    </xf>
    <xf numFmtId="0" fontId="2" fillId="0" borderId="5" xfId="2" applyNumberFormat="1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left" indent="3"/>
    </xf>
    <xf numFmtId="0" fontId="2" fillId="0" borderId="0" xfId="2" applyNumberFormat="1" applyFont="1" applyFill="1" applyBorder="1" applyAlignment="1">
      <alignment horizontal="right"/>
    </xf>
    <xf numFmtId="11" fontId="2" fillId="0" borderId="0" xfId="2" applyNumberFormat="1" applyFont="1" applyFill="1" applyBorder="1" applyAlignment="1">
      <alignment horizontal="right"/>
    </xf>
    <xf numFmtId="0" fontId="2" fillId="0" borderId="0" xfId="2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1" fontId="2" fillId="0" borderId="0" xfId="2" applyNumberFormat="1" applyFont="1" applyFill="1" applyBorder="1" applyAlignment="1">
      <alignment horizontal="center"/>
    </xf>
    <xf numFmtId="0" fontId="4" fillId="3" borderId="15" xfId="2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Fill="1" applyBorder="1" applyAlignment="1">
      <alignment horizontal="center"/>
    </xf>
    <xf numFmtId="0" fontId="2" fillId="0" borderId="2" xfId="2" applyNumberFormat="1" applyFont="1" applyFill="1" applyBorder="1" applyAlignment="1">
      <alignment horizontal="left"/>
    </xf>
    <xf numFmtId="0" fontId="2" fillId="5" borderId="4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wrapText="1"/>
    </xf>
    <xf numFmtId="0" fontId="4" fillId="6" borderId="2" xfId="2" applyNumberFormat="1" applyFont="1" applyFill="1" applyBorder="1" applyAlignment="1">
      <alignment horizontal="left"/>
    </xf>
    <xf numFmtId="0" fontId="4" fillId="6" borderId="6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Fill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4" fontId="0" fillId="0" borderId="0" xfId="0" applyNumberFormat="1" applyBorder="1" applyAlignment="1">
      <alignment horizontal="right"/>
    </xf>
    <xf numFmtId="167" fontId="0" fillId="0" borderId="0" xfId="0" applyNumberFormat="1" applyBorder="1" applyAlignment="1">
      <alignment horizontal="right"/>
    </xf>
    <xf numFmtId="4" fontId="0" fillId="0" borderId="0" xfId="0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 applyAlignment="1">
      <alignment horizontal="left"/>
    </xf>
    <xf numFmtId="0" fontId="7" fillId="0" borderId="0" xfId="2" applyNumberFormat="1" applyFont="1" applyFill="1" applyBorder="1" applyAlignment="1">
      <alignment horizontal="right"/>
    </xf>
    <xf numFmtId="0" fontId="7" fillId="6" borderId="2" xfId="2" applyNumberFormat="1" applyFont="1" applyFill="1" applyBorder="1" applyAlignment="1">
      <alignment horizontal="right"/>
    </xf>
    <xf numFmtId="0" fontId="7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3" fontId="0" fillId="0" borderId="0" xfId="2" applyNumberFormat="1" applyFont="1" applyFill="1" applyBorder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NumberFormat="1" applyFont="1" applyFill="1" applyBorder="1" applyAlignment="1">
      <alignment horizontal="left"/>
    </xf>
    <xf numFmtId="3" fontId="0" fillId="0" borderId="0" xfId="2" applyNumberFormat="1" applyFont="1" applyFill="1" applyBorder="1" applyAlignment="1">
      <alignment horizontal="right"/>
    </xf>
    <xf numFmtId="0" fontId="8" fillId="0" borderId="0" xfId="0" applyFont="1" applyBorder="1"/>
    <xf numFmtId="0" fontId="0" fillId="0" borderId="0" xfId="0" applyBorder="1"/>
    <xf numFmtId="4" fontId="0" fillId="0" borderId="0" xfId="0" applyNumberFormat="1" applyBorder="1"/>
    <xf numFmtId="0" fontId="7" fillId="6" borderId="2" xfId="2" applyNumberFormat="1" applyFont="1" applyFill="1" applyBorder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0" xfId="0"/>
    <xf numFmtId="0" fontId="0" fillId="0" borderId="0" xfId="2" applyNumberFormat="1" applyFont="1" applyFill="1" applyBorder="1" applyAlignment="1">
      <alignment horizontal="left" indent="1"/>
    </xf>
    <xf numFmtId="0" fontId="0" fillId="0" borderId="0" xfId="2" applyNumberFormat="1" applyFont="1" applyFill="1" applyBorder="1" applyAlignment="1">
      <alignment horizontal="right"/>
    </xf>
    <xf numFmtId="0" fontId="0" fillId="0" borderId="6" xfId="2" applyNumberFormat="1" applyFont="1" applyFill="1" applyBorder="1" applyAlignment="1">
      <alignment horizontal="left"/>
    </xf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6" borderId="6" xfId="2" applyNumberFormat="1" applyFont="1" applyFill="1" applyBorder="1" applyAlignment="1">
      <alignment horizontal="right"/>
    </xf>
    <xf numFmtId="4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7" fillId="6" borderId="2" xfId="2" applyNumberFormat="1" applyFont="1" applyFill="1" applyBorder="1"/>
    <xf numFmtId="0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1"/>
    </xf>
    <xf numFmtId="3" fontId="0" fillId="0" borderId="0" xfId="2" applyNumberFormat="1" applyFont="1" applyFill="1" applyBorder="1" applyAlignment="1">
      <alignment horizontal="right"/>
    </xf>
    <xf numFmtId="3" fontId="0" fillId="0" borderId="8" xfId="2" applyNumberFormat="1" applyFont="1" applyFill="1" applyBorder="1" applyAlignment="1">
      <alignment horizontal="right"/>
    </xf>
    <xf numFmtId="0" fontId="0" fillId="0" borderId="6" xfId="2" applyNumberFormat="1" applyFont="1" applyFill="1" applyBorder="1"/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0" fontId="0" fillId="0" borderId="0" xfId="0" applyAlignment="1">
      <alignment horizontal="center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9" fillId="6" borderId="6" xfId="2" applyNumberFormat="1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3"/>
    </xf>
    <xf numFmtId="0" fontId="0" fillId="0" borderId="0" xfId="0" applyFont="1"/>
    <xf numFmtId="0" fontId="0" fillId="0" borderId="0" xfId="0" applyFont="1"/>
    <xf numFmtId="3" fontId="0" fillId="0" borderId="8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3" fontId="0" fillId="0" borderId="0" xfId="2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NumberFormat="1" applyFont="1" applyFill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3" fontId="2" fillId="0" borderId="17" xfId="2" applyNumberFormat="1" applyFont="1" applyFill="1" applyBorder="1" applyAlignment="1">
      <alignment horizontal="right"/>
    </xf>
  </cellXfs>
  <cellStyles count="3">
    <cellStyle name="Explanatory Text" xfId="2" builtinId="53" customBuiltin="1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BFBFC0"/>
      <rgbColor rgb="FF800080"/>
      <rgbColor rgb="FF008080"/>
      <rgbColor rgb="FFC0C0C0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9CDE5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BFBFBF"/>
      <rgbColor rgb="FFFFCC00"/>
      <rgbColor rgb="FFFF9900"/>
      <rgbColor rgb="FFFF6600"/>
      <rgbColor rgb="FFA6A6A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K108"/>
  <sheetViews>
    <sheetView windowProtection="1" tabSelected="1" zoomScaleNormal="100" workbookViewId="0">
      <selection activeCell="D16" sqref="D16"/>
    </sheetView>
  </sheetViews>
  <sheetFormatPr defaultRowHeight="12.75" x14ac:dyDescent="0.2"/>
  <cols>
    <col min="1" max="1" width="40.42578125" style="1"/>
    <col min="2" max="2" width="14" style="2"/>
    <col min="3" max="3" width="16.140625" style="1"/>
    <col min="4" max="4" width="19.5703125" style="2"/>
    <col min="5" max="5" width="19.42578125" style="2"/>
    <col min="6" max="6" width="19.42578125" style="1"/>
    <col min="7" max="7" width="19.42578125" style="2"/>
    <col min="8" max="8" width="18.5703125" style="2"/>
    <col min="9" max="9" width="15.28515625" style="2"/>
    <col min="10" max="10" width="21.5703125" style="2"/>
    <col min="11" max="33" width="15.85546875" style="2"/>
    <col min="34" max="1025" width="15.5703125" style="2"/>
  </cols>
  <sheetData>
    <row r="1" spans="1:1025" ht="20.25" x14ac:dyDescent="0.35">
      <c r="A1" s="3" t="s">
        <v>0</v>
      </c>
      <c r="B1" s="4"/>
      <c r="C1" s="5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5" x14ac:dyDescent="0.2">
      <c r="A2" s="6" t="s">
        <v>1</v>
      </c>
      <c r="B2" s="7"/>
      <c r="C2" s="8"/>
      <c r="D2"/>
      <c r="E2"/>
      <c r="F2" s="8"/>
      <c r="G2"/>
      <c r="H2"/>
      <c r="I2"/>
      <c r="J2"/>
      <c r="K2"/>
      <c r="L2" s="9"/>
      <c r="M2"/>
      <c r="N2"/>
      <c r="O2"/>
      <c r="P2"/>
      <c r="Q2" s="8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5" s="13" customFormat="1" x14ac:dyDescent="0.2">
      <c r="A3" s="10" t="s">
        <v>2</v>
      </c>
      <c r="B3" s="11">
        <v>219.58600000000001</v>
      </c>
      <c r="C3" s="8"/>
      <c r="D3" s="12" t="s">
        <v>3</v>
      </c>
      <c r="F3" s="8"/>
      <c r="L3" s="9"/>
      <c r="M3" s="2"/>
      <c r="N3" s="2"/>
      <c r="Q3" s="8"/>
    </row>
    <row r="4" spans="1:1025" x14ac:dyDescent="0.2">
      <c r="A4" s="10" t="s">
        <v>4</v>
      </c>
      <c r="B4" s="11">
        <v>0</v>
      </c>
      <c r="C4" s="8"/>
      <c r="D4" s="14" t="s">
        <v>5</v>
      </c>
      <c r="E4" s="13"/>
      <c r="F4" s="8"/>
      <c r="G4" s="13"/>
      <c r="H4" s="13"/>
      <c r="I4" s="13"/>
      <c r="J4" s="13"/>
      <c r="K4" s="13"/>
      <c r="L4" s="9"/>
      <c r="O4" s="13"/>
      <c r="P4" s="13"/>
      <c r="Q4" s="8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 t="s">
        <v>6</v>
      </c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5" x14ac:dyDescent="0.2">
      <c r="A5" s="10" t="s">
        <v>7</v>
      </c>
      <c r="B5" s="11">
        <v>0.5</v>
      </c>
      <c r="C5" s="8"/>
      <c r="D5" s="15" t="s">
        <v>8</v>
      </c>
      <c r="E5" s="13"/>
      <c r="F5" s="8"/>
      <c r="G5" s="13"/>
      <c r="H5" s="13"/>
      <c r="I5" s="13"/>
      <c r="J5" s="13"/>
      <c r="K5" s="13"/>
      <c r="L5" s="9"/>
      <c r="O5" s="13"/>
      <c r="P5" s="13"/>
      <c r="Q5" s="8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>
        <v>5</v>
      </c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5" s="133" customFormat="1" x14ac:dyDescent="0.2">
      <c r="A6" s="85" t="s">
        <v>145</v>
      </c>
      <c r="B6" s="46">
        <v>0</v>
      </c>
      <c r="C6" s="8"/>
      <c r="D6" s="16"/>
      <c r="E6" s="13"/>
      <c r="F6" s="8"/>
      <c r="G6" s="13"/>
      <c r="H6" s="13"/>
      <c r="I6" s="13"/>
      <c r="J6" s="13"/>
      <c r="K6" s="13"/>
      <c r="L6" s="9"/>
      <c r="M6" s="13"/>
      <c r="N6" s="13"/>
      <c r="O6" s="13"/>
      <c r="P6" s="13"/>
      <c r="Q6" s="8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AMK6" s="13"/>
    </row>
    <row r="7" spans="1:1025" x14ac:dyDescent="0.2">
      <c r="A7" s="10" t="s">
        <v>9</v>
      </c>
      <c r="B7" s="10">
        <v>100</v>
      </c>
      <c r="C7" s="8"/>
      <c r="D7" s="16"/>
      <c r="E7" s="13"/>
      <c r="F7" s="8"/>
      <c r="G7" s="13"/>
      <c r="H7" s="13"/>
      <c r="I7" s="13"/>
      <c r="J7" s="13"/>
      <c r="K7" s="13"/>
      <c r="L7" s="9"/>
      <c r="O7" s="13"/>
      <c r="P7" s="13"/>
      <c r="Q7" s="8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>
        <v>7</v>
      </c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5" x14ac:dyDescent="0.2">
      <c r="A8" s="10" t="s">
        <v>10</v>
      </c>
      <c r="B8" s="17">
        <v>50</v>
      </c>
      <c r="C8"/>
      <c r="D8" s="6" t="s">
        <v>11</v>
      </c>
      <c r="E8" s="7"/>
      <c r="F8"/>
      <c r="G8"/>
      <c r="H8"/>
      <c r="I8"/>
      <c r="J8" s="9"/>
      <c r="M8"/>
      <c r="N8"/>
      <c r="O8" s="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5" x14ac:dyDescent="0.2">
      <c r="A9" s="8"/>
      <c r="B9" s="16"/>
      <c r="C9" s="8"/>
      <c r="D9" s="18" t="s">
        <v>12</v>
      </c>
      <c r="E9" s="19">
        <f>-('Cash Flow'!B104+NPV(NominalDiscountRate/100, 'Cash Flow'!C104:CX104))</f>
        <v>6485951.605314292</v>
      </c>
      <c r="F9" s="8"/>
      <c r="G9"/>
      <c r="H9"/>
      <c r="I9"/>
      <c r="J9"/>
      <c r="K9"/>
      <c r="L9" s="9"/>
      <c r="O9"/>
      <c r="P9"/>
      <c r="Q9" s="8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5" x14ac:dyDescent="0.2">
      <c r="A10" s="6" t="s">
        <v>13</v>
      </c>
      <c r="B10" s="7"/>
      <c r="C10" s="8"/>
      <c r="D10" s="18" t="s">
        <v>14</v>
      </c>
      <c r="E10" s="19">
        <f>-('Cash Flow'!B105+NPV(NominalDiscountRate/100, 'Cash Flow'!C105:CX105))</f>
        <v>6362442.5031388523</v>
      </c>
      <c r="F10" s="8"/>
      <c r="G10"/>
      <c r="H10"/>
      <c r="I10"/>
      <c r="J10"/>
      <c r="K10"/>
      <c r="L10" s="9"/>
      <c r="O10"/>
      <c r="P10"/>
      <c r="Q10" s="8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5" x14ac:dyDescent="0.2">
      <c r="A11" s="10" t="s">
        <v>15</v>
      </c>
      <c r="B11" s="20">
        <v>826030</v>
      </c>
      <c r="C11" s="8"/>
      <c r="D11" s="18" t="s">
        <v>16</v>
      </c>
      <c r="E11" s="21">
        <f>'Cash Flow'!B101+NPV(NominalDiscountRate/100,'Cash Flow'!C101:CX101)</f>
        <v>123509.1021754411</v>
      </c>
      <c r="F11" s="8" t="s">
        <v>17</v>
      </c>
      <c r="G11"/>
      <c r="H11"/>
      <c r="I11"/>
      <c r="J11"/>
      <c r="K11"/>
      <c r="L11" s="9"/>
      <c r="O11"/>
      <c r="P11"/>
      <c r="Q11" s="8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5" x14ac:dyDescent="0.2">
      <c r="A12" s="10" t="s">
        <v>18</v>
      </c>
      <c r="B12" s="20">
        <v>783215</v>
      </c>
      <c r="C12" s="8"/>
      <c r="D12" s="10" t="s">
        <v>19</v>
      </c>
      <c r="E12" s="22">
        <f>IF(loan_term=0,IRR('Cash Flow'!B101:CX101, NominalDiscountRate/100),IRR('Cash Flow'!C101:CX101, NominalDiscountRate/100))</f>
        <v>0.13865566155495213</v>
      </c>
      <c r="F12" s="8"/>
      <c r="G12"/>
      <c r="H12"/>
      <c r="I12"/>
      <c r="J12"/>
      <c r="K12"/>
      <c r="L12" s="9"/>
      <c r="O12"/>
      <c r="P12"/>
      <c r="Q12" s="8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5" x14ac:dyDescent="0.2">
      <c r="A13" s="10" t="s">
        <v>20</v>
      </c>
      <c r="B13" s="20">
        <v>-10500</v>
      </c>
      <c r="C13" s="8"/>
      <c r="D13"/>
      <c r="E13"/>
      <c r="F13" s="8"/>
      <c r="G13"/>
      <c r="H13"/>
      <c r="I13"/>
      <c r="J13"/>
      <c r="K13"/>
      <c r="L13" s="9"/>
      <c r="O13"/>
      <c r="P13"/>
      <c r="Q13" s="8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5" s="133" customFormat="1" x14ac:dyDescent="0.2">
      <c r="A14" s="85" t="s">
        <v>159</v>
      </c>
      <c r="B14" s="17">
        <v>411626</v>
      </c>
      <c r="C14" s="8"/>
      <c r="F14" s="8"/>
      <c r="L14" s="9"/>
      <c r="M14" s="13"/>
      <c r="N14" s="13"/>
      <c r="Q14" s="8"/>
      <c r="AMK14" s="13"/>
    </row>
    <row r="15" spans="1:1025" s="133" customFormat="1" x14ac:dyDescent="0.2">
      <c r="A15" s="85" t="s">
        <v>160</v>
      </c>
      <c r="B15" s="172">
        <v>0</v>
      </c>
      <c r="C15" s="8"/>
      <c r="F15" s="8"/>
      <c r="L15" s="9"/>
      <c r="M15" s="13"/>
      <c r="N15" s="13"/>
      <c r="Q15" s="8"/>
      <c r="AMK15" s="13"/>
    </row>
    <row r="16" spans="1:1025" x14ac:dyDescent="0.2">
      <c r="A16" s="10" t="s">
        <v>21</v>
      </c>
      <c r="B16" s="17">
        <v>411626</v>
      </c>
      <c r="C16" s="8"/>
      <c r="D16"/>
      <c r="E16"/>
      <c r="F16" s="23"/>
      <c r="G16"/>
      <c r="H16"/>
      <c r="I16"/>
      <c r="J16"/>
      <c r="K16"/>
      <c r="L16" s="9"/>
      <c r="M16"/>
      <c r="N16"/>
      <c r="O16"/>
      <c r="P16"/>
      <c r="Q16" s="8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5" x14ac:dyDescent="0.2">
      <c r="A17" s="24"/>
      <c r="B17" s="25"/>
      <c r="C17" s="8"/>
      <c r="D17"/>
      <c r="E17"/>
      <c r="F17" s="26"/>
      <c r="G17" s="27"/>
      <c r="H17" s="28"/>
      <c r="I17"/>
      <c r="J17"/>
      <c r="K17"/>
      <c r="L17" s="9"/>
      <c r="M17"/>
      <c r="N17"/>
      <c r="O17"/>
      <c r="P17"/>
      <c r="Q17" s="8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5" x14ac:dyDescent="0.2">
      <c r="A18" s="6" t="s">
        <v>22</v>
      </c>
      <c r="B18" s="7"/>
      <c r="C18" s="8"/>
      <c r="D18"/>
      <c r="E18"/>
      <c r="F18" s="26"/>
      <c r="G18" s="29"/>
      <c r="H18" s="30"/>
      <c r="I18"/>
      <c r="J18"/>
      <c r="K18"/>
      <c r="L18" s="9"/>
      <c r="M18"/>
      <c r="N18"/>
      <c r="O18"/>
      <c r="P18"/>
      <c r="Q18" s="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5" x14ac:dyDescent="0.2">
      <c r="A19" s="31" t="s">
        <v>23</v>
      </c>
      <c r="B19" s="32">
        <v>542718</v>
      </c>
      <c r="C19" s="8"/>
      <c r="D19"/>
      <c r="E19"/>
      <c r="F19" s="26"/>
      <c r="G19" s="29"/>
      <c r="H19" s="30"/>
      <c r="I19"/>
      <c r="J19"/>
      <c r="K19"/>
      <c r="L19" s="9"/>
      <c r="M19"/>
      <c r="N19"/>
      <c r="O19"/>
      <c r="P19"/>
      <c r="Q19" s="8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5" x14ac:dyDescent="0.2">
      <c r="A20" s="10" t="s">
        <v>24</v>
      </c>
      <c r="B20" s="17">
        <v>442718</v>
      </c>
      <c r="C20" s="8"/>
      <c r="D20"/>
      <c r="E20"/>
      <c r="F20" s="26"/>
      <c r="G20" s="29"/>
      <c r="H20" s="30"/>
      <c r="I20"/>
      <c r="J20"/>
      <c r="K20"/>
      <c r="L20" s="9"/>
      <c r="M20"/>
      <c r="N20"/>
      <c r="O20"/>
      <c r="P20"/>
      <c r="Q20" s="8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5" s="133" customFormat="1" x14ac:dyDescent="0.2">
      <c r="A21" s="85" t="s">
        <v>146</v>
      </c>
      <c r="B21" s="17">
        <v>0</v>
      </c>
      <c r="C21" s="8"/>
      <c r="F21" s="26"/>
      <c r="G21" s="29"/>
      <c r="H21" s="30"/>
      <c r="L21" s="9"/>
      <c r="Q21" s="8"/>
      <c r="AMK21" s="13"/>
    </row>
    <row r="22" spans="1:1025" x14ac:dyDescent="0.2">
      <c r="A22" s="10" t="s">
        <v>25</v>
      </c>
      <c r="B22" s="17">
        <v>100000</v>
      </c>
      <c r="C22" s="8"/>
      <c r="D22"/>
      <c r="E22"/>
      <c r="F22" s="8"/>
      <c r="G22" s="8"/>
      <c r="H22" s="33"/>
      <c r="I22"/>
      <c r="J22"/>
      <c r="K22"/>
      <c r="L22" s="9"/>
      <c r="M22"/>
      <c r="N22"/>
      <c r="O22"/>
      <c r="P22"/>
      <c r="Q22" s="8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5" x14ac:dyDescent="0.2">
      <c r="A23" s="34" t="s">
        <v>26</v>
      </c>
      <c r="B23" s="35"/>
      <c r="C23" s="8"/>
      <c r="D23"/>
      <c r="E23"/>
      <c r="F23" s="8"/>
      <c r="G23" s="8"/>
      <c r="H23" s="33"/>
      <c r="I23"/>
      <c r="J23"/>
      <c r="K23"/>
      <c r="L23" s="9"/>
      <c r="M23"/>
      <c r="N23"/>
      <c r="O23"/>
      <c r="P23"/>
      <c r="Q23" s="8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5" x14ac:dyDescent="0.2">
      <c r="A24" s="36" t="s">
        <v>147</v>
      </c>
      <c r="B24" s="17">
        <v>20</v>
      </c>
      <c r="C24" s="8"/>
      <c r="D24"/>
      <c r="E24"/>
      <c r="F24"/>
      <c r="G24"/>
      <c r="H24" s="33"/>
      <c r="I24"/>
      <c r="J24"/>
      <c r="K24"/>
      <c r="L24" s="9"/>
      <c r="M24"/>
      <c r="N24"/>
      <c r="O24"/>
      <c r="P24"/>
      <c r="Q24" s="8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5" s="133" customFormat="1" x14ac:dyDescent="0.2">
      <c r="A25" s="36" t="s">
        <v>148</v>
      </c>
      <c r="B25" s="17">
        <v>0</v>
      </c>
      <c r="C25" s="8"/>
      <c r="H25" s="33"/>
      <c r="L25" s="9"/>
      <c r="Q25" s="8"/>
      <c r="AMK25" s="13"/>
    </row>
    <row r="26" spans="1:1025" x14ac:dyDescent="0.2">
      <c r="A26" s="36" t="s">
        <v>27</v>
      </c>
      <c r="B26" s="17">
        <v>500</v>
      </c>
      <c r="C26" s="8"/>
      <c r="D26"/>
      <c r="E26"/>
      <c r="F26" s="2"/>
      <c r="G26"/>
      <c r="H26"/>
      <c r="I26" s="8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</row>
    <row r="27" spans="1:1025" x14ac:dyDescent="0.2">
      <c r="A27" s="36" t="s">
        <v>28</v>
      </c>
      <c r="B27" s="17">
        <v>10</v>
      </c>
      <c r="C27" s="8"/>
      <c r="D27"/>
      <c r="E27"/>
      <c r="F27" s="2"/>
      <c r="G27"/>
      <c r="H27"/>
      <c r="I27" s="8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025" x14ac:dyDescent="0.2">
      <c r="A28" s="36" t="s">
        <v>29</v>
      </c>
      <c r="B28" s="17">
        <v>500</v>
      </c>
      <c r="C28" s="8"/>
      <c r="D28"/>
      <c r="E28"/>
      <c r="F28" s="2"/>
      <c r="G28"/>
      <c r="H28"/>
      <c r="I28" s="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025" x14ac:dyDescent="0.2">
      <c r="A29" s="36" t="s">
        <v>30</v>
      </c>
      <c r="B29" s="17">
        <v>10</v>
      </c>
      <c r="C29" s="8"/>
      <c r="D29" s="9"/>
      <c r="E29"/>
      <c r="F29" s="2"/>
      <c r="G29"/>
      <c r="H29"/>
      <c r="I29" s="8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025" x14ac:dyDescent="0.2">
      <c r="A30" s="37"/>
      <c r="B30" s="37"/>
      <c r="C30" s="8"/>
      <c r="D30" s="9"/>
      <c r="E30"/>
      <c r="F30" s="2"/>
      <c r="G30"/>
      <c r="H30"/>
      <c r="I30" s="8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5" x14ac:dyDescent="0.2">
      <c r="A31" s="38" t="s">
        <v>31</v>
      </c>
      <c r="B31" s="39"/>
      <c r="C31" s="8"/>
      <c r="D31" s="9"/>
      <c r="E31"/>
      <c r="F31" s="2"/>
      <c r="G31"/>
      <c r="H31"/>
      <c r="I31" s="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5" x14ac:dyDescent="0.2">
      <c r="A32" s="40" t="s">
        <v>32</v>
      </c>
      <c r="B32" s="41">
        <v>0</v>
      </c>
      <c r="C32" s="8"/>
      <c r="D32" s="9"/>
      <c r="E32"/>
      <c r="F32" s="2"/>
      <c r="G32"/>
      <c r="H32"/>
      <c r="I32" s="8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x14ac:dyDescent="0.2">
      <c r="A33" s="40" t="s">
        <v>33</v>
      </c>
      <c r="B33" s="42">
        <v>0</v>
      </c>
      <c r="C33" s="8"/>
      <c r="D33" s="9"/>
      <c r="E33"/>
      <c r="F33" s="2"/>
      <c r="G33"/>
      <c r="H33"/>
      <c r="I33" s="8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x14ac:dyDescent="0.2">
      <c r="A34" s="40" t="s">
        <v>34</v>
      </c>
      <c r="B34" s="41">
        <v>0</v>
      </c>
      <c r="C34" s="8"/>
      <c r="D34" s="9"/>
      <c r="E34"/>
      <c r="F34" s="2"/>
      <c r="G34"/>
      <c r="H34"/>
      <c r="I34" s="8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s="8" customFormat="1" x14ac:dyDescent="0.2">
      <c r="A35" s="43"/>
      <c r="B35" s="44"/>
      <c r="L35" s="2"/>
    </row>
    <row r="36" spans="1:1024" s="8" customFormat="1" x14ac:dyDescent="0.2">
      <c r="A36" s="6" t="s">
        <v>35</v>
      </c>
      <c r="B36" s="7"/>
      <c r="L36" s="2"/>
    </row>
    <row r="37" spans="1:1024" s="8" customFormat="1" x14ac:dyDescent="0.2">
      <c r="A37" s="45" t="s">
        <v>36</v>
      </c>
      <c r="B37" s="46">
        <v>25</v>
      </c>
      <c r="L37" s="2"/>
    </row>
    <row r="38" spans="1:1024" s="8" customFormat="1" x14ac:dyDescent="0.2">
      <c r="A38" s="45" t="s">
        <v>37</v>
      </c>
      <c r="B38" s="47">
        <v>2.5</v>
      </c>
      <c r="L38" s="2"/>
    </row>
    <row r="39" spans="1:1024" s="8" customFormat="1" x14ac:dyDescent="0.2">
      <c r="A39" s="45" t="s">
        <v>38</v>
      </c>
      <c r="B39" s="48">
        <v>3.0125000000000002</v>
      </c>
      <c r="L39" s="2"/>
      <c r="M39" s="2"/>
      <c r="N39" s="2"/>
    </row>
    <row r="40" spans="1:1024" s="8" customFormat="1" x14ac:dyDescent="0.2">
      <c r="A40" s="45" t="s">
        <v>39</v>
      </c>
      <c r="B40" s="48">
        <v>9.4700000000000006</v>
      </c>
      <c r="L40"/>
      <c r="M40"/>
      <c r="N40"/>
    </row>
    <row r="41" spans="1:1024" s="8" customFormat="1" x14ac:dyDescent="0.2">
      <c r="A41" s="49"/>
      <c r="B41"/>
      <c r="L41"/>
      <c r="M41"/>
      <c r="N41"/>
    </row>
    <row r="42" spans="1:1024" s="8" customFormat="1" x14ac:dyDescent="0.2">
      <c r="A42" s="6" t="s">
        <v>40</v>
      </c>
      <c r="B42" s="7"/>
      <c r="L42"/>
      <c r="M42"/>
      <c r="N42"/>
    </row>
    <row r="43" spans="1:1024" s="8" customFormat="1" x14ac:dyDescent="0.2">
      <c r="A43" s="45" t="s">
        <v>41</v>
      </c>
      <c r="B43" s="47">
        <v>37</v>
      </c>
      <c r="L43"/>
      <c r="M43"/>
      <c r="N43"/>
    </row>
    <row r="44" spans="1:1024" s="8" customFormat="1" x14ac:dyDescent="0.2">
      <c r="A44"/>
      <c r="B44"/>
      <c r="C44" s="50"/>
      <c r="L44"/>
      <c r="M44"/>
      <c r="N44"/>
    </row>
    <row r="45" spans="1:1024" s="8" customFormat="1" x14ac:dyDescent="0.2">
      <c r="A45" s="6" t="s">
        <v>42</v>
      </c>
      <c r="B45" s="51"/>
      <c r="C45" s="51"/>
      <c r="D45" s="7"/>
      <c r="L45"/>
      <c r="M45"/>
      <c r="N45"/>
    </row>
    <row r="46" spans="1:1024" s="8" customFormat="1" x14ac:dyDescent="0.2">
      <c r="A46" s="52" t="s">
        <v>43</v>
      </c>
      <c r="B46" s="53"/>
      <c r="C46"/>
      <c r="D46" s="54" t="s">
        <v>44</v>
      </c>
      <c r="E46" s="55"/>
      <c r="L46"/>
      <c r="M46"/>
      <c r="N46"/>
    </row>
    <row r="47" spans="1:1024" s="8" customFormat="1" x14ac:dyDescent="0.2">
      <c r="A47" s="56" t="s">
        <v>45</v>
      </c>
      <c r="B47" s="57" t="s">
        <v>46</v>
      </c>
      <c r="C47" s="57" t="s">
        <v>47</v>
      </c>
      <c r="D47" s="58" t="s">
        <v>48</v>
      </c>
      <c r="E47"/>
      <c r="L47"/>
      <c r="M47"/>
      <c r="N47"/>
    </row>
    <row r="48" spans="1:1024" x14ac:dyDescent="0.2">
      <c r="A48" s="59" t="s">
        <v>48</v>
      </c>
      <c r="B48" s="46">
        <v>30</v>
      </c>
      <c r="C48" s="60">
        <v>9.9999999999999998E+37</v>
      </c>
      <c r="D48" s="61" t="s">
        <v>49</v>
      </c>
      <c r="E48" s="62"/>
      <c r="F48" s="8"/>
      <c r="G48" s="63"/>
      <c r="H48"/>
      <c r="I48"/>
      <c r="J48"/>
      <c r="K48"/>
      <c r="L48"/>
      <c r="M48" s="63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</row>
    <row r="49" spans="1:1025" x14ac:dyDescent="0.2">
      <c r="F49" s="63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</row>
    <row r="50" spans="1:1025" x14ac:dyDescent="0.2">
      <c r="A50" s="64" t="s">
        <v>50</v>
      </c>
      <c r="B50" s="65"/>
      <c r="C50" s="65"/>
      <c r="D50" s="65"/>
      <c r="E50" s="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</row>
    <row r="51" spans="1:1025" x14ac:dyDescent="0.2">
      <c r="A51" s="66" t="s">
        <v>51</v>
      </c>
      <c r="B51" s="67"/>
      <c r="C51" s="68"/>
      <c r="D51" s="69" t="s">
        <v>52</v>
      </c>
      <c r="E51" s="70" t="s">
        <v>44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</row>
    <row r="52" spans="1:1025" x14ac:dyDescent="0.2">
      <c r="A52" s="36" t="s">
        <v>45</v>
      </c>
      <c r="B52" s="71" t="s">
        <v>46</v>
      </c>
      <c r="C52" s="72" t="s">
        <v>53</v>
      </c>
      <c r="D52" s="73" t="s">
        <v>48</v>
      </c>
      <c r="E52" s="74" t="s">
        <v>48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</row>
    <row r="53" spans="1:1025" x14ac:dyDescent="0.2">
      <c r="A53" s="75" t="s">
        <v>54</v>
      </c>
      <c r="B53" s="11">
        <v>0</v>
      </c>
      <c r="C53" s="60">
        <v>9.9999999999999998E+37</v>
      </c>
      <c r="D53" s="76" t="s">
        <v>55</v>
      </c>
      <c r="E53" s="61" t="s">
        <v>49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</row>
    <row r="54" spans="1:1025" ht="12.75" customHeight="1" thickBot="1" x14ac:dyDescent="0.25">
      <c r="A54" s="75" t="s">
        <v>56</v>
      </c>
      <c r="B54" s="11">
        <v>0</v>
      </c>
      <c r="C54" s="60">
        <v>9.9999999999999998E+37</v>
      </c>
      <c r="D54" s="76" t="s">
        <v>55</v>
      </c>
      <c r="E54" s="61" t="s">
        <v>49</v>
      </c>
      <c r="F54" s="8"/>
      <c r="G54" s="50"/>
      <c r="H54"/>
      <c r="I54"/>
      <c r="J54"/>
      <c r="K54"/>
      <c r="L54"/>
      <c r="M54" s="7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</row>
    <row r="55" spans="1:1025" ht="12.75" customHeight="1" x14ac:dyDescent="0.2">
      <c r="A55" s="78" t="s">
        <v>57</v>
      </c>
      <c r="B55" s="79" t="s">
        <v>58</v>
      </c>
      <c r="C55" s="72" t="s">
        <v>53</v>
      </c>
      <c r="D55" s="80"/>
      <c r="E55" s="80"/>
      <c r="F55" s="77"/>
      <c r="G55" s="33"/>
      <c r="H55"/>
      <c r="I55"/>
      <c r="J55"/>
      <c r="K55"/>
      <c r="L55"/>
      <c r="M55" s="63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</row>
    <row r="56" spans="1:1025" ht="12.75" customHeight="1" x14ac:dyDescent="0.2">
      <c r="A56" s="75" t="s">
        <v>59</v>
      </c>
      <c r="B56" s="46">
        <v>0</v>
      </c>
      <c r="C56" s="60">
        <v>9.9999999999999998E+37</v>
      </c>
      <c r="D56" s="76" t="s">
        <v>55</v>
      </c>
      <c r="E56" s="61" t="s">
        <v>55</v>
      </c>
      <c r="F56" s="63"/>
      <c r="G56" s="33"/>
      <c r="H56"/>
      <c r="I56"/>
      <c r="J56"/>
      <c r="K56"/>
      <c r="L56"/>
      <c r="M56" s="63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</row>
    <row r="57" spans="1:1025" ht="12.75" customHeight="1" x14ac:dyDescent="0.2">
      <c r="A57" s="75" t="s">
        <v>60</v>
      </c>
      <c r="B57" s="46">
        <v>0</v>
      </c>
      <c r="C57" s="60">
        <v>9.9999999999999998E+37</v>
      </c>
      <c r="D57" s="76" t="s">
        <v>55</v>
      </c>
      <c r="E57" s="61" t="s">
        <v>49</v>
      </c>
      <c r="F57" s="63"/>
      <c r="G57" s="33"/>
      <c r="H57"/>
      <c r="I57"/>
      <c r="J57"/>
      <c r="K57"/>
      <c r="L57"/>
      <c r="M57" s="63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</row>
    <row r="58" spans="1:1025" ht="12.75" customHeight="1" x14ac:dyDescent="0.2">
      <c r="A58" s="75" t="s">
        <v>61</v>
      </c>
      <c r="B58" s="46">
        <v>0</v>
      </c>
      <c r="C58" s="81">
        <v>9.9999999999999998E+37</v>
      </c>
      <c r="D58" s="82" t="s">
        <v>55</v>
      </c>
      <c r="E58" s="83" t="s">
        <v>49</v>
      </c>
      <c r="F58" s="63"/>
      <c r="G58" s="63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</row>
    <row r="59" spans="1:1025" ht="12.75" customHeight="1" x14ac:dyDescent="0.2">
      <c r="A59" s="78" t="s">
        <v>62</v>
      </c>
      <c r="B59" s="79" t="s">
        <v>63</v>
      </c>
      <c r="C59" s="76" t="s">
        <v>64</v>
      </c>
      <c r="D59" s="84" t="s">
        <v>65</v>
      </c>
      <c r="E59" s="84" t="s">
        <v>66</v>
      </c>
      <c r="F59" s="85" t="s">
        <v>67</v>
      </c>
      <c r="G59" s="63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</row>
    <row r="60" spans="1:1025" ht="12.75" customHeight="1" x14ac:dyDescent="0.2">
      <c r="A60" s="75" t="s">
        <v>68</v>
      </c>
      <c r="B60" s="46">
        <v>0</v>
      </c>
      <c r="C60" s="60">
        <v>9.9999999999999998E+37</v>
      </c>
      <c r="D60" s="76" t="s">
        <v>49</v>
      </c>
      <c r="E60" s="61">
        <v>10</v>
      </c>
      <c r="F60" s="86">
        <v>9.9999999999999998E+37</v>
      </c>
      <c r="G60" s="63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</row>
    <row r="61" spans="1:1025" s="133" customFormat="1" ht="12.75" customHeight="1" x14ac:dyDescent="0.2">
      <c r="A61" s="87"/>
      <c r="B61" s="88"/>
      <c r="C61" s="89"/>
      <c r="D61" s="90"/>
      <c r="E61" s="91"/>
      <c r="F61" s="92"/>
      <c r="G61" s="6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  <c r="JP61" s="13"/>
      <c r="JQ61" s="13"/>
      <c r="JR61" s="13"/>
      <c r="JS61" s="13"/>
      <c r="JT61" s="13"/>
      <c r="JU61" s="13"/>
      <c r="JV61" s="13"/>
      <c r="JW61" s="13"/>
      <c r="JX61" s="13"/>
      <c r="JY61" s="13"/>
      <c r="JZ61" s="13"/>
      <c r="KA61" s="13"/>
      <c r="KB61" s="13"/>
      <c r="KC61" s="13"/>
      <c r="KD61" s="13"/>
      <c r="KE61" s="13"/>
      <c r="KF61" s="13"/>
      <c r="KG61" s="13"/>
      <c r="KH61" s="13"/>
      <c r="KI61" s="13"/>
      <c r="KJ61" s="13"/>
      <c r="KK61" s="13"/>
      <c r="KL61" s="13"/>
      <c r="KM61" s="13"/>
      <c r="KN61" s="13"/>
      <c r="KO61" s="13"/>
      <c r="KP61" s="13"/>
      <c r="KQ61" s="13"/>
      <c r="KR61" s="13"/>
      <c r="KS61" s="13"/>
      <c r="KT61" s="13"/>
      <c r="KU61" s="13"/>
      <c r="KV61" s="13"/>
      <c r="KW61" s="13"/>
      <c r="KX61" s="13"/>
      <c r="KY61" s="13"/>
      <c r="KZ61" s="13"/>
      <c r="LA61" s="13"/>
      <c r="LB61" s="13"/>
      <c r="LC61" s="13"/>
      <c r="LD61" s="13"/>
      <c r="LE61" s="13"/>
      <c r="LF61" s="13"/>
      <c r="LG61" s="13"/>
      <c r="LH61" s="13"/>
      <c r="LI61" s="13"/>
      <c r="LJ61" s="13"/>
      <c r="LK61" s="13"/>
      <c r="LL61" s="13"/>
      <c r="LM61" s="13"/>
      <c r="LN61" s="13"/>
      <c r="LO61" s="13"/>
      <c r="LP61" s="13"/>
      <c r="LQ61" s="13"/>
      <c r="LR61" s="13"/>
      <c r="LS61" s="13"/>
      <c r="LT61" s="13"/>
      <c r="LU61" s="13"/>
      <c r="LV61" s="13"/>
      <c r="LW61" s="13"/>
      <c r="LX61" s="13"/>
      <c r="LY61" s="13"/>
      <c r="LZ61" s="13"/>
      <c r="MA61" s="13"/>
      <c r="MB61" s="13"/>
      <c r="MC61" s="13"/>
      <c r="MD61" s="13"/>
      <c r="ME61" s="13"/>
      <c r="MF61" s="13"/>
      <c r="MG61" s="13"/>
      <c r="MH61" s="13"/>
      <c r="MI61" s="13"/>
      <c r="MJ61" s="13"/>
      <c r="MK61" s="13"/>
      <c r="ML61" s="13"/>
      <c r="MM61" s="13"/>
      <c r="MN61" s="13"/>
      <c r="MO61" s="13"/>
      <c r="MP61" s="13"/>
      <c r="MQ61" s="13"/>
      <c r="MR61" s="13"/>
      <c r="MS61" s="13"/>
      <c r="MT61" s="13"/>
      <c r="MU61" s="13"/>
      <c r="MV61" s="13"/>
      <c r="MW61" s="13"/>
      <c r="MX61" s="13"/>
      <c r="MY61" s="13"/>
      <c r="MZ61" s="13"/>
      <c r="NA61" s="13"/>
      <c r="NB61" s="13"/>
      <c r="NC61" s="13"/>
      <c r="ND61" s="13"/>
      <c r="NE61" s="13"/>
      <c r="NF61" s="13"/>
      <c r="NG61" s="13"/>
      <c r="NH61" s="13"/>
      <c r="NI61" s="13"/>
      <c r="NJ61" s="13"/>
      <c r="NK61" s="13"/>
      <c r="NL61" s="13"/>
      <c r="NM61" s="13"/>
      <c r="NN61" s="13"/>
      <c r="NO61" s="13"/>
      <c r="NP61" s="13"/>
      <c r="NQ61" s="13"/>
      <c r="NR61" s="13"/>
      <c r="NS61" s="13"/>
      <c r="NT61" s="13"/>
      <c r="NU61" s="13"/>
      <c r="NV61" s="13"/>
      <c r="NW61" s="13"/>
      <c r="NX61" s="13"/>
      <c r="NY61" s="13"/>
      <c r="NZ61" s="13"/>
      <c r="OA61" s="13"/>
      <c r="OB61" s="13"/>
      <c r="OC61" s="13"/>
      <c r="OD61" s="13"/>
      <c r="OE61" s="13"/>
      <c r="OF61" s="13"/>
      <c r="OG61" s="13"/>
      <c r="OH61" s="13"/>
      <c r="OI61" s="13"/>
      <c r="OJ61" s="13"/>
      <c r="OK61" s="13"/>
      <c r="OL61" s="13"/>
      <c r="OM61" s="13"/>
      <c r="ON61" s="13"/>
      <c r="OO61" s="13"/>
      <c r="OP61" s="13"/>
      <c r="OQ61" s="13"/>
      <c r="OR61" s="13"/>
      <c r="OS61" s="13"/>
      <c r="OT61" s="13"/>
      <c r="OU61" s="13"/>
      <c r="OV61" s="13"/>
      <c r="OW61" s="13"/>
      <c r="OX61" s="13"/>
      <c r="OY61" s="13"/>
      <c r="OZ61" s="13"/>
      <c r="PA61" s="13"/>
      <c r="PB61" s="13"/>
      <c r="PC61" s="13"/>
      <c r="PD61" s="13"/>
      <c r="PE61" s="13"/>
      <c r="PF61" s="13"/>
      <c r="PG61" s="13"/>
      <c r="PH61" s="13"/>
      <c r="PI61" s="13"/>
      <c r="PJ61" s="13"/>
      <c r="PK61" s="13"/>
      <c r="PL61" s="13"/>
      <c r="PM61" s="13"/>
      <c r="PN61" s="13"/>
      <c r="PO61" s="13"/>
      <c r="PP61" s="13"/>
      <c r="PQ61" s="13"/>
      <c r="PR61" s="13"/>
      <c r="PS61" s="13"/>
      <c r="PT61" s="13"/>
      <c r="PU61" s="13"/>
      <c r="PV61" s="13"/>
      <c r="PW61" s="13"/>
      <c r="PX61" s="13"/>
      <c r="PY61" s="13"/>
      <c r="PZ61" s="13"/>
      <c r="QA61" s="13"/>
      <c r="QB61" s="13"/>
      <c r="QC61" s="13"/>
      <c r="QD61" s="13"/>
      <c r="QE61" s="13"/>
      <c r="QF61" s="13"/>
      <c r="QG61" s="13"/>
      <c r="QH61" s="13"/>
      <c r="QI61" s="13"/>
      <c r="QJ61" s="13"/>
      <c r="QK61" s="13"/>
      <c r="QL61" s="13"/>
      <c r="QM61" s="13"/>
      <c r="QN61" s="13"/>
      <c r="QO61" s="13"/>
      <c r="QP61" s="13"/>
      <c r="QQ61" s="13"/>
      <c r="QR61" s="13"/>
      <c r="QS61" s="13"/>
      <c r="QT61" s="13"/>
      <c r="QU61" s="13"/>
      <c r="QV61" s="13"/>
      <c r="QW61" s="13"/>
      <c r="QX61" s="13"/>
      <c r="QY61" s="13"/>
      <c r="QZ61" s="13"/>
      <c r="RA61" s="13"/>
      <c r="RB61" s="13"/>
      <c r="RC61" s="13"/>
      <c r="RD61" s="13"/>
      <c r="RE61" s="13"/>
      <c r="RF61" s="13"/>
      <c r="RG61" s="13"/>
      <c r="RH61" s="13"/>
      <c r="RI61" s="13"/>
      <c r="RJ61" s="13"/>
      <c r="RK61" s="13"/>
      <c r="RL61" s="13"/>
      <c r="RM61" s="13"/>
      <c r="RN61" s="13"/>
      <c r="RO61" s="13"/>
      <c r="RP61" s="13"/>
      <c r="RQ61" s="13"/>
      <c r="RR61" s="13"/>
      <c r="RS61" s="13"/>
      <c r="RT61" s="13"/>
      <c r="RU61" s="13"/>
      <c r="RV61" s="13"/>
      <c r="RW61" s="13"/>
      <c r="RX61" s="13"/>
      <c r="RY61" s="13"/>
      <c r="RZ61" s="13"/>
      <c r="SA61" s="13"/>
      <c r="SB61" s="13"/>
      <c r="SC61" s="13"/>
      <c r="SD61" s="13"/>
      <c r="SE61" s="13"/>
      <c r="SF61" s="13"/>
      <c r="SG61" s="13"/>
      <c r="SH61" s="13"/>
      <c r="SI61" s="13"/>
      <c r="SJ61" s="13"/>
      <c r="SK61" s="13"/>
      <c r="SL61" s="13"/>
      <c r="SM61" s="13"/>
      <c r="SN61" s="13"/>
      <c r="SO61" s="13"/>
      <c r="SP61" s="13"/>
      <c r="SQ61" s="13"/>
      <c r="SR61" s="13"/>
      <c r="SS61" s="13"/>
      <c r="ST61" s="13"/>
      <c r="SU61" s="13"/>
      <c r="SV61" s="13"/>
      <c r="SW61" s="13"/>
      <c r="SX61" s="13"/>
      <c r="SY61" s="13"/>
      <c r="SZ61" s="13"/>
      <c r="TA61" s="13"/>
      <c r="TB61" s="13"/>
      <c r="TC61" s="13"/>
      <c r="TD61" s="13"/>
      <c r="TE61" s="13"/>
      <c r="TF61" s="13"/>
      <c r="TG61" s="13"/>
      <c r="TH61" s="13"/>
      <c r="TI61" s="13"/>
      <c r="TJ61" s="13"/>
      <c r="TK61" s="13"/>
      <c r="TL61" s="13"/>
      <c r="TM61" s="13"/>
      <c r="TN61" s="13"/>
      <c r="TO61" s="13"/>
      <c r="TP61" s="13"/>
      <c r="TQ61" s="13"/>
      <c r="TR61" s="13"/>
      <c r="TS61" s="13"/>
      <c r="TT61" s="13"/>
      <c r="TU61" s="13"/>
      <c r="TV61" s="13"/>
      <c r="TW61" s="13"/>
      <c r="TX61" s="13"/>
      <c r="TY61" s="13"/>
      <c r="TZ61" s="13"/>
      <c r="UA61" s="13"/>
      <c r="UB61" s="13"/>
      <c r="UC61" s="13"/>
      <c r="UD61" s="13"/>
      <c r="UE61" s="13"/>
      <c r="UF61" s="13"/>
      <c r="UG61" s="13"/>
      <c r="UH61" s="13"/>
      <c r="UI61" s="13"/>
      <c r="UJ61" s="13"/>
      <c r="UK61" s="13"/>
      <c r="UL61" s="13"/>
      <c r="UM61" s="13"/>
      <c r="UN61" s="13"/>
      <c r="UO61" s="13"/>
      <c r="UP61" s="13"/>
      <c r="UQ61" s="13"/>
      <c r="UR61" s="13"/>
      <c r="US61" s="13"/>
      <c r="UT61" s="13"/>
      <c r="UU61" s="13"/>
      <c r="UV61" s="13"/>
      <c r="UW61" s="13"/>
      <c r="UX61" s="13"/>
      <c r="UY61" s="13"/>
      <c r="UZ61" s="13"/>
      <c r="VA61" s="13"/>
      <c r="VB61" s="13"/>
      <c r="VC61" s="13"/>
      <c r="VD61" s="13"/>
      <c r="VE61" s="13"/>
      <c r="VF61" s="13"/>
      <c r="VG61" s="13"/>
      <c r="VH61" s="13"/>
      <c r="VI61" s="13"/>
      <c r="VJ61" s="13"/>
      <c r="VK61" s="13"/>
      <c r="VL61" s="13"/>
      <c r="VM61" s="13"/>
      <c r="VN61" s="13"/>
      <c r="VO61" s="13"/>
      <c r="VP61" s="13"/>
      <c r="VQ61" s="13"/>
      <c r="VR61" s="13"/>
      <c r="VS61" s="13"/>
      <c r="VT61" s="13"/>
      <c r="VU61" s="13"/>
      <c r="VV61" s="13"/>
      <c r="VW61" s="13"/>
      <c r="VX61" s="13"/>
      <c r="VY61" s="13"/>
      <c r="VZ61" s="13"/>
      <c r="WA61" s="13"/>
      <c r="WB61" s="13"/>
      <c r="WC61" s="13"/>
      <c r="WD61" s="13"/>
      <c r="WE61" s="13"/>
      <c r="WF61" s="13"/>
      <c r="WG61" s="13"/>
      <c r="WH61" s="13"/>
      <c r="WI61" s="13"/>
      <c r="WJ61" s="13"/>
      <c r="WK61" s="13"/>
      <c r="WL61" s="13"/>
      <c r="WM61" s="13"/>
      <c r="WN61" s="13"/>
      <c r="WO61" s="13"/>
      <c r="WP61" s="13"/>
      <c r="WQ61" s="13"/>
      <c r="WR61" s="13"/>
      <c r="WS61" s="13"/>
      <c r="WT61" s="13"/>
      <c r="WU61" s="13"/>
      <c r="WV61" s="13"/>
      <c r="WW61" s="13"/>
      <c r="WX61" s="13"/>
      <c r="WY61" s="13"/>
      <c r="WZ61" s="13"/>
      <c r="XA61" s="13"/>
      <c r="XB61" s="13"/>
      <c r="XC61" s="13"/>
      <c r="XD61" s="13"/>
      <c r="XE61" s="13"/>
      <c r="XF61" s="13"/>
      <c r="XG61" s="13"/>
      <c r="XH61" s="13"/>
      <c r="XI61" s="13"/>
      <c r="XJ61" s="13"/>
      <c r="XK61" s="13"/>
      <c r="XL61" s="13"/>
      <c r="XM61" s="13"/>
      <c r="XN61" s="13"/>
      <c r="XO61" s="13"/>
      <c r="XP61" s="13"/>
      <c r="XQ61" s="13"/>
      <c r="XR61" s="13"/>
      <c r="XS61" s="13"/>
      <c r="XT61" s="13"/>
      <c r="XU61" s="13"/>
      <c r="XV61" s="13"/>
      <c r="XW61" s="13"/>
      <c r="XX61" s="13"/>
      <c r="XY61" s="13"/>
      <c r="XZ61" s="13"/>
      <c r="YA61" s="13"/>
      <c r="YB61" s="13"/>
      <c r="YC61" s="13"/>
      <c r="YD61" s="13"/>
      <c r="YE61" s="13"/>
      <c r="YF61" s="13"/>
      <c r="YG61" s="13"/>
      <c r="YH61" s="13"/>
      <c r="YI61" s="13"/>
      <c r="YJ61" s="13"/>
      <c r="YK61" s="13"/>
      <c r="YL61" s="13"/>
      <c r="YM61" s="13"/>
      <c r="YN61" s="13"/>
      <c r="YO61" s="13"/>
      <c r="YP61" s="13"/>
      <c r="YQ61" s="13"/>
      <c r="YR61" s="13"/>
      <c r="YS61" s="13"/>
      <c r="YT61" s="13"/>
      <c r="YU61" s="13"/>
      <c r="YV61" s="13"/>
      <c r="YW61" s="13"/>
      <c r="YX61" s="13"/>
      <c r="YY61" s="13"/>
      <c r="YZ61" s="13"/>
      <c r="ZA61" s="13"/>
      <c r="ZB61" s="13"/>
      <c r="ZC61" s="13"/>
      <c r="ZD61" s="13"/>
      <c r="ZE61" s="13"/>
      <c r="ZF61" s="13"/>
      <c r="ZG61" s="13"/>
      <c r="ZH61" s="13"/>
      <c r="ZI61" s="13"/>
      <c r="ZJ61" s="13"/>
      <c r="ZK61" s="13"/>
      <c r="ZL61" s="13"/>
      <c r="ZM61" s="13"/>
      <c r="ZN61" s="13"/>
      <c r="ZO61" s="13"/>
      <c r="ZP61" s="13"/>
      <c r="ZQ61" s="13"/>
      <c r="ZR61" s="13"/>
      <c r="ZS61" s="13"/>
      <c r="ZT61" s="13"/>
      <c r="ZU61" s="13"/>
      <c r="ZV61" s="13"/>
      <c r="ZW61" s="13"/>
      <c r="ZX61" s="13"/>
      <c r="ZY61" s="13"/>
      <c r="ZZ61" s="13"/>
      <c r="AAA61" s="13"/>
      <c r="AAB61" s="13"/>
      <c r="AAC61" s="13"/>
      <c r="AAD61" s="13"/>
      <c r="AAE61" s="13"/>
      <c r="AAF61" s="13"/>
      <c r="AAG61" s="13"/>
      <c r="AAH61" s="13"/>
      <c r="AAI61" s="13"/>
      <c r="AAJ61" s="13"/>
      <c r="AAK61" s="13"/>
      <c r="AAL61" s="13"/>
      <c r="AAM61" s="13"/>
      <c r="AAN61" s="13"/>
      <c r="AAO61" s="13"/>
      <c r="AAP61" s="13"/>
      <c r="AAQ61" s="13"/>
      <c r="AAR61" s="13"/>
      <c r="AAS61" s="13"/>
      <c r="AAT61" s="13"/>
      <c r="AAU61" s="13"/>
      <c r="AAV61" s="13"/>
      <c r="AAW61" s="13"/>
      <c r="AAX61" s="13"/>
      <c r="AAY61" s="13"/>
      <c r="AAZ61" s="13"/>
      <c r="ABA61" s="13"/>
      <c r="ABB61" s="13"/>
      <c r="ABC61" s="13"/>
      <c r="ABD61" s="13"/>
      <c r="ABE61" s="13"/>
      <c r="ABF61" s="13"/>
      <c r="ABG61" s="13"/>
      <c r="ABH61" s="13"/>
      <c r="ABI61" s="13"/>
      <c r="ABJ61" s="13"/>
      <c r="ABK61" s="13"/>
      <c r="ABL61" s="13"/>
      <c r="ABM61" s="13"/>
      <c r="ABN61" s="13"/>
      <c r="ABO61" s="13"/>
      <c r="ABP61" s="13"/>
      <c r="ABQ61" s="13"/>
      <c r="ABR61" s="13"/>
      <c r="ABS61" s="13"/>
      <c r="ABT61" s="13"/>
      <c r="ABU61" s="13"/>
      <c r="ABV61" s="13"/>
      <c r="ABW61" s="13"/>
      <c r="ABX61" s="13"/>
      <c r="ABY61" s="13"/>
      <c r="ABZ61" s="13"/>
      <c r="ACA61" s="13"/>
      <c r="ACB61" s="13"/>
      <c r="ACC61" s="13"/>
      <c r="ACD61" s="13"/>
      <c r="ACE61" s="13"/>
      <c r="ACF61" s="13"/>
      <c r="ACG61" s="13"/>
      <c r="ACH61" s="13"/>
      <c r="ACI61" s="13"/>
      <c r="ACJ61" s="13"/>
      <c r="ACK61" s="13"/>
      <c r="ACL61" s="13"/>
      <c r="ACM61" s="13"/>
      <c r="ACN61" s="13"/>
      <c r="ACO61" s="13"/>
      <c r="ACP61" s="13"/>
      <c r="ACQ61" s="13"/>
      <c r="ACR61" s="13"/>
      <c r="ACS61" s="13"/>
      <c r="ACT61" s="13"/>
      <c r="ACU61" s="13"/>
      <c r="ACV61" s="13"/>
      <c r="ACW61" s="13"/>
      <c r="ACX61" s="13"/>
      <c r="ACY61" s="13"/>
      <c r="ACZ61" s="13"/>
      <c r="ADA61" s="13"/>
      <c r="ADB61" s="13"/>
      <c r="ADC61" s="13"/>
      <c r="ADD61" s="13"/>
      <c r="ADE61" s="13"/>
      <c r="ADF61" s="13"/>
      <c r="ADG61" s="13"/>
      <c r="ADH61" s="13"/>
      <c r="ADI61" s="13"/>
      <c r="ADJ61" s="13"/>
      <c r="ADK61" s="13"/>
      <c r="ADL61" s="13"/>
      <c r="ADM61" s="13"/>
      <c r="ADN61" s="13"/>
      <c r="ADO61" s="13"/>
      <c r="ADP61" s="13"/>
      <c r="ADQ61" s="13"/>
      <c r="ADR61" s="13"/>
      <c r="ADS61" s="13"/>
      <c r="ADT61" s="13"/>
      <c r="ADU61" s="13"/>
      <c r="ADV61" s="13"/>
      <c r="ADW61" s="13"/>
      <c r="ADX61" s="13"/>
      <c r="ADY61" s="13"/>
      <c r="ADZ61" s="13"/>
      <c r="AEA61" s="13"/>
      <c r="AEB61" s="13"/>
      <c r="AEC61" s="13"/>
      <c r="AED61" s="13"/>
      <c r="AEE61" s="13"/>
      <c r="AEF61" s="13"/>
      <c r="AEG61" s="13"/>
      <c r="AEH61" s="13"/>
      <c r="AEI61" s="13"/>
      <c r="AEJ61" s="13"/>
      <c r="AEK61" s="13"/>
      <c r="AEL61" s="13"/>
      <c r="AEM61" s="13"/>
      <c r="AEN61" s="13"/>
      <c r="AEO61" s="13"/>
      <c r="AEP61" s="13"/>
      <c r="AEQ61" s="13"/>
      <c r="AER61" s="13"/>
      <c r="AES61" s="13"/>
      <c r="AET61" s="13"/>
      <c r="AEU61" s="13"/>
      <c r="AEV61" s="13"/>
      <c r="AEW61" s="13"/>
      <c r="AEX61" s="13"/>
      <c r="AEY61" s="13"/>
      <c r="AEZ61" s="13"/>
      <c r="AFA61" s="13"/>
      <c r="AFB61" s="13"/>
      <c r="AFC61" s="13"/>
      <c r="AFD61" s="13"/>
      <c r="AFE61" s="13"/>
      <c r="AFF61" s="13"/>
      <c r="AFG61" s="13"/>
      <c r="AFH61" s="13"/>
      <c r="AFI61" s="13"/>
      <c r="AFJ61" s="13"/>
      <c r="AFK61" s="13"/>
      <c r="AFL61" s="13"/>
      <c r="AFM61" s="13"/>
      <c r="AFN61" s="13"/>
      <c r="AFO61" s="13"/>
      <c r="AFP61" s="13"/>
      <c r="AFQ61" s="13"/>
      <c r="AFR61" s="13"/>
      <c r="AFS61" s="13"/>
      <c r="AFT61" s="13"/>
      <c r="AFU61" s="13"/>
      <c r="AFV61" s="13"/>
      <c r="AFW61" s="13"/>
      <c r="AFX61" s="13"/>
      <c r="AFY61" s="13"/>
      <c r="AFZ61" s="13"/>
      <c r="AGA61" s="13"/>
      <c r="AGB61" s="13"/>
      <c r="AGC61" s="13"/>
      <c r="AGD61" s="13"/>
      <c r="AGE61" s="13"/>
      <c r="AGF61" s="13"/>
      <c r="AGG61" s="13"/>
      <c r="AGH61" s="13"/>
      <c r="AGI61" s="13"/>
      <c r="AGJ61" s="13"/>
      <c r="AGK61" s="13"/>
      <c r="AGL61" s="13"/>
      <c r="AGM61" s="13"/>
      <c r="AGN61" s="13"/>
      <c r="AGO61" s="13"/>
      <c r="AGP61" s="13"/>
      <c r="AGQ61" s="13"/>
      <c r="AGR61" s="13"/>
      <c r="AGS61" s="13"/>
      <c r="AGT61" s="13"/>
      <c r="AGU61" s="13"/>
      <c r="AGV61" s="13"/>
      <c r="AGW61" s="13"/>
      <c r="AGX61" s="13"/>
      <c r="AGY61" s="13"/>
      <c r="AGZ61" s="13"/>
      <c r="AHA61" s="13"/>
      <c r="AHB61" s="13"/>
      <c r="AHC61" s="13"/>
      <c r="AHD61" s="13"/>
      <c r="AHE61" s="13"/>
      <c r="AHF61" s="13"/>
      <c r="AHG61" s="13"/>
      <c r="AHH61" s="13"/>
      <c r="AHI61" s="13"/>
      <c r="AHJ61" s="13"/>
      <c r="AHK61" s="13"/>
      <c r="AHL61" s="13"/>
      <c r="AHM61" s="13"/>
      <c r="AHN61" s="13"/>
      <c r="AHO61" s="13"/>
      <c r="AHP61" s="13"/>
      <c r="AHQ61" s="13"/>
      <c r="AHR61" s="13"/>
      <c r="AHS61" s="13"/>
      <c r="AHT61" s="13"/>
      <c r="AHU61" s="13"/>
      <c r="AHV61" s="13"/>
      <c r="AHW61" s="13"/>
      <c r="AHX61" s="13"/>
      <c r="AHY61" s="13"/>
      <c r="AHZ61" s="13"/>
      <c r="AIA61" s="13"/>
      <c r="AIB61" s="13"/>
      <c r="AIC61" s="13"/>
      <c r="AID61" s="13"/>
      <c r="AIE61" s="13"/>
      <c r="AIF61" s="13"/>
      <c r="AIG61" s="13"/>
      <c r="AIH61" s="13"/>
      <c r="AII61" s="13"/>
      <c r="AIJ61" s="13"/>
      <c r="AIK61" s="13"/>
      <c r="AIL61" s="13"/>
      <c r="AIM61" s="13"/>
      <c r="AIN61" s="13"/>
      <c r="AIO61" s="13"/>
      <c r="AIP61" s="13"/>
      <c r="AIQ61" s="13"/>
      <c r="AIR61" s="13"/>
      <c r="AIS61" s="13"/>
      <c r="AIT61" s="13"/>
      <c r="AIU61" s="13"/>
      <c r="AIV61" s="13"/>
      <c r="AIW61" s="13"/>
      <c r="AIX61" s="13"/>
      <c r="AIY61" s="13"/>
      <c r="AIZ61" s="13"/>
      <c r="AJA61" s="13"/>
      <c r="AJB61" s="13"/>
      <c r="AJC61" s="13"/>
      <c r="AJD61" s="13"/>
      <c r="AJE61" s="13"/>
      <c r="AJF61" s="13"/>
      <c r="AJG61" s="13"/>
      <c r="AJH61" s="13"/>
      <c r="AJI61" s="13"/>
      <c r="AJJ61" s="13"/>
      <c r="AJK61" s="13"/>
      <c r="AJL61" s="13"/>
      <c r="AJM61" s="13"/>
      <c r="AJN61" s="13"/>
      <c r="AJO61" s="13"/>
      <c r="AJP61" s="13"/>
      <c r="AJQ61" s="13"/>
      <c r="AJR61" s="13"/>
      <c r="AJS61" s="13"/>
      <c r="AJT61" s="13"/>
      <c r="AJU61" s="13"/>
      <c r="AJV61" s="13"/>
      <c r="AJW61" s="13"/>
      <c r="AJX61" s="13"/>
      <c r="AJY61" s="13"/>
      <c r="AJZ61" s="13"/>
      <c r="AKA61" s="13"/>
      <c r="AKB61" s="13"/>
      <c r="AKC61" s="13"/>
      <c r="AKD61" s="13"/>
      <c r="AKE61" s="13"/>
      <c r="AKF61" s="13"/>
      <c r="AKG61" s="13"/>
      <c r="AKH61" s="13"/>
      <c r="AKI61" s="13"/>
      <c r="AKJ61" s="13"/>
      <c r="AKK61" s="13"/>
      <c r="AKL61" s="13"/>
      <c r="AKM61" s="13"/>
      <c r="AKN61" s="13"/>
      <c r="AKO61" s="13"/>
      <c r="AKP61" s="13"/>
      <c r="AKQ61" s="13"/>
      <c r="AKR61" s="13"/>
      <c r="AKS61" s="13"/>
      <c r="AKT61" s="13"/>
      <c r="AKU61" s="13"/>
      <c r="AKV61" s="13"/>
      <c r="AKW61" s="13"/>
      <c r="AKX61" s="13"/>
      <c r="AKY61" s="13"/>
      <c r="AKZ61" s="13"/>
      <c r="ALA61" s="13"/>
      <c r="ALB61" s="13"/>
      <c r="ALC61" s="13"/>
      <c r="ALD61" s="13"/>
      <c r="ALE61" s="13"/>
      <c r="ALF61" s="13"/>
      <c r="ALG61" s="13"/>
      <c r="ALH61" s="13"/>
      <c r="ALI61" s="13"/>
      <c r="ALJ61" s="13"/>
      <c r="ALK61" s="13"/>
      <c r="ALL61" s="13"/>
      <c r="ALM61" s="13"/>
      <c r="ALN61" s="13"/>
      <c r="ALO61" s="13"/>
      <c r="ALP61" s="13"/>
      <c r="ALQ61" s="13"/>
      <c r="ALR61" s="13"/>
      <c r="ALS61" s="13"/>
      <c r="ALT61" s="13"/>
      <c r="ALU61" s="13"/>
      <c r="ALV61" s="13"/>
      <c r="ALW61" s="13"/>
      <c r="ALX61" s="13"/>
      <c r="ALY61" s="13"/>
      <c r="ALZ61" s="13"/>
      <c r="AMA61" s="13"/>
      <c r="AMB61" s="13"/>
      <c r="AMC61" s="13"/>
      <c r="AMD61" s="13"/>
      <c r="AME61" s="13"/>
      <c r="AMF61" s="13"/>
      <c r="AMG61" s="13"/>
      <c r="AMH61" s="13"/>
      <c r="AMI61" s="13"/>
      <c r="AMJ61" s="13"/>
      <c r="AMK61" s="13"/>
    </row>
    <row r="62" spans="1:1025" s="133" customFormat="1" ht="12.75" customHeight="1" x14ac:dyDescent="0.2">
      <c r="A62" s="38" t="s">
        <v>149</v>
      </c>
      <c r="B62" s="51"/>
      <c r="C62" s="51"/>
      <c r="D62" s="39"/>
      <c r="E62" s="8"/>
      <c r="F62" s="8"/>
      <c r="G62" s="6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  <c r="JP62" s="13"/>
      <c r="JQ62" s="13"/>
      <c r="JR62" s="13"/>
      <c r="JS62" s="13"/>
      <c r="JT62" s="13"/>
      <c r="JU62" s="13"/>
      <c r="JV62" s="13"/>
      <c r="JW62" s="13"/>
      <c r="JX62" s="13"/>
      <c r="JY62" s="13"/>
      <c r="JZ62" s="13"/>
      <c r="KA62" s="13"/>
      <c r="KB62" s="13"/>
      <c r="KC62" s="13"/>
      <c r="KD62" s="13"/>
      <c r="KE62" s="13"/>
      <c r="KF62" s="13"/>
      <c r="KG62" s="13"/>
      <c r="KH62" s="13"/>
      <c r="KI62" s="13"/>
      <c r="KJ62" s="13"/>
      <c r="KK62" s="13"/>
      <c r="KL62" s="13"/>
      <c r="KM62" s="13"/>
      <c r="KN62" s="13"/>
      <c r="KO62" s="13"/>
      <c r="KP62" s="13"/>
      <c r="KQ62" s="13"/>
      <c r="KR62" s="13"/>
      <c r="KS62" s="13"/>
      <c r="KT62" s="13"/>
      <c r="KU62" s="13"/>
      <c r="KV62" s="13"/>
      <c r="KW62" s="13"/>
      <c r="KX62" s="13"/>
      <c r="KY62" s="13"/>
      <c r="KZ62" s="13"/>
      <c r="LA62" s="13"/>
      <c r="LB62" s="13"/>
      <c r="LC62" s="13"/>
      <c r="LD62" s="13"/>
      <c r="LE62" s="13"/>
      <c r="LF62" s="13"/>
      <c r="LG62" s="13"/>
      <c r="LH62" s="13"/>
      <c r="LI62" s="13"/>
      <c r="LJ62" s="13"/>
      <c r="LK62" s="13"/>
      <c r="LL62" s="13"/>
      <c r="LM62" s="13"/>
      <c r="LN62" s="13"/>
      <c r="LO62" s="13"/>
      <c r="LP62" s="13"/>
      <c r="LQ62" s="13"/>
      <c r="LR62" s="13"/>
      <c r="LS62" s="13"/>
      <c r="LT62" s="13"/>
      <c r="LU62" s="13"/>
      <c r="LV62" s="13"/>
      <c r="LW62" s="13"/>
      <c r="LX62" s="13"/>
      <c r="LY62" s="13"/>
      <c r="LZ62" s="13"/>
      <c r="MA62" s="13"/>
      <c r="MB62" s="13"/>
      <c r="MC62" s="13"/>
      <c r="MD62" s="13"/>
      <c r="ME62" s="13"/>
      <c r="MF62" s="13"/>
      <c r="MG62" s="13"/>
      <c r="MH62" s="13"/>
      <c r="MI62" s="13"/>
      <c r="MJ62" s="13"/>
      <c r="MK62" s="13"/>
      <c r="ML62" s="13"/>
      <c r="MM62" s="13"/>
      <c r="MN62" s="13"/>
      <c r="MO62" s="13"/>
      <c r="MP62" s="13"/>
      <c r="MQ62" s="13"/>
      <c r="MR62" s="13"/>
      <c r="MS62" s="13"/>
      <c r="MT62" s="13"/>
      <c r="MU62" s="13"/>
      <c r="MV62" s="13"/>
      <c r="MW62" s="13"/>
      <c r="MX62" s="13"/>
      <c r="MY62" s="13"/>
      <c r="MZ62" s="13"/>
      <c r="NA62" s="13"/>
      <c r="NB62" s="13"/>
      <c r="NC62" s="13"/>
      <c r="ND62" s="13"/>
      <c r="NE62" s="13"/>
      <c r="NF62" s="13"/>
      <c r="NG62" s="13"/>
      <c r="NH62" s="13"/>
      <c r="NI62" s="13"/>
      <c r="NJ62" s="13"/>
      <c r="NK62" s="13"/>
      <c r="NL62" s="13"/>
      <c r="NM62" s="13"/>
      <c r="NN62" s="13"/>
      <c r="NO62" s="13"/>
      <c r="NP62" s="13"/>
      <c r="NQ62" s="13"/>
      <c r="NR62" s="13"/>
      <c r="NS62" s="13"/>
      <c r="NT62" s="13"/>
      <c r="NU62" s="13"/>
      <c r="NV62" s="13"/>
      <c r="NW62" s="13"/>
      <c r="NX62" s="13"/>
      <c r="NY62" s="13"/>
      <c r="NZ62" s="13"/>
      <c r="OA62" s="13"/>
      <c r="OB62" s="13"/>
      <c r="OC62" s="13"/>
      <c r="OD62" s="13"/>
      <c r="OE62" s="13"/>
      <c r="OF62" s="13"/>
      <c r="OG62" s="13"/>
      <c r="OH62" s="13"/>
      <c r="OI62" s="13"/>
      <c r="OJ62" s="13"/>
      <c r="OK62" s="13"/>
      <c r="OL62" s="13"/>
      <c r="OM62" s="13"/>
      <c r="ON62" s="13"/>
      <c r="OO62" s="13"/>
      <c r="OP62" s="13"/>
      <c r="OQ62" s="13"/>
      <c r="OR62" s="13"/>
      <c r="OS62" s="13"/>
      <c r="OT62" s="13"/>
      <c r="OU62" s="13"/>
      <c r="OV62" s="13"/>
      <c r="OW62" s="13"/>
      <c r="OX62" s="13"/>
      <c r="OY62" s="13"/>
      <c r="OZ62" s="13"/>
      <c r="PA62" s="13"/>
      <c r="PB62" s="13"/>
      <c r="PC62" s="13"/>
      <c r="PD62" s="13"/>
      <c r="PE62" s="13"/>
      <c r="PF62" s="13"/>
      <c r="PG62" s="13"/>
      <c r="PH62" s="13"/>
      <c r="PI62" s="13"/>
      <c r="PJ62" s="13"/>
      <c r="PK62" s="13"/>
      <c r="PL62" s="13"/>
      <c r="PM62" s="13"/>
      <c r="PN62" s="13"/>
      <c r="PO62" s="13"/>
      <c r="PP62" s="13"/>
      <c r="PQ62" s="13"/>
      <c r="PR62" s="13"/>
      <c r="PS62" s="13"/>
      <c r="PT62" s="13"/>
      <c r="PU62" s="13"/>
      <c r="PV62" s="13"/>
      <c r="PW62" s="13"/>
      <c r="PX62" s="13"/>
      <c r="PY62" s="13"/>
      <c r="PZ62" s="13"/>
      <c r="QA62" s="13"/>
      <c r="QB62" s="13"/>
      <c r="QC62" s="13"/>
      <c r="QD62" s="13"/>
      <c r="QE62" s="13"/>
      <c r="QF62" s="13"/>
      <c r="QG62" s="13"/>
      <c r="QH62" s="13"/>
      <c r="QI62" s="13"/>
      <c r="QJ62" s="13"/>
      <c r="QK62" s="13"/>
      <c r="QL62" s="13"/>
      <c r="QM62" s="13"/>
      <c r="QN62" s="13"/>
      <c r="QO62" s="13"/>
      <c r="QP62" s="13"/>
      <c r="QQ62" s="13"/>
      <c r="QR62" s="13"/>
      <c r="QS62" s="13"/>
      <c r="QT62" s="13"/>
      <c r="QU62" s="13"/>
      <c r="QV62" s="13"/>
      <c r="QW62" s="13"/>
      <c r="QX62" s="13"/>
      <c r="QY62" s="13"/>
      <c r="QZ62" s="13"/>
      <c r="RA62" s="13"/>
      <c r="RB62" s="13"/>
      <c r="RC62" s="13"/>
      <c r="RD62" s="13"/>
      <c r="RE62" s="13"/>
      <c r="RF62" s="13"/>
      <c r="RG62" s="13"/>
      <c r="RH62" s="13"/>
      <c r="RI62" s="13"/>
      <c r="RJ62" s="13"/>
      <c r="RK62" s="13"/>
      <c r="RL62" s="13"/>
      <c r="RM62" s="13"/>
      <c r="RN62" s="13"/>
      <c r="RO62" s="13"/>
      <c r="RP62" s="13"/>
      <c r="RQ62" s="13"/>
      <c r="RR62" s="13"/>
      <c r="RS62" s="13"/>
      <c r="RT62" s="13"/>
      <c r="RU62" s="13"/>
      <c r="RV62" s="13"/>
      <c r="RW62" s="13"/>
      <c r="RX62" s="13"/>
      <c r="RY62" s="13"/>
      <c r="RZ62" s="13"/>
      <c r="SA62" s="13"/>
      <c r="SB62" s="13"/>
      <c r="SC62" s="13"/>
      <c r="SD62" s="13"/>
      <c r="SE62" s="13"/>
      <c r="SF62" s="13"/>
      <c r="SG62" s="13"/>
      <c r="SH62" s="13"/>
      <c r="SI62" s="13"/>
      <c r="SJ62" s="13"/>
      <c r="SK62" s="13"/>
      <c r="SL62" s="13"/>
      <c r="SM62" s="13"/>
      <c r="SN62" s="13"/>
      <c r="SO62" s="13"/>
      <c r="SP62" s="13"/>
      <c r="SQ62" s="13"/>
      <c r="SR62" s="13"/>
      <c r="SS62" s="13"/>
      <c r="ST62" s="13"/>
      <c r="SU62" s="13"/>
      <c r="SV62" s="13"/>
      <c r="SW62" s="13"/>
      <c r="SX62" s="13"/>
      <c r="SY62" s="13"/>
      <c r="SZ62" s="13"/>
      <c r="TA62" s="13"/>
      <c r="TB62" s="13"/>
      <c r="TC62" s="13"/>
      <c r="TD62" s="13"/>
      <c r="TE62" s="13"/>
      <c r="TF62" s="13"/>
      <c r="TG62" s="13"/>
      <c r="TH62" s="13"/>
      <c r="TI62" s="13"/>
      <c r="TJ62" s="13"/>
      <c r="TK62" s="13"/>
      <c r="TL62" s="13"/>
      <c r="TM62" s="13"/>
      <c r="TN62" s="13"/>
      <c r="TO62" s="13"/>
      <c r="TP62" s="13"/>
      <c r="TQ62" s="13"/>
      <c r="TR62" s="13"/>
      <c r="TS62" s="13"/>
      <c r="TT62" s="13"/>
      <c r="TU62" s="13"/>
      <c r="TV62" s="13"/>
      <c r="TW62" s="13"/>
      <c r="TX62" s="13"/>
      <c r="TY62" s="13"/>
      <c r="TZ62" s="13"/>
      <c r="UA62" s="13"/>
      <c r="UB62" s="13"/>
      <c r="UC62" s="13"/>
      <c r="UD62" s="13"/>
      <c r="UE62" s="13"/>
      <c r="UF62" s="13"/>
      <c r="UG62" s="13"/>
      <c r="UH62" s="13"/>
      <c r="UI62" s="13"/>
      <c r="UJ62" s="13"/>
      <c r="UK62" s="13"/>
      <c r="UL62" s="13"/>
      <c r="UM62" s="13"/>
      <c r="UN62" s="13"/>
      <c r="UO62" s="13"/>
      <c r="UP62" s="13"/>
      <c r="UQ62" s="13"/>
      <c r="UR62" s="13"/>
      <c r="US62" s="13"/>
      <c r="UT62" s="13"/>
      <c r="UU62" s="13"/>
      <c r="UV62" s="13"/>
      <c r="UW62" s="13"/>
      <c r="UX62" s="13"/>
      <c r="UY62" s="13"/>
      <c r="UZ62" s="13"/>
      <c r="VA62" s="13"/>
      <c r="VB62" s="13"/>
      <c r="VC62" s="13"/>
      <c r="VD62" s="13"/>
      <c r="VE62" s="13"/>
      <c r="VF62" s="13"/>
      <c r="VG62" s="13"/>
      <c r="VH62" s="13"/>
      <c r="VI62" s="13"/>
      <c r="VJ62" s="13"/>
      <c r="VK62" s="13"/>
      <c r="VL62" s="13"/>
      <c r="VM62" s="13"/>
      <c r="VN62" s="13"/>
      <c r="VO62" s="13"/>
      <c r="VP62" s="13"/>
      <c r="VQ62" s="13"/>
      <c r="VR62" s="13"/>
      <c r="VS62" s="13"/>
      <c r="VT62" s="13"/>
      <c r="VU62" s="13"/>
      <c r="VV62" s="13"/>
      <c r="VW62" s="13"/>
      <c r="VX62" s="13"/>
      <c r="VY62" s="13"/>
      <c r="VZ62" s="13"/>
      <c r="WA62" s="13"/>
      <c r="WB62" s="13"/>
      <c r="WC62" s="13"/>
      <c r="WD62" s="13"/>
      <c r="WE62" s="13"/>
      <c r="WF62" s="13"/>
      <c r="WG62" s="13"/>
      <c r="WH62" s="13"/>
      <c r="WI62" s="13"/>
      <c r="WJ62" s="13"/>
      <c r="WK62" s="13"/>
      <c r="WL62" s="13"/>
      <c r="WM62" s="13"/>
      <c r="WN62" s="13"/>
      <c r="WO62" s="13"/>
      <c r="WP62" s="13"/>
      <c r="WQ62" s="13"/>
      <c r="WR62" s="13"/>
      <c r="WS62" s="13"/>
      <c r="WT62" s="13"/>
      <c r="WU62" s="13"/>
      <c r="WV62" s="13"/>
      <c r="WW62" s="13"/>
      <c r="WX62" s="13"/>
      <c r="WY62" s="13"/>
      <c r="WZ62" s="13"/>
      <c r="XA62" s="13"/>
      <c r="XB62" s="13"/>
      <c r="XC62" s="13"/>
      <c r="XD62" s="13"/>
      <c r="XE62" s="13"/>
      <c r="XF62" s="13"/>
      <c r="XG62" s="13"/>
      <c r="XH62" s="13"/>
      <c r="XI62" s="13"/>
      <c r="XJ62" s="13"/>
      <c r="XK62" s="13"/>
      <c r="XL62" s="13"/>
      <c r="XM62" s="13"/>
      <c r="XN62" s="13"/>
      <c r="XO62" s="13"/>
      <c r="XP62" s="13"/>
      <c r="XQ62" s="13"/>
      <c r="XR62" s="13"/>
      <c r="XS62" s="13"/>
      <c r="XT62" s="13"/>
      <c r="XU62" s="13"/>
      <c r="XV62" s="13"/>
      <c r="XW62" s="13"/>
      <c r="XX62" s="13"/>
      <c r="XY62" s="13"/>
      <c r="XZ62" s="13"/>
      <c r="YA62" s="13"/>
      <c r="YB62" s="13"/>
      <c r="YC62" s="13"/>
      <c r="YD62" s="13"/>
      <c r="YE62" s="13"/>
      <c r="YF62" s="13"/>
      <c r="YG62" s="13"/>
      <c r="YH62" s="13"/>
      <c r="YI62" s="13"/>
      <c r="YJ62" s="13"/>
      <c r="YK62" s="13"/>
      <c r="YL62" s="13"/>
      <c r="YM62" s="13"/>
      <c r="YN62" s="13"/>
      <c r="YO62" s="13"/>
      <c r="YP62" s="13"/>
      <c r="YQ62" s="13"/>
      <c r="YR62" s="13"/>
      <c r="YS62" s="13"/>
      <c r="YT62" s="13"/>
      <c r="YU62" s="13"/>
      <c r="YV62" s="13"/>
      <c r="YW62" s="13"/>
      <c r="YX62" s="13"/>
      <c r="YY62" s="13"/>
      <c r="YZ62" s="13"/>
      <c r="ZA62" s="13"/>
      <c r="ZB62" s="13"/>
      <c r="ZC62" s="13"/>
      <c r="ZD62" s="13"/>
      <c r="ZE62" s="13"/>
      <c r="ZF62" s="13"/>
      <c r="ZG62" s="13"/>
      <c r="ZH62" s="13"/>
      <c r="ZI62" s="13"/>
      <c r="ZJ62" s="13"/>
      <c r="ZK62" s="13"/>
      <c r="ZL62" s="13"/>
      <c r="ZM62" s="13"/>
      <c r="ZN62" s="13"/>
      <c r="ZO62" s="13"/>
      <c r="ZP62" s="13"/>
      <c r="ZQ62" s="13"/>
      <c r="ZR62" s="13"/>
      <c r="ZS62" s="13"/>
      <c r="ZT62" s="13"/>
      <c r="ZU62" s="13"/>
      <c r="ZV62" s="13"/>
      <c r="ZW62" s="13"/>
      <c r="ZX62" s="13"/>
      <c r="ZY62" s="13"/>
      <c r="ZZ62" s="13"/>
      <c r="AAA62" s="13"/>
      <c r="AAB62" s="13"/>
      <c r="AAC62" s="13"/>
      <c r="AAD62" s="13"/>
      <c r="AAE62" s="13"/>
      <c r="AAF62" s="13"/>
      <c r="AAG62" s="13"/>
      <c r="AAH62" s="13"/>
      <c r="AAI62" s="13"/>
      <c r="AAJ62" s="13"/>
      <c r="AAK62" s="13"/>
      <c r="AAL62" s="13"/>
      <c r="AAM62" s="13"/>
      <c r="AAN62" s="13"/>
      <c r="AAO62" s="13"/>
      <c r="AAP62" s="13"/>
      <c r="AAQ62" s="13"/>
      <c r="AAR62" s="13"/>
      <c r="AAS62" s="13"/>
      <c r="AAT62" s="13"/>
      <c r="AAU62" s="13"/>
      <c r="AAV62" s="13"/>
      <c r="AAW62" s="13"/>
      <c r="AAX62" s="13"/>
      <c r="AAY62" s="13"/>
      <c r="AAZ62" s="13"/>
      <c r="ABA62" s="13"/>
      <c r="ABB62" s="13"/>
      <c r="ABC62" s="13"/>
      <c r="ABD62" s="13"/>
      <c r="ABE62" s="13"/>
      <c r="ABF62" s="13"/>
      <c r="ABG62" s="13"/>
      <c r="ABH62" s="13"/>
      <c r="ABI62" s="13"/>
      <c r="ABJ62" s="13"/>
      <c r="ABK62" s="13"/>
      <c r="ABL62" s="13"/>
      <c r="ABM62" s="13"/>
      <c r="ABN62" s="13"/>
      <c r="ABO62" s="13"/>
      <c r="ABP62" s="13"/>
      <c r="ABQ62" s="13"/>
      <c r="ABR62" s="13"/>
      <c r="ABS62" s="13"/>
      <c r="ABT62" s="13"/>
      <c r="ABU62" s="13"/>
      <c r="ABV62" s="13"/>
      <c r="ABW62" s="13"/>
      <c r="ABX62" s="13"/>
      <c r="ABY62" s="13"/>
      <c r="ABZ62" s="13"/>
      <c r="ACA62" s="13"/>
      <c r="ACB62" s="13"/>
      <c r="ACC62" s="13"/>
      <c r="ACD62" s="13"/>
      <c r="ACE62" s="13"/>
      <c r="ACF62" s="13"/>
      <c r="ACG62" s="13"/>
      <c r="ACH62" s="13"/>
      <c r="ACI62" s="13"/>
      <c r="ACJ62" s="13"/>
      <c r="ACK62" s="13"/>
      <c r="ACL62" s="13"/>
      <c r="ACM62" s="13"/>
      <c r="ACN62" s="13"/>
      <c r="ACO62" s="13"/>
      <c r="ACP62" s="13"/>
      <c r="ACQ62" s="13"/>
      <c r="ACR62" s="13"/>
      <c r="ACS62" s="13"/>
      <c r="ACT62" s="13"/>
      <c r="ACU62" s="13"/>
      <c r="ACV62" s="13"/>
      <c r="ACW62" s="13"/>
      <c r="ACX62" s="13"/>
      <c r="ACY62" s="13"/>
      <c r="ACZ62" s="13"/>
      <c r="ADA62" s="13"/>
      <c r="ADB62" s="13"/>
      <c r="ADC62" s="13"/>
      <c r="ADD62" s="13"/>
      <c r="ADE62" s="13"/>
      <c r="ADF62" s="13"/>
      <c r="ADG62" s="13"/>
      <c r="ADH62" s="13"/>
      <c r="ADI62" s="13"/>
      <c r="ADJ62" s="13"/>
      <c r="ADK62" s="13"/>
      <c r="ADL62" s="13"/>
      <c r="ADM62" s="13"/>
      <c r="ADN62" s="13"/>
      <c r="ADO62" s="13"/>
      <c r="ADP62" s="13"/>
      <c r="ADQ62" s="13"/>
      <c r="ADR62" s="13"/>
      <c r="ADS62" s="13"/>
      <c r="ADT62" s="13"/>
      <c r="ADU62" s="13"/>
      <c r="ADV62" s="13"/>
      <c r="ADW62" s="13"/>
      <c r="ADX62" s="13"/>
      <c r="ADY62" s="13"/>
      <c r="ADZ62" s="13"/>
      <c r="AEA62" s="13"/>
      <c r="AEB62" s="13"/>
      <c r="AEC62" s="13"/>
      <c r="AED62" s="13"/>
      <c r="AEE62" s="13"/>
      <c r="AEF62" s="13"/>
      <c r="AEG62" s="13"/>
      <c r="AEH62" s="13"/>
      <c r="AEI62" s="13"/>
      <c r="AEJ62" s="13"/>
      <c r="AEK62" s="13"/>
      <c r="AEL62" s="13"/>
      <c r="AEM62" s="13"/>
      <c r="AEN62" s="13"/>
      <c r="AEO62" s="13"/>
      <c r="AEP62" s="13"/>
      <c r="AEQ62" s="13"/>
      <c r="AER62" s="13"/>
      <c r="AES62" s="13"/>
      <c r="AET62" s="13"/>
      <c r="AEU62" s="13"/>
      <c r="AEV62" s="13"/>
      <c r="AEW62" s="13"/>
      <c r="AEX62" s="13"/>
      <c r="AEY62" s="13"/>
      <c r="AEZ62" s="13"/>
      <c r="AFA62" s="13"/>
      <c r="AFB62" s="13"/>
      <c r="AFC62" s="13"/>
      <c r="AFD62" s="13"/>
      <c r="AFE62" s="13"/>
      <c r="AFF62" s="13"/>
      <c r="AFG62" s="13"/>
      <c r="AFH62" s="13"/>
      <c r="AFI62" s="13"/>
      <c r="AFJ62" s="13"/>
      <c r="AFK62" s="13"/>
      <c r="AFL62" s="13"/>
      <c r="AFM62" s="13"/>
      <c r="AFN62" s="13"/>
      <c r="AFO62" s="13"/>
      <c r="AFP62" s="13"/>
      <c r="AFQ62" s="13"/>
      <c r="AFR62" s="13"/>
      <c r="AFS62" s="13"/>
      <c r="AFT62" s="13"/>
      <c r="AFU62" s="13"/>
      <c r="AFV62" s="13"/>
      <c r="AFW62" s="13"/>
      <c r="AFX62" s="13"/>
      <c r="AFY62" s="13"/>
      <c r="AFZ62" s="13"/>
      <c r="AGA62" s="13"/>
      <c r="AGB62" s="13"/>
      <c r="AGC62" s="13"/>
      <c r="AGD62" s="13"/>
      <c r="AGE62" s="13"/>
      <c r="AGF62" s="13"/>
      <c r="AGG62" s="13"/>
      <c r="AGH62" s="13"/>
      <c r="AGI62" s="13"/>
      <c r="AGJ62" s="13"/>
      <c r="AGK62" s="13"/>
      <c r="AGL62" s="13"/>
      <c r="AGM62" s="13"/>
      <c r="AGN62" s="13"/>
      <c r="AGO62" s="13"/>
      <c r="AGP62" s="13"/>
      <c r="AGQ62" s="13"/>
      <c r="AGR62" s="13"/>
      <c r="AGS62" s="13"/>
      <c r="AGT62" s="13"/>
      <c r="AGU62" s="13"/>
      <c r="AGV62" s="13"/>
      <c r="AGW62" s="13"/>
      <c r="AGX62" s="13"/>
      <c r="AGY62" s="13"/>
      <c r="AGZ62" s="13"/>
      <c r="AHA62" s="13"/>
      <c r="AHB62" s="13"/>
      <c r="AHC62" s="13"/>
      <c r="AHD62" s="13"/>
      <c r="AHE62" s="13"/>
      <c r="AHF62" s="13"/>
      <c r="AHG62" s="13"/>
      <c r="AHH62" s="13"/>
      <c r="AHI62" s="13"/>
      <c r="AHJ62" s="13"/>
      <c r="AHK62" s="13"/>
      <c r="AHL62" s="13"/>
      <c r="AHM62" s="13"/>
      <c r="AHN62" s="13"/>
      <c r="AHO62" s="13"/>
      <c r="AHP62" s="13"/>
      <c r="AHQ62" s="13"/>
      <c r="AHR62" s="13"/>
      <c r="AHS62" s="13"/>
      <c r="AHT62" s="13"/>
      <c r="AHU62" s="13"/>
      <c r="AHV62" s="13"/>
      <c r="AHW62" s="13"/>
      <c r="AHX62" s="13"/>
      <c r="AHY62" s="13"/>
      <c r="AHZ62" s="13"/>
      <c r="AIA62" s="13"/>
      <c r="AIB62" s="13"/>
      <c r="AIC62" s="13"/>
      <c r="AID62" s="13"/>
      <c r="AIE62" s="13"/>
      <c r="AIF62" s="13"/>
      <c r="AIG62" s="13"/>
      <c r="AIH62" s="13"/>
      <c r="AII62" s="13"/>
      <c r="AIJ62" s="13"/>
      <c r="AIK62" s="13"/>
      <c r="AIL62" s="13"/>
      <c r="AIM62" s="13"/>
      <c r="AIN62" s="13"/>
      <c r="AIO62" s="13"/>
      <c r="AIP62" s="13"/>
      <c r="AIQ62" s="13"/>
      <c r="AIR62" s="13"/>
      <c r="AIS62" s="13"/>
      <c r="AIT62" s="13"/>
      <c r="AIU62" s="13"/>
      <c r="AIV62" s="13"/>
      <c r="AIW62" s="13"/>
      <c r="AIX62" s="13"/>
      <c r="AIY62" s="13"/>
      <c r="AIZ62" s="13"/>
      <c r="AJA62" s="13"/>
      <c r="AJB62" s="13"/>
      <c r="AJC62" s="13"/>
      <c r="AJD62" s="13"/>
      <c r="AJE62" s="13"/>
      <c r="AJF62" s="13"/>
      <c r="AJG62" s="13"/>
      <c r="AJH62" s="13"/>
      <c r="AJI62" s="13"/>
      <c r="AJJ62" s="13"/>
      <c r="AJK62" s="13"/>
      <c r="AJL62" s="13"/>
      <c r="AJM62" s="13"/>
      <c r="AJN62" s="13"/>
      <c r="AJO62" s="13"/>
      <c r="AJP62" s="13"/>
      <c r="AJQ62" s="13"/>
      <c r="AJR62" s="13"/>
      <c r="AJS62" s="13"/>
      <c r="AJT62" s="13"/>
      <c r="AJU62" s="13"/>
      <c r="AJV62" s="13"/>
      <c r="AJW62" s="13"/>
      <c r="AJX62" s="13"/>
      <c r="AJY62" s="13"/>
      <c r="AJZ62" s="13"/>
      <c r="AKA62" s="13"/>
      <c r="AKB62" s="13"/>
      <c r="AKC62" s="13"/>
      <c r="AKD62" s="13"/>
      <c r="AKE62" s="13"/>
      <c r="AKF62" s="13"/>
      <c r="AKG62" s="13"/>
      <c r="AKH62" s="13"/>
      <c r="AKI62" s="13"/>
      <c r="AKJ62" s="13"/>
      <c r="AKK62" s="13"/>
      <c r="AKL62" s="13"/>
      <c r="AKM62" s="13"/>
      <c r="AKN62" s="13"/>
      <c r="AKO62" s="13"/>
      <c r="AKP62" s="13"/>
      <c r="AKQ62" s="13"/>
      <c r="AKR62" s="13"/>
      <c r="AKS62" s="13"/>
      <c r="AKT62" s="13"/>
      <c r="AKU62" s="13"/>
      <c r="AKV62" s="13"/>
      <c r="AKW62" s="13"/>
      <c r="AKX62" s="13"/>
      <c r="AKY62" s="13"/>
      <c r="AKZ62" s="13"/>
      <c r="ALA62" s="13"/>
      <c r="ALB62" s="13"/>
      <c r="ALC62" s="13"/>
      <c r="ALD62" s="13"/>
      <c r="ALE62" s="13"/>
      <c r="ALF62" s="13"/>
      <c r="ALG62" s="13"/>
      <c r="ALH62" s="13"/>
      <c r="ALI62" s="13"/>
      <c r="ALJ62" s="13"/>
      <c r="ALK62" s="13"/>
      <c r="ALL62" s="13"/>
      <c r="ALM62" s="13"/>
      <c r="ALN62" s="13"/>
      <c r="ALO62" s="13"/>
      <c r="ALP62" s="13"/>
      <c r="ALQ62" s="13"/>
      <c r="ALR62" s="13"/>
      <c r="ALS62" s="13"/>
      <c r="ALT62" s="13"/>
      <c r="ALU62" s="13"/>
      <c r="ALV62" s="13"/>
      <c r="ALW62" s="13"/>
      <c r="ALX62" s="13"/>
      <c r="ALY62" s="13"/>
      <c r="ALZ62" s="13"/>
      <c r="AMA62" s="13"/>
      <c r="AMB62" s="13"/>
      <c r="AMC62" s="13"/>
      <c r="AMD62" s="13"/>
      <c r="AME62" s="13"/>
      <c r="AMF62" s="13"/>
      <c r="AMG62" s="13"/>
      <c r="AMH62" s="13"/>
      <c r="AMI62" s="13"/>
      <c r="AMJ62" s="13"/>
      <c r="AMK62" s="13"/>
    </row>
    <row r="63" spans="1:1025" s="133" customFormat="1" ht="12.75" customHeight="1" x14ac:dyDescent="0.2">
      <c r="A63" s="52" t="s">
        <v>43</v>
      </c>
      <c r="B63" s="53"/>
      <c r="D63" s="54" t="s">
        <v>44</v>
      </c>
      <c r="E63" s="55"/>
      <c r="F63" s="8"/>
      <c r="G63" s="6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  <c r="JP63" s="13"/>
      <c r="JQ63" s="13"/>
      <c r="JR63" s="13"/>
      <c r="JS63" s="13"/>
      <c r="JT63" s="13"/>
      <c r="JU63" s="13"/>
      <c r="JV63" s="13"/>
      <c r="JW63" s="13"/>
      <c r="JX63" s="13"/>
      <c r="JY63" s="13"/>
      <c r="JZ63" s="13"/>
      <c r="KA63" s="13"/>
      <c r="KB63" s="13"/>
      <c r="KC63" s="13"/>
      <c r="KD63" s="13"/>
      <c r="KE63" s="13"/>
      <c r="KF63" s="13"/>
      <c r="KG63" s="13"/>
      <c r="KH63" s="13"/>
      <c r="KI63" s="13"/>
      <c r="KJ63" s="13"/>
      <c r="KK63" s="13"/>
      <c r="KL63" s="13"/>
      <c r="KM63" s="13"/>
      <c r="KN63" s="13"/>
      <c r="KO63" s="13"/>
      <c r="KP63" s="13"/>
      <c r="KQ63" s="13"/>
      <c r="KR63" s="13"/>
      <c r="KS63" s="13"/>
      <c r="KT63" s="13"/>
      <c r="KU63" s="13"/>
      <c r="KV63" s="13"/>
      <c r="KW63" s="13"/>
      <c r="KX63" s="13"/>
      <c r="KY63" s="13"/>
      <c r="KZ63" s="13"/>
      <c r="LA63" s="13"/>
      <c r="LB63" s="13"/>
      <c r="LC63" s="13"/>
      <c r="LD63" s="13"/>
      <c r="LE63" s="13"/>
      <c r="LF63" s="13"/>
      <c r="LG63" s="13"/>
      <c r="LH63" s="13"/>
      <c r="LI63" s="13"/>
      <c r="LJ63" s="13"/>
      <c r="LK63" s="13"/>
      <c r="LL63" s="13"/>
      <c r="LM63" s="13"/>
      <c r="LN63" s="13"/>
      <c r="LO63" s="13"/>
      <c r="LP63" s="13"/>
      <c r="LQ63" s="13"/>
      <c r="LR63" s="13"/>
      <c r="LS63" s="13"/>
      <c r="LT63" s="13"/>
      <c r="LU63" s="13"/>
      <c r="LV63" s="13"/>
      <c r="LW63" s="13"/>
      <c r="LX63" s="13"/>
      <c r="LY63" s="13"/>
      <c r="LZ63" s="13"/>
      <c r="MA63" s="13"/>
      <c r="MB63" s="13"/>
      <c r="MC63" s="13"/>
      <c r="MD63" s="13"/>
      <c r="ME63" s="13"/>
      <c r="MF63" s="13"/>
      <c r="MG63" s="13"/>
      <c r="MH63" s="13"/>
      <c r="MI63" s="13"/>
      <c r="MJ63" s="13"/>
      <c r="MK63" s="13"/>
      <c r="ML63" s="13"/>
      <c r="MM63" s="13"/>
      <c r="MN63" s="13"/>
      <c r="MO63" s="13"/>
      <c r="MP63" s="13"/>
      <c r="MQ63" s="13"/>
      <c r="MR63" s="13"/>
      <c r="MS63" s="13"/>
      <c r="MT63" s="13"/>
      <c r="MU63" s="13"/>
      <c r="MV63" s="13"/>
      <c r="MW63" s="13"/>
      <c r="MX63" s="13"/>
      <c r="MY63" s="13"/>
      <c r="MZ63" s="13"/>
      <c r="NA63" s="13"/>
      <c r="NB63" s="13"/>
      <c r="NC63" s="13"/>
      <c r="ND63" s="13"/>
      <c r="NE63" s="13"/>
      <c r="NF63" s="13"/>
      <c r="NG63" s="13"/>
      <c r="NH63" s="13"/>
      <c r="NI63" s="13"/>
      <c r="NJ63" s="13"/>
      <c r="NK63" s="13"/>
      <c r="NL63" s="13"/>
      <c r="NM63" s="13"/>
      <c r="NN63" s="13"/>
      <c r="NO63" s="13"/>
      <c r="NP63" s="13"/>
      <c r="NQ63" s="13"/>
      <c r="NR63" s="13"/>
      <c r="NS63" s="13"/>
      <c r="NT63" s="13"/>
      <c r="NU63" s="13"/>
      <c r="NV63" s="13"/>
      <c r="NW63" s="13"/>
      <c r="NX63" s="13"/>
      <c r="NY63" s="13"/>
      <c r="NZ63" s="13"/>
      <c r="OA63" s="13"/>
      <c r="OB63" s="13"/>
      <c r="OC63" s="13"/>
      <c r="OD63" s="13"/>
      <c r="OE63" s="13"/>
      <c r="OF63" s="13"/>
      <c r="OG63" s="13"/>
      <c r="OH63" s="13"/>
      <c r="OI63" s="13"/>
      <c r="OJ63" s="13"/>
      <c r="OK63" s="13"/>
      <c r="OL63" s="13"/>
      <c r="OM63" s="13"/>
      <c r="ON63" s="13"/>
      <c r="OO63" s="13"/>
      <c r="OP63" s="13"/>
      <c r="OQ63" s="13"/>
      <c r="OR63" s="13"/>
      <c r="OS63" s="13"/>
      <c r="OT63" s="13"/>
      <c r="OU63" s="13"/>
      <c r="OV63" s="13"/>
      <c r="OW63" s="13"/>
      <c r="OX63" s="13"/>
      <c r="OY63" s="13"/>
      <c r="OZ63" s="13"/>
      <c r="PA63" s="13"/>
      <c r="PB63" s="13"/>
      <c r="PC63" s="13"/>
      <c r="PD63" s="13"/>
      <c r="PE63" s="13"/>
      <c r="PF63" s="13"/>
      <c r="PG63" s="13"/>
      <c r="PH63" s="13"/>
      <c r="PI63" s="13"/>
      <c r="PJ63" s="13"/>
      <c r="PK63" s="13"/>
      <c r="PL63" s="13"/>
      <c r="PM63" s="13"/>
      <c r="PN63" s="13"/>
      <c r="PO63" s="13"/>
      <c r="PP63" s="13"/>
      <c r="PQ63" s="13"/>
      <c r="PR63" s="13"/>
      <c r="PS63" s="13"/>
      <c r="PT63" s="13"/>
      <c r="PU63" s="13"/>
      <c r="PV63" s="13"/>
      <c r="PW63" s="13"/>
      <c r="PX63" s="13"/>
      <c r="PY63" s="13"/>
      <c r="PZ63" s="13"/>
      <c r="QA63" s="13"/>
      <c r="QB63" s="13"/>
      <c r="QC63" s="13"/>
      <c r="QD63" s="13"/>
      <c r="QE63" s="13"/>
      <c r="QF63" s="13"/>
      <c r="QG63" s="13"/>
      <c r="QH63" s="13"/>
      <c r="QI63" s="13"/>
      <c r="QJ63" s="13"/>
      <c r="QK63" s="13"/>
      <c r="QL63" s="13"/>
      <c r="QM63" s="13"/>
      <c r="QN63" s="13"/>
      <c r="QO63" s="13"/>
      <c r="QP63" s="13"/>
      <c r="QQ63" s="13"/>
      <c r="QR63" s="13"/>
      <c r="QS63" s="13"/>
      <c r="QT63" s="13"/>
      <c r="QU63" s="13"/>
      <c r="QV63" s="13"/>
      <c r="QW63" s="13"/>
      <c r="QX63" s="13"/>
      <c r="QY63" s="13"/>
      <c r="QZ63" s="13"/>
      <c r="RA63" s="13"/>
      <c r="RB63" s="13"/>
      <c r="RC63" s="13"/>
      <c r="RD63" s="13"/>
      <c r="RE63" s="13"/>
      <c r="RF63" s="13"/>
      <c r="RG63" s="13"/>
      <c r="RH63" s="13"/>
      <c r="RI63" s="13"/>
      <c r="RJ63" s="13"/>
      <c r="RK63" s="13"/>
      <c r="RL63" s="13"/>
      <c r="RM63" s="13"/>
      <c r="RN63" s="13"/>
      <c r="RO63" s="13"/>
      <c r="RP63" s="13"/>
      <c r="RQ63" s="13"/>
      <c r="RR63" s="13"/>
      <c r="RS63" s="13"/>
      <c r="RT63" s="13"/>
      <c r="RU63" s="13"/>
      <c r="RV63" s="13"/>
      <c r="RW63" s="13"/>
      <c r="RX63" s="13"/>
      <c r="RY63" s="13"/>
      <c r="RZ63" s="13"/>
      <c r="SA63" s="13"/>
      <c r="SB63" s="13"/>
      <c r="SC63" s="13"/>
      <c r="SD63" s="13"/>
      <c r="SE63" s="13"/>
      <c r="SF63" s="13"/>
      <c r="SG63" s="13"/>
      <c r="SH63" s="13"/>
      <c r="SI63" s="13"/>
      <c r="SJ63" s="13"/>
      <c r="SK63" s="13"/>
      <c r="SL63" s="13"/>
      <c r="SM63" s="13"/>
      <c r="SN63" s="13"/>
      <c r="SO63" s="13"/>
      <c r="SP63" s="13"/>
      <c r="SQ63" s="13"/>
      <c r="SR63" s="13"/>
      <c r="SS63" s="13"/>
      <c r="ST63" s="13"/>
      <c r="SU63" s="13"/>
      <c r="SV63" s="13"/>
      <c r="SW63" s="13"/>
      <c r="SX63" s="13"/>
      <c r="SY63" s="13"/>
      <c r="SZ63" s="13"/>
      <c r="TA63" s="13"/>
      <c r="TB63" s="13"/>
      <c r="TC63" s="13"/>
      <c r="TD63" s="13"/>
      <c r="TE63" s="13"/>
      <c r="TF63" s="13"/>
      <c r="TG63" s="13"/>
      <c r="TH63" s="13"/>
      <c r="TI63" s="13"/>
      <c r="TJ63" s="13"/>
      <c r="TK63" s="13"/>
      <c r="TL63" s="13"/>
      <c r="TM63" s="13"/>
      <c r="TN63" s="13"/>
      <c r="TO63" s="13"/>
      <c r="TP63" s="13"/>
      <c r="TQ63" s="13"/>
      <c r="TR63" s="13"/>
      <c r="TS63" s="13"/>
      <c r="TT63" s="13"/>
      <c r="TU63" s="13"/>
      <c r="TV63" s="13"/>
      <c r="TW63" s="13"/>
      <c r="TX63" s="13"/>
      <c r="TY63" s="13"/>
      <c r="TZ63" s="13"/>
      <c r="UA63" s="13"/>
      <c r="UB63" s="13"/>
      <c r="UC63" s="13"/>
      <c r="UD63" s="13"/>
      <c r="UE63" s="13"/>
      <c r="UF63" s="13"/>
      <c r="UG63" s="13"/>
      <c r="UH63" s="13"/>
      <c r="UI63" s="13"/>
      <c r="UJ63" s="13"/>
      <c r="UK63" s="13"/>
      <c r="UL63" s="13"/>
      <c r="UM63" s="13"/>
      <c r="UN63" s="13"/>
      <c r="UO63" s="13"/>
      <c r="UP63" s="13"/>
      <c r="UQ63" s="13"/>
      <c r="UR63" s="13"/>
      <c r="US63" s="13"/>
      <c r="UT63" s="13"/>
      <c r="UU63" s="13"/>
      <c r="UV63" s="13"/>
      <c r="UW63" s="13"/>
      <c r="UX63" s="13"/>
      <c r="UY63" s="13"/>
      <c r="UZ63" s="13"/>
      <c r="VA63" s="13"/>
      <c r="VB63" s="13"/>
      <c r="VC63" s="13"/>
      <c r="VD63" s="13"/>
      <c r="VE63" s="13"/>
      <c r="VF63" s="13"/>
      <c r="VG63" s="13"/>
      <c r="VH63" s="13"/>
      <c r="VI63" s="13"/>
      <c r="VJ63" s="13"/>
      <c r="VK63" s="13"/>
      <c r="VL63" s="13"/>
      <c r="VM63" s="13"/>
      <c r="VN63" s="13"/>
      <c r="VO63" s="13"/>
      <c r="VP63" s="13"/>
      <c r="VQ63" s="13"/>
      <c r="VR63" s="13"/>
      <c r="VS63" s="13"/>
      <c r="VT63" s="13"/>
      <c r="VU63" s="13"/>
      <c r="VV63" s="13"/>
      <c r="VW63" s="13"/>
      <c r="VX63" s="13"/>
      <c r="VY63" s="13"/>
      <c r="VZ63" s="13"/>
      <c r="WA63" s="13"/>
      <c r="WB63" s="13"/>
      <c r="WC63" s="13"/>
      <c r="WD63" s="13"/>
      <c r="WE63" s="13"/>
      <c r="WF63" s="13"/>
      <c r="WG63" s="13"/>
      <c r="WH63" s="13"/>
      <c r="WI63" s="13"/>
      <c r="WJ63" s="13"/>
      <c r="WK63" s="13"/>
      <c r="WL63" s="13"/>
      <c r="WM63" s="13"/>
      <c r="WN63" s="13"/>
      <c r="WO63" s="13"/>
      <c r="WP63" s="13"/>
      <c r="WQ63" s="13"/>
      <c r="WR63" s="13"/>
      <c r="WS63" s="13"/>
      <c r="WT63" s="13"/>
      <c r="WU63" s="13"/>
      <c r="WV63" s="13"/>
      <c r="WW63" s="13"/>
      <c r="WX63" s="13"/>
      <c r="WY63" s="13"/>
      <c r="WZ63" s="13"/>
      <c r="XA63" s="13"/>
      <c r="XB63" s="13"/>
      <c r="XC63" s="13"/>
      <c r="XD63" s="13"/>
      <c r="XE63" s="13"/>
      <c r="XF63" s="13"/>
      <c r="XG63" s="13"/>
      <c r="XH63" s="13"/>
      <c r="XI63" s="13"/>
      <c r="XJ63" s="13"/>
      <c r="XK63" s="13"/>
      <c r="XL63" s="13"/>
      <c r="XM63" s="13"/>
      <c r="XN63" s="13"/>
      <c r="XO63" s="13"/>
      <c r="XP63" s="13"/>
      <c r="XQ63" s="13"/>
      <c r="XR63" s="13"/>
      <c r="XS63" s="13"/>
      <c r="XT63" s="13"/>
      <c r="XU63" s="13"/>
      <c r="XV63" s="13"/>
      <c r="XW63" s="13"/>
      <c r="XX63" s="13"/>
      <c r="XY63" s="13"/>
      <c r="XZ63" s="13"/>
      <c r="YA63" s="13"/>
      <c r="YB63" s="13"/>
      <c r="YC63" s="13"/>
      <c r="YD63" s="13"/>
      <c r="YE63" s="13"/>
      <c r="YF63" s="13"/>
      <c r="YG63" s="13"/>
      <c r="YH63" s="13"/>
      <c r="YI63" s="13"/>
      <c r="YJ63" s="13"/>
      <c r="YK63" s="13"/>
      <c r="YL63" s="13"/>
      <c r="YM63" s="13"/>
      <c r="YN63" s="13"/>
      <c r="YO63" s="13"/>
      <c r="YP63" s="13"/>
      <c r="YQ63" s="13"/>
      <c r="YR63" s="13"/>
      <c r="YS63" s="13"/>
      <c r="YT63" s="13"/>
      <c r="YU63" s="13"/>
      <c r="YV63" s="13"/>
      <c r="YW63" s="13"/>
      <c r="YX63" s="13"/>
      <c r="YY63" s="13"/>
      <c r="YZ63" s="13"/>
      <c r="ZA63" s="13"/>
      <c r="ZB63" s="13"/>
      <c r="ZC63" s="13"/>
      <c r="ZD63" s="13"/>
      <c r="ZE63" s="13"/>
      <c r="ZF63" s="13"/>
      <c r="ZG63" s="13"/>
      <c r="ZH63" s="13"/>
      <c r="ZI63" s="13"/>
      <c r="ZJ63" s="13"/>
      <c r="ZK63" s="13"/>
      <c r="ZL63" s="13"/>
      <c r="ZM63" s="13"/>
      <c r="ZN63" s="13"/>
      <c r="ZO63" s="13"/>
      <c r="ZP63" s="13"/>
      <c r="ZQ63" s="13"/>
      <c r="ZR63" s="13"/>
      <c r="ZS63" s="13"/>
      <c r="ZT63" s="13"/>
      <c r="ZU63" s="13"/>
      <c r="ZV63" s="13"/>
      <c r="ZW63" s="13"/>
      <c r="ZX63" s="13"/>
      <c r="ZY63" s="13"/>
      <c r="ZZ63" s="13"/>
      <c r="AAA63" s="13"/>
      <c r="AAB63" s="13"/>
      <c r="AAC63" s="13"/>
      <c r="AAD63" s="13"/>
      <c r="AAE63" s="13"/>
      <c r="AAF63" s="13"/>
      <c r="AAG63" s="13"/>
      <c r="AAH63" s="13"/>
      <c r="AAI63" s="13"/>
      <c r="AAJ63" s="13"/>
      <c r="AAK63" s="13"/>
      <c r="AAL63" s="13"/>
      <c r="AAM63" s="13"/>
      <c r="AAN63" s="13"/>
      <c r="AAO63" s="13"/>
      <c r="AAP63" s="13"/>
      <c r="AAQ63" s="13"/>
      <c r="AAR63" s="13"/>
      <c r="AAS63" s="13"/>
      <c r="AAT63" s="13"/>
      <c r="AAU63" s="13"/>
      <c r="AAV63" s="13"/>
      <c r="AAW63" s="13"/>
      <c r="AAX63" s="13"/>
      <c r="AAY63" s="13"/>
      <c r="AAZ63" s="13"/>
      <c r="ABA63" s="13"/>
      <c r="ABB63" s="13"/>
      <c r="ABC63" s="13"/>
      <c r="ABD63" s="13"/>
      <c r="ABE63" s="13"/>
      <c r="ABF63" s="13"/>
      <c r="ABG63" s="13"/>
      <c r="ABH63" s="13"/>
      <c r="ABI63" s="13"/>
      <c r="ABJ63" s="13"/>
      <c r="ABK63" s="13"/>
      <c r="ABL63" s="13"/>
      <c r="ABM63" s="13"/>
      <c r="ABN63" s="13"/>
      <c r="ABO63" s="13"/>
      <c r="ABP63" s="13"/>
      <c r="ABQ63" s="13"/>
      <c r="ABR63" s="13"/>
      <c r="ABS63" s="13"/>
      <c r="ABT63" s="13"/>
      <c r="ABU63" s="13"/>
      <c r="ABV63" s="13"/>
      <c r="ABW63" s="13"/>
      <c r="ABX63" s="13"/>
      <c r="ABY63" s="13"/>
      <c r="ABZ63" s="13"/>
      <c r="ACA63" s="13"/>
      <c r="ACB63" s="13"/>
      <c r="ACC63" s="13"/>
      <c r="ACD63" s="13"/>
      <c r="ACE63" s="13"/>
      <c r="ACF63" s="13"/>
      <c r="ACG63" s="13"/>
      <c r="ACH63" s="13"/>
      <c r="ACI63" s="13"/>
      <c r="ACJ63" s="13"/>
      <c r="ACK63" s="13"/>
      <c r="ACL63" s="13"/>
      <c r="ACM63" s="13"/>
      <c r="ACN63" s="13"/>
      <c r="ACO63" s="13"/>
      <c r="ACP63" s="13"/>
      <c r="ACQ63" s="13"/>
      <c r="ACR63" s="13"/>
      <c r="ACS63" s="13"/>
      <c r="ACT63" s="13"/>
      <c r="ACU63" s="13"/>
      <c r="ACV63" s="13"/>
      <c r="ACW63" s="13"/>
      <c r="ACX63" s="13"/>
      <c r="ACY63" s="13"/>
      <c r="ACZ63" s="13"/>
      <c r="ADA63" s="13"/>
      <c r="ADB63" s="13"/>
      <c r="ADC63" s="13"/>
      <c r="ADD63" s="13"/>
      <c r="ADE63" s="13"/>
      <c r="ADF63" s="13"/>
      <c r="ADG63" s="13"/>
      <c r="ADH63" s="13"/>
      <c r="ADI63" s="13"/>
      <c r="ADJ63" s="13"/>
      <c r="ADK63" s="13"/>
      <c r="ADL63" s="13"/>
      <c r="ADM63" s="13"/>
      <c r="ADN63" s="13"/>
      <c r="ADO63" s="13"/>
      <c r="ADP63" s="13"/>
      <c r="ADQ63" s="13"/>
      <c r="ADR63" s="13"/>
      <c r="ADS63" s="13"/>
      <c r="ADT63" s="13"/>
      <c r="ADU63" s="13"/>
      <c r="ADV63" s="13"/>
      <c r="ADW63" s="13"/>
      <c r="ADX63" s="13"/>
      <c r="ADY63" s="13"/>
      <c r="ADZ63" s="13"/>
      <c r="AEA63" s="13"/>
      <c r="AEB63" s="13"/>
      <c r="AEC63" s="13"/>
      <c r="AED63" s="13"/>
      <c r="AEE63" s="13"/>
      <c r="AEF63" s="13"/>
      <c r="AEG63" s="13"/>
      <c r="AEH63" s="13"/>
      <c r="AEI63" s="13"/>
      <c r="AEJ63" s="13"/>
      <c r="AEK63" s="13"/>
      <c r="AEL63" s="13"/>
      <c r="AEM63" s="13"/>
      <c r="AEN63" s="13"/>
      <c r="AEO63" s="13"/>
      <c r="AEP63" s="13"/>
      <c r="AEQ63" s="13"/>
      <c r="AER63" s="13"/>
      <c r="AES63" s="13"/>
      <c r="AET63" s="13"/>
      <c r="AEU63" s="13"/>
      <c r="AEV63" s="13"/>
      <c r="AEW63" s="13"/>
      <c r="AEX63" s="13"/>
      <c r="AEY63" s="13"/>
      <c r="AEZ63" s="13"/>
      <c r="AFA63" s="13"/>
      <c r="AFB63" s="13"/>
      <c r="AFC63" s="13"/>
      <c r="AFD63" s="13"/>
      <c r="AFE63" s="13"/>
      <c r="AFF63" s="13"/>
      <c r="AFG63" s="13"/>
      <c r="AFH63" s="13"/>
      <c r="AFI63" s="13"/>
      <c r="AFJ63" s="13"/>
      <c r="AFK63" s="13"/>
      <c r="AFL63" s="13"/>
      <c r="AFM63" s="13"/>
      <c r="AFN63" s="13"/>
      <c r="AFO63" s="13"/>
      <c r="AFP63" s="13"/>
      <c r="AFQ63" s="13"/>
      <c r="AFR63" s="13"/>
      <c r="AFS63" s="13"/>
      <c r="AFT63" s="13"/>
      <c r="AFU63" s="13"/>
      <c r="AFV63" s="13"/>
      <c r="AFW63" s="13"/>
      <c r="AFX63" s="13"/>
      <c r="AFY63" s="13"/>
      <c r="AFZ63" s="13"/>
      <c r="AGA63" s="13"/>
      <c r="AGB63" s="13"/>
      <c r="AGC63" s="13"/>
      <c r="AGD63" s="13"/>
      <c r="AGE63" s="13"/>
      <c r="AGF63" s="13"/>
      <c r="AGG63" s="13"/>
      <c r="AGH63" s="13"/>
      <c r="AGI63" s="13"/>
      <c r="AGJ63" s="13"/>
      <c r="AGK63" s="13"/>
      <c r="AGL63" s="13"/>
      <c r="AGM63" s="13"/>
      <c r="AGN63" s="13"/>
      <c r="AGO63" s="13"/>
      <c r="AGP63" s="13"/>
      <c r="AGQ63" s="13"/>
      <c r="AGR63" s="13"/>
      <c r="AGS63" s="13"/>
      <c r="AGT63" s="13"/>
      <c r="AGU63" s="13"/>
      <c r="AGV63" s="13"/>
      <c r="AGW63" s="13"/>
      <c r="AGX63" s="13"/>
      <c r="AGY63" s="13"/>
      <c r="AGZ63" s="13"/>
      <c r="AHA63" s="13"/>
      <c r="AHB63" s="13"/>
      <c r="AHC63" s="13"/>
      <c r="AHD63" s="13"/>
      <c r="AHE63" s="13"/>
      <c r="AHF63" s="13"/>
      <c r="AHG63" s="13"/>
      <c r="AHH63" s="13"/>
      <c r="AHI63" s="13"/>
      <c r="AHJ63" s="13"/>
      <c r="AHK63" s="13"/>
      <c r="AHL63" s="13"/>
      <c r="AHM63" s="13"/>
      <c r="AHN63" s="13"/>
      <c r="AHO63" s="13"/>
      <c r="AHP63" s="13"/>
      <c r="AHQ63" s="13"/>
      <c r="AHR63" s="13"/>
      <c r="AHS63" s="13"/>
      <c r="AHT63" s="13"/>
      <c r="AHU63" s="13"/>
      <c r="AHV63" s="13"/>
      <c r="AHW63" s="13"/>
      <c r="AHX63" s="13"/>
      <c r="AHY63" s="13"/>
      <c r="AHZ63" s="13"/>
      <c r="AIA63" s="13"/>
      <c r="AIB63" s="13"/>
      <c r="AIC63" s="13"/>
      <c r="AID63" s="13"/>
      <c r="AIE63" s="13"/>
      <c r="AIF63" s="13"/>
      <c r="AIG63" s="13"/>
      <c r="AIH63" s="13"/>
      <c r="AII63" s="13"/>
      <c r="AIJ63" s="13"/>
      <c r="AIK63" s="13"/>
      <c r="AIL63" s="13"/>
      <c r="AIM63" s="13"/>
      <c r="AIN63" s="13"/>
      <c r="AIO63" s="13"/>
      <c r="AIP63" s="13"/>
      <c r="AIQ63" s="13"/>
      <c r="AIR63" s="13"/>
      <c r="AIS63" s="13"/>
      <c r="AIT63" s="13"/>
      <c r="AIU63" s="13"/>
      <c r="AIV63" s="13"/>
      <c r="AIW63" s="13"/>
      <c r="AIX63" s="13"/>
      <c r="AIY63" s="13"/>
      <c r="AIZ63" s="13"/>
      <c r="AJA63" s="13"/>
      <c r="AJB63" s="13"/>
      <c r="AJC63" s="13"/>
      <c r="AJD63" s="13"/>
      <c r="AJE63" s="13"/>
      <c r="AJF63" s="13"/>
      <c r="AJG63" s="13"/>
      <c r="AJH63" s="13"/>
      <c r="AJI63" s="13"/>
      <c r="AJJ63" s="13"/>
      <c r="AJK63" s="13"/>
      <c r="AJL63" s="13"/>
      <c r="AJM63" s="13"/>
      <c r="AJN63" s="13"/>
      <c r="AJO63" s="13"/>
      <c r="AJP63" s="13"/>
      <c r="AJQ63" s="13"/>
      <c r="AJR63" s="13"/>
      <c r="AJS63" s="13"/>
      <c r="AJT63" s="13"/>
      <c r="AJU63" s="13"/>
      <c r="AJV63" s="13"/>
      <c r="AJW63" s="13"/>
      <c r="AJX63" s="13"/>
      <c r="AJY63" s="13"/>
      <c r="AJZ63" s="13"/>
      <c r="AKA63" s="13"/>
      <c r="AKB63" s="13"/>
      <c r="AKC63" s="13"/>
      <c r="AKD63" s="13"/>
      <c r="AKE63" s="13"/>
      <c r="AKF63" s="13"/>
      <c r="AKG63" s="13"/>
      <c r="AKH63" s="13"/>
      <c r="AKI63" s="13"/>
      <c r="AKJ63" s="13"/>
      <c r="AKK63" s="13"/>
      <c r="AKL63" s="13"/>
      <c r="AKM63" s="13"/>
      <c r="AKN63" s="13"/>
      <c r="AKO63" s="13"/>
      <c r="AKP63" s="13"/>
      <c r="AKQ63" s="13"/>
      <c r="AKR63" s="13"/>
      <c r="AKS63" s="13"/>
      <c r="AKT63" s="13"/>
      <c r="AKU63" s="13"/>
      <c r="AKV63" s="13"/>
      <c r="AKW63" s="13"/>
      <c r="AKX63" s="13"/>
      <c r="AKY63" s="13"/>
      <c r="AKZ63" s="13"/>
      <c r="ALA63" s="13"/>
      <c r="ALB63" s="13"/>
      <c r="ALC63" s="13"/>
      <c r="ALD63" s="13"/>
      <c r="ALE63" s="13"/>
      <c r="ALF63" s="13"/>
      <c r="ALG63" s="13"/>
      <c r="ALH63" s="13"/>
      <c r="ALI63" s="13"/>
      <c r="ALJ63" s="13"/>
      <c r="ALK63" s="13"/>
      <c r="ALL63" s="13"/>
      <c r="ALM63" s="13"/>
      <c r="ALN63" s="13"/>
      <c r="ALO63" s="13"/>
      <c r="ALP63" s="13"/>
      <c r="ALQ63" s="13"/>
      <c r="ALR63" s="13"/>
      <c r="ALS63" s="13"/>
      <c r="ALT63" s="13"/>
      <c r="ALU63" s="13"/>
      <c r="ALV63" s="13"/>
      <c r="ALW63" s="13"/>
      <c r="ALX63" s="13"/>
      <c r="ALY63" s="13"/>
      <c r="ALZ63" s="13"/>
      <c r="AMA63" s="13"/>
      <c r="AMB63" s="13"/>
      <c r="AMC63" s="13"/>
      <c r="AMD63" s="13"/>
      <c r="AME63" s="13"/>
      <c r="AMF63" s="13"/>
      <c r="AMG63" s="13"/>
      <c r="AMH63" s="13"/>
      <c r="AMI63" s="13"/>
      <c r="AMJ63" s="13"/>
      <c r="AMK63" s="13"/>
    </row>
    <row r="64" spans="1:1025" s="164" customFormat="1" ht="12.75" customHeight="1" x14ac:dyDescent="0.2">
      <c r="A64" s="56" t="s">
        <v>45</v>
      </c>
      <c r="B64" s="95" t="s">
        <v>46</v>
      </c>
      <c r="C64" s="95" t="s">
        <v>47</v>
      </c>
      <c r="D64" s="95" t="s">
        <v>48</v>
      </c>
      <c r="E64" s="133"/>
      <c r="F64" s="8"/>
      <c r="G64" s="6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  <c r="JP64" s="13"/>
      <c r="JQ64" s="13"/>
      <c r="JR64" s="13"/>
      <c r="JS64" s="13"/>
      <c r="JT64" s="13"/>
      <c r="JU64" s="13"/>
      <c r="JV64" s="13"/>
      <c r="JW64" s="13"/>
      <c r="JX64" s="13"/>
      <c r="JY64" s="13"/>
      <c r="JZ64" s="13"/>
      <c r="KA64" s="13"/>
      <c r="KB64" s="13"/>
      <c r="KC64" s="13"/>
      <c r="KD64" s="13"/>
      <c r="KE64" s="13"/>
      <c r="KF64" s="13"/>
      <c r="KG64" s="13"/>
      <c r="KH64" s="13"/>
      <c r="KI64" s="13"/>
      <c r="KJ64" s="13"/>
      <c r="KK64" s="13"/>
      <c r="KL64" s="13"/>
      <c r="KM64" s="13"/>
      <c r="KN64" s="13"/>
      <c r="KO64" s="13"/>
      <c r="KP64" s="13"/>
      <c r="KQ64" s="13"/>
      <c r="KR64" s="13"/>
      <c r="KS64" s="13"/>
      <c r="KT64" s="13"/>
      <c r="KU64" s="13"/>
      <c r="KV64" s="13"/>
      <c r="KW64" s="13"/>
      <c r="KX64" s="13"/>
      <c r="KY64" s="13"/>
      <c r="KZ64" s="13"/>
      <c r="LA64" s="13"/>
      <c r="LB64" s="13"/>
      <c r="LC64" s="13"/>
      <c r="LD64" s="13"/>
      <c r="LE64" s="13"/>
      <c r="LF64" s="13"/>
      <c r="LG64" s="13"/>
      <c r="LH64" s="13"/>
      <c r="LI64" s="13"/>
      <c r="LJ64" s="13"/>
      <c r="LK64" s="13"/>
      <c r="LL64" s="13"/>
      <c r="LM64" s="13"/>
      <c r="LN64" s="13"/>
      <c r="LO64" s="13"/>
      <c r="LP64" s="13"/>
      <c r="LQ64" s="13"/>
      <c r="LR64" s="13"/>
      <c r="LS64" s="13"/>
      <c r="LT64" s="13"/>
      <c r="LU64" s="13"/>
      <c r="LV64" s="13"/>
      <c r="LW64" s="13"/>
      <c r="LX64" s="13"/>
      <c r="LY64" s="13"/>
      <c r="LZ64" s="13"/>
      <c r="MA64" s="13"/>
      <c r="MB64" s="13"/>
      <c r="MC64" s="13"/>
      <c r="MD64" s="13"/>
      <c r="ME64" s="13"/>
      <c r="MF64" s="13"/>
      <c r="MG64" s="13"/>
      <c r="MH64" s="13"/>
      <c r="MI64" s="13"/>
      <c r="MJ64" s="13"/>
      <c r="MK64" s="13"/>
      <c r="ML64" s="13"/>
      <c r="MM64" s="13"/>
      <c r="MN64" s="13"/>
      <c r="MO64" s="13"/>
      <c r="MP64" s="13"/>
      <c r="MQ64" s="13"/>
      <c r="MR64" s="13"/>
      <c r="MS64" s="13"/>
      <c r="MT64" s="13"/>
      <c r="MU64" s="13"/>
      <c r="MV64" s="13"/>
      <c r="MW64" s="13"/>
      <c r="MX64" s="13"/>
      <c r="MY64" s="13"/>
      <c r="MZ64" s="13"/>
      <c r="NA64" s="13"/>
      <c r="NB64" s="13"/>
      <c r="NC64" s="13"/>
      <c r="ND64" s="13"/>
      <c r="NE64" s="13"/>
      <c r="NF64" s="13"/>
      <c r="NG64" s="13"/>
      <c r="NH64" s="13"/>
      <c r="NI64" s="13"/>
      <c r="NJ64" s="13"/>
      <c r="NK64" s="13"/>
      <c r="NL64" s="13"/>
      <c r="NM64" s="13"/>
      <c r="NN64" s="13"/>
      <c r="NO64" s="13"/>
      <c r="NP64" s="13"/>
      <c r="NQ64" s="13"/>
      <c r="NR64" s="13"/>
      <c r="NS64" s="13"/>
      <c r="NT64" s="13"/>
      <c r="NU64" s="13"/>
      <c r="NV64" s="13"/>
      <c r="NW64" s="13"/>
      <c r="NX64" s="13"/>
      <c r="NY64" s="13"/>
      <c r="NZ64" s="13"/>
      <c r="OA64" s="13"/>
      <c r="OB64" s="13"/>
      <c r="OC64" s="13"/>
      <c r="OD64" s="13"/>
      <c r="OE64" s="13"/>
      <c r="OF64" s="13"/>
      <c r="OG64" s="13"/>
      <c r="OH64" s="13"/>
      <c r="OI64" s="13"/>
      <c r="OJ64" s="13"/>
      <c r="OK64" s="13"/>
      <c r="OL64" s="13"/>
      <c r="OM64" s="13"/>
      <c r="ON64" s="13"/>
      <c r="OO64" s="13"/>
      <c r="OP64" s="13"/>
      <c r="OQ64" s="13"/>
      <c r="OR64" s="13"/>
      <c r="OS64" s="13"/>
      <c r="OT64" s="13"/>
      <c r="OU64" s="13"/>
      <c r="OV64" s="13"/>
      <c r="OW64" s="13"/>
      <c r="OX64" s="13"/>
      <c r="OY64" s="13"/>
      <c r="OZ64" s="13"/>
      <c r="PA64" s="13"/>
      <c r="PB64" s="13"/>
      <c r="PC64" s="13"/>
      <c r="PD64" s="13"/>
      <c r="PE64" s="13"/>
      <c r="PF64" s="13"/>
      <c r="PG64" s="13"/>
      <c r="PH64" s="13"/>
      <c r="PI64" s="13"/>
      <c r="PJ64" s="13"/>
      <c r="PK64" s="13"/>
      <c r="PL64" s="13"/>
      <c r="PM64" s="13"/>
      <c r="PN64" s="13"/>
      <c r="PO64" s="13"/>
      <c r="PP64" s="13"/>
      <c r="PQ64" s="13"/>
      <c r="PR64" s="13"/>
      <c r="PS64" s="13"/>
      <c r="PT64" s="13"/>
      <c r="PU64" s="13"/>
      <c r="PV64" s="13"/>
      <c r="PW64" s="13"/>
      <c r="PX64" s="13"/>
      <c r="PY64" s="13"/>
      <c r="PZ64" s="13"/>
      <c r="QA64" s="13"/>
      <c r="QB64" s="13"/>
      <c r="QC64" s="13"/>
      <c r="QD64" s="13"/>
      <c r="QE64" s="13"/>
      <c r="QF64" s="13"/>
      <c r="QG64" s="13"/>
      <c r="QH64" s="13"/>
      <c r="QI64" s="13"/>
      <c r="QJ64" s="13"/>
      <c r="QK64" s="13"/>
      <c r="QL64" s="13"/>
      <c r="QM64" s="13"/>
      <c r="QN64" s="13"/>
      <c r="QO64" s="13"/>
      <c r="QP64" s="13"/>
      <c r="QQ64" s="13"/>
      <c r="QR64" s="13"/>
      <c r="QS64" s="13"/>
      <c r="QT64" s="13"/>
      <c r="QU64" s="13"/>
      <c r="QV64" s="13"/>
      <c r="QW64" s="13"/>
      <c r="QX64" s="13"/>
      <c r="QY64" s="13"/>
      <c r="QZ64" s="13"/>
      <c r="RA64" s="13"/>
      <c r="RB64" s="13"/>
      <c r="RC64" s="13"/>
      <c r="RD64" s="13"/>
      <c r="RE64" s="13"/>
      <c r="RF64" s="13"/>
      <c r="RG64" s="13"/>
      <c r="RH64" s="13"/>
      <c r="RI64" s="13"/>
      <c r="RJ64" s="13"/>
      <c r="RK64" s="13"/>
      <c r="RL64" s="13"/>
      <c r="RM64" s="13"/>
      <c r="RN64" s="13"/>
      <c r="RO64" s="13"/>
      <c r="RP64" s="13"/>
      <c r="RQ64" s="13"/>
      <c r="RR64" s="13"/>
      <c r="RS64" s="13"/>
      <c r="RT64" s="13"/>
      <c r="RU64" s="13"/>
      <c r="RV64" s="13"/>
      <c r="RW64" s="13"/>
      <c r="RX64" s="13"/>
      <c r="RY64" s="13"/>
      <c r="RZ64" s="13"/>
      <c r="SA64" s="13"/>
      <c r="SB64" s="13"/>
      <c r="SC64" s="13"/>
      <c r="SD64" s="13"/>
      <c r="SE64" s="13"/>
      <c r="SF64" s="13"/>
      <c r="SG64" s="13"/>
      <c r="SH64" s="13"/>
      <c r="SI64" s="13"/>
      <c r="SJ64" s="13"/>
      <c r="SK64" s="13"/>
      <c r="SL64" s="13"/>
      <c r="SM64" s="13"/>
      <c r="SN64" s="13"/>
      <c r="SO64" s="13"/>
      <c r="SP64" s="13"/>
      <c r="SQ64" s="13"/>
      <c r="SR64" s="13"/>
      <c r="SS64" s="13"/>
      <c r="ST64" s="13"/>
      <c r="SU64" s="13"/>
      <c r="SV64" s="13"/>
      <c r="SW64" s="13"/>
      <c r="SX64" s="13"/>
      <c r="SY64" s="13"/>
      <c r="SZ64" s="13"/>
      <c r="TA64" s="13"/>
      <c r="TB64" s="13"/>
      <c r="TC64" s="13"/>
      <c r="TD64" s="13"/>
      <c r="TE64" s="13"/>
      <c r="TF64" s="13"/>
      <c r="TG64" s="13"/>
      <c r="TH64" s="13"/>
      <c r="TI64" s="13"/>
      <c r="TJ64" s="13"/>
      <c r="TK64" s="13"/>
      <c r="TL64" s="13"/>
      <c r="TM64" s="13"/>
      <c r="TN64" s="13"/>
      <c r="TO64" s="13"/>
      <c r="TP64" s="13"/>
      <c r="TQ64" s="13"/>
      <c r="TR64" s="13"/>
      <c r="TS64" s="13"/>
      <c r="TT64" s="13"/>
      <c r="TU64" s="13"/>
      <c r="TV64" s="13"/>
      <c r="TW64" s="13"/>
      <c r="TX64" s="13"/>
      <c r="TY64" s="13"/>
      <c r="TZ64" s="13"/>
      <c r="UA64" s="13"/>
      <c r="UB64" s="13"/>
      <c r="UC64" s="13"/>
      <c r="UD64" s="13"/>
      <c r="UE64" s="13"/>
      <c r="UF64" s="13"/>
      <c r="UG64" s="13"/>
      <c r="UH64" s="13"/>
      <c r="UI64" s="13"/>
      <c r="UJ64" s="13"/>
      <c r="UK64" s="13"/>
      <c r="UL64" s="13"/>
      <c r="UM64" s="13"/>
      <c r="UN64" s="13"/>
      <c r="UO64" s="13"/>
      <c r="UP64" s="13"/>
      <c r="UQ64" s="13"/>
      <c r="UR64" s="13"/>
      <c r="US64" s="13"/>
      <c r="UT64" s="13"/>
      <c r="UU64" s="13"/>
      <c r="UV64" s="13"/>
      <c r="UW64" s="13"/>
      <c r="UX64" s="13"/>
      <c r="UY64" s="13"/>
      <c r="UZ64" s="13"/>
      <c r="VA64" s="13"/>
      <c r="VB64" s="13"/>
      <c r="VC64" s="13"/>
      <c r="VD64" s="13"/>
      <c r="VE64" s="13"/>
      <c r="VF64" s="13"/>
      <c r="VG64" s="13"/>
      <c r="VH64" s="13"/>
      <c r="VI64" s="13"/>
      <c r="VJ64" s="13"/>
      <c r="VK64" s="13"/>
      <c r="VL64" s="13"/>
      <c r="VM64" s="13"/>
      <c r="VN64" s="13"/>
      <c r="VO64" s="13"/>
      <c r="VP64" s="13"/>
      <c r="VQ64" s="13"/>
      <c r="VR64" s="13"/>
      <c r="VS64" s="13"/>
      <c r="VT64" s="13"/>
      <c r="VU64" s="13"/>
      <c r="VV64" s="13"/>
      <c r="VW64" s="13"/>
      <c r="VX64" s="13"/>
      <c r="VY64" s="13"/>
      <c r="VZ64" s="13"/>
      <c r="WA64" s="13"/>
      <c r="WB64" s="13"/>
      <c r="WC64" s="13"/>
      <c r="WD64" s="13"/>
      <c r="WE64" s="13"/>
      <c r="WF64" s="13"/>
      <c r="WG64" s="13"/>
      <c r="WH64" s="13"/>
      <c r="WI64" s="13"/>
      <c r="WJ64" s="13"/>
      <c r="WK64" s="13"/>
      <c r="WL64" s="13"/>
      <c r="WM64" s="13"/>
      <c r="WN64" s="13"/>
      <c r="WO64" s="13"/>
      <c r="WP64" s="13"/>
      <c r="WQ64" s="13"/>
      <c r="WR64" s="13"/>
      <c r="WS64" s="13"/>
      <c r="WT64" s="13"/>
      <c r="WU64" s="13"/>
      <c r="WV64" s="13"/>
      <c r="WW64" s="13"/>
      <c r="WX64" s="13"/>
      <c r="WY64" s="13"/>
      <c r="WZ64" s="13"/>
      <c r="XA64" s="13"/>
      <c r="XB64" s="13"/>
      <c r="XC64" s="13"/>
      <c r="XD64" s="13"/>
      <c r="XE64" s="13"/>
      <c r="XF64" s="13"/>
      <c r="XG64" s="13"/>
      <c r="XH64" s="13"/>
      <c r="XI64" s="13"/>
      <c r="XJ64" s="13"/>
      <c r="XK64" s="13"/>
      <c r="XL64" s="13"/>
      <c r="XM64" s="13"/>
      <c r="XN64" s="13"/>
      <c r="XO64" s="13"/>
      <c r="XP64" s="13"/>
      <c r="XQ64" s="13"/>
      <c r="XR64" s="13"/>
      <c r="XS64" s="13"/>
      <c r="XT64" s="13"/>
      <c r="XU64" s="13"/>
      <c r="XV64" s="13"/>
      <c r="XW64" s="13"/>
      <c r="XX64" s="13"/>
      <c r="XY64" s="13"/>
      <c r="XZ64" s="13"/>
      <c r="YA64" s="13"/>
      <c r="YB64" s="13"/>
      <c r="YC64" s="13"/>
      <c r="YD64" s="13"/>
      <c r="YE64" s="13"/>
      <c r="YF64" s="13"/>
      <c r="YG64" s="13"/>
      <c r="YH64" s="13"/>
      <c r="YI64" s="13"/>
      <c r="YJ64" s="13"/>
      <c r="YK64" s="13"/>
      <c r="YL64" s="13"/>
      <c r="YM64" s="13"/>
      <c r="YN64" s="13"/>
      <c r="YO64" s="13"/>
      <c r="YP64" s="13"/>
      <c r="YQ64" s="13"/>
      <c r="YR64" s="13"/>
      <c r="YS64" s="13"/>
      <c r="YT64" s="13"/>
      <c r="YU64" s="13"/>
      <c r="YV64" s="13"/>
      <c r="YW64" s="13"/>
      <c r="YX64" s="13"/>
      <c r="YY64" s="13"/>
      <c r="YZ64" s="13"/>
      <c r="ZA64" s="13"/>
      <c r="ZB64" s="13"/>
      <c r="ZC64" s="13"/>
      <c r="ZD64" s="13"/>
      <c r="ZE64" s="13"/>
      <c r="ZF64" s="13"/>
      <c r="ZG64" s="13"/>
      <c r="ZH64" s="13"/>
      <c r="ZI64" s="13"/>
      <c r="ZJ64" s="13"/>
      <c r="ZK64" s="13"/>
      <c r="ZL64" s="13"/>
      <c r="ZM64" s="13"/>
      <c r="ZN64" s="13"/>
      <c r="ZO64" s="13"/>
      <c r="ZP64" s="13"/>
      <c r="ZQ64" s="13"/>
      <c r="ZR64" s="13"/>
      <c r="ZS64" s="13"/>
      <c r="ZT64" s="13"/>
      <c r="ZU64" s="13"/>
      <c r="ZV64" s="13"/>
      <c r="ZW64" s="13"/>
      <c r="ZX64" s="13"/>
      <c r="ZY64" s="13"/>
      <c r="ZZ64" s="13"/>
      <c r="AAA64" s="13"/>
      <c r="AAB64" s="13"/>
      <c r="AAC64" s="13"/>
      <c r="AAD64" s="13"/>
      <c r="AAE64" s="13"/>
      <c r="AAF64" s="13"/>
      <c r="AAG64" s="13"/>
      <c r="AAH64" s="13"/>
      <c r="AAI64" s="13"/>
      <c r="AAJ64" s="13"/>
      <c r="AAK64" s="13"/>
      <c r="AAL64" s="13"/>
      <c r="AAM64" s="13"/>
      <c r="AAN64" s="13"/>
      <c r="AAO64" s="13"/>
      <c r="AAP64" s="13"/>
      <c r="AAQ64" s="13"/>
      <c r="AAR64" s="13"/>
      <c r="AAS64" s="13"/>
      <c r="AAT64" s="13"/>
      <c r="AAU64" s="13"/>
      <c r="AAV64" s="13"/>
      <c r="AAW64" s="13"/>
      <c r="AAX64" s="13"/>
      <c r="AAY64" s="13"/>
      <c r="AAZ64" s="13"/>
      <c r="ABA64" s="13"/>
      <c r="ABB64" s="13"/>
      <c r="ABC64" s="13"/>
      <c r="ABD64" s="13"/>
      <c r="ABE64" s="13"/>
      <c r="ABF64" s="13"/>
      <c r="ABG64" s="13"/>
      <c r="ABH64" s="13"/>
      <c r="ABI64" s="13"/>
      <c r="ABJ64" s="13"/>
      <c r="ABK64" s="13"/>
      <c r="ABL64" s="13"/>
      <c r="ABM64" s="13"/>
      <c r="ABN64" s="13"/>
      <c r="ABO64" s="13"/>
      <c r="ABP64" s="13"/>
      <c r="ABQ64" s="13"/>
      <c r="ABR64" s="13"/>
      <c r="ABS64" s="13"/>
      <c r="ABT64" s="13"/>
      <c r="ABU64" s="13"/>
      <c r="ABV64" s="13"/>
      <c r="ABW64" s="13"/>
      <c r="ABX64" s="13"/>
      <c r="ABY64" s="13"/>
      <c r="ABZ64" s="13"/>
      <c r="ACA64" s="13"/>
      <c r="ACB64" s="13"/>
      <c r="ACC64" s="13"/>
      <c r="ACD64" s="13"/>
      <c r="ACE64" s="13"/>
      <c r="ACF64" s="13"/>
      <c r="ACG64" s="13"/>
      <c r="ACH64" s="13"/>
      <c r="ACI64" s="13"/>
      <c r="ACJ64" s="13"/>
      <c r="ACK64" s="13"/>
      <c r="ACL64" s="13"/>
      <c r="ACM64" s="13"/>
      <c r="ACN64" s="13"/>
      <c r="ACO64" s="13"/>
      <c r="ACP64" s="13"/>
      <c r="ACQ64" s="13"/>
      <c r="ACR64" s="13"/>
      <c r="ACS64" s="13"/>
      <c r="ACT64" s="13"/>
      <c r="ACU64" s="13"/>
      <c r="ACV64" s="13"/>
      <c r="ACW64" s="13"/>
      <c r="ACX64" s="13"/>
      <c r="ACY64" s="13"/>
      <c r="ACZ64" s="13"/>
      <c r="ADA64" s="13"/>
      <c r="ADB64" s="13"/>
      <c r="ADC64" s="13"/>
      <c r="ADD64" s="13"/>
      <c r="ADE64" s="13"/>
      <c r="ADF64" s="13"/>
      <c r="ADG64" s="13"/>
      <c r="ADH64" s="13"/>
      <c r="ADI64" s="13"/>
      <c r="ADJ64" s="13"/>
      <c r="ADK64" s="13"/>
      <c r="ADL64" s="13"/>
      <c r="ADM64" s="13"/>
      <c r="ADN64" s="13"/>
      <c r="ADO64" s="13"/>
      <c r="ADP64" s="13"/>
      <c r="ADQ64" s="13"/>
      <c r="ADR64" s="13"/>
      <c r="ADS64" s="13"/>
      <c r="ADT64" s="13"/>
      <c r="ADU64" s="13"/>
      <c r="ADV64" s="13"/>
      <c r="ADW64" s="13"/>
      <c r="ADX64" s="13"/>
      <c r="ADY64" s="13"/>
      <c r="ADZ64" s="13"/>
      <c r="AEA64" s="13"/>
      <c r="AEB64" s="13"/>
      <c r="AEC64" s="13"/>
      <c r="AED64" s="13"/>
      <c r="AEE64" s="13"/>
      <c r="AEF64" s="13"/>
      <c r="AEG64" s="13"/>
      <c r="AEH64" s="13"/>
      <c r="AEI64" s="13"/>
      <c r="AEJ64" s="13"/>
      <c r="AEK64" s="13"/>
      <c r="AEL64" s="13"/>
      <c r="AEM64" s="13"/>
      <c r="AEN64" s="13"/>
      <c r="AEO64" s="13"/>
      <c r="AEP64" s="13"/>
      <c r="AEQ64" s="13"/>
      <c r="AER64" s="13"/>
      <c r="AES64" s="13"/>
      <c r="AET64" s="13"/>
      <c r="AEU64" s="13"/>
      <c r="AEV64" s="13"/>
      <c r="AEW64" s="13"/>
      <c r="AEX64" s="13"/>
      <c r="AEY64" s="13"/>
      <c r="AEZ64" s="13"/>
      <c r="AFA64" s="13"/>
      <c r="AFB64" s="13"/>
      <c r="AFC64" s="13"/>
      <c r="AFD64" s="13"/>
      <c r="AFE64" s="13"/>
      <c r="AFF64" s="13"/>
      <c r="AFG64" s="13"/>
      <c r="AFH64" s="13"/>
      <c r="AFI64" s="13"/>
      <c r="AFJ64" s="13"/>
      <c r="AFK64" s="13"/>
      <c r="AFL64" s="13"/>
      <c r="AFM64" s="13"/>
      <c r="AFN64" s="13"/>
      <c r="AFO64" s="13"/>
      <c r="AFP64" s="13"/>
      <c r="AFQ64" s="13"/>
      <c r="AFR64" s="13"/>
      <c r="AFS64" s="13"/>
      <c r="AFT64" s="13"/>
      <c r="AFU64" s="13"/>
      <c r="AFV64" s="13"/>
      <c r="AFW64" s="13"/>
      <c r="AFX64" s="13"/>
      <c r="AFY64" s="13"/>
      <c r="AFZ64" s="13"/>
      <c r="AGA64" s="13"/>
      <c r="AGB64" s="13"/>
      <c r="AGC64" s="13"/>
      <c r="AGD64" s="13"/>
      <c r="AGE64" s="13"/>
      <c r="AGF64" s="13"/>
      <c r="AGG64" s="13"/>
      <c r="AGH64" s="13"/>
      <c r="AGI64" s="13"/>
      <c r="AGJ64" s="13"/>
      <c r="AGK64" s="13"/>
      <c r="AGL64" s="13"/>
      <c r="AGM64" s="13"/>
      <c r="AGN64" s="13"/>
      <c r="AGO64" s="13"/>
      <c r="AGP64" s="13"/>
      <c r="AGQ64" s="13"/>
      <c r="AGR64" s="13"/>
      <c r="AGS64" s="13"/>
      <c r="AGT64" s="13"/>
      <c r="AGU64" s="13"/>
      <c r="AGV64" s="13"/>
      <c r="AGW64" s="13"/>
      <c r="AGX64" s="13"/>
      <c r="AGY64" s="13"/>
      <c r="AGZ64" s="13"/>
      <c r="AHA64" s="13"/>
      <c r="AHB64" s="13"/>
      <c r="AHC64" s="13"/>
      <c r="AHD64" s="13"/>
      <c r="AHE64" s="13"/>
      <c r="AHF64" s="13"/>
      <c r="AHG64" s="13"/>
      <c r="AHH64" s="13"/>
      <c r="AHI64" s="13"/>
      <c r="AHJ64" s="13"/>
      <c r="AHK64" s="13"/>
      <c r="AHL64" s="13"/>
      <c r="AHM64" s="13"/>
      <c r="AHN64" s="13"/>
      <c r="AHO64" s="13"/>
      <c r="AHP64" s="13"/>
      <c r="AHQ64" s="13"/>
      <c r="AHR64" s="13"/>
      <c r="AHS64" s="13"/>
      <c r="AHT64" s="13"/>
      <c r="AHU64" s="13"/>
      <c r="AHV64" s="13"/>
      <c r="AHW64" s="13"/>
      <c r="AHX64" s="13"/>
      <c r="AHY64" s="13"/>
      <c r="AHZ64" s="13"/>
      <c r="AIA64" s="13"/>
      <c r="AIB64" s="13"/>
      <c r="AIC64" s="13"/>
      <c r="AID64" s="13"/>
      <c r="AIE64" s="13"/>
      <c r="AIF64" s="13"/>
      <c r="AIG64" s="13"/>
      <c r="AIH64" s="13"/>
      <c r="AII64" s="13"/>
      <c r="AIJ64" s="13"/>
      <c r="AIK64" s="13"/>
      <c r="AIL64" s="13"/>
      <c r="AIM64" s="13"/>
      <c r="AIN64" s="13"/>
      <c r="AIO64" s="13"/>
      <c r="AIP64" s="13"/>
      <c r="AIQ64" s="13"/>
      <c r="AIR64" s="13"/>
      <c r="AIS64" s="13"/>
      <c r="AIT64" s="13"/>
      <c r="AIU64" s="13"/>
      <c r="AIV64" s="13"/>
      <c r="AIW64" s="13"/>
      <c r="AIX64" s="13"/>
      <c r="AIY64" s="13"/>
      <c r="AIZ64" s="13"/>
      <c r="AJA64" s="13"/>
      <c r="AJB64" s="13"/>
      <c r="AJC64" s="13"/>
      <c r="AJD64" s="13"/>
      <c r="AJE64" s="13"/>
      <c r="AJF64" s="13"/>
      <c r="AJG64" s="13"/>
      <c r="AJH64" s="13"/>
      <c r="AJI64" s="13"/>
      <c r="AJJ64" s="13"/>
      <c r="AJK64" s="13"/>
      <c r="AJL64" s="13"/>
      <c r="AJM64" s="13"/>
      <c r="AJN64" s="13"/>
      <c r="AJO64" s="13"/>
      <c r="AJP64" s="13"/>
      <c r="AJQ64" s="13"/>
      <c r="AJR64" s="13"/>
      <c r="AJS64" s="13"/>
      <c r="AJT64" s="13"/>
      <c r="AJU64" s="13"/>
      <c r="AJV64" s="13"/>
      <c r="AJW64" s="13"/>
      <c r="AJX64" s="13"/>
      <c r="AJY64" s="13"/>
      <c r="AJZ64" s="13"/>
      <c r="AKA64" s="13"/>
      <c r="AKB64" s="13"/>
      <c r="AKC64" s="13"/>
      <c r="AKD64" s="13"/>
      <c r="AKE64" s="13"/>
      <c r="AKF64" s="13"/>
      <c r="AKG64" s="13"/>
      <c r="AKH64" s="13"/>
      <c r="AKI64" s="13"/>
      <c r="AKJ64" s="13"/>
      <c r="AKK64" s="13"/>
      <c r="AKL64" s="13"/>
      <c r="AKM64" s="13"/>
      <c r="AKN64" s="13"/>
      <c r="AKO64" s="13"/>
      <c r="AKP64" s="13"/>
      <c r="AKQ64" s="13"/>
      <c r="AKR64" s="13"/>
      <c r="AKS64" s="13"/>
      <c r="AKT64" s="13"/>
      <c r="AKU64" s="13"/>
      <c r="AKV64" s="13"/>
      <c r="AKW64" s="13"/>
      <c r="AKX64" s="13"/>
      <c r="AKY64" s="13"/>
      <c r="AKZ64" s="13"/>
      <c r="ALA64" s="13"/>
      <c r="ALB64" s="13"/>
      <c r="ALC64" s="13"/>
      <c r="ALD64" s="13"/>
      <c r="ALE64" s="13"/>
      <c r="ALF64" s="13"/>
      <c r="ALG64" s="13"/>
      <c r="ALH64" s="13"/>
      <c r="ALI64" s="13"/>
      <c r="ALJ64" s="13"/>
      <c r="ALK64" s="13"/>
      <c r="ALL64" s="13"/>
      <c r="ALM64" s="13"/>
      <c r="ALN64" s="13"/>
      <c r="ALO64" s="13"/>
      <c r="ALP64" s="13"/>
      <c r="ALQ64" s="13"/>
      <c r="ALR64" s="13"/>
      <c r="ALS64" s="13"/>
      <c r="ALT64" s="13"/>
      <c r="ALU64" s="13"/>
      <c r="ALV64" s="13"/>
      <c r="ALW64" s="13"/>
      <c r="ALX64" s="13"/>
      <c r="ALY64" s="13"/>
      <c r="ALZ64" s="13"/>
      <c r="AMA64" s="13"/>
      <c r="AMB64" s="13"/>
      <c r="AMC64" s="13"/>
      <c r="AMD64" s="13"/>
      <c r="AME64" s="13"/>
      <c r="AMF64" s="13"/>
      <c r="AMG64" s="13"/>
      <c r="AMH64" s="13"/>
      <c r="AMI64" s="13"/>
      <c r="AMJ64" s="13"/>
      <c r="AMK64" s="13"/>
    </row>
    <row r="65" spans="1:1025" s="164" customFormat="1" ht="12.75" customHeight="1" x14ac:dyDescent="0.2">
      <c r="A65" s="59" t="s">
        <v>48</v>
      </c>
      <c r="B65" s="46">
        <v>30</v>
      </c>
      <c r="C65" s="60">
        <v>9.9999999999999998E+37</v>
      </c>
      <c r="D65" s="95" t="s">
        <v>49</v>
      </c>
      <c r="E65" s="62"/>
      <c r="F65" s="8"/>
      <c r="G65" s="6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  <c r="JP65" s="13"/>
      <c r="JQ65" s="13"/>
      <c r="JR65" s="13"/>
      <c r="JS65" s="13"/>
      <c r="JT65" s="13"/>
      <c r="JU65" s="13"/>
      <c r="JV65" s="13"/>
      <c r="JW65" s="13"/>
      <c r="JX65" s="13"/>
      <c r="JY65" s="13"/>
      <c r="JZ65" s="13"/>
      <c r="KA65" s="13"/>
      <c r="KB65" s="13"/>
      <c r="KC65" s="13"/>
      <c r="KD65" s="13"/>
      <c r="KE65" s="13"/>
      <c r="KF65" s="13"/>
      <c r="KG65" s="13"/>
      <c r="KH65" s="13"/>
      <c r="KI65" s="13"/>
      <c r="KJ65" s="13"/>
      <c r="KK65" s="13"/>
      <c r="KL65" s="13"/>
      <c r="KM65" s="13"/>
      <c r="KN65" s="13"/>
      <c r="KO65" s="13"/>
      <c r="KP65" s="13"/>
      <c r="KQ65" s="13"/>
      <c r="KR65" s="13"/>
      <c r="KS65" s="13"/>
      <c r="KT65" s="13"/>
      <c r="KU65" s="13"/>
      <c r="KV65" s="13"/>
      <c r="KW65" s="13"/>
      <c r="KX65" s="13"/>
      <c r="KY65" s="13"/>
      <c r="KZ65" s="13"/>
      <c r="LA65" s="13"/>
      <c r="LB65" s="13"/>
      <c r="LC65" s="13"/>
      <c r="LD65" s="13"/>
      <c r="LE65" s="13"/>
      <c r="LF65" s="13"/>
      <c r="LG65" s="13"/>
      <c r="LH65" s="13"/>
      <c r="LI65" s="13"/>
      <c r="LJ65" s="13"/>
      <c r="LK65" s="13"/>
      <c r="LL65" s="13"/>
      <c r="LM65" s="13"/>
      <c r="LN65" s="13"/>
      <c r="LO65" s="13"/>
      <c r="LP65" s="13"/>
      <c r="LQ65" s="13"/>
      <c r="LR65" s="13"/>
      <c r="LS65" s="13"/>
      <c r="LT65" s="13"/>
      <c r="LU65" s="13"/>
      <c r="LV65" s="13"/>
      <c r="LW65" s="13"/>
      <c r="LX65" s="13"/>
      <c r="LY65" s="13"/>
      <c r="LZ65" s="13"/>
      <c r="MA65" s="13"/>
      <c r="MB65" s="13"/>
      <c r="MC65" s="13"/>
      <c r="MD65" s="13"/>
      <c r="ME65" s="13"/>
      <c r="MF65" s="13"/>
      <c r="MG65" s="13"/>
      <c r="MH65" s="13"/>
      <c r="MI65" s="13"/>
      <c r="MJ65" s="13"/>
      <c r="MK65" s="13"/>
      <c r="ML65" s="13"/>
      <c r="MM65" s="13"/>
      <c r="MN65" s="13"/>
      <c r="MO65" s="13"/>
      <c r="MP65" s="13"/>
      <c r="MQ65" s="13"/>
      <c r="MR65" s="13"/>
      <c r="MS65" s="13"/>
      <c r="MT65" s="13"/>
      <c r="MU65" s="13"/>
      <c r="MV65" s="13"/>
      <c r="MW65" s="13"/>
      <c r="MX65" s="13"/>
      <c r="MY65" s="13"/>
      <c r="MZ65" s="13"/>
      <c r="NA65" s="13"/>
      <c r="NB65" s="13"/>
      <c r="NC65" s="13"/>
      <c r="ND65" s="13"/>
      <c r="NE65" s="13"/>
      <c r="NF65" s="13"/>
      <c r="NG65" s="13"/>
      <c r="NH65" s="13"/>
      <c r="NI65" s="13"/>
      <c r="NJ65" s="13"/>
      <c r="NK65" s="13"/>
      <c r="NL65" s="13"/>
      <c r="NM65" s="13"/>
      <c r="NN65" s="13"/>
      <c r="NO65" s="13"/>
      <c r="NP65" s="13"/>
      <c r="NQ65" s="13"/>
      <c r="NR65" s="13"/>
      <c r="NS65" s="13"/>
      <c r="NT65" s="13"/>
      <c r="NU65" s="13"/>
      <c r="NV65" s="13"/>
      <c r="NW65" s="13"/>
      <c r="NX65" s="13"/>
      <c r="NY65" s="13"/>
      <c r="NZ65" s="13"/>
      <c r="OA65" s="13"/>
      <c r="OB65" s="13"/>
      <c r="OC65" s="13"/>
      <c r="OD65" s="13"/>
      <c r="OE65" s="13"/>
      <c r="OF65" s="13"/>
      <c r="OG65" s="13"/>
      <c r="OH65" s="13"/>
      <c r="OI65" s="13"/>
      <c r="OJ65" s="13"/>
      <c r="OK65" s="13"/>
      <c r="OL65" s="13"/>
      <c r="OM65" s="13"/>
      <c r="ON65" s="13"/>
      <c r="OO65" s="13"/>
      <c r="OP65" s="13"/>
      <c r="OQ65" s="13"/>
      <c r="OR65" s="13"/>
      <c r="OS65" s="13"/>
      <c r="OT65" s="13"/>
      <c r="OU65" s="13"/>
      <c r="OV65" s="13"/>
      <c r="OW65" s="13"/>
      <c r="OX65" s="13"/>
      <c r="OY65" s="13"/>
      <c r="OZ65" s="13"/>
      <c r="PA65" s="13"/>
      <c r="PB65" s="13"/>
      <c r="PC65" s="13"/>
      <c r="PD65" s="13"/>
      <c r="PE65" s="13"/>
      <c r="PF65" s="13"/>
      <c r="PG65" s="13"/>
      <c r="PH65" s="13"/>
      <c r="PI65" s="13"/>
      <c r="PJ65" s="13"/>
      <c r="PK65" s="13"/>
      <c r="PL65" s="13"/>
      <c r="PM65" s="13"/>
      <c r="PN65" s="13"/>
      <c r="PO65" s="13"/>
      <c r="PP65" s="13"/>
      <c r="PQ65" s="13"/>
      <c r="PR65" s="13"/>
      <c r="PS65" s="13"/>
      <c r="PT65" s="13"/>
      <c r="PU65" s="13"/>
      <c r="PV65" s="13"/>
      <c r="PW65" s="13"/>
      <c r="PX65" s="13"/>
      <c r="PY65" s="13"/>
      <c r="PZ65" s="13"/>
      <c r="QA65" s="13"/>
      <c r="QB65" s="13"/>
      <c r="QC65" s="13"/>
      <c r="QD65" s="13"/>
      <c r="QE65" s="13"/>
      <c r="QF65" s="13"/>
      <c r="QG65" s="13"/>
      <c r="QH65" s="13"/>
      <c r="QI65" s="13"/>
      <c r="QJ65" s="13"/>
      <c r="QK65" s="13"/>
      <c r="QL65" s="13"/>
      <c r="QM65" s="13"/>
      <c r="QN65" s="13"/>
      <c r="QO65" s="13"/>
      <c r="QP65" s="13"/>
      <c r="QQ65" s="13"/>
      <c r="QR65" s="13"/>
      <c r="QS65" s="13"/>
      <c r="QT65" s="13"/>
      <c r="QU65" s="13"/>
      <c r="QV65" s="13"/>
      <c r="QW65" s="13"/>
      <c r="QX65" s="13"/>
      <c r="QY65" s="13"/>
      <c r="QZ65" s="13"/>
      <c r="RA65" s="13"/>
      <c r="RB65" s="13"/>
      <c r="RC65" s="13"/>
      <c r="RD65" s="13"/>
      <c r="RE65" s="13"/>
      <c r="RF65" s="13"/>
      <c r="RG65" s="13"/>
      <c r="RH65" s="13"/>
      <c r="RI65" s="13"/>
      <c r="RJ65" s="13"/>
      <c r="RK65" s="13"/>
      <c r="RL65" s="13"/>
      <c r="RM65" s="13"/>
      <c r="RN65" s="13"/>
      <c r="RO65" s="13"/>
      <c r="RP65" s="13"/>
      <c r="RQ65" s="13"/>
      <c r="RR65" s="13"/>
      <c r="RS65" s="13"/>
      <c r="RT65" s="13"/>
      <c r="RU65" s="13"/>
      <c r="RV65" s="13"/>
      <c r="RW65" s="13"/>
      <c r="RX65" s="13"/>
      <c r="RY65" s="13"/>
      <c r="RZ65" s="13"/>
      <c r="SA65" s="13"/>
      <c r="SB65" s="13"/>
      <c r="SC65" s="13"/>
      <c r="SD65" s="13"/>
      <c r="SE65" s="13"/>
      <c r="SF65" s="13"/>
      <c r="SG65" s="13"/>
      <c r="SH65" s="13"/>
      <c r="SI65" s="13"/>
      <c r="SJ65" s="13"/>
      <c r="SK65" s="13"/>
      <c r="SL65" s="13"/>
      <c r="SM65" s="13"/>
      <c r="SN65" s="13"/>
      <c r="SO65" s="13"/>
      <c r="SP65" s="13"/>
      <c r="SQ65" s="13"/>
      <c r="SR65" s="13"/>
      <c r="SS65" s="13"/>
      <c r="ST65" s="13"/>
      <c r="SU65" s="13"/>
      <c r="SV65" s="13"/>
      <c r="SW65" s="13"/>
      <c r="SX65" s="13"/>
      <c r="SY65" s="13"/>
      <c r="SZ65" s="13"/>
      <c r="TA65" s="13"/>
      <c r="TB65" s="13"/>
      <c r="TC65" s="13"/>
      <c r="TD65" s="13"/>
      <c r="TE65" s="13"/>
      <c r="TF65" s="13"/>
      <c r="TG65" s="13"/>
      <c r="TH65" s="13"/>
      <c r="TI65" s="13"/>
      <c r="TJ65" s="13"/>
      <c r="TK65" s="13"/>
      <c r="TL65" s="13"/>
      <c r="TM65" s="13"/>
      <c r="TN65" s="13"/>
      <c r="TO65" s="13"/>
      <c r="TP65" s="13"/>
      <c r="TQ65" s="13"/>
      <c r="TR65" s="13"/>
      <c r="TS65" s="13"/>
      <c r="TT65" s="13"/>
      <c r="TU65" s="13"/>
      <c r="TV65" s="13"/>
      <c r="TW65" s="13"/>
      <c r="TX65" s="13"/>
      <c r="TY65" s="13"/>
      <c r="TZ65" s="13"/>
      <c r="UA65" s="13"/>
      <c r="UB65" s="13"/>
      <c r="UC65" s="13"/>
      <c r="UD65" s="13"/>
      <c r="UE65" s="13"/>
      <c r="UF65" s="13"/>
      <c r="UG65" s="13"/>
      <c r="UH65" s="13"/>
      <c r="UI65" s="13"/>
      <c r="UJ65" s="13"/>
      <c r="UK65" s="13"/>
      <c r="UL65" s="13"/>
      <c r="UM65" s="13"/>
      <c r="UN65" s="13"/>
      <c r="UO65" s="13"/>
      <c r="UP65" s="13"/>
      <c r="UQ65" s="13"/>
      <c r="UR65" s="13"/>
      <c r="US65" s="13"/>
      <c r="UT65" s="13"/>
      <c r="UU65" s="13"/>
      <c r="UV65" s="13"/>
      <c r="UW65" s="13"/>
      <c r="UX65" s="13"/>
      <c r="UY65" s="13"/>
      <c r="UZ65" s="13"/>
      <c r="VA65" s="13"/>
      <c r="VB65" s="13"/>
      <c r="VC65" s="13"/>
      <c r="VD65" s="13"/>
      <c r="VE65" s="13"/>
      <c r="VF65" s="13"/>
      <c r="VG65" s="13"/>
      <c r="VH65" s="13"/>
      <c r="VI65" s="13"/>
      <c r="VJ65" s="13"/>
      <c r="VK65" s="13"/>
      <c r="VL65" s="13"/>
      <c r="VM65" s="13"/>
      <c r="VN65" s="13"/>
      <c r="VO65" s="13"/>
      <c r="VP65" s="13"/>
      <c r="VQ65" s="13"/>
      <c r="VR65" s="13"/>
      <c r="VS65" s="13"/>
      <c r="VT65" s="13"/>
      <c r="VU65" s="13"/>
      <c r="VV65" s="13"/>
      <c r="VW65" s="13"/>
      <c r="VX65" s="13"/>
      <c r="VY65" s="13"/>
      <c r="VZ65" s="13"/>
      <c r="WA65" s="13"/>
      <c r="WB65" s="13"/>
      <c r="WC65" s="13"/>
      <c r="WD65" s="13"/>
      <c r="WE65" s="13"/>
      <c r="WF65" s="13"/>
      <c r="WG65" s="13"/>
      <c r="WH65" s="13"/>
      <c r="WI65" s="13"/>
      <c r="WJ65" s="13"/>
      <c r="WK65" s="13"/>
      <c r="WL65" s="13"/>
      <c r="WM65" s="13"/>
      <c r="WN65" s="13"/>
      <c r="WO65" s="13"/>
      <c r="WP65" s="13"/>
      <c r="WQ65" s="13"/>
      <c r="WR65" s="13"/>
      <c r="WS65" s="13"/>
      <c r="WT65" s="13"/>
      <c r="WU65" s="13"/>
      <c r="WV65" s="13"/>
      <c r="WW65" s="13"/>
      <c r="WX65" s="13"/>
      <c r="WY65" s="13"/>
      <c r="WZ65" s="13"/>
      <c r="XA65" s="13"/>
      <c r="XB65" s="13"/>
      <c r="XC65" s="13"/>
      <c r="XD65" s="13"/>
      <c r="XE65" s="13"/>
      <c r="XF65" s="13"/>
      <c r="XG65" s="13"/>
      <c r="XH65" s="13"/>
      <c r="XI65" s="13"/>
      <c r="XJ65" s="13"/>
      <c r="XK65" s="13"/>
      <c r="XL65" s="13"/>
      <c r="XM65" s="13"/>
      <c r="XN65" s="13"/>
      <c r="XO65" s="13"/>
      <c r="XP65" s="13"/>
      <c r="XQ65" s="13"/>
      <c r="XR65" s="13"/>
      <c r="XS65" s="13"/>
      <c r="XT65" s="13"/>
      <c r="XU65" s="13"/>
      <c r="XV65" s="13"/>
      <c r="XW65" s="13"/>
      <c r="XX65" s="13"/>
      <c r="XY65" s="13"/>
      <c r="XZ65" s="13"/>
      <c r="YA65" s="13"/>
      <c r="YB65" s="13"/>
      <c r="YC65" s="13"/>
      <c r="YD65" s="13"/>
      <c r="YE65" s="13"/>
      <c r="YF65" s="13"/>
      <c r="YG65" s="13"/>
      <c r="YH65" s="13"/>
      <c r="YI65" s="13"/>
      <c r="YJ65" s="13"/>
      <c r="YK65" s="13"/>
      <c r="YL65" s="13"/>
      <c r="YM65" s="13"/>
      <c r="YN65" s="13"/>
      <c r="YO65" s="13"/>
      <c r="YP65" s="13"/>
      <c r="YQ65" s="13"/>
      <c r="YR65" s="13"/>
      <c r="YS65" s="13"/>
      <c r="YT65" s="13"/>
      <c r="YU65" s="13"/>
      <c r="YV65" s="13"/>
      <c r="YW65" s="13"/>
      <c r="YX65" s="13"/>
      <c r="YY65" s="13"/>
      <c r="YZ65" s="13"/>
      <c r="ZA65" s="13"/>
      <c r="ZB65" s="13"/>
      <c r="ZC65" s="13"/>
      <c r="ZD65" s="13"/>
      <c r="ZE65" s="13"/>
      <c r="ZF65" s="13"/>
      <c r="ZG65" s="13"/>
      <c r="ZH65" s="13"/>
      <c r="ZI65" s="13"/>
      <c r="ZJ65" s="13"/>
      <c r="ZK65" s="13"/>
      <c r="ZL65" s="13"/>
      <c r="ZM65" s="13"/>
      <c r="ZN65" s="13"/>
      <c r="ZO65" s="13"/>
      <c r="ZP65" s="13"/>
      <c r="ZQ65" s="13"/>
      <c r="ZR65" s="13"/>
      <c r="ZS65" s="13"/>
      <c r="ZT65" s="13"/>
      <c r="ZU65" s="13"/>
      <c r="ZV65" s="13"/>
      <c r="ZW65" s="13"/>
      <c r="ZX65" s="13"/>
      <c r="ZY65" s="13"/>
      <c r="ZZ65" s="13"/>
      <c r="AAA65" s="13"/>
      <c r="AAB65" s="13"/>
      <c r="AAC65" s="13"/>
      <c r="AAD65" s="13"/>
      <c r="AAE65" s="13"/>
      <c r="AAF65" s="13"/>
      <c r="AAG65" s="13"/>
      <c r="AAH65" s="13"/>
      <c r="AAI65" s="13"/>
      <c r="AAJ65" s="13"/>
      <c r="AAK65" s="13"/>
      <c r="AAL65" s="13"/>
      <c r="AAM65" s="13"/>
      <c r="AAN65" s="13"/>
      <c r="AAO65" s="13"/>
      <c r="AAP65" s="13"/>
      <c r="AAQ65" s="13"/>
      <c r="AAR65" s="13"/>
      <c r="AAS65" s="13"/>
      <c r="AAT65" s="13"/>
      <c r="AAU65" s="13"/>
      <c r="AAV65" s="13"/>
      <c r="AAW65" s="13"/>
      <c r="AAX65" s="13"/>
      <c r="AAY65" s="13"/>
      <c r="AAZ65" s="13"/>
      <c r="ABA65" s="13"/>
      <c r="ABB65" s="13"/>
      <c r="ABC65" s="13"/>
      <c r="ABD65" s="13"/>
      <c r="ABE65" s="13"/>
      <c r="ABF65" s="13"/>
      <c r="ABG65" s="13"/>
      <c r="ABH65" s="13"/>
      <c r="ABI65" s="13"/>
      <c r="ABJ65" s="13"/>
      <c r="ABK65" s="13"/>
      <c r="ABL65" s="13"/>
      <c r="ABM65" s="13"/>
      <c r="ABN65" s="13"/>
      <c r="ABO65" s="13"/>
      <c r="ABP65" s="13"/>
      <c r="ABQ65" s="13"/>
      <c r="ABR65" s="13"/>
      <c r="ABS65" s="13"/>
      <c r="ABT65" s="13"/>
      <c r="ABU65" s="13"/>
      <c r="ABV65" s="13"/>
      <c r="ABW65" s="13"/>
      <c r="ABX65" s="13"/>
      <c r="ABY65" s="13"/>
      <c r="ABZ65" s="13"/>
      <c r="ACA65" s="13"/>
      <c r="ACB65" s="13"/>
      <c r="ACC65" s="13"/>
      <c r="ACD65" s="13"/>
      <c r="ACE65" s="13"/>
      <c r="ACF65" s="13"/>
      <c r="ACG65" s="13"/>
      <c r="ACH65" s="13"/>
      <c r="ACI65" s="13"/>
      <c r="ACJ65" s="13"/>
      <c r="ACK65" s="13"/>
      <c r="ACL65" s="13"/>
      <c r="ACM65" s="13"/>
      <c r="ACN65" s="13"/>
      <c r="ACO65" s="13"/>
      <c r="ACP65" s="13"/>
      <c r="ACQ65" s="13"/>
      <c r="ACR65" s="13"/>
      <c r="ACS65" s="13"/>
      <c r="ACT65" s="13"/>
      <c r="ACU65" s="13"/>
      <c r="ACV65" s="13"/>
      <c r="ACW65" s="13"/>
      <c r="ACX65" s="13"/>
      <c r="ACY65" s="13"/>
      <c r="ACZ65" s="13"/>
      <c r="ADA65" s="13"/>
      <c r="ADB65" s="13"/>
      <c r="ADC65" s="13"/>
      <c r="ADD65" s="13"/>
      <c r="ADE65" s="13"/>
      <c r="ADF65" s="13"/>
      <c r="ADG65" s="13"/>
      <c r="ADH65" s="13"/>
      <c r="ADI65" s="13"/>
      <c r="ADJ65" s="13"/>
      <c r="ADK65" s="13"/>
      <c r="ADL65" s="13"/>
      <c r="ADM65" s="13"/>
      <c r="ADN65" s="13"/>
      <c r="ADO65" s="13"/>
      <c r="ADP65" s="13"/>
      <c r="ADQ65" s="13"/>
      <c r="ADR65" s="13"/>
      <c r="ADS65" s="13"/>
      <c r="ADT65" s="13"/>
      <c r="ADU65" s="13"/>
      <c r="ADV65" s="13"/>
      <c r="ADW65" s="13"/>
      <c r="ADX65" s="13"/>
      <c r="ADY65" s="13"/>
      <c r="ADZ65" s="13"/>
      <c r="AEA65" s="13"/>
      <c r="AEB65" s="13"/>
      <c r="AEC65" s="13"/>
      <c r="AED65" s="13"/>
      <c r="AEE65" s="13"/>
      <c r="AEF65" s="13"/>
      <c r="AEG65" s="13"/>
      <c r="AEH65" s="13"/>
      <c r="AEI65" s="13"/>
      <c r="AEJ65" s="13"/>
      <c r="AEK65" s="13"/>
      <c r="AEL65" s="13"/>
      <c r="AEM65" s="13"/>
      <c r="AEN65" s="13"/>
      <c r="AEO65" s="13"/>
      <c r="AEP65" s="13"/>
      <c r="AEQ65" s="13"/>
      <c r="AER65" s="13"/>
      <c r="AES65" s="13"/>
      <c r="AET65" s="13"/>
      <c r="AEU65" s="13"/>
      <c r="AEV65" s="13"/>
      <c r="AEW65" s="13"/>
      <c r="AEX65" s="13"/>
      <c r="AEY65" s="13"/>
      <c r="AEZ65" s="13"/>
      <c r="AFA65" s="13"/>
      <c r="AFB65" s="13"/>
      <c r="AFC65" s="13"/>
      <c r="AFD65" s="13"/>
      <c r="AFE65" s="13"/>
      <c r="AFF65" s="13"/>
      <c r="AFG65" s="13"/>
      <c r="AFH65" s="13"/>
      <c r="AFI65" s="13"/>
      <c r="AFJ65" s="13"/>
      <c r="AFK65" s="13"/>
      <c r="AFL65" s="13"/>
      <c r="AFM65" s="13"/>
      <c r="AFN65" s="13"/>
      <c r="AFO65" s="13"/>
      <c r="AFP65" s="13"/>
      <c r="AFQ65" s="13"/>
      <c r="AFR65" s="13"/>
      <c r="AFS65" s="13"/>
      <c r="AFT65" s="13"/>
      <c r="AFU65" s="13"/>
      <c r="AFV65" s="13"/>
      <c r="AFW65" s="13"/>
      <c r="AFX65" s="13"/>
      <c r="AFY65" s="13"/>
      <c r="AFZ65" s="13"/>
      <c r="AGA65" s="13"/>
      <c r="AGB65" s="13"/>
      <c r="AGC65" s="13"/>
      <c r="AGD65" s="13"/>
      <c r="AGE65" s="13"/>
      <c r="AGF65" s="13"/>
      <c r="AGG65" s="13"/>
      <c r="AGH65" s="13"/>
      <c r="AGI65" s="13"/>
      <c r="AGJ65" s="13"/>
      <c r="AGK65" s="13"/>
      <c r="AGL65" s="13"/>
      <c r="AGM65" s="13"/>
      <c r="AGN65" s="13"/>
      <c r="AGO65" s="13"/>
      <c r="AGP65" s="13"/>
      <c r="AGQ65" s="13"/>
      <c r="AGR65" s="13"/>
      <c r="AGS65" s="13"/>
      <c r="AGT65" s="13"/>
      <c r="AGU65" s="13"/>
      <c r="AGV65" s="13"/>
      <c r="AGW65" s="13"/>
      <c r="AGX65" s="13"/>
      <c r="AGY65" s="13"/>
      <c r="AGZ65" s="13"/>
      <c r="AHA65" s="13"/>
      <c r="AHB65" s="13"/>
      <c r="AHC65" s="13"/>
      <c r="AHD65" s="13"/>
      <c r="AHE65" s="13"/>
      <c r="AHF65" s="13"/>
      <c r="AHG65" s="13"/>
      <c r="AHH65" s="13"/>
      <c r="AHI65" s="13"/>
      <c r="AHJ65" s="13"/>
      <c r="AHK65" s="13"/>
      <c r="AHL65" s="13"/>
      <c r="AHM65" s="13"/>
      <c r="AHN65" s="13"/>
      <c r="AHO65" s="13"/>
      <c r="AHP65" s="13"/>
      <c r="AHQ65" s="13"/>
      <c r="AHR65" s="13"/>
      <c r="AHS65" s="13"/>
      <c r="AHT65" s="13"/>
      <c r="AHU65" s="13"/>
      <c r="AHV65" s="13"/>
      <c r="AHW65" s="13"/>
      <c r="AHX65" s="13"/>
      <c r="AHY65" s="13"/>
      <c r="AHZ65" s="13"/>
      <c r="AIA65" s="13"/>
      <c r="AIB65" s="13"/>
      <c r="AIC65" s="13"/>
      <c r="AID65" s="13"/>
      <c r="AIE65" s="13"/>
      <c r="AIF65" s="13"/>
      <c r="AIG65" s="13"/>
      <c r="AIH65" s="13"/>
      <c r="AII65" s="13"/>
      <c r="AIJ65" s="13"/>
      <c r="AIK65" s="13"/>
      <c r="AIL65" s="13"/>
      <c r="AIM65" s="13"/>
      <c r="AIN65" s="13"/>
      <c r="AIO65" s="13"/>
      <c r="AIP65" s="13"/>
      <c r="AIQ65" s="13"/>
      <c r="AIR65" s="13"/>
      <c r="AIS65" s="13"/>
      <c r="AIT65" s="13"/>
      <c r="AIU65" s="13"/>
      <c r="AIV65" s="13"/>
      <c r="AIW65" s="13"/>
      <c r="AIX65" s="13"/>
      <c r="AIY65" s="13"/>
      <c r="AIZ65" s="13"/>
      <c r="AJA65" s="13"/>
      <c r="AJB65" s="13"/>
      <c r="AJC65" s="13"/>
      <c r="AJD65" s="13"/>
      <c r="AJE65" s="13"/>
      <c r="AJF65" s="13"/>
      <c r="AJG65" s="13"/>
      <c r="AJH65" s="13"/>
      <c r="AJI65" s="13"/>
      <c r="AJJ65" s="13"/>
      <c r="AJK65" s="13"/>
      <c r="AJL65" s="13"/>
      <c r="AJM65" s="13"/>
      <c r="AJN65" s="13"/>
      <c r="AJO65" s="13"/>
      <c r="AJP65" s="13"/>
      <c r="AJQ65" s="13"/>
      <c r="AJR65" s="13"/>
      <c r="AJS65" s="13"/>
      <c r="AJT65" s="13"/>
      <c r="AJU65" s="13"/>
      <c r="AJV65" s="13"/>
      <c r="AJW65" s="13"/>
      <c r="AJX65" s="13"/>
      <c r="AJY65" s="13"/>
      <c r="AJZ65" s="13"/>
      <c r="AKA65" s="13"/>
      <c r="AKB65" s="13"/>
      <c r="AKC65" s="13"/>
      <c r="AKD65" s="13"/>
      <c r="AKE65" s="13"/>
      <c r="AKF65" s="13"/>
      <c r="AKG65" s="13"/>
      <c r="AKH65" s="13"/>
      <c r="AKI65" s="13"/>
      <c r="AKJ65" s="13"/>
      <c r="AKK65" s="13"/>
      <c r="AKL65" s="13"/>
      <c r="AKM65" s="13"/>
      <c r="AKN65" s="13"/>
      <c r="AKO65" s="13"/>
      <c r="AKP65" s="13"/>
      <c r="AKQ65" s="13"/>
      <c r="AKR65" s="13"/>
      <c r="AKS65" s="13"/>
      <c r="AKT65" s="13"/>
      <c r="AKU65" s="13"/>
      <c r="AKV65" s="13"/>
      <c r="AKW65" s="13"/>
      <c r="AKX65" s="13"/>
      <c r="AKY65" s="13"/>
      <c r="AKZ65" s="13"/>
      <c r="ALA65" s="13"/>
      <c r="ALB65" s="13"/>
      <c r="ALC65" s="13"/>
      <c r="ALD65" s="13"/>
      <c r="ALE65" s="13"/>
      <c r="ALF65" s="13"/>
      <c r="ALG65" s="13"/>
      <c r="ALH65" s="13"/>
      <c r="ALI65" s="13"/>
      <c r="ALJ65" s="13"/>
      <c r="ALK65" s="13"/>
      <c r="ALL65" s="13"/>
      <c r="ALM65" s="13"/>
      <c r="ALN65" s="13"/>
      <c r="ALO65" s="13"/>
      <c r="ALP65" s="13"/>
      <c r="ALQ65" s="13"/>
      <c r="ALR65" s="13"/>
      <c r="ALS65" s="13"/>
      <c r="ALT65" s="13"/>
      <c r="ALU65" s="13"/>
      <c r="ALV65" s="13"/>
      <c r="ALW65" s="13"/>
      <c r="ALX65" s="13"/>
      <c r="ALY65" s="13"/>
      <c r="ALZ65" s="13"/>
      <c r="AMA65" s="13"/>
      <c r="AMB65" s="13"/>
      <c r="AMC65" s="13"/>
      <c r="AMD65" s="13"/>
      <c r="AME65" s="13"/>
      <c r="AMF65" s="13"/>
      <c r="AMG65" s="13"/>
      <c r="AMH65" s="13"/>
      <c r="AMI65" s="13"/>
      <c r="AMJ65" s="13"/>
      <c r="AMK65" s="13"/>
    </row>
    <row r="66" spans="1:1025" s="164" customFormat="1" ht="12.75" customHeight="1" x14ac:dyDescent="0.2">
      <c r="A66" s="1"/>
      <c r="B66" s="13"/>
      <c r="C66" s="1"/>
      <c r="D66" s="13"/>
      <c r="E66" s="13"/>
      <c r="F66" s="63"/>
      <c r="G66" s="6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  <c r="JP66" s="13"/>
      <c r="JQ66" s="13"/>
      <c r="JR66" s="13"/>
      <c r="JS66" s="13"/>
      <c r="JT66" s="13"/>
      <c r="JU66" s="13"/>
      <c r="JV66" s="13"/>
      <c r="JW66" s="13"/>
      <c r="JX66" s="13"/>
      <c r="JY66" s="13"/>
      <c r="JZ66" s="13"/>
      <c r="KA66" s="13"/>
      <c r="KB66" s="13"/>
      <c r="KC66" s="13"/>
      <c r="KD66" s="13"/>
      <c r="KE66" s="13"/>
      <c r="KF66" s="13"/>
      <c r="KG66" s="13"/>
      <c r="KH66" s="13"/>
      <c r="KI66" s="13"/>
      <c r="KJ66" s="13"/>
      <c r="KK66" s="13"/>
      <c r="KL66" s="13"/>
      <c r="KM66" s="13"/>
      <c r="KN66" s="13"/>
      <c r="KO66" s="13"/>
      <c r="KP66" s="13"/>
      <c r="KQ66" s="13"/>
      <c r="KR66" s="13"/>
      <c r="KS66" s="13"/>
      <c r="KT66" s="13"/>
      <c r="KU66" s="13"/>
      <c r="KV66" s="13"/>
      <c r="KW66" s="13"/>
      <c r="KX66" s="13"/>
      <c r="KY66" s="13"/>
      <c r="KZ66" s="13"/>
      <c r="LA66" s="13"/>
      <c r="LB66" s="13"/>
      <c r="LC66" s="13"/>
      <c r="LD66" s="13"/>
      <c r="LE66" s="13"/>
      <c r="LF66" s="13"/>
      <c r="LG66" s="13"/>
      <c r="LH66" s="13"/>
      <c r="LI66" s="13"/>
      <c r="LJ66" s="13"/>
      <c r="LK66" s="13"/>
      <c r="LL66" s="13"/>
      <c r="LM66" s="13"/>
      <c r="LN66" s="13"/>
      <c r="LO66" s="13"/>
      <c r="LP66" s="13"/>
      <c r="LQ66" s="13"/>
      <c r="LR66" s="13"/>
      <c r="LS66" s="13"/>
      <c r="LT66" s="13"/>
      <c r="LU66" s="13"/>
      <c r="LV66" s="13"/>
      <c r="LW66" s="13"/>
      <c r="LX66" s="13"/>
      <c r="LY66" s="13"/>
      <c r="LZ66" s="13"/>
      <c r="MA66" s="13"/>
      <c r="MB66" s="13"/>
      <c r="MC66" s="13"/>
      <c r="MD66" s="13"/>
      <c r="ME66" s="13"/>
      <c r="MF66" s="13"/>
      <c r="MG66" s="13"/>
      <c r="MH66" s="13"/>
      <c r="MI66" s="13"/>
      <c r="MJ66" s="13"/>
      <c r="MK66" s="13"/>
      <c r="ML66" s="13"/>
      <c r="MM66" s="13"/>
      <c r="MN66" s="13"/>
      <c r="MO66" s="13"/>
      <c r="MP66" s="13"/>
      <c r="MQ66" s="13"/>
      <c r="MR66" s="13"/>
      <c r="MS66" s="13"/>
      <c r="MT66" s="13"/>
      <c r="MU66" s="13"/>
      <c r="MV66" s="13"/>
      <c r="MW66" s="13"/>
      <c r="MX66" s="13"/>
      <c r="MY66" s="13"/>
      <c r="MZ66" s="13"/>
      <c r="NA66" s="13"/>
      <c r="NB66" s="13"/>
      <c r="NC66" s="13"/>
      <c r="ND66" s="13"/>
      <c r="NE66" s="13"/>
      <c r="NF66" s="13"/>
      <c r="NG66" s="13"/>
      <c r="NH66" s="13"/>
      <c r="NI66" s="13"/>
      <c r="NJ66" s="13"/>
      <c r="NK66" s="13"/>
      <c r="NL66" s="13"/>
      <c r="NM66" s="13"/>
      <c r="NN66" s="13"/>
      <c r="NO66" s="13"/>
      <c r="NP66" s="13"/>
      <c r="NQ66" s="13"/>
      <c r="NR66" s="13"/>
      <c r="NS66" s="13"/>
      <c r="NT66" s="13"/>
      <c r="NU66" s="13"/>
      <c r="NV66" s="13"/>
      <c r="NW66" s="13"/>
      <c r="NX66" s="13"/>
      <c r="NY66" s="13"/>
      <c r="NZ66" s="13"/>
      <c r="OA66" s="13"/>
      <c r="OB66" s="13"/>
      <c r="OC66" s="13"/>
      <c r="OD66" s="13"/>
      <c r="OE66" s="13"/>
      <c r="OF66" s="13"/>
      <c r="OG66" s="13"/>
      <c r="OH66" s="13"/>
      <c r="OI66" s="13"/>
      <c r="OJ66" s="13"/>
      <c r="OK66" s="13"/>
      <c r="OL66" s="13"/>
      <c r="OM66" s="13"/>
      <c r="ON66" s="13"/>
      <c r="OO66" s="13"/>
      <c r="OP66" s="13"/>
      <c r="OQ66" s="13"/>
      <c r="OR66" s="13"/>
      <c r="OS66" s="13"/>
      <c r="OT66" s="13"/>
      <c r="OU66" s="13"/>
      <c r="OV66" s="13"/>
      <c r="OW66" s="13"/>
      <c r="OX66" s="13"/>
      <c r="OY66" s="13"/>
      <c r="OZ66" s="13"/>
      <c r="PA66" s="13"/>
      <c r="PB66" s="13"/>
      <c r="PC66" s="13"/>
      <c r="PD66" s="13"/>
      <c r="PE66" s="13"/>
      <c r="PF66" s="13"/>
      <c r="PG66" s="13"/>
      <c r="PH66" s="13"/>
      <c r="PI66" s="13"/>
      <c r="PJ66" s="13"/>
      <c r="PK66" s="13"/>
      <c r="PL66" s="13"/>
      <c r="PM66" s="13"/>
      <c r="PN66" s="13"/>
      <c r="PO66" s="13"/>
      <c r="PP66" s="13"/>
      <c r="PQ66" s="13"/>
      <c r="PR66" s="13"/>
      <c r="PS66" s="13"/>
      <c r="PT66" s="13"/>
      <c r="PU66" s="13"/>
      <c r="PV66" s="13"/>
      <c r="PW66" s="13"/>
      <c r="PX66" s="13"/>
      <c r="PY66" s="13"/>
      <c r="PZ66" s="13"/>
      <c r="QA66" s="13"/>
      <c r="QB66" s="13"/>
      <c r="QC66" s="13"/>
      <c r="QD66" s="13"/>
      <c r="QE66" s="13"/>
      <c r="QF66" s="13"/>
      <c r="QG66" s="13"/>
      <c r="QH66" s="13"/>
      <c r="QI66" s="13"/>
      <c r="QJ66" s="13"/>
      <c r="QK66" s="13"/>
      <c r="QL66" s="13"/>
      <c r="QM66" s="13"/>
      <c r="QN66" s="13"/>
      <c r="QO66" s="13"/>
      <c r="QP66" s="13"/>
      <c r="QQ66" s="13"/>
      <c r="QR66" s="13"/>
      <c r="QS66" s="13"/>
      <c r="QT66" s="13"/>
      <c r="QU66" s="13"/>
      <c r="QV66" s="13"/>
      <c r="QW66" s="13"/>
      <c r="QX66" s="13"/>
      <c r="QY66" s="13"/>
      <c r="QZ66" s="13"/>
      <c r="RA66" s="13"/>
      <c r="RB66" s="13"/>
      <c r="RC66" s="13"/>
      <c r="RD66" s="13"/>
      <c r="RE66" s="13"/>
      <c r="RF66" s="13"/>
      <c r="RG66" s="13"/>
      <c r="RH66" s="13"/>
      <c r="RI66" s="13"/>
      <c r="RJ66" s="13"/>
      <c r="RK66" s="13"/>
      <c r="RL66" s="13"/>
      <c r="RM66" s="13"/>
      <c r="RN66" s="13"/>
      <c r="RO66" s="13"/>
      <c r="RP66" s="13"/>
      <c r="RQ66" s="13"/>
      <c r="RR66" s="13"/>
      <c r="RS66" s="13"/>
      <c r="RT66" s="13"/>
      <c r="RU66" s="13"/>
      <c r="RV66" s="13"/>
      <c r="RW66" s="13"/>
      <c r="RX66" s="13"/>
      <c r="RY66" s="13"/>
      <c r="RZ66" s="13"/>
      <c r="SA66" s="13"/>
      <c r="SB66" s="13"/>
      <c r="SC66" s="13"/>
      <c r="SD66" s="13"/>
      <c r="SE66" s="13"/>
      <c r="SF66" s="13"/>
      <c r="SG66" s="13"/>
      <c r="SH66" s="13"/>
      <c r="SI66" s="13"/>
      <c r="SJ66" s="13"/>
      <c r="SK66" s="13"/>
      <c r="SL66" s="13"/>
      <c r="SM66" s="13"/>
      <c r="SN66" s="13"/>
      <c r="SO66" s="13"/>
      <c r="SP66" s="13"/>
      <c r="SQ66" s="13"/>
      <c r="SR66" s="13"/>
      <c r="SS66" s="13"/>
      <c r="ST66" s="13"/>
      <c r="SU66" s="13"/>
      <c r="SV66" s="13"/>
      <c r="SW66" s="13"/>
      <c r="SX66" s="13"/>
      <c r="SY66" s="13"/>
      <c r="SZ66" s="13"/>
      <c r="TA66" s="13"/>
      <c r="TB66" s="13"/>
      <c r="TC66" s="13"/>
      <c r="TD66" s="13"/>
      <c r="TE66" s="13"/>
      <c r="TF66" s="13"/>
      <c r="TG66" s="13"/>
      <c r="TH66" s="13"/>
      <c r="TI66" s="13"/>
      <c r="TJ66" s="13"/>
      <c r="TK66" s="13"/>
      <c r="TL66" s="13"/>
      <c r="TM66" s="13"/>
      <c r="TN66" s="13"/>
      <c r="TO66" s="13"/>
      <c r="TP66" s="13"/>
      <c r="TQ66" s="13"/>
      <c r="TR66" s="13"/>
      <c r="TS66" s="13"/>
      <c r="TT66" s="13"/>
      <c r="TU66" s="13"/>
      <c r="TV66" s="13"/>
      <c r="TW66" s="13"/>
      <c r="TX66" s="13"/>
      <c r="TY66" s="13"/>
      <c r="TZ66" s="13"/>
      <c r="UA66" s="13"/>
      <c r="UB66" s="13"/>
      <c r="UC66" s="13"/>
      <c r="UD66" s="13"/>
      <c r="UE66" s="13"/>
      <c r="UF66" s="13"/>
      <c r="UG66" s="13"/>
      <c r="UH66" s="13"/>
      <c r="UI66" s="13"/>
      <c r="UJ66" s="13"/>
      <c r="UK66" s="13"/>
      <c r="UL66" s="13"/>
      <c r="UM66" s="13"/>
      <c r="UN66" s="13"/>
      <c r="UO66" s="13"/>
      <c r="UP66" s="13"/>
      <c r="UQ66" s="13"/>
      <c r="UR66" s="13"/>
      <c r="US66" s="13"/>
      <c r="UT66" s="13"/>
      <c r="UU66" s="13"/>
      <c r="UV66" s="13"/>
      <c r="UW66" s="13"/>
      <c r="UX66" s="13"/>
      <c r="UY66" s="13"/>
      <c r="UZ66" s="13"/>
      <c r="VA66" s="13"/>
      <c r="VB66" s="13"/>
      <c r="VC66" s="13"/>
      <c r="VD66" s="13"/>
      <c r="VE66" s="13"/>
      <c r="VF66" s="13"/>
      <c r="VG66" s="13"/>
      <c r="VH66" s="13"/>
      <c r="VI66" s="13"/>
      <c r="VJ66" s="13"/>
      <c r="VK66" s="13"/>
      <c r="VL66" s="13"/>
      <c r="VM66" s="13"/>
      <c r="VN66" s="13"/>
      <c r="VO66" s="13"/>
      <c r="VP66" s="13"/>
      <c r="VQ66" s="13"/>
      <c r="VR66" s="13"/>
      <c r="VS66" s="13"/>
      <c r="VT66" s="13"/>
      <c r="VU66" s="13"/>
      <c r="VV66" s="13"/>
      <c r="VW66" s="13"/>
      <c r="VX66" s="13"/>
      <c r="VY66" s="13"/>
      <c r="VZ66" s="13"/>
      <c r="WA66" s="13"/>
      <c r="WB66" s="13"/>
      <c r="WC66" s="13"/>
      <c r="WD66" s="13"/>
      <c r="WE66" s="13"/>
      <c r="WF66" s="13"/>
      <c r="WG66" s="13"/>
      <c r="WH66" s="13"/>
      <c r="WI66" s="13"/>
      <c r="WJ66" s="13"/>
      <c r="WK66" s="13"/>
      <c r="WL66" s="13"/>
      <c r="WM66" s="13"/>
      <c r="WN66" s="13"/>
      <c r="WO66" s="13"/>
      <c r="WP66" s="13"/>
      <c r="WQ66" s="13"/>
      <c r="WR66" s="13"/>
      <c r="WS66" s="13"/>
      <c r="WT66" s="13"/>
      <c r="WU66" s="13"/>
      <c r="WV66" s="13"/>
      <c r="WW66" s="13"/>
      <c r="WX66" s="13"/>
      <c r="WY66" s="13"/>
      <c r="WZ66" s="13"/>
      <c r="XA66" s="13"/>
      <c r="XB66" s="13"/>
      <c r="XC66" s="13"/>
      <c r="XD66" s="13"/>
      <c r="XE66" s="13"/>
      <c r="XF66" s="13"/>
      <c r="XG66" s="13"/>
      <c r="XH66" s="13"/>
      <c r="XI66" s="13"/>
      <c r="XJ66" s="13"/>
      <c r="XK66" s="13"/>
      <c r="XL66" s="13"/>
      <c r="XM66" s="13"/>
      <c r="XN66" s="13"/>
      <c r="XO66" s="13"/>
      <c r="XP66" s="13"/>
      <c r="XQ66" s="13"/>
      <c r="XR66" s="13"/>
      <c r="XS66" s="13"/>
      <c r="XT66" s="13"/>
      <c r="XU66" s="13"/>
      <c r="XV66" s="13"/>
      <c r="XW66" s="13"/>
      <c r="XX66" s="13"/>
      <c r="XY66" s="13"/>
      <c r="XZ66" s="13"/>
      <c r="YA66" s="13"/>
      <c r="YB66" s="13"/>
      <c r="YC66" s="13"/>
      <c r="YD66" s="13"/>
      <c r="YE66" s="13"/>
      <c r="YF66" s="13"/>
      <c r="YG66" s="13"/>
      <c r="YH66" s="13"/>
      <c r="YI66" s="13"/>
      <c r="YJ66" s="13"/>
      <c r="YK66" s="13"/>
      <c r="YL66" s="13"/>
      <c r="YM66" s="13"/>
      <c r="YN66" s="13"/>
      <c r="YO66" s="13"/>
      <c r="YP66" s="13"/>
      <c r="YQ66" s="13"/>
      <c r="YR66" s="13"/>
      <c r="YS66" s="13"/>
      <c r="YT66" s="13"/>
      <c r="YU66" s="13"/>
      <c r="YV66" s="13"/>
      <c r="YW66" s="13"/>
      <c r="YX66" s="13"/>
      <c r="YY66" s="13"/>
      <c r="YZ66" s="13"/>
      <c r="ZA66" s="13"/>
      <c r="ZB66" s="13"/>
      <c r="ZC66" s="13"/>
      <c r="ZD66" s="13"/>
      <c r="ZE66" s="13"/>
      <c r="ZF66" s="13"/>
      <c r="ZG66" s="13"/>
      <c r="ZH66" s="13"/>
      <c r="ZI66" s="13"/>
      <c r="ZJ66" s="13"/>
      <c r="ZK66" s="13"/>
      <c r="ZL66" s="13"/>
      <c r="ZM66" s="13"/>
      <c r="ZN66" s="13"/>
      <c r="ZO66" s="13"/>
      <c r="ZP66" s="13"/>
      <c r="ZQ66" s="13"/>
      <c r="ZR66" s="13"/>
      <c r="ZS66" s="13"/>
      <c r="ZT66" s="13"/>
      <c r="ZU66" s="13"/>
      <c r="ZV66" s="13"/>
      <c r="ZW66" s="13"/>
      <c r="ZX66" s="13"/>
      <c r="ZY66" s="13"/>
      <c r="ZZ66" s="13"/>
      <c r="AAA66" s="13"/>
      <c r="AAB66" s="13"/>
      <c r="AAC66" s="13"/>
      <c r="AAD66" s="13"/>
      <c r="AAE66" s="13"/>
      <c r="AAF66" s="13"/>
      <c r="AAG66" s="13"/>
      <c r="AAH66" s="13"/>
      <c r="AAI66" s="13"/>
      <c r="AAJ66" s="13"/>
      <c r="AAK66" s="13"/>
      <c r="AAL66" s="13"/>
      <c r="AAM66" s="13"/>
      <c r="AAN66" s="13"/>
      <c r="AAO66" s="13"/>
      <c r="AAP66" s="13"/>
      <c r="AAQ66" s="13"/>
      <c r="AAR66" s="13"/>
      <c r="AAS66" s="13"/>
      <c r="AAT66" s="13"/>
      <c r="AAU66" s="13"/>
      <c r="AAV66" s="13"/>
      <c r="AAW66" s="13"/>
      <c r="AAX66" s="13"/>
      <c r="AAY66" s="13"/>
      <c r="AAZ66" s="13"/>
      <c r="ABA66" s="13"/>
      <c r="ABB66" s="13"/>
      <c r="ABC66" s="13"/>
      <c r="ABD66" s="13"/>
      <c r="ABE66" s="13"/>
      <c r="ABF66" s="13"/>
      <c r="ABG66" s="13"/>
      <c r="ABH66" s="13"/>
      <c r="ABI66" s="13"/>
      <c r="ABJ66" s="13"/>
      <c r="ABK66" s="13"/>
      <c r="ABL66" s="13"/>
      <c r="ABM66" s="13"/>
      <c r="ABN66" s="13"/>
      <c r="ABO66" s="13"/>
      <c r="ABP66" s="13"/>
      <c r="ABQ66" s="13"/>
      <c r="ABR66" s="13"/>
      <c r="ABS66" s="13"/>
      <c r="ABT66" s="13"/>
      <c r="ABU66" s="13"/>
      <c r="ABV66" s="13"/>
      <c r="ABW66" s="13"/>
      <c r="ABX66" s="13"/>
      <c r="ABY66" s="13"/>
      <c r="ABZ66" s="13"/>
      <c r="ACA66" s="13"/>
      <c r="ACB66" s="13"/>
      <c r="ACC66" s="13"/>
      <c r="ACD66" s="13"/>
      <c r="ACE66" s="13"/>
      <c r="ACF66" s="13"/>
      <c r="ACG66" s="13"/>
      <c r="ACH66" s="13"/>
      <c r="ACI66" s="13"/>
      <c r="ACJ66" s="13"/>
      <c r="ACK66" s="13"/>
      <c r="ACL66" s="13"/>
      <c r="ACM66" s="13"/>
      <c r="ACN66" s="13"/>
      <c r="ACO66" s="13"/>
      <c r="ACP66" s="13"/>
      <c r="ACQ66" s="13"/>
      <c r="ACR66" s="13"/>
      <c r="ACS66" s="13"/>
      <c r="ACT66" s="13"/>
      <c r="ACU66" s="13"/>
      <c r="ACV66" s="13"/>
      <c r="ACW66" s="13"/>
      <c r="ACX66" s="13"/>
      <c r="ACY66" s="13"/>
      <c r="ACZ66" s="13"/>
      <c r="ADA66" s="13"/>
      <c r="ADB66" s="13"/>
      <c r="ADC66" s="13"/>
      <c r="ADD66" s="13"/>
      <c r="ADE66" s="13"/>
      <c r="ADF66" s="13"/>
      <c r="ADG66" s="13"/>
      <c r="ADH66" s="13"/>
      <c r="ADI66" s="13"/>
      <c r="ADJ66" s="13"/>
      <c r="ADK66" s="13"/>
      <c r="ADL66" s="13"/>
      <c r="ADM66" s="13"/>
      <c r="ADN66" s="13"/>
      <c r="ADO66" s="13"/>
      <c r="ADP66" s="13"/>
      <c r="ADQ66" s="13"/>
      <c r="ADR66" s="13"/>
      <c r="ADS66" s="13"/>
      <c r="ADT66" s="13"/>
      <c r="ADU66" s="13"/>
      <c r="ADV66" s="13"/>
      <c r="ADW66" s="13"/>
      <c r="ADX66" s="13"/>
      <c r="ADY66" s="13"/>
      <c r="ADZ66" s="13"/>
      <c r="AEA66" s="13"/>
      <c r="AEB66" s="13"/>
      <c r="AEC66" s="13"/>
      <c r="AED66" s="13"/>
      <c r="AEE66" s="13"/>
      <c r="AEF66" s="13"/>
      <c r="AEG66" s="13"/>
      <c r="AEH66" s="13"/>
      <c r="AEI66" s="13"/>
      <c r="AEJ66" s="13"/>
      <c r="AEK66" s="13"/>
      <c r="AEL66" s="13"/>
      <c r="AEM66" s="13"/>
      <c r="AEN66" s="13"/>
      <c r="AEO66" s="13"/>
      <c r="AEP66" s="13"/>
      <c r="AEQ66" s="13"/>
      <c r="AER66" s="13"/>
      <c r="AES66" s="13"/>
      <c r="AET66" s="13"/>
      <c r="AEU66" s="13"/>
      <c r="AEV66" s="13"/>
      <c r="AEW66" s="13"/>
      <c r="AEX66" s="13"/>
      <c r="AEY66" s="13"/>
      <c r="AEZ66" s="13"/>
      <c r="AFA66" s="13"/>
      <c r="AFB66" s="13"/>
      <c r="AFC66" s="13"/>
      <c r="AFD66" s="13"/>
      <c r="AFE66" s="13"/>
      <c r="AFF66" s="13"/>
      <c r="AFG66" s="13"/>
      <c r="AFH66" s="13"/>
      <c r="AFI66" s="13"/>
      <c r="AFJ66" s="13"/>
      <c r="AFK66" s="13"/>
      <c r="AFL66" s="13"/>
      <c r="AFM66" s="13"/>
      <c r="AFN66" s="13"/>
      <c r="AFO66" s="13"/>
      <c r="AFP66" s="13"/>
      <c r="AFQ66" s="13"/>
      <c r="AFR66" s="13"/>
      <c r="AFS66" s="13"/>
      <c r="AFT66" s="13"/>
      <c r="AFU66" s="13"/>
      <c r="AFV66" s="13"/>
      <c r="AFW66" s="13"/>
      <c r="AFX66" s="13"/>
      <c r="AFY66" s="13"/>
      <c r="AFZ66" s="13"/>
      <c r="AGA66" s="13"/>
      <c r="AGB66" s="13"/>
      <c r="AGC66" s="13"/>
      <c r="AGD66" s="13"/>
      <c r="AGE66" s="13"/>
      <c r="AGF66" s="13"/>
      <c r="AGG66" s="13"/>
      <c r="AGH66" s="13"/>
      <c r="AGI66" s="13"/>
      <c r="AGJ66" s="13"/>
      <c r="AGK66" s="13"/>
      <c r="AGL66" s="13"/>
      <c r="AGM66" s="13"/>
      <c r="AGN66" s="13"/>
      <c r="AGO66" s="13"/>
      <c r="AGP66" s="13"/>
      <c r="AGQ66" s="13"/>
      <c r="AGR66" s="13"/>
      <c r="AGS66" s="13"/>
      <c r="AGT66" s="13"/>
      <c r="AGU66" s="13"/>
      <c r="AGV66" s="13"/>
      <c r="AGW66" s="13"/>
      <c r="AGX66" s="13"/>
      <c r="AGY66" s="13"/>
      <c r="AGZ66" s="13"/>
      <c r="AHA66" s="13"/>
      <c r="AHB66" s="13"/>
      <c r="AHC66" s="13"/>
      <c r="AHD66" s="13"/>
      <c r="AHE66" s="13"/>
      <c r="AHF66" s="13"/>
      <c r="AHG66" s="13"/>
      <c r="AHH66" s="13"/>
      <c r="AHI66" s="13"/>
      <c r="AHJ66" s="13"/>
      <c r="AHK66" s="13"/>
      <c r="AHL66" s="13"/>
      <c r="AHM66" s="13"/>
      <c r="AHN66" s="13"/>
      <c r="AHO66" s="13"/>
      <c r="AHP66" s="13"/>
      <c r="AHQ66" s="13"/>
      <c r="AHR66" s="13"/>
      <c r="AHS66" s="13"/>
      <c r="AHT66" s="13"/>
      <c r="AHU66" s="13"/>
      <c r="AHV66" s="13"/>
      <c r="AHW66" s="13"/>
      <c r="AHX66" s="13"/>
      <c r="AHY66" s="13"/>
      <c r="AHZ66" s="13"/>
      <c r="AIA66" s="13"/>
      <c r="AIB66" s="13"/>
      <c r="AIC66" s="13"/>
      <c r="AID66" s="13"/>
      <c r="AIE66" s="13"/>
      <c r="AIF66" s="13"/>
      <c r="AIG66" s="13"/>
      <c r="AIH66" s="13"/>
      <c r="AII66" s="13"/>
      <c r="AIJ66" s="13"/>
      <c r="AIK66" s="13"/>
      <c r="AIL66" s="13"/>
      <c r="AIM66" s="13"/>
      <c r="AIN66" s="13"/>
      <c r="AIO66" s="13"/>
      <c r="AIP66" s="13"/>
      <c r="AIQ66" s="13"/>
      <c r="AIR66" s="13"/>
      <c r="AIS66" s="13"/>
      <c r="AIT66" s="13"/>
      <c r="AIU66" s="13"/>
      <c r="AIV66" s="13"/>
      <c r="AIW66" s="13"/>
      <c r="AIX66" s="13"/>
      <c r="AIY66" s="13"/>
      <c r="AIZ66" s="13"/>
      <c r="AJA66" s="13"/>
      <c r="AJB66" s="13"/>
      <c r="AJC66" s="13"/>
      <c r="AJD66" s="13"/>
      <c r="AJE66" s="13"/>
      <c r="AJF66" s="13"/>
      <c r="AJG66" s="13"/>
      <c r="AJH66" s="13"/>
      <c r="AJI66" s="13"/>
      <c r="AJJ66" s="13"/>
      <c r="AJK66" s="13"/>
      <c r="AJL66" s="13"/>
      <c r="AJM66" s="13"/>
      <c r="AJN66" s="13"/>
      <c r="AJO66" s="13"/>
      <c r="AJP66" s="13"/>
      <c r="AJQ66" s="13"/>
      <c r="AJR66" s="13"/>
      <c r="AJS66" s="13"/>
      <c r="AJT66" s="13"/>
      <c r="AJU66" s="13"/>
      <c r="AJV66" s="13"/>
      <c r="AJW66" s="13"/>
      <c r="AJX66" s="13"/>
      <c r="AJY66" s="13"/>
      <c r="AJZ66" s="13"/>
      <c r="AKA66" s="13"/>
      <c r="AKB66" s="13"/>
      <c r="AKC66" s="13"/>
      <c r="AKD66" s="13"/>
      <c r="AKE66" s="13"/>
      <c r="AKF66" s="13"/>
      <c r="AKG66" s="13"/>
      <c r="AKH66" s="13"/>
      <c r="AKI66" s="13"/>
      <c r="AKJ66" s="13"/>
      <c r="AKK66" s="13"/>
      <c r="AKL66" s="13"/>
      <c r="AKM66" s="13"/>
      <c r="AKN66" s="13"/>
      <c r="AKO66" s="13"/>
      <c r="AKP66" s="13"/>
      <c r="AKQ66" s="13"/>
      <c r="AKR66" s="13"/>
      <c r="AKS66" s="13"/>
      <c r="AKT66" s="13"/>
      <c r="AKU66" s="13"/>
      <c r="AKV66" s="13"/>
      <c r="AKW66" s="13"/>
      <c r="AKX66" s="13"/>
      <c r="AKY66" s="13"/>
      <c r="AKZ66" s="13"/>
      <c r="ALA66" s="13"/>
      <c r="ALB66" s="13"/>
      <c r="ALC66" s="13"/>
      <c r="ALD66" s="13"/>
      <c r="ALE66" s="13"/>
      <c r="ALF66" s="13"/>
      <c r="ALG66" s="13"/>
      <c r="ALH66" s="13"/>
      <c r="ALI66" s="13"/>
      <c r="ALJ66" s="13"/>
      <c r="ALK66" s="13"/>
      <c r="ALL66" s="13"/>
      <c r="ALM66" s="13"/>
      <c r="ALN66" s="13"/>
      <c r="ALO66" s="13"/>
      <c r="ALP66" s="13"/>
      <c r="ALQ66" s="13"/>
      <c r="ALR66" s="13"/>
      <c r="ALS66" s="13"/>
      <c r="ALT66" s="13"/>
      <c r="ALU66" s="13"/>
      <c r="ALV66" s="13"/>
      <c r="ALW66" s="13"/>
      <c r="ALX66" s="13"/>
      <c r="ALY66" s="13"/>
      <c r="ALZ66" s="13"/>
      <c r="AMA66" s="13"/>
      <c r="AMB66" s="13"/>
      <c r="AMC66" s="13"/>
      <c r="AMD66" s="13"/>
      <c r="AME66" s="13"/>
      <c r="AMF66" s="13"/>
      <c r="AMG66" s="13"/>
      <c r="AMH66" s="13"/>
      <c r="AMI66" s="13"/>
      <c r="AMJ66" s="13"/>
      <c r="AMK66" s="13"/>
    </row>
    <row r="67" spans="1:1025" s="164" customFormat="1" ht="12.75" customHeight="1" x14ac:dyDescent="0.2">
      <c r="A67" s="64" t="s">
        <v>150</v>
      </c>
      <c r="B67" s="65"/>
      <c r="C67" s="65"/>
      <c r="D67" s="65"/>
      <c r="E67" s="39"/>
      <c r="F67" s="133"/>
      <c r="G67" s="6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  <c r="JP67" s="13"/>
      <c r="JQ67" s="13"/>
      <c r="JR67" s="13"/>
      <c r="JS67" s="13"/>
      <c r="JT67" s="13"/>
      <c r="JU67" s="13"/>
      <c r="JV67" s="13"/>
      <c r="JW67" s="13"/>
      <c r="JX67" s="13"/>
      <c r="JY67" s="13"/>
      <c r="JZ67" s="13"/>
      <c r="KA67" s="13"/>
      <c r="KB67" s="13"/>
      <c r="KC67" s="13"/>
      <c r="KD67" s="13"/>
      <c r="KE67" s="13"/>
      <c r="KF67" s="13"/>
      <c r="KG67" s="13"/>
      <c r="KH67" s="13"/>
      <c r="KI67" s="13"/>
      <c r="KJ67" s="13"/>
      <c r="KK67" s="13"/>
      <c r="KL67" s="13"/>
      <c r="KM67" s="13"/>
      <c r="KN67" s="13"/>
      <c r="KO67" s="13"/>
      <c r="KP67" s="13"/>
      <c r="KQ67" s="13"/>
      <c r="KR67" s="13"/>
      <c r="KS67" s="13"/>
      <c r="KT67" s="13"/>
      <c r="KU67" s="13"/>
      <c r="KV67" s="13"/>
      <c r="KW67" s="13"/>
      <c r="KX67" s="13"/>
      <c r="KY67" s="13"/>
      <c r="KZ67" s="13"/>
      <c r="LA67" s="13"/>
      <c r="LB67" s="13"/>
      <c r="LC67" s="13"/>
      <c r="LD67" s="13"/>
      <c r="LE67" s="13"/>
      <c r="LF67" s="13"/>
      <c r="LG67" s="13"/>
      <c r="LH67" s="13"/>
      <c r="LI67" s="13"/>
      <c r="LJ67" s="13"/>
      <c r="LK67" s="13"/>
      <c r="LL67" s="13"/>
      <c r="LM67" s="13"/>
      <c r="LN67" s="13"/>
      <c r="LO67" s="13"/>
      <c r="LP67" s="13"/>
      <c r="LQ67" s="13"/>
      <c r="LR67" s="13"/>
      <c r="LS67" s="13"/>
      <c r="LT67" s="13"/>
      <c r="LU67" s="13"/>
      <c r="LV67" s="13"/>
      <c r="LW67" s="13"/>
      <c r="LX67" s="13"/>
      <c r="LY67" s="13"/>
      <c r="LZ67" s="13"/>
      <c r="MA67" s="13"/>
      <c r="MB67" s="13"/>
      <c r="MC67" s="13"/>
      <c r="MD67" s="13"/>
      <c r="ME67" s="13"/>
      <c r="MF67" s="13"/>
      <c r="MG67" s="13"/>
      <c r="MH67" s="13"/>
      <c r="MI67" s="13"/>
      <c r="MJ67" s="13"/>
      <c r="MK67" s="13"/>
      <c r="ML67" s="13"/>
      <c r="MM67" s="13"/>
      <c r="MN67" s="13"/>
      <c r="MO67" s="13"/>
      <c r="MP67" s="13"/>
      <c r="MQ67" s="13"/>
      <c r="MR67" s="13"/>
      <c r="MS67" s="13"/>
      <c r="MT67" s="13"/>
      <c r="MU67" s="13"/>
      <c r="MV67" s="13"/>
      <c r="MW67" s="13"/>
      <c r="MX67" s="13"/>
      <c r="MY67" s="13"/>
      <c r="MZ67" s="13"/>
      <c r="NA67" s="13"/>
      <c r="NB67" s="13"/>
      <c r="NC67" s="13"/>
      <c r="ND67" s="13"/>
      <c r="NE67" s="13"/>
      <c r="NF67" s="13"/>
      <c r="NG67" s="13"/>
      <c r="NH67" s="13"/>
      <c r="NI67" s="13"/>
      <c r="NJ67" s="13"/>
      <c r="NK67" s="13"/>
      <c r="NL67" s="13"/>
      <c r="NM67" s="13"/>
      <c r="NN67" s="13"/>
      <c r="NO67" s="13"/>
      <c r="NP67" s="13"/>
      <c r="NQ67" s="13"/>
      <c r="NR67" s="13"/>
      <c r="NS67" s="13"/>
      <c r="NT67" s="13"/>
      <c r="NU67" s="13"/>
      <c r="NV67" s="13"/>
      <c r="NW67" s="13"/>
      <c r="NX67" s="13"/>
      <c r="NY67" s="13"/>
      <c r="NZ67" s="13"/>
      <c r="OA67" s="13"/>
      <c r="OB67" s="13"/>
      <c r="OC67" s="13"/>
      <c r="OD67" s="13"/>
      <c r="OE67" s="13"/>
      <c r="OF67" s="13"/>
      <c r="OG67" s="13"/>
      <c r="OH67" s="13"/>
      <c r="OI67" s="13"/>
      <c r="OJ67" s="13"/>
      <c r="OK67" s="13"/>
      <c r="OL67" s="13"/>
      <c r="OM67" s="13"/>
      <c r="ON67" s="13"/>
      <c r="OO67" s="13"/>
      <c r="OP67" s="13"/>
      <c r="OQ67" s="13"/>
      <c r="OR67" s="13"/>
      <c r="OS67" s="13"/>
      <c r="OT67" s="13"/>
      <c r="OU67" s="13"/>
      <c r="OV67" s="13"/>
      <c r="OW67" s="13"/>
      <c r="OX67" s="13"/>
      <c r="OY67" s="13"/>
      <c r="OZ67" s="13"/>
      <c r="PA67" s="13"/>
      <c r="PB67" s="13"/>
      <c r="PC67" s="13"/>
      <c r="PD67" s="13"/>
      <c r="PE67" s="13"/>
      <c r="PF67" s="13"/>
      <c r="PG67" s="13"/>
      <c r="PH67" s="13"/>
      <c r="PI67" s="13"/>
      <c r="PJ67" s="13"/>
      <c r="PK67" s="13"/>
      <c r="PL67" s="13"/>
      <c r="PM67" s="13"/>
      <c r="PN67" s="13"/>
      <c r="PO67" s="13"/>
      <c r="PP67" s="13"/>
      <c r="PQ67" s="13"/>
      <c r="PR67" s="13"/>
      <c r="PS67" s="13"/>
      <c r="PT67" s="13"/>
      <c r="PU67" s="13"/>
      <c r="PV67" s="13"/>
      <c r="PW67" s="13"/>
      <c r="PX67" s="13"/>
      <c r="PY67" s="13"/>
      <c r="PZ67" s="13"/>
      <c r="QA67" s="13"/>
      <c r="QB67" s="13"/>
      <c r="QC67" s="13"/>
      <c r="QD67" s="13"/>
      <c r="QE67" s="13"/>
      <c r="QF67" s="13"/>
      <c r="QG67" s="13"/>
      <c r="QH67" s="13"/>
      <c r="QI67" s="13"/>
      <c r="QJ67" s="13"/>
      <c r="QK67" s="13"/>
      <c r="QL67" s="13"/>
      <c r="QM67" s="13"/>
      <c r="QN67" s="13"/>
      <c r="QO67" s="13"/>
      <c r="QP67" s="13"/>
      <c r="QQ67" s="13"/>
      <c r="QR67" s="13"/>
      <c r="QS67" s="13"/>
      <c r="QT67" s="13"/>
      <c r="QU67" s="13"/>
      <c r="QV67" s="13"/>
      <c r="QW67" s="13"/>
      <c r="QX67" s="13"/>
      <c r="QY67" s="13"/>
      <c r="QZ67" s="13"/>
      <c r="RA67" s="13"/>
      <c r="RB67" s="13"/>
      <c r="RC67" s="13"/>
      <c r="RD67" s="13"/>
      <c r="RE67" s="13"/>
      <c r="RF67" s="13"/>
      <c r="RG67" s="13"/>
      <c r="RH67" s="13"/>
      <c r="RI67" s="13"/>
      <c r="RJ67" s="13"/>
      <c r="RK67" s="13"/>
      <c r="RL67" s="13"/>
      <c r="RM67" s="13"/>
      <c r="RN67" s="13"/>
      <c r="RO67" s="13"/>
      <c r="RP67" s="13"/>
      <c r="RQ67" s="13"/>
      <c r="RR67" s="13"/>
      <c r="RS67" s="13"/>
      <c r="RT67" s="13"/>
      <c r="RU67" s="13"/>
      <c r="RV67" s="13"/>
      <c r="RW67" s="13"/>
      <c r="RX67" s="13"/>
      <c r="RY67" s="13"/>
      <c r="RZ67" s="13"/>
      <c r="SA67" s="13"/>
      <c r="SB67" s="13"/>
      <c r="SC67" s="13"/>
      <c r="SD67" s="13"/>
      <c r="SE67" s="13"/>
      <c r="SF67" s="13"/>
      <c r="SG67" s="13"/>
      <c r="SH67" s="13"/>
      <c r="SI67" s="13"/>
      <c r="SJ67" s="13"/>
      <c r="SK67" s="13"/>
      <c r="SL67" s="13"/>
      <c r="SM67" s="13"/>
      <c r="SN67" s="13"/>
      <c r="SO67" s="13"/>
      <c r="SP67" s="13"/>
      <c r="SQ67" s="13"/>
      <c r="SR67" s="13"/>
      <c r="SS67" s="13"/>
      <c r="ST67" s="13"/>
      <c r="SU67" s="13"/>
      <c r="SV67" s="13"/>
      <c r="SW67" s="13"/>
      <c r="SX67" s="13"/>
      <c r="SY67" s="13"/>
      <c r="SZ67" s="13"/>
      <c r="TA67" s="13"/>
      <c r="TB67" s="13"/>
      <c r="TC67" s="13"/>
      <c r="TD67" s="13"/>
      <c r="TE67" s="13"/>
      <c r="TF67" s="13"/>
      <c r="TG67" s="13"/>
      <c r="TH67" s="13"/>
      <c r="TI67" s="13"/>
      <c r="TJ67" s="13"/>
      <c r="TK67" s="13"/>
      <c r="TL67" s="13"/>
      <c r="TM67" s="13"/>
      <c r="TN67" s="13"/>
      <c r="TO67" s="13"/>
      <c r="TP67" s="13"/>
      <c r="TQ67" s="13"/>
      <c r="TR67" s="13"/>
      <c r="TS67" s="13"/>
      <c r="TT67" s="13"/>
      <c r="TU67" s="13"/>
      <c r="TV67" s="13"/>
      <c r="TW67" s="13"/>
      <c r="TX67" s="13"/>
      <c r="TY67" s="13"/>
      <c r="TZ67" s="13"/>
      <c r="UA67" s="13"/>
      <c r="UB67" s="13"/>
      <c r="UC67" s="13"/>
      <c r="UD67" s="13"/>
      <c r="UE67" s="13"/>
      <c r="UF67" s="13"/>
      <c r="UG67" s="13"/>
      <c r="UH67" s="13"/>
      <c r="UI67" s="13"/>
      <c r="UJ67" s="13"/>
      <c r="UK67" s="13"/>
      <c r="UL67" s="13"/>
      <c r="UM67" s="13"/>
      <c r="UN67" s="13"/>
      <c r="UO67" s="13"/>
      <c r="UP67" s="13"/>
      <c r="UQ67" s="13"/>
      <c r="UR67" s="13"/>
      <c r="US67" s="13"/>
      <c r="UT67" s="13"/>
      <c r="UU67" s="13"/>
      <c r="UV67" s="13"/>
      <c r="UW67" s="13"/>
      <c r="UX67" s="13"/>
      <c r="UY67" s="13"/>
      <c r="UZ67" s="13"/>
      <c r="VA67" s="13"/>
      <c r="VB67" s="13"/>
      <c r="VC67" s="13"/>
      <c r="VD67" s="13"/>
      <c r="VE67" s="13"/>
      <c r="VF67" s="13"/>
      <c r="VG67" s="13"/>
      <c r="VH67" s="13"/>
      <c r="VI67" s="13"/>
      <c r="VJ67" s="13"/>
      <c r="VK67" s="13"/>
      <c r="VL67" s="13"/>
      <c r="VM67" s="13"/>
      <c r="VN67" s="13"/>
      <c r="VO67" s="13"/>
      <c r="VP67" s="13"/>
      <c r="VQ67" s="13"/>
      <c r="VR67" s="13"/>
      <c r="VS67" s="13"/>
      <c r="VT67" s="13"/>
      <c r="VU67" s="13"/>
      <c r="VV67" s="13"/>
      <c r="VW67" s="13"/>
      <c r="VX67" s="13"/>
      <c r="VY67" s="13"/>
      <c r="VZ67" s="13"/>
      <c r="WA67" s="13"/>
      <c r="WB67" s="13"/>
      <c r="WC67" s="13"/>
      <c r="WD67" s="13"/>
      <c r="WE67" s="13"/>
      <c r="WF67" s="13"/>
      <c r="WG67" s="13"/>
      <c r="WH67" s="13"/>
      <c r="WI67" s="13"/>
      <c r="WJ67" s="13"/>
      <c r="WK67" s="13"/>
      <c r="WL67" s="13"/>
      <c r="WM67" s="13"/>
      <c r="WN67" s="13"/>
      <c r="WO67" s="13"/>
      <c r="WP67" s="13"/>
      <c r="WQ67" s="13"/>
      <c r="WR67" s="13"/>
      <c r="WS67" s="13"/>
      <c r="WT67" s="13"/>
      <c r="WU67" s="13"/>
      <c r="WV67" s="13"/>
      <c r="WW67" s="13"/>
      <c r="WX67" s="13"/>
      <c r="WY67" s="13"/>
      <c r="WZ67" s="13"/>
      <c r="XA67" s="13"/>
      <c r="XB67" s="13"/>
      <c r="XC67" s="13"/>
      <c r="XD67" s="13"/>
      <c r="XE67" s="13"/>
      <c r="XF67" s="13"/>
      <c r="XG67" s="13"/>
      <c r="XH67" s="13"/>
      <c r="XI67" s="13"/>
      <c r="XJ67" s="13"/>
      <c r="XK67" s="13"/>
      <c r="XL67" s="13"/>
      <c r="XM67" s="13"/>
      <c r="XN67" s="13"/>
      <c r="XO67" s="13"/>
      <c r="XP67" s="13"/>
      <c r="XQ67" s="13"/>
      <c r="XR67" s="13"/>
      <c r="XS67" s="13"/>
      <c r="XT67" s="13"/>
      <c r="XU67" s="13"/>
      <c r="XV67" s="13"/>
      <c r="XW67" s="13"/>
      <c r="XX67" s="13"/>
      <c r="XY67" s="13"/>
      <c r="XZ67" s="13"/>
      <c r="YA67" s="13"/>
      <c r="YB67" s="13"/>
      <c r="YC67" s="13"/>
      <c r="YD67" s="13"/>
      <c r="YE67" s="13"/>
      <c r="YF67" s="13"/>
      <c r="YG67" s="13"/>
      <c r="YH67" s="13"/>
      <c r="YI67" s="13"/>
      <c r="YJ67" s="13"/>
      <c r="YK67" s="13"/>
      <c r="YL67" s="13"/>
      <c r="YM67" s="13"/>
      <c r="YN67" s="13"/>
      <c r="YO67" s="13"/>
      <c r="YP67" s="13"/>
      <c r="YQ67" s="13"/>
      <c r="YR67" s="13"/>
      <c r="YS67" s="13"/>
      <c r="YT67" s="13"/>
      <c r="YU67" s="13"/>
      <c r="YV67" s="13"/>
      <c r="YW67" s="13"/>
      <c r="YX67" s="13"/>
      <c r="YY67" s="13"/>
      <c r="YZ67" s="13"/>
      <c r="ZA67" s="13"/>
      <c r="ZB67" s="13"/>
      <c r="ZC67" s="13"/>
      <c r="ZD67" s="13"/>
      <c r="ZE67" s="13"/>
      <c r="ZF67" s="13"/>
      <c r="ZG67" s="13"/>
      <c r="ZH67" s="13"/>
      <c r="ZI67" s="13"/>
      <c r="ZJ67" s="13"/>
      <c r="ZK67" s="13"/>
      <c r="ZL67" s="13"/>
      <c r="ZM67" s="13"/>
      <c r="ZN67" s="13"/>
      <c r="ZO67" s="13"/>
      <c r="ZP67" s="13"/>
      <c r="ZQ67" s="13"/>
      <c r="ZR67" s="13"/>
      <c r="ZS67" s="13"/>
      <c r="ZT67" s="13"/>
      <c r="ZU67" s="13"/>
      <c r="ZV67" s="13"/>
      <c r="ZW67" s="13"/>
      <c r="ZX67" s="13"/>
      <c r="ZY67" s="13"/>
      <c r="ZZ67" s="13"/>
      <c r="AAA67" s="13"/>
      <c r="AAB67" s="13"/>
      <c r="AAC67" s="13"/>
      <c r="AAD67" s="13"/>
      <c r="AAE67" s="13"/>
      <c r="AAF67" s="13"/>
      <c r="AAG67" s="13"/>
      <c r="AAH67" s="13"/>
      <c r="AAI67" s="13"/>
      <c r="AAJ67" s="13"/>
      <c r="AAK67" s="13"/>
      <c r="AAL67" s="13"/>
      <c r="AAM67" s="13"/>
      <c r="AAN67" s="13"/>
      <c r="AAO67" s="13"/>
      <c r="AAP67" s="13"/>
      <c r="AAQ67" s="13"/>
      <c r="AAR67" s="13"/>
      <c r="AAS67" s="13"/>
      <c r="AAT67" s="13"/>
      <c r="AAU67" s="13"/>
      <c r="AAV67" s="13"/>
      <c r="AAW67" s="13"/>
      <c r="AAX67" s="13"/>
      <c r="AAY67" s="13"/>
      <c r="AAZ67" s="13"/>
      <c r="ABA67" s="13"/>
      <c r="ABB67" s="13"/>
      <c r="ABC67" s="13"/>
      <c r="ABD67" s="13"/>
      <c r="ABE67" s="13"/>
      <c r="ABF67" s="13"/>
      <c r="ABG67" s="13"/>
      <c r="ABH67" s="13"/>
      <c r="ABI67" s="13"/>
      <c r="ABJ67" s="13"/>
      <c r="ABK67" s="13"/>
      <c r="ABL67" s="13"/>
      <c r="ABM67" s="13"/>
      <c r="ABN67" s="13"/>
      <c r="ABO67" s="13"/>
      <c r="ABP67" s="13"/>
      <c r="ABQ67" s="13"/>
      <c r="ABR67" s="13"/>
      <c r="ABS67" s="13"/>
      <c r="ABT67" s="13"/>
      <c r="ABU67" s="13"/>
      <c r="ABV67" s="13"/>
      <c r="ABW67" s="13"/>
      <c r="ABX67" s="13"/>
      <c r="ABY67" s="13"/>
      <c r="ABZ67" s="13"/>
      <c r="ACA67" s="13"/>
      <c r="ACB67" s="13"/>
      <c r="ACC67" s="13"/>
      <c r="ACD67" s="13"/>
      <c r="ACE67" s="13"/>
      <c r="ACF67" s="13"/>
      <c r="ACG67" s="13"/>
      <c r="ACH67" s="13"/>
      <c r="ACI67" s="13"/>
      <c r="ACJ67" s="13"/>
      <c r="ACK67" s="13"/>
      <c r="ACL67" s="13"/>
      <c r="ACM67" s="13"/>
      <c r="ACN67" s="13"/>
      <c r="ACO67" s="13"/>
      <c r="ACP67" s="13"/>
      <c r="ACQ67" s="13"/>
      <c r="ACR67" s="13"/>
      <c r="ACS67" s="13"/>
      <c r="ACT67" s="13"/>
      <c r="ACU67" s="13"/>
      <c r="ACV67" s="13"/>
      <c r="ACW67" s="13"/>
      <c r="ACX67" s="13"/>
      <c r="ACY67" s="13"/>
      <c r="ACZ67" s="13"/>
      <c r="ADA67" s="13"/>
      <c r="ADB67" s="13"/>
      <c r="ADC67" s="13"/>
      <c r="ADD67" s="13"/>
      <c r="ADE67" s="13"/>
      <c r="ADF67" s="13"/>
      <c r="ADG67" s="13"/>
      <c r="ADH67" s="13"/>
      <c r="ADI67" s="13"/>
      <c r="ADJ67" s="13"/>
      <c r="ADK67" s="13"/>
      <c r="ADL67" s="13"/>
      <c r="ADM67" s="13"/>
      <c r="ADN67" s="13"/>
      <c r="ADO67" s="13"/>
      <c r="ADP67" s="13"/>
      <c r="ADQ67" s="13"/>
      <c r="ADR67" s="13"/>
      <c r="ADS67" s="13"/>
      <c r="ADT67" s="13"/>
      <c r="ADU67" s="13"/>
      <c r="ADV67" s="13"/>
      <c r="ADW67" s="13"/>
      <c r="ADX67" s="13"/>
      <c r="ADY67" s="13"/>
      <c r="ADZ67" s="13"/>
      <c r="AEA67" s="13"/>
      <c r="AEB67" s="13"/>
      <c r="AEC67" s="13"/>
      <c r="AED67" s="13"/>
      <c r="AEE67" s="13"/>
      <c r="AEF67" s="13"/>
      <c r="AEG67" s="13"/>
      <c r="AEH67" s="13"/>
      <c r="AEI67" s="13"/>
      <c r="AEJ67" s="13"/>
      <c r="AEK67" s="13"/>
      <c r="AEL67" s="13"/>
      <c r="AEM67" s="13"/>
      <c r="AEN67" s="13"/>
      <c r="AEO67" s="13"/>
      <c r="AEP67" s="13"/>
      <c r="AEQ67" s="13"/>
      <c r="AER67" s="13"/>
      <c r="AES67" s="13"/>
      <c r="AET67" s="13"/>
      <c r="AEU67" s="13"/>
      <c r="AEV67" s="13"/>
      <c r="AEW67" s="13"/>
      <c r="AEX67" s="13"/>
      <c r="AEY67" s="13"/>
      <c r="AEZ67" s="13"/>
      <c r="AFA67" s="13"/>
      <c r="AFB67" s="13"/>
      <c r="AFC67" s="13"/>
      <c r="AFD67" s="13"/>
      <c r="AFE67" s="13"/>
      <c r="AFF67" s="13"/>
      <c r="AFG67" s="13"/>
      <c r="AFH67" s="13"/>
      <c r="AFI67" s="13"/>
      <c r="AFJ67" s="13"/>
      <c r="AFK67" s="13"/>
      <c r="AFL67" s="13"/>
      <c r="AFM67" s="13"/>
      <c r="AFN67" s="13"/>
      <c r="AFO67" s="13"/>
      <c r="AFP67" s="13"/>
      <c r="AFQ67" s="13"/>
      <c r="AFR67" s="13"/>
      <c r="AFS67" s="13"/>
      <c r="AFT67" s="13"/>
      <c r="AFU67" s="13"/>
      <c r="AFV67" s="13"/>
      <c r="AFW67" s="13"/>
      <c r="AFX67" s="13"/>
      <c r="AFY67" s="13"/>
      <c r="AFZ67" s="13"/>
      <c r="AGA67" s="13"/>
      <c r="AGB67" s="13"/>
      <c r="AGC67" s="13"/>
      <c r="AGD67" s="13"/>
      <c r="AGE67" s="13"/>
      <c r="AGF67" s="13"/>
      <c r="AGG67" s="13"/>
      <c r="AGH67" s="13"/>
      <c r="AGI67" s="13"/>
      <c r="AGJ67" s="13"/>
      <c r="AGK67" s="13"/>
      <c r="AGL67" s="13"/>
      <c r="AGM67" s="13"/>
      <c r="AGN67" s="13"/>
      <c r="AGO67" s="13"/>
      <c r="AGP67" s="13"/>
      <c r="AGQ67" s="13"/>
      <c r="AGR67" s="13"/>
      <c r="AGS67" s="13"/>
      <c r="AGT67" s="13"/>
      <c r="AGU67" s="13"/>
      <c r="AGV67" s="13"/>
      <c r="AGW67" s="13"/>
      <c r="AGX67" s="13"/>
      <c r="AGY67" s="13"/>
      <c r="AGZ67" s="13"/>
      <c r="AHA67" s="13"/>
      <c r="AHB67" s="13"/>
      <c r="AHC67" s="13"/>
      <c r="AHD67" s="13"/>
      <c r="AHE67" s="13"/>
      <c r="AHF67" s="13"/>
      <c r="AHG67" s="13"/>
      <c r="AHH67" s="13"/>
      <c r="AHI67" s="13"/>
      <c r="AHJ67" s="13"/>
      <c r="AHK67" s="13"/>
      <c r="AHL67" s="13"/>
      <c r="AHM67" s="13"/>
      <c r="AHN67" s="13"/>
      <c r="AHO67" s="13"/>
      <c r="AHP67" s="13"/>
      <c r="AHQ67" s="13"/>
      <c r="AHR67" s="13"/>
      <c r="AHS67" s="13"/>
      <c r="AHT67" s="13"/>
      <c r="AHU67" s="13"/>
      <c r="AHV67" s="13"/>
      <c r="AHW67" s="13"/>
      <c r="AHX67" s="13"/>
      <c r="AHY67" s="13"/>
      <c r="AHZ67" s="13"/>
      <c r="AIA67" s="13"/>
      <c r="AIB67" s="13"/>
      <c r="AIC67" s="13"/>
      <c r="AID67" s="13"/>
      <c r="AIE67" s="13"/>
      <c r="AIF67" s="13"/>
      <c r="AIG67" s="13"/>
      <c r="AIH67" s="13"/>
      <c r="AII67" s="13"/>
      <c r="AIJ67" s="13"/>
      <c r="AIK67" s="13"/>
      <c r="AIL67" s="13"/>
      <c r="AIM67" s="13"/>
      <c r="AIN67" s="13"/>
      <c r="AIO67" s="13"/>
      <c r="AIP67" s="13"/>
      <c r="AIQ67" s="13"/>
      <c r="AIR67" s="13"/>
      <c r="AIS67" s="13"/>
      <c r="AIT67" s="13"/>
      <c r="AIU67" s="13"/>
      <c r="AIV67" s="13"/>
      <c r="AIW67" s="13"/>
      <c r="AIX67" s="13"/>
      <c r="AIY67" s="13"/>
      <c r="AIZ67" s="13"/>
      <c r="AJA67" s="13"/>
      <c r="AJB67" s="13"/>
      <c r="AJC67" s="13"/>
      <c r="AJD67" s="13"/>
      <c r="AJE67" s="13"/>
      <c r="AJF67" s="13"/>
      <c r="AJG67" s="13"/>
      <c r="AJH67" s="13"/>
      <c r="AJI67" s="13"/>
      <c r="AJJ67" s="13"/>
      <c r="AJK67" s="13"/>
      <c r="AJL67" s="13"/>
      <c r="AJM67" s="13"/>
      <c r="AJN67" s="13"/>
      <c r="AJO67" s="13"/>
      <c r="AJP67" s="13"/>
      <c r="AJQ67" s="13"/>
      <c r="AJR67" s="13"/>
      <c r="AJS67" s="13"/>
      <c r="AJT67" s="13"/>
      <c r="AJU67" s="13"/>
      <c r="AJV67" s="13"/>
      <c r="AJW67" s="13"/>
      <c r="AJX67" s="13"/>
      <c r="AJY67" s="13"/>
      <c r="AJZ67" s="13"/>
      <c r="AKA67" s="13"/>
      <c r="AKB67" s="13"/>
      <c r="AKC67" s="13"/>
      <c r="AKD67" s="13"/>
      <c r="AKE67" s="13"/>
      <c r="AKF67" s="13"/>
      <c r="AKG67" s="13"/>
      <c r="AKH67" s="13"/>
      <c r="AKI67" s="13"/>
      <c r="AKJ67" s="13"/>
      <c r="AKK67" s="13"/>
      <c r="AKL67" s="13"/>
      <c r="AKM67" s="13"/>
      <c r="AKN67" s="13"/>
      <c r="AKO67" s="13"/>
      <c r="AKP67" s="13"/>
      <c r="AKQ67" s="13"/>
      <c r="AKR67" s="13"/>
      <c r="AKS67" s="13"/>
      <c r="AKT67" s="13"/>
      <c r="AKU67" s="13"/>
      <c r="AKV67" s="13"/>
      <c r="AKW67" s="13"/>
      <c r="AKX67" s="13"/>
      <c r="AKY67" s="13"/>
      <c r="AKZ67" s="13"/>
      <c r="ALA67" s="13"/>
      <c r="ALB67" s="13"/>
      <c r="ALC67" s="13"/>
      <c r="ALD67" s="13"/>
      <c r="ALE67" s="13"/>
      <c r="ALF67" s="13"/>
      <c r="ALG67" s="13"/>
      <c r="ALH67" s="13"/>
      <c r="ALI67" s="13"/>
      <c r="ALJ67" s="13"/>
      <c r="ALK67" s="13"/>
      <c r="ALL67" s="13"/>
      <c r="ALM67" s="13"/>
      <c r="ALN67" s="13"/>
      <c r="ALO67" s="13"/>
      <c r="ALP67" s="13"/>
      <c r="ALQ67" s="13"/>
      <c r="ALR67" s="13"/>
      <c r="ALS67" s="13"/>
      <c r="ALT67" s="13"/>
      <c r="ALU67" s="13"/>
      <c r="ALV67" s="13"/>
      <c r="ALW67" s="13"/>
      <c r="ALX67" s="13"/>
      <c r="ALY67" s="13"/>
      <c r="ALZ67" s="13"/>
      <c r="AMA67" s="13"/>
      <c r="AMB67" s="13"/>
      <c r="AMC67" s="13"/>
      <c r="AMD67" s="13"/>
      <c r="AME67" s="13"/>
      <c r="AMF67" s="13"/>
      <c r="AMG67" s="13"/>
      <c r="AMH67" s="13"/>
      <c r="AMI67" s="13"/>
      <c r="AMJ67" s="13"/>
      <c r="AMK67" s="13"/>
    </row>
    <row r="68" spans="1:1025" s="164" customFormat="1" ht="12.75" customHeight="1" x14ac:dyDescent="0.2">
      <c r="A68" s="66" t="s">
        <v>51</v>
      </c>
      <c r="B68" s="68"/>
      <c r="C68" s="68"/>
      <c r="D68" s="69" t="s">
        <v>52</v>
      </c>
      <c r="E68" s="70" t="s">
        <v>44</v>
      </c>
      <c r="F68" s="133"/>
      <c r="G68" s="6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  <c r="KO68" s="13"/>
      <c r="KP68" s="13"/>
      <c r="KQ68" s="13"/>
      <c r="KR68" s="13"/>
      <c r="KS68" s="13"/>
      <c r="KT68" s="13"/>
      <c r="KU68" s="13"/>
      <c r="KV68" s="13"/>
      <c r="KW68" s="13"/>
      <c r="KX68" s="13"/>
      <c r="KY68" s="13"/>
      <c r="KZ68" s="13"/>
      <c r="LA68" s="13"/>
      <c r="LB68" s="13"/>
      <c r="LC68" s="13"/>
      <c r="LD68" s="13"/>
      <c r="LE68" s="13"/>
      <c r="LF68" s="13"/>
      <c r="LG68" s="13"/>
      <c r="LH68" s="13"/>
      <c r="LI68" s="13"/>
      <c r="LJ68" s="13"/>
      <c r="LK68" s="13"/>
      <c r="LL68" s="13"/>
      <c r="LM68" s="13"/>
      <c r="LN68" s="13"/>
      <c r="LO68" s="13"/>
      <c r="LP68" s="13"/>
      <c r="LQ68" s="13"/>
      <c r="LR68" s="13"/>
      <c r="LS68" s="13"/>
      <c r="LT68" s="13"/>
      <c r="LU68" s="13"/>
      <c r="LV68" s="13"/>
      <c r="LW68" s="13"/>
      <c r="LX68" s="13"/>
      <c r="LY68" s="13"/>
      <c r="LZ68" s="13"/>
      <c r="MA68" s="13"/>
      <c r="MB68" s="13"/>
      <c r="MC68" s="13"/>
      <c r="MD68" s="13"/>
      <c r="ME68" s="13"/>
      <c r="MF68" s="13"/>
      <c r="MG68" s="13"/>
      <c r="MH68" s="13"/>
      <c r="MI68" s="13"/>
      <c r="MJ68" s="13"/>
      <c r="MK68" s="13"/>
      <c r="ML68" s="13"/>
      <c r="MM68" s="13"/>
      <c r="MN68" s="13"/>
      <c r="MO68" s="13"/>
      <c r="MP68" s="13"/>
      <c r="MQ68" s="13"/>
      <c r="MR68" s="13"/>
      <c r="MS68" s="13"/>
      <c r="MT68" s="13"/>
      <c r="MU68" s="13"/>
      <c r="MV68" s="13"/>
      <c r="MW68" s="13"/>
      <c r="MX68" s="13"/>
      <c r="MY68" s="13"/>
      <c r="MZ68" s="13"/>
      <c r="NA68" s="13"/>
      <c r="NB68" s="13"/>
      <c r="NC68" s="13"/>
      <c r="ND68" s="13"/>
      <c r="NE68" s="13"/>
      <c r="NF68" s="13"/>
      <c r="NG68" s="13"/>
      <c r="NH68" s="13"/>
      <c r="NI68" s="13"/>
      <c r="NJ68" s="13"/>
      <c r="NK68" s="13"/>
      <c r="NL68" s="13"/>
      <c r="NM68" s="13"/>
      <c r="NN68" s="13"/>
      <c r="NO68" s="13"/>
      <c r="NP68" s="13"/>
      <c r="NQ68" s="13"/>
      <c r="NR68" s="13"/>
      <c r="NS68" s="13"/>
      <c r="NT68" s="13"/>
      <c r="NU68" s="13"/>
      <c r="NV68" s="13"/>
      <c r="NW68" s="13"/>
      <c r="NX68" s="13"/>
      <c r="NY68" s="13"/>
      <c r="NZ68" s="13"/>
      <c r="OA68" s="13"/>
      <c r="OB68" s="13"/>
      <c r="OC68" s="13"/>
      <c r="OD68" s="13"/>
      <c r="OE68" s="13"/>
      <c r="OF68" s="13"/>
      <c r="OG68" s="13"/>
      <c r="OH68" s="13"/>
      <c r="OI68" s="13"/>
      <c r="OJ68" s="13"/>
      <c r="OK68" s="13"/>
      <c r="OL68" s="13"/>
      <c r="OM68" s="13"/>
      <c r="ON68" s="13"/>
      <c r="OO68" s="13"/>
      <c r="OP68" s="13"/>
      <c r="OQ68" s="13"/>
      <c r="OR68" s="13"/>
      <c r="OS68" s="13"/>
      <c r="OT68" s="13"/>
      <c r="OU68" s="13"/>
      <c r="OV68" s="13"/>
      <c r="OW68" s="13"/>
      <c r="OX68" s="13"/>
      <c r="OY68" s="13"/>
      <c r="OZ68" s="13"/>
      <c r="PA68" s="13"/>
      <c r="PB68" s="13"/>
      <c r="PC68" s="13"/>
      <c r="PD68" s="13"/>
      <c r="PE68" s="13"/>
      <c r="PF68" s="13"/>
      <c r="PG68" s="13"/>
      <c r="PH68" s="13"/>
      <c r="PI68" s="13"/>
      <c r="PJ68" s="13"/>
      <c r="PK68" s="13"/>
      <c r="PL68" s="13"/>
      <c r="PM68" s="13"/>
      <c r="PN68" s="13"/>
      <c r="PO68" s="13"/>
      <c r="PP68" s="13"/>
      <c r="PQ68" s="13"/>
      <c r="PR68" s="13"/>
      <c r="PS68" s="13"/>
      <c r="PT68" s="13"/>
      <c r="PU68" s="13"/>
      <c r="PV68" s="13"/>
      <c r="PW68" s="13"/>
      <c r="PX68" s="13"/>
      <c r="PY68" s="13"/>
      <c r="PZ68" s="13"/>
      <c r="QA68" s="13"/>
      <c r="QB68" s="13"/>
      <c r="QC68" s="13"/>
      <c r="QD68" s="13"/>
      <c r="QE68" s="13"/>
      <c r="QF68" s="13"/>
      <c r="QG68" s="13"/>
      <c r="QH68" s="13"/>
      <c r="QI68" s="13"/>
      <c r="QJ68" s="13"/>
      <c r="QK68" s="13"/>
      <c r="QL68" s="13"/>
      <c r="QM68" s="13"/>
      <c r="QN68" s="13"/>
      <c r="QO68" s="13"/>
      <c r="QP68" s="13"/>
      <c r="QQ68" s="13"/>
      <c r="QR68" s="13"/>
      <c r="QS68" s="13"/>
      <c r="QT68" s="13"/>
      <c r="QU68" s="13"/>
      <c r="QV68" s="13"/>
      <c r="QW68" s="13"/>
      <c r="QX68" s="13"/>
      <c r="QY68" s="13"/>
      <c r="QZ68" s="13"/>
      <c r="RA68" s="13"/>
      <c r="RB68" s="13"/>
      <c r="RC68" s="13"/>
      <c r="RD68" s="13"/>
      <c r="RE68" s="13"/>
      <c r="RF68" s="13"/>
      <c r="RG68" s="13"/>
      <c r="RH68" s="13"/>
      <c r="RI68" s="13"/>
      <c r="RJ68" s="13"/>
      <c r="RK68" s="13"/>
      <c r="RL68" s="13"/>
      <c r="RM68" s="13"/>
      <c r="RN68" s="13"/>
      <c r="RO68" s="13"/>
      <c r="RP68" s="13"/>
      <c r="RQ68" s="13"/>
      <c r="RR68" s="13"/>
      <c r="RS68" s="13"/>
      <c r="RT68" s="13"/>
      <c r="RU68" s="13"/>
      <c r="RV68" s="13"/>
      <c r="RW68" s="13"/>
      <c r="RX68" s="13"/>
      <c r="RY68" s="13"/>
      <c r="RZ68" s="13"/>
      <c r="SA68" s="13"/>
      <c r="SB68" s="13"/>
      <c r="SC68" s="13"/>
      <c r="SD68" s="13"/>
      <c r="SE68" s="13"/>
      <c r="SF68" s="13"/>
      <c r="SG68" s="13"/>
      <c r="SH68" s="13"/>
      <c r="SI68" s="13"/>
      <c r="SJ68" s="13"/>
      <c r="SK68" s="13"/>
      <c r="SL68" s="13"/>
      <c r="SM68" s="13"/>
      <c r="SN68" s="13"/>
      <c r="SO68" s="13"/>
      <c r="SP68" s="13"/>
      <c r="SQ68" s="13"/>
      <c r="SR68" s="13"/>
      <c r="SS68" s="13"/>
      <c r="ST68" s="13"/>
      <c r="SU68" s="13"/>
      <c r="SV68" s="13"/>
      <c r="SW68" s="13"/>
      <c r="SX68" s="13"/>
      <c r="SY68" s="13"/>
      <c r="SZ68" s="13"/>
      <c r="TA68" s="13"/>
      <c r="TB68" s="13"/>
      <c r="TC68" s="13"/>
      <c r="TD68" s="13"/>
      <c r="TE68" s="13"/>
      <c r="TF68" s="13"/>
      <c r="TG68" s="13"/>
      <c r="TH68" s="13"/>
      <c r="TI68" s="13"/>
      <c r="TJ68" s="13"/>
      <c r="TK68" s="13"/>
      <c r="TL68" s="13"/>
      <c r="TM68" s="13"/>
      <c r="TN68" s="13"/>
      <c r="TO68" s="13"/>
      <c r="TP68" s="13"/>
      <c r="TQ68" s="13"/>
      <c r="TR68" s="13"/>
      <c r="TS68" s="13"/>
      <c r="TT68" s="13"/>
      <c r="TU68" s="13"/>
      <c r="TV68" s="13"/>
      <c r="TW68" s="13"/>
      <c r="TX68" s="13"/>
      <c r="TY68" s="13"/>
      <c r="TZ68" s="13"/>
      <c r="UA68" s="13"/>
      <c r="UB68" s="13"/>
      <c r="UC68" s="13"/>
      <c r="UD68" s="13"/>
      <c r="UE68" s="13"/>
      <c r="UF68" s="13"/>
      <c r="UG68" s="13"/>
      <c r="UH68" s="13"/>
      <c r="UI68" s="13"/>
      <c r="UJ68" s="13"/>
      <c r="UK68" s="13"/>
      <c r="UL68" s="13"/>
      <c r="UM68" s="13"/>
      <c r="UN68" s="13"/>
      <c r="UO68" s="13"/>
      <c r="UP68" s="13"/>
      <c r="UQ68" s="13"/>
      <c r="UR68" s="13"/>
      <c r="US68" s="13"/>
      <c r="UT68" s="13"/>
      <c r="UU68" s="13"/>
      <c r="UV68" s="13"/>
      <c r="UW68" s="13"/>
      <c r="UX68" s="13"/>
      <c r="UY68" s="13"/>
      <c r="UZ68" s="13"/>
      <c r="VA68" s="13"/>
      <c r="VB68" s="13"/>
      <c r="VC68" s="13"/>
      <c r="VD68" s="13"/>
      <c r="VE68" s="13"/>
      <c r="VF68" s="13"/>
      <c r="VG68" s="13"/>
      <c r="VH68" s="13"/>
      <c r="VI68" s="13"/>
      <c r="VJ68" s="13"/>
      <c r="VK68" s="13"/>
      <c r="VL68" s="13"/>
      <c r="VM68" s="13"/>
      <c r="VN68" s="13"/>
      <c r="VO68" s="13"/>
      <c r="VP68" s="13"/>
      <c r="VQ68" s="13"/>
      <c r="VR68" s="13"/>
      <c r="VS68" s="13"/>
      <c r="VT68" s="13"/>
      <c r="VU68" s="13"/>
      <c r="VV68" s="13"/>
      <c r="VW68" s="13"/>
      <c r="VX68" s="13"/>
      <c r="VY68" s="13"/>
      <c r="VZ68" s="13"/>
      <c r="WA68" s="13"/>
      <c r="WB68" s="13"/>
      <c r="WC68" s="13"/>
      <c r="WD68" s="13"/>
      <c r="WE68" s="13"/>
      <c r="WF68" s="13"/>
      <c r="WG68" s="13"/>
      <c r="WH68" s="13"/>
      <c r="WI68" s="13"/>
      <c r="WJ68" s="13"/>
      <c r="WK68" s="13"/>
      <c r="WL68" s="13"/>
      <c r="WM68" s="13"/>
      <c r="WN68" s="13"/>
      <c r="WO68" s="13"/>
      <c r="WP68" s="13"/>
      <c r="WQ68" s="13"/>
      <c r="WR68" s="13"/>
      <c r="WS68" s="13"/>
      <c r="WT68" s="13"/>
      <c r="WU68" s="13"/>
      <c r="WV68" s="13"/>
      <c r="WW68" s="13"/>
      <c r="WX68" s="13"/>
      <c r="WY68" s="13"/>
      <c r="WZ68" s="13"/>
      <c r="XA68" s="13"/>
      <c r="XB68" s="13"/>
      <c r="XC68" s="13"/>
      <c r="XD68" s="13"/>
      <c r="XE68" s="13"/>
      <c r="XF68" s="13"/>
      <c r="XG68" s="13"/>
      <c r="XH68" s="13"/>
      <c r="XI68" s="13"/>
      <c r="XJ68" s="13"/>
      <c r="XK68" s="13"/>
      <c r="XL68" s="13"/>
      <c r="XM68" s="13"/>
      <c r="XN68" s="13"/>
      <c r="XO68" s="13"/>
      <c r="XP68" s="13"/>
      <c r="XQ68" s="13"/>
      <c r="XR68" s="13"/>
      <c r="XS68" s="13"/>
      <c r="XT68" s="13"/>
      <c r="XU68" s="13"/>
      <c r="XV68" s="13"/>
      <c r="XW68" s="13"/>
      <c r="XX68" s="13"/>
      <c r="XY68" s="13"/>
      <c r="XZ68" s="13"/>
      <c r="YA68" s="13"/>
      <c r="YB68" s="13"/>
      <c r="YC68" s="13"/>
      <c r="YD68" s="13"/>
      <c r="YE68" s="13"/>
      <c r="YF68" s="13"/>
      <c r="YG68" s="13"/>
      <c r="YH68" s="13"/>
      <c r="YI68" s="13"/>
      <c r="YJ68" s="13"/>
      <c r="YK68" s="13"/>
      <c r="YL68" s="13"/>
      <c r="YM68" s="13"/>
      <c r="YN68" s="13"/>
      <c r="YO68" s="13"/>
      <c r="YP68" s="13"/>
      <c r="YQ68" s="13"/>
      <c r="YR68" s="13"/>
      <c r="YS68" s="13"/>
      <c r="YT68" s="13"/>
      <c r="YU68" s="13"/>
      <c r="YV68" s="13"/>
      <c r="YW68" s="13"/>
      <c r="YX68" s="13"/>
      <c r="YY68" s="13"/>
      <c r="YZ68" s="13"/>
      <c r="ZA68" s="13"/>
      <c r="ZB68" s="13"/>
      <c r="ZC68" s="13"/>
      <c r="ZD68" s="13"/>
      <c r="ZE68" s="13"/>
      <c r="ZF68" s="13"/>
      <c r="ZG68" s="13"/>
      <c r="ZH68" s="13"/>
      <c r="ZI68" s="13"/>
      <c r="ZJ68" s="13"/>
      <c r="ZK68" s="13"/>
      <c r="ZL68" s="13"/>
      <c r="ZM68" s="13"/>
      <c r="ZN68" s="13"/>
      <c r="ZO68" s="13"/>
      <c r="ZP68" s="13"/>
      <c r="ZQ68" s="13"/>
      <c r="ZR68" s="13"/>
      <c r="ZS68" s="13"/>
      <c r="ZT68" s="13"/>
      <c r="ZU68" s="13"/>
      <c r="ZV68" s="13"/>
      <c r="ZW68" s="13"/>
      <c r="ZX68" s="13"/>
      <c r="ZY68" s="13"/>
      <c r="ZZ68" s="13"/>
      <c r="AAA68" s="13"/>
      <c r="AAB68" s="13"/>
      <c r="AAC68" s="13"/>
      <c r="AAD68" s="13"/>
      <c r="AAE68" s="13"/>
      <c r="AAF68" s="13"/>
      <c r="AAG68" s="13"/>
      <c r="AAH68" s="13"/>
      <c r="AAI68" s="13"/>
      <c r="AAJ68" s="13"/>
      <c r="AAK68" s="13"/>
      <c r="AAL68" s="13"/>
      <c r="AAM68" s="13"/>
      <c r="AAN68" s="13"/>
      <c r="AAO68" s="13"/>
      <c r="AAP68" s="13"/>
      <c r="AAQ68" s="13"/>
      <c r="AAR68" s="13"/>
      <c r="AAS68" s="13"/>
      <c r="AAT68" s="13"/>
      <c r="AAU68" s="13"/>
      <c r="AAV68" s="13"/>
      <c r="AAW68" s="13"/>
      <c r="AAX68" s="13"/>
      <c r="AAY68" s="13"/>
      <c r="AAZ68" s="13"/>
      <c r="ABA68" s="13"/>
      <c r="ABB68" s="13"/>
      <c r="ABC68" s="13"/>
      <c r="ABD68" s="13"/>
      <c r="ABE68" s="13"/>
      <c r="ABF68" s="13"/>
      <c r="ABG68" s="13"/>
      <c r="ABH68" s="13"/>
      <c r="ABI68" s="13"/>
      <c r="ABJ68" s="13"/>
      <c r="ABK68" s="13"/>
      <c r="ABL68" s="13"/>
      <c r="ABM68" s="13"/>
      <c r="ABN68" s="13"/>
      <c r="ABO68" s="13"/>
      <c r="ABP68" s="13"/>
      <c r="ABQ68" s="13"/>
      <c r="ABR68" s="13"/>
      <c r="ABS68" s="13"/>
      <c r="ABT68" s="13"/>
      <c r="ABU68" s="13"/>
      <c r="ABV68" s="13"/>
      <c r="ABW68" s="13"/>
      <c r="ABX68" s="13"/>
      <c r="ABY68" s="13"/>
      <c r="ABZ68" s="13"/>
      <c r="ACA68" s="13"/>
      <c r="ACB68" s="13"/>
      <c r="ACC68" s="13"/>
      <c r="ACD68" s="13"/>
      <c r="ACE68" s="13"/>
      <c r="ACF68" s="13"/>
      <c r="ACG68" s="13"/>
      <c r="ACH68" s="13"/>
      <c r="ACI68" s="13"/>
      <c r="ACJ68" s="13"/>
      <c r="ACK68" s="13"/>
      <c r="ACL68" s="13"/>
      <c r="ACM68" s="13"/>
      <c r="ACN68" s="13"/>
      <c r="ACO68" s="13"/>
      <c r="ACP68" s="13"/>
      <c r="ACQ68" s="13"/>
      <c r="ACR68" s="13"/>
      <c r="ACS68" s="13"/>
      <c r="ACT68" s="13"/>
      <c r="ACU68" s="13"/>
      <c r="ACV68" s="13"/>
      <c r="ACW68" s="13"/>
      <c r="ACX68" s="13"/>
      <c r="ACY68" s="13"/>
      <c r="ACZ68" s="13"/>
      <c r="ADA68" s="13"/>
      <c r="ADB68" s="13"/>
      <c r="ADC68" s="13"/>
      <c r="ADD68" s="13"/>
      <c r="ADE68" s="13"/>
      <c r="ADF68" s="13"/>
      <c r="ADG68" s="13"/>
      <c r="ADH68" s="13"/>
      <c r="ADI68" s="13"/>
      <c r="ADJ68" s="13"/>
      <c r="ADK68" s="13"/>
      <c r="ADL68" s="13"/>
      <c r="ADM68" s="13"/>
      <c r="ADN68" s="13"/>
      <c r="ADO68" s="13"/>
      <c r="ADP68" s="13"/>
      <c r="ADQ68" s="13"/>
      <c r="ADR68" s="13"/>
      <c r="ADS68" s="13"/>
      <c r="ADT68" s="13"/>
      <c r="ADU68" s="13"/>
      <c r="ADV68" s="13"/>
      <c r="ADW68" s="13"/>
      <c r="ADX68" s="13"/>
      <c r="ADY68" s="13"/>
      <c r="ADZ68" s="13"/>
      <c r="AEA68" s="13"/>
      <c r="AEB68" s="13"/>
      <c r="AEC68" s="13"/>
      <c r="AED68" s="13"/>
      <c r="AEE68" s="13"/>
      <c r="AEF68" s="13"/>
      <c r="AEG68" s="13"/>
      <c r="AEH68" s="13"/>
      <c r="AEI68" s="13"/>
      <c r="AEJ68" s="13"/>
      <c r="AEK68" s="13"/>
      <c r="AEL68" s="13"/>
      <c r="AEM68" s="13"/>
      <c r="AEN68" s="13"/>
      <c r="AEO68" s="13"/>
      <c r="AEP68" s="13"/>
      <c r="AEQ68" s="13"/>
      <c r="AER68" s="13"/>
      <c r="AES68" s="13"/>
      <c r="AET68" s="13"/>
      <c r="AEU68" s="13"/>
      <c r="AEV68" s="13"/>
      <c r="AEW68" s="13"/>
      <c r="AEX68" s="13"/>
      <c r="AEY68" s="13"/>
      <c r="AEZ68" s="13"/>
      <c r="AFA68" s="13"/>
      <c r="AFB68" s="13"/>
      <c r="AFC68" s="13"/>
      <c r="AFD68" s="13"/>
      <c r="AFE68" s="13"/>
      <c r="AFF68" s="13"/>
      <c r="AFG68" s="13"/>
      <c r="AFH68" s="13"/>
      <c r="AFI68" s="13"/>
      <c r="AFJ68" s="13"/>
      <c r="AFK68" s="13"/>
      <c r="AFL68" s="13"/>
      <c r="AFM68" s="13"/>
      <c r="AFN68" s="13"/>
      <c r="AFO68" s="13"/>
      <c r="AFP68" s="13"/>
      <c r="AFQ68" s="13"/>
      <c r="AFR68" s="13"/>
      <c r="AFS68" s="13"/>
      <c r="AFT68" s="13"/>
      <c r="AFU68" s="13"/>
      <c r="AFV68" s="13"/>
      <c r="AFW68" s="13"/>
      <c r="AFX68" s="13"/>
      <c r="AFY68" s="13"/>
      <c r="AFZ68" s="13"/>
      <c r="AGA68" s="13"/>
      <c r="AGB68" s="13"/>
      <c r="AGC68" s="13"/>
      <c r="AGD68" s="13"/>
      <c r="AGE68" s="13"/>
      <c r="AGF68" s="13"/>
      <c r="AGG68" s="13"/>
      <c r="AGH68" s="13"/>
      <c r="AGI68" s="13"/>
      <c r="AGJ68" s="13"/>
      <c r="AGK68" s="13"/>
      <c r="AGL68" s="13"/>
      <c r="AGM68" s="13"/>
      <c r="AGN68" s="13"/>
      <c r="AGO68" s="13"/>
      <c r="AGP68" s="13"/>
      <c r="AGQ68" s="13"/>
      <c r="AGR68" s="13"/>
      <c r="AGS68" s="13"/>
      <c r="AGT68" s="13"/>
      <c r="AGU68" s="13"/>
      <c r="AGV68" s="13"/>
      <c r="AGW68" s="13"/>
      <c r="AGX68" s="13"/>
      <c r="AGY68" s="13"/>
      <c r="AGZ68" s="13"/>
      <c r="AHA68" s="13"/>
      <c r="AHB68" s="13"/>
      <c r="AHC68" s="13"/>
      <c r="AHD68" s="13"/>
      <c r="AHE68" s="13"/>
      <c r="AHF68" s="13"/>
      <c r="AHG68" s="13"/>
      <c r="AHH68" s="13"/>
      <c r="AHI68" s="13"/>
      <c r="AHJ68" s="13"/>
      <c r="AHK68" s="13"/>
      <c r="AHL68" s="13"/>
      <c r="AHM68" s="13"/>
      <c r="AHN68" s="13"/>
      <c r="AHO68" s="13"/>
      <c r="AHP68" s="13"/>
      <c r="AHQ68" s="13"/>
      <c r="AHR68" s="13"/>
      <c r="AHS68" s="13"/>
      <c r="AHT68" s="13"/>
      <c r="AHU68" s="13"/>
      <c r="AHV68" s="13"/>
      <c r="AHW68" s="13"/>
      <c r="AHX68" s="13"/>
      <c r="AHY68" s="13"/>
      <c r="AHZ68" s="13"/>
      <c r="AIA68" s="13"/>
      <c r="AIB68" s="13"/>
      <c r="AIC68" s="13"/>
      <c r="AID68" s="13"/>
      <c r="AIE68" s="13"/>
      <c r="AIF68" s="13"/>
      <c r="AIG68" s="13"/>
      <c r="AIH68" s="13"/>
      <c r="AII68" s="13"/>
      <c r="AIJ68" s="13"/>
      <c r="AIK68" s="13"/>
      <c r="AIL68" s="13"/>
      <c r="AIM68" s="13"/>
      <c r="AIN68" s="13"/>
      <c r="AIO68" s="13"/>
      <c r="AIP68" s="13"/>
      <c r="AIQ68" s="13"/>
      <c r="AIR68" s="13"/>
      <c r="AIS68" s="13"/>
      <c r="AIT68" s="13"/>
      <c r="AIU68" s="13"/>
      <c r="AIV68" s="13"/>
      <c r="AIW68" s="13"/>
      <c r="AIX68" s="13"/>
      <c r="AIY68" s="13"/>
      <c r="AIZ68" s="13"/>
      <c r="AJA68" s="13"/>
      <c r="AJB68" s="13"/>
      <c r="AJC68" s="13"/>
      <c r="AJD68" s="13"/>
      <c r="AJE68" s="13"/>
      <c r="AJF68" s="13"/>
      <c r="AJG68" s="13"/>
      <c r="AJH68" s="13"/>
      <c r="AJI68" s="13"/>
      <c r="AJJ68" s="13"/>
      <c r="AJK68" s="13"/>
      <c r="AJL68" s="13"/>
      <c r="AJM68" s="13"/>
      <c r="AJN68" s="13"/>
      <c r="AJO68" s="13"/>
      <c r="AJP68" s="13"/>
      <c r="AJQ68" s="13"/>
      <c r="AJR68" s="13"/>
      <c r="AJS68" s="13"/>
      <c r="AJT68" s="13"/>
      <c r="AJU68" s="13"/>
      <c r="AJV68" s="13"/>
      <c r="AJW68" s="13"/>
      <c r="AJX68" s="13"/>
      <c r="AJY68" s="13"/>
      <c r="AJZ68" s="13"/>
      <c r="AKA68" s="13"/>
      <c r="AKB68" s="13"/>
      <c r="AKC68" s="13"/>
      <c r="AKD68" s="13"/>
      <c r="AKE68" s="13"/>
      <c r="AKF68" s="13"/>
      <c r="AKG68" s="13"/>
      <c r="AKH68" s="13"/>
      <c r="AKI68" s="13"/>
      <c r="AKJ68" s="13"/>
      <c r="AKK68" s="13"/>
      <c r="AKL68" s="13"/>
      <c r="AKM68" s="13"/>
      <c r="AKN68" s="13"/>
      <c r="AKO68" s="13"/>
      <c r="AKP68" s="13"/>
      <c r="AKQ68" s="13"/>
      <c r="AKR68" s="13"/>
      <c r="AKS68" s="13"/>
      <c r="AKT68" s="13"/>
      <c r="AKU68" s="13"/>
      <c r="AKV68" s="13"/>
      <c r="AKW68" s="13"/>
      <c r="AKX68" s="13"/>
      <c r="AKY68" s="13"/>
      <c r="AKZ68" s="13"/>
      <c r="ALA68" s="13"/>
      <c r="ALB68" s="13"/>
      <c r="ALC68" s="13"/>
      <c r="ALD68" s="13"/>
      <c r="ALE68" s="13"/>
      <c r="ALF68" s="13"/>
      <c r="ALG68" s="13"/>
      <c r="ALH68" s="13"/>
      <c r="ALI68" s="13"/>
      <c r="ALJ68" s="13"/>
      <c r="ALK68" s="13"/>
      <c r="ALL68" s="13"/>
      <c r="ALM68" s="13"/>
      <c r="ALN68" s="13"/>
      <c r="ALO68" s="13"/>
      <c r="ALP68" s="13"/>
      <c r="ALQ68" s="13"/>
      <c r="ALR68" s="13"/>
      <c r="ALS68" s="13"/>
      <c r="ALT68" s="13"/>
      <c r="ALU68" s="13"/>
      <c r="ALV68" s="13"/>
      <c r="ALW68" s="13"/>
      <c r="ALX68" s="13"/>
      <c r="ALY68" s="13"/>
      <c r="ALZ68" s="13"/>
      <c r="AMA68" s="13"/>
      <c r="AMB68" s="13"/>
      <c r="AMC68" s="13"/>
      <c r="AMD68" s="13"/>
      <c r="AME68" s="13"/>
      <c r="AMF68" s="13"/>
      <c r="AMG68" s="13"/>
      <c r="AMH68" s="13"/>
      <c r="AMI68" s="13"/>
      <c r="AMJ68" s="13"/>
      <c r="AMK68" s="13"/>
    </row>
    <row r="69" spans="1:1025" s="164" customFormat="1" ht="12.75" customHeight="1" x14ac:dyDescent="0.2">
      <c r="A69" s="36" t="s">
        <v>45</v>
      </c>
      <c r="B69" s="76" t="s">
        <v>46</v>
      </c>
      <c r="C69" s="79" t="s">
        <v>53</v>
      </c>
      <c r="D69" s="73" t="s">
        <v>48</v>
      </c>
      <c r="E69" s="74" t="s">
        <v>48</v>
      </c>
      <c r="F69" s="133"/>
      <c r="G69" s="6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  <c r="KO69" s="13"/>
      <c r="KP69" s="13"/>
      <c r="KQ69" s="13"/>
      <c r="KR69" s="13"/>
      <c r="KS69" s="13"/>
      <c r="KT69" s="13"/>
      <c r="KU69" s="13"/>
      <c r="KV69" s="13"/>
      <c r="KW69" s="13"/>
      <c r="KX69" s="13"/>
      <c r="KY69" s="13"/>
      <c r="KZ69" s="13"/>
      <c r="LA69" s="13"/>
      <c r="LB69" s="13"/>
      <c r="LC69" s="13"/>
      <c r="LD69" s="13"/>
      <c r="LE69" s="13"/>
      <c r="LF69" s="13"/>
      <c r="LG69" s="13"/>
      <c r="LH69" s="13"/>
      <c r="LI69" s="13"/>
      <c r="LJ69" s="13"/>
      <c r="LK69" s="13"/>
      <c r="LL69" s="13"/>
      <c r="LM69" s="13"/>
      <c r="LN69" s="13"/>
      <c r="LO69" s="13"/>
      <c r="LP69" s="13"/>
      <c r="LQ69" s="13"/>
      <c r="LR69" s="13"/>
      <c r="LS69" s="13"/>
      <c r="LT69" s="13"/>
      <c r="LU69" s="13"/>
      <c r="LV69" s="13"/>
      <c r="LW69" s="13"/>
      <c r="LX69" s="13"/>
      <c r="LY69" s="13"/>
      <c r="LZ69" s="13"/>
      <c r="MA69" s="13"/>
      <c r="MB69" s="13"/>
      <c r="MC69" s="13"/>
      <c r="MD69" s="13"/>
      <c r="ME69" s="13"/>
      <c r="MF69" s="13"/>
      <c r="MG69" s="13"/>
      <c r="MH69" s="13"/>
      <c r="MI69" s="13"/>
      <c r="MJ69" s="13"/>
      <c r="MK69" s="13"/>
      <c r="ML69" s="13"/>
      <c r="MM69" s="13"/>
      <c r="MN69" s="13"/>
      <c r="MO69" s="13"/>
      <c r="MP69" s="13"/>
      <c r="MQ69" s="13"/>
      <c r="MR69" s="13"/>
      <c r="MS69" s="13"/>
      <c r="MT69" s="13"/>
      <c r="MU69" s="13"/>
      <c r="MV69" s="13"/>
      <c r="MW69" s="13"/>
      <c r="MX69" s="13"/>
      <c r="MY69" s="13"/>
      <c r="MZ69" s="13"/>
      <c r="NA69" s="13"/>
      <c r="NB69" s="13"/>
      <c r="NC69" s="13"/>
      <c r="ND69" s="13"/>
      <c r="NE69" s="13"/>
      <c r="NF69" s="13"/>
      <c r="NG69" s="13"/>
      <c r="NH69" s="13"/>
      <c r="NI69" s="13"/>
      <c r="NJ69" s="13"/>
      <c r="NK69" s="13"/>
      <c r="NL69" s="13"/>
      <c r="NM69" s="13"/>
      <c r="NN69" s="13"/>
      <c r="NO69" s="13"/>
      <c r="NP69" s="13"/>
      <c r="NQ69" s="13"/>
      <c r="NR69" s="13"/>
      <c r="NS69" s="13"/>
      <c r="NT69" s="13"/>
      <c r="NU69" s="13"/>
      <c r="NV69" s="13"/>
      <c r="NW69" s="13"/>
      <c r="NX69" s="13"/>
      <c r="NY69" s="13"/>
      <c r="NZ69" s="13"/>
      <c r="OA69" s="13"/>
      <c r="OB69" s="13"/>
      <c r="OC69" s="13"/>
      <c r="OD69" s="13"/>
      <c r="OE69" s="13"/>
      <c r="OF69" s="13"/>
      <c r="OG69" s="13"/>
      <c r="OH69" s="13"/>
      <c r="OI69" s="13"/>
      <c r="OJ69" s="13"/>
      <c r="OK69" s="13"/>
      <c r="OL69" s="13"/>
      <c r="OM69" s="13"/>
      <c r="ON69" s="13"/>
      <c r="OO69" s="13"/>
      <c r="OP69" s="13"/>
      <c r="OQ69" s="13"/>
      <c r="OR69" s="13"/>
      <c r="OS69" s="13"/>
      <c r="OT69" s="13"/>
      <c r="OU69" s="13"/>
      <c r="OV69" s="13"/>
      <c r="OW69" s="13"/>
      <c r="OX69" s="13"/>
      <c r="OY69" s="13"/>
      <c r="OZ69" s="13"/>
      <c r="PA69" s="13"/>
      <c r="PB69" s="13"/>
      <c r="PC69" s="13"/>
      <c r="PD69" s="13"/>
      <c r="PE69" s="13"/>
      <c r="PF69" s="13"/>
      <c r="PG69" s="13"/>
      <c r="PH69" s="13"/>
      <c r="PI69" s="13"/>
      <c r="PJ69" s="13"/>
      <c r="PK69" s="13"/>
      <c r="PL69" s="13"/>
      <c r="PM69" s="13"/>
      <c r="PN69" s="13"/>
      <c r="PO69" s="13"/>
      <c r="PP69" s="13"/>
      <c r="PQ69" s="13"/>
      <c r="PR69" s="13"/>
      <c r="PS69" s="13"/>
      <c r="PT69" s="13"/>
      <c r="PU69" s="13"/>
      <c r="PV69" s="13"/>
      <c r="PW69" s="13"/>
      <c r="PX69" s="13"/>
      <c r="PY69" s="13"/>
      <c r="PZ69" s="13"/>
      <c r="QA69" s="13"/>
      <c r="QB69" s="13"/>
      <c r="QC69" s="13"/>
      <c r="QD69" s="13"/>
      <c r="QE69" s="13"/>
      <c r="QF69" s="13"/>
      <c r="QG69" s="13"/>
      <c r="QH69" s="13"/>
      <c r="QI69" s="13"/>
      <c r="QJ69" s="13"/>
      <c r="QK69" s="13"/>
      <c r="QL69" s="13"/>
      <c r="QM69" s="13"/>
      <c r="QN69" s="13"/>
      <c r="QO69" s="13"/>
      <c r="QP69" s="13"/>
      <c r="QQ69" s="13"/>
      <c r="QR69" s="13"/>
      <c r="QS69" s="13"/>
      <c r="QT69" s="13"/>
      <c r="QU69" s="13"/>
      <c r="QV69" s="13"/>
      <c r="QW69" s="13"/>
      <c r="QX69" s="13"/>
      <c r="QY69" s="13"/>
      <c r="QZ69" s="13"/>
      <c r="RA69" s="13"/>
      <c r="RB69" s="13"/>
      <c r="RC69" s="13"/>
      <c r="RD69" s="13"/>
      <c r="RE69" s="13"/>
      <c r="RF69" s="13"/>
      <c r="RG69" s="13"/>
      <c r="RH69" s="13"/>
      <c r="RI69" s="13"/>
      <c r="RJ69" s="13"/>
      <c r="RK69" s="13"/>
      <c r="RL69" s="13"/>
      <c r="RM69" s="13"/>
      <c r="RN69" s="13"/>
      <c r="RO69" s="13"/>
      <c r="RP69" s="13"/>
      <c r="RQ69" s="13"/>
      <c r="RR69" s="13"/>
      <c r="RS69" s="13"/>
      <c r="RT69" s="13"/>
      <c r="RU69" s="13"/>
      <c r="RV69" s="13"/>
      <c r="RW69" s="13"/>
      <c r="RX69" s="13"/>
      <c r="RY69" s="13"/>
      <c r="RZ69" s="13"/>
      <c r="SA69" s="13"/>
      <c r="SB69" s="13"/>
      <c r="SC69" s="13"/>
      <c r="SD69" s="13"/>
      <c r="SE69" s="13"/>
      <c r="SF69" s="13"/>
      <c r="SG69" s="13"/>
      <c r="SH69" s="13"/>
      <c r="SI69" s="13"/>
      <c r="SJ69" s="13"/>
      <c r="SK69" s="13"/>
      <c r="SL69" s="13"/>
      <c r="SM69" s="13"/>
      <c r="SN69" s="13"/>
      <c r="SO69" s="13"/>
      <c r="SP69" s="13"/>
      <c r="SQ69" s="13"/>
      <c r="SR69" s="13"/>
      <c r="SS69" s="13"/>
      <c r="ST69" s="13"/>
      <c r="SU69" s="13"/>
      <c r="SV69" s="13"/>
      <c r="SW69" s="13"/>
      <c r="SX69" s="13"/>
      <c r="SY69" s="13"/>
      <c r="SZ69" s="13"/>
      <c r="TA69" s="13"/>
      <c r="TB69" s="13"/>
      <c r="TC69" s="13"/>
      <c r="TD69" s="13"/>
      <c r="TE69" s="13"/>
      <c r="TF69" s="13"/>
      <c r="TG69" s="13"/>
      <c r="TH69" s="13"/>
      <c r="TI69" s="13"/>
      <c r="TJ69" s="13"/>
      <c r="TK69" s="13"/>
      <c r="TL69" s="13"/>
      <c r="TM69" s="13"/>
      <c r="TN69" s="13"/>
      <c r="TO69" s="13"/>
      <c r="TP69" s="13"/>
      <c r="TQ69" s="13"/>
      <c r="TR69" s="13"/>
      <c r="TS69" s="13"/>
      <c r="TT69" s="13"/>
      <c r="TU69" s="13"/>
      <c r="TV69" s="13"/>
      <c r="TW69" s="13"/>
      <c r="TX69" s="13"/>
      <c r="TY69" s="13"/>
      <c r="TZ69" s="13"/>
      <c r="UA69" s="13"/>
      <c r="UB69" s="13"/>
      <c r="UC69" s="13"/>
      <c r="UD69" s="13"/>
      <c r="UE69" s="13"/>
      <c r="UF69" s="13"/>
      <c r="UG69" s="13"/>
      <c r="UH69" s="13"/>
      <c r="UI69" s="13"/>
      <c r="UJ69" s="13"/>
      <c r="UK69" s="13"/>
      <c r="UL69" s="13"/>
      <c r="UM69" s="13"/>
      <c r="UN69" s="13"/>
      <c r="UO69" s="13"/>
      <c r="UP69" s="13"/>
      <c r="UQ69" s="13"/>
      <c r="UR69" s="13"/>
      <c r="US69" s="13"/>
      <c r="UT69" s="13"/>
      <c r="UU69" s="13"/>
      <c r="UV69" s="13"/>
      <c r="UW69" s="13"/>
      <c r="UX69" s="13"/>
      <c r="UY69" s="13"/>
      <c r="UZ69" s="13"/>
      <c r="VA69" s="13"/>
      <c r="VB69" s="13"/>
      <c r="VC69" s="13"/>
      <c r="VD69" s="13"/>
      <c r="VE69" s="13"/>
      <c r="VF69" s="13"/>
      <c r="VG69" s="13"/>
      <c r="VH69" s="13"/>
      <c r="VI69" s="13"/>
      <c r="VJ69" s="13"/>
      <c r="VK69" s="13"/>
      <c r="VL69" s="13"/>
      <c r="VM69" s="13"/>
      <c r="VN69" s="13"/>
      <c r="VO69" s="13"/>
      <c r="VP69" s="13"/>
      <c r="VQ69" s="13"/>
      <c r="VR69" s="13"/>
      <c r="VS69" s="13"/>
      <c r="VT69" s="13"/>
      <c r="VU69" s="13"/>
      <c r="VV69" s="13"/>
      <c r="VW69" s="13"/>
      <c r="VX69" s="13"/>
      <c r="VY69" s="13"/>
      <c r="VZ69" s="13"/>
      <c r="WA69" s="13"/>
      <c r="WB69" s="13"/>
      <c r="WC69" s="13"/>
      <c r="WD69" s="13"/>
      <c r="WE69" s="13"/>
      <c r="WF69" s="13"/>
      <c r="WG69" s="13"/>
      <c r="WH69" s="13"/>
      <c r="WI69" s="13"/>
      <c r="WJ69" s="13"/>
      <c r="WK69" s="13"/>
      <c r="WL69" s="13"/>
      <c r="WM69" s="13"/>
      <c r="WN69" s="13"/>
      <c r="WO69" s="13"/>
      <c r="WP69" s="13"/>
      <c r="WQ69" s="13"/>
      <c r="WR69" s="13"/>
      <c r="WS69" s="13"/>
      <c r="WT69" s="13"/>
      <c r="WU69" s="13"/>
      <c r="WV69" s="13"/>
      <c r="WW69" s="13"/>
      <c r="WX69" s="13"/>
      <c r="WY69" s="13"/>
      <c r="WZ69" s="13"/>
      <c r="XA69" s="13"/>
      <c r="XB69" s="13"/>
      <c r="XC69" s="13"/>
      <c r="XD69" s="13"/>
      <c r="XE69" s="13"/>
      <c r="XF69" s="13"/>
      <c r="XG69" s="13"/>
      <c r="XH69" s="13"/>
      <c r="XI69" s="13"/>
      <c r="XJ69" s="13"/>
      <c r="XK69" s="13"/>
      <c r="XL69" s="13"/>
      <c r="XM69" s="13"/>
      <c r="XN69" s="13"/>
      <c r="XO69" s="13"/>
      <c r="XP69" s="13"/>
      <c r="XQ69" s="13"/>
      <c r="XR69" s="13"/>
      <c r="XS69" s="13"/>
      <c r="XT69" s="13"/>
      <c r="XU69" s="13"/>
      <c r="XV69" s="13"/>
      <c r="XW69" s="13"/>
      <c r="XX69" s="13"/>
      <c r="XY69" s="13"/>
      <c r="XZ69" s="13"/>
      <c r="YA69" s="13"/>
      <c r="YB69" s="13"/>
      <c r="YC69" s="13"/>
      <c r="YD69" s="13"/>
      <c r="YE69" s="13"/>
      <c r="YF69" s="13"/>
      <c r="YG69" s="13"/>
      <c r="YH69" s="13"/>
      <c r="YI69" s="13"/>
      <c r="YJ69" s="13"/>
      <c r="YK69" s="13"/>
      <c r="YL69" s="13"/>
      <c r="YM69" s="13"/>
      <c r="YN69" s="13"/>
      <c r="YO69" s="13"/>
      <c r="YP69" s="13"/>
      <c r="YQ69" s="13"/>
      <c r="YR69" s="13"/>
      <c r="YS69" s="13"/>
      <c r="YT69" s="13"/>
      <c r="YU69" s="13"/>
      <c r="YV69" s="13"/>
      <c r="YW69" s="13"/>
      <c r="YX69" s="13"/>
      <c r="YY69" s="13"/>
      <c r="YZ69" s="13"/>
      <c r="ZA69" s="13"/>
      <c r="ZB69" s="13"/>
      <c r="ZC69" s="13"/>
      <c r="ZD69" s="13"/>
      <c r="ZE69" s="13"/>
      <c r="ZF69" s="13"/>
      <c r="ZG69" s="13"/>
      <c r="ZH69" s="13"/>
      <c r="ZI69" s="13"/>
      <c r="ZJ69" s="13"/>
      <c r="ZK69" s="13"/>
      <c r="ZL69" s="13"/>
      <c r="ZM69" s="13"/>
      <c r="ZN69" s="13"/>
      <c r="ZO69" s="13"/>
      <c r="ZP69" s="13"/>
      <c r="ZQ69" s="13"/>
      <c r="ZR69" s="13"/>
      <c r="ZS69" s="13"/>
      <c r="ZT69" s="13"/>
      <c r="ZU69" s="13"/>
      <c r="ZV69" s="13"/>
      <c r="ZW69" s="13"/>
      <c r="ZX69" s="13"/>
      <c r="ZY69" s="13"/>
      <c r="ZZ69" s="13"/>
      <c r="AAA69" s="13"/>
      <c r="AAB69" s="13"/>
      <c r="AAC69" s="13"/>
      <c r="AAD69" s="13"/>
      <c r="AAE69" s="13"/>
      <c r="AAF69" s="13"/>
      <c r="AAG69" s="13"/>
      <c r="AAH69" s="13"/>
      <c r="AAI69" s="13"/>
      <c r="AAJ69" s="13"/>
      <c r="AAK69" s="13"/>
      <c r="AAL69" s="13"/>
      <c r="AAM69" s="13"/>
      <c r="AAN69" s="13"/>
      <c r="AAO69" s="13"/>
      <c r="AAP69" s="13"/>
      <c r="AAQ69" s="13"/>
      <c r="AAR69" s="13"/>
      <c r="AAS69" s="13"/>
      <c r="AAT69" s="13"/>
      <c r="AAU69" s="13"/>
      <c r="AAV69" s="13"/>
      <c r="AAW69" s="13"/>
      <c r="AAX69" s="13"/>
      <c r="AAY69" s="13"/>
      <c r="AAZ69" s="13"/>
      <c r="ABA69" s="13"/>
      <c r="ABB69" s="13"/>
      <c r="ABC69" s="13"/>
      <c r="ABD69" s="13"/>
      <c r="ABE69" s="13"/>
      <c r="ABF69" s="13"/>
      <c r="ABG69" s="13"/>
      <c r="ABH69" s="13"/>
      <c r="ABI69" s="13"/>
      <c r="ABJ69" s="13"/>
      <c r="ABK69" s="13"/>
      <c r="ABL69" s="13"/>
      <c r="ABM69" s="13"/>
      <c r="ABN69" s="13"/>
      <c r="ABO69" s="13"/>
      <c r="ABP69" s="13"/>
      <c r="ABQ69" s="13"/>
      <c r="ABR69" s="13"/>
      <c r="ABS69" s="13"/>
      <c r="ABT69" s="13"/>
      <c r="ABU69" s="13"/>
      <c r="ABV69" s="13"/>
      <c r="ABW69" s="13"/>
      <c r="ABX69" s="13"/>
      <c r="ABY69" s="13"/>
      <c r="ABZ69" s="13"/>
      <c r="ACA69" s="13"/>
      <c r="ACB69" s="13"/>
      <c r="ACC69" s="13"/>
      <c r="ACD69" s="13"/>
      <c r="ACE69" s="13"/>
      <c r="ACF69" s="13"/>
      <c r="ACG69" s="13"/>
      <c r="ACH69" s="13"/>
      <c r="ACI69" s="13"/>
      <c r="ACJ69" s="13"/>
      <c r="ACK69" s="13"/>
      <c r="ACL69" s="13"/>
      <c r="ACM69" s="13"/>
      <c r="ACN69" s="13"/>
      <c r="ACO69" s="13"/>
      <c r="ACP69" s="13"/>
      <c r="ACQ69" s="13"/>
      <c r="ACR69" s="13"/>
      <c r="ACS69" s="13"/>
      <c r="ACT69" s="13"/>
      <c r="ACU69" s="13"/>
      <c r="ACV69" s="13"/>
      <c r="ACW69" s="13"/>
      <c r="ACX69" s="13"/>
      <c r="ACY69" s="13"/>
      <c r="ACZ69" s="13"/>
      <c r="ADA69" s="13"/>
      <c r="ADB69" s="13"/>
      <c r="ADC69" s="13"/>
      <c r="ADD69" s="13"/>
      <c r="ADE69" s="13"/>
      <c r="ADF69" s="13"/>
      <c r="ADG69" s="13"/>
      <c r="ADH69" s="13"/>
      <c r="ADI69" s="13"/>
      <c r="ADJ69" s="13"/>
      <c r="ADK69" s="13"/>
      <c r="ADL69" s="13"/>
      <c r="ADM69" s="13"/>
      <c r="ADN69" s="13"/>
      <c r="ADO69" s="13"/>
      <c r="ADP69" s="13"/>
      <c r="ADQ69" s="13"/>
      <c r="ADR69" s="13"/>
      <c r="ADS69" s="13"/>
      <c r="ADT69" s="13"/>
      <c r="ADU69" s="13"/>
      <c r="ADV69" s="13"/>
      <c r="ADW69" s="13"/>
      <c r="ADX69" s="13"/>
      <c r="ADY69" s="13"/>
      <c r="ADZ69" s="13"/>
      <c r="AEA69" s="13"/>
      <c r="AEB69" s="13"/>
      <c r="AEC69" s="13"/>
      <c r="AED69" s="13"/>
      <c r="AEE69" s="13"/>
      <c r="AEF69" s="13"/>
      <c r="AEG69" s="13"/>
      <c r="AEH69" s="13"/>
      <c r="AEI69" s="13"/>
      <c r="AEJ69" s="13"/>
      <c r="AEK69" s="13"/>
      <c r="AEL69" s="13"/>
      <c r="AEM69" s="13"/>
      <c r="AEN69" s="13"/>
      <c r="AEO69" s="13"/>
      <c r="AEP69" s="13"/>
      <c r="AEQ69" s="13"/>
      <c r="AER69" s="13"/>
      <c r="AES69" s="13"/>
      <c r="AET69" s="13"/>
      <c r="AEU69" s="13"/>
      <c r="AEV69" s="13"/>
      <c r="AEW69" s="13"/>
      <c r="AEX69" s="13"/>
      <c r="AEY69" s="13"/>
      <c r="AEZ69" s="13"/>
      <c r="AFA69" s="13"/>
      <c r="AFB69" s="13"/>
      <c r="AFC69" s="13"/>
      <c r="AFD69" s="13"/>
      <c r="AFE69" s="13"/>
      <c r="AFF69" s="13"/>
      <c r="AFG69" s="13"/>
      <c r="AFH69" s="13"/>
      <c r="AFI69" s="13"/>
      <c r="AFJ69" s="13"/>
      <c r="AFK69" s="13"/>
      <c r="AFL69" s="13"/>
      <c r="AFM69" s="13"/>
      <c r="AFN69" s="13"/>
      <c r="AFO69" s="13"/>
      <c r="AFP69" s="13"/>
      <c r="AFQ69" s="13"/>
      <c r="AFR69" s="13"/>
      <c r="AFS69" s="13"/>
      <c r="AFT69" s="13"/>
      <c r="AFU69" s="13"/>
      <c r="AFV69" s="13"/>
      <c r="AFW69" s="13"/>
      <c r="AFX69" s="13"/>
      <c r="AFY69" s="13"/>
      <c r="AFZ69" s="13"/>
      <c r="AGA69" s="13"/>
      <c r="AGB69" s="13"/>
      <c r="AGC69" s="13"/>
      <c r="AGD69" s="13"/>
      <c r="AGE69" s="13"/>
      <c r="AGF69" s="13"/>
      <c r="AGG69" s="13"/>
      <c r="AGH69" s="13"/>
      <c r="AGI69" s="13"/>
      <c r="AGJ69" s="13"/>
      <c r="AGK69" s="13"/>
      <c r="AGL69" s="13"/>
      <c r="AGM69" s="13"/>
      <c r="AGN69" s="13"/>
      <c r="AGO69" s="13"/>
      <c r="AGP69" s="13"/>
      <c r="AGQ69" s="13"/>
      <c r="AGR69" s="13"/>
      <c r="AGS69" s="13"/>
      <c r="AGT69" s="13"/>
      <c r="AGU69" s="13"/>
      <c r="AGV69" s="13"/>
      <c r="AGW69" s="13"/>
      <c r="AGX69" s="13"/>
      <c r="AGY69" s="13"/>
      <c r="AGZ69" s="13"/>
      <c r="AHA69" s="13"/>
      <c r="AHB69" s="13"/>
      <c r="AHC69" s="13"/>
      <c r="AHD69" s="13"/>
      <c r="AHE69" s="13"/>
      <c r="AHF69" s="13"/>
      <c r="AHG69" s="13"/>
      <c r="AHH69" s="13"/>
      <c r="AHI69" s="13"/>
      <c r="AHJ69" s="13"/>
      <c r="AHK69" s="13"/>
      <c r="AHL69" s="13"/>
      <c r="AHM69" s="13"/>
      <c r="AHN69" s="13"/>
      <c r="AHO69" s="13"/>
      <c r="AHP69" s="13"/>
      <c r="AHQ69" s="13"/>
      <c r="AHR69" s="13"/>
      <c r="AHS69" s="13"/>
      <c r="AHT69" s="13"/>
      <c r="AHU69" s="13"/>
      <c r="AHV69" s="13"/>
      <c r="AHW69" s="13"/>
      <c r="AHX69" s="13"/>
      <c r="AHY69" s="13"/>
      <c r="AHZ69" s="13"/>
      <c r="AIA69" s="13"/>
      <c r="AIB69" s="13"/>
      <c r="AIC69" s="13"/>
      <c r="AID69" s="13"/>
      <c r="AIE69" s="13"/>
      <c r="AIF69" s="13"/>
      <c r="AIG69" s="13"/>
      <c r="AIH69" s="13"/>
      <c r="AII69" s="13"/>
      <c r="AIJ69" s="13"/>
      <c r="AIK69" s="13"/>
      <c r="AIL69" s="13"/>
      <c r="AIM69" s="13"/>
      <c r="AIN69" s="13"/>
      <c r="AIO69" s="13"/>
      <c r="AIP69" s="13"/>
      <c r="AIQ69" s="13"/>
      <c r="AIR69" s="13"/>
      <c r="AIS69" s="13"/>
      <c r="AIT69" s="13"/>
      <c r="AIU69" s="13"/>
      <c r="AIV69" s="13"/>
      <c r="AIW69" s="13"/>
      <c r="AIX69" s="13"/>
      <c r="AIY69" s="13"/>
      <c r="AIZ69" s="13"/>
      <c r="AJA69" s="13"/>
      <c r="AJB69" s="13"/>
      <c r="AJC69" s="13"/>
      <c r="AJD69" s="13"/>
      <c r="AJE69" s="13"/>
      <c r="AJF69" s="13"/>
      <c r="AJG69" s="13"/>
      <c r="AJH69" s="13"/>
      <c r="AJI69" s="13"/>
      <c r="AJJ69" s="13"/>
      <c r="AJK69" s="13"/>
      <c r="AJL69" s="13"/>
      <c r="AJM69" s="13"/>
      <c r="AJN69" s="13"/>
      <c r="AJO69" s="13"/>
      <c r="AJP69" s="13"/>
      <c r="AJQ69" s="13"/>
      <c r="AJR69" s="13"/>
      <c r="AJS69" s="13"/>
      <c r="AJT69" s="13"/>
      <c r="AJU69" s="13"/>
      <c r="AJV69" s="13"/>
      <c r="AJW69" s="13"/>
      <c r="AJX69" s="13"/>
      <c r="AJY69" s="13"/>
      <c r="AJZ69" s="13"/>
      <c r="AKA69" s="13"/>
      <c r="AKB69" s="13"/>
      <c r="AKC69" s="13"/>
      <c r="AKD69" s="13"/>
      <c r="AKE69" s="13"/>
      <c r="AKF69" s="13"/>
      <c r="AKG69" s="13"/>
      <c r="AKH69" s="13"/>
      <c r="AKI69" s="13"/>
      <c r="AKJ69" s="13"/>
      <c r="AKK69" s="13"/>
      <c r="AKL69" s="13"/>
      <c r="AKM69" s="13"/>
      <c r="AKN69" s="13"/>
      <c r="AKO69" s="13"/>
      <c r="AKP69" s="13"/>
      <c r="AKQ69" s="13"/>
      <c r="AKR69" s="13"/>
      <c r="AKS69" s="13"/>
      <c r="AKT69" s="13"/>
      <c r="AKU69" s="13"/>
      <c r="AKV69" s="13"/>
      <c r="AKW69" s="13"/>
      <c r="AKX69" s="13"/>
      <c r="AKY69" s="13"/>
      <c r="AKZ69" s="13"/>
      <c r="ALA69" s="13"/>
      <c r="ALB69" s="13"/>
      <c r="ALC69" s="13"/>
      <c r="ALD69" s="13"/>
      <c r="ALE69" s="13"/>
      <c r="ALF69" s="13"/>
      <c r="ALG69" s="13"/>
      <c r="ALH69" s="13"/>
      <c r="ALI69" s="13"/>
      <c r="ALJ69" s="13"/>
      <c r="ALK69" s="13"/>
      <c r="ALL69" s="13"/>
      <c r="ALM69" s="13"/>
      <c r="ALN69" s="13"/>
      <c r="ALO69" s="13"/>
      <c r="ALP69" s="13"/>
      <c r="ALQ69" s="13"/>
      <c r="ALR69" s="13"/>
      <c r="ALS69" s="13"/>
      <c r="ALT69" s="13"/>
      <c r="ALU69" s="13"/>
      <c r="ALV69" s="13"/>
      <c r="ALW69" s="13"/>
      <c r="ALX69" s="13"/>
      <c r="ALY69" s="13"/>
      <c r="ALZ69" s="13"/>
      <c r="AMA69" s="13"/>
      <c r="AMB69" s="13"/>
      <c r="AMC69" s="13"/>
      <c r="AMD69" s="13"/>
      <c r="AME69" s="13"/>
      <c r="AMF69" s="13"/>
      <c r="AMG69" s="13"/>
      <c r="AMH69" s="13"/>
      <c r="AMI69" s="13"/>
      <c r="AMJ69" s="13"/>
      <c r="AMK69" s="13"/>
    </row>
    <row r="70" spans="1:1025" s="164" customFormat="1" ht="12.75" customHeight="1" x14ac:dyDescent="0.2">
      <c r="A70" s="75" t="s">
        <v>54</v>
      </c>
      <c r="B70" s="46">
        <v>0</v>
      </c>
      <c r="C70" s="60">
        <v>9.9999999999999998E+37</v>
      </c>
      <c r="D70" s="76" t="s">
        <v>55</v>
      </c>
      <c r="E70" s="95" t="s">
        <v>49</v>
      </c>
      <c r="F70" s="133"/>
      <c r="G70" s="6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  <c r="LU70" s="13"/>
      <c r="LV70" s="13"/>
      <c r="LW70" s="13"/>
      <c r="LX70" s="13"/>
      <c r="LY70" s="13"/>
      <c r="LZ70" s="13"/>
      <c r="MA70" s="13"/>
      <c r="MB70" s="13"/>
      <c r="MC70" s="13"/>
      <c r="MD70" s="13"/>
      <c r="ME70" s="13"/>
      <c r="MF70" s="13"/>
      <c r="MG70" s="13"/>
      <c r="MH70" s="13"/>
      <c r="MI70" s="13"/>
      <c r="MJ70" s="13"/>
      <c r="MK70" s="13"/>
      <c r="ML70" s="13"/>
      <c r="MM70" s="13"/>
      <c r="MN70" s="13"/>
      <c r="MO70" s="13"/>
      <c r="MP70" s="13"/>
      <c r="MQ70" s="13"/>
      <c r="MR70" s="13"/>
      <c r="MS70" s="13"/>
      <c r="MT70" s="13"/>
      <c r="MU70" s="13"/>
      <c r="MV70" s="13"/>
      <c r="MW70" s="13"/>
      <c r="MX70" s="13"/>
      <c r="MY70" s="13"/>
      <c r="MZ70" s="13"/>
      <c r="NA70" s="13"/>
      <c r="NB70" s="13"/>
      <c r="NC70" s="13"/>
      <c r="ND70" s="13"/>
      <c r="NE70" s="13"/>
      <c r="NF70" s="13"/>
      <c r="NG70" s="13"/>
      <c r="NH70" s="13"/>
      <c r="NI70" s="13"/>
      <c r="NJ70" s="13"/>
      <c r="NK70" s="13"/>
      <c r="NL70" s="13"/>
      <c r="NM70" s="13"/>
      <c r="NN70" s="13"/>
      <c r="NO70" s="13"/>
      <c r="NP70" s="13"/>
      <c r="NQ70" s="13"/>
      <c r="NR70" s="13"/>
      <c r="NS70" s="13"/>
      <c r="NT70" s="13"/>
      <c r="NU70" s="13"/>
      <c r="NV70" s="13"/>
      <c r="NW70" s="13"/>
      <c r="NX70" s="13"/>
      <c r="NY70" s="13"/>
      <c r="NZ70" s="13"/>
      <c r="OA70" s="13"/>
      <c r="OB70" s="13"/>
      <c r="OC70" s="13"/>
      <c r="OD70" s="13"/>
      <c r="OE70" s="13"/>
      <c r="OF70" s="13"/>
      <c r="OG70" s="13"/>
      <c r="OH70" s="13"/>
      <c r="OI70" s="13"/>
      <c r="OJ70" s="13"/>
      <c r="OK70" s="13"/>
      <c r="OL70" s="13"/>
      <c r="OM70" s="13"/>
      <c r="ON70" s="13"/>
      <c r="OO70" s="13"/>
      <c r="OP70" s="13"/>
      <c r="OQ70" s="13"/>
      <c r="OR70" s="13"/>
      <c r="OS70" s="13"/>
      <c r="OT70" s="13"/>
      <c r="OU70" s="13"/>
      <c r="OV70" s="13"/>
      <c r="OW70" s="13"/>
      <c r="OX70" s="13"/>
      <c r="OY70" s="13"/>
      <c r="OZ70" s="13"/>
      <c r="PA70" s="13"/>
      <c r="PB70" s="13"/>
      <c r="PC70" s="13"/>
      <c r="PD70" s="13"/>
      <c r="PE70" s="13"/>
      <c r="PF70" s="13"/>
      <c r="PG70" s="13"/>
      <c r="PH70" s="13"/>
      <c r="PI70" s="13"/>
      <c r="PJ70" s="13"/>
      <c r="PK70" s="13"/>
      <c r="PL70" s="13"/>
      <c r="PM70" s="13"/>
      <c r="PN70" s="13"/>
      <c r="PO70" s="13"/>
      <c r="PP70" s="13"/>
      <c r="PQ70" s="13"/>
      <c r="PR70" s="13"/>
      <c r="PS70" s="13"/>
      <c r="PT70" s="13"/>
      <c r="PU70" s="13"/>
      <c r="PV70" s="13"/>
      <c r="PW70" s="13"/>
      <c r="PX70" s="13"/>
      <c r="PY70" s="13"/>
      <c r="PZ70" s="13"/>
      <c r="QA70" s="13"/>
      <c r="QB70" s="13"/>
      <c r="QC70" s="13"/>
      <c r="QD70" s="13"/>
      <c r="QE70" s="13"/>
      <c r="QF70" s="13"/>
      <c r="QG70" s="13"/>
      <c r="QH70" s="13"/>
      <c r="QI70" s="13"/>
      <c r="QJ70" s="13"/>
      <c r="QK70" s="13"/>
      <c r="QL70" s="13"/>
      <c r="QM70" s="13"/>
      <c r="QN70" s="13"/>
      <c r="QO70" s="13"/>
      <c r="QP70" s="13"/>
      <c r="QQ70" s="13"/>
      <c r="QR70" s="13"/>
      <c r="QS70" s="13"/>
      <c r="QT70" s="13"/>
      <c r="QU70" s="13"/>
      <c r="QV70" s="13"/>
      <c r="QW70" s="13"/>
      <c r="QX70" s="13"/>
      <c r="QY70" s="13"/>
      <c r="QZ70" s="13"/>
      <c r="RA70" s="13"/>
      <c r="RB70" s="13"/>
      <c r="RC70" s="13"/>
      <c r="RD70" s="13"/>
      <c r="RE70" s="13"/>
      <c r="RF70" s="13"/>
      <c r="RG70" s="13"/>
      <c r="RH70" s="13"/>
      <c r="RI70" s="13"/>
      <c r="RJ70" s="13"/>
      <c r="RK70" s="13"/>
      <c r="RL70" s="13"/>
      <c r="RM70" s="13"/>
      <c r="RN70" s="13"/>
      <c r="RO70" s="13"/>
      <c r="RP70" s="13"/>
      <c r="RQ70" s="13"/>
      <c r="RR70" s="13"/>
      <c r="RS70" s="13"/>
      <c r="RT70" s="13"/>
      <c r="RU70" s="13"/>
      <c r="RV70" s="13"/>
      <c r="RW70" s="13"/>
      <c r="RX70" s="13"/>
      <c r="RY70" s="13"/>
      <c r="RZ70" s="13"/>
      <c r="SA70" s="13"/>
      <c r="SB70" s="13"/>
      <c r="SC70" s="13"/>
      <c r="SD70" s="13"/>
      <c r="SE70" s="13"/>
      <c r="SF70" s="13"/>
      <c r="SG70" s="13"/>
      <c r="SH70" s="13"/>
      <c r="SI70" s="13"/>
      <c r="SJ70" s="13"/>
      <c r="SK70" s="13"/>
      <c r="SL70" s="13"/>
      <c r="SM70" s="13"/>
      <c r="SN70" s="13"/>
      <c r="SO70" s="13"/>
      <c r="SP70" s="13"/>
      <c r="SQ70" s="13"/>
      <c r="SR70" s="13"/>
      <c r="SS70" s="13"/>
      <c r="ST70" s="13"/>
      <c r="SU70" s="13"/>
      <c r="SV70" s="13"/>
      <c r="SW70" s="13"/>
      <c r="SX70" s="13"/>
      <c r="SY70" s="13"/>
      <c r="SZ70" s="13"/>
      <c r="TA70" s="13"/>
      <c r="TB70" s="13"/>
      <c r="TC70" s="13"/>
      <c r="TD70" s="13"/>
      <c r="TE70" s="13"/>
      <c r="TF70" s="13"/>
      <c r="TG70" s="13"/>
      <c r="TH70" s="13"/>
      <c r="TI70" s="13"/>
      <c r="TJ70" s="13"/>
      <c r="TK70" s="13"/>
      <c r="TL70" s="13"/>
      <c r="TM70" s="13"/>
      <c r="TN70" s="13"/>
      <c r="TO70" s="13"/>
      <c r="TP70" s="13"/>
      <c r="TQ70" s="13"/>
      <c r="TR70" s="13"/>
      <c r="TS70" s="13"/>
      <c r="TT70" s="13"/>
      <c r="TU70" s="13"/>
      <c r="TV70" s="13"/>
      <c r="TW70" s="13"/>
      <c r="TX70" s="13"/>
      <c r="TY70" s="13"/>
      <c r="TZ70" s="13"/>
      <c r="UA70" s="13"/>
      <c r="UB70" s="13"/>
      <c r="UC70" s="13"/>
      <c r="UD70" s="13"/>
      <c r="UE70" s="13"/>
      <c r="UF70" s="13"/>
      <c r="UG70" s="13"/>
      <c r="UH70" s="13"/>
      <c r="UI70" s="13"/>
      <c r="UJ70" s="13"/>
      <c r="UK70" s="13"/>
      <c r="UL70" s="13"/>
      <c r="UM70" s="13"/>
      <c r="UN70" s="13"/>
      <c r="UO70" s="13"/>
      <c r="UP70" s="13"/>
      <c r="UQ70" s="13"/>
      <c r="UR70" s="13"/>
      <c r="US70" s="13"/>
      <c r="UT70" s="13"/>
      <c r="UU70" s="13"/>
      <c r="UV70" s="13"/>
      <c r="UW70" s="13"/>
      <c r="UX70" s="13"/>
      <c r="UY70" s="13"/>
      <c r="UZ70" s="13"/>
      <c r="VA70" s="13"/>
      <c r="VB70" s="13"/>
      <c r="VC70" s="13"/>
      <c r="VD70" s="13"/>
      <c r="VE70" s="13"/>
      <c r="VF70" s="13"/>
      <c r="VG70" s="13"/>
      <c r="VH70" s="13"/>
      <c r="VI70" s="13"/>
      <c r="VJ70" s="13"/>
      <c r="VK70" s="13"/>
      <c r="VL70" s="13"/>
      <c r="VM70" s="13"/>
      <c r="VN70" s="13"/>
      <c r="VO70" s="13"/>
      <c r="VP70" s="13"/>
      <c r="VQ70" s="13"/>
      <c r="VR70" s="13"/>
      <c r="VS70" s="13"/>
      <c r="VT70" s="13"/>
      <c r="VU70" s="13"/>
      <c r="VV70" s="13"/>
      <c r="VW70" s="13"/>
      <c r="VX70" s="13"/>
      <c r="VY70" s="13"/>
      <c r="VZ70" s="13"/>
      <c r="WA70" s="13"/>
      <c r="WB70" s="13"/>
      <c r="WC70" s="13"/>
      <c r="WD70" s="13"/>
      <c r="WE70" s="13"/>
      <c r="WF70" s="13"/>
      <c r="WG70" s="13"/>
      <c r="WH70" s="13"/>
      <c r="WI70" s="13"/>
      <c r="WJ70" s="13"/>
      <c r="WK70" s="13"/>
      <c r="WL70" s="13"/>
      <c r="WM70" s="13"/>
      <c r="WN70" s="13"/>
      <c r="WO70" s="13"/>
      <c r="WP70" s="13"/>
      <c r="WQ70" s="13"/>
      <c r="WR70" s="13"/>
      <c r="WS70" s="13"/>
      <c r="WT70" s="13"/>
      <c r="WU70" s="13"/>
      <c r="WV70" s="13"/>
      <c r="WW70" s="13"/>
      <c r="WX70" s="13"/>
      <c r="WY70" s="13"/>
      <c r="WZ70" s="13"/>
      <c r="XA70" s="13"/>
      <c r="XB70" s="13"/>
      <c r="XC70" s="13"/>
      <c r="XD70" s="13"/>
      <c r="XE70" s="13"/>
      <c r="XF70" s="13"/>
      <c r="XG70" s="13"/>
      <c r="XH70" s="13"/>
      <c r="XI70" s="13"/>
      <c r="XJ70" s="13"/>
      <c r="XK70" s="13"/>
      <c r="XL70" s="13"/>
      <c r="XM70" s="13"/>
      <c r="XN70" s="13"/>
      <c r="XO70" s="13"/>
      <c r="XP70" s="13"/>
      <c r="XQ70" s="13"/>
      <c r="XR70" s="13"/>
      <c r="XS70" s="13"/>
      <c r="XT70" s="13"/>
      <c r="XU70" s="13"/>
      <c r="XV70" s="13"/>
      <c r="XW70" s="13"/>
      <c r="XX70" s="13"/>
      <c r="XY70" s="13"/>
      <c r="XZ70" s="13"/>
      <c r="YA70" s="13"/>
      <c r="YB70" s="13"/>
      <c r="YC70" s="13"/>
      <c r="YD70" s="13"/>
      <c r="YE70" s="13"/>
      <c r="YF70" s="13"/>
      <c r="YG70" s="13"/>
      <c r="YH70" s="13"/>
      <c r="YI70" s="13"/>
      <c r="YJ70" s="13"/>
      <c r="YK70" s="13"/>
      <c r="YL70" s="13"/>
      <c r="YM70" s="13"/>
      <c r="YN70" s="13"/>
      <c r="YO70" s="13"/>
      <c r="YP70" s="13"/>
      <c r="YQ70" s="13"/>
      <c r="YR70" s="13"/>
      <c r="YS70" s="13"/>
      <c r="YT70" s="13"/>
      <c r="YU70" s="13"/>
      <c r="YV70" s="13"/>
      <c r="YW70" s="13"/>
      <c r="YX70" s="13"/>
      <c r="YY70" s="13"/>
      <c r="YZ70" s="13"/>
      <c r="ZA70" s="13"/>
      <c r="ZB70" s="13"/>
      <c r="ZC70" s="13"/>
      <c r="ZD70" s="13"/>
      <c r="ZE70" s="13"/>
      <c r="ZF70" s="13"/>
      <c r="ZG70" s="13"/>
      <c r="ZH70" s="13"/>
      <c r="ZI70" s="13"/>
      <c r="ZJ70" s="13"/>
      <c r="ZK70" s="13"/>
      <c r="ZL70" s="13"/>
      <c r="ZM70" s="13"/>
      <c r="ZN70" s="13"/>
      <c r="ZO70" s="13"/>
      <c r="ZP70" s="13"/>
      <c r="ZQ70" s="13"/>
      <c r="ZR70" s="13"/>
      <c r="ZS70" s="13"/>
      <c r="ZT70" s="13"/>
      <c r="ZU70" s="13"/>
      <c r="ZV70" s="13"/>
      <c r="ZW70" s="13"/>
      <c r="ZX70" s="13"/>
      <c r="ZY70" s="13"/>
      <c r="ZZ70" s="13"/>
      <c r="AAA70" s="13"/>
      <c r="AAB70" s="13"/>
      <c r="AAC70" s="13"/>
      <c r="AAD70" s="13"/>
      <c r="AAE70" s="13"/>
      <c r="AAF70" s="13"/>
      <c r="AAG70" s="13"/>
      <c r="AAH70" s="13"/>
      <c r="AAI70" s="13"/>
      <c r="AAJ70" s="13"/>
      <c r="AAK70" s="13"/>
      <c r="AAL70" s="13"/>
      <c r="AAM70" s="13"/>
      <c r="AAN70" s="13"/>
      <c r="AAO70" s="13"/>
      <c r="AAP70" s="13"/>
      <c r="AAQ70" s="13"/>
      <c r="AAR70" s="13"/>
      <c r="AAS70" s="13"/>
      <c r="AAT70" s="13"/>
      <c r="AAU70" s="13"/>
      <c r="AAV70" s="13"/>
      <c r="AAW70" s="13"/>
      <c r="AAX70" s="13"/>
      <c r="AAY70" s="13"/>
      <c r="AAZ70" s="13"/>
      <c r="ABA70" s="13"/>
      <c r="ABB70" s="13"/>
      <c r="ABC70" s="13"/>
      <c r="ABD70" s="13"/>
      <c r="ABE70" s="13"/>
      <c r="ABF70" s="13"/>
      <c r="ABG70" s="13"/>
      <c r="ABH70" s="13"/>
      <c r="ABI70" s="13"/>
      <c r="ABJ70" s="13"/>
      <c r="ABK70" s="13"/>
      <c r="ABL70" s="13"/>
      <c r="ABM70" s="13"/>
      <c r="ABN70" s="13"/>
      <c r="ABO70" s="13"/>
      <c r="ABP70" s="13"/>
      <c r="ABQ70" s="13"/>
      <c r="ABR70" s="13"/>
      <c r="ABS70" s="13"/>
      <c r="ABT70" s="13"/>
      <c r="ABU70" s="13"/>
      <c r="ABV70" s="13"/>
      <c r="ABW70" s="13"/>
      <c r="ABX70" s="13"/>
      <c r="ABY70" s="13"/>
      <c r="ABZ70" s="13"/>
      <c r="ACA70" s="13"/>
      <c r="ACB70" s="13"/>
      <c r="ACC70" s="13"/>
      <c r="ACD70" s="13"/>
      <c r="ACE70" s="13"/>
      <c r="ACF70" s="13"/>
      <c r="ACG70" s="13"/>
      <c r="ACH70" s="13"/>
      <c r="ACI70" s="13"/>
      <c r="ACJ70" s="13"/>
      <c r="ACK70" s="13"/>
      <c r="ACL70" s="13"/>
      <c r="ACM70" s="13"/>
      <c r="ACN70" s="13"/>
      <c r="ACO70" s="13"/>
      <c r="ACP70" s="13"/>
      <c r="ACQ70" s="13"/>
      <c r="ACR70" s="13"/>
      <c r="ACS70" s="13"/>
      <c r="ACT70" s="13"/>
      <c r="ACU70" s="13"/>
      <c r="ACV70" s="13"/>
      <c r="ACW70" s="13"/>
      <c r="ACX70" s="13"/>
      <c r="ACY70" s="13"/>
      <c r="ACZ70" s="13"/>
      <c r="ADA70" s="13"/>
      <c r="ADB70" s="13"/>
      <c r="ADC70" s="13"/>
      <c r="ADD70" s="13"/>
      <c r="ADE70" s="13"/>
      <c r="ADF70" s="13"/>
      <c r="ADG70" s="13"/>
      <c r="ADH70" s="13"/>
      <c r="ADI70" s="13"/>
      <c r="ADJ70" s="13"/>
      <c r="ADK70" s="13"/>
      <c r="ADL70" s="13"/>
      <c r="ADM70" s="13"/>
      <c r="ADN70" s="13"/>
      <c r="ADO70" s="13"/>
      <c r="ADP70" s="13"/>
      <c r="ADQ70" s="13"/>
      <c r="ADR70" s="13"/>
      <c r="ADS70" s="13"/>
      <c r="ADT70" s="13"/>
      <c r="ADU70" s="13"/>
      <c r="ADV70" s="13"/>
      <c r="ADW70" s="13"/>
      <c r="ADX70" s="13"/>
      <c r="ADY70" s="13"/>
      <c r="ADZ70" s="13"/>
      <c r="AEA70" s="13"/>
      <c r="AEB70" s="13"/>
      <c r="AEC70" s="13"/>
      <c r="AED70" s="13"/>
      <c r="AEE70" s="13"/>
      <c r="AEF70" s="13"/>
      <c r="AEG70" s="13"/>
      <c r="AEH70" s="13"/>
      <c r="AEI70" s="13"/>
      <c r="AEJ70" s="13"/>
      <c r="AEK70" s="13"/>
      <c r="AEL70" s="13"/>
      <c r="AEM70" s="13"/>
      <c r="AEN70" s="13"/>
      <c r="AEO70" s="13"/>
      <c r="AEP70" s="13"/>
      <c r="AEQ70" s="13"/>
      <c r="AER70" s="13"/>
      <c r="AES70" s="13"/>
      <c r="AET70" s="13"/>
      <c r="AEU70" s="13"/>
      <c r="AEV70" s="13"/>
      <c r="AEW70" s="13"/>
      <c r="AEX70" s="13"/>
      <c r="AEY70" s="13"/>
      <c r="AEZ70" s="13"/>
      <c r="AFA70" s="13"/>
      <c r="AFB70" s="13"/>
      <c r="AFC70" s="13"/>
      <c r="AFD70" s="13"/>
      <c r="AFE70" s="13"/>
      <c r="AFF70" s="13"/>
      <c r="AFG70" s="13"/>
      <c r="AFH70" s="13"/>
      <c r="AFI70" s="13"/>
      <c r="AFJ70" s="13"/>
      <c r="AFK70" s="13"/>
      <c r="AFL70" s="13"/>
      <c r="AFM70" s="13"/>
      <c r="AFN70" s="13"/>
      <c r="AFO70" s="13"/>
      <c r="AFP70" s="13"/>
      <c r="AFQ70" s="13"/>
      <c r="AFR70" s="13"/>
      <c r="AFS70" s="13"/>
      <c r="AFT70" s="13"/>
      <c r="AFU70" s="13"/>
      <c r="AFV70" s="13"/>
      <c r="AFW70" s="13"/>
      <c r="AFX70" s="13"/>
      <c r="AFY70" s="13"/>
      <c r="AFZ70" s="13"/>
      <c r="AGA70" s="13"/>
      <c r="AGB70" s="13"/>
      <c r="AGC70" s="13"/>
      <c r="AGD70" s="13"/>
      <c r="AGE70" s="13"/>
      <c r="AGF70" s="13"/>
      <c r="AGG70" s="13"/>
      <c r="AGH70" s="13"/>
      <c r="AGI70" s="13"/>
      <c r="AGJ70" s="13"/>
      <c r="AGK70" s="13"/>
      <c r="AGL70" s="13"/>
      <c r="AGM70" s="13"/>
      <c r="AGN70" s="13"/>
      <c r="AGO70" s="13"/>
      <c r="AGP70" s="13"/>
      <c r="AGQ70" s="13"/>
      <c r="AGR70" s="13"/>
      <c r="AGS70" s="13"/>
      <c r="AGT70" s="13"/>
      <c r="AGU70" s="13"/>
      <c r="AGV70" s="13"/>
      <c r="AGW70" s="13"/>
      <c r="AGX70" s="13"/>
      <c r="AGY70" s="13"/>
      <c r="AGZ70" s="13"/>
      <c r="AHA70" s="13"/>
      <c r="AHB70" s="13"/>
      <c r="AHC70" s="13"/>
      <c r="AHD70" s="13"/>
      <c r="AHE70" s="13"/>
      <c r="AHF70" s="13"/>
      <c r="AHG70" s="13"/>
      <c r="AHH70" s="13"/>
      <c r="AHI70" s="13"/>
      <c r="AHJ70" s="13"/>
      <c r="AHK70" s="13"/>
      <c r="AHL70" s="13"/>
      <c r="AHM70" s="13"/>
      <c r="AHN70" s="13"/>
      <c r="AHO70" s="13"/>
      <c r="AHP70" s="13"/>
      <c r="AHQ70" s="13"/>
      <c r="AHR70" s="13"/>
      <c r="AHS70" s="13"/>
      <c r="AHT70" s="13"/>
      <c r="AHU70" s="13"/>
      <c r="AHV70" s="13"/>
      <c r="AHW70" s="13"/>
      <c r="AHX70" s="13"/>
      <c r="AHY70" s="13"/>
      <c r="AHZ70" s="13"/>
      <c r="AIA70" s="13"/>
      <c r="AIB70" s="13"/>
      <c r="AIC70" s="13"/>
      <c r="AID70" s="13"/>
      <c r="AIE70" s="13"/>
      <c r="AIF70" s="13"/>
      <c r="AIG70" s="13"/>
      <c r="AIH70" s="13"/>
      <c r="AII70" s="13"/>
      <c r="AIJ70" s="13"/>
      <c r="AIK70" s="13"/>
      <c r="AIL70" s="13"/>
      <c r="AIM70" s="13"/>
      <c r="AIN70" s="13"/>
      <c r="AIO70" s="13"/>
      <c r="AIP70" s="13"/>
      <c r="AIQ70" s="13"/>
      <c r="AIR70" s="13"/>
      <c r="AIS70" s="13"/>
      <c r="AIT70" s="13"/>
      <c r="AIU70" s="13"/>
      <c r="AIV70" s="13"/>
      <c r="AIW70" s="13"/>
      <c r="AIX70" s="13"/>
      <c r="AIY70" s="13"/>
      <c r="AIZ70" s="13"/>
      <c r="AJA70" s="13"/>
      <c r="AJB70" s="13"/>
      <c r="AJC70" s="13"/>
      <c r="AJD70" s="13"/>
      <c r="AJE70" s="13"/>
      <c r="AJF70" s="13"/>
      <c r="AJG70" s="13"/>
      <c r="AJH70" s="13"/>
      <c r="AJI70" s="13"/>
      <c r="AJJ70" s="13"/>
      <c r="AJK70" s="13"/>
      <c r="AJL70" s="13"/>
      <c r="AJM70" s="13"/>
      <c r="AJN70" s="13"/>
      <c r="AJO70" s="13"/>
      <c r="AJP70" s="13"/>
      <c r="AJQ70" s="13"/>
      <c r="AJR70" s="13"/>
      <c r="AJS70" s="13"/>
      <c r="AJT70" s="13"/>
      <c r="AJU70" s="13"/>
      <c r="AJV70" s="13"/>
      <c r="AJW70" s="13"/>
      <c r="AJX70" s="13"/>
      <c r="AJY70" s="13"/>
      <c r="AJZ70" s="13"/>
      <c r="AKA70" s="13"/>
      <c r="AKB70" s="13"/>
      <c r="AKC70" s="13"/>
      <c r="AKD70" s="13"/>
      <c r="AKE70" s="13"/>
      <c r="AKF70" s="13"/>
      <c r="AKG70" s="13"/>
      <c r="AKH70" s="13"/>
      <c r="AKI70" s="13"/>
      <c r="AKJ70" s="13"/>
      <c r="AKK70" s="13"/>
      <c r="AKL70" s="13"/>
      <c r="AKM70" s="13"/>
      <c r="AKN70" s="13"/>
      <c r="AKO70" s="13"/>
      <c r="AKP70" s="13"/>
      <c r="AKQ70" s="13"/>
      <c r="AKR70" s="13"/>
      <c r="AKS70" s="13"/>
      <c r="AKT70" s="13"/>
      <c r="AKU70" s="13"/>
      <c r="AKV70" s="13"/>
      <c r="AKW70" s="13"/>
      <c r="AKX70" s="13"/>
      <c r="AKY70" s="13"/>
      <c r="AKZ70" s="13"/>
      <c r="ALA70" s="13"/>
      <c r="ALB70" s="13"/>
      <c r="ALC70" s="13"/>
      <c r="ALD70" s="13"/>
      <c r="ALE70" s="13"/>
      <c r="ALF70" s="13"/>
      <c r="ALG70" s="13"/>
      <c r="ALH70" s="13"/>
      <c r="ALI70" s="13"/>
      <c r="ALJ70" s="13"/>
      <c r="ALK70" s="13"/>
      <c r="ALL70" s="13"/>
      <c r="ALM70" s="13"/>
      <c r="ALN70" s="13"/>
      <c r="ALO70" s="13"/>
      <c r="ALP70" s="13"/>
      <c r="ALQ70" s="13"/>
      <c r="ALR70" s="13"/>
      <c r="ALS70" s="13"/>
      <c r="ALT70" s="13"/>
      <c r="ALU70" s="13"/>
      <c r="ALV70" s="13"/>
      <c r="ALW70" s="13"/>
      <c r="ALX70" s="13"/>
      <c r="ALY70" s="13"/>
      <c r="ALZ70" s="13"/>
      <c r="AMA70" s="13"/>
      <c r="AMB70" s="13"/>
      <c r="AMC70" s="13"/>
      <c r="AMD70" s="13"/>
      <c r="AME70" s="13"/>
      <c r="AMF70" s="13"/>
      <c r="AMG70" s="13"/>
      <c r="AMH70" s="13"/>
      <c r="AMI70" s="13"/>
      <c r="AMJ70" s="13"/>
      <c r="AMK70" s="13"/>
    </row>
    <row r="71" spans="1:1025" s="164" customFormat="1" ht="12.75" customHeight="1" thickBot="1" x14ac:dyDescent="0.25">
      <c r="A71" s="75" t="s">
        <v>56</v>
      </c>
      <c r="B71" s="46">
        <v>0</v>
      </c>
      <c r="C71" s="60">
        <v>9.9999999999999998E+37</v>
      </c>
      <c r="D71" s="76" t="s">
        <v>55</v>
      </c>
      <c r="E71" s="95" t="s">
        <v>49</v>
      </c>
      <c r="F71" s="8"/>
      <c r="G71" s="6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  <c r="OD71" s="13"/>
      <c r="OE71" s="13"/>
      <c r="OF71" s="13"/>
      <c r="OG71" s="13"/>
      <c r="OH71" s="13"/>
      <c r="OI71" s="13"/>
      <c r="OJ71" s="13"/>
      <c r="OK71" s="13"/>
      <c r="OL71" s="13"/>
      <c r="OM71" s="13"/>
      <c r="ON71" s="13"/>
      <c r="OO71" s="13"/>
      <c r="OP71" s="13"/>
      <c r="OQ71" s="13"/>
      <c r="OR71" s="13"/>
      <c r="OS71" s="13"/>
      <c r="OT71" s="13"/>
      <c r="OU71" s="13"/>
      <c r="OV71" s="13"/>
      <c r="OW71" s="13"/>
      <c r="OX71" s="13"/>
      <c r="OY71" s="13"/>
      <c r="OZ71" s="13"/>
      <c r="PA71" s="13"/>
      <c r="PB71" s="13"/>
      <c r="PC71" s="13"/>
      <c r="PD71" s="13"/>
      <c r="PE71" s="13"/>
      <c r="PF71" s="13"/>
      <c r="PG71" s="13"/>
      <c r="PH71" s="13"/>
      <c r="PI71" s="13"/>
      <c r="PJ71" s="13"/>
      <c r="PK71" s="13"/>
      <c r="PL71" s="13"/>
      <c r="PM71" s="13"/>
      <c r="PN71" s="13"/>
      <c r="PO71" s="13"/>
      <c r="PP71" s="13"/>
      <c r="PQ71" s="13"/>
      <c r="PR71" s="13"/>
      <c r="PS71" s="13"/>
      <c r="PT71" s="13"/>
      <c r="PU71" s="13"/>
      <c r="PV71" s="13"/>
      <c r="PW71" s="13"/>
      <c r="PX71" s="13"/>
      <c r="PY71" s="13"/>
      <c r="PZ71" s="13"/>
      <c r="QA71" s="13"/>
      <c r="QB71" s="13"/>
      <c r="QC71" s="13"/>
      <c r="QD71" s="13"/>
      <c r="QE71" s="13"/>
      <c r="QF71" s="13"/>
      <c r="QG71" s="13"/>
      <c r="QH71" s="13"/>
      <c r="QI71" s="13"/>
      <c r="QJ71" s="13"/>
      <c r="QK71" s="13"/>
      <c r="QL71" s="13"/>
      <c r="QM71" s="13"/>
      <c r="QN71" s="13"/>
      <c r="QO71" s="13"/>
      <c r="QP71" s="13"/>
      <c r="QQ71" s="13"/>
      <c r="QR71" s="13"/>
      <c r="QS71" s="13"/>
      <c r="QT71" s="13"/>
      <c r="QU71" s="13"/>
      <c r="QV71" s="13"/>
      <c r="QW71" s="13"/>
      <c r="QX71" s="13"/>
      <c r="QY71" s="13"/>
      <c r="QZ71" s="13"/>
      <c r="RA71" s="13"/>
      <c r="RB71" s="13"/>
      <c r="RC71" s="13"/>
      <c r="RD71" s="13"/>
      <c r="RE71" s="13"/>
      <c r="RF71" s="13"/>
      <c r="RG71" s="13"/>
      <c r="RH71" s="13"/>
      <c r="RI71" s="13"/>
      <c r="RJ71" s="13"/>
      <c r="RK71" s="13"/>
      <c r="RL71" s="13"/>
      <c r="RM71" s="13"/>
      <c r="RN71" s="13"/>
      <c r="RO71" s="13"/>
      <c r="RP71" s="13"/>
      <c r="RQ71" s="13"/>
      <c r="RR71" s="13"/>
      <c r="RS71" s="13"/>
      <c r="RT71" s="13"/>
      <c r="RU71" s="13"/>
      <c r="RV71" s="13"/>
      <c r="RW71" s="13"/>
      <c r="RX71" s="13"/>
      <c r="RY71" s="13"/>
      <c r="RZ71" s="13"/>
      <c r="SA71" s="13"/>
      <c r="SB71" s="13"/>
      <c r="SC71" s="13"/>
      <c r="SD71" s="13"/>
      <c r="SE71" s="13"/>
      <c r="SF71" s="13"/>
      <c r="SG71" s="13"/>
      <c r="SH71" s="13"/>
      <c r="SI71" s="13"/>
      <c r="SJ71" s="13"/>
      <c r="SK71" s="13"/>
      <c r="SL71" s="13"/>
      <c r="SM71" s="13"/>
      <c r="SN71" s="13"/>
      <c r="SO71" s="13"/>
      <c r="SP71" s="13"/>
      <c r="SQ71" s="13"/>
      <c r="SR71" s="13"/>
      <c r="SS71" s="13"/>
      <c r="ST71" s="13"/>
      <c r="SU71" s="13"/>
      <c r="SV71" s="13"/>
      <c r="SW71" s="13"/>
      <c r="SX71" s="13"/>
      <c r="SY71" s="13"/>
      <c r="SZ71" s="13"/>
      <c r="TA71" s="13"/>
      <c r="TB71" s="13"/>
      <c r="TC71" s="13"/>
      <c r="TD71" s="13"/>
      <c r="TE71" s="13"/>
      <c r="TF71" s="13"/>
      <c r="TG71" s="13"/>
      <c r="TH71" s="13"/>
      <c r="TI71" s="13"/>
      <c r="TJ71" s="13"/>
      <c r="TK71" s="13"/>
      <c r="TL71" s="13"/>
      <c r="TM71" s="13"/>
      <c r="TN71" s="13"/>
      <c r="TO71" s="13"/>
      <c r="TP71" s="13"/>
      <c r="TQ71" s="13"/>
      <c r="TR71" s="13"/>
      <c r="TS71" s="13"/>
      <c r="TT71" s="13"/>
      <c r="TU71" s="13"/>
      <c r="TV71" s="13"/>
      <c r="TW71" s="13"/>
      <c r="TX71" s="13"/>
      <c r="TY71" s="13"/>
      <c r="TZ71" s="13"/>
      <c r="UA71" s="13"/>
      <c r="UB71" s="13"/>
      <c r="UC71" s="13"/>
      <c r="UD71" s="13"/>
      <c r="UE71" s="13"/>
      <c r="UF71" s="13"/>
      <c r="UG71" s="13"/>
      <c r="UH71" s="13"/>
      <c r="UI71" s="13"/>
      <c r="UJ71" s="13"/>
      <c r="UK71" s="13"/>
      <c r="UL71" s="13"/>
      <c r="UM71" s="13"/>
      <c r="UN71" s="13"/>
      <c r="UO71" s="13"/>
      <c r="UP71" s="13"/>
      <c r="UQ71" s="13"/>
      <c r="UR71" s="13"/>
      <c r="US71" s="13"/>
      <c r="UT71" s="13"/>
      <c r="UU71" s="13"/>
      <c r="UV71" s="13"/>
      <c r="UW71" s="13"/>
      <c r="UX71" s="13"/>
      <c r="UY71" s="13"/>
      <c r="UZ71" s="13"/>
      <c r="VA71" s="13"/>
      <c r="VB71" s="13"/>
      <c r="VC71" s="13"/>
      <c r="VD71" s="13"/>
      <c r="VE71" s="13"/>
      <c r="VF71" s="13"/>
      <c r="VG71" s="13"/>
      <c r="VH71" s="13"/>
      <c r="VI71" s="13"/>
      <c r="VJ71" s="13"/>
      <c r="VK71" s="13"/>
      <c r="VL71" s="13"/>
      <c r="VM71" s="13"/>
      <c r="VN71" s="13"/>
      <c r="VO71" s="13"/>
      <c r="VP71" s="13"/>
      <c r="VQ71" s="13"/>
      <c r="VR71" s="13"/>
      <c r="VS71" s="13"/>
      <c r="VT71" s="13"/>
      <c r="VU71" s="13"/>
      <c r="VV71" s="13"/>
      <c r="VW71" s="13"/>
      <c r="VX71" s="13"/>
      <c r="VY71" s="13"/>
      <c r="VZ71" s="13"/>
      <c r="WA71" s="13"/>
      <c r="WB71" s="13"/>
      <c r="WC71" s="13"/>
      <c r="WD71" s="13"/>
      <c r="WE71" s="13"/>
      <c r="WF71" s="13"/>
      <c r="WG71" s="13"/>
      <c r="WH71" s="13"/>
      <c r="WI71" s="13"/>
      <c r="WJ71" s="13"/>
      <c r="WK71" s="13"/>
      <c r="WL71" s="13"/>
      <c r="WM71" s="13"/>
      <c r="WN71" s="13"/>
      <c r="WO71" s="13"/>
      <c r="WP71" s="13"/>
      <c r="WQ71" s="13"/>
      <c r="WR71" s="13"/>
      <c r="WS71" s="13"/>
      <c r="WT71" s="13"/>
      <c r="WU71" s="13"/>
      <c r="WV71" s="13"/>
      <c r="WW71" s="13"/>
      <c r="WX71" s="13"/>
      <c r="WY71" s="13"/>
      <c r="WZ71" s="13"/>
      <c r="XA71" s="13"/>
      <c r="XB71" s="13"/>
      <c r="XC71" s="13"/>
      <c r="XD71" s="13"/>
      <c r="XE71" s="13"/>
      <c r="XF71" s="13"/>
      <c r="XG71" s="13"/>
      <c r="XH71" s="13"/>
      <c r="XI71" s="13"/>
      <c r="XJ71" s="13"/>
      <c r="XK71" s="13"/>
      <c r="XL71" s="13"/>
      <c r="XM71" s="13"/>
      <c r="XN71" s="13"/>
      <c r="XO71" s="13"/>
      <c r="XP71" s="13"/>
      <c r="XQ71" s="13"/>
      <c r="XR71" s="13"/>
      <c r="XS71" s="13"/>
      <c r="XT71" s="13"/>
      <c r="XU71" s="13"/>
      <c r="XV71" s="13"/>
      <c r="XW71" s="13"/>
      <c r="XX71" s="13"/>
      <c r="XY71" s="13"/>
      <c r="XZ71" s="13"/>
      <c r="YA71" s="13"/>
      <c r="YB71" s="13"/>
      <c r="YC71" s="13"/>
      <c r="YD71" s="13"/>
      <c r="YE71" s="13"/>
      <c r="YF71" s="13"/>
      <c r="YG71" s="13"/>
      <c r="YH71" s="13"/>
      <c r="YI71" s="13"/>
      <c r="YJ71" s="13"/>
      <c r="YK71" s="13"/>
      <c r="YL71" s="13"/>
      <c r="YM71" s="13"/>
      <c r="YN71" s="13"/>
      <c r="YO71" s="13"/>
      <c r="YP71" s="13"/>
      <c r="YQ71" s="13"/>
      <c r="YR71" s="13"/>
      <c r="YS71" s="13"/>
      <c r="YT71" s="13"/>
      <c r="YU71" s="13"/>
      <c r="YV71" s="13"/>
      <c r="YW71" s="13"/>
      <c r="YX71" s="13"/>
      <c r="YY71" s="13"/>
      <c r="YZ71" s="13"/>
      <c r="ZA71" s="13"/>
      <c r="ZB71" s="13"/>
      <c r="ZC71" s="13"/>
      <c r="ZD71" s="13"/>
      <c r="ZE71" s="13"/>
      <c r="ZF71" s="13"/>
      <c r="ZG71" s="13"/>
      <c r="ZH71" s="13"/>
      <c r="ZI71" s="13"/>
      <c r="ZJ71" s="13"/>
      <c r="ZK71" s="13"/>
      <c r="ZL71" s="13"/>
      <c r="ZM71" s="13"/>
      <c r="ZN71" s="13"/>
      <c r="ZO71" s="13"/>
      <c r="ZP71" s="13"/>
      <c r="ZQ71" s="13"/>
      <c r="ZR71" s="13"/>
      <c r="ZS71" s="13"/>
      <c r="ZT71" s="13"/>
      <c r="ZU71" s="13"/>
      <c r="ZV71" s="13"/>
      <c r="ZW71" s="13"/>
      <c r="ZX71" s="13"/>
      <c r="ZY71" s="13"/>
      <c r="ZZ71" s="13"/>
      <c r="AAA71" s="13"/>
      <c r="AAB71" s="13"/>
      <c r="AAC71" s="13"/>
      <c r="AAD71" s="13"/>
      <c r="AAE71" s="13"/>
      <c r="AAF71" s="13"/>
      <c r="AAG71" s="13"/>
      <c r="AAH71" s="13"/>
      <c r="AAI71" s="13"/>
      <c r="AAJ71" s="13"/>
      <c r="AAK71" s="13"/>
      <c r="AAL71" s="13"/>
      <c r="AAM71" s="13"/>
      <c r="AAN71" s="13"/>
      <c r="AAO71" s="13"/>
      <c r="AAP71" s="13"/>
      <c r="AAQ71" s="13"/>
      <c r="AAR71" s="13"/>
      <c r="AAS71" s="13"/>
      <c r="AAT71" s="13"/>
      <c r="AAU71" s="13"/>
      <c r="AAV71" s="13"/>
      <c r="AAW71" s="13"/>
      <c r="AAX71" s="13"/>
      <c r="AAY71" s="13"/>
      <c r="AAZ71" s="13"/>
      <c r="ABA71" s="13"/>
      <c r="ABB71" s="13"/>
      <c r="ABC71" s="13"/>
      <c r="ABD71" s="13"/>
      <c r="ABE71" s="13"/>
      <c r="ABF71" s="13"/>
      <c r="ABG71" s="13"/>
      <c r="ABH71" s="13"/>
      <c r="ABI71" s="13"/>
      <c r="ABJ71" s="13"/>
      <c r="ABK71" s="13"/>
      <c r="ABL71" s="13"/>
      <c r="ABM71" s="13"/>
      <c r="ABN71" s="13"/>
      <c r="ABO71" s="13"/>
      <c r="ABP71" s="13"/>
      <c r="ABQ71" s="13"/>
      <c r="ABR71" s="13"/>
      <c r="ABS71" s="13"/>
      <c r="ABT71" s="13"/>
      <c r="ABU71" s="13"/>
      <c r="ABV71" s="13"/>
      <c r="ABW71" s="13"/>
      <c r="ABX71" s="13"/>
      <c r="ABY71" s="13"/>
      <c r="ABZ71" s="13"/>
      <c r="ACA71" s="13"/>
      <c r="ACB71" s="13"/>
      <c r="ACC71" s="13"/>
      <c r="ACD71" s="13"/>
      <c r="ACE71" s="13"/>
      <c r="ACF71" s="13"/>
      <c r="ACG71" s="13"/>
      <c r="ACH71" s="13"/>
      <c r="ACI71" s="13"/>
      <c r="ACJ71" s="13"/>
      <c r="ACK71" s="13"/>
      <c r="ACL71" s="13"/>
      <c r="ACM71" s="13"/>
      <c r="ACN71" s="13"/>
      <c r="ACO71" s="13"/>
      <c r="ACP71" s="13"/>
      <c r="ACQ71" s="13"/>
      <c r="ACR71" s="13"/>
      <c r="ACS71" s="13"/>
      <c r="ACT71" s="13"/>
      <c r="ACU71" s="13"/>
      <c r="ACV71" s="13"/>
      <c r="ACW71" s="13"/>
      <c r="ACX71" s="13"/>
      <c r="ACY71" s="13"/>
      <c r="ACZ71" s="13"/>
      <c r="ADA71" s="13"/>
      <c r="ADB71" s="13"/>
      <c r="ADC71" s="13"/>
      <c r="ADD71" s="13"/>
      <c r="ADE71" s="13"/>
      <c r="ADF71" s="13"/>
      <c r="ADG71" s="13"/>
      <c r="ADH71" s="13"/>
      <c r="ADI71" s="13"/>
      <c r="ADJ71" s="13"/>
      <c r="ADK71" s="13"/>
      <c r="ADL71" s="13"/>
      <c r="ADM71" s="13"/>
      <c r="ADN71" s="13"/>
      <c r="ADO71" s="13"/>
      <c r="ADP71" s="13"/>
      <c r="ADQ71" s="13"/>
      <c r="ADR71" s="13"/>
      <c r="ADS71" s="13"/>
      <c r="ADT71" s="13"/>
      <c r="ADU71" s="13"/>
      <c r="ADV71" s="13"/>
      <c r="ADW71" s="13"/>
      <c r="ADX71" s="13"/>
      <c r="ADY71" s="13"/>
      <c r="ADZ71" s="13"/>
      <c r="AEA71" s="13"/>
      <c r="AEB71" s="13"/>
      <c r="AEC71" s="13"/>
      <c r="AED71" s="13"/>
      <c r="AEE71" s="13"/>
      <c r="AEF71" s="13"/>
      <c r="AEG71" s="13"/>
      <c r="AEH71" s="13"/>
      <c r="AEI71" s="13"/>
      <c r="AEJ71" s="13"/>
      <c r="AEK71" s="13"/>
      <c r="AEL71" s="13"/>
      <c r="AEM71" s="13"/>
      <c r="AEN71" s="13"/>
      <c r="AEO71" s="13"/>
      <c r="AEP71" s="13"/>
      <c r="AEQ71" s="13"/>
      <c r="AER71" s="13"/>
      <c r="AES71" s="13"/>
      <c r="AET71" s="13"/>
      <c r="AEU71" s="13"/>
      <c r="AEV71" s="13"/>
      <c r="AEW71" s="13"/>
      <c r="AEX71" s="13"/>
      <c r="AEY71" s="13"/>
      <c r="AEZ71" s="13"/>
      <c r="AFA71" s="13"/>
      <c r="AFB71" s="13"/>
      <c r="AFC71" s="13"/>
      <c r="AFD71" s="13"/>
      <c r="AFE71" s="13"/>
      <c r="AFF71" s="13"/>
      <c r="AFG71" s="13"/>
      <c r="AFH71" s="13"/>
      <c r="AFI71" s="13"/>
      <c r="AFJ71" s="13"/>
      <c r="AFK71" s="13"/>
      <c r="AFL71" s="13"/>
      <c r="AFM71" s="13"/>
      <c r="AFN71" s="13"/>
      <c r="AFO71" s="13"/>
      <c r="AFP71" s="13"/>
      <c r="AFQ71" s="13"/>
      <c r="AFR71" s="13"/>
      <c r="AFS71" s="13"/>
      <c r="AFT71" s="13"/>
      <c r="AFU71" s="13"/>
      <c r="AFV71" s="13"/>
      <c r="AFW71" s="13"/>
      <c r="AFX71" s="13"/>
      <c r="AFY71" s="13"/>
      <c r="AFZ71" s="13"/>
      <c r="AGA71" s="13"/>
      <c r="AGB71" s="13"/>
      <c r="AGC71" s="13"/>
      <c r="AGD71" s="13"/>
      <c r="AGE71" s="13"/>
      <c r="AGF71" s="13"/>
      <c r="AGG71" s="13"/>
      <c r="AGH71" s="13"/>
      <c r="AGI71" s="13"/>
      <c r="AGJ71" s="13"/>
      <c r="AGK71" s="13"/>
      <c r="AGL71" s="13"/>
      <c r="AGM71" s="13"/>
      <c r="AGN71" s="13"/>
      <c r="AGO71" s="13"/>
      <c r="AGP71" s="13"/>
      <c r="AGQ71" s="13"/>
      <c r="AGR71" s="13"/>
      <c r="AGS71" s="13"/>
      <c r="AGT71" s="13"/>
      <c r="AGU71" s="13"/>
      <c r="AGV71" s="13"/>
      <c r="AGW71" s="13"/>
      <c r="AGX71" s="13"/>
      <c r="AGY71" s="13"/>
      <c r="AGZ71" s="13"/>
      <c r="AHA71" s="13"/>
      <c r="AHB71" s="13"/>
      <c r="AHC71" s="13"/>
      <c r="AHD71" s="13"/>
      <c r="AHE71" s="13"/>
      <c r="AHF71" s="13"/>
      <c r="AHG71" s="13"/>
      <c r="AHH71" s="13"/>
      <c r="AHI71" s="13"/>
      <c r="AHJ71" s="13"/>
      <c r="AHK71" s="13"/>
      <c r="AHL71" s="13"/>
      <c r="AHM71" s="13"/>
      <c r="AHN71" s="13"/>
      <c r="AHO71" s="13"/>
      <c r="AHP71" s="13"/>
      <c r="AHQ71" s="13"/>
      <c r="AHR71" s="13"/>
      <c r="AHS71" s="13"/>
      <c r="AHT71" s="13"/>
      <c r="AHU71" s="13"/>
      <c r="AHV71" s="13"/>
      <c r="AHW71" s="13"/>
      <c r="AHX71" s="13"/>
      <c r="AHY71" s="13"/>
      <c r="AHZ71" s="13"/>
      <c r="AIA71" s="13"/>
      <c r="AIB71" s="13"/>
      <c r="AIC71" s="13"/>
      <c r="AID71" s="13"/>
      <c r="AIE71" s="13"/>
      <c r="AIF71" s="13"/>
      <c r="AIG71" s="13"/>
      <c r="AIH71" s="13"/>
      <c r="AII71" s="13"/>
      <c r="AIJ71" s="13"/>
      <c r="AIK71" s="13"/>
      <c r="AIL71" s="13"/>
      <c r="AIM71" s="13"/>
      <c r="AIN71" s="13"/>
      <c r="AIO71" s="13"/>
      <c r="AIP71" s="13"/>
      <c r="AIQ71" s="13"/>
      <c r="AIR71" s="13"/>
      <c r="AIS71" s="13"/>
      <c r="AIT71" s="13"/>
      <c r="AIU71" s="13"/>
      <c r="AIV71" s="13"/>
      <c r="AIW71" s="13"/>
      <c r="AIX71" s="13"/>
      <c r="AIY71" s="13"/>
      <c r="AIZ71" s="13"/>
      <c r="AJA71" s="13"/>
      <c r="AJB71" s="13"/>
      <c r="AJC71" s="13"/>
      <c r="AJD71" s="13"/>
      <c r="AJE71" s="13"/>
      <c r="AJF71" s="13"/>
      <c r="AJG71" s="13"/>
      <c r="AJH71" s="13"/>
      <c r="AJI71" s="13"/>
      <c r="AJJ71" s="13"/>
      <c r="AJK71" s="13"/>
      <c r="AJL71" s="13"/>
      <c r="AJM71" s="13"/>
      <c r="AJN71" s="13"/>
      <c r="AJO71" s="13"/>
      <c r="AJP71" s="13"/>
      <c r="AJQ71" s="13"/>
      <c r="AJR71" s="13"/>
      <c r="AJS71" s="13"/>
      <c r="AJT71" s="13"/>
      <c r="AJU71" s="13"/>
      <c r="AJV71" s="13"/>
      <c r="AJW71" s="13"/>
      <c r="AJX71" s="13"/>
      <c r="AJY71" s="13"/>
      <c r="AJZ71" s="13"/>
      <c r="AKA71" s="13"/>
      <c r="AKB71" s="13"/>
      <c r="AKC71" s="13"/>
      <c r="AKD71" s="13"/>
      <c r="AKE71" s="13"/>
      <c r="AKF71" s="13"/>
      <c r="AKG71" s="13"/>
      <c r="AKH71" s="13"/>
      <c r="AKI71" s="13"/>
      <c r="AKJ71" s="13"/>
      <c r="AKK71" s="13"/>
      <c r="AKL71" s="13"/>
      <c r="AKM71" s="13"/>
      <c r="AKN71" s="13"/>
      <c r="AKO71" s="13"/>
      <c r="AKP71" s="13"/>
      <c r="AKQ71" s="13"/>
      <c r="AKR71" s="13"/>
      <c r="AKS71" s="13"/>
      <c r="AKT71" s="13"/>
      <c r="AKU71" s="13"/>
      <c r="AKV71" s="13"/>
      <c r="AKW71" s="13"/>
      <c r="AKX71" s="13"/>
      <c r="AKY71" s="13"/>
      <c r="AKZ71" s="13"/>
      <c r="ALA71" s="13"/>
      <c r="ALB71" s="13"/>
      <c r="ALC71" s="13"/>
      <c r="ALD71" s="13"/>
      <c r="ALE71" s="13"/>
      <c r="ALF71" s="13"/>
      <c r="ALG71" s="13"/>
      <c r="ALH71" s="13"/>
      <c r="ALI71" s="13"/>
      <c r="ALJ71" s="13"/>
      <c r="ALK71" s="13"/>
      <c r="ALL71" s="13"/>
      <c r="ALM71" s="13"/>
      <c r="ALN71" s="13"/>
      <c r="ALO71" s="13"/>
      <c r="ALP71" s="13"/>
      <c r="ALQ71" s="13"/>
      <c r="ALR71" s="13"/>
      <c r="ALS71" s="13"/>
      <c r="ALT71" s="13"/>
      <c r="ALU71" s="13"/>
      <c r="ALV71" s="13"/>
      <c r="ALW71" s="13"/>
      <c r="ALX71" s="13"/>
      <c r="ALY71" s="13"/>
      <c r="ALZ71" s="13"/>
      <c r="AMA71" s="13"/>
      <c r="AMB71" s="13"/>
      <c r="AMC71" s="13"/>
      <c r="AMD71" s="13"/>
      <c r="AME71" s="13"/>
      <c r="AMF71" s="13"/>
      <c r="AMG71" s="13"/>
      <c r="AMH71" s="13"/>
      <c r="AMI71" s="13"/>
      <c r="AMJ71" s="13"/>
      <c r="AMK71" s="13"/>
    </row>
    <row r="72" spans="1:1025" s="164" customFormat="1" ht="12.75" customHeight="1" x14ac:dyDescent="0.2">
      <c r="A72" s="78" t="s">
        <v>57</v>
      </c>
      <c r="B72" s="79" t="s">
        <v>58</v>
      </c>
      <c r="C72" s="79" t="s">
        <v>53</v>
      </c>
      <c r="D72" s="80"/>
      <c r="E72" s="80"/>
      <c r="F72" s="90"/>
      <c r="G72" s="6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  <c r="LU72" s="13"/>
      <c r="LV72" s="13"/>
      <c r="LW72" s="13"/>
      <c r="LX72" s="13"/>
      <c r="LY72" s="13"/>
      <c r="LZ72" s="13"/>
      <c r="MA72" s="13"/>
      <c r="MB72" s="13"/>
      <c r="MC72" s="13"/>
      <c r="MD72" s="13"/>
      <c r="ME72" s="13"/>
      <c r="MF72" s="13"/>
      <c r="MG72" s="13"/>
      <c r="MH72" s="13"/>
      <c r="MI72" s="13"/>
      <c r="MJ72" s="13"/>
      <c r="MK72" s="13"/>
      <c r="ML72" s="13"/>
      <c r="MM72" s="13"/>
      <c r="MN72" s="13"/>
      <c r="MO72" s="13"/>
      <c r="MP72" s="13"/>
      <c r="MQ72" s="13"/>
      <c r="MR72" s="13"/>
      <c r="MS72" s="13"/>
      <c r="MT72" s="13"/>
      <c r="MU72" s="13"/>
      <c r="MV72" s="13"/>
      <c r="MW72" s="13"/>
      <c r="MX72" s="13"/>
      <c r="MY72" s="13"/>
      <c r="MZ72" s="13"/>
      <c r="NA72" s="13"/>
      <c r="NB72" s="13"/>
      <c r="NC72" s="13"/>
      <c r="ND72" s="13"/>
      <c r="NE72" s="13"/>
      <c r="NF72" s="13"/>
      <c r="NG72" s="13"/>
      <c r="NH72" s="13"/>
      <c r="NI72" s="13"/>
      <c r="NJ72" s="13"/>
      <c r="NK72" s="13"/>
      <c r="NL72" s="13"/>
      <c r="NM72" s="13"/>
      <c r="NN72" s="13"/>
      <c r="NO72" s="13"/>
      <c r="NP72" s="13"/>
      <c r="NQ72" s="13"/>
      <c r="NR72" s="13"/>
      <c r="NS72" s="13"/>
      <c r="NT72" s="13"/>
      <c r="NU72" s="13"/>
      <c r="NV72" s="13"/>
      <c r="NW72" s="13"/>
      <c r="NX72" s="13"/>
      <c r="NY72" s="13"/>
      <c r="NZ72" s="13"/>
      <c r="OA72" s="13"/>
      <c r="OB72" s="13"/>
      <c r="OC72" s="13"/>
      <c r="OD72" s="13"/>
      <c r="OE72" s="13"/>
      <c r="OF72" s="13"/>
      <c r="OG72" s="13"/>
      <c r="OH72" s="13"/>
      <c r="OI72" s="13"/>
      <c r="OJ72" s="13"/>
      <c r="OK72" s="13"/>
      <c r="OL72" s="13"/>
      <c r="OM72" s="13"/>
      <c r="ON72" s="13"/>
      <c r="OO72" s="13"/>
      <c r="OP72" s="13"/>
      <c r="OQ72" s="13"/>
      <c r="OR72" s="13"/>
      <c r="OS72" s="13"/>
      <c r="OT72" s="13"/>
      <c r="OU72" s="13"/>
      <c r="OV72" s="13"/>
      <c r="OW72" s="13"/>
      <c r="OX72" s="13"/>
      <c r="OY72" s="13"/>
      <c r="OZ72" s="13"/>
      <c r="PA72" s="13"/>
      <c r="PB72" s="13"/>
      <c r="PC72" s="13"/>
      <c r="PD72" s="13"/>
      <c r="PE72" s="13"/>
      <c r="PF72" s="13"/>
      <c r="PG72" s="13"/>
      <c r="PH72" s="13"/>
      <c r="PI72" s="13"/>
      <c r="PJ72" s="13"/>
      <c r="PK72" s="13"/>
      <c r="PL72" s="13"/>
      <c r="PM72" s="13"/>
      <c r="PN72" s="13"/>
      <c r="PO72" s="13"/>
      <c r="PP72" s="13"/>
      <c r="PQ72" s="13"/>
      <c r="PR72" s="13"/>
      <c r="PS72" s="13"/>
      <c r="PT72" s="13"/>
      <c r="PU72" s="13"/>
      <c r="PV72" s="13"/>
      <c r="PW72" s="13"/>
      <c r="PX72" s="13"/>
      <c r="PY72" s="13"/>
      <c r="PZ72" s="13"/>
      <c r="QA72" s="13"/>
      <c r="QB72" s="13"/>
      <c r="QC72" s="13"/>
      <c r="QD72" s="13"/>
      <c r="QE72" s="13"/>
      <c r="QF72" s="13"/>
      <c r="QG72" s="13"/>
      <c r="QH72" s="13"/>
      <c r="QI72" s="13"/>
      <c r="QJ72" s="13"/>
      <c r="QK72" s="13"/>
      <c r="QL72" s="13"/>
      <c r="QM72" s="13"/>
      <c r="QN72" s="13"/>
      <c r="QO72" s="13"/>
      <c r="QP72" s="13"/>
      <c r="QQ72" s="13"/>
      <c r="QR72" s="13"/>
      <c r="QS72" s="13"/>
      <c r="QT72" s="13"/>
      <c r="QU72" s="13"/>
      <c r="QV72" s="13"/>
      <c r="QW72" s="13"/>
      <c r="QX72" s="13"/>
      <c r="QY72" s="13"/>
      <c r="QZ72" s="13"/>
      <c r="RA72" s="13"/>
      <c r="RB72" s="13"/>
      <c r="RC72" s="13"/>
      <c r="RD72" s="13"/>
      <c r="RE72" s="13"/>
      <c r="RF72" s="13"/>
      <c r="RG72" s="13"/>
      <c r="RH72" s="13"/>
      <c r="RI72" s="13"/>
      <c r="RJ72" s="13"/>
      <c r="RK72" s="13"/>
      <c r="RL72" s="13"/>
      <c r="RM72" s="13"/>
      <c r="RN72" s="13"/>
      <c r="RO72" s="13"/>
      <c r="RP72" s="13"/>
      <c r="RQ72" s="13"/>
      <c r="RR72" s="13"/>
      <c r="RS72" s="13"/>
      <c r="RT72" s="13"/>
      <c r="RU72" s="13"/>
      <c r="RV72" s="13"/>
      <c r="RW72" s="13"/>
      <c r="RX72" s="13"/>
      <c r="RY72" s="13"/>
      <c r="RZ72" s="13"/>
      <c r="SA72" s="13"/>
      <c r="SB72" s="13"/>
      <c r="SC72" s="13"/>
      <c r="SD72" s="13"/>
      <c r="SE72" s="13"/>
      <c r="SF72" s="13"/>
      <c r="SG72" s="13"/>
      <c r="SH72" s="13"/>
      <c r="SI72" s="13"/>
      <c r="SJ72" s="13"/>
      <c r="SK72" s="13"/>
      <c r="SL72" s="13"/>
      <c r="SM72" s="13"/>
      <c r="SN72" s="13"/>
      <c r="SO72" s="13"/>
      <c r="SP72" s="13"/>
      <c r="SQ72" s="13"/>
      <c r="SR72" s="13"/>
      <c r="SS72" s="13"/>
      <c r="ST72" s="13"/>
      <c r="SU72" s="13"/>
      <c r="SV72" s="13"/>
      <c r="SW72" s="13"/>
      <c r="SX72" s="13"/>
      <c r="SY72" s="13"/>
      <c r="SZ72" s="13"/>
      <c r="TA72" s="13"/>
      <c r="TB72" s="13"/>
      <c r="TC72" s="13"/>
      <c r="TD72" s="13"/>
      <c r="TE72" s="13"/>
      <c r="TF72" s="13"/>
      <c r="TG72" s="13"/>
      <c r="TH72" s="13"/>
      <c r="TI72" s="13"/>
      <c r="TJ72" s="13"/>
      <c r="TK72" s="13"/>
      <c r="TL72" s="13"/>
      <c r="TM72" s="13"/>
      <c r="TN72" s="13"/>
      <c r="TO72" s="13"/>
      <c r="TP72" s="13"/>
      <c r="TQ72" s="13"/>
      <c r="TR72" s="13"/>
      <c r="TS72" s="13"/>
      <c r="TT72" s="13"/>
      <c r="TU72" s="13"/>
      <c r="TV72" s="13"/>
      <c r="TW72" s="13"/>
      <c r="TX72" s="13"/>
      <c r="TY72" s="13"/>
      <c r="TZ72" s="13"/>
      <c r="UA72" s="13"/>
      <c r="UB72" s="13"/>
      <c r="UC72" s="13"/>
      <c r="UD72" s="13"/>
      <c r="UE72" s="13"/>
      <c r="UF72" s="13"/>
      <c r="UG72" s="13"/>
      <c r="UH72" s="13"/>
      <c r="UI72" s="13"/>
      <c r="UJ72" s="13"/>
      <c r="UK72" s="13"/>
      <c r="UL72" s="13"/>
      <c r="UM72" s="13"/>
      <c r="UN72" s="13"/>
      <c r="UO72" s="13"/>
      <c r="UP72" s="13"/>
      <c r="UQ72" s="13"/>
      <c r="UR72" s="13"/>
      <c r="US72" s="13"/>
      <c r="UT72" s="13"/>
      <c r="UU72" s="13"/>
      <c r="UV72" s="13"/>
      <c r="UW72" s="13"/>
      <c r="UX72" s="13"/>
      <c r="UY72" s="13"/>
      <c r="UZ72" s="13"/>
      <c r="VA72" s="13"/>
      <c r="VB72" s="13"/>
      <c r="VC72" s="13"/>
      <c r="VD72" s="13"/>
      <c r="VE72" s="13"/>
      <c r="VF72" s="13"/>
      <c r="VG72" s="13"/>
      <c r="VH72" s="13"/>
      <c r="VI72" s="13"/>
      <c r="VJ72" s="13"/>
      <c r="VK72" s="13"/>
      <c r="VL72" s="13"/>
      <c r="VM72" s="13"/>
      <c r="VN72" s="13"/>
      <c r="VO72" s="13"/>
      <c r="VP72" s="13"/>
      <c r="VQ72" s="13"/>
      <c r="VR72" s="13"/>
      <c r="VS72" s="13"/>
      <c r="VT72" s="13"/>
      <c r="VU72" s="13"/>
      <c r="VV72" s="13"/>
      <c r="VW72" s="13"/>
      <c r="VX72" s="13"/>
      <c r="VY72" s="13"/>
      <c r="VZ72" s="13"/>
      <c r="WA72" s="13"/>
      <c r="WB72" s="13"/>
      <c r="WC72" s="13"/>
      <c r="WD72" s="13"/>
      <c r="WE72" s="13"/>
      <c r="WF72" s="13"/>
      <c r="WG72" s="13"/>
      <c r="WH72" s="13"/>
      <c r="WI72" s="13"/>
      <c r="WJ72" s="13"/>
      <c r="WK72" s="13"/>
      <c r="WL72" s="13"/>
      <c r="WM72" s="13"/>
      <c r="WN72" s="13"/>
      <c r="WO72" s="13"/>
      <c r="WP72" s="13"/>
      <c r="WQ72" s="13"/>
      <c r="WR72" s="13"/>
      <c r="WS72" s="13"/>
      <c r="WT72" s="13"/>
      <c r="WU72" s="13"/>
      <c r="WV72" s="13"/>
      <c r="WW72" s="13"/>
      <c r="WX72" s="13"/>
      <c r="WY72" s="13"/>
      <c r="WZ72" s="13"/>
      <c r="XA72" s="13"/>
      <c r="XB72" s="13"/>
      <c r="XC72" s="13"/>
      <c r="XD72" s="13"/>
      <c r="XE72" s="13"/>
      <c r="XF72" s="13"/>
      <c r="XG72" s="13"/>
      <c r="XH72" s="13"/>
      <c r="XI72" s="13"/>
      <c r="XJ72" s="13"/>
      <c r="XK72" s="13"/>
      <c r="XL72" s="13"/>
      <c r="XM72" s="13"/>
      <c r="XN72" s="13"/>
      <c r="XO72" s="13"/>
      <c r="XP72" s="13"/>
      <c r="XQ72" s="13"/>
      <c r="XR72" s="13"/>
      <c r="XS72" s="13"/>
      <c r="XT72" s="13"/>
      <c r="XU72" s="13"/>
      <c r="XV72" s="13"/>
      <c r="XW72" s="13"/>
      <c r="XX72" s="13"/>
      <c r="XY72" s="13"/>
      <c r="XZ72" s="13"/>
      <c r="YA72" s="13"/>
      <c r="YB72" s="13"/>
      <c r="YC72" s="13"/>
      <c r="YD72" s="13"/>
      <c r="YE72" s="13"/>
      <c r="YF72" s="13"/>
      <c r="YG72" s="13"/>
      <c r="YH72" s="13"/>
      <c r="YI72" s="13"/>
      <c r="YJ72" s="13"/>
      <c r="YK72" s="13"/>
      <c r="YL72" s="13"/>
      <c r="YM72" s="13"/>
      <c r="YN72" s="13"/>
      <c r="YO72" s="13"/>
      <c r="YP72" s="13"/>
      <c r="YQ72" s="13"/>
      <c r="YR72" s="13"/>
      <c r="YS72" s="13"/>
      <c r="YT72" s="13"/>
      <c r="YU72" s="13"/>
      <c r="YV72" s="13"/>
      <c r="YW72" s="13"/>
      <c r="YX72" s="13"/>
      <c r="YY72" s="13"/>
      <c r="YZ72" s="13"/>
      <c r="ZA72" s="13"/>
      <c r="ZB72" s="13"/>
      <c r="ZC72" s="13"/>
      <c r="ZD72" s="13"/>
      <c r="ZE72" s="13"/>
      <c r="ZF72" s="13"/>
      <c r="ZG72" s="13"/>
      <c r="ZH72" s="13"/>
      <c r="ZI72" s="13"/>
      <c r="ZJ72" s="13"/>
      <c r="ZK72" s="13"/>
      <c r="ZL72" s="13"/>
      <c r="ZM72" s="13"/>
      <c r="ZN72" s="13"/>
      <c r="ZO72" s="13"/>
      <c r="ZP72" s="13"/>
      <c r="ZQ72" s="13"/>
      <c r="ZR72" s="13"/>
      <c r="ZS72" s="13"/>
      <c r="ZT72" s="13"/>
      <c r="ZU72" s="13"/>
      <c r="ZV72" s="13"/>
      <c r="ZW72" s="13"/>
      <c r="ZX72" s="13"/>
      <c r="ZY72" s="13"/>
      <c r="ZZ72" s="13"/>
      <c r="AAA72" s="13"/>
      <c r="AAB72" s="13"/>
      <c r="AAC72" s="13"/>
      <c r="AAD72" s="13"/>
      <c r="AAE72" s="13"/>
      <c r="AAF72" s="13"/>
      <c r="AAG72" s="13"/>
      <c r="AAH72" s="13"/>
      <c r="AAI72" s="13"/>
      <c r="AAJ72" s="13"/>
      <c r="AAK72" s="13"/>
      <c r="AAL72" s="13"/>
      <c r="AAM72" s="13"/>
      <c r="AAN72" s="13"/>
      <c r="AAO72" s="13"/>
      <c r="AAP72" s="13"/>
      <c r="AAQ72" s="13"/>
      <c r="AAR72" s="13"/>
      <c r="AAS72" s="13"/>
      <c r="AAT72" s="13"/>
      <c r="AAU72" s="13"/>
      <c r="AAV72" s="13"/>
      <c r="AAW72" s="13"/>
      <c r="AAX72" s="13"/>
      <c r="AAY72" s="13"/>
      <c r="AAZ72" s="13"/>
      <c r="ABA72" s="13"/>
      <c r="ABB72" s="13"/>
      <c r="ABC72" s="13"/>
      <c r="ABD72" s="13"/>
      <c r="ABE72" s="13"/>
      <c r="ABF72" s="13"/>
      <c r="ABG72" s="13"/>
      <c r="ABH72" s="13"/>
      <c r="ABI72" s="13"/>
      <c r="ABJ72" s="13"/>
      <c r="ABK72" s="13"/>
      <c r="ABL72" s="13"/>
      <c r="ABM72" s="13"/>
      <c r="ABN72" s="13"/>
      <c r="ABO72" s="13"/>
      <c r="ABP72" s="13"/>
      <c r="ABQ72" s="13"/>
      <c r="ABR72" s="13"/>
      <c r="ABS72" s="13"/>
      <c r="ABT72" s="13"/>
      <c r="ABU72" s="13"/>
      <c r="ABV72" s="13"/>
      <c r="ABW72" s="13"/>
      <c r="ABX72" s="13"/>
      <c r="ABY72" s="13"/>
      <c r="ABZ72" s="13"/>
      <c r="ACA72" s="13"/>
      <c r="ACB72" s="13"/>
      <c r="ACC72" s="13"/>
      <c r="ACD72" s="13"/>
      <c r="ACE72" s="13"/>
      <c r="ACF72" s="13"/>
      <c r="ACG72" s="13"/>
      <c r="ACH72" s="13"/>
      <c r="ACI72" s="13"/>
      <c r="ACJ72" s="13"/>
      <c r="ACK72" s="13"/>
      <c r="ACL72" s="13"/>
      <c r="ACM72" s="13"/>
      <c r="ACN72" s="13"/>
      <c r="ACO72" s="13"/>
      <c r="ACP72" s="13"/>
      <c r="ACQ72" s="13"/>
      <c r="ACR72" s="13"/>
      <c r="ACS72" s="13"/>
      <c r="ACT72" s="13"/>
      <c r="ACU72" s="13"/>
      <c r="ACV72" s="13"/>
      <c r="ACW72" s="13"/>
      <c r="ACX72" s="13"/>
      <c r="ACY72" s="13"/>
      <c r="ACZ72" s="13"/>
      <c r="ADA72" s="13"/>
      <c r="ADB72" s="13"/>
      <c r="ADC72" s="13"/>
      <c r="ADD72" s="13"/>
      <c r="ADE72" s="13"/>
      <c r="ADF72" s="13"/>
      <c r="ADG72" s="13"/>
      <c r="ADH72" s="13"/>
      <c r="ADI72" s="13"/>
      <c r="ADJ72" s="13"/>
      <c r="ADK72" s="13"/>
      <c r="ADL72" s="13"/>
      <c r="ADM72" s="13"/>
      <c r="ADN72" s="13"/>
      <c r="ADO72" s="13"/>
      <c r="ADP72" s="13"/>
      <c r="ADQ72" s="13"/>
      <c r="ADR72" s="13"/>
      <c r="ADS72" s="13"/>
      <c r="ADT72" s="13"/>
      <c r="ADU72" s="13"/>
      <c r="ADV72" s="13"/>
      <c r="ADW72" s="13"/>
      <c r="ADX72" s="13"/>
      <c r="ADY72" s="13"/>
      <c r="ADZ72" s="13"/>
      <c r="AEA72" s="13"/>
      <c r="AEB72" s="13"/>
      <c r="AEC72" s="13"/>
      <c r="AED72" s="13"/>
      <c r="AEE72" s="13"/>
      <c r="AEF72" s="13"/>
      <c r="AEG72" s="13"/>
      <c r="AEH72" s="13"/>
      <c r="AEI72" s="13"/>
      <c r="AEJ72" s="13"/>
      <c r="AEK72" s="13"/>
      <c r="AEL72" s="13"/>
      <c r="AEM72" s="13"/>
      <c r="AEN72" s="13"/>
      <c r="AEO72" s="13"/>
      <c r="AEP72" s="13"/>
      <c r="AEQ72" s="13"/>
      <c r="AER72" s="13"/>
      <c r="AES72" s="13"/>
      <c r="AET72" s="13"/>
      <c r="AEU72" s="13"/>
      <c r="AEV72" s="13"/>
      <c r="AEW72" s="13"/>
      <c r="AEX72" s="13"/>
      <c r="AEY72" s="13"/>
      <c r="AEZ72" s="13"/>
      <c r="AFA72" s="13"/>
      <c r="AFB72" s="13"/>
      <c r="AFC72" s="13"/>
      <c r="AFD72" s="13"/>
      <c r="AFE72" s="13"/>
      <c r="AFF72" s="13"/>
      <c r="AFG72" s="13"/>
      <c r="AFH72" s="13"/>
      <c r="AFI72" s="13"/>
      <c r="AFJ72" s="13"/>
      <c r="AFK72" s="13"/>
      <c r="AFL72" s="13"/>
      <c r="AFM72" s="13"/>
      <c r="AFN72" s="13"/>
      <c r="AFO72" s="13"/>
      <c r="AFP72" s="13"/>
      <c r="AFQ72" s="13"/>
      <c r="AFR72" s="13"/>
      <c r="AFS72" s="13"/>
      <c r="AFT72" s="13"/>
      <c r="AFU72" s="13"/>
      <c r="AFV72" s="13"/>
      <c r="AFW72" s="13"/>
      <c r="AFX72" s="13"/>
      <c r="AFY72" s="13"/>
      <c r="AFZ72" s="13"/>
      <c r="AGA72" s="13"/>
      <c r="AGB72" s="13"/>
      <c r="AGC72" s="13"/>
      <c r="AGD72" s="13"/>
      <c r="AGE72" s="13"/>
      <c r="AGF72" s="13"/>
      <c r="AGG72" s="13"/>
      <c r="AGH72" s="13"/>
      <c r="AGI72" s="13"/>
      <c r="AGJ72" s="13"/>
      <c r="AGK72" s="13"/>
      <c r="AGL72" s="13"/>
      <c r="AGM72" s="13"/>
      <c r="AGN72" s="13"/>
      <c r="AGO72" s="13"/>
      <c r="AGP72" s="13"/>
      <c r="AGQ72" s="13"/>
      <c r="AGR72" s="13"/>
      <c r="AGS72" s="13"/>
      <c r="AGT72" s="13"/>
      <c r="AGU72" s="13"/>
      <c r="AGV72" s="13"/>
      <c r="AGW72" s="13"/>
      <c r="AGX72" s="13"/>
      <c r="AGY72" s="13"/>
      <c r="AGZ72" s="13"/>
      <c r="AHA72" s="13"/>
      <c r="AHB72" s="13"/>
      <c r="AHC72" s="13"/>
      <c r="AHD72" s="13"/>
      <c r="AHE72" s="13"/>
      <c r="AHF72" s="13"/>
      <c r="AHG72" s="13"/>
      <c r="AHH72" s="13"/>
      <c r="AHI72" s="13"/>
      <c r="AHJ72" s="13"/>
      <c r="AHK72" s="13"/>
      <c r="AHL72" s="13"/>
      <c r="AHM72" s="13"/>
      <c r="AHN72" s="13"/>
      <c r="AHO72" s="13"/>
      <c r="AHP72" s="13"/>
      <c r="AHQ72" s="13"/>
      <c r="AHR72" s="13"/>
      <c r="AHS72" s="13"/>
      <c r="AHT72" s="13"/>
      <c r="AHU72" s="13"/>
      <c r="AHV72" s="13"/>
      <c r="AHW72" s="13"/>
      <c r="AHX72" s="13"/>
      <c r="AHY72" s="13"/>
      <c r="AHZ72" s="13"/>
      <c r="AIA72" s="13"/>
      <c r="AIB72" s="13"/>
      <c r="AIC72" s="13"/>
      <c r="AID72" s="13"/>
      <c r="AIE72" s="13"/>
      <c r="AIF72" s="13"/>
      <c r="AIG72" s="13"/>
      <c r="AIH72" s="13"/>
      <c r="AII72" s="13"/>
      <c r="AIJ72" s="13"/>
      <c r="AIK72" s="13"/>
      <c r="AIL72" s="13"/>
      <c r="AIM72" s="13"/>
      <c r="AIN72" s="13"/>
      <c r="AIO72" s="13"/>
      <c r="AIP72" s="13"/>
      <c r="AIQ72" s="13"/>
      <c r="AIR72" s="13"/>
      <c r="AIS72" s="13"/>
      <c r="AIT72" s="13"/>
      <c r="AIU72" s="13"/>
      <c r="AIV72" s="13"/>
      <c r="AIW72" s="13"/>
      <c r="AIX72" s="13"/>
      <c r="AIY72" s="13"/>
      <c r="AIZ72" s="13"/>
      <c r="AJA72" s="13"/>
      <c r="AJB72" s="13"/>
      <c r="AJC72" s="13"/>
      <c r="AJD72" s="13"/>
      <c r="AJE72" s="13"/>
      <c r="AJF72" s="13"/>
      <c r="AJG72" s="13"/>
      <c r="AJH72" s="13"/>
      <c r="AJI72" s="13"/>
      <c r="AJJ72" s="13"/>
      <c r="AJK72" s="13"/>
      <c r="AJL72" s="13"/>
      <c r="AJM72" s="13"/>
      <c r="AJN72" s="13"/>
      <c r="AJO72" s="13"/>
      <c r="AJP72" s="13"/>
      <c r="AJQ72" s="13"/>
      <c r="AJR72" s="13"/>
      <c r="AJS72" s="13"/>
      <c r="AJT72" s="13"/>
      <c r="AJU72" s="13"/>
      <c r="AJV72" s="13"/>
      <c r="AJW72" s="13"/>
      <c r="AJX72" s="13"/>
      <c r="AJY72" s="13"/>
      <c r="AJZ72" s="13"/>
      <c r="AKA72" s="13"/>
      <c r="AKB72" s="13"/>
      <c r="AKC72" s="13"/>
      <c r="AKD72" s="13"/>
      <c r="AKE72" s="13"/>
      <c r="AKF72" s="13"/>
      <c r="AKG72" s="13"/>
      <c r="AKH72" s="13"/>
      <c r="AKI72" s="13"/>
      <c r="AKJ72" s="13"/>
      <c r="AKK72" s="13"/>
      <c r="AKL72" s="13"/>
      <c r="AKM72" s="13"/>
      <c r="AKN72" s="13"/>
      <c r="AKO72" s="13"/>
      <c r="AKP72" s="13"/>
      <c r="AKQ72" s="13"/>
      <c r="AKR72" s="13"/>
      <c r="AKS72" s="13"/>
      <c r="AKT72" s="13"/>
      <c r="AKU72" s="13"/>
      <c r="AKV72" s="13"/>
      <c r="AKW72" s="13"/>
      <c r="AKX72" s="13"/>
      <c r="AKY72" s="13"/>
      <c r="AKZ72" s="13"/>
      <c r="ALA72" s="13"/>
      <c r="ALB72" s="13"/>
      <c r="ALC72" s="13"/>
      <c r="ALD72" s="13"/>
      <c r="ALE72" s="13"/>
      <c r="ALF72" s="13"/>
      <c r="ALG72" s="13"/>
      <c r="ALH72" s="13"/>
      <c r="ALI72" s="13"/>
      <c r="ALJ72" s="13"/>
      <c r="ALK72" s="13"/>
      <c r="ALL72" s="13"/>
      <c r="ALM72" s="13"/>
      <c r="ALN72" s="13"/>
      <c r="ALO72" s="13"/>
      <c r="ALP72" s="13"/>
      <c r="ALQ72" s="13"/>
      <c r="ALR72" s="13"/>
      <c r="ALS72" s="13"/>
      <c r="ALT72" s="13"/>
      <c r="ALU72" s="13"/>
      <c r="ALV72" s="13"/>
      <c r="ALW72" s="13"/>
      <c r="ALX72" s="13"/>
      <c r="ALY72" s="13"/>
      <c r="ALZ72" s="13"/>
      <c r="AMA72" s="13"/>
      <c r="AMB72" s="13"/>
      <c r="AMC72" s="13"/>
      <c r="AMD72" s="13"/>
      <c r="AME72" s="13"/>
      <c r="AMF72" s="13"/>
      <c r="AMG72" s="13"/>
      <c r="AMH72" s="13"/>
      <c r="AMI72" s="13"/>
      <c r="AMJ72" s="13"/>
      <c r="AMK72" s="13"/>
    </row>
    <row r="73" spans="1:1025" s="133" customFormat="1" ht="12.75" customHeight="1" x14ac:dyDescent="0.2">
      <c r="A73" s="75" t="s">
        <v>59</v>
      </c>
      <c r="B73" s="46">
        <v>0</v>
      </c>
      <c r="C73" s="60">
        <v>9.9999999999999998E+37</v>
      </c>
      <c r="D73" s="76" t="s">
        <v>55</v>
      </c>
      <c r="E73" s="95" t="s">
        <v>55</v>
      </c>
      <c r="F73" s="63"/>
      <c r="G73" s="6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  <c r="KO73" s="13"/>
      <c r="KP73" s="13"/>
      <c r="KQ73" s="13"/>
      <c r="KR73" s="13"/>
      <c r="KS73" s="13"/>
      <c r="KT73" s="13"/>
      <c r="KU73" s="13"/>
      <c r="KV73" s="13"/>
      <c r="KW73" s="13"/>
      <c r="KX73" s="13"/>
      <c r="KY73" s="13"/>
      <c r="KZ73" s="13"/>
      <c r="LA73" s="13"/>
      <c r="LB73" s="13"/>
      <c r="LC73" s="13"/>
      <c r="LD73" s="13"/>
      <c r="LE73" s="13"/>
      <c r="LF73" s="13"/>
      <c r="LG73" s="13"/>
      <c r="LH73" s="13"/>
      <c r="LI73" s="13"/>
      <c r="LJ73" s="13"/>
      <c r="LK73" s="13"/>
      <c r="LL73" s="13"/>
      <c r="LM73" s="13"/>
      <c r="LN73" s="13"/>
      <c r="LO73" s="13"/>
      <c r="LP73" s="13"/>
      <c r="LQ73" s="13"/>
      <c r="LR73" s="13"/>
      <c r="LS73" s="13"/>
      <c r="LT73" s="13"/>
      <c r="LU73" s="13"/>
      <c r="LV73" s="13"/>
      <c r="LW73" s="13"/>
      <c r="LX73" s="13"/>
      <c r="LY73" s="13"/>
      <c r="LZ73" s="13"/>
      <c r="MA73" s="13"/>
      <c r="MB73" s="13"/>
      <c r="MC73" s="13"/>
      <c r="MD73" s="13"/>
      <c r="ME73" s="13"/>
      <c r="MF73" s="13"/>
      <c r="MG73" s="13"/>
      <c r="MH73" s="13"/>
      <c r="MI73" s="13"/>
      <c r="MJ73" s="13"/>
      <c r="MK73" s="13"/>
      <c r="ML73" s="13"/>
      <c r="MM73" s="13"/>
      <c r="MN73" s="13"/>
      <c r="MO73" s="13"/>
      <c r="MP73" s="13"/>
      <c r="MQ73" s="13"/>
      <c r="MR73" s="13"/>
      <c r="MS73" s="13"/>
      <c r="MT73" s="13"/>
      <c r="MU73" s="13"/>
      <c r="MV73" s="13"/>
      <c r="MW73" s="13"/>
      <c r="MX73" s="13"/>
      <c r="MY73" s="13"/>
      <c r="MZ73" s="13"/>
      <c r="NA73" s="13"/>
      <c r="NB73" s="13"/>
      <c r="NC73" s="13"/>
      <c r="ND73" s="13"/>
      <c r="NE73" s="13"/>
      <c r="NF73" s="13"/>
      <c r="NG73" s="13"/>
      <c r="NH73" s="13"/>
      <c r="NI73" s="13"/>
      <c r="NJ73" s="13"/>
      <c r="NK73" s="13"/>
      <c r="NL73" s="13"/>
      <c r="NM73" s="13"/>
      <c r="NN73" s="13"/>
      <c r="NO73" s="13"/>
      <c r="NP73" s="13"/>
      <c r="NQ73" s="13"/>
      <c r="NR73" s="13"/>
      <c r="NS73" s="13"/>
      <c r="NT73" s="13"/>
      <c r="NU73" s="13"/>
      <c r="NV73" s="13"/>
      <c r="NW73" s="13"/>
      <c r="NX73" s="13"/>
      <c r="NY73" s="13"/>
      <c r="NZ73" s="13"/>
      <c r="OA73" s="13"/>
      <c r="OB73" s="13"/>
      <c r="OC73" s="13"/>
      <c r="OD73" s="13"/>
      <c r="OE73" s="13"/>
      <c r="OF73" s="13"/>
      <c r="OG73" s="13"/>
      <c r="OH73" s="13"/>
      <c r="OI73" s="13"/>
      <c r="OJ73" s="13"/>
      <c r="OK73" s="13"/>
      <c r="OL73" s="13"/>
      <c r="OM73" s="13"/>
      <c r="ON73" s="13"/>
      <c r="OO73" s="13"/>
      <c r="OP73" s="13"/>
      <c r="OQ73" s="13"/>
      <c r="OR73" s="13"/>
      <c r="OS73" s="13"/>
      <c r="OT73" s="13"/>
      <c r="OU73" s="13"/>
      <c r="OV73" s="13"/>
      <c r="OW73" s="13"/>
      <c r="OX73" s="13"/>
      <c r="OY73" s="13"/>
      <c r="OZ73" s="13"/>
      <c r="PA73" s="13"/>
      <c r="PB73" s="13"/>
      <c r="PC73" s="13"/>
      <c r="PD73" s="13"/>
      <c r="PE73" s="13"/>
      <c r="PF73" s="13"/>
      <c r="PG73" s="13"/>
      <c r="PH73" s="13"/>
      <c r="PI73" s="13"/>
      <c r="PJ73" s="13"/>
      <c r="PK73" s="13"/>
      <c r="PL73" s="13"/>
      <c r="PM73" s="13"/>
      <c r="PN73" s="13"/>
      <c r="PO73" s="13"/>
      <c r="PP73" s="13"/>
      <c r="PQ73" s="13"/>
      <c r="PR73" s="13"/>
      <c r="PS73" s="13"/>
      <c r="PT73" s="13"/>
      <c r="PU73" s="13"/>
      <c r="PV73" s="13"/>
      <c r="PW73" s="13"/>
      <c r="PX73" s="13"/>
      <c r="PY73" s="13"/>
      <c r="PZ73" s="13"/>
      <c r="QA73" s="13"/>
      <c r="QB73" s="13"/>
      <c r="QC73" s="13"/>
      <c r="QD73" s="13"/>
      <c r="QE73" s="13"/>
      <c r="QF73" s="13"/>
      <c r="QG73" s="13"/>
      <c r="QH73" s="13"/>
      <c r="QI73" s="13"/>
      <c r="QJ73" s="13"/>
      <c r="QK73" s="13"/>
      <c r="QL73" s="13"/>
      <c r="QM73" s="13"/>
      <c r="QN73" s="13"/>
      <c r="QO73" s="13"/>
      <c r="QP73" s="13"/>
      <c r="QQ73" s="13"/>
      <c r="QR73" s="13"/>
      <c r="QS73" s="13"/>
      <c r="QT73" s="13"/>
      <c r="QU73" s="13"/>
      <c r="QV73" s="13"/>
      <c r="QW73" s="13"/>
      <c r="QX73" s="13"/>
      <c r="QY73" s="13"/>
      <c r="QZ73" s="13"/>
      <c r="RA73" s="13"/>
      <c r="RB73" s="13"/>
      <c r="RC73" s="13"/>
      <c r="RD73" s="13"/>
      <c r="RE73" s="13"/>
      <c r="RF73" s="13"/>
      <c r="RG73" s="13"/>
      <c r="RH73" s="13"/>
      <c r="RI73" s="13"/>
      <c r="RJ73" s="13"/>
      <c r="RK73" s="13"/>
      <c r="RL73" s="13"/>
      <c r="RM73" s="13"/>
      <c r="RN73" s="13"/>
      <c r="RO73" s="13"/>
      <c r="RP73" s="13"/>
      <c r="RQ73" s="13"/>
      <c r="RR73" s="13"/>
      <c r="RS73" s="13"/>
      <c r="RT73" s="13"/>
      <c r="RU73" s="13"/>
      <c r="RV73" s="13"/>
      <c r="RW73" s="13"/>
      <c r="RX73" s="13"/>
      <c r="RY73" s="13"/>
      <c r="RZ73" s="13"/>
      <c r="SA73" s="13"/>
      <c r="SB73" s="13"/>
      <c r="SC73" s="13"/>
      <c r="SD73" s="13"/>
      <c r="SE73" s="13"/>
      <c r="SF73" s="13"/>
      <c r="SG73" s="13"/>
      <c r="SH73" s="13"/>
      <c r="SI73" s="13"/>
      <c r="SJ73" s="13"/>
      <c r="SK73" s="13"/>
      <c r="SL73" s="13"/>
      <c r="SM73" s="13"/>
      <c r="SN73" s="13"/>
      <c r="SO73" s="13"/>
      <c r="SP73" s="13"/>
      <c r="SQ73" s="13"/>
      <c r="SR73" s="13"/>
      <c r="SS73" s="13"/>
      <c r="ST73" s="13"/>
      <c r="SU73" s="13"/>
      <c r="SV73" s="13"/>
      <c r="SW73" s="13"/>
      <c r="SX73" s="13"/>
      <c r="SY73" s="13"/>
      <c r="SZ73" s="13"/>
      <c r="TA73" s="13"/>
      <c r="TB73" s="13"/>
      <c r="TC73" s="13"/>
      <c r="TD73" s="13"/>
      <c r="TE73" s="13"/>
      <c r="TF73" s="13"/>
      <c r="TG73" s="13"/>
      <c r="TH73" s="13"/>
      <c r="TI73" s="13"/>
      <c r="TJ73" s="13"/>
      <c r="TK73" s="13"/>
      <c r="TL73" s="13"/>
      <c r="TM73" s="13"/>
      <c r="TN73" s="13"/>
      <c r="TO73" s="13"/>
      <c r="TP73" s="13"/>
      <c r="TQ73" s="13"/>
      <c r="TR73" s="13"/>
      <c r="TS73" s="13"/>
      <c r="TT73" s="13"/>
      <c r="TU73" s="13"/>
      <c r="TV73" s="13"/>
      <c r="TW73" s="13"/>
      <c r="TX73" s="13"/>
      <c r="TY73" s="13"/>
      <c r="TZ73" s="13"/>
      <c r="UA73" s="13"/>
      <c r="UB73" s="13"/>
      <c r="UC73" s="13"/>
      <c r="UD73" s="13"/>
      <c r="UE73" s="13"/>
      <c r="UF73" s="13"/>
      <c r="UG73" s="13"/>
      <c r="UH73" s="13"/>
      <c r="UI73" s="13"/>
      <c r="UJ73" s="13"/>
      <c r="UK73" s="13"/>
      <c r="UL73" s="13"/>
      <c r="UM73" s="13"/>
      <c r="UN73" s="13"/>
      <c r="UO73" s="13"/>
      <c r="UP73" s="13"/>
      <c r="UQ73" s="13"/>
      <c r="UR73" s="13"/>
      <c r="US73" s="13"/>
      <c r="UT73" s="13"/>
      <c r="UU73" s="13"/>
      <c r="UV73" s="13"/>
      <c r="UW73" s="13"/>
      <c r="UX73" s="13"/>
      <c r="UY73" s="13"/>
      <c r="UZ73" s="13"/>
      <c r="VA73" s="13"/>
      <c r="VB73" s="13"/>
      <c r="VC73" s="13"/>
      <c r="VD73" s="13"/>
      <c r="VE73" s="13"/>
      <c r="VF73" s="13"/>
      <c r="VG73" s="13"/>
      <c r="VH73" s="13"/>
      <c r="VI73" s="13"/>
      <c r="VJ73" s="13"/>
      <c r="VK73" s="13"/>
      <c r="VL73" s="13"/>
      <c r="VM73" s="13"/>
      <c r="VN73" s="13"/>
      <c r="VO73" s="13"/>
      <c r="VP73" s="13"/>
      <c r="VQ73" s="13"/>
      <c r="VR73" s="13"/>
      <c r="VS73" s="13"/>
      <c r="VT73" s="13"/>
      <c r="VU73" s="13"/>
      <c r="VV73" s="13"/>
      <c r="VW73" s="13"/>
      <c r="VX73" s="13"/>
      <c r="VY73" s="13"/>
      <c r="VZ73" s="13"/>
      <c r="WA73" s="13"/>
      <c r="WB73" s="13"/>
      <c r="WC73" s="13"/>
      <c r="WD73" s="13"/>
      <c r="WE73" s="13"/>
      <c r="WF73" s="13"/>
      <c r="WG73" s="13"/>
      <c r="WH73" s="13"/>
      <c r="WI73" s="13"/>
      <c r="WJ73" s="13"/>
      <c r="WK73" s="13"/>
      <c r="WL73" s="13"/>
      <c r="WM73" s="13"/>
      <c r="WN73" s="13"/>
      <c r="WO73" s="13"/>
      <c r="WP73" s="13"/>
      <c r="WQ73" s="13"/>
      <c r="WR73" s="13"/>
      <c r="WS73" s="13"/>
      <c r="WT73" s="13"/>
      <c r="WU73" s="13"/>
      <c r="WV73" s="13"/>
      <c r="WW73" s="13"/>
      <c r="WX73" s="13"/>
      <c r="WY73" s="13"/>
      <c r="WZ73" s="13"/>
      <c r="XA73" s="13"/>
      <c r="XB73" s="13"/>
      <c r="XC73" s="13"/>
      <c r="XD73" s="13"/>
      <c r="XE73" s="13"/>
      <c r="XF73" s="13"/>
      <c r="XG73" s="13"/>
      <c r="XH73" s="13"/>
      <c r="XI73" s="13"/>
      <c r="XJ73" s="13"/>
      <c r="XK73" s="13"/>
      <c r="XL73" s="13"/>
      <c r="XM73" s="13"/>
      <c r="XN73" s="13"/>
      <c r="XO73" s="13"/>
      <c r="XP73" s="13"/>
      <c r="XQ73" s="13"/>
      <c r="XR73" s="13"/>
      <c r="XS73" s="13"/>
      <c r="XT73" s="13"/>
      <c r="XU73" s="13"/>
      <c r="XV73" s="13"/>
      <c r="XW73" s="13"/>
      <c r="XX73" s="13"/>
      <c r="XY73" s="13"/>
      <c r="XZ73" s="13"/>
      <c r="YA73" s="13"/>
      <c r="YB73" s="13"/>
      <c r="YC73" s="13"/>
      <c r="YD73" s="13"/>
      <c r="YE73" s="13"/>
      <c r="YF73" s="13"/>
      <c r="YG73" s="13"/>
      <c r="YH73" s="13"/>
      <c r="YI73" s="13"/>
      <c r="YJ73" s="13"/>
      <c r="YK73" s="13"/>
      <c r="YL73" s="13"/>
      <c r="YM73" s="13"/>
      <c r="YN73" s="13"/>
      <c r="YO73" s="13"/>
      <c r="YP73" s="13"/>
      <c r="YQ73" s="13"/>
      <c r="YR73" s="13"/>
      <c r="YS73" s="13"/>
      <c r="YT73" s="13"/>
      <c r="YU73" s="13"/>
      <c r="YV73" s="13"/>
      <c r="YW73" s="13"/>
      <c r="YX73" s="13"/>
      <c r="YY73" s="13"/>
      <c r="YZ73" s="13"/>
      <c r="ZA73" s="13"/>
      <c r="ZB73" s="13"/>
      <c r="ZC73" s="13"/>
      <c r="ZD73" s="13"/>
      <c r="ZE73" s="13"/>
      <c r="ZF73" s="13"/>
      <c r="ZG73" s="13"/>
      <c r="ZH73" s="13"/>
      <c r="ZI73" s="13"/>
      <c r="ZJ73" s="13"/>
      <c r="ZK73" s="13"/>
      <c r="ZL73" s="13"/>
      <c r="ZM73" s="13"/>
      <c r="ZN73" s="13"/>
      <c r="ZO73" s="13"/>
      <c r="ZP73" s="13"/>
      <c r="ZQ73" s="13"/>
      <c r="ZR73" s="13"/>
      <c r="ZS73" s="13"/>
      <c r="ZT73" s="13"/>
      <c r="ZU73" s="13"/>
      <c r="ZV73" s="13"/>
      <c r="ZW73" s="13"/>
      <c r="ZX73" s="13"/>
      <c r="ZY73" s="13"/>
      <c r="ZZ73" s="13"/>
      <c r="AAA73" s="13"/>
      <c r="AAB73" s="13"/>
      <c r="AAC73" s="13"/>
      <c r="AAD73" s="13"/>
      <c r="AAE73" s="13"/>
      <c r="AAF73" s="13"/>
      <c r="AAG73" s="13"/>
      <c r="AAH73" s="13"/>
      <c r="AAI73" s="13"/>
      <c r="AAJ73" s="13"/>
      <c r="AAK73" s="13"/>
      <c r="AAL73" s="13"/>
      <c r="AAM73" s="13"/>
      <c r="AAN73" s="13"/>
      <c r="AAO73" s="13"/>
      <c r="AAP73" s="13"/>
      <c r="AAQ73" s="13"/>
      <c r="AAR73" s="13"/>
      <c r="AAS73" s="13"/>
      <c r="AAT73" s="13"/>
      <c r="AAU73" s="13"/>
      <c r="AAV73" s="13"/>
      <c r="AAW73" s="13"/>
      <c r="AAX73" s="13"/>
      <c r="AAY73" s="13"/>
      <c r="AAZ73" s="13"/>
      <c r="ABA73" s="13"/>
      <c r="ABB73" s="13"/>
      <c r="ABC73" s="13"/>
      <c r="ABD73" s="13"/>
      <c r="ABE73" s="13"/>
      <c r="ABF73" s="13"/>
      <c r="ABG73" s="13"/>
      <c r="ABH73" s="13"/>
      <c r="ABI73" s="13"/>
      <c r="ABJ73" s="13"/>
      <c r="ABK73" s="13"/>
      <c r="ABL73" s="13"/>
      <c r="ABM73" s="13"/>
      <c r="ABN73" s="13"/>
      <c r="ABO73" s="13"/>
      <c r="ABP73" s="13"/>
      <c r="ABQ73" s="13"/>
      <c r="ABR73" s="13"/>
      <c r="ABS73" s="13"/>
      <c r="ABT73" s="13"/>
      <c r="ABU73" s="13"/>
      <c r="ABV73" s="13"/>
      <c r="ABW73" s="13"/>
      <c r="ABX73" s="13"/>
      <c r="ABY73" s="13"/>
      <c r="ABZ73" s="13"/>
      <c r="ACA73" s="13"/>
      <c r="ACB73" s="13"/>
      <c r="ACC73" s="13"/>
      <c r="ACD73" s="13"/>
      <c r="ACE73" s="13"/>
      <c r="ACF73" s="13"/>
      <c r="ACG73" s="13"/>
      <c r="ACH73" s="13"/>
      <c r="ACI73" s="13"/>
      <c r="ACJ73" s="13"/>
      <c r="ACK73" s="13"/>
      <c r="ACL73" s="13"/>
      <c r="ACM73" s="13"/>
      <c r="ACN73" s="13"/>
      <c r="ACO73" s="13"/>
      <c r="ACP73" s="13"/>
      <c r="ACQ73" s="13"/>
      <c r="ACR73" s="13"/>
      <c r="ACS73" s="13"/>
      <c r="ACT73" s="13"/>
      <c r="ACU73" s="13"/>
      <c r="ACV73" s="13"/>
      <c r="ACW73" s="13"/>
      <c r="ACX73" s="13"/>
      <c r="ACY73" s="13"/>
      <c r="ACZ73" s="13"/>
      <c r="ADA73" s="13"/>
      <c r="ADB73" s="13"/>
      <c r="ADC73" s="13"/>
      <c r="ADD73" s="13"/>
      <c r="ADE73" s="13"/>
      <c r="ADF73" s="13"/>
      <c r="ADG73" s="13"/>
      <c r="ADH73" s="13"/>
      <c r="ADI73" s="13"/>
      <c r="ADJ73" s="13"/>
      <c r="ADK73" s="13"/>
      <c r="ADL73" s="13"/>
      <c r="ADM73" s="13"/>
      <c r="ADN73" s="13"/>
      <c r="ADO73" s="13"/>
      <c r="ADP73" s="13"/>
      <c r="ADQ73" s="13"/>
      <c r="ADR73" s="13"/>
      <c r="ADS73" s="13"/>
      <c r="ADT73" s="13"/>
      <c r="ADU73" s="13"/>
      <c r="ADV73" s="13"/>
      <c r="ADW73" s="13"/>
      <c r="ADX73" s="13"/>
      <c r="ADY73" s="13"/>
      <c r="ADZ73" s="13"/>
      <c r="AEA73" s="13"/>
      <c r="AEB73" s="13"/>
      <c r="AEC73" s="13"/>
      <c r="AED73" s="13"/>
      <c r="AEE73" s="13"/>
      <c r="AEF73" s="13"/>
      <c r="AEG73" s="13"/>
      <c r="AEH73" s="13"/>
      <c r="AEI73" s="13"/>
      <c r="AEJ73" s="13"/>
      <c r="AEK73" s="13"/>
      <c r="AEL73" s="13"/>
      <c r="AEM73" s="13"/>
      <c r="AEN73" s="13"/>
      <c r="AEO73" s="13"/>
      <c r="AEP73" s="13"/>
      <c r="AEQ73" s="13"/>
      <c r="AER73" s="13"/>
      <c r="AES73" s="13"/>
      <c r="AET73" s="13"/>
      <c r="AEU73" s="13"/>
      <c r="AEV73" s="13"/>
      <c r="AEW73" s="13"/>
      <c r="AEX73" s="13"/>
      <c r="AEY73" s="13"/>
      <c r="AEZ73" s="13"/>
      <c r="AFA73" s="13"/>
      <c r="AFB73" s="13"/>
      <c r="AFC73" s="13"/>
      <c r="AFD73" s="13"/>
      <c r="AFE73" s="13"/>
      <c r="AFF73" s="13"/>
      <c r="AFG73" s="13"/>
      <c r="AFH73" s="13"/>
      <c r="AFI73" s="13"/>
      <c r="AFJ73" s="13"/>
      <c r="AFK73" s="13"/>
      <c r="AFL73" s="13"/>
      <c r="AFM73" s="13"/>
      <c r="AFN73" s="13"/>
      <c r="AFO73" s="13"/>
      <c r="AFP73" s="13"/>
      <c r="AFQ73" s="13"/>
      <c r="AFR73" s="13"/>
      <c r="AFS73" s="13"/>
      <c r="AFT73" s="13"/>
      <c r="AFU73" s="13"/>
      <c r="AFV73" s="13"/>
      <c r="AFW73" s="13"/>
      <c r="AFX73" s="13"/>
      <c r="AFY73" s="13"/>
      <c r="AFZ73" s="13"/>
      <c r="AGA73" s="13"/>
      <c r="AGB73" s="13"/>
      <c r="AGC73" s="13"/>
      <c r="AGD73" s="13"/>
      <c r="AGE73" s="13"/>
      <c r="AGF73" s="13"/>
      <c r="AGG73" s="13"/>
      <c r="AGH73" s="13"/>
      <c r="AGI73" s="13"/>
      <c r="AGJ73" s="13"/>
      <c r="AGK73" s="13"/>
      <c r="AGL73" s="13"/>
      <c r="AGM73" s="13"/>
      <c r="AGN73" s="13"/>
      <c r="AGO73" s="13"/>
      <c r="AGP73" s="13"/>
      <c r="AGQ73" s="13"/>
      <c r="AGR73" s="13"/>
      <c r="AGS73" s="13"/>
      <c r="AGT73" s="13"/>
      <c r="AGU73" s="13"/>
      <c r="AGV73" s="13"/>
      <c r="AGW73" s="13"/>
      <c r="AGX73" s="13"/>
      <c r="AGY73" s="13"/>
      <c r="AGZ73" s="13"/>
      <c r="AHA73" s="13"/>
      <c r="AHB73" s="13"/>
      <c r="AHC73" s="13"/>
      <c r="AHD73" s="13"/>
      <c r="AHE73" s="13"/>
      <c r="AHF73" s="13"/>
      <c r="AHG73" s="13"/>
      <c r="AHH73" s="13"/>
      <c r="AHI73" s="13"/>
      <c r="AHJ73" s="13"/>
      <c r="AHK73" s="13"/>
      <c r="AHL73" s="13"/>
      <c r="AHM73" s="13"/>
      <c r="AHN73" s="13"/>
      <c r="AHO73" s="13"/>
      <c r="AHP73" s="13"/>
      <c r="AHQ73" s="13"/>
      <c r="AHR73" s="13"/>
      <c r="AHS73" s="13"/>
      <c r="AHT73" s="13"/>
      <c r="AHU73" s="13"/>
      <c r="AHV73" s="13"/>
      <c r="AHW73" s="13"/>
      <c r="AHX73" s="13"/>
      <c r="AHY73" s="13"/>
      <c r="AHZ73" s="13"/>
      <c r="AIA73" s="13"/>
      <c r="AIB73" s="13"/>
      <c r="AIC73" s="13"/>
      <c r="AID73" s="13"/>
      <c r="AIE73" s="13"/>
      <c r="AIF73" s="13"/>
      <c r="AIG73" s="13"/>
      <c r="AIH73" s="13"/>
      <c r="AII73" s="13"/>
      <c r="AIJ73" s="13"/>
      <c r="AIK73" s="13"/>
      <c r="AIL73" s="13"/>
      <c r="AIM73" s="13"/>
      <c r="AIN73" s="13"/>
      <c r="AIO73" s="13"/>
      <c r="AIP73" s="13"/>
      <c r="AIQ73" s="13"/>
      <c r="AIR73" s="13"/>
      <c r="AIS73" s="13"/>
      <c r="AIT73" s="13"/>
      <c r="AIU73" s="13"/>
      <c r="AIV73" s="13"/>
      <c r="AIW73" s="13"/>
      <c r="AIX73" s="13"/>
      <c r="AIY73" s="13"/>
      <c r="AIZ73" s="13"/>
      <c r="AJA73" s="13"/>
      <c r="AJB73" s="13"/>
      <c r="AJC73" s="13"/>
      <c r="AJD73" s="13"/>
      <c r="AJE73" s="13"/>
      <c r="AJF73" s="13"/>
      <c r="AJG73" s="13"/>
      <c r="AJH73" s="13"/>
      <c r="AJI73" s="13"/>
      <c r="AJJ73" s="13"/>
      <c r="AJK73" s="13"/>
      <c r="AJL73" s="13"/>
      <c r="AJM73" s="13"/>
      <c r="AJN73" s="13"/>
      <c r="AJO73" s="13"/>
      <c r="AJP73" s="13"/>
      <c r="AJQ73" s="13"/>
      <c r="AJR73" s="13"/>
      <c r="AJS73" s="13"/>
      <c r="AJT73" s="13"/>
      <c r="AJU73" s="13"/>
      <c r="AJV73" s="13"/>
      <c r="AJW73" s="13"/>
      <c r="AJX73" s="13"/>
      <c r="AJY73" s="13"/>
      <c r="AJZ73" s="13"/>
      <c r="AKA73" s="13"/>
      <c r="AKB73" s="13"/>
      <c r="AKC73" s="13"/>
      <c r="AKD73" s="13"/>
      <c r="AKE73" s="13"/>
      <c r="AKF73" s="13"/>
      <c r="AKG73" s="13"/>
      <c r="AKH73" s="13"/>
      <c r="AKI73" s="13"/>
      <c r="AKJ73" s="13"/>
      <c r="AKK73" s="13"/>
      <c r="AKL73" s="13"/>
      <c r="AKM73" s="13"/>
      <c r="AKN73" s="13"/>
      <c r="AKO73" s="13"/>
      <c r="AKP73" s="13"/>
      <c r="AKQ73" s="13"/>
      <c r="AKR73" s="13"/>
      <c r="AKS73" s="13"/>
      <c r="AKT73" s="13"/>
      <c r="AKU73" s="13"/>
      <c r="AKV73" s="13"/>
      <c r="AKW73" s="13"/>
      <c r="AKX73" s="13"/>
      <c r="AKY73" s="13"/>
      <c r="AKZ73" s="13"/>
      <c r="ALA73" s="13"/>
      <c r="ALB73" s="13"/>
      <c r="ALC73" s="13"/>
      <c r="ALD73" s="13"/>
      <c r="ALE73" s="13"/>
      <c r="ALF73" s="13"/>
      <c r="ALG73" s="13"/>
      <c r="ALH73" s="13"/>
      <c r="ALI73" s="13"/>
      <c r="ALJ73" s="13"/>
      <c r="ALK73" s="13"/>
      <c r="ALL73" s="13"/>
      <c r="ALM73" s="13"/>
      <c r="ALN73" s="13"/>
      <c r="ALO73" s="13"/>
      <c r="ALP73" s="13"/>
      <c r="ALQ73" s="13"/>
      <c r="ALR73" s="13"/>
      <c r="ALS73" s="13"/>
      <c r="ALT73" s="13"/>
      <c r="ALU73" s="13"/>
      <c r="ALV73" s="13"/>
      <c r="ALW73" s="13"/>
      <c r="ALX73" s="13"/>
      <c r="ALY73" s="13"/>
      <c r="ALZ73" s="13"/>
      <c r="AMA73" s="13"/>
      <c r="AMB73" s="13"/>
      <c r="AMC73" s="13"/>
      <c r="AMD73" s="13"/>
      <c r="AME73" s="13"/>
      <c r="AMF73" s="13"/>
      <c r="AMG73" s="13"/>
      <c r="AMH73" s="13"/>
      <c r="AMI73" s="13"/>
      <c r="AMJ73" s="13"/>
      <c r="AMK73" s="13"/>
    </row>
    <row r="74" spans="1:1025" s="133" customFormat="1" ht="12.75" customHeight="1" x14ac:dyDescent="0.2">
      <c r="A74" s="75" t="s">
        <v>60</v>
      </c>
      <c r="B74" s="46">
        <v>0</v>
      </c>
      <c r="C74" s="60">
        <v>9.9999999999999998E+37</v>
      </c>
      <c r="D74" s="76" t="s">
        <v>55</v>
      </c>
      <c r="E74" s="95" t="s">
        <v>49</v>
      </c>
      <c r="F74" s="63"/>
      <c r="G74" s="6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  <c r="KO74" s="13"/>
      <c r="KP74" s="13"/>
      <c r="KQ74" s="13"/>
      <c r="KR74" s="13"/>
      <c r="KS74" s="13"/>
      <c r="KT74" s="13"/>
      <c r="KU74" s="13"/>
      <c r="KV74" s="13"/>
      <c r="KW74" s="13"/>
      <c r="KX74" s="13"/>
      <c r="KY74" s="13"/>
      <c r="KZ74" s="13"/>
      <c r="LA74" s="13"/>
      <c r="LB74" s="13"/>
      <c r="LC74" s="13"/>
      <c r="LD74" s="13"/>
      <c r="LE74" s="13"/>
      <c r="LF74" s="13"/>
      <c r="LG74" s="13"/>
      <c r="LH74" s="13"/>
      <c r="LI74" s="13"/>
      <c r="LJ74" s="13"/>
      <c r="LK74" s="13"/>
      <c r="LL74" s="13"/>
      <c r="LM74" s="13"/>
      <c r="LN74" s="13"/>
      <c r="LO74" s="13"/>
      <c r="LP74" s="13"/>
      <c r="LQ74" s="13"/>
      <c r="LR74" s="13"/>
      <c r="LS74" s="13"/>
      <c r="LT74" s="13"/>
      <c r="LU74" s="13"/>
      <c r="LV74" s="13"/>
      <c r="LW74" s="13"/>
      <c r="LX74" s="13"/>
      <c r="LY74" s="13"/>
      <c r="LZ74" s="13"/>
      <c r="MA74" s="13"/>
      <c r="MB74" s="13"/>
      <c r="MC74" s="13"/>
      <c r="MD74" s="13"/>
      <c r="ME74" s="13"/>
      <c r="MF74" s="13"/>
      <c r="MG74" s="13"/>
      <c r="MH74" s="13"/>
      <c r="MI74" s="13"/>
      <c r="MJ74" s="13"/>
      <c r="MK74" s="13"/>
      <c r="ML74" s="13"/>
      <c r="MM74" s="13"/>
      <c r="MN74" s="13"/>
      <c r="MO74" s="13"/>
      <c r="MP74" s="13"/>
      <c r="MQ74" s="13"/>
      <c r="MR74" s="13"/>
      <c r="MS74" s="13"/>
      <c r="MT74" s="13"/>
      <c r="MU74" s="13"/>
      <c r="MV74" s="13"/>
      <c r="MW74" s="13"/>
      <c r="MX74" s="13"/>
      <c r="MY74" s="13"/>
      <c r="MZ74" s="13"/>
      <c r="NA74" s="13"/>
      <c r="NB74" s="13"/>
      <c r="NC74" s="13"/>
      <c r="ND74" s="13"/>
      <c r="NE74" s="13"/>
      <c r="NF74" s="13"/>
      <c r="NG74" s="13"/>
      <c r="NH74" s="13"/>
      <c r="NI74" s="13"/>
      <c r="NJ74" s="13"/>
      <c r="NK74" s="13"/>
      <c r="NL74" s="13"/>
      <c r="NM74" s="13"/>
      <c r="NN74" s="13"/>
      <c r="NO74" s="13"/>
      <c r="NP74" s="13"/>
      <c r="NQ74" s="13"/>
      <c r="NR74" s="13"/>
      <c r="NS74" s="13"/>
      <c r="NT74" s="13"/>
      <c r="NU74" s="13"/>
      <c r="NV74" s="13"/>
      <c r="NW74" s="13"/>
      <c r="NX74" s="13"/>
      <c r="NY74" s="13"/>
      <c r="NZ74" s="13"/>
      <c r="OA74" s="13"/>
      <c r="OB74" s="13"/>
      <c r="OC74" s="13"/>
      <c r="OD74" s="13"/>
      <c r="OE74" s="13"/>
      <c r="OF74" s="13"/>
      <c r="OG74" s="13"/>
      <c r="OH74" s="13"/>
      <c r="OI74" s="13"/>
      <c r="OJ74" s="13"/>
      <c r="OK74" s="13"/>
      <c r="OL74" s="13"/>
      <c r="OM74" s="13"/>
      <c r="ON74" s="13"/>
      <c r="OO74" s="13"/>
      <c r="OP74" s="13"/>
      <c r="OQ74" s="13"/>
      <c r="OR74" s="13"/>
      <c r="OS74" s="13"/>
      <c r="OT74" s="13"/>
      <c r="OU74" s="13"/>
      <c r="OV74" s="13"/>
      <c r="OW74" s="13"/>
      <c r="OX74" s="13"/>
      <c r="OY74" s="13"/>
      <c r="OZ74" s="13"/>
      <c r="PA74" s="13"/>
      <c r="PB74" s="13"/>
      <c r="PC74" s="13"/>
      <c r="PD74" s="13"/>
      <c r="PE74" s="13"/>
      <c r="PF74" s="13"/>
      <c r="PG74" s="13"/>
      <c r="PH74" s="13"/>
      <c r="PI74" s="13"/>
      <c r="PJ74" s="13"/>
      <c r="PK74" s="13"/>
      <c r="PL74" s="13"/>
      <c r="PM74" s="13"/>
      <c r="PN74" s="13"/>
      <c r="PO74" s="13"/>
      <c r="PP74" s="13"/>
      <c r="PQ74" s="13"/>
      <c r="PR74" s="13"/>
      <c r="PS74" s="13"/>
      <c r="PT74" s="13"/>
      <c r="PU74" s="13"/>
      <c r="PV74" s="13"/>
      <c r="PW74" s="13"/>
      <c r="PX74" s="13"/>
      <c r="PY74" s="13"/>
      <c r="PZ74" s="13"/>
      <c r="QA74" s="13"/>
      <c r="QB74" s="13"/>
      <c r="QC74" s="13"/>
      <c r="QD74" s="13"/>
      <c r="QE74" s="13"/>
      <c r="QF74" s="13"/>
      <c r="QG74" s="13"/>
      <c r="QH74" s="13"/>
      <c r="QI74" s="13"/>
      <c r="QJ74" s="13"/>
      <c r="QK74" s="13"/>
      <c r="QL74" s="13"/>
      <c r="QM74" s="13"/>
      <c r="QN74" s="13"/>
      <c r="QO74" s="13"/>
      <c r="QP74" s="13"/>
      <c r="QQ74" s="13"/>
      <c r="QR74" s="13"/>
      <c r="QS74" s="13"/>
      <c r="QT74" s="13"/>
      <c r="QU74" s="13"/>
      <c r="QV74" s="13"/>
      <c r="QW74" s="13"/>
      <c r="QX74" s="13"/>
      <c r="QY74" s="13"/>
      <c r="QZ74" s="13"/>
      <c r="RA74" s="13"/>
      <c r="RB74" s="13"/>
      <c r="RC74" s="13"/>
      <c r="RD74" s="13"/>
      <c r="RE74" s="13"/>
      <c r="RF74" s="13"/>
      <c r="RG74" s="13"/>
      <c r="RH74" s="13"/>
      <c r="RI74" s="13"/>
      <c r="RJ74" s="13"/>
      <c r="RK74" s="13"/>
      <c r="RL74" s="13"/>
      <c r="RM74" s="13"/>
      <c r="RN74" s="13"/>
      <c r="RO74" s="13"/>
      <c r="RP74" s="13"/>
      <c r="RQ74" s="13"/>
      <c r="RR74" s="13"/>
      <c r="RS74" s="13"/>
      <c r="RT74" s="13"/>
      <c r="RU74" s="13"/>
      <c r="RV74" s="13"/>
      <c r="RW74" s="13"/>
      <c r="RX74" s="13"/>
      <c r="RY74" s="13"/>
      <c r="RZ74" s="13"/>
      <c r="SA74" s="13"/>
      <c r="SB74" s="13"/>
      <c r="SC74" s="13"/>
      <c r="SD74" s="13"/>
      <c r="SE74" s="13"/>
      <c r="SF74" s="13"/>
      <c r="SG74" s="13"/>
      <c r="SH74" s="13"/>
      <c r="SI74" s="13"/>
      <c r="SJ74" s="13"/>
      <c r="SK74" s="13"/>
      <c r="SL74" s="13"/>
      <c r="SM74" s="13"/>
      <c r="SN74" s="13"/>
      <c r="SO74" s="13"/>
      <c r="SP74" s="13"/>
      <c r="SQ74" s="13"/>
      <c r="SR74" s="13"/>
      <c r="SS74" s="13"/>
      <c r="ST74" s="13"/>
      <c r="SU74" s="13"/>
      <c r="SV74" s="13"/>
      <c r="SW74" s="13"/>
      <c r="SX74" s="13"/>
      <c r="SY74" s="13"/>
      <c r="SZ74" s="13"/>
      <c r="TA74" s="13"/>
      <c r="TB74" s="13"/>
      <c r="TC74" s="13"/>
      <c r="TD74" s="13"/>
      <c r="TE74" s="13"/>
      <c r="TF74" s="13"/>
      <c r="TG74" s="13"/>
      <c r="TH74" s="13"/>
      <c r="TI74" s="13"/>
      <c r="TJ74" s="13"/>
      <c r="TK74" s="13"/>
      <c r="TL74" s="13"/>
      <c r="TM74" s="13"/>
      <c r="TN74" s="13"/>
      <c r="TO74" s="13"/>
      <c r="TP74" s="13"/>
      <c r="TQ74" s="13"/>
      <c r="TR74" s="13"/>
      <c r="TS74" s="13"/>
      <c r="TT74" s="13"/>
      <c r="TU74" s="13"/>
      <c r="TV74" s="13"/>
      <c r="TW74" s="13"/>
      <c r="TX74" s="13"/>
      <c r="TY74" s="13"/>
      <c r="TZ74" s="13"/>
      <c r="UA74" s="13"/>
      <c r="UB74" s="13"/>
      <c r="UC74" s="13"/>
      <c r="UD74" s="13"/>
      <c r="UE74" s="13"/>
      <c r="UF74" s="13"/>
      <c r="UG74" s="13"/>
      <c r="UH74" s="13"/>
      <c r="UI74" s="13"/>
      <c r="UJ74" s="13"/>
      <c r="UK74" s="13"/>
      <c r="UL74" s="13"/>
      <c r="UM74" s="13"/>
      <c r="UN74" s="13"/>
      <c r="UO74" s="13"/>
      <c r="UP74" s="13"/>
      <c r="UQ74" s="13"/>
      <c r="UR74" s="13"/>
      <c r="US74" s="13"/>
      <c r="UT74" s="13"/>
      <c r="UU74" s="13"/>
      <c r="UV74" s="13"/>
      <c r="UW74" s="13"/>
      <c r="UX74" s="13"/>
      <c r="UY74" s="13"/>
      <c r="UZ74" s="13"/>
      <c r="VA74" s="13"/>
      <c r="VB74" s="13"/>
      <c r="VC74" s="13"/>
      <c r="VD74" s="13"/>
      <c r="VE74" s="13"/>
      <c r="VF74" s="13"/>
      <c r="VG74" s="13"/>
      <c r="VH74" s="13"/>
      <c r="VI74" s="13"/>
      <c r="VJ74" s="13"/>
      <c r="VK74" s="13"/>
      <c r="VL74" s="13"/>
      <c r="VM74" s="13"/>
      <c r="VN74" s="13"/>
      <c r="VO74" s="13"/>
      <c r="VP74" s="13"/>
      <c r="VQ74" s="13"/>
      <c r="VR74" s="13"/>
      <c r="VS74" s="13"/>
      <c r="VT74" s="13"/>
      <c r="VU74" s="13"/>
      <c r="VV74" s="13"/>
      <c r="VW74" s="13"/>
      <c r="VX74" s="13"/>
      <c r="VY74" s="13"/>
      <c r="VZ74" s="13"/>
      <c r="WA74" s="13"/>
      <c r="WB74" s="13"/>
      <c r="WC74" s="13"/>
      <c r="WD74" s="13"/>
      <c r="WE74" s="13"/>
      <c r="WF74" s="13"/>
      <c r="WG74" s="13"/>
      <c r="WH74" s="13"/>
      <c r="WI74" s="13"/>
      <c r="WJ74" s="13"/>
      <c r="WK74" s="13"/>
      <c r="WL74" s="13"/>
      <c r="WM74" s="13"/>
      <c r="WN74" s="13"/>
      <c r="WO74" s="13"/>
      <c r="WP74" s="13"/>
      <c r="WQ74" s="13"/>
      <c r="WR74" s="13"/>
      <c r="WS74" s="13"/>
      <c r="WT74" s="13"/>
      <c r="WU74" s="13"/>
      <c r="WV74" s="13"/>
      <c r="WW74" s="13"/>
      <c r="WX74" s="13"/>
      <c r="WY74" s="13"/>
      <c r="WZ74" s="13"/>
      <c r="XA74" s="13"/>
      <c r="XB74" s="13"/>
      <c r="XC74" s="13"/>
      <c r="XD74" s="13"/>
      <c r="XE74" s="13"/>
      <c r="XF74" s="13"/>
      <c r="XG74" s="13"/>
      <c r="XH74" s="13"/>
      <c r="XI74" s="13"/>
      <c r="XJ74" s="13"/>
      <c r="XK74" s="13"/>
      <c r="XL74" s="13"/>
      <c r="XM74" s="13"/>
      <c r="XN74" s="13"/>
      <c r="XO74" s="13"/>
      <c r="XP74" s="13"/>
      <c r="XQ74" s="13"/>
      <c r="XR74" s="13"/>
      <c r="XS74" s="13"/>
      <c r="XT74" s="13"/>
      <c r="XU74" s="13"/>
      <c r="XV74" s="13"/>
      <c r="XW74" s="13"/>
      <c r="XX74" s="13"/>
      <c r="XY74" s="13"/>
      <c r="XZ74" s="13"/>
      <c r="YA74" s="13"/>
      <c r="YB74" s="13"/>
      <c r="YC74" s="13"/>
      <c r="YD74" s="13"/>
      <c r="YE74" s="13"/>
      <c r="YF74" s="13"/>
      <c r="YG74" s="13"/>
      <c r="YH74" s="13"/>
      <c r="YI74" s="13"/>
      <c r="YJ74" s="13"/>
      <c r="YK74" s="13"/>
      <c r="YL74" s="13"/>
      <c r="YM74" s="13"/>
      <c r="YN74" s="13"/>
      <c r="YO74" s="13"/>
      <c r="YP74" s="13"/>
      <c r="YQ74" s="13"/>
      <c r="YR74" s="13"/>
      <c r="YS74" s="13"/>
      <c r="YT74" s="13"/>
      <c r="YU74" s="13"/>
      <c r="YV74" s="13"/>
      <c r="YW74" s="13"/>
      <c r="YX74" s="13"/>
      <c r="YY74" s="13"/>
      <c r="YZ74" s="13"/>
      <c r="ZA74" s="13"/>
      <c r="ZB74" s="13"/>
      <c r="ZC74" s="13"/>
      <c r="ZD74" s="13"/>
      <c r="ZE74" s="13"/>
      <c r="ZF74" s="13"/>
      <c r="ZG74" s="13"/>
      <c r="ZH74" s="13"/>
      <c r="ZI74" s="13"/>
      <c r="ZJ74" s="13"/>
      <c r="ZK74" s="13"/>
      <c r="ZL74" s="13"/>
      <c r="ZM74" s="13"/>
      <c r="ZN74" s="13"/>
      <c r="ZO74" s="13"/>
      <c r="ZP74" s="13"/>
      <c r="ZQ74" s="13"/>
      <c r="ZR74" s="13"/>
      <c r="ZS74" s="13"/>
      <c r="ZT74" s="13"/>
      <c r="ZU74" s="13"/>
      <c r="ZV74" s="13"/>
      <c r="ZW74" s="13"/>
      <c r="ZX74" s="13"/>
      <c r="ZY74" s="13"/>
      <c r="ZZ74" s="13"/>
      <c r="AAA74" s="13"/>
      <c r="AAB74" s="13"/>
      <c r="AAC74" s="13"/>
      <c r="AAD74" s="13"/>
      <c r="AAE74" s="13"/>
      <c r="AAF74" s="13"/>
      <c r="AAG74" s="13"/>
      <c r="AAH74" s="13"/>
      <c r="AAI74" s="13"/>
      <c r="AAJ74" s="13"/>
      <c r="AAK74" s="13"/>
      <c r="AAL74" s="13"/>
      <c r="AAM74" s="13"/>
      <c r="AAN74" s="13"/>
      <c r="AAO74" s="13"/>
      <c r="AAP74" s="13"/>
      <c r="AAQ74" s="13"/>
      <c r="AAR74" s="13"/>
      <c r="AAS74" s="13"/>
      <c r="AAT74" s="13"/>
      <c r="AAU74" s="13"/>
      <c r="AAV74" s="13"/>
      <c r="AAW74" s="13"/>
      <c r="AAX74" s="13"/>
      <c r="AAY74" s="13"/>
      <c r="AAZ74" s="13"/>
      <c r="ABA74" s="13"/>
      <c r="ABB74" s="13"/>
      <c r="ABC74" s="13"/>
      <c r="ABD74" s="13"/>
      <c r="ABE74" s="13"/>
      <c r="ABF74" s="13"/>
      <c r="ABG74" s="13"/>
      <c r="ABH74" s="13"/>
      <c r="ABI74" s="13"/>
      <c r="ABJ74" s="13"/>
      <c r="ABK74" s="13"/>
      <c r="ABL74" s="13"/>
      <c r="ABM74" s="13"/>
      <c r="ABN74" s="13"/>
      <c r="ABO74" s="13"/>
      <c r="ABP74" s="13"/>
      <c r="ABQ74" s="13"/>
      <c r="ABR74" s="13"/>
      <c r="ABS74" s="13"/>
      <c r="ABT74" s="13"/>
      <c r="ABU74" s="13"/>
      <c r="ABV74" s="13"/>
      <c r="ABW74" s="13"/>
      <c r="ABX74" s="13"/>
      <c r="ABY74" s="13"/>
      <c r="ABZ74" s="13"/>
      <c r="ACA74" s="13"/>
      <c r="ACB74" s="13"/>
      <c r="ACC74" s="13"/>
      <c r="ACD74" s="13"/>
      <c r="ACE74" s="13"/>
      <c r="ACF74" s="13"/>
      <c r="ACG74" s="13"/>
      <c r="ACH74" s="13"/>
      <c r="ACI74" s="13"/>
      <c r="ACJ74" s="13"/>
      <c r="ACK74" s="13"/>
      <c r="ACL74" s="13"/>
      <c r="ACM74" s="13"/>
      <c r="ACN74" s="13"/>
      <c r="ACO74" s="13"/>
      <c r="ACP74" s="13"/>
      <c r="ACQ74" s="13"/>
      <c r="ACR74" s="13"/>
      <c r="ACS74" s="13"/>
      <c r="ACT74" s="13"/>
      <c r="ACU74" s="13"/>
      <c r="ACV74" s="13"/>
      <c r="ACW74" s="13"/>
      <c r="ACX74" s="13"/>
      <c r="ACY74" s="13"/>
      <c r="ACZ74" s="13"/>
      <c r="ADA74" s="13"/>
      <c r="ADB74" s="13"/>
      <c r="ADC74" s="13"/>
      <c r="ADD74" s="13"/>
      <c r="ADE74" s="13"/>
      <c r="ADF74" s="13"/>
      <c r="ADG74" s="13"/>
      <c r="ADH74" s="13"/>
      <c r="ADI74" s="13"/>
      <c r="ADJ74" s="13"/>
      <c r="ADK74" s="13"/>
      <c r="ADL74" s="13"/>
      <c r="ADM74" s="13"/>
      <c r="ADN74" s="13"/>
      <c r="ADO74" s="13"/>
      <c r="ADP74" s="13"/>
      <c r="ADQ74" s="13"/>
      <c r="ADR74" s="13"/>
      <c r="ADS74" s="13"/>
      <c r="ADT74" s="13"/>
      <c r="ADU74" s="13"/>
      <c r="ADV74" s="13"/>
      <c r="ADW74" s="13"/>
      <c r="ADX74" s="13"/>
      <c r="ADY74" s="13"/>
      <c r="ADZ74" s="13"/>
      <c r="AEA74" s="13"/>
      <c r="AEB74" s="13"/>
      <c r="AEC74" s="13"/>
      <c r="AED74" s="13"/>
      <c r="AEE74" s="13"/>
      <c r="AEF74" s="13"/>
      <c r="AEG74" s="13"/>
      <c r="AEH74" s="13"/>
      <c r="AEI74" s="13"/>
      <c r="AEJ74" s="13"/>
      <c r="AEK74" s="13"/>
      <c r="AEL74" s="13"/>
      <c r="AEM74" s="13"/>
      <c r="AEN74" s="13"/>
      <c r="AEO74" s="13"/>
      <c r="AEP74" s="13"/>
      <c r="AEQ74" s="13"/>
      <c r="AER74" s="13"/>
      <c r="AES74" s="13"/>
      <c r="AET74" s="13"/>
      <c r="AEU74" s="13"/>
      <c r="AEV74" s="13"/>
      <c r="AEW74" s="13"/>
      <c r="AEX74" s="13"/>
      <c r="AEY74" s="13"/>
      <c r="AEZ74" s="13"/>
      <c r="AFA74" s="13"/>
      <c r="AFB74" s="13"/>
      <c r="AFC74" s="13"/>
      <c r="AFD74" s="13"/>
      <c r="AFE74" s="13"/>
      <c r="AFF74" s="13"/>
      <c r="AFG74" s="13"/>
      <c r="AFH74" s="13"/>
      <c r="AFI74" s="13"/>
      <c r="AFJ74" s="13"/>
      <c r="AFK74" s="13"/>
      <c r="AFL74" s="13"/>
      <c r="AFM74" s="13"/>
      <c r="AFN74" s="13"/>
      <c r="AFO74" s="13"/>
      <c r="AFP74" s="13"/>
      <c r="AFQ74" s="13"/>
      <c r="AFR74" s="13"/>
      <c r="AFS74" s="13"/>
      <c r="AFT74" s="13"/>
      <c r="AFU74" s="13"/>
      <c r="AFV74" s="13"/>
      <c r="AFW74" s="13"/>
      <c r="AFX74" s="13"/>
      <c r="AFY74" s="13"/>
      <c r="AFZ74" s="13"/>
      <c r="AGA74" s="13"/>
      <c r="AGB74" s="13"/>
      <c r="AGC74" s="13"/>
      <c r="AGD74" s="13"/>
      <c r="AGE74" s="13"/>
      <c r="AGF74" s="13"/>
      <c r="AGG74" s="13"/>
      <c r="AGH74" s="13"/>
      <c r="AGI74" s="13"/>
      <c r="AGJ74" s="13"/>
      <c r="AGK74" s="13"/>
      <c r="AGL74" s="13"/>
      <c r="AGM74" s="13"/>
      <c r="AGN74" s="13"/>
      <c r="AGO74" s="13"/>
      <c r="AGP74" s="13"/>
      <c r="AGQ74" s="13"/>
      <c r="AGR74" s="13"/>
      <c r="AGS74" s="13"/>
      <c r="AGT74" s="13"/>
      <c r="AGU74" s="13"/>
      <c r="AGV74" s="13"/>
      <c r="AGW74" s="13"/>
      <c r="AGX74" s="13"/>
      <c r="AGY74" s="13"/>
      <c r="AGZ74" s="13"/>
      <c r="AHA74" s="13"/>
      <c r="AHB74" s="13"/>
      <c r="AHC74" s="13"/>
      <c r="AHD74" s="13"/>
      <c r="AHE74" s="13"/>
      <c r="AHF74" s="13"/>
      <c r="AHG74" s="13"/>
      <c r="AHH74" s="13"/>
      <c r="AHI74" s="13"/>
      <c r="AHJ74" s="13"/>
      <c r="AHK74" s="13"/>
      <c r="AHL74" s="13"/>
      <c r="AHM74" s="13"/>
      <c r="AHN74" s="13"/>
      <c r="AHO74" s="13"/>
      <c r="AHP74" s="13"/>
      <c r="AHQ74" s="13"/>
      <c r="AHR74" s="13"/>
      <c r="AHS74" s="13"/>
      <c r="AHT74" s="13"/>
      <c r="AHU74" s="13"/>
      <c r="AHV74" s="13"/>
      <c r="AHW74" s="13"/>
      <c r="AHX74" s="13"/>
      <c r="AHY74" s="13"/>
      <c r="AHZ74" s="13"/>
      <c r="AIA74" s="13"/>
      <c r="AIB74" s="13"/>
      <c r="AIC74" s="13"/>
      <c r="AID74" s="13"/>
      <c r="AIE74" s="13"/>
      <c r="AIF74" s="13"/>
      <c r="AIG74" s="13"/>
      <c r="AIH74" s="13"/>
      <c r="AII74" s="13"/>
      <c r="AIJ74" s="13"/>
      <c r="AIK74" s="13"/>
      <c r="AIL74" s="13"/>
      <c r="AIM74" s="13"/>
      <c r="AIN74" s="13"/>
      <c r="AIO74" s="13"/>
      <c r="AIP74" s="13"/>
      <c r="AIQ74" s="13"/>
      <c r="AIR74" s="13"/>
      <c r="AIS74" s="13"/>
      <c r="AIT74" s="13"/>
      <c r="AIU74" s="13"/>
      <c r="AIV74" s="13"/>
      <c r="AIW74" s="13"/>
      <c r="AIX74" s="13"/>
      <c r="AIY74" s="13"/>
      <c r="AIZ74" s="13"/>
      <c r="AJA74" s="13"/>
      <c r="AJB74" s="13"/>
      <c r="AJC74" s="13"/>
      <c r="AJD74" s="13"/>
      <c r="AJE74" s="13"/>
      <c r="AJF74" s="13"/>
      <c r="AJG74" s="13"/>
      <c r="AJH74" s="13"/>
      <c r="AJI74" s="13"/>
      <c r="AJJ74" s="13"/>
      <c r="AJK74" s="13"/>
      <c r="AJL74" s="13"/>
      <c r="AJM74" s="13"/>
      <c r="AJN74" s="13"/>
      <c r="AJO74" s="13"/>
      <c r="AJP74" s="13"/>
      <c r="AJQ74" s="13"/>
      <c r="AJR74" s="13"/>
      <c r="AJS74" s="13"/>
      <c r="AJT74" s="13"/>
      <c r="AJU74" s="13"/>
      <c r="AJV74" s="13"/>
      <c r="AJW74" s="13"/>
      <c r="AJX74" s="13"/>
      <c r="AJY74" s="13"/>
      <c r="AJZ74" s="13"/>
      <c r="AKA74" s="13"/>
      <c r="AKB74" s="13"/>
      <c r="AKC74" s="13"/>
      <c r="AKD74" s="13"/>
      <c r="AKE74" s="13"/>
      <c r="AKF74" s="13"/>
      <c r="AKG74" s="13"/>
      <c r="AKH74" s="13"/>
      <c r="AKI74" s="13"/>
      <c r="AKJ74" s="13"/>
      <c r="AKK74" s="13"/>
      <c r="AKL74" s="13"/>
      <c r="AKM74" s="13"/>
      <c r="AKN74" s="13"/>
      <c r="AKO74" s="13"/>
      <c r="AKP74" s="13"/>
      <c r="AKQ74" s="13"/>
      <c r="AKR74" s="13"/>
      <c r="AKS74" s="13"/>
      <c r="AKT74" s="13"/>
      <c r="AKU74" s="13"/>
      <c r="AKV74" s="13"/>
      <c r="AKW74" s="13"/>
      <c r="AKX74" s="13"/>
      <c r="AKY74" s="13"/>
      <c r="AKZ74" s="13"/>
      <c r="ALA74" s="13"/>
      <c r="ALB74" s="13"/>
      <c r="ALC74" s="13"/>
      <c r="ALD74" s="13"/>
      <c r="ALE74" s="13"/>
      <c r="ALF74" s="13"/>
      <c r="ALG74" s="13"/>
      <c r="ALH74" s="13"/>
      <c r="ALI74" s="13"/>
      <c r="ALJ74" s="13"/>
      <c r="ALK74" s="13"/>
      <c r="ALL74" s="13"/>
      <c r="ALM74" s="13"/>
      <c r="ALN74" s="13"/>
      <c r="ALO74" s="13"/>
      <c r="ALP74" s="13"/>
      <c r="ALQ74" s="13"/>
      <c r="ALR74" s="13"/>
      <c r="ALS74" s="13"/>
      <c r="ALT74" s="13"/>
      <c r="ALU74" s="13"/>
      <c r="ALV74" s="13"/>
      <c r="ALW74" s="13"/>
      <c r="ALX74" s="13"/>
      <c r="ALY74" s="13"/>
      <c r="ALZ74" s="13"/>
      <c r="AMA74" s="13"/>
      <c r="AMB74" s="13"/>
      <c r="AMC74" s="13"/>
      <c r="AMD74" s="13"/>
      <c r="AME74" s="13"/>
      <c r="AMF74" s="13"/>
      <c r="AMG74" s="13"/>
      <c r="AMH74" s="13"/>
      <c r="AMI74" s="13"/>
      <c r="AMJ74" s="13"/>
      <c r="AMK74" s="13"/>
    </row>
    <row r="75" spans="1:1025" s="133" customFormat="1" ht="12.75" customHeight="1" x14ac:dyDescent="0.2">
      <c r="A75" s="75" t="s">
        <v>61</v>
      </c>
      <c r="B75" s="46">
        <v>0</v>
      </c>
      <c r="C75" s="81">
        <v>9.9999999999999998E+37</v>
      </c>
      <c r="D75" s="82" t="s">
        <v>55</v>
      </c>
      <c r="E75" s="83" t="s">
        <v>49</v>
      </c>
      <c r="F75" s="63"/>
      <c r="G75" s="6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  <c r="KO75" s="13"/>
      <c r="KP75" s="13"/>
      <c r="KQ75" s="13"/>
      <c r="KR75" s="13"/>
      <c r="KS75" s="13"/>
      <c r="KT75" s="13"/>
      <c r="KU75" s="13"/>
      <c r="KV75" s="13"/>
      <c r="KW75" s="13"/>
      <c r="KX75" s="13"/>
      <c r="KY75" s="13"/>
      <c r="KZ75" s="13"/>
      <c r="LA75" s="13"/>
      <c r="LB75" s="13"/>
      <c r="LC75" s="13"/>
      <c r="LD75" s="13"/>
      <c r="LE75" s="13"/>
      <c r="LF75" s="13"/>
      <c r="LG75" s="13"/>
      <c r="LH75" s="13"/>
      <c r="LI75" s="13"/>
      <c r="LJ75" s="13"/>
      <c r="LK75" s="13"/>
      <c r="LL75" s="13"/>
      <c r="LM75" s="13"/>
      <c r="LN75" s="13"/>
      <c r="LO75" s="13"/>
      <c r="LP75" s="13"/>
      <c r="LQ75" s="13"/>
      <c r="LR75" s="13"/>
      <c r="LS75" s="13"/>
      <c r="LT75" s="13"/>
      <c r="LU75" s="13"/>
      <c r="LV75" s="13"/>
      <c r="LW75" s="13"/>
      <c r="LX75" s="13"/>
      <c r="LY75" s="13"/>
      <c r="LZ75" s="13"/>
      <c r="MA75" s="13"/>
      <c r="MB75" s="13"/>
      <c r="MC75" s="13"/>
      <c r="MD75" s="13"/>
      <c r="ME75" s="13"/>
      <c r="MF75" s="13"/>
      <c r="MG75" s="13"/>
      <c r="MH75" s="13"/>
      <c r="MI75" s="13"/>
      <c r="MJ75" s="13"/>
      <c r="MK75" s="13"/>
      <c r="ML75" s="13"/>
      <c r="MM75" s="13"/>
      <c r="MN75" s="13"/>
      <c r="MO75" s="13"/>
      <c r="MP75" s="13"/>
      <c r="MQ75" s="13"/>
      <c r="MR75" s="13"/>
      <c r="MS75" s="13"/>
      <c r="MT75" s="13"/>
      <c r="MU75" s="13"/>
      <c r="MV75" s="13"/>
      <c r="MW75" s="13"/>
      <c r="MX75" s="13"/>
      <c r="MY75" s="13"/>
      <c r="MZ75" s="13"/>
      <c r="NA75" s="13"/>
      <c r="NB75" s="13"/>
      <c r="NC75" s="13"/>
      <c r="ND75" s="13"/>
      <c r="NE75" s="13"/>
      <c r="NF75" s="13"/>
      <c r="NG75" s="13"/>
      <c r="NH75" s="13"/>
      <c r="NI75" s="13"/>
      <c r="NJ75" s="13"/>
      <c r="NK75" s="13"/>
      <c r="NL75" s="13"/>
      <c r="NM75" s="13"/>
      <c r="NN75" s="13"/>
      <c r="NO75" s="13"/>
      <c r="NP75" s="13"/>
      <c r="NQ75" s="13"/>
      <c r="NR75" s="13"/>
      <c r="NS75" s="13"/>
      <c r="NT75" s="13"/>
      <c r="NU75" s="13"/>
      <c r="NV75" s="13"/>
      <c r="NW75" s="13"/>
      <c r="NX75" s="13"/>
      <c r="NY75" s="13"/>
      <c r="NZ75" s="13"/>
      <c r="OA75" s="13"/>
      <c r="OB75" s="13"/>
      <c r="OC75" s="13"/>
      <c r="OD75" s="13"/>
      <c r="OE75" s="13"/>
      <c r="OF75" s="13"/>
      <c r="OG75" s="13"/>
      <c r="OH75" s="13"/>
      <c r="OI75" s="13"/>
      <c r="OJ75" s="13"/>
      <c r="OK75" s="13"/>
      <c r="OL75" s="13"/>
      <c r="OM75" s="13"/>
      <c r="ON75" s="13"/>
      <c r="OO75" s="13"/>
      <c r="OP75" s="13"/>
      <c r="OQ75" s="13"/>
      <c r="OR75" s="13"/>
      <c r="OS75" s="13"/>
      <c r="OT75" s="13"/>
      <c r="OU75" s="13"/>
      <c r="OV75" s="13"/>
      <c r="OW75" s="13"/>
      <c r="OX75" s="13"/>
      <c r="OY75" s="13"/>
      <c r="OZ75" s="13"/>
      <c r="PA75" s="13"/>
      <c r="PB75" s="13"/>
      <c r="PC75" s="13"/>
      <c r="PD75" s="13"/>
      <c r="PE75" s="13"/>
      <c r="PF75" s="13"/>
      <c r="PG75" s="13"/>
      <c r="PH75" s="13"/>
      <c r="PI75" s="13"/>
      <c r="PJ75" s="13"/>
      <c r="PK75" s="13"/>
      <c r="PL75" s="13"/>
      <c r="PM75" s="13"/>
      <c r="PN75" s="13"/>
      <c r="PO75" s="13"/>
      <c r="PP75" s="13"/>
      <c r="PQ75" s="13"/>
      <c r="PR75" s="13"/>
      <c r="PS75" s="13"/>
      <c r="PT75" s="13"/>
      <c r="PU75" s="13"/>
      <c r="PV75" s="13"/>
      <c r="PW75" s="13"/>
      <c r="PX75" s="13"/>
      <c r="PY75" s="13"/>
      <c r="PZ75" s="13"/>
      <c r="QA75" s="13"/>
      <c r="QB75" s="13"/>
      <c r="QC75" s="13"/>
      <c r="QD75" s="13"/>
      <c r="QE75" s="13"/>
      <c r="QF75" s="13"/>
      <c r="QG75" s="13"/>
      <c r="QH75" s="13"/>
      <c r="QI75" s="13"/>
      <c r="QJ75" s="13"/>
      <c r="QK75" s="13"/>
      <c r="QL75" s="13"/>
      <c r="QM75" s="13"/>
      <c r="QN75" s="13"/>
      <c r="QO75" s="13"/>
      <c r="QP75" s="13"/>
      <c r="QQ75" s="13"/>
      <c r="QR75" s="13"/>
      <c r="QS75" s="13"/>
      <c r="QT75" s="13"/>
      <c r="QU75" s="13"/>
      <c r="QV75" s="13"/>
      <c r="QW75" s="13"/>
      <c r="QX75" s="13"/>
      <c r="QY75" s="13"/>
      <c r="QZ75" s="13"/>
      <c r="RA75" s="13"/>
      <c r="RB75" s="13"/>
      <c r="RC75" s="13"/>
      <c r="RD75" s="13"/>
      <c r="RE75" s="13"/>
      <c r="RF75" s="13"/>
      <c r="RG75" s="13"/>
      <c r="RH75" s="13"/>
      <c r="RI75" s="13"/>
      <c r="RJ75" s="13"/>
      <c r="RK75" s="13"/>
      <c r="RL75" s="13"/>
      <c r="RM75" s="13"/>
      <c r="RN75" s="13"/>
      <c r="RO75" s="13"/>
      <c r="RP75" s="13"/>
      <c r="RQ75" s="13"/>
      <c r="RR75" s="13"/>
      <c r="RS75" s="13"/>
      <c r="RT75" s="13"/>
      <c r="RU75" s="13"/>
      <c r="RV75" s="13"/>
      <c r="RW75" s="13"/>
      <c r="RX75" s="13"/>
      <c r="RY75" s="13"/>
      <c r="RZ75" s="13"/>
      <c r="SA75" s="13"/>
      <c r="SB75" s="13"/>
      <c r="SC75" s="13"/>
      <c r="SD75" s="13"/>
      <c r="SE75" s="13"/>
      <c r="SF75" s="13"/>
      <c r="SG75" s="13"/>
      <c r="SH75" s="13"/>
      <c r="SI75" s="13"/>
      <c r="SJ75" s="13"/>
      <c r="SK75" s="13"/>
      <c r="SL75" s="13"/>
      <c r="SM75" s="13"/>
      <c r="SN75" s="13"/>
      <c r="SO75" s="13"/>
      <c r="SP75" s="13"/>
      <c r="SQ75" s="13"/>
      <c r="SR75" s="13"/>
      <c r="SS75" s="13"/>
      <c r="ST75" s="13"/>
      <c r="SU75" s="13"/>
      <c r="SV75" s="13"/>
      <c r="SW75" s="13"/>
      <c r="SX75" s="13"/>
      <c r="SY75" s="13"/>
      <c r="SZ75" s="13"/>
      <c r="TA75" s="13"/>
      <c r="TB75" s="13"/>
      <c r="TC75" s="13"/>
      <c r="TD75" s="13"/>
      <c r="TE75" s="13"/>
      <c r="TF75" s="13"/>
      <c r="TG75" s="13"/>
      <c r="TH75" s="13"/>
      <c r="TI75" s="13"/>
      <c r="TJ75" s="13"/>
      <c r="TK75" s="13"/>
      <c r="TL75" s="13"/>
      <c r="TM75" s="13"/>
      <c r="TN75" s="13"/>
      <c r="TO75" s="13"/>
      <c r="TP75" s="13"/>
      <c r="TQ75" s="13"/>
      <c r="TR75" s="13"/>
      <c r="TS75" s="13"/>
      <c r="TT75" s="13"/>
      <c r="TU75" s="13"/>
      <c r="TV75" s="13"/>
      <c r="TW75" s="13"/>
      <c r="TX75" s="13"/>
      <c r="TY75" s="13"/>
      <c r="TZ75" s="13"/>
      <c r="UA75" s="13"/>
      <c r="UB75" s="13"/>
      <c r="UC75" s="13"/>
      <c r="UD75" s="13"/>
      <c r="UE75" s="13"/>
      <c r="UF75" s="13"/>
      <c r="UG75" s="13"/>
      <c r="UH75" s="13"/>
      <c r="UI75" s="13"/>
      <c r="UJ75" s="13"/>
      <c r="UK75" s="13"/>
      <c r="UL75" s="13"/>
      <c r="UM75" s="13"/>
      <c r="UN75" s="13"/>
      <c r="UO75" s="13"/>
      <c r="UP75" s="13"/>
      <c r="UQ75" s="13"/>
      <c r="UR75" s="13"/>
      <c r="US75" s="13"/>
      <c r="UT75" s="13"/>
      <c r="UU75" s="13"/>
      <c r="UV75" s="13"/>
      <c r="UW75" s="13"/>
      <c r="UX75" s="13"/>
      <c r="UY75" s="13"/>
      <c r="UZ75" s="13"/>
      <c r="VA75" s="13"/>
      <c r="VB75" s="13"/>
      <c r="VC75" s="13"/>
      <c r="VD75" s="13"/>
      <c r="VE75" s="13"/>
      <c r="VF75" s="13"/>
      <c r="VG75" s="13"/>
      <c r="VH75" s="13"/>
      <c r="VI75" s="13"/>
      <c r="VJ75" s="13"/>
      <c r="VK75" s="13"/>
      <c r="VL75" s="13"/>
      <c r="VM75" s="13"/>
      <c r="VN75" s="13"/>
      <c r="VO75" s="13"/>
      <c r="VP75" s="13"/>
      <c r="VQ75" s="13"/>
      <c r="VR75" s="13"/>
      <c r="VS75" s="13"/>
      <c r="VT75" s="13"/>
      <c r="VU75" s="13"/>
      <c r="VV75" s="13"/>
      <c r="VW75" s="13"/>
      <c r="VX75" s="13"/>
      <c r="VY75" s="13"/>
      <c r="VZ75" s="13"/>
      <c r="WA75" s="13"/>
      <c r="WB75" s="13"/>
      <c r="WC75" s="13"/>
      <c r="WD75" s="13"/>
      <c r="WE75" s="13"/>
      <c r="WF75" s="13"/>
      <c r="WG75" s="13"/>
      <c r="WH75" s="13"/>
      <c r="WI75" s="13"/>
      <c r="WJ75" s="13"/>
      <c r="WK75" s="13"/>
      <c r="WL75" s="13"/>
      <c r="WM75" s="13"/>
      <c r="WN75" s="13"/>
      <c r="WO75" s="13"/>
      <c r="WP75" s="13"/>
      <c r="WQ75" s="13"/>
      <c r="WR75" s="13"/>
      <c r="WS75" s="13"/>
      <c r="WT75" s="13"/>
      <c r="WU75" s="13"/>
      <c r="WV75" s="13"/>
      <c r="WW75" s="13"/>
      <c r="WX75" s="13"/>
      <c r="WY75" s="13"/>
      <c r="WZ75" s="13"/>
      <c r="XA75" s="13"/>
      <c r="XB75" s="13"/>
      <c r="XC75" s="13"/>
      <c r="XD75" s="13"/>
      <c r="XE75" s="13"/>
      <c r="XF75" s="13"/>
      <c r="XG75" s="13"/>
      <c r="XH75" s="13"/>
      <c r="XI75" s="13"/>
      <c r="XJ75" s="13"/>
      <c r="XK75" s="13"/>
      <c r="XL75" s="13"/>
      <c r="XM75" s="13"/>
      <c r="XN75" s="13"/>
      <c r="XO75" s="13"/>
      <c r="XP75" s="13"/>
      <c r="XQ75" s="13"/>
      <c r="XR75" s="13"/>
      <c r="XS75" s="13"/>
      <c r="XT75" s="13"/>
      <c r="XU75" s="13"/>
      <c r="XV75" s="13"/>
      <c r="XW75" s="13"/>
      <c r="XX75" s="13"/>
      <c r="XY75" s="13"/>
      <c r="XZ75" s="13"/>
      <c r="YA75" s="13"/>
      <c r="YB75" s="13"/>
      <c r="YC75" s="13"/>
      <c r="YD75" s="13"/>
      <c r="YE75" s="13"/>
      <c r="YF75" s="13"/>
      <c r="YG75" s="13"/>
      <c r="YH75" s="13"/>
      <c r="YI75" s="13"/>
      <c r="YJ75" s="13"/>
      <c r="YK75" s="13"/>
      <c r="YL75" s="13"/>
      <c r="YM75" s="13"/>
      <c r="YN75" s="13"/>
      <c r="YO75" s="13"/>
      <c r="YP75" s="13"/>
      <c r="YQ75" s="13"/>
      <c r="YR75" s="13"/>
      <c r="YS75" s="13"/>
      <c r="YT75" s="13"/>
      <c r="YU75" s="13"/>
      <c r="YV75" s="13"/>
      <c r="YW75" s="13"/>
      <c r="YX75" s="13"/>
      <c r="YY75" s="13"/>
      <c r="YZ75" s="13"/>
      <c r="ZA75" s="13"/>
      <c r="ZB75" s="13"/>
      <c r="ZC75" s="13"/>
      <c r="ZD75" s="13"/>
      <c r="ZE75" s="13"/>
      <c r="ZF75" s="13"/>
      <c r="ZG75" s="13"/>
      <c r="ZH75" s="13"/>
      <c r="ZI75" s="13"/>
      <c r="ZJ75" s="13"/>
      <c r="ZK75" s="13"/>
      <c r="ZL75" s="13"/>
      <c r="ZM75" s="13"/>
      <c r="ZN75" s="13"/>
      <c r="ZO75" s="13"/>
      <c r="ZP75" s="13"/>
      <c r="ZQ75" s="13"/>
      <c r="ZR75" s="13"/>
      <c r="ZS75" s="13"/>
      <c r="ZT75" s="13"/>
      <c r="ZU75" s="13"/>
      <c r="ZV75" s="13"/>
      <c r="ZW75" s="13"/>
      <c r="ZX75" s="13"/>
      <c r="ZY75" s="13"/>
      <c r="ZZ75" s="13"/>
      <c r="AAA75" s="13"/>
      <c r="AAB75" s="13"/>
      <c r="AAC75" s="13"/>
      <c r="AAD75" s="13"/>
      <c r="AAE75" s="13"/>
      <c r="AAF75" s="13"/>
      <c r="AAG75" s="13"/>
      <c r="AAH75" s="13"/>
      <c r="AAI75" s="13"/>
      <c r="AAJ75" s="13"/>
      <c r="AAK75" s="13"/>
      <c r="AAL75" s="13"/>
      <c r="AAM75" s="13"/>
      <c r="AAN75" s="13"/>
      <c r="AAO75" s="13"/>
      <c r="AAP75" s="13"/>
      <c r="AAQ75" s="13"/>
      <c r="AAR75" s="13"/>
      <c r="AAS75" s="13"/>
      <c r="AAT75" s="13"/>
      <c r="AAU75" s="13"/>
      <c r="AAV75" s="13"/>
      <c r="AAW75" s="13"/>
      <c r="AAX75" s="13"/>
      <c r="AAY75" s="13"/>
      <c r="AAZ75" s="13"/>
      <c r="ABA75" s="13"/>
      <c r="ABB75" s="13"/>
      <c r="ABC75" s="13"/>
      <c r="ABD75" s="13"/>
      <c r="ABE75" s="13"/>
      <c r="ABF75" s="13"/>
      <c r="ABG75" s="13"/>
      <c r="ABH75" s="13"/>
      <c r="ABI75" s="13"/>
      <c r="ABJ75" s="13"/>
      <c r="ABK75" s="13"/>
      <c r="ABL75" s="13"/>
      <c r="ABM75" s="13"/>
      <c r="ABN75" s="13"/>
      <c r="ABO75" s="13"/>
      <c r="ABP75" s="13"/>
      <c r="ABQ75" s="13"/>
      <c r="ABR75" s="13"/>
      <c r="ABS75" s="13"/>
      <c r="ABT75" s="13"/>
      <c r="ABU75" s="13"/>
      <c r="ABV75" s="13"/>
      <c r="ABW75" s="13"/>
      <c r="ABX75" s="13"/>
      <c r="ABY75" s="13"/>
      <c r="ABZ75" s="13"/>
      <c r="ACA75" s="13"/>
      <c r="ACB75" s="13"/>
      <c r="ACC75" s="13"/>
      <c r="ACD75" s="13"/>
      <c r="ACE75" s="13"/>
      <c r="ACF75" s="13"/>
      <c r="ACG75" s="13"/>
      <c r="ACH75" s="13"/>
      <c r="ACI75" s="13"/>
      <c r="ACJ75" s="13"/>
      <c r="ACK75" s="13"/>
      <c r="ACL75" s="13"/>
      <c r="ACM75" s="13"/>
      <c r="ACN75" s="13"/>
      <c r="ACO75" s="13"/>
      <c r="ACP75" s="13"/>
      <c r="ACQ75" s="13"/>
      <c r="ACR75" s="13"/>
      <c r="ACS75" s="13"/>
      <c r="ACT75" s="13"/>
      <c r="ACU75" s="13"/>
      <c r="ACV75" s="13"/>
      <c r="ACW75" s="13"/>
      <c r="ACX75" s="13"/>
      <c r="ACY75" s="13"/>
      <c r="ACZ75" s="13"/>
      <c r="ADA75" s="13"/>
      <c r="ADB75" s="13"/>
      <c r="ADC75" s="13"/>
      <c r="ADD75" s="13"/>
      <c r="ADE75" s="13"/>
      <c r="ADF75" s="13"/>
      <c r="ADG75" s="13"/>
      <c r="ADH75" s="13"/>
      <c r="ADI75" s="13"/>
      <c r="ADJ75" s="13"/>
      <c r="ADK75" s="13"/>
      <c r="ADL75" s="13"/>
      <c r="ADM75" s="13"/>
      <c r="ADN75" s="13"/>
      <c r="ADO75" s="13"/>
      <c r="ADP75" s="13"/>
      <c r="ADQ75" s="13"/>
      <c r="ADR75" s="13"/>
      <c r="ADS75" s="13"/>
      <c r="ADT75" s="13"/>
      <c r="ADU75" s="13"/>
      <c r="ADV75" s="13"/>
      <c r="ADW75" s="13"/>
      <c r="ADX75" s="13"/>
      <c r="ADY75" s="13"/>
      <c r="ADZ75" s="13"/>
      <c r="AEA75" s="13"/>
      <c r="AEB75" s="13"/>
      <c r="AEC75" s="13"/>
      <c r="AED75" s="13"/>
      <c r="AEE75" s="13"/>
      <c r="AEF75" s="13"/>
      <c r="AEG75" s="13"/>
      <c r="AEH75" s="13"/>
      <c r="AEI75" s="13"/>
      <c r="AEJ75" s="13"/>
      <c r="AEK75" s="13"/>
      <c r="AEL75" s="13"/>
      <c r="AEM75" s="13"/>
      <c r="AEN75" s="13"/>
      <c r="AEO75" s="13"/>
      <c r="AEP75" s="13"/>
      <c r="AEQ75" s="13"/>
      <c r="AER75" s="13"/>
      <c r="AES75" s="13"/>
      <c r="AET75" s="13"/>
      <c r="AEU75" s="13"/>
      <c r="AEV75" s="13"/>
      <c r="AEW75" s="13"/>
      <c r="AEX75" s="13"/>
      <c r="AEY75" s="13"/>
      <c r="AEZ75" s="13"/>
      <c r="AFA75" s="13"/>
      <c r="AFB75" s="13"/>
      <c r="AFC75" s="13"/>
      <c r="AFD75" s="13"/>
      <c r="AFE75" s="13"/>
      <c r="AFF75" s="13"/>
      <c r="AFG75" s="13"/>
      <c r="AFH75" s="13"/>
      <c r="AFI75" s="13"/>
      <c r="AFJ75" s="13"/>
      <c r="AFK75" s="13"/>
      <c r="AFL75" s="13"/>
      <c r="AFM75" s="13"/>
      <c r="AFN75" s="13"/>
      <c r="AFO75" s="13"/>
      <c r="AFP75" s="13"/>
      <c r="AFQ75" s="13"/>
      <c r="AFR75" s="13"/>
      <c r="AFS75" s="13"/>
      <c r="AFT75" s="13"/>
      <c r="AFU75" s="13"/>
      <c r="AFV75" s="13"/>
      <c r="AFW75" s="13"/>
      <c r="AFX75" s="13"/>
      <c r="AFY75" s="13"/>
      <c r="AFZ75" s="13"/>
      <c r="AGA75" s="13"/>
      <c r="AGB75" s="13"/>
      <c r="AGC75" s="13"/>
      <c r="AGD75" s="13"/>
      <c r="AGE75" s="13"/>
      <c r="AGF75" s="13"/>
      <c r="AGG75" s="13"/>
      <c r="AGH75" s="13"/>
      <c r="AGI75" s="13"/>
      <c r="AGJ75" s="13"/>
      <c r="AGK75" s="13"/>
      <c r="AGL75" s="13"/>
      <c r="AGM75" s="13"/>
      <c r="AGN75" s="13"/>
      <c r="AGO75" s="13"/>
      <c r="AGP75" s="13"/>
      <c r="AGQ75" s="13"/>
      <c r="AGR75" s="13"/>
      <c r="AGS75" s="13"/>
      <c r="AGT75" s="13"/>
      <c r="AGU75" s="13"/>
      <c r="AGV75" s="13"/>
      <c r="AGW75" s="13"/>
      <c r="AGX75" s="13"/>
      <c r="AGY75" s="13"/>
      <c r="AGZ75" s="13"/>
      <c r="AHA75" s="13"/>
      <c r="AHB75" s="13"/>
      <c r="AHC75" s="13"/>
      <c r="AHD75" s="13"/>
      <c r="AHE75" s="13"/>
      <c r="AHF75" s="13"/>
      <c r="AHG75" s="13"/>
      <c r="AHH75" s="13"/>
      <c r="AHI75" s="13"/>
      <c r="AHJ75" s="13"/>
      <c r="AHK75" s="13"/>
      <c r="AHL75" s="13"/>
      <c r="AHM75" s="13"/>
      <c r="AHN75" s="13"/>
      <c r="AHO75" s="13"/>
      <c r="AHP75" s="13"/>
      <c r="AHQ75" s="13"/>
      <c r="AHR75" s="13"/>
      <c r="AHS75" s="13"/>
      <c r="AHT75" s="13"/>
      <c r="AHU75" s="13"/>
      <c r="AHV75" s="13"/>
      <c r="AHW75" s="13"/>
      <c r="AHX75" s="13"/>
      <c r="AHY75" s="13"/>
      <c r="AHZ75" s="13"/>
      <c r="AIA75" s="13"/>
      <c r="AIB75" s="13"/>
      <c r="AIC75" s="13"/>
      <c r="AID75" s="13"/>
      <c r="AIE75" s="13"/>
      <c r="AIF75" s="13"/>
      <c r="AIG75" s="13"/>
      <c r="AIH75" s="13"/>
      <c r="AII75" s="13"/>
      <c r="AIJ75" s="13"/>
      <c r="AIK75" s="13"/>
      <c r="AIL75" s="13"/>
      <c r="AIM75" s="13"/>
      <c r="AIN75" s="13"/>
      <c r="AIO75" s="13"/>
      <c r="AIP75" s="13"/>
      <c r="AIQ75" s="13"/>
      <c r="AIR75" s="13"/>
      <c r="AIS75" s="13"/>
      <c r="AIT75" s="13"/>
      <c r="AIU75" s="13"/>
      <c r="AIV75" s="13"/>
      <c r="AIW75" s="13"/>
      <c r="AIX75" s="13"/>
      <c r="AIY75" s="13"/>
      <c r="AIZ75" s="13"/>
      <c r="AJA75" s="13"/>
      <c r="AJB75" s="13"/>
      <c r="AJC75" s="13"/>
      <c r="AJD75" s="13"/>
      <c r="AJE75" s="13"/>
      <c r="AJF75" s="13"/>
      <c r="AJG75" s="13"/>
      <c r="AJH75" s="13"/>
      <c r="AJI75" s="13"/>
      <c r="AJJ75" s="13"/>
      <c r="AJK75" s="13"/>
      <c r="AJL75" s="13"/>
      <c r="AJM75" s="13"/>
      <c r="AJN75" s="13"/>
      <c r="AJO75" s="13"/>
      <c r="AJP75" s="13"/>
      <c r="AJQ75" s="13"/>
      <c r="AJR75" s="13"/>
      <c r="AJS75" s="13"/>
      <c r="AJT75" s="13"/>
      <c r="AJU75" s="13"/>
      <c r="AJV75" s="13"/>
      <c r="AJW75" s="13"/>
      <c r="AJX75" s="13"/>
      <c r="AJY75" s="13"/>
      <c r="AJZ75" s="13"/>
      <c r="AKA75" s="13"/>
      <c r="AKB75" s="13"/>
      <c r="AKC75" s="13"/>
      <c r="AKD75" s="13"/>
      <c r="AKE75" s="13"/>
      <c r="AKF75" s="13"/>
      <c r="AKG75" s="13"/>
      <c r="AKH75" s="13"/>
      <c r="AKI75" s="13"/>
      <c r="AKJ75" s="13"/>
      <c r="AKK75" s="13"/>
      <c r="AKL75" s="13"/>
      <c r="AKM75" s="13"/>
      <c r="AKN75" s="13"/>
      <c r="AKO75" s="13"/>
      <c r="AKP75" s="13"/>
      <c r="AKQ75" s="13"/>
      <c r="AKR75" s="13"/>
      <c r="AKS75" s="13"/>
      <c r="AKT75" s="13"/>
      <c r="AKU75" s="13"/>
      <c r="AKV75" s="13"/>
      <c r="AKW75" s="13"/>
      <c r="AKX75" s="13"/>
      <c r="AKY75" s="13"/>
      <c r="AKZ75" s="13"/>
      <c r="ALA75" s="13"/>
      <c r="ALB75" s="13"/>
      <c r="ALC75" s="13"/>
      <c r="ALD75" s="13"/>
      <c r="ALE75" s="13"/>
      <c r="ALF75" s="13"/>
      <c r="ALG75" s="13"/>
      <c r="ALH75" s="13"/>
      <c r="ALI75" s="13"/>
      <c r="ALJ75" s="13"/>
      <c r="ALK75" s="13"/>
      <c r="ALL75" s="13"/>
      <c r="ALM75" s="13"/>
      <c r="ALN75" s="13"/>
      <c r="ALO75" s="13"/>
      <c r="ALP75" s="13"/>
      <c r="ALQ75" s="13"/>
      <c r="ALR75" s="13"/>
      <c r="ALS75" s="13"/>
      <c r="ALT75" s="13"/>
      <c r="ALU75" s="13"/>
      <c r="ALV75" s="13"/>
      <c r="ALW75" s="13"/>
      <c r="ALX75" s="13"/>
      <c r="ALY75" s="13"/>
      <c r="ALZ75" s="13"/>
      <c r="AMA75" s="13"/>
      <c r="AMB75" s="13"/>
      <c r="AMC75" s="13"/>
      <c r="AMD75" s="13"/>
      <c r="AME75" s="13"/>
      <c r="AMF75" s="13"/>
      <c r="AMG75" s="13"/>
      <c r="AMH75" s="13"/>
      <c r="AMI75" s="13"/>
      <c r="AMJ75" s="13"/>
      <c r="AMK75" s="13"/>
    </row>
    <row r="76" spans="1:1025" s="133" customFormat="1" ht="12.75" customHeight="1" x14ac:dyDescent="0.2">
      <c r="A76" s="78" t="s">
        <v>62</v>
      </c>
      <c r="B76" s="79" t="s">
        <v>63</v>
      </c>
      <c r="C76" s="76" t="s">
        <v>64</v>
      </c>
      <c r="D76" s="84" t="s">
        <v>65</v>
      </c>
      <c r="E76" s="84" t="s">
        <v>66</v>
      </c>
      <c r="F76" s="85" t="s">
        <v>67</v>
      </c>
      <c r="G76" s="6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  <c r="KO76" s="13"/>
      <c r="KP76" s="13"/>
      <c r="KQ76" s="13"/>
      <c r="KR76" s="13"/>
      <c r="KS76" s="13"/>
      <c r="KT76" s="13"/>
      <c r="KU76" s="13"/>
      <c r="KV76" s="13"/>
      <c r="KW76" s="13"/>
      <c r="KX76" s="13"/>
      <c r="KY76" s="13"/>
      <c r="KZ76" s="13"/>
      <c r="LA76" s="13"/>
      <c r="LB76" s="13"/>
      <c r="LC76" s="13"/>
      <c r="LD76" s="13"/>
      <c r="LE76" s="13"/>
      <c r="LF76" s="13"/>
      <c r="LG76" s="13"/>
      <c r="LH76" s="13"/>
      <c r="LI76" s="13"/>
      <c r="LJ76" s="13"/>
      <c r="LK76" s="13"/>
      <c r="LL76" s="13"/>
      <c r="LM76" s="13"/>
      <c r="LN76" s="13"/>
      <c r="LO76" s="13"/>
      <c r="LP76" s="13"/>
      <c r="LQ76" s="13"/>
      <c r="LR76" s="13"/>
      <c r="LS76" s="13"/>
      <c r="LT76" s="13"/>
      <c r="LU76" s="13"/>
      <c r="LV76" s="13"/>
      <c r="LW76" s="13"/>
      <c r="LX76" s="13"/>
      <c r="LY76" s="13"/>
      <c r="LZ76" s="13"/>
      <c r="MA76" s="13"/>
      <c r="MB76" s="13"/>
      <c r="MC76" s="13"/>
      <c r="MD76" s="13"/>
      <c r="ME76" s="13"/>
      <c r="MF76" s="13"/>
      <c r="MG76" s="13"/>
      <c r="MH76" s="13"/>
      <c r="MI76" s="13"/>
      <c r="MJ76" s="13"/>
      <c r="MK76" s="13"/>
      <c r="ML76" s="13"/>
      <c r="MM76" s="13"/>
      <c r="MN76" s="13"/>
      <c r="MO76" s="13"/>
      <c r="MP76" s="13"/>
      <c r="MQ76" s="13"/>
      <c r="MR76" s="13"/>
      <c r="MS76" s="13"/>
      <c r="MT76" s="13"/>
      <c r="MU76" s="13"/>
      <c r="MV76" s="13"/>
      <c r="MW76" s="13"/>
      <c r="MX76" s="13"/>
      <c r="MY76" s="13"/>
      <c r="MZ76" s="13"/>
      <c r="NA76" s="13"/>
      <c r="NB76" s="13"/>
      <c r="NC76" s="13"/>
      <c r="ND76" s="13"/>
      <c r="NE76" s="13"/>
      <c r="NF76" s="13"/>
      <c r="NG76" s="13"/>
      <c r="NH76" s="13"/>
      <c r="NI76" s="13"/>
      <c r="NJ76" s="13"/>
      <c r="NK76" s="13"/>
      <c r="NL76" s="13"/>
      <c r="NM76" s="13"/>
      <c r="NN76" s="13"/>
      <c r="NO76" s="13"/>
      <c r="NP76" s="13"/>
      <c r="NQ76" s="13"/>
      <c r="NR76" s="13"/>
      <c r="NS76" s="13"/>
      <c r="NT76" s="13"/>
      <c r="NU76" s="13"/>
      <c r="NV76" s="13"/>
      <c r="NW76" s="13"/>
      <c r="NX76" s="13"/>
      <c r="NY76" s="13"/>
      <c r="NZ76" s="13"/>
      <c r="OA76" s="13"/>
      <c r="OB76" s="13"/>
      <c r="OC76" s="13"/>
      <c r="OD76" s="13"/>
      <c r="OE76" s="13"/>
      <c r="OF76" s="13"/>
      <c r="OG76" s="13"/>
      <c r="OH76" s="13"/>
      <c r="OI76" s="13"/>
      <c r="OJ76" s="13"/>
      <c r="OK76" s="13"/>
      <c r="OL76" s="13"/>
      <c r="OM76" s="13"/>
      <c r="ON76" s="13"/>
      <c r="OO76" s="13"/>
      <c r="OP76" s="13"/>
      <c r="OQ76" s="13"/>
      <c r="OR76" s="13"/>
      <c r="OS76" s="13"/>
      <c r="OT76" s="13"/>
      <c r="OU76" s="13"/>
      <c r="OV76" s="13"/>
      <c r="OW76" s="13"/>
      <c r="OX76" s="13"/>
      <c r="OY76" s="13"/>
      <c r="OZ76" s="13"/>
      <c r="PA76" s="13"/>
      <c r="PB76" s="13"/>
      <c r="PC76" s="13"/>
      <c r="PD76" s="13"/>
      <c r="PE76" s="13"/>
      <c r="PF76" s="13"/>
      <c r="PG76" s="13"/>
      <c r="PH76" s="13"/>
      <c r="PI76" s="13"/>
      <c r="PJ76" s="13"/>
      <c r="PK76" s="13"/>
      <c r="PL76" s="13"/>
      <c r="PM76" s="13"/>
      <c r="PN76" s="13"/>
      <c r="PO76" s="13"/>
      <c r="PP76" s="13"/>
      <c r="PQ76" s="13"/>
      <c r="PR76" s="13"/>
      <c r="PS76" s="13"/>
      <c r="PT76" s="13"/>
      <c r="PU76" s="13"/>
      <c r="PV76" s="13"/>
      <c r="PW76" s="13"/>
      <c r="PX76" s="13"/>
      <c r="PY76" s="13"/>
      <c r="PZ76" s="13"/>
      <c r="QA76" s="13"/>
      <c r="QB76" s="13"/>
      <c r="QC76" s="13"/>
      <c r="QD76" s="13"/>
      <c r="QE76" s="13"/>
      <c r="QF76" s="13"/>
      <c r="QG76" s="13"/>
      <c r="QH76" s="13"/>
      <c r="QI76" s="13"/>
      <c r="QJ76" s="13"/>
      <c r="QK76" s="13"/>
      <c r="QL76" s="13"/>
      <c r="QM76" s="13"/>
      <c r="QN76" s="13"/>
      <c r="QO76" s="13"/>
      <c r="QP76" s="13"/>
      <c r="QQ76" s="13"/>
      <c r="QR76" s="13"/>
      <c r="QS76" s="13"/>
      <c r="QT76" s="13"/>
      <c r="QU76" s="13"/>
      <c r="QV76" s="13"/>
      <c r="QW76" s="13"/>
      <c r="QX76" s="13"/>
      <c r="QY76" s="13"/>
      <c r="QZ76" s="13"/>
      <c r="RA76" s="13"/>
      <c r="RB76" s="13"/>
      <c r="RC76" s="13"/>
      <c r="RD76" s="13"/>
      <c r="RE76" s="13"/>
      <c r="RF76" s="13"/>
      <c r="RG76" s="13"/>
      <c r="RH76" s="13"/>
      <c r="RI76" s="13"/>
      <c r="RJ76" s="13"/>
      <c r="RK76" s="13"/>
      <c r="RL76" s="13"/>
      <c r="RM76" s="13"/>
      <c r="RN76" s="13"/>
      <c r="RO76" s="13"/>
      <c r="RP76" s="13"/>
      <c r="RQ76" s="13"/>
      <c r="RR76" s="13"/>
      <c r="RS76" s="13"/>
      <c r="RT76" s="13"/>
      <c r="RU76" s="13"/>
      <c r="RV76" s="13"/>
      <c r="RW76" s="13"/>
      <c r="RX76" s="13"/>
      <c r="RY76" s="13"/>
      <c r="RZ76" s="13"/>
      <c r="SA76" s="13"/>
      <c r="SB76" s="13"/>
      <c r="SC76" s="13"/>
      <c r="SD76" s="13"/>
      <c r="SE76" s="13"/>
      <c r="SF76" s="13"/>
      <c r="SG76" s="13"/>
      <c r="SH76" s="13"/>
      <c r="SI76" s="13"/>
      <c r="SJ76" s="13"/>
      <c r="SK76" s="13"/>
      <c r="SL76" s="13"/>
      <c r="SM76" s="13"/>
      <c r="SN76" s="13"/>
      <c r="SO76" s="13"/>
      <c r="SP76" s="13"/>
      <c r="SQ76" s="13"/>
      <c r="SR76" s="13"/>
      <c r="SS76" s="13"/>
      <c r="ST76" s="13"/>
      <c r="SU76" s="13"/>
      <c r="SV76" s="13"/>
      <c r="SW76" s="13"/>
      <c r="SX76" s="13"/>
      <c r="SY76" s="13"/>
      <c r="SZ76" s="13"/>
      <c r="TA76" s="13"/>
      <c r="TB76" s="13"/>
      <c r="TC76" s="13"/>
      <c r="TD76" s="13"/>
      <c r="TE76" s="13"/>
      <c r="TF76" s="13"/>
      <c r="TG76" s="13"/>
      <c r="TH76" s="13"/>
      <c r="TI76" s="13"/>
      <c r="TJ76" s="13"/>
      <c r="TK76" s="13"/>
      <c r="TL76" s="13"/>
      <c r="TM76" s="13"/>
      <c r="TN76" s="13"/>
      <c r="TO76" s="13"/>
      <c r="TP76" s="13"/>
      <c r="TQ76" s="13"/>
      <c r="TR76" s="13"/>
      <c r="TS76" s="13"/>
      <c r="TT76" s="13"/>
      <c r="TU76" s="13"/>
      <c r="TV76" s="13"/>
      <c r="TW76" s="13"/>
      <c r="TX76" s="13"/>
      <c r="TY76" s="13"/>
      <c r="TZ76" s="13"/>
      <c r="UA76" s="13"/>
      <c r="UB76" s="13"/>
      <c r="UC76" s="13"/>
      <c r="UD76" s="13"/>
      <c r="UE76" s="13"/>
      <c r="UF76" s="13"/>
      <c r="UG76" s="13"/>
      <c r="UH76" s="13"/>
      <c r="UI76" s="13"/>
      <c r="UJ76" s="13"/>
      <c r="UK76" s="13"/>
      <c r="UL76" s="13"/>
      <c r="UM76" s="13"/>
      <c r="UN76" s="13"/>
      <c r="UO76" s="13"/>
      <c r="UP76" s="13"/>
      <c r="UQ76" s="13"/>
      <c r="UR76" s="13"/>
      <c r="US76" s="13"/>
      <c r="UT76" s="13"/>
      <c r="UU76" s="13"/>
      <c r="UV76" s="13"/>
      <c r="UW76" s="13"/>
      <c r="UX76" s="13"/>
      <c r="UY76" s="13"/>
      <c r="UZ76" s="13"/>
      <c r="VA76" s="13"/>
      <c r="VB76" s="13"/>
      <c r="VC76" s="13"/>
      <c r="VD76" s="13"/>
      <c r="VE76" s="13"/>
      <c r="VF76" s="13"/>
      <c r="VG76" s="13"/>
      <c r="VH76" s="13"/>
      <c r="VI76" s="13"/>
      <c r="VJ76" s="13"/>
      <c r="VK76" s="13"/>
      <c r="VL76" s="13"/>
      <c r="VM76" s="13"/>
      <c r="VN76" s="13"/>
      <c r="VO76" s="13"/>
      <c r="VP76" s="13"/>
      <c r="VQ76" s="13"/>
      <c r="VR76" s="13"/>
      <c r="VS76" s="13"/>
      <c r="VT76" s="13"/>
      <c r="VU76" s="13"/>
      <c r="VV76" s="13"/>
      <c r="VW76" s="13"/>
      <c r="VX76" s="13"/>
      <c r="VY76" s="13"/>
      <c r="VZ76" s="13"/>
      <c r="WA76" s="13"/>
      <c r="WB76" s="13"/>
      <c r="WC76" s="13"/>
      <c r="WD76" s="13"/>
      <c r="WE76" s="13"/>
      <c r="WF76" s="13"/>
      <c r="WG76" s="13"/>
      <c r="WH76" s="13"/>
      <c r="WI76" s="13"/>
      <c r="WJ76" s="13"/>
      <c r="WK76" s="13"/>
      <c r="WL76" s="13"/>
      <c r="WM76" s="13"/>
      <c r="WN76" s="13"/>
      <c r="WO76" s="13"/>
      <c r="WP76" s="13"/>
      <c r="WQ76" s="13"/>
      <c r="WR76" s="13"/>
      <c r="WS76" s="13"/>
      <c r="WT76" s="13"/>
      <c r="WU76" s="13"/>
      <c r="WV76" s="13"/>
      <c r="WW76" s="13"/>
      <c r="WX76" s="13"/>
      <c r="WY76" s="13"/>
      <c r="WZ76" s="13"/>
      <c r="XA76" s="13"/>
      <c r="XB76" s="13"/>
      <c r="XC76" s="13"/>
      <c r="XD76" s="13"/>
      <c r="XE76" s="13"/>
      <c r="XF76" s="13"/>
      <c r="XG76" s="13"/>
      <c r="XH76" s="13"/>
      <c r="XI76" s="13"/>
      <c r="XJ76" s="13"/>
      <c r="XK76" s="13"/>
      <c r="XL76" s="13"/>
      <c r="XM76" s="13"/>
      <c r="XN76" s="13"/>
      <c r="XO76" s="13"/>
      <c r="XP76" s="13"/>
      <c r="XQ76" s="13"/>
      <c r="XR76" s="13"/>
      <c r="XS76" s="13"/>
      <c r="XT76" s="13"/>
      <c r="XU76" s="13"/>
      <c r="XV76" s="13"/>
      <c r="XW76" s="13"/>
      <c r="XX76" s="13"/>
      <c r="XY76" s="13"/>
      <c r="XZ76" s="13"/>
      <c r="YA76" s="13"/>
      <c r="YB76" s="13"/>
      <c r="YC76" s="13"/>
      <c r="YD76" s="13"/>
      <c r="YE76" s="13"/>
      <c r="YF76" s="13"/>
      <c r="YG76" s="13"/>
      <c r="YH76" s="13"/>
      <c r="YI76" s="13"/>
      <c r="YJ76" s="13"/>
      <c r="YK76" s="13"/>
      <c r="YL76" s="13"/>
      <c r="YM76" s="13"/>
      <c r="YN76" s="13"/>
      <c r="YO76" s="13"/>
      <c r="YP76" s="13"/>
      <c r="YQ76" s="13"/>
      <c r="YR76" s="13"/>
      <c r="YS76" s="13"/>
      <c r="YT76" s="13"/>
      <c r="YU76" s="13"/>
      <c r="YV76" s="13"/>
      <c r="YW76" s="13"/>
      <c r="YX76" s="13"/>
      <c r="YY76" s="13"/>
      <c r="YZ76" s="13"/>
      <c r="ZA76" s="13"/>
      <c r="ZB76" s="13"/>
      <c r="ZC76" s="13"/>
      <c r="ZD76" s="13"/>
      <c r="ZE76" s="13"/>
      <c r="ZF76" s="13"/>
      <c r="ZG76" s="13"/>
      <c r="ZH76" s="13"/>
      <c r="ZI76" s="13"/>
      <c r="ZJ76" s="13"/>
      <c r="ZK76" s="13"/>
      <c r="ZL76" s="13"/>
      <c r="ZM76" s="13"/>
      <c r="ZN76" s="13"/>
      <c r="ZO76" s="13"/>
      <c r="ZP76" s="13"/>
      <c r="ZQ76" s="13"/>
      <c r="ZR76" s="13"/>
      <c r="ZS76" s="13"/>
      <c r="ZT76" s="13"/>
      <c r="ZU76" s="13"/>
      <c r="ZV76" s="13"/>
      <c r="ZW76" s="13"/>
      <c r="ZX76" s="13"/>
      <c r="ZY76" s="13"/>
      <c r="ZZ76" s="13"/>
      <c r="AAA76" s="13"/>
      <c r="AAB76" s="13"/>
      <c r="AAC76" s="13"/>
      <c r="AAD76" s="13"/>
      <c r="AAE76" s="13"/>
      <c r="AAF76" s="13"/>
      <c r="AAG76" s="13"/>
      <c r="AAH76" s="13"/>
      <c r="AAI76" s="13"/>
      <c r="AAJ76" s="13"/>
      <c r="AAK76" s="13"/>
      <c r="AAL76" s="13"/>
      <c r="AAM76" s="13"/>
      <c r="AAN76" s="13"/>
      <c r="AAO76" s="13"/>
      <c r="AAP76" s="13"/>
      <c r="AAQ76" s="13"/>
      <c r="AAR76" s="13"/>
      <c r="AAS76" s="13"/>
      <c r="AAT76" s="13"/>
      <c r="AAU76" s="13"/>
      <c r="AAV76" s="13"/>
      <c r="AAW76" s="13"/>
      <c r="AAX76" s="13"/>
      <c r="AAY76" s="13"/>
      <c r="AAZ76" s="13"/>
      <c r="ABA76" s="13"/>
      <c r="ABB76" s="13"/>
      <c r="ABC76" s="13"/>
      <c r="ABD76" s="13"/>
      <c r="ABE76" s="13"/>
      <c r="ABF76" s="13"/>
      <c r="ABG76" s="13"/>
      <c r="ABH76" s="13"/>
      <c r="ABI76" s="13"/>
      <c r="ABJ76" s="13"/>
      <c r="ABK76" s="13"/>
      <c r="ABL76" s="13"/>
      <c r="ABM76" s="13"/>
      <c r="ABN76" s="13"/>
      <c r="ABO76" s="13"/>
      <c r="ABP76" s="13"/>
      <c r="ABQ76" s="13"/>
      <c r="ABR76" s="13"/>
      <c r="ABS76" s="13"/>
      <c r="ABT76" s="13"/>
      <c r="ABU76" s="13"/>
      <c r="ABV76" s="13"/>
      <c r="ABW76" s="13"/>
      <c r="ABX76" s="13"/>
      <c r="ABY76" s="13"/>
      <c r="ABZ76" s="13"/>
      <c r="ACA76" s="13"/>
      <c r="ACB76" s="13"/>
      <c r="ACC76" s="13"/>
      <c r="ACD76" s="13"/>
      <c r="ACE76" s="13"/>
      <c r="ACF76" s="13"/>
      <c r="ACG76" s="13"/>
      <c r="ACH76" s="13"/>
      <c r="ACI76" s="13"/>
      <c r="ACJ76" s="13"/>
      <c r="ACK76" s="13"/>
      <c r="ACL76" s="13"/>
      <c r="ACM76" s="13"/>
      <c r="ACN76" s="13"/>
      <c r="ACO76" s="13"/>
      <c r="ACP76" s="13"/>
      <c r="ACQ76" s="13"/>
      <c r="ACR76" s="13"/>
      <c r="ACS76" s="13"/>
      <c r="ACT76" s="13"/>
      <c r="ACU76" s="13"/>
      <c r="ACV76" s="13"/>
      <c r="ACW76" s="13"/>
      <c r="ACX76" s="13"/>
      <c r="ACY76" s="13"/>
      <c r="ACZ76" s="13"/>
      <c r="ADA76" s="13"/>
      <c r="ADB76" s="13"/>
      <c r="ADC76" s="13"/>
      <c r="ADD76" s="13"/>
      <c r="ADE76" s="13"/>
      <c r="ADF76" s="13"/>
      <c r="ADG76" s="13"/>
      <c r="ADH76" s="13"/>
      <c r="ADI76" s="13"/>
      <c r="ADJ76" s="13"/>
      <c r="ADK76" s="13"/>
      <c r="ADL76" s="13"/>
      <c r="ADM76" s="13"/>
      <c r="ADN76" s="13"/>
      <c r="ADO76" s="13"/>
      <c r="ADP76" s="13"/>
      <c r="ADQ76" s="13"/>
      <c r="ADR76" s="13"/>
      <c r="ADS76" s="13"/>
      <c r="ADT76" s="13"/>
      <c r="ADU76" s="13"/>
      <c r="ADV76" s="13"/>
      <c r="ADW76" s="13"/>
      <c r="ADX76" s="13"/>
      <c r="ADY76" s="13"/>
      <c r="ADZ76" s="13"/>
      <c r="AEA76" s="13"/>
      <c r="AEB76" s="13"/>
      <c r="AEC76" s="13"/>
      <c r="AED76" s="13"/>
      <c r="AEE76" s="13"/>
      <c r="AEF76" s="13"/>
      <c r="AEG76" s="13"/>
      <c r="AEH76" s="13"/>
      <c r="AEI76" s="13"/>
      <c r="AEJ76" s="13"/>
      <c r="AEK76" s="13"/>
      <c r="AEL76" s="13"/>
      <c r="AEM76" s="13"/>
      <c r="AEN76" s="13"/>
      <c r="AEO76" s="13"/>
      <c r="AEP76" s="13"/>
      <c r="AEQ76" s="13"/>
      <c r="AER76" s="13"/>
      <c r="AES76" s="13"/>
      <c r="AET76" s="13"/>
      <c r="AEU76" s="13"/>
      <c r="AEV76" s="13"/>
      <c r="AEW76" s="13"/>
      <c r="AEX76" s="13"/>
      <c r="AEY76" s="13"/>
      <c r="AEZ76" s="13"/>
      <c r="AFA76" s="13"/>
      <c r="AFB76" s="13"/>
      <c r="AFC76" s="13"/>
      <c r="AFD76" s="13"/>
      <c r="AFE76" s="13"/>
      <c r="AFF76" s="13"/>
      <c r="AFG76" s="13"/>
      <c r="AFH76" s="13"/>
      <c r="AFI76" s="13"/>
      <c r="AFJ76" s="13"/>
      <c r="AFK76" s="13"/>
      <c r="AFL76" s="13"/>
      <c r="AFM76" s="13"/>
      <c r="AFN76" s="13"/>
      <c r="AFO76" s="13"/>
      <c r="AFP76" s="13"/>
      <c r="AFQ76" s="13"/>
      <c r="AFR76" s="13"/>
      <c r="AFS76" s="13"/>
      <c r="AFT76" s="13"/>
      <c r="AFU76" s="13"/>
      <c r="AFV76" s="13"/>
      <c r="AFW76" s="13"/>
      <c r="AFX76" s="13"/>
      <c r="AFY76" s="13"/>
      <c r="AFZ76" s="13"/>
      <c r="AGA76" s="13"/>
      <c r="AGB76" s="13"/>
      <c r="AGC76" s="13"/>
      <c r="AGD76" s="13"/>
      <c r="AGE76" s="13"/>
      <c r="AGF76" s="13"/>
      <c r="AGG76" s="13"/>
      <c r="AGH76" s="13"/>
      <c r="AGI76" s="13"/>
      <c r="AGJ76" s="13"/>
      <c r="AGK76" s="13"/>
      <c r="AGL76" s="13"/>
      <c r="AGM76" s="13"/>
      <c r="AGN76" s="13"/>
      <c r="AGO76" s="13"/>
      <c r="AGP76" s="13"/>
      <c r="AGQ76" s="13"/>
      <c r="AGR76" s="13"/>
      <c r="AGS76" s="13"/>
      <c r="AGT76" s="13"/>
      <c r="AGU76" s="13"/>
      <c r="AGV76" s="13"/>
      <c r="AGW76" s="13"/>
      <c r="AGX76" s="13"/>
      <c r="AGY76" s="13"/>
      <c r="AGZ76" s="13"/>
      <c r="AHA76" s="13"/>
      <c r="AHB76" s="13"/>
      <c r="AHC76" s="13"/>
      <c r="AHD76" s="13"/>
      <c r="AHE76" s="13"/>
      <c r="AHF76" s="13"/>
      <c r="AHG76" s="13"/>
      <c r="AHH76" s="13"/>
      <c r="AHI76" s="13"/>
      <c r="AHJ76" s="13"/>
      <c r="AHK76" s="13"/>
      <c r="AHL76" s="13"/>
      <c r="AHM76" s="13"/>
      <c r="AHN76" s="13"/>
      <c r="AHO76" s="13"/>
      <c r="AHP76" s="13"/>
      <c r="AHQ76" s="13"/>
      <c r="AHR76" s="13"/>
      <c r="AHS76" s="13"/>
      <c r="AHT76" s="13"/>
      <c r="AHU76" s="13"/>
      <c r="AHV76" s="13"/>
      <c r="AHW76" s="13"/>
      <c r="AHX76" s="13"/>
      <c r="AHY76" s="13"/>
      <c r="AHZ76" s="13"/>
      <c r="AIA76" s="13"/>
      <c r="AIB76" s="13"/>
      <c r="AIC76" s="13"/>
      <c r="AID76" s="13"/>
      <c r="AIE76" s="13"/>
      <c r="AIF76" s="13"/>
      <c r="AIG76" s="13"/>
      <c r="AIH76" s="13"/>
      <c r="AII76" s="13"/>
      <c r="AIJ76" s="13"/>
      <c r="AIK76" s="13"/>
      <c r="AIL76" s="13"/>
      <c r="AIM76" s="13"/>
      <c r="AIN76" s="13"/>
      <c r="AIO76" s="13"/>
      <c r="AIP76" s="13"/>
      <c r="AIQ76" s="13"/>
      <c r="AIR76" s="13"/>
      <c r="AIS76" s="13"/>
      <c r="AIT76" s="13"/>
      <c r="AIU76" s="13"/>
      <c r="AIV76" s="13"/>
      <c r="AIW76" s="13"/>
      <c r="AIX76" s="13"/>
      <c r="AIY76" s="13"/>
      <c r="AIZ76" s="13"/>
      <c r="AJA76" s="13"/>
      <c r="AJB76" s="13"/>
      <c r="AJC76" s="13"/>
      <c r="AJD76" s="13"/>
      <c r="AJE76" s="13"/>
      <c r="AJF76" s="13"/>
      <c r="AJG76" s="13"/>
      <c r="AJH76" s="13"/>
      <c r="AJI76" s="13"/>
      <c r="AJJ76" s="13"/>
      <c r="AJK76" s="13"/>
      <c r="AJL76" s="13"/>
      <c r="AJM76" s="13"/>
      <c r="AJN76" s="13"/>
      <c r="AJO76" s="13"/>
      <c r="AJP76" s="13"/>
      <c r="AJQ76" s="13"/>
      <c r="AJR76" s="13"/>
      <c r="AJS76" s="13"/>
      <c r="AJT76" s="13"/>
      <c r="AJU76" s="13"/>
      <c r="AJV76" s="13"/>
      <c r="AJW76" s="13"/>
      <c r="AJX76" s="13"/>
      <c r="AJY76" s="13"/>
      <c r="AJZ76" s="13"/>
      <c r="AKA76" s="13"/>
      <c r="AKB76" s="13"/>
      <c r="AKC76" s="13"/>
      <c r="AKD76" s="13"/>
      <c r="AKE76" s="13"/>
      <c r="AKF76" s="13"/>
      <c r="AKG76" s="13"/>
      <c r="AKH76" s="13"/>
      <c r="AKI76" s="13"/>
      <c r="AKJ76" s="13"/>
      <c r="AKK76" s="13"/>
      <c r="AKL76" s="13"/>
      <c r="AKM76" s="13"/>
      <c r="AKN76" s="13"/>
      <c r="AKO76" s="13"/>
      <c r="AKP76" s="13"/>
      <c r="AKQ76" s="13"/>
      <c r="AKR76" s="13"/>
      <c r="AKS76" s="13"/>
      <c r="AKT76" s="13"/>
      <c r="AKU76" s="13"/>
      <c r="AKV76" s="13"/>
      <c r="AKW76" s="13"/>
      <c r="AKX76" s="13"/>
      <c r="AKY76" s="13"/>
      <c r="AKZ76" s="13"/>
      <c r="ALA76" s="13"/>
      <c r="ALB76" s="13"/>
      <c r="ALC76" s="13"/>
      <c r="ALD76" s="13"/>
      <c r="ALE76" s="13"/>
      <c r="ALF76" s="13"/>
      <c r="ALG76" s="13"/>
      <c r="ALH76" s="13"/>
      <c r="ALI76" s="13"/>
      <c r="ALJ76" s="13"/>
      <c r="ALK76" s="13"/>
      <c r="ALL76" s="13"/>
      <c r="ALM76" s="13"/>
      <c r="ALN76" s="13"/>
      <c r="ALO76" s="13"/>
      <c r="ALP76" s="13"/>
      <c r="ALQ76" s="13"/>
      <c r="ALR76" s="13"/>
      <c r="ALS76" s="13"/>
      <c r="ALT76" s="13"/>
      <c r="ALU76" s="13"/>
      <c r="ALV76" s="13"/>
      <c r="ALW76" s="13"/>
      <c r="ALX76" s="13"/>
      <c r="ALY76" s="13"/>
      <c r="ALZ76" s="13"/>
      <c r="AMA76" s="13"/>
      <c r="AMB76" s="13"/>
      <c r="AMC76" s="13"/>
      <c r="AMD76" s="13"/>
      <c r="AME76" s="13"/>
      <c r="AMF76" s="13"/>
      <c r="AMG76" s="13"/>
      <c r="AMH76" s="13"/>
      <c r="AMI76" s="13"/>
      <c r="AMJ76" s="13"/>
      <c r="AMK76" s="13"/>
    </row>
    <row r="77" spans="1:1025" s="133" customFormat="1" ht="12.75" customHeight="1" x14ac:dyDescent="0.2">
      <c r="A77" s="75" t="s">
        <v>68</v>
      </c>
      <c r="B77" s="46">
        <v>0</v>
      </c>
      <c r="C77" s="60">
        <v>9.9999999999999998E+37</v>
      </c>
      <c r="D77" s="76" t="s">
        <v>49</v>
      </c>
      <c r="E77" s="95">
        <v>10</v>
      </c>
      <c r="F77" s="86">
        <v>9.9999999999999998E+37</v>
      </c>
      <c r="G77" s="6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  <c r="KO77" s="13"/>
      <c r="KP77" s="13"/>
      <c r="KQ77" s="13"/>
      <c r="KR77" s="13"/>
      <c r="KS77" s="13"/>
      <c r="KT77" s="13"/>
      <c r="KU77" s="13"/>
      <c r="KV77" s="13"/>
      <c r="KW77" s="13"/>
      <c r="KX77" s="13"/>
      <c r="KY77" s="13"/>
      <c r="KZ77" s="13"/>
      <c r="LA77" s="13"/>
      <c r="LB77" s="13"/>
      <c r="LC77" s="13"/>
      <c r="LD77" s="13"/>
      <c r="LE77" s="13"/>
      <c r="LF77" s="13"/>
      <c r="LG77" s="13"/>
      <c r="LH77" s="13"/>
      <c r="LI77" s="13"/>
      <c r="LJ77" s="13"/>
      <c r="LK77" s="13"/>
      <c r="LL77" s="13"/>
      <c r="LM77" s="13"/>
      <c r="LN77" s="13"/>
      <c r="LO77" s="13"/>
      <c r="LP77" s="13"/>
      <c r="LQ77" s="13"/>
      <c r="LR77" s="13"/>
      <c r="LS77" s="13"/>
      <c r="LT77" s="13"/>
      <c r="LU77" s="13"/>
      <c r="LV77" s="13"/>
      <c r="LW77" s="13"/>
      <c r="LX77" s="13"/>
      <c r="LY77" s="13"/>
      <c r="LZ77" s="13"/>
      <c r="MA77" s="13"/>
      <c r="MB77" s="13"/>
      <c r="MC77" s="13"/>
      <c r="MD77" s="13"/>
      <c r="ME77" s="13"/>
      <c r="MF77" s="13"/>
      <c r="MG77" s="13"/>
      <c r="MH77" s="13"/>
      <c r="MI77" s="13"/>
      <c r="MJ77" s="13"/>
      <c r="MK77" s="13"/>
      <c r="ML77" s="13"/>
      <c r="MM77" s="13"/>
      <c r="MN77" s="13"/>
      <c r="MO77" s="13"/>
      <c r="MP77" s="13"/>
      <c r="MQ77" s="13"/>
      <c r="MR77" s="13"/>
      <c r="MS77" s="13"/>
      <c r="MT77" s="13"/>
      <c r="MU77" s="13"/>
      <c r="MV77" s="13"/>
      <c r="MW77" s="13"/>
      <c r="MX77" s="13"/>
      <c r="MY77" s="13"/>
      <c r="MZ77" s="13"/>
      <c r="NA77" s="13"/>
      <c r="NB77" s="13"/>
      <c r="NC77" s="13"/>
      <c r="ND77" s="13"/>
      <c r="NE77" s="13"/>
      <c r="NF77" s="13"/>
      <c r="NG77" s="13"/>
      <c r="NH77" s="13"/>
      <c r="NI77" s="13"/>
      <c r="NJ77" s="13"/>
      <c r="NK77" s="13"/>
      <c r="NL77" s="13"/>
      <c r="NM77" s="13"/>
      <c r="NN77" s="13"/>
      <c r="NO77" s="13"/>
      <c r="NP77" s="13"/>
      <c r="NQ77" s="13"/>
      <c r="NR77" s="13"/>
      <c r="NS77" s="13"/>
      <c r="NT77" s="13"/>
      <c r="NU77" s="13"/>
      <c r="NV77" s="13"/>
      <c r="NW77" s="13"/>
      <c r="NX77" s="13"/>
      <c r="NY77" s="13"/>
      <c r="NZ77" s="13"/>
      <c r="OA77" s="13"/>
      <c r="OB77" s="13"/>
      <c r="OC77" s="13"/>
      <c r="OD77" s="13"/>
      <c r="OE77" s="13"/>
      <c r="OF77" s="13"/>
      <c r="OG77" s="13"/>
      <c r="OH77" s="13"/>
      <c r="OI77" s="13"/>
      <c r="OJ77" s="13"/>
      <c r="OK77" s="13"/>
      <c r="OL77" s="13"/>
      <c r="OM77" s="13"/>
      <c r="ON77" s="13"/>
      <c r="OO77" s="13"/>
      <c r="OP77" s="13"/>
      <c r="OQ77" s="13"/>
      <c r="OR77" s="13"/>
      <c r="OS77" s="13"/>
      <c r="OT77" s="13"/>
      <c r="OU77" s="13"/>
      <c r="OV77" s="13"/>
      <c r="OW77" s="13"/>
      <c r="OX77" s="13"/>
      <c r="OY77" s="13"/>
      <c r="OZ77" s="13"/>
      <c r="PA77" s="13"/>
      <c r="PB77" s="13"/>
      <c r="PC77" s="13"/>
      <c r="PD77" s="13"/>
      <c r="PE77" s="13"/>
      <c r="PF77" s="13"/>
      <c r="PG77" s="13"/>
      <c r="PH77" s="13"/>
      <c r="PI77" s="13"/>
      <c r="PJ77" s="13"/>
      <c r="PK77" s="13"/>
      <c r="PL77" s="13"/>
      <c r="PM77" s="13"/>
      <c r="PN77" s="13"/>
      <c r="PO77" s="13"/>
      <c r="PP77" s="13"/>
      <c r="PQ77" s="13"/>
      <c r="PR77" s="13"/>
      <c r="PS77" s="13"/>
      <c r="PT77" s="13"/>
      <c r="PU77" s="13"/>
      <c r="PV77" s="13"/>
      <c r="PW77" s="13"/>
      <c r="PX77" s="13"/>
      <c r="PY77" s="13"/>
      <c r="PZ77" s="13"/>
      <c r="QA77" s="13"/>
      <c r="QB77" s="13"/>
      <c r="QC77" s="13"/>
      <c r="QD77" s="13"/>
      <c r="QE77" s="13"/>
      <c r="QF77" s="13"/>
      <c r="QG77" s="13"/>
      <c r="QH77" s="13"/>
      <c r="QI77" s="13"/>
      <c r="QJ77" s="13"/>
      <c r="QK77" s="13"/>
      <c r="QL77" s="13"/>
      <c r="QM77" s="13"/>
      <c r="QN77" s="13"/>
      <c r="QO77" s="13"/>
      <c r="QP77" s="13"/>
      <c r="QQ77" s="13"/>
      <c r="QR77" s="13"/>
      <c r="QS77" s="13"/>
      <c r="QT77" s="13"/>
      <c r="QU77" s="13"/>
      <c r="QV77" s="13"/>
      <c r="QW77" s="13"/>
      <c r="QX77" s="13"/>
      <c r="QY77" s="13"/>
      <c r="QZ77" s="13"/>
      <c r="RA77" s="13"/>
      <c r="RB77" s="13"/>
      <c r="RC77" s="13"/>
      <c r="RD77" s="13"/>
      <c r="RE77" s="13"/>
      <c r="RF77" s="13"/>
      <c r="RG77" s="13"/>
      <c r="RH77" s="13"/>
      <c r="RI77" s="13"/>
      <c r="RJ77" s="13"/>
      <c r="RK77" s="13"/>
      <c r="RL77" s="13"/>
      <c r="RM77" s="13"/>
      <c r="RN77" s="13"/>
      <c r="RO77" s="13"/>
      <c r="RP77" s="13"/>
      <c r="RQ77" s="13"/>
      <c r="RR77" s="13"/>
      <c r="RS77" s="13"/>
      <c r="RT77" s="13"/>
      <c r="RU77" s="13"/>
      <c r="RV77" s="13"/>
      <c r="RW77" s="13"/>
      <c r="RX77" s="13"/>
      <c r="RY77" s="13"/>
      <c r="RZ77" s="13"/>
      <c r="SA77" s="13"/>
      <c r="SB77" s="13"/>
      <c r="SC77" s="13"/>
      <c r="SD77" s="13"/>
      <c r="SE77" s="13"/>
      <c r="SF77" s="13"/>
      <c r="SG77" s="13"/>
      <c r="SH77" s="13"/>
      <c r="SI77" s="13"/>
      <c r="SJ77" s="13"/>
      <c r="SK77" s="13"/>
      <c r="SL77" s="13"/>
      <c r="SM77" s="13"/>
      <c r="SN77" s="13"/>
      <c r="SO77" s="13"/>
      <c r="SP77" s="13"/>
      <c r="SQ77" s="13"/>
      <c r="SR77" s="13"/>
      <c r="SS77" s="13"/>
      <c r="ST77" s="13"/>
      <c r="SU77" s="13"/>
      <c r="SV77" s="13"/>
      <c r="SW77" s="13"/>
      <c r="SX77" s="13"/>
      <c r="SY77" s="13"/>
      <c r="SZ77" s="13"/>
      <c r="TA77" s="13"/>
      <c r="TB77" s="13"/>
      <c r="TC77" s="13"/>
      <c r="TD77" s="13"/>
      <c r="TE77" s="13"/>
      <c r="TF77" s="13"/>
      <c r="TG77" s="13"/>
      <c r="TH77" s="13"/>
      <c r="TI77" s="13"/>
      <c r="TJ77" s="13"/>
      <c r="TK77" s="13"/>
      <c r="TL77" s="13"/>
      <c r="TM77" s="13"/>
      <c r="TN77" s="13"/>
      <c r="TO77" s="13"/>
      <c r="TP77" s="13"/>
      <c r="TQ77" s="13"/>
      <c r="TR77" s="13"/>
      <c r="TS77" s="13"/>
      <c r="TT77" s="13"/>
      <c r="TU77" s="13"/>
      <c r="TV77" s="13"/>
      <c r="TW77" s="13"/>
      <c r="TX77" s="13"/>
      <c r="TY77" s="13"/>
      <c r="TZ77" s="13"/>
      <c r="UA77" s="13"/>
      <c r="UB77" s="13"/>
      <c r="UC77" s="13"/>
      <c r="UD77" s="13"/>
      <c r="UE77" s="13"/>
      <c r="UF77" s="13"/>
      <c r="UG77" s="13"/>
      <c r="UH77" s="13"/>
      <c r="UI77" s="13"/>
      <c r="UJ77" s="13"/>
      <c r="UK77" s="13"/>
      <c r="UL77" s="13"/>
      <c r="UM77" s="13"/>
      <c r="UN77" s="13"/>
      <c r="UO77" s="13"/>
      <c r="UP77" s="13"/>
      <c r="UQ77" s="13"/>
      <c r="UR77" s="13"/>
      <c r="US77" s="13"/>
      <c r="UT77" s="13"/>
      <c r="UU77" s="13"/>
      <c r="UV77" s="13"/>
      <c r="UW77" s="13"/>
      <c r="UX77" s="13"/>
      <c r="UY77" s="13"/>
      <c r="UZ77" s="13"/>
      <c r="VA77" s="13"/>
      <c r="VB77" s="13"/>
      <c r="VC77" s="13"/>
      <c r="VD77" s="13"/>
      <c r="VE77" s="13"/>
      <c r="VF77" s="13"/>
      <c r="VG77" s="13"/>
      <c r="VH77" s="13"/>
      <c r="VI77" s="13"/>
      <c r="VJ77" s="13"/>
      <c r="VK77" s="13"/>
      <c r="VL77" s="13"/>
      <c r="VM77" s="13"/>
      <c r="VN77" s="13"/>
      <c r="VO77" s="13"/>
      <c r="VP77" s="13"/>
      <c r="VQ77" s="13"/>
      <c r="VR77" s="13"/>
      <c r="VS77" s="13"/>
      <c r="VT77" s="13"/>
      <c r="VU77" s="13"/>
      <c r="VV77" s="13"/>
      <c r="VW77" s="13"/>
      <c r="VX77" s="13"/>
      <c r="VY77" s="13"/>
      <c r="VZ77" s="13"/>
      <c r="WA77" s="13"/>
      <c r="WB77" s="13"/>
      <c r="WC77" s="13"/>
      <c r="WD77" s="13"/>
      <c r="WE77" s="13"/>
      <c r="WF77" s="13"/>
      <c r="WG77" s="13"/>
      <c r="WH77" s="13"/>
      <c r="WI77" s="13"/>
      <c r="WJ77" s="13"/>
      <c r="WK77" s="13"/>
      <c r="WL77" s="13"/>
      <c r="WM77" s="13"/>
      <c r="WN77" s="13"/>
      <c r="WO77" s="13"/>
      <c r="WP77" s="13"/>
      <c r="WQ77" s="13"/>
      <c r="WR77" s="13"/>
      <c r="WS77" s="13"/>
      <c r="WT77" s="13"/>
      <c r="WU77" s="13"/>
      <c r="WV77" s="13"/>
      <c r="WW77" s="13"/>
      <c r="WX77" s="13"/>
      <c r="WY77" s="13"/>
      <c r="WZ77" s="13"/>
      <c r="XA77" s="13"/>
      <c r="XB77" s="13"/>
      <c r="XC77" s="13"/>
      <c r="XD77" s="13"/>
      <c r="XE77" s="13"/>
      <c r="XF77" s="13"/>
      <c r="XG77" s="13"/>
      <c r="XH77" s="13"/>
      <c r="XI77" s="13"/>
      <c r="XJ77" s="13"/>
      <c r="XK77" s="13"/>
      <c r="XL77" s="13"/>
      <c r="XM77" s="13"/>
      <c r="XN77" s="13"/>
      <c r="XO77" s="13"/>
      <c r="XP77" s="13"/>
      <c r="XQ77" s="13"/>
      <c r="XR77" s="13"/>
      <c r="XS77" s="13"/>
      <c r="XT77" s="13"/>
      <c r="XU77" s="13"/>
      <c r="XV77" s="13"/>
      <c r="XW77" s="13"/>
      <c r="XX77" s="13"/>
      <c r="XY77" s="13"/>
      <c r="XZ77" s="13"/>
      <c r="YA77" s="13"/>
      <c r="YB77" s="13"/>
      <c r="YC77" s="13"/>
      <c r="YD77" s="13"/>
      <c r="YE77" s="13"/>
      <c r="YF77" s="13"/>
      <c r="YG77" s="13"/>
      <c r="YH77" s="13"/>
      <c r="YI77" s="13"/>
      <c r="YJ77" s="13"/>
      <c r="YK77" s="13"/>
      <c r="YL77" s="13"/>
      <c r="YM77" s="13"/>
      <c r="YN77" s="13"/>
      <c r="YO77" s="13"/>
      <c r="YP77" s="13"/>
      <c r="YQ77" s="13"/>
      <c r="YR77" s="13"/>
      <c r="YS77" s="13"/>
      <c r="YT77" s="13"/>
      <c r="YU77" s="13"/>
      <c r="YV77" s="13"/>
      <c r="YW77" s="13"/>
      <c r="YX77" s="13"/>
      <c r="YY77" s="13"/>
      <c r="YZ77" s="13"/>
      <c r="ZA77" s="13"/>
      <c r="ZB77" s="13"/>
      <c r="ZC77" s="13"/>
      <c r="ZD77" s="13"/>
      <c r="ZE77" s="13"/>
      <c r="ZF77" s="13"/>
      <c r="ZG77" s="13"/>
      <c r="ZH77" s="13"/>
      <c r="ZI77" s="13"/>
      <c r="ZJ77" s="13"/>
      <c r="ZK77" s="13"/>
      <c r="ZL77" s="13"/>
      <c r="ZM77" s="13"/>
      <c r="ZN77" s="13"/>
      <c r="ZO77" s="13"/>
      <c r="ZP77" s="13"/>
      <c r="ZQ77" s="13"/>
      <c r="ZR77" s="13"/>
      <c r="ZS77" s="13"/>
      <c r="ZT77" s="13"/>
      <c r="ZU77" s="13"/>
      <c r="ZV77" s="13"/>
      <c r="ZW77" s="13"/>
      <c r="ZX77" s="13"/>
      <c r="ZY77" s="13"/>
      <c r="ZZ77" s="13"/>
      <c r="AAA77" s="13"/>
      <c r="AAB77" s="13"/>
      <c r="AAC77" s="13"/>
      <c r="AAD77" s="13"/>
      <c r="AAE77" s="13"/>
      <c r="AAF77" s="13"/>
      <c r="AAG77" s="13"/>
      <c r="AAH77" s="13"/>
      <c r="AAI77" s="13"/>
      <c r="AAJ77" s="13"/>
      <c r="AAK77" s="13"/>
      <c r="AAL77" s="13"/>
      <c r="AAM77" s="13"/>
      <c r="AAN77" s="13"/>
      <c r="AAO77" s="13"/>
      <c r="AAP77" s="13"/>
      <c r="AAQ77" s="13"/>
      <c r="AAR77" s="13"/>
      <c r="AAS77" s="13"/>
      <c r="AAT77" s="13"/>
      <c r="AAU77" s="13"/>
      <c r="AAV77" s="13"/>
      <c r="AAW77" s="13"/>
      <c r="AAX77" s="13"/>
      <c r="AAY77" s="13"/>
      <c r="AAZ77" s="13"/>
      <c r="ABA77" s="13"/>
      <c r="ABB77" s="13"/>
      <c r="ABC77" s="13"/>
      <c r="ABD77" s="13"/>
      <c r="ABE77" s="13"/>
      <c r="ABF77" s="13"/>
      <c r="ABG77" s="13"/>
      <c r="ABH77" s="13"/>
      <c r="ABI77" s="13"/>
      <c r="ABJ77" s="13"/>
      <c r="ABK77" s="13"/>
      <c r="ABL77" s="13"/>
      <c r="ABM77" s="13"/>
      <c r="ABN77" s="13"/>
      <c r="ABO77" s="13"/>
      <c r="ABP77" s="13"/>
      <c r="ABQ77" s="13"/>
      <c r="ABR77" s="13"/>
      <c r="ABS77" s="13"/>
      <c r="ABT77" s="13"/>
      <c r="ABU77" s="13"/>
      <c r="ABV77" s="13"/>
      <c r="ABW77" s="13"/>
      <c r="ABX77" s="13"/>
      <c r="ABY77" s="13"/>
      <c r="ABZ77" s="13"/>
      <c r="ACA77" s="13"/>
      <c r="ACB77" s="13"/>
      <c r="ACC77" s="13"/>
      <c r="ACD77" s="13"/>
      <c r="ACE77" s="13"/>
      <c r="ACF77" s="13"/>
      <c r="ACG77" s="13"/>
      <c r="ACH77" s="13"/>
      <c r="ACI77" s="13"/>
      <c r="ACJ77" s="13"/>
      <c r="ACK77" s="13"/>
      <c r="ACL77" s="13"/>
      <c r="ACM77" s="13"/>
      <c r="ACN77" s="13"/>
      <c r="ACO77" s="13"/>
      <c r="ACP77" s="13"/>
      <c r="ACQ77" s="13"/>
      <c r="ACR77" s="13"/>
      <c r="ACS77" s="13"/>
      <c r="ACT77" s="13"/>
      <c r="ACU77" s="13"/>
      <c r="ACV77" s="13"/>
      <c r="ACW77" s="13"/>
      <c r="ACX77" s="13"/>
      <c r="ACY77" s="13"/>
      <c r="ACZ77" s="13"/>
      <c r="ADA77" s="13"/>
      <c r="ADB77" s="13"/>
      <c r="ADC77" s="13"/>
      <c r="ADD77" s="13"/>
      <c r="ADE77" s="13"/>
      <c r="ADF77" s="13"/>
      <c r="ADG77" s="13"/>
      <c r="ADH77" s="13"/>
      <c r="ADI77" s="13"/>
      <c r="ADJ77" s="13"/>
      <c r="ADK77" s="13"/>
      <c r="ADL77" s="13"/>
      <c r="ADM77" s="13"/>
      <c r="ADN77" s="13"/>
      <c r="ADO77" s="13"/>
      <c r="ADP77" s="13"/>
      <c r="ADQ77" s="13"/>
      <c r="ADR77" s="13"/>
      <c r="ADS77" s="13"/>
      <c r="ADT77" s="13"/>
      <c r="ADU77" s="13"/>
      <c r="ADV77" s="13"/>
      <c r="ADW77" s="13"/>
      <c r="ADX77" s="13"/>
      <c r="ADY77" s="13"/>
      <c r="ADZ77" s="13"/>
      <c r="AEA77" s="13"/>
      <c r="AEB77" s="13"/>
      <c r="AEC77" s="13"/>
      <c r="AED77" s="13"/>
      <c r="AEE77" s="13"/>
      <c r="AEF77" s="13"/>
      <c r="AEG77" s="13"/>
      <c r="AEH77" s="13"/>
      <c r="AEI77" s="13"/>
      <c r="AEJ77" s="13"/>
      <c r="AEK77" s="13"/>
      <c r="AEL77" s="13"/>
      <c r="AEM77" s="13"/>
      <c r="AEN77" s="13"/>
      <c r="AEO77" s="13"/>
      <c r="AEP77" s="13"/>
      <c r="AEQ77" s="13"/>
      <c r="AER77" s="13"/>
      <c r="AES77" s="13"/>
      <c r="AET77" s="13"/>
      <c r="AEU77" s="13"/>
      <c r="AEV77" s="13"/>
      <c r="AEW77" s="13"/>
      <c r="AEX77" s="13"/>
      <c r="AEY77" s="13"/>
      <c r="AEZ77" s="13"/>
      <c r="AFA77" s="13"/>
      <c r="AFB77" s="13"/>
      <c r="AFC77" s="13"/>
      <c r="AFD77" s="13"/>
      <c r="AFE77" s="13"/>
      <c r="AFF77" s="13"/>
      <c r="AFG77" s="13"/>
      <c r="AFH77" s="13"/>
      <c r="AFI77" s="13"/>
      <c r="AFJ77" s="13"/>
      <c r="AFK77" s="13"/>
      <c r="AFL77" s="13"/>
      <c r="AFM77" s="13"/>
      <c r="AFN77" s="13"/>
      <c r="AFO77" s="13"/>
      <c r="AFP77" s="13"/>
      <c r="AFQ77" s="13"/>
      <c r="AFR77" s="13"/>
      <c r="AFS77" s="13"/>
      <c r="AFT77" s="13"/>
      <c r="AFU77" s="13"/>
      <c r="AFV77" s="13"/>
      <c r="AFW77" s="13"/>
      <c r="AFX77" s="13"/>
      <c r="AFY77" s="13"/>
      <c r="AFZ77" s="13"/>
      <c r="AGA77" s="13"/>
      <c r="AGB77" s="13"/>
      <c r="AGC77" s="13"/>
      <c r="AGD77" s="13"/>
      <c r="AGE77" s="13"/>
      <c r="AGF77" s="13"/>
      <c r="AGG77" s="13"/>
      <c r="AGH77" s="13"/>
      <c r="AGI77" s="13"/>
      <c r="AGJ77" s="13"/>
      <c r="AGK77" s="13"/>
      <c r="AGL77" s="13"/>
      <c r="AGM77" s="13"/>
      <c r="AGN77" s="13"/>
      <c r="AGO77" s="13"/>
      <c r="AGP77" s="13"/>
      <c r="AGQ77" s="13"/>
      <c r="AGR77" s="13"/>
      <c r="AGS77" s="13"/>
      <c r="AGT77" s="13"/>
      <c r="AGU77" s="13"/>
      <c r="AGV77" s="13"/>
      <c r="AGW77" s="13"/>
      <c r="AGX77" s="13"/>
      <c r="AGY77" s="13"/>
      <c r="AGZ77" s="13"/>
      <c r="AHA77" s="13"/>
      <c r="AHB77" s="13"/>
      <c r="AHC77" s="13"/>
      <c r="AHD77" s="13"/>
      <c r="AHE77" s="13"/>
      <c r="AHF77" s="13"/>
      <c r="AHG77" s="13"/>
      <c r="AHH77" s="13"/>
      <c r="AHI77" s="13"/>
      <c r="AHJ77" s="13"/>
      <c r="AHK77" s="13"/>
      <c r="AHL77" s="13"/>
      <c r="AHM77" s="13"/>
      <c r="AHN77" s="13"/>
      <c r="AHO77" s="13"/>
      <c r="AHP77" s="13"/>
      <c r="AHQ77" s="13"/>
      <c r="AHR77" s="13"/>
      <c r="AHS77" s="13"/>
      <c r="AHT77" s="13"/>
      <c r="AHU77" s="13"/>
      <c r="AHV77" s="13"/>
      <c r="AHW77" s="13"/>
      <c r="AHX77" s="13"/>
      <c r="AHY77" s="13"/>
      <c r="AHZ77" s="13"/>
      <c r="AIA77" s="13"/>
      <c r="AIB77" s="13"/>
      <c r="AIC77" s="13"/>
      <c r="AID77" s="13"/>
      <c r="AIE77" s="13"/>
      <c r="AIF77" s="13"/>
      <c r="AIG77" s="13"/>
      <c r="AIH77" s="13"/>
      <c r="AII77" s="13"/>
      <c r="AIJ77" s="13"/>
      <c r="AIK77" s="13"/>
      <c r="AIL77" s="13"/>
      <c r="AIM77" s="13"/>
      <c r="AIN77" s="13"/>
      <c r="AIO77" s="13"/>
      <c r="AIP77" s="13"/>
      <c r="AIQ77" s="13"/>
      <c r="AIR77" s="13"/>
      <c r="AIS77" s="13"/>
      <c r="AIT77" s="13"/>
      <c r="AIU77" s="13"/>
      <c r="AIV77" s="13"/>
      <c r="AIW77" s="13"/>
      <c r="AIX77" s="13"/>
      <c r="AIY77" s="13"/>
      <c r="AIZ77" s="13"/>
      <c r="AJA77" s="13"/>
      <c r="AJB77" s="13"/>
      <c r="AJC77" s="13"/>
      <c r="AJD77" s="13"/>
      <c r="AJE77" s="13"/>
      <c r="AJF77" s="13"/>
      <c r="AJG77" s="13"/>
      <c r="AJH77" s="13"/>
      <c r="AJI77" s="13"/>
      <c r="AJJ77" s="13"/>
      <c r="AJK77" s="13"/>
      <c r="AJL77" s="13"/>
      <c r="AJM77" s="13"/>
      <c r="AJN77" s="13"/>
      <c r="AJO77" s="13"/>
      <c r="AJP77" s="13"/>
      <c r="AJQ77" s="13"/>
      <c r="AJR77" s="13"/>
      <c r="AJS77" s="13"/>
      <c r="AJT77" s="13"/>
      <c r="AJU77" s="13"/>
      <c r="AJV77" s="13"/>
      <c r="AJW77" s="13"/>
      <c r="AJX77" s="13"/>
      <c r="AJY77" s="13"/>
      <c r="AJZ77" s="13"/>
      <c r="AKA77" s="13"/>
      <c r="AKB77" s="13"/>
      <c r="AKC77" s="13"/>
      <c r="AKD77" s="13"/>
      <c r="AKE77" s="13"/>
      <c r="AKF77" s="13"/>
      <c r="AKG77" s="13"/>
      <c r="AKH77" s="13"/>
      <c r="AKI77" s="13"/>
      <c r="AKJ77" s="13"/>
      <c r="AKK77" s="13"/>
      <c r="AKL77" s="13"/>
      <c r="AKM77" s="13"/>
      <c r="AKN77" s="13"/>
      <c r="AKO77" s="13"/>
      <c r="AKP77" s="13"/>
      <c r="AKQ77" s="13"/>
      <c r="AKR77" s="13"/>
      <c r="AKS77" s="13"/>
      <c r="AKT77" s="13"/>
      <c r="AKU77" s="13"/>
      <c r="AKV77" s="13"/>
      <c r="AKW77" s="13"/>
      <c r="AKX77" s="13"/>
      <c r="AKY77" s="13"/>
      <c r="AKZ77" s="13"/>
      <c r="ALA77" s="13"/>
      <c r="ALB77" s="13"/>
      <c r="ALC77" s="13"/>
      <c r="ALD77" s="13"/>
      <c r="ALE77" s="13"/>
      <c r="ALF77" s="13"/>
      <c r="ALG77" s="13"/>
      <c r="ALH77" s="13"/>
      <c r="ALI77" s="13"/>
      <c r="ALJ77" s="13"/>
      <c r="ALK77" s="13"/>
      <c r="ALL77" s="13"/>
      <c r="ALM77" s="13"/>
      <c r="ALN77" s="13"/>
      <c r="ALO77" s="13"/>
      <c r="ALP77" s="13"/>
      <c r="ALQ77" s="13"/>
      <c r="ALR77" s="13"/>
      <c r="ALS77" s="13"/>
      <c r="ALT77" s="13"/>
      <c r="ALU77" s="13"/>
      <c r="ALV77" s="13"/>
      <c r="ALW77" s="13"/>
      <c r="ALX77" s="13"/>
      <c r="ALY77" s="13"/>
      <c r="ALZ77" s="13"/>
      <c r="AMA77" s="13"/>
      <c r="AMB77" s="13"/>
      <c r="AMC77" s="13"/>
      <c r="AMD77" s="13"/>
      <c r="AME77" s="13"/>
      <c r="AMF77" s="13"/>
      <c r="AMG77" s="13"/>
      <c r="AMH77" s="13"/>
      <c r="AMI77" s="13"/>
      <c r="AMJ77" s="13"/>
      <c r="AMK77" s="13"/>
    </row>
    <row r="78" spans="1:1025" s="133" customFormat="1" ht="12.75" customHeight="1" x14ac:dyDescent="0.2">
      <c r="A78" s="87"/>
      <c r="B78" s="88"/>
      <c r="C78" s="89"/>
      <c r="D78" s="90"/>
      <c r="E78" s="91"/>
      <c r="F78" s="92"/>
      <c r="G78" s="6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  <c r="KO78" s="13"/>
      <c r="KP78" s="13"/>
      <c r="KQ78" s="13"/>
      <c r="KR78" s="13"/>
      <c r="KS78" s="13"/>
      <c r="KT78" s="13"/>
      <c r="KU78" s="13"/>
      <c r="KV78" s="13"/>
      <c r="KW78" s="13"/>
      <c r="KX78" s="13"/>
      <c r="KY78" s="13"/>
      <c r="KZ78" s="13"/>
      <c r="LA78" s="13"/>
      <c r="LB78" s="13"/>
      <c r="LC78" s="13"/>
      <c r="LD78" s="13"/>
      <c r="LE78" s="13"/>
      <c r="LF78" s="13"/>
      <c r="LG78" s="13"/>
      <c r="LH78" s="13"/>
      <c r="LI78" s="13"/>
      <c r="LJ78" s="13"/>
      <c r="LK78" s="13"/>
      <c r="LL78" s="13"/>
      <c r="LM78" s="13"/>
      <c r="LN78" s="13"/>
      <c r="LO78" s="13"/>
      <c r="LP78" s="13"/>
      <c r="LQ78" s="13"/>
      <c r="LR78" s="13"/>
      <c r="LS78" s="13"/>
      <c r="LT78" s="13"/>
      <c r="LU78" s="13"/>
      <c r="LV78" s="13"/>
      <c r="LW78" s="13"/>
      <c r="LX78" s="13"/>
      <c r="LY78" s="13"/>
      <c r="LZ78" s="13"/>
      <c r="MA78" s="13"/>
      <c r="MB78" s="13"/>
      <c r="MC78" s="13"/>
      <c r="MD78" s="13"/>
      <c r="ME78" s="13"/>
      <c r="MF78" s="13"/>
      <c r="MG78" s="13"/>
      <c r="MH78" s="13"/>
      <c r="MI78" s="13"/>
      <c r="MJ78" s="13"/>
      <c r="MK78" s="13"/>
      <c r="ML78" s="13"/>
      <c r="MM78" s="13"/>
      <c r="MN78" s="13"/>
      <c r="MO78" s="13"/>
      <c r="MP78" s="13"/>
      <c r="MQ78" s="13"/>
      <c r="MR78" s="13"/>
      <c r="MS78" s="13"/>
      <c r="MT78" s="13"/>
      <c r="MU78" s="13"/>
      <c r="MV78" s="13"/>
      <c r="MW78" s="13"/>
      <c r="MX78" s="13"/>
      <c r="MY78" s="13"/>
      <c r="MZ78" s="13"/>
      <c r="NA78" s="13"/>
      <c r="NB78" s="13"/>
      <c r="NC78" s="13"/>
      <c r="ND78" s="13"/>
      <c r="NE78" s="13"/>
      <c r="NF78" s="13"/>
      <c r="NG78" s="13"/>
      <c r="NH78" s="13"/>
      <c r="NI78" s="13"/>
      <c r="NJ78" s="13"/>
      <c r="NK78" s="13"/>
      <c r="NL78" s="13"/>
      <c r="NM78" s="13"/>
      <c r="NN78" s="13"/>
      <c r="NO78" s="13"/>
      <c r="NP78" s="13"/>
      <c r="NQ78" s="13"/>
      <c r="NR78" s="13"/>
      <c r="NS78" s="13"/>
      <c r="NT78" s="13"/>
      <c r="NU78" s="13"/>
      <c r="NV78" s="13"/>
      <c r="NW78" s="13"/>
      <c r="NX78" s="13"/>
      <c r="NY78" s="13"/>
      <c r="NZ78" s="13"/>
      <c r="OA78" s="13"/>
      <c r="OB78" s="13"/>
      <c r="OC78" s="13"/>
      <c r="OD78" s="13"/>
      <c r="OE78" s="13"/>
      <c r="OF78" s="13"/>
      <c r="OG78" s="13"/>
      <c r="OH78" s="13"/>
      <c r="OI78" s="13"/>
      <c r="OJ78" s="13"/>
      <c r="OK78" s="13"/>
      <c r="OL78" s="13"/>
      <c r="OM78" s="13"/>
      <c r="ON78" s="13"/>
      <c r="OO78" s="13"/>
      <c r="OP78" s="13"/>
      <c r="OQ78" s="13"/>
      <c r="OR78" s="13"/>
      <c r="OS78" s="13"/>
      <c r="OT78" s="13"/>
      <c r="OU78" s="13"/>
      <c r="OV78" s="13"/>
      <c r="OW78" s="13"/>
      <c r="OX78" s="13"/>
      <c r="OY78" s="13"/>
      <c r="OZ78" s="13"/>
      <c r="PA78" s="13"/>
      <c r="PB78" s="13"/>
      <c r="PC78" s="13"/>
      <c r="PD78" s="13"/>
      <c r="PE78" s="13"/>
      <c r="PF78" s="13"/>
      <c r="PG78" s="13"/>
      <c r="PH78" s="13"/>
      <c r="PI78" s="13"/>
      <c r="PJ78" s="13"/>
      <c r="PK78" s="13"/>
      <c r="PL78" s="13"/>
      <c r="PM78" s="13"/>
      <c r="PN78" s="13"/>
      <c r="PO78" s="13"/>
      <c r="PP78" s="13"/>
      <c r="PQ78" s="13"/>
      <c r="PR78" s="13"/>
      <c r="PS78" s="13"/>
      <c r="PT78" s="13"/>
      <c r="PU78" s="13"/>
      <c r="PV78" s="13"/>
      <c r="PW78" s="13"/>
      <c r="PX78" s="13"/>
      <c r="PY78" s="13"/>
      <c r="PZ78" s="13"/>
      <c r="QA78" s="13"/>
      <c r="QB78" s="13"/>
      <c r="QC78" s="13"/>
      <c r="QD78" s="13"/>
      <c r="QE78" s="13"/>
      <c r="QF78" s="13"/>
      <c r="QG78" s="13"/>
      <c r="QH78" s="13"/>
      <c r="QI78" s="13"/>
      <c r="QJ78" s="13"/>
      <c r="QK78" s="13"/>
      <c r="QL78" s="13"/>
      <c r="QM78" s="13"/>
      <c r="QN78" s="13"/>
      <c r="QO78" s="13"/>
      <c r="QP78" s="13"/>
      <c r="QQ78" s="13"/>
      <c r="QR78" s="13"/>
      <c r="QS78" s="13"/>
      <c r="QT78" s="13"/>
      <c r="QU78" s="13"/>
      <c r="QV78" s="13"/>
      <c r="QW78" s="13"/>
      <c r="QX78" s="13"/>
      <c r="QY78" s="13"/>
      <c r="QZ78" s="13"/>
      <c r="RA78" s="13"/>
      <c r="RB78" s="13"/>
      <c r="RC78" s="13"/>
      <c r="RD78" s="13"/>
      <c r="RE78" s="13"/>
      <c r="RF78" s="13"/>
      <c r="RG78" s="13"/>
      <c r="RH78" s="13"/>
      <c r="RI78" s="13"/>
      <c r="RJ78" s="13"/>
      <c r="RK78" s="13"/>
      <c r="RL78" s="13"/>
      <c r="RM78" s="13"/>
      <c r="RN78" s="13"/>
      <c r="RO78" s="13"/>
      <c r="RP78" s="13"/>
      <c r="RQ78" s="13"/>
      <c r="RR78" s="13"/>
      <c r="RS78" s="13"/>
      <c r="RT78" s="13"/>
      <c r="RU78" s="13"/>
      <c r="RV78" s="13"/>
      <c r="RW78" s="13"/>
      <c r="RX78" s="13"/>
      <c r="RY78" s="13"/>
      <c r="RZ78" s="13"/>
      <c r="SA78" s="13"/>
      <c r="SB78" s="13"/>
      <c r="SC78" s="13"/>
      <c r="SD78" s="13"/>
      <c r="SE78" s="13"/>
      <c r="SF78" s="13"/>
      <c r="SG78" s="13"/>
      <c r="SH78" s="13"/>
      <c r="SI78" s="13"/>
      <c r="SJ78" s="13"/>
      <c r="SK78" s="13"/>
      <c r="SL78" s="13"/>
      <c r="SM78" s="13"/>
      <c r="SN78" s="13"/>
      <c r="SO78" s="13"/>
      <c r="SP78" s="13"/>
      <c r="SQ78" s="13"/>
      <c r="SR78" s="13"/>
      <c r="SS78" s="13"/>
      <c r="ST78" s="13"/>
      <c r="SU78" s="13"/>
      <c r="SV78" s="13"/>
      <c r="SW78" s="13"/>
      <c r="SX78" s="13"/>
      <c r="SY78" s="13"/>
      <c r="SZ78" s="13"/>
      <c r="TA78" s="13"/>
      <c r="TB78" s="13"/>
      <c r="TC78" s="13"/>
      <c r="TD78" s="13"/>
      <c r="TE78" s="13"/>
      <c r="TF78" s="13"/>
      <c r="TG78" s="13"/>
      <c r="TH78" s="13"/>
      <c r="TI78" s="13"/>
      <c r="TJ78" s="13"/>
      <c r="TK78" s="13"/>
      <c r="TL78" s="13"/>
      <c r="TM78" s="13"/>
      <c r="TN78" s="13"/>
      <c r="TO78" s="13"/>
      <c r="TP78" s="13"/>
      <c r="TQ78" s="13"/>
      <c r="TR78" s="13"/>
      <c r="TS78" s="13"/>
      <c r="TT78" s="13"/>
      <c r="TU78" s="13"/>
      <c r="TV78" s="13"/>
      <c r="TW78" s="13"/>
      <c r="TX78" s="13"/>
      <c r="TY78" s="13"/>
      <c r="TZ78" s="13"/>
      <c r="UA78" s="13"/>
      <c r="UB78" s="13"/>
      <c r="UC78" s="13"/>
      <c r="UD78" s="13"/>
      <c r="UE78" s="13"/>
      <c r="UF78" s="13"/>
      <c r="UG78" s="13"/>
      <c r="UH78" s="13"/>
      <c r="UI78" s="13"/>
      <c r="UJ78" s="13"/>
      <c r="UK78" s="13"/>
      <c r="UL78" s="13"/>
      <c r="UM78" s="13"/>
      <c r="UN78" s="13"/>
      <c r="UO78" s="13"/>
      <c r="UP78" s="13"/>
      <c r="UQ78" s="13"/>
      <c r="UR78" s="13"/>
      <c r="US78" s="13"/>
      <c r="UT78" s="13"/>
      <c r="UU78" s="13"/>
      <c r="UV78" s="13"/>
      <c r="UW78" s="13"/>
      <c r="UX78" s="13"/>
      <c r="UY78" s="13"/>
      <c r="UZ78" s="13"/>
      <c r="VA78" s="13"/>
      <c r="VB78" s="13"/>
      <c r="VC78" s="13"/>
      <c r="VD78" s="13"/>
      <c r="VE78" s="13"/>
      <c r="VF78" s="13"/>
      <c r="VG78" s="13"/>
      <c r="VH78" s="13"/>
      <c r="VI78" s="13"/>
      <c r="VJ78" s="13"/>
      <c r="VK78" s="13"/>
      <c r="VL78" s="13"/>
      <c r="VM78" s="13"/>
      <c r="VN78" s="13"/>
      <c r="VO78" s="13"/>
      <c r="VP78" s="13"/>
      <c r="VQ78" s="13"/>
      <c r="VR78" s="13"/>
      <c r="VS78" s="13"/>
      <c r="VT78" s="13"/>
      <c r="VU78" s="13"/>
      <c r="VV78" s="13"/>
      <c r="VW78" s="13"/>
      <c r="VX78" s="13"/>
      <c r="VY78" s="13"/>
      <c r="VZ78" s="13"/>
      <c r="WA78" s="13"/>
      <c r="WB78" s="13"/>
      <c r="WC78" s="13"/>
      <c r="WD78" s="13"/>
      <c r="WE78" s="13"/>
      <c r="WF78" s="13"/>
      <c r="WG78" s="13"/>
      <c r="WH78" s="13"/>
      <c r="WI78" s="13"/>
      <c r="WJ78" s="13"/>
      <c r="WK78" s="13"/>
      <c r="WL78" s="13"/>
      <c r="WM78" s="13"/>
      <c r="WN78" s="13"/>
      <c r="WO78" s="13"/>
      <c r="WP78" s="13"/>
      <c r="WQ78" s="13"/>
      <c r="WR78" s="13"/>
      <c r="WS78" s="13"/>
      <c r="WT78" s="13"/>
      <c r="WU78" s="13"/>
      <c r="WV78" s="13"/>
      <c r="WW78" s="13"/>
      <c r="WX78" s="13"/>
      <c r="WY78" s="13"/>
      <c r="WZ78" s="13"/>
      <c r="XA78" s="13"/>
      <c r="XB78" s="13"/>
      <c r="XC78" s="13"/>
      <c r="XD78" s="13"/>
      <c r="XE78" s="13"/>
      <c r="XF78" s="13"/>
      <c r="XG78" s="13"/>
      <c r="XH78" s="13"/>
      <c r="XI78" s="13"/>
      <c r="XJ78" s="13"/>
      <c r="XK78" s="13"/>
      <c r="XL78" s="13"/>
      <c r="XM78" s="13"/>
      <c r="XN78" s="13"/>
      <c r="XO78" s="13"/>
      <c r="XP78" s="13"/>
      <c r="XQ78" s="13"/>
      <c r="XR78" s="13"/>
      <c r="XS78" s="13"/>
      <c r="XT78" s="13"/>
      <c r="XU78" s="13"/>
      <c r="XV78" s="13"/>
      <c r="XW78" s="13"/>
      <c r="XX78" s="13"/>
      <c r="XY78" s="13"/>
      <c r="XZ78" s="13"/>
      <c r="YA78" s="13"/>
      <c r="YB78" s="13"/>
      <c r="YC78" s="13"/>
      <c r="YD78" s="13"/>
      <c r="YE78" s="13"/>
      <c r="YF78" s="13"/>
      <c r="YG78" s="13"/>
      <c r="YH78" s="13"/>
      <c r="YI78" s="13"/>
      <c r="YJ78" s="13"/>
      <c r="YK78" s="13"/>
      <c r="YL78" s="13"/>
      <c r="YM78" s="13"/>
      <c r="YN78" s="13"/>
      <c r="YO78" s="13"/>
      <c r="YP78" s="13"/>
      <c r="YQ78" s="13"/>
      <c r="YR78" s="13"/>
      <c r="YS78" s="13"/>
      <c r="YT78" s="13"/>
      <c r="YU78" s="13"/>
      <c r="YV78" s="13"/>
      <c r="YW78" s="13"/>
      <c r="YX78" s="13"/>
      <c r="YY78" s="13"/>
      <c r="YZ78" s="13"/>
      <c r="ZA78" s="13"/>
      <c r="ZB78" s="13"/>
      <c r="ZC78" s="13"/>
      <c r="ZD78" s="13"/>
      <c r="ZE78" s="13"/>
      <c r="ZF78" s="13"/>
      <c r="ZG78" s="13"/>
      <c r="ZH78" s="13"/>
      <c r="ZI78" s="13"/>
      <c r="ZJ78" s="13"/>
      <c r="ZK78" s="13"/>
      <c r="ZL78" s="13"/>
      <c r="ZM78" s="13"/>
      <c r="ZN78" s="13"/>
      <c r="ZO78" s="13"/>
      <c r="ZP78" s="13"/>
      <c r="ZQ78" s="13"/>
      <c r="ZR78" s="13"/>
      <c r="ZS78" s="13"/>
      <c r="ZT78" s="13"/>
      <c r="ZU78" s="13"/>
      <c r="ZV78" s="13"/>
      <c r="ZW78" s="13"/>
      <c r="ZX78" s="13"/>
      <c r="ZY78" s="13"/>
      <c r="ZZ78" s="13"/>
      <c r="AAA78" s="13"/>
      <c r="AAB78" s="13"/>
      <c r="AAC78" s="13"/>
      <c r="AAD78" s="13"/>
      <c r="AAE78" s="13"/>
      <c r="AAF78" s="13"/>
      <c r="AAG78" s="13"/>
      <c r="AAH78" s="13"/>
      <c r="AAI78" s="13"/>
      <c r="AAJ78" s="13"/>
      <c r="AAK78" s="13"/>
      <c r="AAL78" s="13"/>
      <c r="AAM78" s="13"/>
      <c r="AAN78" s="13"/>
      <c r="AAO78" s="13"/>
      <c r="AAP78" s="13"/>
      <c r="AAQ78" s="13"/>
      <c r="AAR78" s="13"/>
      <c r="AAS78" s="13"/>
      <c r="AAT78" s="13"/>
      <c r="AAU78" s="13"/>
      <c r="AAV78" s="13"/>
      <c r="AAW78" s="13"/>
      <c r="AAX78" s="13"/>
      <c r="AAY78" s="13"/>
      <c r="AAZ78" s="13"/>
      <c r="ABA78" s="13"/>
      <c r="ABB78" s="13"/>
      <c r="ABC78" s="13"/>
      <c r="ABD78" s="13"/>
      <c r="ABE78" s="13"/>
      <c r="ABF78" s="13"/>
      <c r="ABG78" s="13"/>
      <c r="ABH78" s="13"/>
      <c r="ABI78" s="13"/>
      <c r="ABJ78" s="13"/>
      <c r="ABK78" s="13"/>
      <c r="ABL78" s="13"/>
      <c r="ABM78" s="13"/>
      <c r="ABN78" s="13"/>
      <c r="ABO78" s="13"/>
      <c r="ABP78" s="13"/>
      <c r="ABQ78" s="13"/>
      <c r="ABR78" s="13"/>
      <c r="ABS78" s="13"/>
      <c r="ABT78" s="13"/>
      <c r="ABU78" s="13"/>
      <c r="ABV78" s="13"/>
      <c r="ABW78" s="13"/>
      <c r="ABX78" s="13"/>
      <c r="ABY78" s="13"/>
      <c r="ABZ78" s="13"/>
      <c r="ACA78" s="13"/>
      <c r="ACB78" s="13"/>
      <c r="ACC78" s="13"/>
      <c r="ACD78" s="13"/>
      <c r="ACE78" s="13"/>
      <c r="ACF78" s="13"/>
      <c r="ACG78" s="13"/>
      <c r="ACH78" s="13"/>
      <c r="ACI78" s="13"/>
      <c r="ACJ78" s="13"/>
      <c r="ACK78" s="13"/>
      <c r="ACL78" s="13"/>
      <c r="ACM78" s="13"/>
      <c r="ACN78" s="13"/>
      <c r="ACO78" s="13"/>
      <c r="ACP78" s="13"/>
      <c r="ACQ78" s="13"/>
      <c r="ACR78" s="13"/>
      <c r="ACS78" s="13"/>
      <c r="ACT78" s="13"/>
      <c r="ACU78" s="13"/>
      <c r="ACV78" s="13"/>
      <c r="ACW78" s="13"/>
      <c r="ACX78" s="13"/>
      <c r="ACY78" s="13"/>
      <c r="ACZ78" s="13"/>
      <c r="ADA78" s="13"/>
      <c r="ADB78" s="13"/>
      <c r="ADC78" s="13"/>
      <c r="ADD78" s="13"/>
      <c r="ADE78" s="13"/>
      <c r="ADF78" s="13"/>
      <c r="ADG78" s="13"/>
      <c r="ADH78" s="13"/>
      <c r="ADI78" s="13"/>
      <c r="ADJ78" s="13"/>
      <c r="ADK78" s="13"/>
      <c r="ADL78" s="13"/>
      <c r="ADM78" s="13"/>
      <c r="ADN78" s="13"/>
      <c r="ADO78" s="13"/>
      <c r="ADP78" s="13"/>
      <c r="ADQ78" s="13"/>
      <c r="ADR78" s="13"/>
      <c r="ADS78" s="13"/>
      <c r="ADT78" s="13"/>
      <c r="ADU78" s="13"/>
      <c r="ADV78" s="13"/>
      <c r="ADW78" s="13"/>
      <c r="ADX78" s="13"/>
      <c r="ADY78" s="13"/>
      <c r="ADZ78" s="13"/>
      <c r="AEA78" s="13"/>
      <c r="AEB78" s="13"/>
      <c r="AEC78" s="13"/>
      <c r="AED78" s="13"/>
      <c r="AEE78" s="13"/>
      <c r="AEF78" s="13"/>
      <c r="AEG78" s="13"/>
      <c r="AEH78" s="13"/>
      <c r="AEI78" s="13"/>
      <c r="AEJ78" s="13"/>
      <c r="AEK78" s="13"/>
      <c r="AEL78" s="13"/>
      <c r="AEM78" s="13"/>
      <c r="AEN78" s="13"/>
      <c r="AEO78" s="13"/>
      <c r="AEP78" s="13"/>
      <c r="AEQ78" s="13"/>
      <c r="AER78" s="13"/>
      <c r="AES78" s="13"/>
      <c r="AET78" s="13"/>
      <c r="AEU78" s="13"/>
      <c r="AEV78" s="13"/>
      <c r="AEW78" s="13"/>
      <c r="AEX78" s="13"/>
      <c r="AEY78" s="13"/>
      <c r="AEZ78" s="13"/>
      <c r="AFA78" s="13"/>
      <c r="AFB78" s="13"/>
      <c r="AFC78" s="13"/>
      <c r="AFD78" s="13"/>
      <c r="AFE78" s="13"/>
      <c r="AFF78" s="13"/>
      <c r="AFG78" s="13"/>
      <c r="AFH78" s="13"/>
      <c r="AFI78" s="13"/>
      <c r="AFJ78" s="13"/>
      <c r="AFK78" s="13"/>
      <c r="AFL78" s="13"/>
      <c r="AFM78" s="13"/>
      <c r="AFN78" s="13"/>
      <c r="AFO78" s="13"/>
      <c r="AFP78" s="13"/>
      <c r="AFQ78" s="13"/>
      <c r="AFR78" s="13"/>
      <c r="AFS78" s="13"/>
      <c r="AFT78" s="13"/>
      <c r="AFU78" s="13"/>
      <c r="AFV78" s="13"/>
      <c r="AFW78" s="13"/>
      <c r="AFX78" s="13"/>
      <c r="AFY78" s="13"/>
      <c r="AFZ78" s="13"/>
      <c r="AGA78" s="13"/>
      <c r="AGB78" s="13"/>
      <c r="AGC78" s="13"/>
      <c r="AGD78" s="13"/>
      <c r="AGE78" s="13"/>
      <c r="AGF78" s="13"/>
      <c r="AGG78" s="13"/>
      <c r="AGH78" s="13"/>
      <c r="AGI78" s="13"/>
      <c r="AGJ78" s="13"/>
      <c r="AGK78" s="13"/>
      <c r="AGL78" s="13"/>
      <c r="AGM78" s="13"/>
      <c r="AGN78" s="13"/>
      <c r="AGO78" s="13"/>
      <c r="AGP78" s="13"/>
      <c r="AGQ78" s="13"/>
      <c r="AGR78" s="13"/>
      <c r="AGS78" s="13"/>
      <c r="AGT78" s="13"/>
      <c r="AGU78" s="13"/>
      <c r="AGV78" s="13"/>
      <c r="AGW78" s="13"/>
      <c r="AGX78" s="13"/>
      <c r="AGY78" s="13"/>
      <c r="AGZ78" s="13"/>
      <c r="AHA78" s="13"/>
      <c r="AHB78" s="13"/>
      <c r="AHC78" s="13"/>
      <c r="AHD78" s="13"/>
      <c r="AHE78" s="13"/>
      <c r="AHF78" s="13"/>
      <c r="AHG78" s="13"/>
      <c r="AHH78" s="13"/>
      <c r="AHI78" s="13"/>
      <c r="AHJ78" s="13"/>
      <c r="AHK78" s="13"/>
      <c r="AHL78" s="13"/>
      <c r="AHM78" s="13"/>
      <c r="AHN78" s="13"/>
      <c r="AHO78" s="13"/>
      <c r="AHP78" s="13"/>
      <c r="AHQ78" s="13"/>
      <c r="AHR78" s="13"/>
      <c r="AHS78" s="13"/>
      <c r="AHT78" s="13"/>
      <c r="AHU78" s="13"/>
      <c r="AHV78" s="13"/>
      <c r="AHW78" s="13"/>
      <c r="AHX78" s="13"/>
      <c r="AHY78" s="13"/>
      <c r="AHZ78" s="13"/>
      <c r="AIA78" s="13"/>
      <c r="AIB78" s="13"/>
      <c r="AIC78" s="13"/>
      <c r="AID78" s="13"/>
      <c r="AIE78" s="13"/>
      <c r="AIF78" s="13"/>
      <c r="AIG78" s="13"/>
      <c r="AIH78" s="13"/>
      <c r="AII78" s="13"/>
      <c r="AIJ78" s="13"/>
      <c r="AIK78" s="13"/>
      <c r="AIL78" s="13"/>
      <c r="AIM78" s="13"/>
      <c r="AIN78" s="13"/>
      <c r="AIO78" s="13"/>
      <c r="AIP78" s="13"/>
      <c r="AIQ78" s="13"/>
      <c r="AIR78" s="13"/>
      <c r="AIS78" s="13"/>
      <c r="AIT78" s="13"/>
      <c r="AIU78" s="13"/>
      <c r="AIV78" s="13"/>
      <c r="AIW78" s="13"/>
      <c r="AIX78" s="13"/>
      <c r="AIY78" s="13"/>
      <c r="AIZ78" s="13"/>
      <c r="AJA78" s="13"/>
      <c r="AJB78" s="13"/>
      <c r="AJC78" s="13"/>
      <c r="AJD78" s="13"/>
      <c r="AJE78" s="13"/>
      <c r="AJF78" s="13"/>
      <c r="AJG78" s="13"/>
      <c r="AJH78" s="13"/>
      <c r="AJI78" s="13"/>
      <c r="AJJ78" s="13"/>
      <c r="AJK78" s="13"/>
      <c r="AJL78" s="13"/>
      <c r="AJM78" s="13"/>
      <c r="AJN78" s="13"/>
      <c r="AJO78" s="13"/>
      <c r="AJP78" s="13"/>
      <c r="AJQ78" s="13"/>
      <c r="AJR78" s="13"/>
      <c r="AJS78" s="13"/>
      <c r="AJT78" s="13"/>
      <c r="AJU78" s="13"/>
      <c r="AJV78" s="13"/>
      <c r="AJW78" s="13"/>
      <c r="AJX78" s="13"/>
      <c r="AJY78" s="13"/>
      <c r="AJZ78" s="13"/>
      <c r="AKA78" s="13"/>
      <c r="AKB78" s="13"/>
      <c r="AKC78" s="13"/>
      <c r="AKD78" s="13"/>
      <c r="AKE78" s="13"/>
      <c r="AKF78" s="13"/>
      <c r="AKG78" s="13"/>
      <c r="AKH78" s="13"/>
      <c r="AKI78" s="13"/>
      <c r="AKJ78" s="13"/>
      <c r="AKK78" s="13"/>
      <c r="AKL78" s="13"/>
      <c r="AKM78" s="13"/>
      <c r="AKN78" s="13"/>
      <c r="AKO78" s="13"/>
      <c r="AKP78" s="13"/>
      <c r="AKQ78" s="13"/>
      <c r="AKR78" s="13"/>
      <c r="AKS78" s="13"/>
      <c r="AKT78" s="13"/>
      <c r="AKU78" s="13"/>
      <c r="AKV78" s="13"/>
      <c r="AKW78" s="13"/>
      <c r="AKX78" s="13"/>
      <c r="AKY78" s="13"/>
      <c r="AKZ78" s="13"/>
      <c r="ALA78" s="13"/>
      <c r="ALB78" s="13"/>
      <c r="ALC78" s="13"/>
      <c r="ALD78" s="13"/>
      <c r="ALE78" s="13"/>
      <c r="ALF78" s="13"/>
      <c r="ALG78" s="13"/>
      <c r="ALH78" s="13"/>
      <c r="ALI78" s="13"/>
      <c r="ALJ78" s="13"/>
      <c r="ALK78" s="13"/>
      <c r="ALL78" s="13"/>
      <c r="ALM78" s="13"/>
      <c r="ALN78" s="13"/>
      <c r="ALO78" s="13"/>
      <c r="ALP78" s="13"/>
      <c r="ALQ78" s="13"/>
      <c r="ALR78" s="13"/>
      <c r="ALS78" s="13"/>
      <c r="ALT78" s="13"/>
      <c r="ALU78" s="13"/>
      <c r="ALV78" s="13"/>
      <c r="ALW78" s="13"/>
      <c r="ALX78" s="13"/>
      <c r="ALY78" s="13"/>
      <c r="ALZ78" s="13"/>
      <c r="AMA78" s="13"/>
      <c r="AMB78" s="13"/>
      <c r="AMC78" s="13"/>
      <c r="AMD78" s="13"/>
      <c r="AME78" s="13"/>
      <c r="AMF78" s="13"/>
      <c r="AMG78" s="13"/>
      <c r="AMH78" s="13"/>
      <c r="AMI78" s="13"/>
      <c r="AMJ78" s="13"/>
      <c r="AMK78" s="13"/>
    </row>
    <row r="79" spans="1:1025" ht="12.75" customHeight="1" x14ac:dyDescent="0.2">
      <c r="A79" s="6" t="s">
        <v>69</v>
      </c>
      <c r="B79" s="51"/>
      <c r="C79" s="51"/>
      <c r="D79" s="7"/>
      <c r="E79" s="8"/>
      <c r="F79" s="92"/>
      <c r="G79" s="63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</row>
    <row r="80" spans="1:1025" ht="12.75" customHeight="1" x14ac:dyDescent="0.2">
      <c r="A80" s="52" t="s">
        <v>43</v>
      </c>
      <c r="B80" s="53"/>
      <c r="C80" s="8"/>
      <c r="D80" s="54" t="s">
        <v>44</v>
      </c>
      <c r="E80" s="55"/>
      <c r="F80" s="92"/>
      <c r="G80" s="63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</row>
    <row r="81" spans="1:102" ht="12.75" customHeight="1" x14ac:dyDescent="0.2">
      <c r="A81" s="56" t="s">
        <v>45</v>
      </c>
      <c r="B81" s="57" t="s">
        <v>46</v>
      </c>
      <c r="C81" s="57" t="s">
        <v>47</v>
      </c>
      <c r="D81" s="58" t="s">
        <v>48</v>
      </c>
      <c r="E81" s="8"/>
      <c r="F81" s="92"/>
      <c r="G81" s="63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</row>
    <row r="82" spans="1:102" ht="12.75" customHeight="1" x14ac:dyDescent="0.2">
      <c r="A82" s="59" t="s">
        <v>48</v>
      </c>
      <c r="B82" s="46">
        <v>30</v>
      </c>
      <c r="C82" s="60">
        <v>9.9999999999999998E+37</v>
      </c>
      <c r="D82" s="61" t="s">
        <v>49</v>
      </c>
      <c r="E82" s="62"/>
      <c r="F82" s="92"/>
      <c r="G82" s="63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</row>
    <row r="83" spans="1:102" ht="12.75" customHeight="1" x14ac:dyDescent="0.2">
      <c r="A83"/>
      <c r="B83"/>
      <c r="C83"/>
      <c r="D83"/>
      <c r="E83"/>
      <c r="F83" s="92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</row>
    <row r="84" spans="1:102" ht="12.75" customHeight="1" x14ac:dyDescent="0.2">
      <c r="A84" s="64" t="s">
        <v>71</v>
      </c>
      <c r="B84" s="65"/>
      <c r="C84" s="65"/>
      <c r="D84" s="65"/>
      <c r="E84" s="7"/>
      <c r="F84" s="92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</row>
    <row r="85" spans="1:102" ht="12.75" customHeight="1" x14ac:dyDescent="0.2">
      <c r="A85" s="66" t="s">
        <v>51</v>
      </c>
      <c r="B85" s="67"/>
      <c r="C85" s="68"/>
      <c r="D85" s="69" t="s">
        <v>52</v>
      </c>
      <c r="E85" s="70" t="s">
        <v>44</v>
      </c>
      <c r="F85" s="92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</row>
    <row r="86" spans="1:102" ht="12.75" customHeight="1" x14ac:dyDescent="0.2">
      <c r="A86" s="36" t="s">
        <v>45</v>
      </c>
      <c r="B86" s="71" t="s">
        <v>46</v>
      </c>
      <c r="C86" s="72" t="s">
        <v>53</v>
      </c>
      <c r="D86" s="73" t="s">
        <v>48</v>
      </c>
      <c r="E86" s="74" t="s">
        <v>48</v>
      </c>
      <c r="F86" s="92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</row>
    <row r="87" spans="1:102" ht="12.75" customHeight="1" x14ac:dyDescent="0.2">
      <c r="A87" s="75" t="s">
        <v>54</v>
      </c>
      <c r="B87" s="11">
        <v>0</v>
      </c>
      <c r="C87" s="60">
        <v>9.9999999999999998E+37</v>
      </c>
      <c r="D87" s="76" t="s">
        <v>55</v>
      </c>
      <c r="E87" s="61" t="s">
        <v>55</v>
      </c>
      <c r="F87" s="92"/>
      <c r="G87" s="33"/>
      <c r="H87" s="1"/>
      <c r="I87" s="1"/>
      <c r="J87" s="1"/>
      <c r="K87" s="1"/>
      <c r="L87" s="1"/>
      <c r="M87" s="1"/>
      <c r="N87" s="1"/>
      <c r="O87" s="1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</row>
    <row r="88" spans="1:102" ht="12.75" customHeight="1" thickBot="1" x14ac:dyDescent="0.25">
      <c r="A88" s="75" t="s">
        <v>56</v>
      </c>
      <c r="B88" s="11">
        <v>0</v>
      </c>
      <c r="C88" s="60">
        <v>9.9999999999999998E+37</v>
      </c>
      <c r="D88" s="76" t="s">
        <v>55</v>
      </c>
      <c r="E88" s="61" t="s">
        <v>55</v>
      </c>
      <c r="F88" s="92"/>
      <c r="G88" s="63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</row>
    <row r="89" spans="1:102" ht="12.75" customHeight="1" x14ac:dyDescent="0.2">
      <c r="A89" s="78" t="s">
        <v>57</v>
      </c>
      <c r="B89" s="79" t="s">
        <v>58</v>
      </c>
      <c r="C89" s="72" t="s">
        <v>53</v>
      </c>
      <c r="D89" s="80"/>
      <c r="E89" s="80"/>
      <c r="F89" s="92"/>
      <c r="G89" s="63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</row>
    <row r="90" spans="1:102" ht="12.75" customHeight="1" x14ac:dyDescent="0.2">
      <c r="A90" s="75" t="s">
        <v>59</v>
      </c>
      <c r="B90" s="46">
        <v>0.1</v>
      </c>
      <c r="C90" s="60">
        <v>9.9999999999999998E+37</v>
      </c>
      <c r="D90" s="76" t="s">
        <v>55</v>
      </c>
      <c r="E90" s="61" t="s">
        <v>55</v>
      </c>
      <c r="F90" s="92"/>
      <c r="G90" s="63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</row>
    <row r="91" spans="1:102" ht="12.75" customHeight="1" x14ac:dyDescent="0.2">
      <c r="A91" s="75" t="s">
        <v>60</v>
      </c>
      <c r="B91" s="46">
        <v>0</v>
      </c>
      <c r="C91" s="60">
        <v>9.9999999999999998E+37</v>
      </c>
      <c r="D91" s="76" t="s">
        <v>55</v>
      </c>
      <c r="E91" s="61" t="s">
        <v>55</v>
      </c>
      <c r="F91" s="92"/>
      <c r="G91" s="64" t="s">
        <v>70</v>
      </c>
      <c r="H91" s="65"/>
      <c r="I91" s="65"/>
      <c r="J91" s="65"/>
      <c r="K91" s="93"/>
      <c r="L91" s="93"/>
      <c r="M91" s="93"/>
      <c r="N91" s="93"/>
      <c r="O91" s="93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</row>
    <row r="92" spans="1:102" ht="12.75" customHeight="1" x14ac:dyDescent="0.2">
      <c r="A92" s="75" t="s">
        <v>61</v>
      </c>
      <c r="B92" s="46">
        <v>0</v>
      </c>
      <c r="C92" s="60">
        <v>9.9999999999999998E+37</v>
      </c>
      <c r="D92" s="76" t="s">
        <v>55</v>
      </c>
      <c r="E92" s="61" t="s">
        <v>55</v>
      </c>
      <c r="F92"/>
      <c r="G92" s="94" t="s">
        <v>72</v>
      </c>
      <c r="H92" s="95">
        <v>1</v>
      </c>
      <c r="I92" s="95">
        <v>2</v>
      </c>
      <c r="J92" s="95">
        <v>3</v>
      </c>
      <c r="K92" s="95">
        <v>4</v>
      </c>
      <c r="L92" s="95">
        <v>5</v>
      </c>
      <c r="M92" s="95">
        <v>6</v>
      </c>
      <c r="N92" s="95">
        <v>7</v>
      </c>
      <c r="O92" s="95">
        <v>8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</row>
    <row r="93" spans="1:102" ht="12.75" customHeight="1" x14ac:dyDescent="0.2">
      <c r="A93"/>
      <c r="B93"/>
      <c r="C93"/>
      <c r="D93"/>
      <c r="E93"/>
      <c r="F93"/>
      <c r="G93" s="96" t="s">
        <v>73</v>
      </c>
      <c r="H93" s="97">
        <v>0.2</v>
      </c>
      <c r="I93" s="97">
        <v>0.32</v>
      </c>
      <c r="J93" s="97">
        <v>0.192</v>
      </c>
      <c r="K93" s="97">
        <v>0.1152</v>
      </c>
      <c r="L93" s="97">
        <v>0.1152</v>
      </c>
      <c r="M93" s="97">
        <v>5.7599999999999998E-2</v>
      </c>
      <c r="N93" s="95">
        <v>0</v>
      </c>
      <c r="O93" s="95">
        <v>0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</row>
    <row r="94" spans="1:102" ht="12.75" customHeight="1" x14ac:dyDescent="0.2">
      <c r="A94" s="64" t="s">
        <v>75</v>
      </c>
      <c r="B94" s="7" t="s">
        <v>76</v>
      </c>
      <c r="C94" s="7" t="s">
        <v>77</v>
      </c>
      <c r="D94" s="39" t="s">
        <v>152</v>
      </c>
      <c r="E94"/>
      <c r="F94"/>
      <c r="G94" s="96" t="s">
        <v>74</v>
      </c>
      <c r="H94" s="95">
        <v>0.1429</v>
      </c>
      <c r="I94" s="95">
        <v>0.24490000000000001</v>
      </c>
      <c r="J94" s="95">
        <v>0.1749</v>
      </c>
      <c r="K94" s="95">
        <v>0.1249</v>
      </c>
      <c r="L94" s="95">
        <v>8.9300000000000004E-2</v>
      </c>
      <c r="M94" s="95">
        <v>8.9200000000000002E-2</v>
      </c>
      <c r="N94" s="95">
        <v>8.9300000000000004E-2</v>
      </c>
      <c r="O94" s="95">
        <v>4.4600000000000001E-2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</row>
    <row r="95" spans="1:102" ht="12.75" customHeight="1" x14ac:dyDescent="0.2">
      <c r="A95" s="98" t="s">
        <v>78</v>
      </c>
      <c r="B95" s="99">
        <v>5</v>
      </c>
      <c r="C95" s="99">
        <v>5</v>
      </c>
      <c r="D95" s="99">
        <v>5</v>
      </c>
      <c r="E95"/>
      <c r="F95"/>
      <c r="G95"/>
      <c r="H95" s="1"/>
      <c r="I95"/>
      <c r="J95"/>
      <c r="K95" s="1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</row>
    <row r="96" spans="1:102" ht="12.75" customHeight="1" x14ac:dyDescent="0.2">
      <c r="A96" s="100" t="s">
        <v>79</v>
      </c>
      <c r="B96" s="95">
        <v>0.5</v>
      </c>
      <c r="C96" s="95">
        <v>0.5</v>
      </c>
      <c r="D96" s="95">
        <v>0.5</v>
      </c>
      <c r="E96"/>
      <c r="F96"/>
      <c r="G96"/>
      <c r="H96" s="63"/>
      <c r="I96" s="33"/>
      <c r="J96" s="33"/>
      <c r="K96" s="50"/>
      <c r="L96" s="77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</row>
    <row r="97" spans="1:1025" s="133" customFormat="1" ht="12.75" customHeight="1" x14ac:dyDescent="0.2">
      <c r="A97" s="170"/>
      <c r="B97" s="171"/>
      <c r="C97" s="171"/>
      <c r="D97" s="171"/>
      <c r="H97" s="63"/>
      <c r="I97" s="33"/>
      <c r="J97" s="33"/>
      <c r="K97" s="50"/>
      <c r="L97" s="90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  <c r="LU97" s="13"/>
      <c r="LV97" s="13"/>
      <c r="LW97" s="13"/>
      <c r="LX97" s="13"/>
      <c r="LY97" s="13"/>
      <c r="LZ97" s="13"/>
      <c r="MA97" s="13"/>
      <c r="MB97" s="13"/>
      <c r="MC97" s="13"/>
      <c r="MD97" s="13"/>
      <c r="ME97" s="13"/>
      <c r="MF97" s="13"/>
      <c r="MG97" s="13"/>
      <c r="MH97" s="13"/>
      <c r="MI97" s="13"/>
      <c r="MJ97" s="13"/>
      <c r="MK97" s="13"/>
      <c r="ML97" s="13"/>
      <c r="MM97" s="13"/>
      <c r="MN97" s="13"/>
      <c r="MO97" s="13"/>
      <c r="MP97" s="13"/>
      <c r="MQ97" s="13"/>
      <c r="MR97" s="13"/>
      <c r="MS97" s="13"/>
      <c r="MT97" s="13"/>
      <c r="MU97" s="13"/>
      <c r="MV97" s="13"/>
      <c r="MW97" s="13"/>
      <c r="MX97" s="13"/>
      <c r="MY97" s="13"/>
      <c r="MZ97" s="13"/>
      <c r="NA97" s="13"/>
      <c r="NB97" s="13"/>
      <c r="NC97" s="13"/>
      <c r="ND97" s="13"/>
      <c r="NE97" s="13"/>
      <c r="NF97" s="13"/>
      <c r="NG97" s="13"/>
      <c r="NH97" s="13"/>
      <c r="NI97" s="13"/>
      <c r="NJ97" s="13"/>
      <c r="NK97" s="13"/>
      <c r="NL97" s="13"/>
      <c r="NM97" s="13"/>
      <c r="NN97" s="13"/>
      <c r="NO97" s="13"/>
      <c r="NP97" s="13"/>
      <c r="NQ97" s="13"/>
      <c r="NR97" s="13"/>
      <c r="NS97" s="13"/>
      <c r="NT97" s="13"/>
      <c r="NU97" s="13"/>
      <c r="NV97" s="13"/>
      <c r="NW97" s="13"/>
      <c r="NX97" s="13"/>
      <c r="NY97" s="13"/>
      <c r="NZ97" s="13"/>
      <c r="OA97" s="13"/>
      <c r="OB97" s="13"/>
      <c r="OC97" s="13"/>
      <c r="OD97" s="13"/>
      <c r="OE97" s="13"/>
      <c r="OF97" s="13"/>
      <c r="OG97" s="13"/>
      <c r="OH97" s="13"/>
      <c r="OI97" s="13"/>
      <c r="OJ97" s="13"/>
      <c r="OK97" s="13"/>
      <c r="OL97" s="13"/>
      <c r="OM97" s="13"/>
      <c r="ON97" s="13"/>
      <c r="OO97" s="13"/>
      <c r="OP97" s="13"/>
      <c r="OQ97" s="13"/>
      <c r="OR97" s="13"/>
      <c r="OS97" s="13"/>
      <c r="OT97" s="13"/>
      <c r="OU97" s="13"/>
      <c r="OV97" s="13"/>
      <c r="OW97" s="13"/>
      <c r="OX97" s="13"/>
      <c r="OY97" s="13"/>
      <c r="OZ97" s="13"/>
      <c r="PA97" s="13"/>
      <c r="PB97" s="13"/>
      <c r="PC97" s="13"/>
      <c r="PD97" s="13"/>
      <c r="PE97" s="13"/>
      <c r="PF97" s="13"/>
      <c r="PG97" s="13"/>
      <c r="PH97" s="13"/>
      <c r="PI97" s="13"/>
      <c r="PJ97" s="13"/>
      <c r="PK97" s="13"/>
      <c r="PL97" s="13"/>
      <c r="PM97" s="13"/>
      <c r="PN97" s="13"/>
      <c r="PO97" s="13"/>
      <c r="PP97" s="13"/>
      <c r="PQ97" s="13"/>
      <c r="PR97" s="13"/>
      <c r="PS97" s="13"/>
      <c r="PT97" s="13"/>
      <c r="PU97" s="13"/>
      <c r="PV97" s="13"/>
      <c r="PW97" s="13"/>
      <c r="PX97" s="13"/>
      <c r="PY97" s="13"/>
      <c r="PZ97" s="13"/>
      <c r="QA97" s="13"/>
      <c r="QB97" s="13"/>
      <c r="QC97" s="13"/>
      <c r="QD97" s="13"/>
      <c r="QE97" s="13"/>
      <c r="QF97" s="13"/>
      <c r="QG97" s="13"/>
      <c r="QH97" s="13"/>
      <c r="QI97" s="13"/>
      <c r="QJ97" s="13"/>
      <c r="QK97" s="13"/>
      <c r="QL97" s="13"/>
      <c r="QM97" s="13"/>
      <c r="QN97" s="13"/>
      <c r="QO97" s="13"/>
      <c r="QP97" s="13"/>
      <c r="QQ97" s="13"/>
      <c r="QR97" s="13"/>
      <c r="QS97" s="13"/>
      <c r="QT97" s="13"/>
      <c r="QU97" s="13"/>
      <c r="QV97" s="13"/>
      <c r="QW97" s="13"/>
      <c r="QX97" s="13"/>
      <c r="QY97" s="13"/>
      <c r="QZ97" s="13"/>
      <c r="RA97" s="13"/>
      <c r="RB97" s="13"/>
      <c r="RC97" s="13"/>
      <c r="RD97" s="13"/>
      <c r="RE97" s="13"/>
      <c r="RF97" s="13"/>
      <c r="RG97" s="13"/>
      <c r="RH97" s="13"/>
      <c r="RI97" s="13"/>
      <c r="RJ97" s="13"/>
      <c r="RK97" s="13"/>
      <c r="RL97" s="13"/>
      <c r="RM97" s="13"/>
      <c r="RN97" s="13"/>
      <c r="RO97" s="13"/>
      <c r="RP97" s="13"/>
      <c r="RQ97" s="13"/>
      <c r="RR97" s="13"/>
      <c r="RS97" s="13"/>
      <c r="RT97" s="13"/>
      <c r="RU97" s="13"/>
      <c r="RV97" s="13"/>
      <c r="RW97" s="13"/>
      <c r="RX97" s="13"/>
      <c r="RY97" s="13"/>
      <c r="RZ97" s="13"/>
      <c r="SA97" s="13"/>
      <c r="SB97" s="13"/>
      <c r="SC97" s="13"/>
      <c r="SD97" s="13"/>
      <c r="SE97" s="13"/>
      <c r="SF97" s="13"/>
      <c r="SG97" s="13"/>
      <c r="SH97" s="13"/>
      <c r="SI97" s="13"/>
      <c r="SJ97" s="13"/>
      <c r="SK97" s="13"/>
      <c r="SL97" s="13"/>
      <c r="SM97" s="13"/>
      <c r="SN97" s="13"/>
      <c r="SO97" s="13"/>
      <c r="SP97" s="13"/>
      <c r="SQ97" s="13"/>
      <c r="SR97" s="13"/>
      <c r="SS97" s="13"/>
      <c r="ST97" s="13"/>
      <c r="SU97" s="13"/>
      <c r="SV97" s="13"/>
      <c r="SW97" s="13"/>
      <c r="SX97" s="13"/>
      <c r="SY97" s="13"/>
      <c r="SZ97" s="13"/>
      <c r="TA97" s="13"/>
      <c r="TB97" s="13"/>
      <c r="TC97" s="13"/>
      <c r="TD97" s="13"/>
      <c r="TE97" s="13"/>
      <c r="TF97" s="13"/>
      <c r="TG97" s="13"/>
      <c r="TH97" s="13"/>
      <c r="TI97" s="13"/>
      <c r="TJ97" s="13"/>
      <c r="TK97" s="13"/>
      <c r="TL97" s="13"/>
      <c r="TM97" s="13"/>
      <c r="TN97" s="13"/>
      <c r="TO97" s="13"/>
      <c r="TP97" s="13"/>
      <c r="TQ97" s="13"/>
      <c r="TR97" s="13"/>
      <c r="TS97" s="13"/>
      <c r="TT97" s="13"/>
      <c r="TU97" s="13"/>
      <c r="TV97" s="13"/>
      <c r="TW97" s="13"/>
      <c r="TX97" s="13"/>
      <c r="TY97" s="13"/>
      <c r="TZ97" s="13"/>
      <c r="UA97" s="13"/>
      <c r="UB97" s="13"/>
      <c r="UC97" s="13"/>
      <c r="UD97" s="13"/>
      <c r="UE97" s="13"/>
      <c r="UF97" s="13"/>
      <c r="UG97" s="13"/>
      <c r="UH97" s="13"/>
      <c r="UI97" s="13"/>
      <c r="UJ97" s="13"/>
      <c r="UK97" s="13"/>
      <c r="UL97" s="13"/>
      <c r="UM97" s="13"/>
      <c r="UN97" s="13"/>
      <c r="UO97" s="13"/>
      <c r="UP97" s="13"/>
      <c r="UQ97" s="13"/>
      <c r="UR97" s="13"/>
      <c r="US97" s="13"/>
      <c r="UT97" s="13"/>
      <c r="UU97" s="13"/>
      <c r="UV97" s="13"/>
      <c r="UW97" s="13"/>
      <c r="UX97" s="13"/>
      <c r="UY97" s="13"/>
      <c r="UZ97" s="13"/>
      <c r="VA97" s="13"/>
      <c r="VB97" s="13"/>
      <c r="VC97" s="13"/>
      <c r="VD97" s="13"/>
      <c r="VE97" s="13"/>
      <c r="VF97" s="13"/>
      <c r="VG97" s="13"/>
      <c r="VH97" s="13"/>
      <c r="VI97" s="13"/>
      <c r="VJ97" s="13"/>
      <c r="VK97" s="13"/>
      <c r="VL97" s="13"/>
      <c r="VM97" s="13"/>
      <c r="VN97" s="13"/>
      <c r="VO97" s="13"/>
      <c r="VP97" s="13"/>
      <c r="VQ97" s="13"/>
      <c r="VR97" s="13"/>
      <c r="VS97" s="13"/>
      <c r="VT97" s="13"/>
      <c r="VU97" s="13"/>
      <c r="VV97" s="13"/>
      <c r="VW97" s="13"/>
      <c r="VX97" s="13"/>
      <c r="VY97" s="13"/>
      <c r="VZ97" s="13"/>
      <c r="WA97" s="13"/>
      <c r="WB97" s="13"/>
      <c r="WC97" s="13"/>
      <c r="WD97" s="13"/>
      <c r="WE97" s="13"/>
      <c r="WF97" s="13"/>
      <c r="WG97" s="13"/>
      <c r="WH97" s="13"/>
      <c r="WI97" s="13"/>
      <c r="WJ97" s="13"/>
      <c r="WK97" s="13"/>
      <c r="WL97" s="13"/>
      <c r="WM97" s="13"/>
      <c r="WN97" s="13"/>
      <c r="WO97" s="13"/>
      <c r="WP97" s="13"/>
      <c r="WQ97" s="13"/>
      <c r="WR97" s="13"/>
      <c r="WS97" s="13"/>
      <c r="WT97" s="13"/>
      <c r="WU97" s="13"/>
      <c r="WV97" s="13"/>
      <c r="WW97" s="13"/>
      <c r="WX97" s="13"/>
      <c r="WY97" s="13"/>
      <c r="WZ97" s="13"/>
      <c r="XA97" s="13"/>
      <c r="XB97" s="13"/>
      <c r="XC97" s="13"/>
      <c r="XD97" s="13"/>
      <c r="XE97" s="13"/>
      <c r="XF97" s="13"/>
      <c r="XG97" s="13"/>
      <c r="XH97" s="13"/>
      <c r="XI97" s="13"/>
      <c r="XJ97" s="13"/>
      <c r="XK97" s="13"/>
      <c r="XL97" s="13"/>
      <c r="XM97" s="13"/>
      <c r="XN97" s="13"/>
      <c r="XO97" s="13"/>
      <c r="XP97" s="13"/>
      <c r="XQ97" s="13"/>
      <c r="XR97" s="13"/>
      <c r="XS97" s="13"/>
      <c r="XT97" s="13"/>
      <c r="XU97" s="13"/>
      <c r="XV97" s="13"/>
      <c r="XW97" s="13"/>
      <c r="XX97" s="13"/>
      <c r="XY97" s="13"/>
      <c r="XZ97" s="13"/>
      <c r="YA97" s="13"/>
      <c r="YB97" s="13"/>
      <c r="YC97" s="13"/>
      <c r="YD97" s="13"/>
      <c r="YE97" s="13"/>
      <c r="YF97" s="13"/>
      <c r="YG97" s="13"/>
      <c r="YH97" s="13"/>
      <c r="YI97" s="13"/>
      <c r="YJ97" s="13"/>
      <c r="YK97" s="13"/>
      <c r="YL97" s="13"/>
      <c r="YM97" s="13"/>
      <c r="YN97" s="13"/>
      <c r="YO97" s="13"/>
      <c r="YP97" s="13"/>
      <c r="YQ97" s="13"/>
      <c r="YR97" s="13"/>
      <c r="YS97" s="13"/>
      <c r="YT97" s="13"/>
      <c r="YU97" s="13"/>
      <c r="YV97" s="13"/>
      <c r="YW97" s="13"/>
      <c r="YX97" s="13"/>
      <c r="YY97" s="13"/>
      <c r="YZ97" s="13"/>
      <c r="ZA97" s="13"/>
      <c r="ZB97" s="13"/>
      <c r="ZC97" s="13"/>
      <c r="ZD97" s="13"/>
      <c r="ZE97" s="13"/>
      <c r="ZF97" s="13"/>
      <c r="ZG97" s="13"/>
      <c r="ZH97" s="13"/>
      <c r="ZI97" s="13"/>
      <c r="ZJ97" s="13"/>
      <c r="ZK97" s="13"/>
      <c r="ZL97" s="13"/>
      <c r="ZM97" s="13"/>
      <c r="ZN97" s="13"/>
      <c r="ZO97" s="13"/>
      <c r="ZP97" s="13"/>
      <c r="ZQ97" s="13"/>
      <c r="ZR97" s="13"/>
      <c r="ZS97" s="13"/>
      <c r="ZT97" s="13"/>
      <c r="ZU97" s="13"/>
      <c r="ZV97" s="13"/>
      <c r="ZW97" s="13"/>
      <c r="ZX97" s="13"/>
      <c r="ZY97" s="13"/>
      <c r="ZZ97" s="13"/>
      <c r="AAA97" s="13"/>
      <c r="AAB97" s="13"/>
      <c r="AAC97" s="13"/>
      <c r="AAD97" s="13"/>
      <c r="AAE97" s="13"/>
      <c r="AAF97" s="13"/>
      <c r="AAG97" s="13"/>
      <c r="AAH97" s="13"/>
      <c r="AAI97" s="13"/>
      <c r="AAJ97" s="13"/>
      <c r="AAK97" s="13"/>
      <c r="AAL97" s="13"/>
      <c r="AAM97" s="13"/>
      <c r="AAN97" s="13"/>
      <c r="AAO97" s="13"/>
      <c r="AAP97" s="13"/>
      <c r="AAQ97" s="13"/>
      <c r="AAR97" s="13"/>
      <c r="AAS97" s="13"/>
      <c r="AAT97" s="13"/>
      <c r="AAU97" s="13"/>
      <c r="AAV97" s="13"/>
      <c r="AAW97" s="13"/>
      <c r="AAX97" s="13"/>
      <c r="AAY97" s="13"/>
      <c r="AAZ97" s="13"/>
      <c r="ABA97" s="13"/>
      <c r="ABB97" s="13"/>
      <c r="ABC97" s="13"/>
      <c r="ABD97" s="13"/>
      <c r="ABE97" s="13"/>
      <c r="ABF97" s="13"/>
      <c r="ABG97" s="13"/>
      <c r="ABH97" s="13"/>
      <c r="ABI97" s="13"/>
      <c r="ABJ97" s="13"/>
      <c r="ABK97" s="13"/>
      <c r="ABL97" s="13"/>
      <c r="ABM97" s="13"/>
      <c r="ABN97" s="13"/>
      <c r="ABO97" s="13"/>
      <c r="ABP97" s="13"/>
      <c r="ABQ97" s="13"/>
      <c r="ABR97" s="13"/>
      <c r="ABS97" s="13"/>
      <c r="ABT97" s="13"/>
      <c r="ABU97" s="13"/>
      <c r="ABV97" s="13"/>
      <c r="ABW97" s="13"/>
      <c r="ABX97" s="13"/>
      <c r="ABY97" s="13"/>
      <c r="ABZ97" s="13"/>
      <c r="ACA97" s="13"/>
      <c r="ACB97" s="13"/>
      <c r="ACC97" s="13"/>
      <c r="ACD97" s="13"/>
      <c r="ACE97" s="13"/>
      <c r="ACF97" s="13"/>
      <c r="ACG97" s="13"/>
      <c r="ACH97" s="13"/>
      <c r="ACI97" s="13"/>
      <c r="ACJ97" s="13"/>
      <c r="ACK97" s="13"/>
      <c r="ACL97" s="13"/>
      <c r="ACM97" s="13"/>
      <c r="ACN97" s="13"/>
      <c r="ACO97" s="13"/>
      <c r="ACP97" s="13"/>
      <c r="ACQ97" s="13"/>
      <c r="ACR97" s="13"/>
      <c r="ACS97" s="13"/>
      <c r="ACT97" s="13"/>
      <c r="ACU97" s="13"/>
      <c r="ACV97" s="13"/>
      <c r="ACW97" s="13"/>
      <c r="ACX97" s="13"/>
      <c r="ACY97" s="13"/>
      <c r="ACZ97" s="13"/>
      <c r="ADA97" s="13"/>
      <c r="ADB97" s="13"/>
      <c r="ADC97" s="13"/>
      <c r="ADD97" s="13"/>
      <c r="ADE97" s="13"/>
      <c r="ADF97" s="13"/>
      <c r="ADG97" s="13"/>
      <c r="ADH97" s="13"/>
      <c r="ADI97" s="13"/>
      <c r="ADJ97" s="13"/>
      <c r="ADK97" s="13"/>
      <c r="ADL97" s="13"/>
      <c r="ADM97" s="13"/>
      <c r="ADN97" s="13"/>
      <c r="ADO97" s="13"/>
      <c r="ADP97" s="13"/>
      <c r="ADQ97" s="13"/>
      <c r="ADR97" s="13"/>
      <c r="ADS97" s="13"/>
      <c r="ADT97" s="13"/>
      <c r="ADU97" s="13"/>
      <c r="ADV97" s="13"/>
      <c r="ADW97" s="13"/>
      <c r="ADX97" s="13"/>
      <c r="ADY97" s="13"/>
      <c r="ADZ97" s="13"/>
      <c r="AEA97" s="13"/>
      <c r="AEB97" s="13"/>
      <c r="AEC97" s="13"/>
      <c r="AED97" s="13"/>
      <c r="AEE97" s="13"/>
      <c r="AEF97" s="13"/>
      <c r="AEG97" s="13"/>
      <c r="AEH97" s="13"/>
      <c r="AEI97" s="13"/>
      <c r="AEJ97" s="13"/>
      <c r="AEK97" s="13"/>
      <c r="AEL97" s="13"/>
      <c r="AEM97" s="13"/>
      <c r="AEN97" s="13"/>
      <c r="AEO97" s="13"/>
      <c r="AEP97" s="13"/>
      <c r="AEQ97" s="13"/>
      <c r="AER97" s="13"/>
      <c r="AES97" s="13"/>
      <c r="AET97" s="13"/>
      <c r="AEU97" s="13"/>
      <c r="AEV97" s="13"/>
      <c r="AEW97" s="13"/>
      <c r="AEX97" s="13"/>
      <c r="AEY97" s="13"/>
      <c r="AEZ97" s="13"/>
      <c r="AFA97" s="13"/>
      <c r="AFB97" s="13"/>
      <c r="AFC97" s="13"/>
      <c r="AFD97" s="13"/>
      <c r="AFE97" s="13"/>
      <c r="AFF97" s="13"/>
      <c r="AFG97" s="13"/>
      <c r="AFH97" s="13"/>
      <c r="AFI97" s="13"/>
      <c r="AFJ97" s="13"/>
      <c r="AFK97" s="13"/>
      <c r="AFL97" s="13"/>
      <c r="AFM97" s="13"/>
      <c r="AFN97" s="13"/>
      <c r="AFO97" s="13"/>
      <c r="AFP97" s="13"/>
      <c r="AFQ97" s="13"/>
      <c r="AFR97" s="13"/>
      <c r="AFS97" s="13"/>
      <c r="AFT97" s="13"/>
      <c r="AFU97" s="13"/>
      <c r="AFV97" s="13"/>
      <c r="AFW97" s="13"/>
      <c r="AFX97" s="13"/>
      <c r="AFY97" s="13"/>
      <c r="AFZ97" s="13"/>
      <c r="AGA97" s="13"/>
      <c r="AGB97" s="13"/>
      <c r="AGC97" s="13"/>
      <c r="AGD97" s="13"/>
      <c r="AGE97" s="13"/>
      <c r="AGF97" s="13"/>
      <c r="AGG97" s="13"/>
      <c r="AGH97" s="13"/>
      <c r="AGI97" s="13"/>
      <c r="AGJ97" s="13"/>
      <c r="AGK97" s="13"/>
      <c r="AGL97" s="13"/>
      <c r="AGM97" s="13"/>
      <c r="AGN97" s="13"/>
      <c r="AGO97" s="13"/>
      <c r="AGP97" s="13"/>
      <c r="AGQ97" s="13"/>
      <c r="AGR97" s="13"/>
      <c r="AGS97" s="13"/>
      <c r="AGT97" s="13"/>
      <c r="AGU97" s="13"/>
      <c r="AGV97" s="13"/>
      <c r="AGW97" s="13"/>
      <c r="AGX97" s="13"/>
      <c r="AGY97" s="13"/>
      <c r="AGZ97" s="13"/>
      <c r="AHA97" s="13"/>
      <c r="AHB97" s="13"/>
      <c r="AHC97" s="13"/>
      <c r="AHD97" s="13"/>
      <c r="AHE97" s="13"/>
      <c r="AHF97" s="13"/>
      <c r="AHG97" s="13"/>
      <c r="AHH97" s="13"/>
      <c r="AHI97" s="13"/>
      <c r="AHJ97" s="13"/>
      <c r="AHK97" s="13"/>
      <c r="AHL97" s="13"/>
      <c r="AHM97" s="13"/>
      <c r="AHN97" s="13"/>
      <c r="AHO97" s="13"/>
      <c r="AHP97" s="13"/>
      <c r="AHQ97" s="13"/>
      <c r="AHR97" s="13"/>
      <c r="AHS97" s="13"/>
      <c r="AHT97" s="13"/>
      <c r="AHU97" s="13"/>
      <c r="AHV97" s="13"/>
      <c r="AHW97" s="13"/>
      <c r="AHX97" s="13"/>
      <c r="AHY97" s="13"/>
      <c r="AHZ97" s="13"/>
      <c r="AIA97" s="13"/>
      <c r="AIB97" s="13"/>
      <c r="AIC97" s="13"/>
      <c r="AID97" s="13"/>
      <c r="AIE97" s="13"/>
      <c r="AIF97" s="13"/>
      <c r="AIG97" s="13"/>
      <c r="AIH97" s="13"/>
      <c r="AII97" s="13"/>
      <c r="AIJ97" s="13"/>
      <c r="AIK97" s="13"/>
      <c r="AIL97" s="13"/>
      <c r="AIM97" s="13"/>
      <c r="AIN97" s="13"/>
      <c r="AIO97" s="13"/>
      <c r="AIP97" s="13"/>
      <c r="AIQ97" s="13"/>
      <c r="AIR97" s="13"/>
      <c r="AIS97" s="13"/>
      <c r="AIT97" s="13"/>
      <c r="AIU97" s="13"/>
      <c r="AIV97" s="13"/>
      <c r="AIW97" s="13"/>
      <c r="AIX97" s="13"/>
      <c r="AIY97" s="13"/>
      <c r="AIZ97" s="13"/>
      <c r="AJA97" s="13"/>
      <c r="AJB97" s="13"/>
      <c r="AJC97" s="13"/>
      <c r="AJD97" s="13"/>
      <c r="AJE97" s="13"/>
      <c r="AJF97" s="13"/>
      <c r="AJG97" s="13"/>
      <c r="AJH97" s="13"/>
      <c r="AJI97" s="13"/>
      <c r="AJJ97" s="13"/>
      <c r="AJK97" s="13"/>
      <c r="AJL97" s="13"/>
      <c r="AJM97" s="13"/>
      <c r="AJN97" s="13"/>
      <c r="AJO97" s="13"/>
      <c r="AJP97" s="13"/>
      <c r="AJQ97" s="13"/>
      <c r="AJR97" s="13"/>
      <c r="AJS97" s="13"/>
      <c r="AJT97" s="13"/>
      <c r="AJU97" s="13"/>
      <c r="AJV97" s="13"/>
      <c r="AJW97" s="13"/>
      <c r="AJX97" s="13"/>
      <c r="AJY97" s="13"/>
      <c r="AJZ97" s="13"/>
      <c r="AKA97" s="13"/>
      <c r="AKB97" s="13"/>
      <c r="AKC97" s="13"/>
      <c r="AKD97" s="13"/>
      <c r="AKE97" s="13"/>
      <c r="AKF97" s="13"/>
      <c r="AKG97" s="13"/>
      <c r="AKH97" s="13"/>
      <c r="AKI97" s="13"/>
      <c r="AKJ97" s="13"/>
      <c r="AKK97" s="13"/>
      <c r="AKL97" s="13"/>
      <c r="AKM97" s="13"/>
      <c r="AKN97" s="13"/>
      <c r="AKO97" s="13"/>
      <c r="AKP97" s="13"/>
      <c r="AKQ97" s="13"/>
      <c r="AKR97" s="13"/>
      <c r="AKS97" s="13"/>
      <c r="AKT97" s="13"/>
      <c r="AKU97" s="13"/>
      <c r="AKV97" s="13"/>
      <c r="AKW97" s="13"/>
      <c r="AKX97" s="13"/>
      <c r="AKY97" s="13"/>
      <c r="AKZ97" s="13"/>
      <c r="ALA97" s="13"/>
      <c r="ALB97" s="13"/>
      <c r="ALC97" s="13"/>
      <c r="ALD97" s="13"/>
      <c r="ALE97" s="13"/>
      <c r="ALF97" s="13"/>
      <c r="ALG97" s="13"/>
      <c r="ALH97" s="13"/>
      <c r="ALI97" s="13"/>
      <c r="ALJ97" s="13"/>
      <c r="ALK97" s="13"/>
      <c r="ALL97" s="13"/>
      <c r="ALM97" s="13"/>
      <c r="ALN97" s="13"/>
      <c r="ALO97" s="13"/>
      <c r="ALP97" s="13"/>
      <c r="ALQ97" s="13"/>
      <c r="ALR97" s="13"/>
      <c r="ALS97" s="13"/>
      <c r="ALT97" s="13"/>
      <c r="ALU97" s="13"/>
      <c r="ALV97" s="13"/>
      <c r="ALW97" s="13"/>
      <c r="ALX97" s="13"/>
      <c r="ALY97" s="13"/>
      <c r="ALZ97" s="13"/>
      <c r="AMA97" s="13"/>
      <c r="AMB97" s="13"/>
      <c r="AMC97" s="13"/>
      <c r="AMD97" s="13"/>
      <c r="AME97" s="13"/>
      <c r="AMF97" s="13"/>
      <c r="AMG97" s="13"/>
      <c r="AMH97" s="13"/>
      <c r="AMI97" s="13"/>
      <c r="AMJ97" s="13"/>
      <c r="AMK97" s="13"/>
    </row>
    <row r="98" spans="1:1025" ht="12.75" customHeight="1" x14ac:dyDescent="0.2">
      <c r="A98" s="101" t="s">
        <v>80</v>
      </c>
      <c r="B98" s="102">
        <v>0</v>
      </c>
      <c r="C98" s="102">
        <v>1</v>
      </c>
      <c r="D98" s="102">
        <v>2</v>
      </c>
      <c r="E98" s="102">
        <v>3</v>
      </c>
      <c r="F98" s="102">
        <v>4</v>
      </c>
      <c r="G98" s="102">
        <v>5</v>
      </c>
      <c r="H98" s="102">
        <v>6</v>
      </c>
      <c r="I98" s="102">
        <v>7</v>
      </c>
      <c r="J98" s="102">
        <v>8</v>
      </c>
      <c r="K98" s="102">
        <v>9</v>
      </c>
      <c r="L98" s="102">
        <v>10</v>
      </c>
      <c r="M98" s="102">
        <v>11</v>
      </c>
      <c r="N98" s="102">
        <v>12</v>
      </c>
      <c r="O98" s="102">
        <v>13</v>
      </c>
      <c r="P98" s="102">
        <v>14</v>
      </c>
      <c r="Q98" s="102">
        <v>15</v>
      </c>
      <c r="R98" s="102">
        <v>16</v>
      </c>
      <c r="S98" s="102">
        <v>17</v>
      </c>
      <c r="T98" s="102">
        <v>18</v>
      </c>
      <c r="U98" s="102">
        <v>19</v>
      </c>
      <c r="V98" s="102">
        <v>20</v>
      </c>
      <c r="W98" s="102">
        <v>21</v>
      </c>
      <c r="X98" s="102">
        <v>22</v>
      </c>
      <c r="Y98" s="102">
        <v>23</v>
      </c>
      <c r="Z98" s="102">
        <v>24</v>
      </c>
      <c r="AA98" s="102">
        <v>25</v>
      </c>
      <c r="AB98" s="102">
        <v>26</v>
      </c>
      <c r="AC98" s="102">
        <v>27</v>
      </c>
      <c r="AD98" s="102">
        <v>28</v>
      </c>
      <c r="AE98" s="102">
        <v>29</v>
      </c>
      <c r="AF98" s="102">
        <v>30</v>
      </c>
      <c r="AG98" s="102">
        <v>31</v>
      </c>
      <c r="AH98" s="102">
        <v>32</v>
      </c>
      <c r="AI98" s="102">
        <v>33</v>
      </c>
      <c r="AJ98" s="102">
        <v>34</v>
      </c>
      <c r="AK98" s="102">
        <v>35</v>
      </c>
      <c r="AL98" s="102">
        <v>36</v>
      </c>
      <c r="AM98" s="102">
        <v>37</v>
      </c>
      <c r="AN98" s="102">
        <v>38</v>
      </c>
      <c r="AO98" s="102">
        <v>39</v>
      </c>
      <c r="AP98" s="102">
        <v>40</v>
      </c>
      <c r="AQ98" s="102">
        <v>41</v>
      </c>
      <c r="AR98" s="102">
        <v>42</v>
      </c>
      <c r="AS98" s="102">
        <v>43</v>
      </c>
      <c r="AT98" s="102">
        <v>44</v>
      </c>
      <c r="AU98" s="102">
        <v>45</v>
      </c>
      <c r="AV98" s="102">
        <v>46</v>
      </c>
      <c r="AW98" s="102">
        <v>47</v>
      </c>
      <c r="AX98" s="102">
        <v>48</v>
      </c>
      <c r="AY98" s="102">
        <v>49</v>
      </c>
      <c r="AZ98" s="102">
        <v>50</v>
      </c>
      <c r="BA98" s="102">
        <v>51</v>
      </c>
      <c r="BB98" s="102">
        <v>52</v>
      </c>
      <c r="BC98" s="102">
        <v>53</v>
      </c>
      <c r="BD98" s="102">
        <v>54</v>
      </c>
      <c r="BE98" s="102">
        <v>55</v>
      </c>
      <c r="BF98" s="102">
        <v>56</v>
      </c>
      <c r="BG98" s="102">
        <v>57</v>
      </c>
      <c r="BH98" s="102">
        <v>58</v>
      </c>
      <c r="BI98" s="102">
        <v>59</v>
      </c>
      <c r="BJ98" s="102">
        <v>60</v>
      </c>
      <c r="BK98" s="102">
        <v>61</v>
      </c>
      <c r="BL98" s="102">
        <v>62</v>
      </c>
      <c r="BM98" s="102">
        <v>63</v>
      </c>
      <c r="BN98" s="102">
        <v>64</v>
      </c>
      <c r="BO98" s="102">
        <v>65</v>
      </c>
      <c r="BP98" s="102">
        <v>66</v>
      </c>
      <c r="BQ98" s="102">
        <v>67</v>
      </c>
      <c r="BR98" s="102">
        <v>68</v>
      </c>
      <c r="BS98" s="102">
        <v>69</v>
      </c>
      <c r="BT98" s="102">
        <v>70</v>
      </c>
      <c r="BU98" s="102">
        <v>71</v>
      </c>
      <c r="BV98" s="102">
        <v>72</v>
      </c>
      <c r="BW98" s="102">
        <v>73</v>
      </c>
      <c r="BX98" s="102">
        <v>74</v>
      </c>
      <c r="BY98" s="102">
        <v>75</v>
      </c>
      <c r="BZ98" s="102">
        <v>76</v>
      </c>
      <c r="CA98" s="102">
        <v>77</v>
      </c>
      <c r="CB98" s="102">
        <v>78</v>
      </c>
      <c r="CC98" s="102">
        <v>79</v>
      </c>
      <c r="CD98" s="102">
        <v>80</v>
      </c>
      <c r="CE98" s="102">
        <v>81</v>
      </c>
      <c r="CF98" s="102">
        <v>82</v>
      </c>
      <c r="CG98" s="102">
        <v>83</v>
      </c>
      <c r="CH98" s="102">
        <v>84</v>
      </c>
      <c r="CI98" s="102">
        <v>85</v>
      </c>
      <c r="CJ98" s="102">
        <v>86</v>
      </c>
      <c r="CK98" s="102">
        <v>87</v>
      </c>
      <c r="CL98" s="102">
        <v>88</v>
      </c>
      <c r="CM98" s="102">
        <v>89</v>
      </c>
      <c r="CN98" s="102">
        <v>90</v>
      </c>
      <c r="CO98" s="102">
        <v>91</v>
      </c>
      <c r="CP98" s="102">
        <v>92</v>
      </c>
      <c r="CQ98" s="102">
        <v>93</v>
      </c>
      <c r="CR98" s="102">
        <v>94</v>
      </c>
      <c r="CS98" s="102">
        <v>95</v>
      </c>
      <c r="CT98" s="102">
        <v>96</v>
      </c>
      <c r="CU98" s="102">
        <v>97</v>
      </c>
      <c r="CV98" s="102">
        <v>98</v>
      </c>
      <c r="CW98" s="102">
        <v>99</v>
      </c>
      <c r="CX98" s="102">
        <v>100</v>
      </c>
    </row>
    <row r="99" spans="1:1025" ht="12.75" customHeight="1" x14ac:dyDescent="0.2">
      <c r="A99" s="103" t="s">
        <v>162</v>
      </c>
      <c r="B99" s="104">
        <v>0</v>
      </c>
      <c r="C99" s="105">
        <f>B16</f>
        <v>411626</v>
      </c>
      <c r="D99" s="106">
        <f t="shared" ref="D99:AI99" si="0">IF(ISNUMBER(outYear),C99*(1-pv_degradation_rate/100),"")</f>
        <v>409567.87</v>
      </c>
      <c r="E99" s="106">
        <f>IF(ISNUMBER(outYear),D99*(1-pv_degradation_rate/100),"")</f>
        <v>407520.03064999997</v>
      </c>
      <c r="F99" s="106">
        <f t="shared" si="0"/>
        <v>405482.43049674999</v>
      </c>
      <c r="G99" s="106">
        <f>IF(ISNUMBER(outYear),F99*(1-pv_degradation_rate/100),"")</f>
        <v>403455.01834426622</v>
      </c>
      <c r="H99" s="106">
        <f t="shared" si="0"/>
        <v>401437.7432525449</v>
      </c>
      <c r="I99" s="106">
        <f t="shared" si="0"/>
        <v>399430.55453628214</v>
      </c>
      <c r="J99" s="106">
        <f t="shared" si="0"/>
        <v>397433.4017636007</v>
      </c>
      <c r="K99" s="106">
        <f t="shared" si="0"/>
        <v>395446.23475478269</v>
      </c>
      <c r="L99" s="106">
        <f t="shared" si="0"/>
        <v>393469.00358100876</v>
      </c>
      <c r="M99" s="106">
        <f t="shared" si="0"/>
        <v>391501.6585631037</v>
      </c>
      <c r="N99" s="106">
        <f t="shared" si="0"/>
        <v>389544.15027028817</v>
      </c>
      <c r="O99" s="106">
        <f t="shared" si="0"/>
        <v>387596.42951893673</v>
      </c>
      <c r="P99" s="106">
        <f t="shared" si="0"/>
        <v>385658.44737134204</v>
      </c>
      <c r="Q99" s="106">
        <f t="shared" si="0"/>
        <v>383730.15513448534</v>
      </c>
      <c r="R99" s="106">
        <f t="shared" si="0"/>
        <v>381811.50435881293</v>
      </c>
      <c r="S99" s="106">
        <f t="shared" si="0"/>
        <v>379902.44683701888</v>
      </c>
      <c r="T99" s="106">
        <f t="shared" si="0"/>
        <v>378002.93460283376</v>
      </c>
      <c r="U99" s="106">
        <f t="shared" si="0"/>
        <v>376112.91992981959</v>
      </c>
      <c r="V99" s="106">
        <f t="shared" si="0"/>
        <v>374232.35533017048</v>
      </c>
      <c r="W99" s="106">
        <f t="shared" si="0"/>
        <v>372361.19355351961</v>
      </c>
      <c r="X99" s="106">
        <f t="shared" si="0"/>
        <v>370499.387585752</v>
      </c>
      <c r="Y99" s="106">
        <f t="shared" si="0"/>
        <v>368646.89064782322</v>
      </c>
      <c r="Z99" s="106">
        <f t="shared" si="0"/>
        <v>366803.65619458409</v>
      </c>
      <c r="AA99" s="106">
        <f t="shared" si="0"/>
        <v>364969.63791361119</v>
      </c>
      <c r="AB99" s="106" t="str">
        <f t="shared" si="0"/>
        <v/>
      </c>
      <c r="AC99" s="106" t="str">
        <f t="shared" si="0"/>
        <v/>
      </c>
      <c r="AD99" s="106" t="str">
        <f t="shared" si="0"/>
        <v/>
      </c>
      <c r="AE99" s="106" t="str">
        <f t="shared" si="0"/>
        <v/>
      </c>
      <c r="AF99" s="106" t="str">
        <f t="shared" si="0"/>
        <v/>
      </c>
      <c r="AG99" s="106" t="str">
        <f t="shared" si="0"/>
        <v/>
      </c>
      <c r="AH99" s="106" t="str">
        <f t="shared" si="0"/>
        <v/>
      </c>
      <c r="AI99" s="106" t="str">
        <f t="shared" si="0"/>
        <v/>
      </c>
      <c r="AJ99" s="106" t="str">
        <f t="shared" ref="AJ99:BO99" si="1">IF(ISNUMBER(outYear),AI99*(1-pv_degradation_rate/100),"")</f>
        <v/>
      </c>
      <c r="AK99" s="106" t="str">
        <f t="shared" si="1"/>
        <v/>
      </c>
      <c r="AL99" s="106" t="str">
        <f t="shared" si="1"/>
        <v/>
      </c>
      <c r="AM99" s="106" t="str">
        <f t="shared" si="1"/>
        <v/>
      </c>
      <c r="AN99" s="106" t="str">
        <f t="shared" si="1"/>
        <v/>
      </c>
      <c r="AO99" s="106" t="str">
        <f t="shared" si="1"/>
        <v/>
      </c>
      <c r="AP99" s="106" t="str">
        <f t="shared" si="1"/>
        <v/>
      </c>
      <c r="AQ99" s="106" t="str">
        <f t="shared" si="1"/>
        <v/>
      </c>
      <c r="AR99" s="106" t="str">
        <f t="shared" si="1"/>
        <v/>
      </c>
      <c r="AS99" s="106" t="str">
        <f t="shared" si="1"/>
        <v/>
      </c>
      <c r="AT99" s="106" t="str">
        <f t="shared" si="1"/>
        <v/>
      </c>
      <c r="AU99" s="106" t="str">
        <f t="shared" si="1"/>
        <v/>
      </c>
      <c r="AV99" s="106" t="str">
        <f t="shared" si="1"/>
        <v/>
      </c>
      <c r="AW99" s="106" t="str">
        <f t="shared" si="1"/>
        <v/>
      </c>
      <c r="AX99" s="106" t="str">
        <f t="shared" si="1"/>
        <v/>
      </c>
      <c r="AY99" s="106" t="str">
        <f t="shared" si="1"/>
        <v/>
      </c>
      <c r="AZ99" s="106" t="str">
        <f t="shared" si="1"/>
        <v/>
      </c>
      <c r="BA99" s="106" t="str">
        <f t="shared" si="1"/>
        <v/>
      </c>
      <c r="BB99" s="106" t="str">
        <f t="shared" si="1"/>
        <v/>
      </c>
      <c r="BC99" s="106" t="str">
        <f t="shared" si="1"/>
        <v/>
      </c>
      <c r="BD99" s="106" t="str">
        <f t="shared" si="1"/>
        <v/>
      </c>
      <c r="BE99" s="106" t="str">
        <f t="shared" si="1"/>
        <v/>
      </c>
      <c r="BF99" s="106" t="str">
        <f t="shared" si="1"/>
        <v/>
      </c>
      <c r="BG99" s="106" t="str">
        <f t="shared" si="1"/>
        <v/>
      </c>
      <c r="BH99" s="106" t="str">
        <f t="shared" si="1"/>
        <v/>
      </c>
      <c r="BI99" s="106" t="str">
        <f t="shared" si="1"/>
        <v/>
      </c>
      <c r="BJ99" s="106" t="str">
        <f t="shared" si="1"/>
        <v/>
      </c>
      <c r="BK99" s="106" t="str">
        <f t="shared" si="1"/>
        <v/>
      </c>
      <c r="BL99" s="106" t="str">
        <f t="shared" si="1"/>
        <v/>
      </c>
      <c r="BM99" s="106" t="str">
        <f t="shared" si="1"/>
        <v/>
      </c>
      <c r="BN99" s="106" t="str">
        <f t="shared" si="1"/>
        <v/>
      </c>
      <c r="BO99" s="106" t="str">
        <f t="shared" si="1"/>
        <v/>
      </c>
      <c r="BP99" s="106" t="str">
        <f t="shared" ref="BP99:CX99" si="2">IF(ISNUMBER(outYear),BO99*(1-pv_degradation_rate/100),"")</f>
        <v/>
      </c>
      <c r="BQ99" s="106" t="str">
        <f t="shared" si="2"/>
        <v/>
      </c>
      <c r="BR99" s="106" t="str">
        <f t="shared" si="2"/>
        <v/>
      </c>
      <c r="BS99" s="106" t="str">
        <f t="shared" si="2"/>
        <v/>
      </c>
      <c r="BT99" s="106" t="str">
        <f t="shared" si="2"/>
        <v/>
      </c>
      <c r="BU99" s="106" t="str">
        <f t="shared" si="2"/>
        <v/>
      </c>
      <c r="BV99" s="106" t="str">
        <f t="shared" si="2"/>
        <v/>
      </c>
      <c r="BW99" s="106" t="str">
        <f t="shared" si="2"/>
        <v/>
      </c>
      <c r="BX99" s="106" t="str">
        <f t="shared" si="2"/>
        <v/>
      </c>
      <c r="BY99" s="106" t="str">
        <f t="shared" si="2"/>
        <v/>
      </c>
      <c r="BZ99" s="106" t="str">
        <f t="shared" si="2"/>
        <v/>
      </c>
      <c r="CA99" s="106" t="str">
        <f t="shared" si="2"/>
        <v/>
      </c>
      <c r="CB99" s="106" t="str">
        <f t="shared" si="2"/>
        <v/>
      </c>
      <c r="CC99" s="106" t="str">
        <f t="shared" si="2"/>
        <v/>
      </c>
      <c r="CD99" s="106" t="str">
        <f t="shared" si="2"/>
        <v/>
      </c>
      <c r="CE99" s="106" t="str">
        <f t="shared" si="2"/>
        <v/>
      </c>
      <c r="CF99" s="106" t="str">
        <f t="shared" si="2"/>
        <v/>
      </c>
      <c r="CG99" s="106" t="str">
        <f t="shared" si="2"/>
        <v/>
      </c>
      <c r="CH99" s="106" t="str">
        <f t="shared" si="2"/>
        <v/>
      </c>
      <c r="CI99" s="106" t="str">
        <f t="shared" si="2"/>
        <v/>
      </c>
      <c r="CJ99" s="106" t="str">
        <f t="shared" si="2"/>
        <v/>
      </c>
      <c r="CK99" s="106" t="str">
        <f t="shared" si="2"/>
        <v/>
      </c>
      <c r="CL99" s="106" t="str">
        <f t="shared" si="2"/>
        <v/>
      </c>
      <c r="CM99" s="106" t="str">
        <f t="shared" si="2"/>
        <v/>
      </c>
      <c r="CN99" s="106" t="str">
        <f t="shared" si="2"/>
        <v/>
      </c>
      <c r="CO99" s="106" t="str">
        <f t="shared" si="2"/>
        <v/>
      </c>
      <c r="CP99" s="106" t="str">
        <f t="shared" si="2"/>
        <v/>
      </c>
      <c r="CQ99" s="106" t="str">
        <f t="shared" si="2"/>
        <v/>
      </c>
      <c r="CR99" s="106" t="str">
        <f t="shared" si="2"/>
        <v/>
      </c>
      <c r="CS99" s="106" t="str">
        <f t="shared" si="2"/>
        <v/>
      </c>
      <c r="CT99" s="106" t="str">
        <f t="shared" si="2"/>
        <v/>
      </c>
      <c r="CU99" s="106" t="str">
        <f t="shared" si="2"/>
        <v/>
      </c>
      <c r="CV99" s="106" t="str">
        <f t="shared" si="2"/>
        <v/>
      </c>
      <c r="CW99" s="106" t="str">
        <f t="shared" si="2"/>
        <v/>
      </c>
      <c r="CX99" s="106" t="str">
        <f t="shared" si="2"/>
        <v/>
      </c>
    </row>
    <row r="100" spans="1:1025" s="133" customFormat="1" ht="12.75" customHeight="1" x14ac:dyDescent="0.2">
      <c r="A100" s="103" t="s">
        <v>161</v>
      </c>
      <c r="B100" s="104">
        <v>0</v>
      </c>
      <c r="C100" s="105">
        <f>B14</f>
        <v>411626</v>
      </c>
      <c r="D100" s="106">
        <f t="shared" ref="D100:D101" si="3">IF(ISNUMBER(outYear),C100*(1-pv_degradation_rate/100),"")</f>
        <v>409567.87</v>
      </c>
      <c r="E100" s="106">
        <f>IF(ISNUMBER(outYear),D100*(1-pv_degradation_rate/100),"")</f>
        <v>407520.03064999997</v>
      </c>
      <c r="F100" s="106">
        <f t="shared" ref="F100:F101" si="4">IF(ISNUMBER(outYear),E100*(1-pv_degradation_rate/100),"")</f>
        <v>405482.43049674999</v>
      </c>
      <c r="G100" s="106">
        <f>IF(ISNUMBER(outYear),F100*(1-pv_degradation_rate/100),"")</f>
        <v>403455.01834426622</v>
      </c>
      <c r="H100" s="106">
        <f t="shared" ref="H100:H101" si="5">IF(ISNUMBER(outYear),G100*(1-pv_degradation_rate/100),"")</f>
        <v>401437.7432525449</v>
      </c>
      <c r="I100" s="106">
        <f t="shared" ref="I100:I101" si="6">IF(ISNUMBER(outYear),H100*(1-pv_degradation_rate/100),"")</f>
        <v>399430.55453628214</v>
      </c>
      <c r="J100" s="106">
        <f t="shared" ref="J100:J101" si="7">IF(ISNUMBER(outYear),I100*(1-pv_degradation_rate/100),"")</f>
        <v>397433.4017636007</v>
      </c>
      <c r="K100" s="106">
        <f t="shared" ref="K100:K101" si="8">IF(ISNUMBER(outYear),J100*(1-pv_degradation_rate/100),"")</f>
        <v>395446.23475478269</v>
      </c>
      <c r="L100" s="106">
        <f t="shared" ref="L100:L101" si="9">IF(ISNUMBER(outYear),K100*(1-pv_degradation_rate/100),"")</f>
        <v>393469.00358100876</v>
      </c>
      <c r="M100" s="106">
        <f t="shared" ref="M100:M101" si="10">IF(ISNUMBER(outYear),L100*(1-pv_degradation_rate/100),"")</f>
        <v>391501.6585631037</v>
      </c>
      <c r="N100" s="106">
        <f t="shared" ref="N100:N101" si="11">IF(ISNUMBER(outYear),M100*(1-pv_degradation_rate/100),"")</f>
        <v>389544.15027028817</v>
      </c>
      <c r="O100" s="106">
        <f t="shared" ref="O100:O101" si="12">IF(ISNUMBER(outYear),N100*(1-pv_degradation_rate/100),"")</f>
        <v>387596.42951893673</v>
      </c>
      <c r="P100" s="106">
        <f t="shared" ref="P100:P101" si="13">IF(ISNUMBER(outYear),O100*(1-pv_degradation_rate/100),"")</f>
        <v>385658.44737134204</v>
      </c>
      <c r="Q100" s="106">
        <f t="shared" ref="Q100:Q101" si="14">IF(ISNUMBER(outYear),P100*(1-pv_degradation_rate/100),"")</f>
        <v>383730.15513448534</v>
      </c>
      <c r="R100" s="106">
        <f t="shared" ref="R100:R101" si="15">IF(ISNUMBER(outYear),Q100*(1-pv_degradation_rate/100),"")</f>
        <v>381811.50435881293</v>
      </c>
      <c r="S100" s="106">
        <f t="shared" ref="S100:S101" si="16">IF(ISNUMBER(outYear),R100*(1-pv_degradation_rate/100),"")</f>
        <v>379902.44683701888</v>
      </c>
      <c r="T100" s="106">
        <f t="shared" ref="T100:T101" si="17">IF(ISNUMBER(outYear),S100*(1-pv_degradation_rate/100),"")</f>
        <v>378002.93460283376</v>
      </c>
      <c r="U100" s="106">
        <f t="shared" ref="U100:U101" si="18">IF(ISNUMBER(outYear),T100*(1-pv_degradation_rate/100),"")</f>
        <v>376112.91992981959</v>
      </c>
      <c r="V100" s="106">
        <f t="shared" ref="V100:V101" si="19">IF(ISNUMBER(outYear),U100*(1-pv_degradation_rate/100),"")</f>
        <v>374232.35533017048</v>
      </c>
      <c r="W100" s="106">
        <f t="shared" ref="W100:W101" si="20">IF(ISNUMBER(outYear),V100*(1-pv_degradation_rate/100),"")</f>
        <v>372361.19355351961</v>
      </c>
      <c r="X100" s="106">
        <f t="shared" ref="X100:X101" si="21">IF(ISNUMBER(outYear),W100*(1-pv_degradation_rate/100),"")</f>
        <v>370499.387585752</v>
      </c>
      <c r="Y100" s="106">
        <f t="shared" ref="Y100:Y101" si="22">IF(ISNUMBER(outYear),X100*(1-pv_degradation_rate/100),"")</f>
        <v>368646.89064782322</v>
      </c>
      <c r="Z100" s="106">
        <f t="shared" ref="Z100:Z101" si="23">IF(ISNUMBER(outYear),Y100*(1-pv_degradation_rate/100),"")</f>
        <v>366803.65619458409</v>
      </c>
      <c r="AA100" s="106">
        <f t="shared" ref="AA100:AA101" si="24">IF(ISNUMBER(outYear),Z100*(1-pv_degradation_rate/100),"")</f>
        <v>364969.63791361119</v>
      </c>
      <c r="AB100" s="106" t="str">
        <f t="shared" ref="AB100:AB101" si="25">IF(ISNUMBER(outYear),AA100*(1-pv_degradation_rate/100),"")</f>
        <v/>
      </c>
      <c r="AC100" s="106" t="str">
        <f t="shared" ref="AC100:AC101" si="26">IF(ISNUMBER(outYear),AB100*(1-pv_degradation_rate/100),"")</f>
        <v/>
      </c>
      <c r="AD100" s="106" t="str">
        <f t="shared" ref="AD100:AD101" si="27">IF(ISNUMBER(outYear),AC100*(1-pv_degradation_rate/100),"")</f>
        <v/>
      </c>
      <c r="AE100" s="106" t="str">
        <f t="shared" ref="AE100:AE101" si="28">IF(ISNUMBER(outYear),AD100*(1-pv_degradation_rate/100),"")</f>
        <v/>
      </c>
      <c r="AF100" s="106" t="str">
        <f t="shared" ref="AF100:AF101" si="29">IF(ISNUMBER(outYear),AE100*(1-pv_degradation_rate/100),"")</f>
        <v/>
      </c>
      <c r="AG100" s="106" t="str">
        <f t="shared" ref="AG100:AG101" si="30">IF(ISNUMBER(outYear),AF100*(1-pv_degradation_rate/100),"")</f>
        <v/>
      </c>
      <c r="AH100" s="106" t="str">
        <f t="shared" ref="AH100:AH101" si="31">IF(ISNUMBER(outYear),AG100*(1-pv_degradation_rate/100),"")</f>
        <v/>
      </c>
      <c r="AI100" s="106" t="str">
        <f t="shared" ref="AI100:AI101" si="32">IF(ISNUMBER(outYear),AH100*(1-pv_degradation_rate/100),"")</f>
        <v/>
      </c>
      <c r="AJ100" s="106" t="str">
        <f t="shared" ref="AJ100:AJ101" si="33">IF(ISNUMBER(outYear),AI100*(1-pv_degradation_rate/100),"")</f>
        <v/>
      </c>
      <c r="AK100" s="106" t="str">
        <f t="shared" ref="AK100:AK101" si="34">IF(ISNUMBER(outYear),AJ100*(1-pv_degradation_rate/100),"")</f>
        <v/>
      </c>
      <c r="AL100" s="106" t="str">
        <f t="shared" ref="AL100:AL101" si="35">IF(ISNUMBER(outYear),AK100*(1-pv_degradation_rate/100),"")</f>
        <v/>
      </c>
      <c r="AM100" s="106" t="str">
        <f t="shared" ref="AM100:AM101" si="36">IF(ISNUMBER(outYear),AL100*(1-pv_degradation_rate/100),"")</f>
        <v/>
      </c>
      <c r="AN100" s="106" t="str">
        <f t="shared" ref="AN100:AN101" si="37">IF(ISNUMBER(outYear),AM100*(1-pv_degradation_rate/100),"")</f>
        <v/>
      </c>
      <c r="AO100" s="106" t="str">
        <f t="shared" ref="AO100:AO101" si="38">IF(ISNUMBER(outYear),AN100*(1-pv_degradation_rate/100),"")</f>
        <v/>
      </c>
      <c r="AP100" s="106" t="str">
        <f t="shared" ref="AP100:AP101" si="39">IF(ISNUMBER(outYear),AO100*(1-pv_degradation_rate/100),"")</f>
        <v/>
      </c>
      <c r="AQ100" s="106" t="str">
        <f t="shared" ref="AQ100:AQ101" si="40">IF(ISNUMBER(outYear),AP100*(1-pv_degradation_rate/100),"")</f>
        <v/>
      </c>
      <c r="AR100" s="106" t="str">
        <f t="shared" ref="AR100:AR101" si="41">IF(ISNUMBER(outYear),AQ100*(1-pv_degradation_rate/100),"")</f>
        <v/>
      </c>
      <c r="AS100" s="106" t="str">
        <f t="shared" ref="AS100:AS101" si="42">IF(ISNUMBER(outYear),AR100*(1-pv_degradation_rate/100),"")</f>
        <v/>
      </c>
      <c r="AT100" s="106" t="str">
        <f t="shared" ref="AT100:AT101" si="43">IF(ISNUMBER(outYear),AS100*(1-pv_degradation_rate/100),"")</f>
        <v/>
      </c>
      <c r="AU100" s="106" t="str">
        <f t="shared" ref="AU100:AU101" si="44">IF(ISNUMBER(outYear),AT100*(1-pv_degradation_rate/100),"")</f>
        <v/>
      </c>
      <c r="AV100" s="106" t="str">
        <f t="shared" ref="AV100:AV101" si="45">IF(ISNUMBER(outYear),AU100*(1-pv_degradation_rate/100),"")</f>
        <v/>
      </c>
      <c r="AW100" s="106" t="str">
        <f t="shared" ref="AW100:AW101" si="46">IF(ISNUMBER(outYear),AV100*(1-pv_degradation_rate/100),"")</f>
        <v/>
      </c>
      <c r="AX100" s="106" t="str">
        <f t="shared" ref="AX100:AX101" si="47">IF(ISNUMBER(outYear),AW100*(1-pv_degradation_rate/100),"")</f>
        <v/>
      </c>
      <c r="AY100" s="106" t="str">
        <f t="shared" ref="AY100:AY101" si="48">IF(ISNUMBER(outYear),AX100*(1-pv_degradation_rate/100),"")</f>
        <v/>
      </c>
      <c r="AZ100" s="106" t="str">
        <f t="shared" ref="AZ100:AZ101" si="49">IF(ISNUMBER(outYear),AY100*(1-pv_degradation_rate/100),"")</f>
        <v/>
      </c>
      <c r="BA100" s="106" t="str">
        <f t="shared" ref="BA100:BA101" si="50">IF(ISNUMBER(outYear),AZ100*(1-pv_degradation_rate/100),"")</f>
        <v/>
      </c>
      <c r="BB100" s="106" t="str">
        <f t="shared" ref="BB100:BB101" si="51">IF(ISNUMBER(outYear),BA100*(1-pv_degradation_rate/100),"")</f>
        <v/>
      </c>
      <c r="BC100" s="106" t="str">
        <f t="shared" ref="BC100:BC101" si="52">IF(ISNUMBER(outYear),BB100*(1-pv_degradation_rate/100),"")</f>
        <v/>
      </c>
      <c r="BD100" s="106" t="str">
        <f t="shared" ref="BD100:BD101" si="53">IF(ISNUMBER(outYear),BC100*(1-pv_degradation_rate/100),"")</f>
        <v/>
      </c>
      <c r="BE100" s="106" t="str">
        <f t="shared" ref="BE100:BE101" si="54">IF(ISNUMBER(outYear),BD100*(1-pv_degradation_rate/100),"")</f>
        <v/>
      </c>
      <c r="BF100" s="106" t="str">
        <f t="shared" ref="BF100:BF101" si="55">IF(ISNUMBER(outYear),BE100*(1-pv_degradation_rate/100),"")</f>
        <v/>
      </c>
      <c r="BG100" s="106" t="str">
        <f t="shared" ref="BG100:BG101" si="56">IF(ISNUMBER(outYear),BF100*(1-pv_degradation_rate/100),"")</f>
        <v/>
      </c>
      <c r="BH100" s="106" t="str">
        <f t="shared" ref="BH100:BH101" si="57">IF(ISNUMBER(outYear),BG100*(1-pv_degradation_rate/100),"")</f>
        <v/>
      </c>
      <c r="BI100" s="106" t="str">
        <f t="shared" ref="BI100:BI101" si="58">IF(ISNUMBER(outYear),BH100*(1-pv_degradation_rate/100),"")</f>
        <v/>
      </c>
      <c r="BJ100" s="106" t="str">
        <f t="shared" ref="BJ100:BJ101" si="59">IF(ISNUMBER(outYear),BI100*(1-pv_degradation_rate/100),"")</f>
        <v/>
      </c>
      <c r="BK100" s="106" t="str">
        <f t="shared" ref="BK100:BK101" si="60">IF(ISNUMBER(outYear),BJ100*(1-pv_degradation_rate/100),"")</f>
        <v/>
      </c>
      <c r="BL100" s="106" t="str">
        <f t="shared" ref="BL100:BL101" si="61">IF(ISNUMBER(outYear),BK100*(1-pv_degradation_rate/100),"")</f>
        <v/>
      </c>
      <c r="BM100" s="106" t="str">
        <f t="shared" ref="BM100:BM101" si="62">IF(ISNUMBER(outYear),BL100*(1-pv_degradation_rate/100),"")</f>
        <v/>
      </c>
      <c r="BN100" s="106" t="str">
        <f t="shared" ref="BN100:BN101" si="63">IF(ISNUMBER(outYear),BM100*(1-pv_degradation_rate/100),"")</f>
        <v/>
      </c>
      <c r="BO100" s="106" t="str">
        <f t="shared" ref="BO100:BO101" si="64">IF(ISNUMBER(outYear),BN100*(1-pv_degradation_rate/100),"")</f>
        <v/>
      </c>
      <c r="BP100" s="106" t="str">
        <f t="shared" ref="BP100:BP101" si="65">IF(ISNUMBER(outYear),BO100*(1-pv_degradation_rate/100),"")</f>
        <v/>
      </c>
      <c r="BQ100" s="106" t="str">
        <f t="shared" ref="BQ100:BQ101" si="66">IF(ISNUMBER(outYear),BP100*(1-pv_degradation_rate/100),"")</f>
        <v/>
      </c>
      <c r="BR100" s="106" t="str">
        <f t="shared" ref="BR100:BR101" si="67">IF(ISNUMBER(outYear),BQ100*(1-pv_degradation_rate/100),"")</f>
        <v/>
      </c>
      <c r="BS100" s="106" t="str">
        <f t="shared" ref="BS100:BS101" si="68">IF(ISNUMBER(outYear),BR100*(1-pv_degradation_rate/100),"")</f>
        <v/>
      </c>
      <c r="BT100" s="106" t="str">
        <f t="shared" ref="BT100:BT101" si="69">IF(ISNUMBER(outYear),BS100*(1-pv_degradation_rate/100),"")</f>
        <v/>
      </c>
      <c r="BU100" s="106" t="str">
        <f t="shared" ref="BU100:BU101" si="70">IF(ISNUMBER(outYear),BT100*(1-pv_degradation_rate/100),"")</f>
        <v/>
      </c>
      <c r="BV100" s="106" t="str">
        <f t="shared" ref="BV100:BV101" si="71">IF(ISNUMBER(outYear),BU100*(1-pv_degradation_rate/100),"")</f>
        <v/>
      </c>
      <c r="BW100" s="106" t="str">
        <f t="shared" ref="BW100:BW101" si="72">IF(ISNUMBER(outYear),BV100*(1-pv_degradation_rate/100),"")</f>
        <v/>
      </c>
      <c r="BX100" s="106" t="str">
        <f t="shared" ref="BX100:BX101" si="73">IF(ISNUMBER(outYear),BW100*(1-pv_degradation_rate/100),"")</f>
        <v/>
      </c>
      <c r="BY100" s="106" t="str">
        <f t="shared" ref="BY100:BY101" si="74">IF(ISNUMBER(outYear),BX100*(1-pv_degradation_rate/100),"")</f>
        <v/>
      </c>
      <c r="BZ100" s="106" t="str">
        <f t="shared" ref="BZ100:BZ101" si="75">IF(ISNUMBER(outYear),BY100*(1-pv_degradation_rate/100),"")</f>
        <v/>
      </c>
      <c r="CA100" s="106" t="str">
        <f t="shared" ref="CA100:CA101" si="76">IF(ISNUMBER(outYear),BZ100*(1-pv_degradation_rate/100),"")</f>
        <v/>
      </c>
      <c r="CB100" s="106" t="str">
        <f t="shared" ref="CB100:CB101" si="77">IF(ISNUMBER(outYear),CA100*(1-pv_degradation_rate/100),"")</f>
        <v/>
      </c>
      <c r="CC100" s="106" t="str">
        <f t="shared" ref="CC100:CC101" si="78">IF(ISNUMBER(outYear),CB100*(1-pv_degradation_rate/100),"")</f>
        <v/>
      </c>
      <c r="CD100" s="106" t="str">
        <f t="shared" ref="CD100:CD101" si="79">IF(ISNUMBER(outYear),CC100*(1-pv_degradation_rate/100),"")</f>
        <v/>
      </c>
      <c r="CE100" s="106" t="str">
        <f t="shared" ref="CE100:CE101" si="80">IF(ISNUMBER(outYear),CD100*(1-pv_degradation_rate/100),"")</f>
        <v/>
      </c>
      <c r="CF100" s="106" t="str">
        <f t="shared" ref="CF100:CF101" si="81">IF(ISNUMBER(outYear),CE100*(1-pv_degradation_rate/100),"")</f>
        <v/>
      </c>
      <c r="CG100" s="106" t="str">
        <f t="shared" ref="CG100:CG101" si="82">IF(ISNUMBER(outYear),CF100*(1-pv_degradation_rate/100),"")</f>
        <v/>
      </c>
      <c r="CH100" s="106" t="str">
        <f t="shared" ref="CH100:CH101" si="83">IF(ISNUMBER(outYear),CG100*(1-pv_degradation_rate/100),"")</f>
        <v/>
      </c>
      <c r="CI100" s="106" t="str">
        <f t="shared" ref="CI100:CI101" si="84">IF(ISNUMBER(outYear),CH100*(1-pv_degradation_rate/100),"")</f>
        <v/>
      </c>
      <c r="CJ100" s="106" t="str">
        <f t="shared" ref="CJ100:CJ101" si="85">IF(ISNUMBER(outYear),CI100*(1-pv_degradation_rate/100),"")</f>
        <v/>
      </c>
      <c r="CK100" s="106" t="str">
        <f t="shared" ref="CK100:CK101" si="86">IF(ISNUMBER(outYear),CJ100*(1-pv_degradation_rate/100),"")</f>
        <v/>
      </c>
      <c r="CL100" s="106" t="str">
        <f t="shared" ref="CL100:CL101" si="87">IF(ISNUMBER(outYear),CK100*(1-pv_degradation_rate/100),"")</f>
        <v/>
      </c>
      <c r="CM100" s="106" t="str">
        <f t="shared" ref="CM100:CM101" si="88">IF(ISNUMBER(outYear),CL100*(1-pv_degradation_rate/100),"")</f>
        <v/>
      </c>
      <c r="CN100" s="106" t="str">
        <f t="shared" ref="CN100:CN101" si="89">IF(ISNUMBER(outYear),CM100*(1-pv_degradation_rate/100),"")</f>
        <v/>
      </c>
      <c r="CO100" s="106" t="str">
        <f t="shared" ref="CO100:CO101" si="90">IF(ISNUMBER(outYear),CN100*(1-pv_degradation_rate/100),"")</f>
        <v/>
      </c>
      <c r="CP100" s="106" t="str">
        <f t="shared" ref="CP100:CP101" si="91">IF(ISNUMBER(outYear),CO100*(1-pv_degradation_rate/100),"")</f>
        <v/>
      </c>
      <c r="CQ100" s="106" t="str">
        <f t="shared" ref="CQ100:CQ101" si="92">IF(ISNUMBER(outYear),CP100*(1-pv_degradation_rate/100),"")</f>
        <v/>
      </c>
      <c r="CR100" s="106" t="str">
        <f t="shared" ref="CR100:CR101" si="93">IF(ISNUMBER(outYear),CQ100*(1-pv_degradation_rate/100),"")</f>
        <v/>
      </c>
      <c r="CS100" s="106" t="str">
        <f t="shared" ref="CS100:CS101" si="94">IF(ISNUMBER(outYear),CR100*(1-pv_degradation_rate/100),"")</f>
        <v/>
      </c>
      <c r="CT100" s="106" t="str">
        <f t="shared" ref="CT100:CT101" si="95">IF(ISNUMBER(outYear),CS100*(1-pv_degradation_rate/100),"")</f>
        <v/>
      </c>
      <c r="CU100" s="106" t="str">
        <f t="shared" ref="CU100:CU101" si="96">IF(ISNUMBER(outYear),CT100*(1-pv_degradation_rate/100),"")</f>
        <v/>
      </c>
      <c r="CV100" s="106" t="str">
        <f t="shared" ref="CV100:CV101" si="97">IF(ISNUMBER(outYear),CU100*(1-pv_degradation_rate/100),"")</f>
        <v/>
      </c>
      <c r="CW100" s="106" t="str">
        <f t="shared" ref="CW100:CW101" si="98">IF(ISNUMBER(outYear),CV100*(1-pv_degradation_rate/100),"")</f>
        <v/>
      </c>
      <c r="CX100" s="106" t="str">
        <f t="shared" ref="CX100:CX101" si="99">IF(ISNUMBER(outYear),CW100*(1-pv_degradation_rate/100),"")</f>
        <v/>
      </c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  <c r="LU100" s="13"/>
      <c r="LV100" s="13"/>
      <c r="LW100" s="13"/>
      <c r="LX100" s="13"/>
      <c r="LY100" s="13"/>
      <c r="LZ100" s="13"/>
      <c r="MA100" s="13"/>
      <c r="MB100" s="13"/>
      <c r="MC100" s="13"/>
      <c r="MD100" s="13"/>
      <c r="ME100" s="13"/>
      <c r="MF100" s="13"/>
      <c r="MG100" s="13"/>
      <c r="MH100" s="13"/>
      <c r="MI100" s="13"/>
      <c r="MJ100" s="13"/>
      <c r="MK100" s="13"/>
      <c r="ML100" s="13"/>
      <c r="MM100" s="13"/>
      <c r="MN100" s="13"/>
      <c r="MO100" s="13"/>
      <c r="MP100" s="13"/>
      <c r="MQ100" s="13"/>
      <c r="MR100" s="13"/>
      <c r="MS100" s="13"/>
      <c r="MT100" s="13"/>
      <c r="MU100" s="13"/>
      <c r="MV100" s="13"/>
      <c r="MW100" s="13"/>
      <c r="MX100" s="13"/>
      <c r="MY100" s="13"/>
      <c r="MZ100" s="13"/>
      <c r="NA100" s="13"/>
      <c r="NB100" s="13"/>
      <c r="NC100" s="13"/>
      <c r="ND100" s="13"/>
      <c r="NE100" s="13"/>
      <c r="NF100" s="13"/>
      <c r="NG100" s="13"/>
      <c r="NH100" s="13"/>
      <c r="NI100" s="13"/>
      <c r="NJ100" s="13"/>
      <c r="NK100" s="13"/>
      <c r="NL100" s="13"/>
      <c r="NM100" s="13"/>
      <c r="NN100" s="13"/>
      <c r="NO100" s="13"/>
      <c r="NP100" s="13"/>
      <c r="NQ100" s="13"/>
      <c r="NR100" s="13"/>
      <c r="NS100" s="13"/>
      <c r="NT100" s="13"/>
      <c r="NU100" s="13"/>
      <c r="NV100" s="13"/>
      <c r="NW100" s="13"/>
      <c r="NX100" s="13"/>
      <c r="NY100" s="13"/>
      <c r="NZ100" s="13"/>
      <c r="OA100" s="13"/>
      <c r="OB100" s="13"/>
      <c r="OC100" s="13"/>
      <c r="OD100" s="13"/>
      <c r="OE100" s="13"/>
      <c r="OF100" s="13"/>
      <c r="OG100" s="13"/>
      <c r="OH100" s="13"/>
      <c r="OI100" s="13"/>
      <c r="OJ100" s="13"/>
      <c r="OK100" s="13"/>
      <c r="OL100" s="13"/>
      <c r="OM100" s="13"/>
      <c r="ON100" s="13"/>
      <c r="OO100" s="13"/>
      <c r="OP100" s="13"/>
      <c r="OQ100" s="13"/>
      <c r="OR100" s="13"/>
      <c r="OS100" s="13"/>
      <c r="OT100" s="13"/>
      <c r="OU100" s="13"/>
      <c r="OV100" s="13"/>
      <c r="OW100" s="13"/>
      <c r="OX100" s="13"/>
      <c r="OY100" s="13"/>
      <c r="OZ100" s="13"/>
      <c r="PA100" s="13"/>
      <c r="PB100" s="13"/>
      <c r="PC100" s="13"/>
      <c r="PD100" s="13"/>
      <c r="PE100" s="13"/>
      <c r="PF100" s="13"/>
      <c r="PG100" s="13"/>
      <c r="PH100" s="13"/>
      <c r="PI100" s="13"/>
      <c r="PJ100" s="13"/>
      <c r="PK100" s="13"/>
      <c r="PL100" s="13"/>
      <c r="PM100" s="13"/>
      <c r="PN100" s="13"/>
      <c r="PO100" s="13"/>
      <c r="PP100" s="13"/>
      <c r="PQ100" s="13"/>
      <c r="PR100" s="13"/>
      <c r="PS100" s="13"/>
      <c r="PT100" s="13"/>
      <c r="PU100" s="13"/>
      <c r="PV100" s="13"/>
      <c r="PW100" s="13"/>
      <c r="PX100" s="13"/>
      <c r="PY100" s="13"/>
      <c r="PZ100" s="13"/>
      <c r="QA100" s="13"/>
      <c r="QB100" s="13"/>
      <c r="QC100" s="13"/>
      <c r="QD100" s="13"/>
      <c r="QE100" s="13"/>
      <c r="QF100" s="13"/>
      <c r="QG100" s="13"/>
      <c r="QH100" s="13"/>
      <c r="QI100" s="13"/>
      <c r="QJ100" s="13"/>
      <c r="QK100" s="13"/>
      <c r="QL100" s="13"/>
      <c r="QM100" s="13"/>
      <c r="QN100" s="13"/>
      <c r="QO100" s="13"/>
      <c r="QP100" s="13"/>
      <c r="QQ100" s="13"/>
      <c r="QR100" s="13"/>
      <c r="QS100" s="13"/>
      <c r="QT100" s="13"/>
      <c r="QU100" s="13"/>
      <c r="QV100" s="13"/>
      <c r="QW100" s="13"/>
      <c r="QX100" s="13"/>
      <c r="QY100" s="13"/>
      <c r="QZ100" s="13"/>
      <c r="RA100" s="13"/>
      <c r="RB100" s="13"/>
      <c r="RC100" s="13"/>
      <c r="RD100" s="13"/>
      <c r="RE100" s="13"/>
      <c r="RF100" s="13"/>
      <c r="RG100" s="13"/>
      <c r="RH100" s="13"/>
      <c r="RI100" s="13"/>
      <c r="RJ100" s="13"/>
      <c r="RK100" s="13"/>
      <c r="RL100" s="13"/>
      <c r="RM100" s="13"/>
      <c r="RN100" s="13"/>
      <c r="RO100" s="13"/>
      <c r="RP100" s="13"/>
      <c r="RQ100" s="13"/>
      <c r="RR100" s="13"/>
      <c r="RS100" s="13"/>
      <c r="RT100" s="13"/>
      <c r="RU100" s="13"/>
      <c r="RV100" s="13"/>
      <c r="RW100" s="13"/>
      <c r="RX100" s="13"/>
      <c r="RY100" s="13"/>
      <c r="RZ100" s="13"/>
      <c r="SA100" s="13"/>
      <c r="SB100" s="13"/>
      <c r="SC100" s="13"/>
      <c r="SD100" s="13"/>
      <c r="SE100" s="13"/>
      <c r="SF100" s="13"/>
      <c r="SG100" s="13"/>
      <c r="SH100" s="13"/>
      <c r="SI100" s="13"/>
      <c r="SJ100" s="13"/>
      <c r="SK100" s="13"/>
      <c r="SL100" s="13"/>
      <c r="SM100" s="13"/>
      <c r="SN100" s="13"/>
      <c r="SO100" s="13"/>
      <c r="SP100" s="13"/>
      <c r="SQ100" s="13"/>
      <c r="SR100" s="13"/>
      <c r="SS100" s="13"/>
      <c r="ST100" s="13"/>
      <c r="SU100" s="13"/>
      <c r="SV100" s="13"/>
      <c r="SW100" s="13"/>
      <c r="SX100" s="13"/>
      <c r="SY100" s="13"/>
      <c r="SZ100" s="13"/>
      <c r="TA100" s="13"/>
      <c r="TB100" s="13"/>
      <c r="TC100" s="13"/>
      <c r="TD100" s="13"/>
      <c r="TE100" s="13"/>
      <c r="TF100" s="13"/>
      <c r="TG100" s="13"/>
      <c r="TH100" s="13"/>
      <c r="TI100" s="13"/>
      <c r="TJ100" s="13"/>
      <c r="TK100" s="13"/>
      <c r="TL100" s="13"/>
      <c r="TM100" s="13"/>
      <c r="TN100" s="13"/>
      <c r="TO100" s="13"/>
      <c r="TP100" s="13"/>
      <c r="TQ100" s="13"/>
      <c r="TR100" s="13"/>
      <c r="TS100" s="13"/>
      <c r="TT100" s="13"/>
      <c r="TU100" s="13"/>
      <c r="TV100" s="13"/>
      <c r="TW100" s="13"/>
      <c r="TX100" s="13"/>
      <c r="TY100" s="13"/>
      <c r="TZ100" s="13"/>
      <c r="UA100" s="13"/>
      <c r="UB100" s="13"/>
      <c r="UC100" s="13"/>
      <c r="UD100" s="13"/>
      <c r="UE100" s="13"/>
      <c r="UF100" s="13"/>
      <c r="UG100" s="13"/>
      <c r="UH100" s="13"/>
      <c r="UI100" s="13"/>
      <c r="UJ100" s="13"/>
      <c r="UK100" s="13"/>
      <c r="UL100" s="13"/>
      <c r="UM100" s="13"/>
      <c r="UN100" s="13"/>
      <c r="UO100" s="13"/>
      <c r="UP100" s="13"/>
      <c r="UQ100" s="13"/>
      <c r="UR100" s="13"/>
      <c r="US100" s="13"/>
      <c r="UT100" s="13"/>
      <c r="UU100" s="13"/>
      <c r="UV100" s="13"/>
      <c r="UW100" s="13"/>
      <c r="UX100" s="13"/>
      <c r="UY100" s="13"/>
      <c r="UZ100" s="13"/>
      <c r="VA100" s="13"/>
      <c r="VB100" s="13"/>
      <c r="VC100" s="13"/>
      <c r="VD100" s="13"/>
      <c r="VE100" s="13"/>
      <c r="VF100" s="13"/>
      <c r="VG100" s="13"/>
      <c r="VH100" s="13"/>
      <c r="VI100" s="13"/>
      <c r="VJ100" s="13"/>
      <c r="VK100" s="13"/>
      <c r="VL100" s="13"/>
      <c r="VM100" s="13"/>
      <c r="VN100" s="13"/>
      <c r="VO100" s="13"/>
      <c r="VP100" s="13"/>
      <c r="VQ100" s="13"/>
      <c r="VR100" s="13"/>
      <c r="VS100" s="13"/>
      <c r="VT100" s="13"/>
      <c r="VU100" s="13"/>
      <c r="VV100" s="13"/>
      <c r="VW100" s="13"/>
      <c r="VX100" s="13"/>
      <c r="VY100" s="13"/>
      <c r="VZ100" s="13"/>
      <c r="WA100" s="13"/>
      <c r="WB100" s="13"/>
      <c r="WC100" s="13"/>
      <c r="WD100" s="13"/>
      <c r="WE100" s="13"/>
      <c r="WF100" s="13"/>
      <c r="WG100" s="13"/>
      <c r="WH100" s="13"/>
      <c r="WI100" s="13"/>
      <c r="WJ100" s="13"/>
      <c r="WK100" s="13"/>
      <c r="WL100" s="13"/>
      <c r="WM100" s="13"/>
      <c r="WN100" s="13"/>
      <c r="WO100" s="13"/>
      <c r="WP100" s="13"/>
      <c r="WQ100" s="13"/>
      <c r="WR100" s="13"/>
      <c r="WS100" s="13"/>
      <c r="WT100" s="13"/>
      <c r="WU100" s="13"/>
      <c r="WV100" s="13"/>
      <c r="WW100" s="13"/>
      <c r="WX100" s="13"/>
      <c r="WY100" s="13"/>
      <c r="WZ100" s="13"/>
      <c r="XA100" s="13"/>
      <c r="XB100" s="13"/>
      <c r="XC100" s="13"/>
      <c r="XD100" s="13"/>
      <c r="XE100" s="13"/>
      <c r="XF100" s="13"/>
      <c r="XG100" s="13"/>
      <c r="XH100" s="13"/>
      <c r="XI100" s="13"/>
      <c r="XJ100" s="13"/>
      <c r="XK100" s="13"/>
      <c r="XL100" s="13"/>
      <c r="XM100" s="13"/>
      <c r="XN100" s="13"/>
      <c r="XO100" s="13"/>
      <c r="XP100" s="13"/>
      <c r="XQ100" s="13"/>
      <c r="XR100" s="13"/>
      <c r="XS100" s="13"/>
      <c r="XT100" s="13"/>
      <c r="XU100" s="13"/>
      <c r="XV100" s="13"/>
      <c r="XW100" s="13"/>
      <c r="XX100" s="13"/>
      <c r="XY100" s="13"/>
      <c r="XZ100" s="13"/>
      <c r="YA100" s="13"/>
      <c r="YB100" s="13"/>
      <c r="YC100" s="13"/>
      <c r="YD100" s="13"/>
      <c r="YE100" s="13"/>
      <c r="YF100" s="13"/>
      <c r="YG100" s="13"/>
      <c r="YH100" s="13"/>
      <c r="YI100" s="13"/>
      <c r="YJ100" s="13"/>
      <c r="YK100" s="13"/>
      <c r="YL100" s="13"/>
      <c r="YM100" s="13"/>
      <c r="YN100" s="13"/>
      <c r="YO100" s="13"/>
      <c r="YP100" s="13"/>
      <c r="YQ100" s="13"/>
      <c r="YR100" s="13"/>
      <c r="YS100" s="13"/>
      <c r="YT100" s="13"/>
      <c r="YU100" s="13"/>
      <c r="YV100" s="13"/>
      <c r="YW100" s="13"/>
      <c r="YX100" s="13"/>
      <c r="YY100" s="13"/>
      <c r="YZ100" s="13"/>
      <c r="ZA100" s="13"/>
      <c r="ZB100" s="13"/>
      <c r="ZC100" s="13"/>
      <c r="ZD100" s="13"/>
      <c r="ZE100" s="13"/>
      <c r="ZF100" s="13"/>
      <c r="ZG100" s="13"/>
      <c r="ZH100" s="13"/>
      <c r="ZI100" s="13"/>
      <c r="ZJ100" s="13"/>
      <c r="ZK100" s="13"/>
      <c r="ZL100" s="13"/>
      <c r="ZM100" s="13"/>
      <c r="ZN100" s="13"/>
      <c r="ZO100" s="13"/>
      <c r="ZP100" s="13"/>
      <c r="ZQ100" s="13"/>
      <c r="ZR100" s="13"/>
      <c r="ZS100" s="13"/>
      <c r="ZT100" s="13"/>
      <c r="ZU100" s="13"/>
      <c r="ZV100" s="13"/>
      <c r="ZW100" s="13"/>
      <c r="ZX100" s="13"/>
      <c r="ZY100" s="13"/>
      <c r="ZZ100" s="13"/>
      <c r="AAA100" s="13"/>
      <c r="AAB100" s="13"/>
      <c r="AAC100" s="13"/>
      <c r="AAD100" s="13"/>
      <c r="AAE100" s="13"/>
      <c r="AAF100" s="13"/>
      <c r="AAG100" s="13"/>
      <c r="AAH100" s="13"/>
      <c r="AAI100" s="13"/>
      <c r="AAJ100" s="13"/>
      <c r="AAK100" s="13"/>
      <c r="AAL100" s="13"/>
      <c r="AAM100" s="13"/>
      <c r="AAN100" s="13"/>
      <c r="AAO100" s="13"/>
      <c r="AAP100" s="13"/>
      <c r="AAQ100" s="13"/>
      <c r="AAR100" s="13"/>
      <c r="AAS100" s="13"/>
      <c r="AAT100" s="13"/>
      <c r="AAU100" s="13"/>
      <c r="AAV100" s="13"/>
      <c r="AAW100" s="13"/>
      <c r="AAX100" s="13"/>
      <c r="AAY100" s="13"/>
      <c r="AAZ100" s="13"/>
      <c r="ABA100" s="13"/>
      <c r="ABB100" s="13"/>
      <c r="ABC100" s="13"/>
      <c r="ABD100" s="13"/>
      <c r="ABE100" s="13"/>
      <c r="ABF100" s="13"/>
      <c r="ABG100" s="13"/>
      <c r="ABH100" s="13"/>
      <c r="ABI100" s="13"/>
      <c r="ABJ100" s="13"/>
      <c r="ABK100" s="13"/>
      <c r="ABL100" s="13"/>
      <c r="ABM100" s="13"/>
      <c r="ABN100" s="13"/>
      <c r="ABO100" s="13"/>
      <c r="ABP100" s="13"/>
      <c r="ABQ100" s="13"/>
      <c r="ABR100" s="13"/>
      <c r="ABS100" s="13"/>
      <c r="ABT100" s="13"/>
      <c r="ABU100" s="13"/>
      <c r="ABV100" s="13"/>
      <c r="ABW100" s="13"/>
      <c r="ABX100" s="13"/>
      <c r="ABY100" s="13"/>
      <c r="ABZ100" s="13"/>
      <c r="ACA100" s="13"/>
      <c r="ACB100" s="13"/>
      <c r="ACC100" s="13"/>
      <c r="ACD100" s="13"/>
      <c r="ACE100" s="13"/>
      <c r="ACF100" s="13"/>
      <c r="ACG100" s="13"/>
      <c r="ACH100" s="13"/>
      <c r="ACI100" s="13"/>
      <c r="ACJ100" s="13"/>
      <c r="ACK100" s="13"/>
      <c r="ACL100" s="13"/>
      <c r="ACM100" s="13"/>
      <c r="ACN100" s="13"/>
      <c r="ACO100" s="13"/>
      <c r="ACP100" s="13"/>
      <c r="ACQ100" s="13"/>
      <c r="ACR100" s="13"/>
      <c r="ACS100" s="13"/>
      <c r="ACT100" s="13"/>
      <c r="ACU100" s="13"/>
      <c r="ACV100" s="13"/>
      <c r="ACW100" s="13"/>
      <c r="ACX100" s="13"/>
      <c r="ACY100" s="13"/>
      <c r="ACZ100" s="13"/>
      <c r="ADA100" s="13"/>
      <c r="ADB100" s="13"/>
      <c r="ADC100" s="13"/>
      <c r="ADD100" s="13"/>
      <c r="ADE100" s="13"/>
      <c r="ADF100" s="13"/>
      <c r="ADG100" s="13"/>
      <c r="ADH100" s="13"/>
      <c r="ADI100" s="13"/>
      <c r="ADJ100" s="13"/>
      <c r="ADK100" s="13"/>
      <c r="ADL100" s="13"/>
      <c r="ADM100" s="13"/>
      <c r="ADN100" s="13"/>
      <c r="ADO100" s="13"/>
      <c r="ADP100" s="13"/>
      <c r="ADQ100" s="13"/>
      <c r="ADR100" s="13"/>
      <c r="ADS100" s="13"/>
      <c r="ADT100" s="13"/>
      <c r="ADU100" s="13"/>
      <c r="ADV100" s="13"/>
      <c r="ADW100" s="13"/>
      <c r="ADX100" s="13"/>
      <c r="ADY100" s="13"/>
      <c r="ADZ100" s="13"/>
      <c r="AEA100" s="13"/>
      <c r="AEB100" s="13"/>
      <c r="AEC100" s="13"/>
      <c r="AED100" s="13"/>
      <c r="AEE100" s="13"/>
      <c r="AEF100" s="13"/>
      <c r="AEG100" s="13"/>
      <c r="AEH100" s="13"/>
      <c r="AEI100" s="13"/>
      <c r="AEJ100" s="13"/>
      <c r="AEK100" s="13"/>
      <c r="AEL100" s="13"/>
      <c r="AEM100" s="13"/>
      <c r="AEN100" s="13"/>
      <c r="AEO100" s="13"/>
      <c r="AEP100" s="13"/>
      <c r="AEQ100" s="13"/>
      <c r="AER100" s="13"/>
      <c r="AES100" s="13"/>
      <c r="AET100" s="13"/>
      <c r="AEU100" s="13"/>
      <c r="AEV100" s="13"/>
      <c r="AEW100" s="13"/>
      <c r="AEX100" s="13"/>
      <c r="AEY100" s="13"/>
      <c r="AEZ100" s="13"/>
      <c r="AFA100" s="13"/>
      <c r="AFB100" s="13"/>
      <c r="AFC100" s="13"/>
      <c r="AFD100" s="13"/>
      <c r="AFE100" s="13"/>
      <c r="AFF100" s="13"/>
      <c r="AFG100" s="13"/>
      <c r="AFH100" s="13"/>
      <c r="AFI100" s="13"/>
      <c r="AFJ100" s="13"/>
      <c r="AFK100" s="13"/>
      <c r="AFL100" s="13"/>
      <c r="AFM100" s="13"/>
      <c r="AFN100" s="13"/>
      <c r="AFO100" s="13"/>
      <c r="AFP100" s="13"/>
      <c r="AFQ100" s="13"/>
      <c r="AFR100" s="13"/>
      <c r="AFS100" s="13"/>
      <c r="AFT100" s="13"/>
      <c r="AFU100" s="13"/>
      <c r="AFV100" s="13"/>
      <c r="AFW100" s="13"/>
      <c r="AFX100" s="13"/>
      <c r="AFY100" s="13"/>
      <c r="AFZ100" s="13"/>
      <c r="AGA100" s="13"/>
      <c r="AGB100" s="13"/>
      <c r="AGC100" s="13"/>
      <c r="AGD100" s="13"/>
      <c r="AGE100" s="13"/>
      <c r="AGF100" s="13"/>
      <c r="AGG100" s="13"/>
      <c r="AGH100" s="13"/>
      <c r="AGI100" s="13"/>
      <c r="AGJ100" s="13"/>
      <c r="AGK100" s="13"/>
      <c r="AGL100" s="13"/>
      <c r="AGM100" s="13"/>
      <c r="AGN100" s="13"/>
      <c r="AGO100" s="13"/>
      <c r="AGP100" s="13"/>
      <c r="AGQ100" s="13"/>
      <c r="AGR100" s="13"/>
      <c r="AGS100" s="13"/>
      <c r="AGT100" s="13"/>
      <c r="AGU100" s="13"/>
      <c r="AGV100" s="13"/>
      <c r="AGW100" s="13"/>
      <c r="AGX100" s="13"/>
      <c r="AGY100" s="13"/>
      <c r="AGZ100" s="13"/>
      <c r="AHA100" s="13"/>
      <c r="AHB100" s="13"/>
      <c r="AHC100" s="13"/>
      <c r="AHD100" s="13"/>
      <c r="AHE100" s="13"/>
      <c r="AHF100" s="13"/>
      <c r="AHG100" s="13"/>
      <c r="AHH100" s="13"/>
      <c r="AHI100" s="13"/>
      <c r="AHJ100" s="13"/>
      <c r="AHK100" s="13"/>
      <c r="AHL100" s="13"/>
      <c r="AHM100" s="13"/>
      <c r="AHN100" s="13"/>
      <c r="AHO100" s="13"/>
      <c r="AHP100" s="13"/>
      <c r="AHQ100" s="13"/>
      <c r="AHR100" s="13"/>
      <c r="AHS100" s="13"/>
      <c r="AHT100" s="13"/>
      <c r="AHU100" s="13"/>
      <c r="AHV100" s="13"/>
      <c r="AHW100" s="13"/>
      <c r="AHX100" s="13"/>
      <c r="AHY100" s="13"/>
      <c r="AHZ100" s="13"/>
      <c r="AIA100" s="13"/>
      <c r="AIB100" s="13"/>
      <c r="AIC100" s="13"/>
      <c r="AID100" s="13"/>
      <c r="AIE100" s="13"/>
      <c r="AIF100" s="13"/>
      <c r="AIG100" s="13"/>
      <c r="AIH100" s="13"/>
      <c r="AII100" s="13"/>
      <c r="AIJ100" s="13"/>
      <c r="AIK100" s="13"/>
      <c r="AIL100" s="13"/>
      <c r="AIM100" s="13"/>
      <c r="AIN100" s="13"/>
      <c r="AIO100" s="13"/>
      <c r="AIP100" s="13"/>
      <c r="AIQ100" s="13"/>
      <c r="AIR100" s="13"/>
      <c r="AIS100" s="13"/>
      <c r="AIT100" s="13"/>
      <c r="AIU100" s="13"/>
      <c r="AIV100" s="13"/>
      <c r="AIW100" s="13"/>
      <c r="AIX100" s="13"/>
      <c r="AIY100" s="13"/>
      <c r="AIZ100" s="13"/>
      <c r="AJA100" s="13"/>
      <c r="AJB100" s="13"/>
      <c r="AJC100" s="13"/>
      <c r="AJD100" s="13"/>
      <c r="AJE100" s="13"/>
      <c r="AJF100" s="13"/>
      <c r="AJG100" s="13"/>
      <c r="AJH100" s="13"/>
      <c r="AJI100" s="13"/>
      <c r="AJJ100" s="13"/>
      <c r="AJK100" s="13"/>
      <c r="AJL100" s="13"/>
      <c r="AJM100" s="13"/>
      <c r="AJN100" s="13"/>
      <c r="AJO100" s="13"/>
      <c r="AJP100" s="13"/>
      <c r="AJQ100" s="13"/>
      <c r="AJR100" s="13"/>
      <c r="AJS100" s="13"/>
      <c r="AJT100" s="13"/>
      <c r="AJU100" s="13"/>
      <c r="AJV100" s="13"/>
      <c r="AJW100" s="13"/>
      <c r="AJX100" s="13"/>
      <c r="AJY100" s="13"/>
      <c r="AJZ100" s="13"/>
      <c r="AKA100" s="13"/>
      <c r="AKB100" s="13"/>
      <c r="AKC100" s="13"/>
      <c r="AKD100" s="13"/>
      <c r="AKE100" s="13"/>
      <c r="AKF100" s="13"/>
      <c r="AKG100" s="13"/>
      <c r="AKH100" s="13"/>
      <c r="AKI100" s="13"/>
      <c r="AKJ100" s="13"/>
      <c r="AKK100" s="13"/>
      <c r="AKL100" s="13"/>
      <c r="AKM100" s="13"/>
      <c r="AKN100" s="13"/>
      <c r="AKO100" s="13"/>
      <c r="AKP100" s="13"/>
      <c r="AKQ100" s="13"/>
      <c r="AKR100" s="13"/>
      <c r="AKS100" s="13"/>
      <c r="AKT100" s="13"/>
      <c r="AKU100" s="13"/>
      <c r="AKV100" s="13"/>
      <c r="AKW100" s="13"/>
      <c r="AKX100" s="13"/>
      <c r="AKY100" s="13"/>
      <c r="AKZ100" s="13"/>
      <c r="ALA100" s="13"/>
      <c r="ALB100" s="13"/>
      <c r="ALC100" s="13"/>
      <c r="ALD100" s="13"/>
      <c r="ALE100" s="13"/>
      <c r="ALF100" s="13"/>
      <c r="ALG100" s="13"/>
      <c r="ALH100" s="13"/>
      <c r="ALI100" s="13"/>
      <c r="ALJ100" s="13"/>
      <c r="ALK100" s="13"/>
      <c r="ALL100" s="13"/>
      <c r="ALM100" s="13"/>
      <c r="ALN100" s="13"/>
      <c r="ALO100" s="13"/>
      <c r="ALP100" s="13"/>
      <c r="ALQ100" s="13"/>
      <c r="ALR100" s="13"/>
      <c r="ALS100" s="13"/>
      <c r="ALT100" s="13"/>
      <c r="ALU100" s="13"/>
      <c r="ALV100" s="13"/>
      <c r="ALW100" s="13"/>
      <c r="ALX100" s="13"/>
      <c r="ALY100" s="13"/>
      <c r="ALZ100" s="13"/>
      <c r="AMA100" s="13"/>
      <c r="AMB100" s="13"/>
      <c r="AMC100" s="13"/>
      <c r="AMD100" s="13"/>
      <c r="AME100" s="13"/>
      <c r="AMF100" s="13"/>
      <c r="AMG100" s="13"/>
      <c r="AMH100" s="13"/>
      <c r="AMI100" s="13"/>
      <c r="AMJ100" s="13"/>
      <c r="AMK100" s="13"/>
    </row>
    <row r="101" spans="1:1025" s="133" customFormat="1" ht="12.75" customHeight="1" x14ac:dyDescent="0.2">
      <c r="A101" s="103" t="s">
        <v>163</v>
      </c>
      <c r="B101" s="104">
        <v>0</v>
      </c>
      <c r="C101" s="105">
        <f>B15</f>
        <v>0</v>
      </c>
      <c r="D101" s="106">
        <f t="shared" si="3"/>
        <v>0</v>
      </c>
      <c r="E101" s="106">
        <f>IF(ISNUMBER(outYear),D101*(1-pv_degradation_rate/100),"")</f>
        <v>0</v>
      </c>
      <c r="F101" s="106">
        <f t="shared" si="4"/>
        <v>0</v>
      </c>
      <c r="G101" s="106">
        <f>IF(ISNUMBER(outYear),F101*(1-pv_degradation_rate/100),"")</f>
        <v>0</v>
      </c>
      <c r="H101" s="106">
        <f t="shared" si="5"/>
        <v>0</v>
      </c>
      <c r="I101" s="106">
        <f t="shared" si="6"/>
        <v>0</v>
      </c>
      <c r="J101" s="106">
        <f t="shared" si="7"/>
        <v>0</v>
      </c>
      <c r="K101" s="106">
        <f t="shared" si="8"/>
        <v>0</v>
      </c>
      <c r="L101" s="106">
        <f t="shared" si="9"/>
        <v>0</v>
      </c>
      <c r="M101" s="106">
        <f t="shared" si="10"/>
        <v>0</v>
      </c>
      <c r="N101" s="106">
        <f t="shared" si="11"/>
        <v>0</v>
      </c>
      <c r="O101" s="106">
        <f t="shared" si="12"/>
        <v>0</v>
      </c>
      <c r="P101" s="106">
        <f t="shared" si="13"/>
        <v>0</v>
      </c>
      <c r="Q101" s="106">
        <f t="shared" si="14"/>
        <v>0</v>
      </c>
      <c r="R101" s="106">
        <f t="shared" si="15"/>
        <v>0</v>
      </c>
      <c r="S101" s="106">
        <f t="shared" si="16"/>
        <v>0</v>
      </c>
      <c r="T101" s="106">
        <f t="shared" si="17"/>
        <v>0</v>
      </c>
      <c r="U101" s="106">
        <f t="shared" si="18"/>
        <v>0</v>
      </c>
      <c r="V101" s="106">
        <f t="shared" si="19"/>
        <v>0</v>
      </c>
      <c r="W101" s="106">
        <f t="shared" si="20"/>
        <v>0</v>
      </c>
      <c r="X101" s="106">
        <f t="shared" si="21"/>
        <v>0</v>
      </c>
      <c r="Y101" s="106">
        <f t="shared" si="22"/>
        <v>0</v>
      </c>
      <c r="Z101" s="106">
        <f t="shared" si="23"/>
        <v>0</v>
      </c>
      <c r="AA101" s="106">
        <f t="shared" si="24"/>
        <v>0</v>
      </c>
      <c r="AB101" s="106" t="str">
        <f t="shared" si="25"/>
        <v/>
      </c>
      <c r="AC101" s="106" t="str">
        <f t="shared" si="26"/>
        <v/>
      </c>
      <c r="AD101" s="106" t="str">
        <f t="shared" si="27"/>
        <v/>
      </c>
      <c r="AE101" s="106" t="str">
        <f t="shared" si="28"/>
        <v/>
      </c>
      <c r="AF101" s="106" t="str">
        <f t="shared" si="29"/>
        <v/>
      </c>
      <c r="AG101" s="106" t="str">
        <f t="shared" si="30"/>
        <v/>
      </c>
      <c r="AH101" s="106" t="str">
        <f t="shared" si="31"/>
        <v/>
      </c>
      <c r="AI101" s="106" t="str">
        <f t="shared" si="32"/>
        <v/>
      </c>
      <c r="AJ101" s="106" t="str">
        <f t="shared" si="33"/>
        <v/>
      </c>
      <c r="AK101" s="106" t="str">
        <f t="shared" si="34"/>
        <v/>
      </c>
      <c r="AL101" s="106" t="str">
        <f t="shared" si="35"/>
        <v/>
      </c>
      <c r="AM101" s="106" t="str">
        <f t="shared" si="36"/>
        <v/>
      </c>
      <c r="AN101" s="106" t="str">
        <f t="shared" si="37"/>
        <v/>
      </c>
      <c r="AO101" s="106" t="str">
        <f t="shared" si="38"/>
        <v/>
      </c>
      <c r="AP101" s="106" t="str">
        <f t="shared" si="39"/>
        <v/>
      </c>
      <c r="AQ101" s="106" t="str">
        <f t="shared" si="40"/>
        <v/>
      </c>
      <c r="AR101" s="106" t="str">
        <f t="shared" si="41"/>
        <v/>
      </c>
      <c r="AS101" s="106" t="str">
        <f t="shared" si="42"/>
        <v/>
      </c>
      <c r="AT101" s="106" t="str">
        <f t="shared" si="43"/>
        <v/>
      </c>
      <c r="AU101" s="106" t="str">
        <f t="shared" si="44"/>
        <v/>
      </c>
      <c r="AV101" s="106" t="str">
        <f t="shared" si="45"/>
        <v/>
      </c>
      <c r="AW101" s="106" t="str">
        <f t="shared" si="46"/>
        <v/>
      </c>
      <c r="AX101" s="106" t="str">
        <f t="shared" si="47"/>
        <v/>
      </c>
      <c r="AY101" s="106" t="str">
        <f t="shared" si="48"/>
        <v/>
      </c>
      <c r="AZ101" s="106" t="str">
        <f t="shared" si="49"/>
        <v/>
      </c>
      <c r="BA101" s="106" t="str">
        <f t="shared" si="50"/>
        <v/>
      </c>
      <c r="BB101" s="106" t="str">
        <f t="shared" si="51"/>
        <v/>
      </c>
      <c r="BC101" s="106" t="str">
        <f t="shared" si="52"/>
        <v/>
      </c>
      <c r="BD101" s="106" t="str">
        <f t="shared" si="53"/>
        <v/>
      </c>
      <c r="BE101" s="106" t="str">
        <f t="shared" si="54"/>
        <v/>
      </c>
      <c r="BF101" s="106" t="str">
        <f t="shared" si="55"/>
        <v/>
      </c>
      <c r="BG101" s="106" t="str">
        <f t="shared" si="56"/>
        <v/>
      </c>
      <c r="BH101" s="106" t="str">
        <f t="shared" si="57"/>
        <v/>
      </c>
      <c r="BI101" s="106" t="str">
        <f t="shared" si="58"/>
        <v/>
      </c>
      <c r="BJ101" s="106" t="str">
        <f t="shared" si="59"/>
        <v/>
      </c>
      <c r="BK101" s="106" t="str">
        <f t="shared" si="60"/>
        <v/>
      </c>
      <c r="BL101" s="106" t="str">
        <f t="shared" si="61"/>
        <v/>
      </c>
      <c r="BM101" s="106" t="str">
        <f t="shared" si="62"/>
        <v/>
      </c>
      <c r="BN101" s="106" t="str">
        <f t="shared" si="63"/>
        <v/>
      </c>
      <c r="BO101" s="106" t="str">
        <f t="shared" si="64"/>
        <v/>
      </c>
      <c r="BP101" s="106" t="str">
        <f t="shared" si="65"/>
        <v/>
      </c>
      <c r="BQ101" s="106" t="str">
        <f t="shared" si="66"/>
        <v/>
      </c>
      <c r="BR101" s="106" t="str">
        <f t="shared" si="67"/>
        <v/>
      </c>
      <c r="BS101" s="106" t="str">
        <f t="shared" si="68"/>
        <v/>
      </c>
      <c r="BT101" s="106" t="str">
        <f t="shared" si="69"/>
        <v/>
      </c>
      <c r="BU101" s="106" t="str">
        <f t="shared" si="70"/>
        <v/>
      </c>
      <c r="BV101" s="106" t="str">
        <f t="shared" si="71"/>
        <v/>
      </c>
      <c r="BW101" s="106" t="str">
        <f t="shared" si="72"/>
        <v/>
      </c>
      <c r="BX101" s="106" t="str">
        <f t="shared" si="73"/>
        <v/>
      </c>
      <c r="BY101" s="106" t="str">
        <f t="shared" si="74"/>
        <v/>
      </c>
      <c r="BZ101" s="106" t="str">
        <f t="shared" si="75"/>
        <v/>
      </c>
      <c r="CA101" s="106" t="str">
        <f t="shared" si="76"/>
        <v/>
      </c>
      <c r="CB101" s="106" t="str">
        <f t="shared" si="77"/>
        <v/>
      </c>
      <c r="CC101" s="106" t="str">
        <f t="shared" si="78"/>
        <v/>
      </c>
      <c r="CD101" s="106" t="str">
        <f t="shared" si="79"/>
        <v/>
      </c>
      <c r="CE101" s="106" t="str">
        <f t="shared" si="80"/>
        <v/>
      </c>
      <c r="CF101" s="106" t="str">
        <f t="shared" si="81"/>
        <v/>
      </c>
      <c r="CG101" s="106" t="str">
        <f t="shared" si="82"/>
        <v/>
      </c>
      <c r="CH101" s="106" t="str">
        <f t="shared" si="83"/>
        <v/>
      </c>
      <c r="CI101" s="106" t="str">
        <f t="shared" si="84"/>
        <v/>
      </c>
      <c r="CJ101" s="106" t="str">
        <f t="shared" si="85"/>
        <v/>
      </c>
      <c r="CK101" s="106" t="str">
        <f t="shared" si="86"/>
        <v/>
      </c>
      <c r="CL101" s="106" t="str">
        <f t="shared" si="87"/>
        <v/>
      </c>
      <c r="CM101" s="106" t="str">
        <f t="shared" si="88"/>
        <v/>
      </c>
      <c r="CN101" s="106" t="str">
        <f t="shared" si="89"/>
        <v/>
      </c>
      <c r="CO101" s="106" t="str">
        <f t="shared" si="90"/>
        <v/>
      </c>
      <c r="CP101" s="106" t="str">
        <f t="shared" si="91"/>
        <v/>
      </c>
      <c r="CQ101" s="106" t="str">
        <f t="shared" si="92"/>
        <v/>
      </c>
      <c r="CR101" s="106" t="str">
        <f t="shared" si="93"/>
        <v/>
      </c>
      <c r="CS101" s="106" t="str">
        <f t="shared" si="94"/>
        <v/>
      </c>
      <c r="CT101" s="106" t="str">
        <f t="shared" si="95"/>
        <v/>
      </c>
      <c r="CU101" s="106" t="str">
        <f t="shared" si="96"/>
        <v/>
      </c>
      <c r="CV101" s="106" t="str">
        <f t="shared" si="97"/>
        <v/>
      </c>
      <c r="CW101" s="106" t="str">
        <f t="shared" si="98"/>
        <v/>
      </c>
      <c r="CX101" s="106" t="str">
        <f t="shared" si="99"/>
        <v/>
      </c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  <c r="LU101" s="13"/>
      <c r="LV101" s="13"/>
      <c r="LW101" s="13"/>
      <c r="LX101" s="13"/>
      <c r="LY101" s="13"/>
      <c r="LZ101" s="13"/>
      <c r="MA101" s="13"/>
      <c r="MB101" s="13"/>
      <c r="MC101" s="13"/>
      <c r="MD101" s="13"/>
      <c r="ME101" s="13"/>
      <c r="MF101" s="13"/>
      <c r="MG101" s="13"/>
      <c r="MH101" s="13"/>
      <c r="MI101" s="13"/>
      <c r="MJ101" s="13"/>
      <c r="MK101" s="13"/>
      <c r="ML101" s="13"/>
      <c r="MM101" s="13"/>
      <c r="MN101" s="13"/>
      <c r="MO101" s="13"/>
      <c r="MP101" s="13"/>
      <c r="MQ101" s="13"/>
      <c r="MR101" s="13"/>
      <c r="MS101" s="13"/>
      <c r="MT101" s="13"/>
      <c r="MU101" s="13"/>
      <c r="MV101" s="13"/>
      <c r="MW101" s="13"/>
      <c r="MX101" s="13"/>
      <c r="MY101" s="13"/>
      <c r="MZ101" s="13"/>
      <c r="NA101" s="13"/>
      <c r="NB101" s="13"/>
      <c r="NC101" s="13"/>
      <c r="ND101" s="13"/>
      <c r="NE101" s="13"/>
      <c r="NF101" s="13"/>
      <c r="NG101" s="13"/>
      <c r="NH101" s="13"/>
      <c r="NI101" s="13"/>
      <c r="NJ101" s="13"/>
      <c r="NK101" s="13"/>
      <c r="NL101" s="13"/>
      <c r="NM101" s="13"/>
      <c r="NN101" s="13"/>
      <c r="NO101" s="13"/>
      <c r="NP101" s="13"/>
      <c r="NQ101" s="13"/>
      <c r="NR101" s="13"/>
      <c r="NS101" s="13"/>
      <c r="NT101" s="13"/>
      <c r="NU101" s="13"/>
      <c r="NV101" s="13"/>
      <c r="NW101" s="13"/>
      <c r="NX101" s="13"/>
      <c r="NY101" s="13"/>
      <c r="NZ101" s="13"/>
      <c r="OA101" s="13"/>
      <c r="OB101" s="13"/>
      <c r="OC101" s="13"/>
      <c r="OD101" s="13"/>
      <c r="OE101" s="13"/>
      <c r="OF101" s="13"/>
      <c r="OG101" s="13"/>
      <c r="OH101" s="13"/>
      <c r="OI101" s="13"/>
      <c r="OJ101" s="13"/>
      <c r="OK101" s="13"/>
      <c r="OL101" s="13"/>
      <c r="OM101" s="13"/>
      <c r="ON101" s="13"/>
      <c r="OO101" s="13"/>
      <c r="OP101" s="13"/>
      <c r="OQ101" s="13"/>
      <c r="OR101" s="13"/>
      <c r="OS101" s="13"/>
      <c r="OT101" s="13"/>
      <c r="OU101" s="13"/>
      <c r="OV101" s="13"/>
      <c r="OW101" s="13"/>
      <c r="OX101" s="13"/>
      <c r="OY101" s="13"/>
      <c r="OZ101" s="13"/>
      <c r="PA101" s="13"/>
      <c r="PB101" s="13"/>
      <c r="PC101" s="13"/>
      <c r="PD101" s="13"/>
      <c r="PE101" s="13"/>
      <c r="PF101" s="13"/>
      <c r="PG101" s="13"/>
      <c r="PH101" s="13"/>
      <c r="PI101" s="13"/>
      <c r="PJ101" s="13"/>
      <c r="PK101" s="13"/>
      <c r="PL101" s="13"/>
      <c r="PM101" s="13"/>
      <c r="PN101" s="13"/>
      <c r="PO101" s="13"/>
      <c r="PP101" s="13"/>
      <c r="PQ101" s="13"/>
      <c r="PR101" s="13"/>
      <c r="PS101" s="13"/>
      <c r="PT101" s="13"/>
      <c r="PU101" s="13"/>
      <c r="PV101" s="13"/>
      <c r="PW101" s="13"/>
      <c r="PX101" s="13"/>
      <c r="PY101" s="13"/>
      <c r="PZ101" s="13"/>
      <c r="QA101" s="13"/>
      <c r="QB101" s="13"/>
      <c r="QC101" s="13"/>
      <c r="QD101" s="13"/>
      <c r="QE101" s="13"/>
      <c r="QF101" s="13"/>
      <c r="QG101" s="13"/>
      <c r="QH101" s="13"/>
      <c r="QI101" s="13"/>
      <c r="QJ101" s="13"/>
      <c r="QK101" s="13"/>
      <c r="QL101" s="13"/>
      <c r="QM101" s="13"/>
      <c r="QN101" s="13"/>
      <c r="QO101" s="13"/>
      <c r="QP101" s="13"/>
      <c r="QQ101" s="13"/>
      <c r="QR101" s="13"/>
      <c r="QS101" s="13"/>
      <c r="QT101" s="13"/>
      <c r="QU101" s="13"/>
      <c r="QV101" s="13"/>
      <c r="QW101" s="13"/>
      <c r="QX101" s="13"/>
      <c r="QY101" s="13"/>
      <c r="QZ101" s="13"/>
      <c r="RA101" s="13"/>
      <c r="RB101" s="13"/>
      <c r="RC101" s="13"/>
      <c r="RD101" s="13"/>
      <c r="RE101" s="13"/>
      <c r="RF101" s="13"/>
      <c r="RG101" s="13"/>
      <c r="RH101" s="13"/>
      <c r="RI101" s="13"/>
      <c r="RJ101" s="13"/>
      <c r="RK101" s="13"/>
      <c r="RL101" s="13"/>
      <c r="RM101" s="13"/>
      <c r="RN101" s="13"/>
      <c r="RO101" s="13"/>
      <c r="RP101" s="13"/>
      <c r="RQ101" s="13"/>
      <c r="RR101" s="13"/>
      <c r="RS101" s="13"/>
      <c r="RT101" s="13"/>
      <c r="RU101" s="13"/>
      <c r="RV101" s="13"/>
      <c r="RW101" s="13"/>
      <c r="RX101" s="13"/>
      <c r="RY101" s="13"/>
      <c r="RZ101" s="13"/>
      <c r="SA101" s="13"/>
      <c r="SB101" s="13"/>
      <c r="SC101" s="13"/>
      <c r="SD101" s="13"/>
      <c r="SE101" s="13"/>
      <c r="SF101" s="13"/>
      <c r="SG101" s="13"/>
      <c r="SH101" s="13"/>
      <c r="SI101" s="13"/>
      <c r="SJ101" s="13"/>
      <c r="SK101" s="13"/>
      <c r="SL101" s="13"/>
      <c r="SM101" s="13"/>
      <c r="SN101" s="13"/>
      <c r="SO101" s="13"/>
      <c r="SP101" s="13"/>
      <c r="SQ101" s="13"/>
      <c r="SR101" s="13"/>
      <c r="SS101" s="13"/>
      <c r="ST101" s="13"/>
      <c r="SU101" s="13"/>
      <c r="SV101" s="13"/>
      <c r="SW101" s="13"/>
      <c r="SX101" s="13"/>
      <c r="SY101" s="13"/>
      <c r="SZ101" s="13"/>
      <c r="TA101" s="13"/>
      <c r="TB101" s="13"/>
      <c r="TC101" s="13"/>
      <c r="TD101" s="13"/>
      <c r="TE101" s="13"/>
      <c r="TF101" s="13"/>
      <c r="TG101" s="13"/>
      <c r="TH101" s="13"/>
      <c r="TI101" s="13"/>
      <c r="TJ101" s="13"/>
      <c r="TK101" s="13"/>
      <c r="TL101" s="13"/>
      <c r="TM101" s="13"/>
      <c r="TN101" s="13"/>
      <c r="TO101" s="13"/>
      <c r="TP101" s="13"/>
      <c r="TQ101" s="13"/>
      <c r="TR101" s="13"/>
      <c r="TS101" s="13"/>
      <c r="TT101" s="13"/>
      <c r="TU101" s="13"/>
      <c r="TV101" s="13"/>
      <c r="TW101" s="13"/>
      <c r="TX101" s="13"/>
      <c r="TY101" s="13"/>
      <c r="TZ101" s="13"/>
      <c r="UA101" s="13"/>
      <c r="UB101" s="13"/>
      <c r="UC101" s="13"/>
      <c r="UD101" s="13"/>
      <c r="UE101" s="13"/>
      <c r="UF101" s="13"/>
      <c r="UG101" s="13"/>
      <c r="UH101" s="13"/>
      <c r="UI101" s="13"/>
      <c r="UJ101" s="13"/>
      <c r="UK101" s="13"/>
      <c r="UL101" s="13"/>
      <c r="UM101" s="13"/>
      <c r="UN101" s="13"/>
      <c r="UO101" s="13"/>
      <c r="UP101" s="13"/>
      <c r="UQ101" s="13"/>
      <c r="UR101" s="13"/>
      <c r="US101" s="13"/>
      <c r="UT101" s="13"/>
      <c r="UU101" s="13"/>
      <c r="UV101" s="13"/>
      <c r="UW101" s="13"/>
      <c r="UX101" s="13"/>
      <c r="UY101" s="13"/>
      <c r="UZ101" s="13"/>
      <c r="VA101" s="13"/>
      <c r="VB101" s="13"/>
      <c r="VC101" s="13"/>
      <c r="VD101" s="13"/>
      <c r="VE101" s="13"/>
      <c r="VF101" s="13"/>
      <c r="VG101" s="13"/>
      <c r="VH101" s="13"/>
      <c r="VI101" s="13"/>
      <c r="VJ101" s="13"/>
      <c r="VK101" s="13"/>
      <c r="VL101" s="13"/>
      <c r="VM101" s="13"/>
      <c r="VN101" s="13"/>
      <c r="VO101" s="13"/>
      <c r="VP101" s="13"/>
      <c r="VQ101" s="13"/>
      <c r="VR101" s="13"/>
      <c r="VS101" s="13"/>
      <c r="VT101" s="13"/>
      <c r="VU101" s="13"/>
      <c r="VV101" s="13"/>
      <c r="VW101" s="13"/>
      <c r="VX101" s="13"/>
      <c r="VY101" s="13"/>
      <c r="VZ101" s="13"/>
      <c r="WA101" s="13"/>
      <c r="WB101" s="13"/>
      <c r="WC101" s="13"/>
      <c r="WD101" s="13"/>
      <c r="WE101" s="13"/>
      <c r="WF101" s="13"/>
      <c r="WG101" s="13"/>
      <c r="WH101" s="13"/>
      <c r="WI101" s="13"/>
      <c r="WJ101" s="13"/>
      <c r="WK101" s="13"/>
      <c r="WL101" s="13"/>
      <c r="WM101" s="13"/>
      <c r="WN101" s="13"/>
      <c r="WO101" s="13"/>
      <c r="WP101" s="13"/>
      <c r="WQ101" s="13"/>
      <c r="WR101" s="13"/>
      <c r="WS101" s="13"/>
      <c r="WT101" s="13"/>
      <c r="WU101" s="13"/>
      <c r="WV101" s="13"/>
      <c r="WW101" s="13"/>
      <c r="WX101" s="13"/>
      <c r="WY101" s="13"/>
      <c r="WZ101" s="13"/>
      <c r="XA101" s="13"/>
      <c r="XB101" s="13"/>
      <c r="XC101" s="13"/>
      <c r="XD101" s="13"/>
      <c r="XE101" s="13"/>
      <c r="XF101" s="13"/>
      <c r="XG101" s="13"/>
      <c r="XH101" s="13"/>
      <c r="XI101" s="13"/>
      <c r="XJ101" s="13"/>
      <c r="XK101" s="13"/>
      <c r="XL101" s="13"/>
      <c r="XM101" s="13"/>
      <c r="XN101" s="13"/>
      <c r="XO101" s="13"/>
      <c r="XP101" s="13"/>
      <c r="XQ101" s="13"/>
      <c r="XR101" s="13"/>
      <c r="XS101" s="13"/>
      <c r="XT101" s="13"/>
      <c r="XU101" s="13"/>
      <c r="XV101" s="13"/>
      <c r="XW101" s="13"/>
      <c r="XX101" s="13"/>
      <c r="XY101" s="13"/>
      <c r="XZ101" s="13"/>
      <c r="YA101" s="13"/>
      <c r="YB101" s="13"/>
      <c r="YC101" s="13"/>
      <c r="YD101" s="13"/>
      <c r="YE101" s="13"/>
      <c r="YF101" s="13"/>
      <c r="YG101" s="13"/>
      <c r="YH101" s="13"/>
      <c r="YI101" s="13"/>
      <c r="YJ101" s="13"/>
      <c r="YK101" s="13"/>
      <c r="YL101" s="13"/>
      <c r="YM101" s="13"/>
      <c r="YN101" s="13"/>
      <c r="YO101" s="13"/>
      <c r="YP101" s="13"/>
      <c r="YQ101" s="13"/>
      <c r="YR101" s="13"/>
      <c r="YS101" s="13"/>
      <c r="YT101" s="13"/>
      <c r="YU101" s="13"/>
      <c r="YV101" s="13"/>
      <c r="YW101" s="13"/>
      <c r="YX101" s="13"/>
      <c r="YY101" s="13"/>
      <c r="YZ101" s="13"/>
      <c r="ZA101" s="13"/>
      <c r="ZB101" s="13"/>
      <c r="ZC101" s="13"/>
      <c r="ZD101" s="13"/>
      <c r="ZE101" s="13"/>
      <c r="ZF101" s="13"/>
      <c r="ZG101" s="13"/>
      <c r="ZH101" s="13"/>
      <c r="ZI101" s="13"/>
      <c r="ZJ101" s="13"/>
      <c r="ZK101" s="13"/>
      <c r="ZL101" s="13"/>
      <c r="ZM101" s="13"/>
      <c r="ZN101" s="13"/>
      <c r="ZO101" s="13"/>
      <c r="ZP101" s="13"/>
      <c r="ZQ101" s="13"/>
      <c r="ZR101" s="13"/>
      <c r="ZS101" s="13"/>
      <c r="ZT101" s="13"/>
      <c r="ZU101" s="13"/>
      <c r="ZV101" s="13"/>
      <c r="ZW101" s="13"/>
      <c r="ZX101" s="13"/>
      <c r="ZY101" s="13"/>
      <c r="ZZ101" s="13"/>
      <c r="AAA101" s="13"/>
      <c r="AAB101" s="13"/>
      <c r="AAC101" s="13"/>
      <c r="AAD101" s="13"/>
      <c r="AAE101" s="13"/>
      <c r="AAF101" s="13"/>
      <c r="AAG101" s="13"/>
      <c r="AAH101" s="13"/>
      <c r="AAI101" s="13"/>
      <c r="AAJ101" s="13"/>
      <c r="AAK101" s="13"/>
      <c r="AAL101" s="13"/>
      <c r="AAM101" s="13"/>
      <c r="AAN101" s="13"/>
      <c r="AAO101" s="13"/>
      <c r="AAP101" s="13"/>
      <c r="AAQ101" s="13"/>
      <c r="AAR101" s="13"/>
      <c r="AAS101" s="13"/>
      <c r="AAT101" s="13"/>
      <c r="AAU101" s="13"/>
      <c r="AAV101" s="13"/>
      <c r="AAW101" s="13"/>
      <c r="AAX101" s="13"/>
      <c r="AAY101" s="13"/>
      <c r="AAZ101" s="13"/>
      <c r="ABA101" s="13"/>
      <c r="ABB101" s="13"/>
      <c r="ABC101" s="13"/>
      <c r="ABD101" s="13"/>
      <c r="ABE101" s="13"/>
      <c r="ABF101" s="13"/>
      <c r="ABG101" s="13"/>
      <c r="ABH101" s="13"/>
      <c r="ABI101" s="13"/>
      <c r="ABJ101" s="13"/>
      <c r="ABK101" s="13"/>
      <c r="ABL101" s="13"/>
      <c r="ABM101" s="13"/>
      <c r="ABN101" s="13"/>
      <c r="ABO101" s="13"/>
      <c r="ABP101" s="13"/>
      <c r="ABQ101" s="13"/>
      <c r="ABR101" s="13"/>
      <c r="ABS101" s="13"/>
      <c r="ABT101" s="13"/>
      <c r="ABU101" s="13"/>
      <c r="ABV101" s="13"/>
      <c r="ABW101" s="13"/>
      <c r="ABX101" s="13"/>
      <c r="ABY101" s="13"/>
      <c r="ABZ101" s="13"/>
      <c r="ACA101" s="13"/>
      <c r="ACB101" s="13"/>
      <c r="ACC101" s="13"/>
      <c r="ACD101" s="13"/>
      <c r="ACE101" s="13"/>
      <c r="ACF101" s="13"/>
      <c r="ACG101" s="13"/>
      <c r="ACH101" s="13"/>
      <c r="ACI101" s="13"/>
      <c r="ACJ101" s="13"/>
      <c r="ACK101" s="13"/>
      <c r="ACL101" s="13"/>
      <c r="ACM101" s="13"/>
      <c r="ACN101" s="13"/>
      <c r="ACO101" s="13"/>
      <c r="ACP101" s="13"/>
      <c r="ACQ101" s="13"/>
      <c r="ACR101" s="13"/>
      <c r="ACS101" s="13"/>
      <c r="ACT101" s="13"/>
      <c r="ACU101" s="13"/>
      <c r="ACV101" s="13"/>
      <c r="ACW101" s="13"/>
      <c r="ACX101" s="13"/>
      <c r="ACY101" s="13"/>
      <c r="ACZ101" s="13"/>
      <c r="ADA101" s="13"/>
      <c r="ADB101" s="13"/>
      <c r="ADC101" s="13"/>
      <c r="ADD101" s="13"/>
      <c r="ADE101" s="13"/>
      <c r="ADF101" s="13"/>
      <c r="ADG101" s="13"/>
      <c r="ADH101" s="13"/>
      <c r="ADI101" s="13"/>
      <c r="ADJ101" s="13"/>
      <c r="ADK101" s="13"/>
      <c r="ADL101" s="13"/>
      <c r="ADM101" s="13"/>
      <c r="ADN101" s="13"/>
      <c r="ADO101" s="13"/>
      <c r="ADP101" s="13"/>
      <c r="ADQ101" s="13"/>
      <c r="ADR101" s="13"/>
      <c r="ADS101" s="13"/>
      <c r="ADT101" s="13"/>
      <c r="ADU101" s="13"/>
      <c r="ADV101" s="13"/>
      <c r="ADW101" s="13"/>
      <c r="ADX101" s="13"/>
      <c r="ADY101" s="13"/>
      <c r="ADZ101" s="13"/>
      <c r="AEA101" s="13"/>
      <c r="AEB101" s="13"/>
      <c r="AEC101" s="13"/>
      <c r="AED101" s="13"/>
      <c r="AEE101" s="13"/>
      <c r="AEF101" s="13"/>
      <c r="AEG101" s="13"/>
      <c r="AEH101" s="13"/>
      <c r="AEI101" s="13"/>
      <c r="AEJ101" s="13"/>
      <c r="AEK101" s="13"/>
      <c r="AEL101" s="13"/>
      <c r="AEM101" s="13"/>
      <c r="AEN101" s="13"/>
      <c r="AEO101" s="13"/>
      <c r="AEP101" s="13"/>
      <c r="AEQ101" s="13"/>
      <c r="AER101" s="13"/>
      <c r="AES101" s="13"/>
      <c r="AET101" s="13"/>
      <c r="AEU101" s="13"/>
      <c r="AEV101" s="13"/>
      <c r="AEW101" s="13"/>
      <c r="AEX101" s="13"/>
      <c r="AEY101" s="13"/>
      <c r="AEZ101" s="13"/>
      <c r="AFA101" s="13"/>
      <c r="AFB101" s="13"/>
      <c r="AFC101" s="13"/>
      <c r="AFD101" s="13"/>
      <c r="AFE101" s="13"/>
      <c r="AFF101" s="13"/>
      <c r="AFG101" s="13"/>
      <c r="AFH101" s="13"/>
      <c r="AFI101" s="13"/>
      <c r="AFJ101" s="13"/>
      <c r="AFK101" s="13"/>
      <c r="AFL101" s="13"/>
      <c r="AFM101" s="13"/>
      <c r="AFN101" s="13"/>
      <c r="AFO101" s="13"/>
      <c r="AFP101" s="13"/>
      <c r="AFQ101" s="13"/>
      <c r="AFR101" s="13"/>
      <c r="AFS101" s="13"/>
      <c r="AFT101" s="13"/>
      <c r="AFU101" s="13"/>
      <c r="AFV101" s="13"/>
      <c r="AFW101" s="13"/>
      <c r="AFX101" s="13"/>
      <c r="AFY101" s="13"/>
      <c r="AFZ101" s="13"/>
      <c r="AGA101" s="13"/>
      <c r="AGB101" s="13"/>
      <c r="AGC101" s="13"/>
      <c r="AGD101" s="13"/>
      <c r="AGE101" s="13"/>
      <c r="AGF101" s="13"/>
      <c r="AGG101" s="13"/>
      <c r="AGH101" s="13"/>
      <c r="AGI101" s="13"/>
      <c r="AGJ101" s="13"/>
      <c r="AGK101" s="13"/>
      <c r="AGL101" s="13"/>
      <c r="AGM101" s="13"/>
      <c r="AGN101" s="13"/>
      <c r="AGO101" s="13"/>
      <c r="AGP101" s="13"/>
      <c r="AGQ101" s="13"/>
      <c r="AGR101" s="13"/>
      <c r="AGS101" s="13"/>
      <c r="AGT101" s="13"/>
      <c r="AGU101" s="13"/>
      <c r="AGV101" s="13"/>
      <c r="AGW101" s="13"/>
      <c r="AGX101" s="13"/>
      <c r="AGY101" s="13"/>
      <c r="AGZ101" s="13"/>
      <c r="AHA101" s="13"/>
      <c r="AHB101" s="13"/>
      <c r="AHC101" s="13"/>
      <c r="AHD101" s="13"/>
      <c r="AHE101" s="13"/>
      <c r="AHF101" s="13"/>
      <c r="AHG101" s="13"/>
      <c r="AHH101" s="13"/>
      <c r="AHI101" s="13"/>
      <c r="AHJ101" s="13"/>
      <c r="AHK101" s="13"/>
      <c r="AHL101" s="13"/>
      <c r="AHM101" s="13"/>
      <c r="AHN101" s="13"/>
      <c r="AHO101" s="13"/>
      <c r="AHP101" s="13"/>
      <c r="AHQ101" s="13"/>
      <c r="AHR101" s="13"/>
      <c r="AHS101" s="13"/>
      <c r="AHT101" s="13"/>
      <c r="AHU101" s="13"/>
      <c r="AHV101" s="13"/>
      <c r="AHW101" s="13"/>
      <c r="AHX101" s="13"/>
      <c r="AHY101" s="13"/>
      <c r="AHZ101" s="13"/>
      <c r="AIA101" s="13"/>
      <c r="AIB101" s="13"/>
      <c r="AIC101" s="13"/>
      <c r="AID101" s="13"/>
      <c r="AIE101" s="13"/>
      <c r="AIF101" s="13"/>
      <c r="AIG101" s="13"/>
      <c r="AIH101" s="13"/>
      <c r="AII101" s="13"/>
      <c r="AIJ101" s="13"/>
      <c r="AIK101" s="13"/>
      <c r="AIL101" s="13"/>
      <c r="AIM101" s="13"/>
      <c r="AIN101" s="13"/>
      <c r="AIO101" s="13"/>
      <c r="AIP101" s="13"/>
      <c r="AIQ101" s="13"/>
      <c r="AIR101" s="13"/>
      <c r="AIS101" s="13"/>
      <c r="AIT101" s="13"/>
      <c r="AIU101" s="13"/>
      <c r="AIV101" s="13"/>
      <c r="AIW101" s="13"/>
      <c r="AIX101" s="13"/>
      <c r="AIY101" s="13"/>
      <c r="AIZ101" s="13"/>
      <c r="AJA101" s="13"/>
      <c r="AJB101" s="13"/>
      <c r="AJC101" s="13"/>
      <c r="AJD101" s="13"/>
      <c r="AJE101" s="13"/>
      <c r="AJF101" s="13"/>
      <c r="AJG101" s="13"/>
      <c r="AJH101" s="13"/>
      <c r="AJI101" s="13"/>
      <c r="AJJ101" s="13"/>
      <c r="AJK101" s="13"/>
      <c r="AJL101" s="13"/>
      <c r="AJM101" s="13"/>
      <c r="AJN101" s="13"/>
      <c r="AJO101" s="13"/>
      <c r="AJP101" s="13"/>
      <c r="AJQ101" s="13"/>
      <c r="AJR101" s="13"/>
      <c r="AJS101" s="13"/>
      <c r="AJT101" s="13"/>
      <c r="AJU101" s="13"/>
      <c r="AJV101" s="13"/>
      <c r="AJW101" s="13"/>
      <c r="AJX101" s="13"/>
      <c r="AJY101" s="13"/>
      <c r="AJZ101" s="13"/>
      <c r="AKA101" s="13"/>
      <c r="AKB101" s="13"/>
      <c r="AKC101" s="13"/>
      <c r="AKD101" s="13"/>
      <c r="AKE101" s="13"/>
      <c r="AKF101" s="13"/>
      <c r="AKG101" s="13"/>
      <c r="AKH101" s="13"/>
      <c r="AKI101" s="13"/>
      <c r="AKJ101" s="13"/>
      <c r="AKK101" s="13"/>
      <c r="AKL101" s="13"/>
      <c r="AKM101" s="13"/>
      <c r="AKN101" s="13"/>
      <c r="AKO101" s="13"/>
      <c r="AKP101" s="13"/>
      <c r="AKQ101" s="13"/>
      <c r="AKR101" s="13"/>
      <c r="AKS101" s="13"/>
      <c r="AKT101" s="13"/>
      <c r="AKU101" s="13"/>
      <c r="AKV101" s="13"/>
      <c r="AKW101" s="13"/>
      <c r="AKX101" s="13"/>
      <c r="AKY101" s="13"/>
      <c r="AKZ101" s="13"/>
      <c r="ALA101" s="13"/>
      <c r="ALB101" s="13"/>
      <c r="ALC101" s="13"/>
      <c r="ALD101" s="13"/>
      <c r="ALE101" s="13"/>
      <c r="ALF101" s="13"/>
      <c r="ALG101" s="13"/>
      <c r="ALH101" s="13"/>
      <c r="ALI101" s="13"/>
      <c r="ALJ101" s="13"/>
      <c r="ALK101" s="13"/>
      <c r="ALL101" s="13"/>
      <c r="ALM101" s="13"/>
      <c r="ALN101" s="13"/>
      <c r="ALO101" s="13"/>
      <c r="ALP101" s="13"/>
      <c r="ALQ101" s="13"/>
      <c r="ALR101" s="13"/>
      <c r="ALS101" s="13"/>
      <c r="ALT101" s="13"/>
      <c r="ALU101" s="13"/>
      <c r="ALV101" s="13"/>
      <c r="ALW101" s="13"/>
      <c r="ALX101" s="13"/>
      <c r="ALY101" s="13"/>
      <c r="ALZ101" s="13"/>
      <c r="AMA101" s="13"/>
      <c r="AMB101" s="13"/>
      <c r="AMC101" s="13"/>
      <c r="AMD101" s="13"/>
      <c r="AME101" s="13"/>
      <c r="AMF101" s="13"/>
      <c r="AMG101" s="13"/>
      <c r="AMH101" s="13"/>
      <c r="AMI101" s="13"/>
      <c r="AMJ101" s="13"/>
      <c r="AMK101" s="13"/>
    </row>
    <row r="102" spans="1:1025" ht="12.75" customHeight="1" x14ac:dyDescent="0.2">
      <c r="A102" s="103" t="s">
        <v>81</v>
      </c>
      <c r="B102" s="104"/>
      <c r="C102" s="105">
        <f t="shared" ref="C102:AH102" si="100">IF(ISNUMBER(outYear),$B$11*(1+escalation_rate_nominal/100)^C98,"")</f>
        <v>850914.15374999994</v>
      </c>
      <c r="D102" s="106">
        <f t="shared" si="100"/>
        <v>876547.9426317187</v>
      </c>
      <c r="E102" s="106">
        <f t="shared" si="100"/>
        <v>902953.94940349914</v>
      </c>
      <c r="F102" s="106">
        <f t="shared" si="100"/>
        <v>930155.4371292796</v>
      </c>
      <c r="G102" s="106">
        <f t="shared" si="100"/>
        <v>958176.36967279925</v>
      </c>
      <c r="H102" s="106">
        <f t="shared" si="100"/>
        <v>987041.43280919222</v>
      </c>
      <c r="I102" s="106">
        <f t="shared" si="100"/>
        <v>1016776.055972569</v>
      </c>
      <c r="J102" s="106">
        <f t="shared" si="100"/>
        <v>1047406.4346587427</v>
      </c>
      <c r="K102" s="106">
        <f t="shared" si="100"/>
        <v>1078959.5535028374</v>
      </c>
      <c r="L102" s="106">
        <f t="shared" si="100"/>
        <v>1111463.2100521103</v>
      </c>
      <c r="M102" s="106">
        <f t="shared" si="100"/>
        <v>1144946.0392549301</v>
      </c>
      <c r="N102" s="106">
        <f t="shared" si="100"/>
        <v>1179437.5386874848</v>
      </c>
      <c r="O102" s="106">
        <f t="shared" si="100"/>
        <v>1214968.0945404454</v>
      </c>
      <c r="P102" s="106">
        <f t="shared" si="100"/>
        <v>1251569.0083884762</v>
      </c>
      <c r="Q102" s="106">
        <f t="shared" si="100"/>
        <v>1289272.5247661788</v>
      </c>
      <c r="R102" s="106">
        <f t="shared" si="100"/>
        <v>1328111.8595747603</v>
      </c>
      <c r="S102" s="106">
        <f t="shared" si="100"/>
        <v>1368121.2293444497</v>
      </c>
      <c r="T102" s="106">
        <f t="shared" si="100"/>
        <v>1409335.8813784514</v>
      </c>
      <c r="U102" s="106">
        <f t="shared" si="100"/>
        <v>1451792.1248049771</v>
      </c>
      <c r="V102" s="106">
        <f t="shared" si="100"/>
        <v>1495527.3625647272</v>
      </c>
      <c r="W102" s="106">
        <f t="shared" si="100"/>
        <v>1540580.1243619896</v>
      </c>
      <c r="X102" s="106">
        <f t="shared" si="100"/>
        <v>1586990.1006083945</v>
      </c>
      <c r="Y102" s="106">
        <f t="shared" si="100"/>
        <v>1634798.177389222</v>
      </c>
      <c r="Z102" s="106">
        <f t="shared" si="100"/>
        <v>1684046.4724830724</v>
      </c>
      <c r="AA102" s="106">
        <f t="shared" si="100"/>
        <v>1734778.3724666254</v>
      </c>
      <c r="AB102" s="106" t="str">
        <f t="shared" si="100"/>
        <v/>
      </c>
      <c r="AC102" s="106" t="str">
        <f t="shared" si="100"/>
        <v/>
      </c>
      <c r="AD102" s="106" t="str">
        <f t="shared" si="100"/>
        <v/>
      </c>
      <c r="AE102" s="106" t="str">
        <f t="shared" si="100"/>
        <v/>
      </c>
      <c r="AF102" s="106" t="str">
        <f t="shared" si="100"/>
        <v/>
      </c>
      <c r="AG102" s="106" t="str">
        <f t="shared" si="100"/>
        <v/>
      </c>
      <c r="AH102" s="106" t="str">
        <f t="shared" si="100"/>
        <v/>
      </c>
      <c r="AI102" s="106" t="str">
        <f t="shared" ref="AI102:BN102" si="101">IF(ISNUMBER(outYear),$B$11*(1+escalation_rate_nominal/100)^AI98,"")</f>
        <v/>
      </c>
      <c r="AJ102" s="106" t="str">
        <f t="shared" si="101"/>
        <v/>
      </c>
      <c r="AK102" s="106" t="str">
        <f t="shared" si="101"/>
        <v/>
      </c>
      <c r="AL102" s="106" t="str">
        <f t="shared" si="101"/>
        <v/>
      </c>
      <c r="AM102" s="106" t="str">
        <f t="shared" si="101"/>
        <v/>
      </c>
      <c r="AN102" s="106" t="str">
        <f t="shared" si="101"/>
        <v/>
      </c>
      <c r="AO102" s="106" t="str">
        <f t="shared" si="101"/>
        <v/>
      </c>
      <c r="AP102" s="106" t="str">
        <f t="shared" si="101"/>
        <v/>
      </c>
      <c r="AQ102" s="106" t="str">
        <f t="shared" si="101"/>
        <v/>
      </c>
      <c r="AR102" s="106" t="str">
        <f t="shared" si="101"/>
        <v/>
      </c>
      <c r="AS102" s="106" t="str">
        <f t="shared" si="101"/>
        <v/>
      </c>
      <c r="AT102" s="106" t="str">
        <f t="shared" si="101"/>
        <v/>
      </c>
      <c r="AU102" s="106" t="str">
        <f t="shared" si="101"/>
        <v/>
      </c>
      <c r="AV102" s="106" t="str">
        <f t="shared" si="101"/>
        <v/>
      </c>
      <c r="AW102" s="106" t="str">
        <f t="shared" si="101"/>
        <v/>
      </c>
      <c r="AX102" s="106" t="str">
        <f t="shared" si="101"/>
        <v/>
      </c>
      <c r="AY102" s="106" t="str">
        <f t="shared" si="101"/>
        <v/>
      </c>
      <c r="AZ102" s="106" t="str">
        <f t="shared" si="101"/>
        <v/>
      </c>
      <c r="BA102" s="106" t="str">
        <f t="shared" si="101"/>
        <v/>
      </c>
      <c r="BB102" s="106" t="str">
        <f t="shared" si="101"/>
        <v/>
      </c>
      <c r="BC102" s="106" t="str">
        <f t="shared" si="101"/>
        <v/>
      </c>
      <c r="BD102" s="106" t="str">
        <f t="shared" si="101"/>
        <v/>
      </c>
      <c r="BE102" s="106" t="str">
        <f t="shared" si="101"/>
        <v/>
      </c>
      <c r="BF102" s="106" t="str">
        <f t="shared" si="101"/>
        <v/>
      </c>
      <c r="BG102" s="106" t="str">
        <f t="shared" si="101"/>
        <v/>
      </c>
      <c r="BH102" s="106" t="str">
        <f t="shared" si="101"/>
        <v/>
      </c>
      <c r="BI102" s="106" t="str">
        <f t="shared" si="101"/>
        <v/>
      </c>
      <c r="BJ102" s="106" t="str">
        <f t="shared" si="101"/>
        <v/>
      </c>
      <c r="BK102" s="106" t="str">
        <f t="shared" si="101"/>
        <v/>
      </c>
      <c r="BL102" s="106" t="str">
        <f t="shared" si="101"/>
        <v/>
      </c>
      <c r="BM102" s="106" t="str">
        <f t="shared" si="101"/>
        <v/>
      </c>
      <c r="BN102" s="106" t="str">
        <f t="shared" si="101"/>
        <v/>
      </c>
      <c r="BO102" s="106" t="str">
        <f t="shared" ref="BO102:CX102" si="102">IF(ISNUMBER(outYear),$B$11*(1+escalation_rate_nominal/100)^BO98,"")</f>
        <v/>
      </c>
      <c r="BP102" s="106" t="str">
        <f t="shared" si="102"/>
        <v/>
      </c>
      <c r="BQ102" s="106" t="str">
        <f t="shared" si="102"/>
        <v/>
      </c>
      <c r="BR102" s="106" t="str">
        <f t="shared" si="102"/>
        <v/>
      </c>
      <c r="BS102" s="106" t="str">
        <f t="shared" si="102"/>
        <v/>
      </c>
      <c r="BT102" s="106" t="str">
        <f t="shared" si="102"/>
        <v/>
      </c>
      <c r="BU102" s="106" t="str">
        <f t="shared" si="102"/>
        <v/>
      </c>
      <c r="BV102" s="106" t="str">
        <f t="shared" si="102"/>
        <v/>
      </c>
      <c r="BW102" s="106" t="str">
        <f t="shared" si="102"/>
        <v/>
      </c>
      <c r="BX102" s="106" t="str">
        <f t="shared" si="102"/>
        <v/>
      </c>
      <c r="BY102" s="106" t="str">
        <f t="shared" si="102"/>
        <v/>
      </c>
      <c r="BZ102" s="106" t="str">
        <f t="shared" si="102"/>
        <v/>
      </c>
      <c r="CA102" s="106" t="str">
        <f t="shared" si="102"/>
        <v/>
      </c>
      <c r="CB102" s="106" t="str">
        <f t="shared" si="102"/>
        <v/>
      </c>
      <c r="CC102" s="106" t="str">
        <f t="shared" si="102"/>
        <v/>
      </c>
      <c r="CD102" s="106" t="str">
        <f t="shared" si="102"/>
        <v/>
      </c>
      <c r="CE102" s="106" t="str">
        <f t="shared" si="102"/>
        <v/>
      </c>
      <c r="CF102" s="106" t="str">
        <f t="shared" si="102"/>
        <v/>
      </c>
      <c r="CG102" s="106" t="str">
        <f t="shared" si="102"/>
        <v/>
      </c>
      <c r="CH102" s="106" t="str">
        <f t="shared" si="102"/>
        <v/>
      </c>
      <c r="CI102" s="106" t="str">
        <f t="shared" si="102"/>
        <v/>
      </c>
      <c r="CJ102" s="106" t="str">
        <f t="shared" si="102"/>
        <v/>
      </c>
      <c r="CK102" s="106" t="str">
        <f t="shared" si="102"/>
        <v/>
      </c>
      <c r="CL102" s="106" t="str">
        <f t="shared" si="102"/>
        <v/>
      </c>
      <c r="CM102" s="106" t="str">
        <f t="shared" si="102"/>
        <v/>
      </c>
      <c r="CN102" s="106" t="str">
        <f t="shared" si="102"/>
        <v/>
      </c>
      <c r="CO102" s="106" t="str">
        <f t="shared" si="102"/>
        <v/>
      </c>
      <c r="CP102" s="106" t="str">
        <f t="shared" si="102"/>
        <v/>
      </c>
      <c r="CQ102" s="106" t="str">
        <f t="shared" si="102"/>
        <v/>
      </c>
      <c r="CR102" s="106" t="str">
        <f t="shared" si="102"/>
        <v/>
      </c>
      <c r="CS102" s="106" t="str">
        <f t="shared" si="102"/>
        <v/>
      </c>
      <c r="CT102" s="106" t="str">
        <f t="shared" si="102"/>
        <v/>
      </c>
      <c r="CU102" s="106" t="str">
        <f t="shared" si="102"/>
        <v/>
      </c>
      <c r="CV102" s="106" t="str">
        <f t="shared" si="102"/>
        <v/>
      </c>
      <c r="CW102" s="106" t="str">
        <f t="shared" si="102"/>
        <v/>
      </c>
      <c r="CX102" s="106" t="str">
        <f t="shared" si="102"/>
        <v/>
      </c>
    </row>
    <row r="103" spans="1:1025" ht="12.75" customHeight="1" x14ac:dyDescent="0.2">
      <c r="A103" s="103" t="s">
        <v>82</v>
      </c>
      <c r="B103" s="104"/>
      <c r="C103" s="105">
        <f t="shared" ref="C103:AH103" si="103">IF(ISNUMBER(outYear),$B$12*(1+escalation_rate_nominal/100)^C98,"")</f>
        <v>806809.35187499993</v>
      </c>
      <c r="D103" s="106">
        <f t="shared" si="103"/>
        <v>831114.48360023438</v>
      </c>
      <c r="E103" s="106">
        <f t="shared" si="103"/>
        <v>856151.80741869134</v>
      </c>
      <c r="F103" s="106">
        <f t="shared" si="103"/>
        <v>881943.38061717944</v>
      </c>
      <c r="G103" s="106">
        <f t="shared" si="103"/>
        <v>908511.92495827202</v>
      </c>
      <c r="H103" s="106">
        <f t="shared" si="103"/>
        <v>935880.84669763991</v>
      </c>
      <c r="I103" s="106">
        <f t="shared" si="103"/>
        <v>964074.2572044062</v>
      </c>
      <c r="J103" s="106">
        <f t="shared" si="103"/>
        <v>993116.99420268903</v>
      </c>
      <c r="K103" s="106">
        <f t="shared" si="103"/>
        <v>1023034.6436530451</v>
      </c>
      <c r="L103" s="106">
        <f t="shared" si="103"/>
        <v>1053853.562293093</v>
      </c>
      <c r="M103" s="106">
        <f t="shared" si="103"/>
        <v>1085600.9008571724</v>
      </c>
      <c r="N103" s="106">
        <f t="shared" si="103"/>
        <v>1118304.6279954945</v>
      </c>
      <c r="O103" s="106">
        <f t="shared" si="103"/>
        <v>1151993.5549138591</v>
      </c>
      <c r="P103" s="106">
        <f t="shared" si="103"/>
        <v>1186697.3607556389</v>
      </c>
      <c r="Q103" s="106">
        <f t="shared" si="103"/>
        <v>1222446.6187484025</v>
      </c>
      <c r="R103" s="106">
        <f t="shared" si="103"/>
        <v>1259272.8231381981</v>
      </c>
      <c r="S103" s="106">
        <f t="shared" si="103"/>
        <v>1297208.4169352364</v>
      </c>
      <c r="T103" s="106">
        <f t="shared" si="103"/>
        <v>1336286.8204954104</v>
      </c>
      <c r="U103" s="106">
        <f t="shared" si="103"/>
        <v>1376542.4609628345</v>
      </c>
      <c r="V103" s="106">
        <f t="shared" si="103"/>
        <v>1418010.80259934</v>
      </c>
      <c r="W103" s="106">
        <f t="shared" si="103"/>
        <v>1460728.3780276452</v>
      </c>
      <c r="X103" s="106">
        <f t="shared" si="103"/>
        <v>1504732.8204157278</v>
      </c>
      <c r="Y103" s="106">
        <f t="shared" si="103"/>
        <v>1550062.8966307514</v>
      </c>
      <c r="Z103" s="106">
        <f t="shared" si="103"/>
        <v>1596758.5413917529</v>
      </c>
      <c r="AA103" s="106">
        <f t="shared" si="103"/>
        <v>1644860.8924511797</v>
      </c>
      <c r="AB103" s="106" t="str">
        <f t="shared" si="103"/>
        <v/>
      </c>
      <c r="AC103" s="106" t="str">
        <f t="shared" si="103"/>
        <v/>
      </c>
      <c r="AD103" s="106" t="str">
        <f t="shared" si="103"/>
        <v/>
      </c>
      <c r="AE103" s="106" t="str">
        <f t="shared" si="103"/>
        <v/>
      </c>
      <c r="AF103" s="106" t="str">
        <f t="shared" si="103"/>
        <v/>
      </c>
      <c r="AG103" s="106" t="str">
        <f t="shared" si="103"/>
        <v/>
      </c>
      <c r="AH103" s="106" t="str">
        <f t="shared" si="103"/>
        <v/>
      </c>
      <c r="AI103" s="106" t="str">
        <f t="shared" ref="AI103:BN103" si="104">IF(ISNUMBER(outYear),$B$12*(1+escalation_rate_nominal/100)^AI98,"")</f>
        <v/>
      </c>
      <c r="AJ103" s="106" t="str">
        <f t="shared" si="104"/>
        <v/>
      </c>
      <c r="AK103" s="106" t="str">
        <f t="shared" si="104"/>
        <v/>
      </c>
      <c r="AL103" s="106" t="str">
        <f t="shared" si="104"/>
        <v/>
      </c>
      <c r="AM103" s="106" t="str">
        <f t="shared" si="104"/>
        <v/>
      </c>
      <c r="AN103" s="106" t="str">
        <f t="shared" si="104"/>
        <v/>
      </c>
      <c r="AO103" s="106" t="str">
        <f t="shared" si="104"/>
        <v/>
      </c>
      <c r="AP103" s="106" t="str">
        <f t="shared" si="104"/>
        <v/>
      </c>
      <c r="AQ103" s="106" t="str">
        <f t="shared" si="104"/>
        <v/>
      </c>
      <c r="AR103" s="106" t="str">
        <f t="shared" si="104"/>
        <v/>
      </c>
      <c r="AS103" s="106" t="str">
        <f t="shared" si="104"/>
        <v/>
      </c>
      <c r="AT103" s="106" t="str">
        <f t="shared" si="104"/>
        <v/>
      </c>
      <c r="AU103" s="106" t="str">
        <f t="shared" si="104"/>
        <v/>
      </c>
      <c r="AV103" s="106" t="str">
        <f t="shared" si="104"/>
        <v/>
      </c>
      <c r="AW103" s="106" t="str">
        <f t="shared" si="104"/>
        <v/>
      </c>
      <c r="AX103" s="106" t="str">
        <f t="shared" si="104"/>
        <v/>
      </c>
      <c r="AY103" s="106" t="str">
        <f t="shared" si="104"/>
        <v/>
      </c>
      <c r="AZ103" s="106" t="str">
        <f t="shared" si="104"/>
        <v/>
      </c>
      <c r="BA103" s="106" t="str">
        <f t="shared" si="104"/>
        <v/>
      </c>
      <c r="BB103" s="106" t="str">
        <f t="shared" si="104"/>
        <v/>
      </c>
      <c r="BC103" s="106" t="str">
        <f t="shared" si="104"/>
        <v/>
      </c>
      <c r="BD103" s="106" t="str">
        <f t="shared" si="104"/>
        <v/>
      </c>
      <c r="BE103" s="106" t="str">
        <f t="shared" si="104"/>
        <v/>
      </c>
      <c r="BF103" s="106" t="str">
        <f t="shared" si="104"/>
        <v/>
      </c>
      <c r="BG103" s="106" t="str">
        <f t="shared" si="104"/>
        <v/>
      </c>
      <c r="BH103" s="106" t="str">
        <f t="shared" si="104"/>
        <v/>
      </c>
      <c r="BI103" s="106" t="str">
        <f t="shared" si="104"/>
        <v/>
      </c>
      <c r="BJ103" s="106" t="str">
        <f t="shared" si="104"/>
        <v/>
      </c>
      <c r="BK103" s="106" t="str">
        <f t="shared" si="104"/>
        <v/>
      </c>
      <c r="BL103" s="106" t="str">
        <f t="shared" si="104"/>
        <v/>
      </c>
      <c r="BM103" s="106" t="str">
        <f t="shared" si="104"/>
        <v/>
      </c>
      <c r="BN103" s="106" t="str">
        <f t="shared" si="104"/>
        <v/>
      </c>
      <c r="BO103" s="106" t="str">
        <f t="shared" ref="BO103:CX103" si="105">IF(ISNUMBER(outYear),$B$12*(1+escalation_rate_nominal/100)^BO98,"")</f>
        <v/>
      </c>
      <c r="BP103" s="106" t="str">
        <f t="shared" si="105"/>
        <v/>
      </c>
      <c r="BQ103" s="106" t="str">
        <f t="shared" si="105"/>
        <v/>
      </c>
      <c r="BR103" s="106" t="str">
        <f t="shared" si="105"/>
        <v/>
      </c>
      <c r="BS103" s="106" t="str">
        <f t="shared" si="105"/>
        <v/>
      </c>
      <c r="BT103" s="106" t="str">
        <f t="shared" si="105"/>
        <v/>
      </c>
      <c r="BU103" s="106" t="str">
        <f t="shared" si="105"/>
        <v/>
      </c>
      <c r="BV103" s="106" t="str">
        <f t="shared" si="105"/>
        <v/>
      </c>
      <c r="BW103" s="106" t="str">
        <f t="shared" si="105"/>
        <v/>
      </c>
      <c r="BX103" s="106" t="str">
        <f t="shared" si="105"/>
        <v/>
      </c>
      <c r="BY103" s="106" t="str">
        <f t="shared" si="105"/>
        <v/>
      </c>
      <c r="BZ103" s="106" t="str">
        <f t="shared" si="105"/>
        <v/>
      </c>
      <c r="CA103" s="106" t="str">
        <f t="shared" si="105"/>
        <v/>
      </c>
      <c r="CB103" s="106" t="str">
        <f t="shared" si="105"/>
        <v/>
      </c>
      <c r="CC103" s="106" t="str">
        <f t="shared" si="105"/>
        <v/>
      </c>
      <c r="CD103" s="106" t="str">
        <f t="shared" si="105"/>
        <v/>
      </c>
      <c r="CE103" s="106" t="str">
        <f t="shared" si="105"/>
        <v/>
      </c>
      <c r="CF103" s="106" t="str">
        <f t="shared" si="105"/>
        <v/>
      </c>
      <c r="CG103" s="106" t="str">
        <f t="shared" si="105"/>
        <v/>
      </c>
      <c r="CH103" s="106" t="str">
        <f t="shared" si="105"/>
        <v/>
      </c>
      <c r="CI103" s="106" t="str">
        <f t="shared" si="105"/>
        <v/>
      </c>
      <c r="CJ103" s="106" t="str">
        <f t="shared" si="105"/>
        <v/>
      </c>
      <c r="CK103" s="106" t="str">
        <f t="shared" si="105"/>
        <v/>
      </c>
      <c r="CL103" s="106" t="str">
        <f t="shared" si="105"/>
        <v/>
      </c>
      <c r="CM103" s="106" t="str">
        <f t="shared" si="105"/>
        <v/>
      </c>
      <c r="CN103" s="106" t="str">
        <f t="shared" si="105"/>
        <v/>
      </c>
      <c r="CO103" s="106" t="str">
        <f t="shared" si="105"/>
        <v/>
      </c>
      <c r="CP103" s="106" t="str">
        <f t="shared" si="105"/>
        <v/>
      </c>
      <c r="CQ103" s="106" t="str">
        <f t="shared" si="105"/>
        <v/>
      </c>
      <c r="CR103" s="106" t="str">
        <f t="shared" si="105"/>
        <v/>
      </c>
      <c r="CS103" s="106" t="str">
        <f t="shared" si="105"/>
        <v/>
      </c>
      <c r="CT103" s="106" t="str">
        <f t="shared" si="105"/>
        <v/>
      </c>
      <c r="CU103" s="106" t="str">
        <f t="shared" si="105"/>
        <v/>
      </c>
      <c r="CV103" s="106" t="str">
        <f t="shared" si="105"/>
        <v/>
      </c>
      <c r="CW103" s="106" t="str">
        <f t="shared" si="105"/>
        <v/>
      </c>
      <c r="CX103" s="106" t="str">
        <f t="shared" si="105"/>
        <v/>
      </c>
    </row>
    <row r="104" spans="1:1025" ht="12.75" customHeight="1" x14ac:dyDescent="0.2">
      <c r="A104" s="103" t="s">
        <v>83</v>
      </c>
      <c r="B104" s="104"/>
      <c r="C104" s="105">
        <f t="shared" ref="C104:AH104" si="106">IF(ISNUMBER(outYear),$B$13*((1+escalation_rate_nominal/100)^C98)*(1-pv_degradation/100)^C98,"")</f>
        <v>-10762.2309375</v>
      </c>
      <c r="D104" s="106">
        <f t="shared" si="106"/>
        <v>-11031.010928769727</v>
      </c>
      <c r="E104" s="106">
        <f t="shared" si="106"/>
        <v>-11306.50353233392</v>
      </c>
      <c r="F104" s="106">
        <f t="shared" si="106"/>
        <v>-11588.876391489253</v>
      </c>
      <c r="G104" s="106">
        <f t="shared" si="106"/>
        <v>-11878.301336318951</v>
      </c>
      <c r="H104" s="106">
        <f t="shared" si="106"/>
        <v>-12174.954488255182</v>
      </c>
      <c r="I104" s="106">
        <f t="shared" si="106"/>
        <v>-12479.016367252798</v>
      </c>
      <c r="J104" s="106">
        <f t="shared" si="106"/>
        <v>-12790.672001639708</v>
      </c>
      <c r="K104" s="106">
        <f t="shared" si="106"/>
        <v>-13110.111040710659</v>
      </c>
      <c r="L104" s="106">
        <f t="shared" si="106"/>
        <v>-13437.527870133006</v>
      </c>
      <c r="M104" s="106">
        <f t="shared" si="106"/>
        <v>-13773.121730234658</v>
      </c>
      <c r="N104" s="106">
        <f t="shared" si="106"/>
        <v>-14117.096837246188</v>
      </c>
      <c r="O104" s="106">
        <f t="shared" si="106"/>
        <v>-14469.662507570891</v>
      </c>
      <c r="P104" s="106">
        <f t="shared" si="106"/>
        <v>-14831.033285158408</v>
      </c>
      <c r="Q104" s="106">
        <f t="shared" si="106"/>
        <v>-15201.429072059433</v>
      </c>
      <c r="R104" s="106">
        <f t="shared" si="106"/>
        <v>-15581.075262240947</v>
      </c>
      <c r="S104" s="106">
        <f t="shared" si="106"/>
        <v>-15970.202878743376</v>
      </c>
      <c r="T104" s="106">
        <f t="shared" si="106"/>
        <v>-16369.04871426319</v>
      </c>
      <c r="U104" s="106">
        <f t="shared" si="106"/>
        <v>-16777.85547524647</v>
      </c>
      <c r="V104" s="106">
        <f t="shared" si="106"/>
        <v>-17196.871929581077</v>
      </c>
      <c r="W104" s="106">
        <f t="shared" si="106"/>
        <v>-17626.353057977409</v>
      </c>
      <c r="X104" s="106">
        <f t="shared" si="106"/>
        <v>-18066.560209129733</v>
      </c>
      <c r="Y104" s="106">
        <f t="shared" si="106"/>
        <v>-18517.761258752616</v>
      </c>
      <c r="Z104" s="106">
        <f t="shared" si="106"/>
        <v>-18980.230772589177</v>
      </c>
      <c r="AA104" s="106">
        <f t="shared" si="106"/>
        <v>-19454.250173490364</v>
      </c>
      <c r="AB104" s="106" t="str">
        <f t="shared" si="106"/>
        <v/>
      </c>
      <c r="AC104" s="106" t="str">
        <f t="shared" si="106"/>
        <v/>
      </c>
      <c r="AD104" s="106" t="str">
        <f t="shared" si="106"/>
        <v/>
      </c>
      <c r="AE104" s="106" t="str">
        <f t="shared" si="106"/>
        <v/>
      </c>
      <c r="AF104" s="106" t="str">
        <f t="shared" si="106"/>
        <v/>
      </c>
      <c r="AG104" s="106" t="str">
        <f t="shared" si="106"/>
        <v/>
      </c>
      <c r="AH104" s="106" t="str">
        <f t="shared" si="106"/>
        <v/>
      </c>
      <c r="AI104" s="106" t="str">
        <f t="shared" ref="AI104:BN104" si="107">IF(ISNUMBER(outYear),$B$13*((1+escalation_rate_nominal/100)^AI98)*(1-pv_degradation/100)^AI98,"")</f>
        <v/>
      </c>
      <c r="AJ104" s="106" t="str">
        <f t="shared" si="107"/>
        <v/>
      </c>
      <c r="AK104" s="106" t="str">
        <f t="shared" si="107"/>
        <v/>
      </c>
      <c r="AL104" s="106" t="str">
        <f t="shared" si="107"/>
        <v/>
      </c>
      <c r="AM104" s="106" t="str">
        <f t="shared" si="107"/>
        <v/>
      </c>
      <c r="AN104" s="106" t="str">
        <f t="shared" si="107"/>
        <v/>
      </c>
      <c r="AO104" s="106" t="str">
        <f t="shared" si="107"/>
        <v/>
      </c>
      <c r="AP104" s="106" t="str">
        <f t="shared" si="107"/>
        <v/>
      </c>
      <c r="AQ104" s="106" t="str">
        <f t="shared" si="107"/>
        <v/>
      </c>
      <c r="AR104" s="106" t="str">
        <f t="shared" si="107"/>
        <v/>
      </c>
      <c r="AS104" s="106" t="str">
        <f t="shared" si="107"/>
        <v/>
      </c>
      <c r="AT104" s="106" t="str">
        <f t="shared" si="107"/>
        <v/>
      </c>
      <c r="AU104" s="106" t="str">
        <f t="shared" si="107"/>
        <v/>
      </c>
      <c r="AV104" s="106" t="str">
        <f t="shared" si="107"/>
        <v/>
      </c>
      <c r="AW104" s="106" t="str">
        <f t="shared" si="107"/>
        <v/>
      </c>
      <c r="AX104" s="106" t="str">
        <f t="shared" si="107"/>
        <v/>
      </c>
      <c r="AY104" s="106" t="str">
        <f t="shared" si="107"/>
        <v/>
      </c>
      <c r="AZ104" s="106" t="str">
        <f t="shared" si="107"/>
        <v/>
      </c>
      <c r="BA104" s="106" t="str">
        <f t="shared" si="107"/>
        <v/>
      </c>
      <c r="BB104" s="106" t="str">
        <f t="shared" si="107"/>
        <v/>
      </c>
      <c r="BC104" s="106" t="str">
        <f t="shared" si="107"/>
        <v/>
      </c>
      <c r="BD104" s="106" t="str">
        <f t="shared" si="107"/>
        <v/>
      </c>
      <c r="BE104" s="106" t="str">
        <f t="shared" si="107"/>
        <v/>
      </c>
      <c r="BF104" s="106" t="str">
        <f t="shared" si="107"/>
        <v/>
      </c>
      <c r="BG104" s="106" t="str">
        <f t="shared" si="107"/>
        <v/>
      </c>
      <c r="BH104" s="106" t="str">
        <f t="shared" si="107"/>
        <v/>
      </c>
      <c r="BI104" s="106" t="str">
        <f t="shared" si="107"/>
        <v/>
      </c>
      <c r="BJ104" s="106" t="str">
        <f t="shared" si="107"/>
        <v/>
      </c>
      <c r="BK104" s="106" t="str">
        <f t="shared" si="107"/>
        <v/>
      </c>
      <c r="BL104" s="106" t="str">
        <f t="shared" si="107"/>
        <v/>
      </c>
      <c r="BM104" s="106" t="str">
        <f t="shared" si="107"/>
        <v/>
      </c>
      <c r="BN104" s="106" t="str">
        <f t="shared" si="107"/>
        <v/>
      </c>
      <c r="BO104" s="106" t="str">
        <f t="shared" ref="BO104:CX104" si="108">IF(ISNUMBER(outYear),$B$13*((1+escalation_rate_nominal/100)^BO98)*(1-pv_degradation/100)^BO98,"")</f>
        <v/>
      </c>
      <c r="BP104" s="106" t="str">
        <f t="shared" si="108"/>
        <v/>
      </c>
      <c r="BQ104" s="106" t="str">
        <f t="shared" si="108"/>
        <v/>
      </c>
      <c r="BR104" s="106" t="str">
        <f t="shared" si="108"/>
        <v/>
      </c>
      <c r="BS104" s="106" t="str">
        <f t="shared" si="108"/>
        <v/>
      </c>
      <c r="BT104" s="106" t="str">
        <f t="shared" si="108"/>
        <v/>
      </c>
      <c r="BU104" s="106" t="str">
        <f t="shared" si="108"/>
        <v/>
      </c>
      <c r="BV104" s="106" t="str">
        <f t="shared" si="108"/>
        <v/>
      </c>
      <c r="BW104" s="106" t="str">
        <f t="shared" si="108"/>
        <v/>
      </c>
      <c r="BX104" s="106" t="str">
        <f t="shared" si="108"/>
        <v/>
      </c>
      <c r="BY104" s="106" t="str">
        <f t="shared" si="108"/>
        <v/>
      </c>
      <c r="BZ104" s="106" t="str">
        <f t="shared" si="108"/>
        <v/>
      </c>
      <c r="CA104" s="106" t="str">
        <f t="shared" si="108"/>
        <v/>
      </c>
      <c r="CB104" s="106" t="str">
        <f t="shared" si="108"/>
        <v/>
      </c>
      <c r="CC104" s="106" t="str">
        <f t="shared" si="108"/>
        <v/>
      </c>
      <c r="CD104" s="106" t="str">
        <f t="shared" si="108"/>
        <v/>
      </c>
      <c r="CE104" s="106" t="str">
        <f t="shared" si="108"/>
        <v/>
      </c>
      <c r="CF104" s="106" t="str">
        <f t="shared" si="108"/>
        <v/>
      </c>
      <c r="CG104" s="106" t="str">
        <f t="shared" si="108"/>
        <v/>
      </c>
      <c r="CH104" s="106" t="str">
        <f t="shared" si="108"/>
        <v/>
      </c>
      <c r="CI104" s="106" t="str">
        <f t="shared" si="108"/>
        <v/>
      </c>
      <c r="CJ104" s="106" t="str">
        <f t="shared" si="108"/>
        <v/>
      </c>
      <c r="CK104" s="106" t="str">
        <f t="shared" si="108"/>
        <v/>
      </c>
      <c r="CL104" s="106" t="str">
        <f t="shared" si="108"/>
        <v/>
      </c>
      <c r="CM104" s="106" t="str">
        <f t="shared" si="108"/>
        <v/>
      </c>
      <c r="CN104" s="106" t="str">
        <f t="shared" si="108"/>
        <v/>
      </c>
      <c r="CO104" s="106" t="str">
        <f t="shared" si="108"/>
        <v/>
      </c>
      <c r="CP104" s="106" t="str">
        <f t="shared" si="108"/>
        <v/>
      </c>
      <c r="CQ104" s="106" t="str">
        <f t="shared" si="108"/>
        <v/>
      </c>
      <c r="CR104" s="106" t="str">
        <f t="shared" si="108"/>
        <v/>
      </c>
      <c r="CS104" s="106" t="str">
        <f t="shared" si="108"/>
        <v/>
      </c>
      <c r="CT104" s="106" t="str">
        <f t="shared" si="108"/>
        <v/>
      </c>
      <c r="CU104" s="106" t="str">
        <f t="shared" si="108"/>
        <v/>
      </c>
      <c r="CV104" s="106" t="str">
        <f t="shared" si="108"/>
        <v/>
      </c>
      <c r="CW104" s="106" t="str">
        <f t="shared" si="108"/>
        <v/>
      </c>
      <c r="CX104" s="106" t="str">
        <f t="shared" si="108"/>
        <v/>
      </c>
    </row>
    <row r="105" spans="1:1025" ht="12.75" customHeight="1" x14ac:dyDescent="0.2">
      <c r="A105" s="103" t="s">
        <v>84</v>
      </c>
      <c r="B105" s="104">
        <v>0</v>
      </c>
      <c r="C105" s="105">
        <f t="shared" ref="C105:AH105" si="109">IF(C98&lt;=analysis_period,C102-(C103 + C104),"")</f>
        <v>54867.032812500023</v>
      </c>
      <c r="D105" s="106">
        <f t="shared" si="109"/>
        <v>56464.469960254035</v>
      </c>
      <c r="E105" s="106">
        <f t="shared" si="109"/>
        <v>58108.645517141675</v>
      </c>
      <c r="F105" s="106">
        <f t="shared" si="109"/>
        <v>59800.932903589448</v>
      </c>
      <c r="G105" s="106">
        <f t="shared" si="109"/>
        <v>61542.746050846181</v>
      </c>
      <c r="H105" s="106">
        <f t="shared" si="109"/>
        <v>63335.540599807515</v>
      </c>
      <c r="I105" s="106">
        <f t="shared" si="109"/>
        <v>65180.815135415643</v>
      </c>
      <c r="J105" s="106">
        <f t="shared" si="109"/>
        <v>67080.112457693438</v>
      </c>
      <c r="K105" s="106">
        <f t="shared" si="109"/>
        <v>69035.020890503074</v>
      </c>
      <c r="L105" s="106">
        <f t="shared" si="109"/>
        <v>71047.175629150355</v>
      </c>
      <c r="M105" s="106">
        <f t="shared" si="109"/>
        <v>73118.260127992369</v>
      </c>
      <c r="N105" s="106">
        <f t="shared" si="109"/>
        <v>75250.007529236376</v>
      </c>
      <c r="O105" s="106">
        <f t="shared" si="109"/>
        <v>77444.202134157065</v>
      </c>
      <c r="P105" s="106">
        <f t="shared" si="109"/>
        <v>79702.680917995749</v>
      </c>
      <c r="Q105" s="106">
        <f t="shared" si="109"/>
        <v>82027.335089835804</v>
      </c>
      <c r="R105" s="106">
        <f t="shared" si="109"/>
        <v>84420.111698803026</v>
      </c>
      <c r="S105" s="106">
        <f t="shared" si="109"/>
        <v>86883.015287956689</v>
      </c>
      <c r="T105" s="106">
        <f t="shared" si="109"/>
        <v>89418.109597304137</v>
      </c>
      <c r="U105" s="106">
        <f t="shared" si="109"/>
        <v>92027.519317389</v>
      </c>
      <c r="V105" s="106">
        <f t="shared" si="109"/>
        <v>94713.431894968264</v>
      </c>
      <c r="W105" s="106">
        <f t="shared" si="109"/>
        <v>97478.099392321892</v>
      </c>
      <c r="X105" s="106">
        <f t="shared" si="109"/>
        <v>100323.84040179639</v>
      </c>
      <c r="Y105" s="106">
        <f t="shared" si="109"/>
        <v>103253.04201722308</v>
      </c>
      <c r="Z105" s="106">
        <f t="shared" si="109"/>
        <v>106268.16186390864</v>
      </c>
      <c r="AA105" s="106">
        <f t="shared" si="109"/>
        <v>109371.730188936</v>
      </c>
      <c r="AB105" s="106" t="str">
        <f t="shared" si="109"/>
        <v/>
      </c>
      <c r="AC105" s="106" t="str">
        <f t="shared" si="109"/>
        <v/>
      </c>
      <c r="AD105" s="106" t="str">
        <f t="shared" si="109"/>
        <v/>
      </c>
      <c r="AE105" s="106" t="str">
        <f t="shared" si="109"/>
        <v/>
      </c>
      <c r="AF105" s="106" t="str">
        <f t="shared" si="109"/>
        <v/>
      </c>
      <c r="AG105" s="106" t="str">
        <f t="shared" si="109"/>
        <v/>
      </c>
      <c r="AH105" s="106" t="str">
        <f t="shared" si="109"/>
        <v/>
      </c>
      <c r="AI105" s="106" t="str">
        <f t="shared" ref="AI105:BN105" si="110">IF(AI98&lt;=analysis_period,AI102-(AI103 + AI104),"")</f>
        <v/>
      </c>
      <c r="AJ105" s="106" t="str">
        <f t="shared" si="110"/>
        <v/>
      </c>
      <c r="AK105" s="106" t="str">
        <f t="shared" si="110"/>
        <v/>
      </c>
      <c r="AL105" s="106" t="str">
        <f t="shared" si="110"/>
        <v/>
      </c>
      <c r="AM105" s="106" t="str">
        <f t="shared" si="110"/>
        <v/>
      </c>
      <c r="AN105" s="106" t="str">
        <f t="shared" si="110"/>
        <v/>
      </c>
      <c r="AO105" s="106" t="str">
        <f t="shared" si="110"/>
        <v/>
      </c>
      <c r="AP105" s="106" t="str">
        <f t="shared" si="110"/>
        <v/>
      </c>
      <c r="AQ105" s="106" t="str">
        <f t="shared" si="110"/>
        <v/>
      </c>
      <c r="AR105" s="106" t="str">
        <f t="shared" si="110"/>
        <v/>
      </c>
      <c r="AS105" s="106" t="str">
        <f t="shared" si="110"/>
        <v/>
      </c>
      <c r="AT105" s="106" t="str">
        <f t="shared" si="110"/>
        <v/>
      </c>
      <c r="AU105" s="106" t="str">
        <f t="shared" si="110"/>
        <v/>
      </c>
      <c r="AV105" s="106" t="str">
        <f t="shared" si="110"/>
        <v/>
      </c>
      <c r="AW105" s="106" t="str">
        <f t="shared" si="110"/>
        <v/>
      </c>
      <c r="AX105" s="106" t="str">
        <f t="shared" si="110"/>
        <v/>
      </c>
      <c r="AY105" s="106" t="str">
        <f t="shared" si="110"/>
        <v/>
      </c>
      <c r="AZ105" s="106" t="str">
        <f t="shared" si="110"/>
        <v/>
      </c>
      <c r="BA105" s="106" t="str">
        <f t="shared" si="110"/>
        <v/>
      </c>
      <c r="BB105" s="106" t="str">
        <f t="shared" si="110"/>
        <v/>
      </c>
      <c r="BC105" s="106" t="str">
        <f t="shared" si="110"/>
        <v/>
      </c>
      <c r="BD105" s="106" t="str">
        <f t="shared" si="110"/>
        <v/>
      </c>
      <c r="BE105" s="106" t="str">
        <f t="shared" si="110"/>
        <v/>
      </c>
      <c r="BF105" s="106" t="str">
        <f t="shared" si="110"/>
        <v/>
      </c>
      <c r="BG105" s="106" t="str">
        <f t="shared" si="110"/>
        <v/>
      </c>
      <c r="BH105" s="106" t="str">
        <f t="shared" si="110"/>
        <v/>
      </c>
      <c r="BI105" s="106" t="str">
        <f t="shared" si="110"/>
        <v/>
      </c>
      <c r="BJ105" s="106" t="str">
        <f t="shared" si="110"/>
        <v/>
      </c>
      <c r="BK105" s="106" t="str">
        <f t="shared" si="110"/>
        <v/>
      </c>
      <c r="BL105" s="106" t="str">
        <f t="shared" si="110"/>
        <v/>
      </c>
      <c r="BM105" s="106" t="str">
        <f t="shared" si="110"/>
        <v/>
      </c>
      <c r="BN105" s="106" t="str">
        <f t="shared" si="110"/>
        <v/>
      </c>
      <c r="BO105" s="106" t="str">
        <f t="shared" ref="BO105:CT105" si="111">IF(BO98&lt;=analysis_period,BO102-(BO103 + BO104),"")</f>
        <v/>
      </c>
      <c r="BP105" s="106" t="str">
        <f t="shared" si="111"/>
        <v/>
      </c>
      <c r="BQ105" s="106" t="str">
        <f t="shared" si="111"/>
        <v/>
      </c>
      <c r="BR105" s="106" t="str">
        <f t="shared" si="111"/>
        <v/>
      </c>
      <c r="BS105" s="106" t="str">
        <f t="shared" si="111"/>
        <v/>
      </c>
      <c r="BT105" s="106" t="str">
        <f t="shared" si="111"/>
        <v/>
      </c>
      <c r="BU105" s="106" t="str">
        <f t="shared" si="111"/>
        <v/>
      </c>
      <c r="BV105" s="106" t="str">
        <f t="shared" si="111"/>
        <v/>
      </c>
      <c r="BW105" s="106" t="str">
        <f t="shared" si="111"/>
        <v/>
      </c>
      <c r="BX105" s="106" t="str">
        <f t="shared" si="111"/>
        <v/>
      </c>
      <c r="BY105" s="106" t="str">
        <f t="shared" si="111"/>
        <v/>
      </c>
      <c r="BZ105" s="106" t="str">
        <f t="shared" si="111"/>
        <v/>
      </c>
      <c r="CA105" s="106" t="str">
        <f t="shared" si="111"/>
        <v/>
      </c>
      <c r="CB105" s="106" t="str">
        <f t="shared" si="111"/>
        <v/>
      </c>
      <c r="CC105" s="106" t="str">
        <f t="shared" si="111"/>
        <v/>
      </c>
      <c r="CD105" s="106" t="str">
        <f t="shared" si="111"/>
        <v/>
      </c>
      <c r="CE105" s="106" t="str">
        <f t="shared" si="111"/>
        <v/>
      </c>
      <c r="CF105" s="106" t="str">
        <f t="shared" si="111"/>
        <v/>
      </c>
      <c r="CG105" s="106" t="str">
        <f t="shared" si="111"/>
        <v/>
      </c>
      <c r="CH105" s="106" t="str">
        <f t="shared" si="111"/>
        <v/>
      </c>
      <c r="CI105" s="106" t="str">
        <f t="shared" si="111"/>
        <v/>
      </c>
      <c r="CJ105" s="106" t="str">
        <f t="shared" si="111"/>
        <v/>
      </c>
      <c r="CK105" s="106" t="str">
        <f t="shared" si="111"/>
        <v/>
      </c>
      <c r="CL105" s="106" t="str">
        <f t="shared" si="111"/>
        <v/>
      </c>
      <c r="CM105" s="106" t="str">
        <f t="shared" si="111"/>
        <v/>
      </c>
      <c r="CN105" s="106" t="str">
        <f t="shared" si="111"/>
        <v/>
      </c>
      <c r="CO105" s="106" t="str">
        <f t="shared" si="111"/>
        <v/>
      </c>
      <c r="CP105" s="106" t="str">
        <f t="shared" si="111"/>
        <v/>
      </c>
      <c r="CQ105" s="106" t="str">
        <f t="shared" si="111"/>
        <v/>
      </c>
      <c r="CR105" s="106" t="str">
        <f t="shared" si="111"/>
        <v/>
      </c>
      <c r="CS105" s="106" t="str">
        <f t="shared" si="111"/>
        <v/>
      </c>
      <c r="CT105" s="106" t="str">
        <f t="shared" si="111"/>
        <v/>
      </c>
      <c r="CU105" s="106" t="str">
        <f t="shared" ref="CU105:CX105" si="112">IF(CU98&lt;=analysis_period,CU102-(CU103 + CU104),"")</f>
        <v/>
      </c>
      <c r="CV105" s="106" t="str">
        <f t="shared" si="112"/>
        <v/>
      </c>
      <c r="CW105" s="106" t="str">
        <f t="shared" si="112"/>
        <v/>
      </c>
      <c r="CX105" s="106" t="str">
        <f t="shared" si="112"/>
        <v/>
      </c>
    </row>
    <row r="106" spans="1:1025" ht="12.75" customHeight="1" x14ac:dyDescent="0.2">
      <c r="A106" s="103" t="s">
        <v>85</v>
      </c>
      <c r="B106" s="107">
        <v>0</v>
      </c>
      <c r="C106" s="97">
        <f t="shared" ref="C106:J106" si="113">IF(ISNUMBER(outYear),IF(FederalDepreciation=5,H93,IF(FederalDepreciation=7,H94,0)),"")</f>
        <v>0.2</v>
      </c>
      <c r="D106" s="97">
        <f t="shared" si="113"/>
        <v>0.32</v>
      </c>
      <c r="E106" s="97">
        <f t="shared" si="113"/>
        <v>0.192</v>
      </c>
      <c r="F106" s="97">
        <f t="shared" si="113"/>
        <v>0.1152</v>
      </c>
      <c r="G106" s="97">
        <f t="shared" si="113"/>
        <v>0.1152</v>
      </c>
      <c r="H106" s="97">
        <f t="shared" si="113"/>
        <v>5.7599999999999998E-2</v>
      </c>
      <c r="I106" s="97">
        <f t="shared" si="113"/>
        <v>0</v>
      </c>
      <c r="J106" s="97">
        <f t="shared" si="113"/>
        <v>0</v>
      </c>
      <c r="K106" s="97">
        <f t="shared" ref="K106:AH106" si="114">IF(ISNUMBER(outYear),IF(FederalDepreciation=5,P85,IF(FederalDepreciation=7,P86,0)),"")</f>
        <v>0</v>
      </c>
      <c r="L106" s="97">
        <f t="shared" si="114"/>
        <v>0</v>
      </c>
      <c r="M106" s="97">
        <f t="shared" si="114"/>
        <v>0</v>
      </c>
      <c r="N106" s="97">
        <f t="shared" si="114"/>
        <v>0</v>
      </c>
      <c r="O106" s="97">
        <f t="shared" si="114"/>
        <v>0</v>
      </c>
      <c r="P106" s="97">
        <f t="shared" si="114"/>
        <v>0</v>
      </c>
      <c r="Q106" s="97">
        <f t="shared" si="114"/>
        <v>0</v>
      </c>
      <c r="R106" s="97">
        <f t="shared" si="114"/>
        <v>0</v>
      </c>
      <c r="S106" s="97">
        <f t="shared" si="114"/>
        <v>0</v>
      </c>
      <c r="T106" s="97">
        <f t="shared" si="114"/>
        <v>0</v>
      </c>
      <c r="U106" s="97">
        <f t="shared" si="114"/>
        <v>0</v>
      </c>
      <c r="V106" s="97">
        <f t="shared" si="114"/>
        <v>0</v>
      </c>
      <c r="W106" s="97">
        <f t="shared" si="114"/>
        <v>0</v>
      </c>
      <c r="X106" s="97">
        <f t="shared" si="114"/>
        <v>0</v>
      </c>
      <c r="Y106" s="97">
        <f t="shared" si="114"/>
        <v>0</v>
      </c>
      <c r="Z106" s="97">
        <f t="shared" si="114"/>
        <v>0</v>
      </c>
      <c r="AA106" s="97">
        <f t="shared" si="114"/>
        <v>0</v>
      </c>
      <c r="AB106" s="97" t="str">
        <f t="shared" si="114"/>
        <v/>
      </c>
      <c r="AC106" s="97" t="str">
        <f t="shared" si="114"/>
        <v/>
      </c>
      <c r="AD106" s="97" t="str">
        <f t="shared" si="114"/>
        <v/>
      </c>
      <c r="AE106" s="97" t="str">
        <f t="shared" si="114"/>
        <v/>
      </c>
      <c r="AF106" s="97" t="str">
        <f t="shared" si="114"/>
        <v/>
      </c>
      <c r="AG106" s="97" t="str">
        <f t="shared" si="114"/>
        <v/>
      </c>
      <c r="AH106" s="97" t="str">
        <f t="shared" si="114"/>
        <v/>
      </c>
      <c r="AI106" s="97" t="str">
        <f t="shared" ref="AI106:BN106" si="115">IF(ISNUMBER(outYear),IF(FederalDepreciation=5,AN85,IF(FederalDepreciation=7,AN86,0)),"")</f>
        <v/>
      </c>
      <c r="AJ106" s="97" t="str">
        <f t="shared" si="115"/>
        <v/>
      </c>
      <c r="AK106" s="97" t="str">
        <f t="shared" si="115"/>
        <v/>
      </c>
      <c r="AL106" s="97" t="str">
        <f t="shared" si="115"/>
        <v/>
      </c>
      <c r="AM106" s="97" t="str">
        <f t="shared" si="115"/>
        <v/>
      </c>
      <c r="AN106" s="97" t="str">
        <f t="shared" si="115"/>
        <v/>
      </c>
      <c r="AO106" s="97" t="str">
        <f t="shared" si="115"/>
        <v/>
      </c>
      <c r="AP106" s="97" t="str">
        <f t="shared" si="115"/>
        <v/>
      </c>
      <c r="AQ106" s="97" t="str">
        <f t="shared" si="115"/>
        <v/>
      </c>
      <c r="AR106" s="97" t="str">
        <f t="shared" si="115"/>
        <v/>
      </c>
      <c r="AS106" s="97" t="str">
        <f t="shared" si="115"/>
        <v/>
      </c>
      <c r="AT106" s="97" t="str">
        <f t="shared" si="115"/>
        <v/>
      </c>
      <c r="AU106" s="97" t="str">
        <f t="shared" si="115"/>
        <v/>
      </c>
      <c r="AV106" s="97" t="str">
        <f t="shared" si="115"/>
        <v/>
      </c>
      <c r="AW106" s="97" t="str">
        <f t="shared" si="115"/>
        <v/>
      </c>
      <c r="AX106" s="97" t="str">
        <f t="shared" si="115"/>
        <v/>
      </c>
      <c r="AY106" s="97" t="str">
        <f t="shared" si="115"/>
        <v/>
      </c>
      <c r="AZ106" s="97" t="str">
        <f t="shared" si="115"/>
        <v/>
      </c>
      <c r="BA106" s="97" t="str">
        <f t="shared" si="115"/>
        <v/>
      </c>
      <c r="BB106" s="97" t="str">
        <f t="shared" si="115"/>
        <v/>
      </c>
      <c r="BC106" s="97" t="str">
        <f t="shared" si="115"/>
        <v/>
      </c>
      <c r="BD106" s="97" t="str">
        <f t="shared" si="115"/>
        <v/>
      </c>
      <c r="BE106" s="97" t="str">
        <f t="shared" si="115"/>
        <v/>
      </c>
      <c r="BF106" s="97" t="str">
        <f t="shared" si="115"/>
        <v/>
      </c>
      <c r="BG106" s="97" t="str">
        <f t="shared" si="115"/>
        <v/>
      </c>
      <c r="BH106" s="97" t="str">
        <f t="shared" si="115"/>
        <v/>
      </c>
      <c r="BI106" s="97" t="str">
        <f t="shared" si="115"/>
        <v/>
      </c>
      <c r="BJ106" s="97" t="str">
        <f t="shared" si="115"/>
        <v/>
      </c>
      <c r="BK106" s="97" t="str">
        <f t="shared" si="115"/>
        <v/>
      </c>
      <c r="BL106" s="97" t="str">
        <f t="shared" si="115"/>
        <v/>
      </c>
      <c r="BM106" s="97" t="str">
        <f t="shared" si="115"/>
        <v/>
      </c>
      <c r="BN106" s="97" t="str">
        <f t="shared" si="115"/>
        <v/>
      </c>
      <c r="BO106" s="97" t="str">
        <f t="shared" ref="BO106:CT106" si="116">IF(ISNUMBER(outYear),IF(FederalDepreciation=5,BT85,IF(FederalDepreciation=7,BT86,0)),"")</f>
        <v/>
      </c>
      <c r="BP106" s="97" t="str">
        <f t="shared" si="116"/>
        <v/>
      </c>
      <c r="BQ106" s="97" t="str">
        <f t="shared" si="116"/>
        <v/>
      </c>
      <c r="BR106" s="97" t="str">
        <f t="shared" si="116"/>
        <v/>
      </c>
      <c r="BS106" s="97" t="str">
        <f t="shared" si="116"/>
        <v/>
      </c>
      <c r="BT106" s="97" t="str">
        <f t="shared" si="116"/>
        <v/>
      </c>
      <c r="BU106" s="97" t="str">
        <f t="shared" si="116"/>
        <v/>
      </c>
      <c r="BV106" s="97" t="str">
        <f t="shared" si="116"/>
        <v/>
      </c>
      <c r="BW106" s="97" t="str">
        <f t="shared" si="116"/>
        <v/>
      </c>
      <c r="BX106" s="97" t="str">
        <f t="shared" si="116"/>
        <v/>
      </c>
      <c r="BY106" s="97" t="str">
        <f t="shared" si="116"/>
        <v/>
      </c>
      <c r="BZ106" s="97" t="str">
        <f t="shared" si="116"/>
        <v/>
      </c>
      <c r="CA106" s="97" t="str">
        <f t="shared" si="116"/>
        <v/>
      </c>
      <c r="CB106" s="97" t="str">
        <f t="shared" si="116"/>
        <v/>
      </c>
      <c r="CC106" s="97" t="str">
        <f t="shared" si="116"/>
        <v/>
      </c>
      <c r="CD106" s="97" t="str">
        <f t="shared" si="116"/>
        <v/>
      </c>
      <c r="CE106" s="97" t="str">
        <f t="shared" si="116"/>
        <v/>
      </c>
      <c r="CF106" s="97" t="str">
        <f t="shared" si="116"/>
        <v/>
      </c>
      <c r="CG106" s="97" t="str">
        <f t="shared" si="116"/>
        <v/>
      </c>
      <c r="CH106" s="97" t="str">
        <f t="shared" si="116"/>
        <v/>
      </c>
      <c r="CI106" s="97" t="str">
        <f t="shared" si="116"/>
        <v/>
      </c>
      <c r="CJ106" s="97" t="str">
        <f t="shared" si="116"/>
        <v/>
      </c>
      <c r="CK106" s="97" t="str">
        <f t="shared" si="116"/>
        <v/>
      </c>
      <c r="CL106" s="97" t="str">
        <f t="shared" si="116"/>
        <v/>
      </c>
      <c r="CM106" s="97" t="str">
        <f t="shared" si="116"/>
        <v/>
      </c>
      <c r="CN106" s="97" t="str">
        <f t="shared" si="116"/>
        <v/>
      </c>
      <c r="CO106" s="97" t="str">
        <f t="shared" si="116"/>
        <v/>
      </c>
      <c r="CP106" s="97" t="str">
        <f t="shared" si="116"/>
        <v/>
      </c>
      <c r="CQ106" s="97" t="str">
        <f t="shared" si="116"/>
        <v/>
      </c>
      <c r="CR106" s="97" t="str">
        <f t="shared" si="116"/>
        <v/>
      </c>
      <c r="CS106" s="97" t="str">
        <f t="shared" si="116"/>
        <v/>
      </c>
      <c r="CT106" s="97" t="str">
        <f t="shared" si="116"/>
        <v/>
      </c>
      <c r="CU106" s="97" t="str">
        <f t="shared" ref="CU106:CX106" si="117">IF(ISNUMBER(outYear),IF(FederalDepreciation=5,CZ85,IF(FederalDepreciation=7,CZ86,0)),"")</f>
        <v/>
      </c>
      <c r="CV106" s="97" t="str">
        <f t="shared" si="117"/>
        <v/>
      </c>
      <c r="CW106" s="97" t="str">
        <f t="shared" si="117"/>
        <v/>
      </c>
      <c r="CX106" s="97" t="str">
        <f t="shared" si="117"/>
        <v/>
      </c>
    </row>
    <row r="107" spans="1:1025" s="133" customFormat="1" ht="12.75" customHeight="1" x14ac:dyDescent="0.2">
      <c r="A107" s="103" t="s">
        <v>151</v>
      </c>
      <c r="B107" s="107">
        <v>0</v>
      </c>
      <c r="C107" s="97">
        <f t="shared" ref="C107:AH107" si="118">IF(ISNUMBER(outYear),IF(FederalDepreciation=5,H93,IF(FederalDepreciation=7,H94,0)),"")</f>
        <v>0.2</v>
      </c>
      <c r="D107" s="97">
        <f t="shared" si="118"/>
        <v>0.32</v>
      </c>
      <c r="E107" s="97">
        <f t="shared" si="118"/>
        <v>0.192</v>
      </c>
      <c r="F107" s="97">
        <f t="shared" si="118"/>
        <v>0.1152</v>
      </c>
      <c r="G107" s="97">
        <f t="shared" si="118"/>
        <v>0.1152</v>
      </c>
      <c r="H107" s="97">
        <f t="shared" si="118"/>
        <v>5.7599999999999998E-2</v>
      </c>
      <c r="I107" s="97">
        <f t="shared" si="118"/>
        <v>0</v>
      </c>
      <c r="J107" s="97">
        <f t="shared" si="118"/>
        <v>0</v>
      </c>
      <c r="K107" s="97">
        <f t="shared" si="118"/>
        <v>0</v>
      </c>
      <c r="L107" s="97">
        <f t="shared" si="118"/>
        <v>0</v>
      </c>
      <c r="M107" s="97">
        <f t="shared" si="118"/>
        <v>0</v>
      </c>
      <c r="N107" s="97">
        <f t="shared" si="118"/>
        <v>0</v>
      </c>
      <c r="O107" s="97">
        <f t="shared" si="118"/>
        <v>0</v>
      </c>
      <c r="P107" s="97">
        <f t="shared" si="118"/>
        <v>0</v>
      </c>
      <c r="Q107" s="97">
        <f t="shared" si="118"/>
        <v>0</v>
      </c>
      <c r="R107" s="97">
        <f t="shared" si="118"/>
        <v>0</v>
      </c>
      <c r="S107" s="97">
        <f t="shared" si="118"/>
        <v>0</v>
      </c>
      <c r="T107" s="97">
        <f t="shared" si="118"/>
        <v>0</v>
      </c>
      <c r="U107" s="97">
        <f t="shared" si="118"/>
        <v>0</v>
      </c>
      <c r="V107" s="97">
        <f t="shared" si="118"/>
        <v>0</v>
      </c>
      <c r="W107" s="97">
        <f t="shared" si="118"/>
        <v>0</v>
      </c>
      <c r="X107" s="97">
        <f t="shared" si="118"/>
        <v>0</v>
      </c>
      <c r="Y107" s="97">
        <f t="shared" si="118"/>
        <v>0</v>
      </c>
      <c r="Z107" s="97">
        <f t="shared" si="118"/>
        <v>0</v>
      </c>
      <c r="AA107" s="97">
        <f t="shared" si="118"/>
        <v>0</v>
      </c>
      <c r="AB107" s="97" t="str">
        <f t="shared" si="118"/>
        <v/>
      </c>
      <c r="AC107" s="97" t="str">
        <f t="shared" si="118"/>
        <v/>
      </c>
      <c r="AD107" s="97" t="str">
        <f t="shared" si="118"/>
        <v/>
      </c>
      <c r="AE107" s="97" t="str">
        <f t="shared" si="118"/>
        <v/>
      </c>
      <c r="AF107" s="97" t="str">
        <f t="shared" si="118"/>
        <v/>
      </c>
      <c r="AG107" s="97" t="str">
        <f t="shared" si="118"/>
        <v/>
      </c>
      <c r="AH107" s="97" t="str">
        <f t="shared" si="118"/>
        <v/>
      </c>
      <c r="AI107" s="97" t="str">
        <f t="shared" ref="AI107:BN107" si="119">IF(ISNUMBER(outYear),IF(FederalDepreciation=5,AN93,IF(FederalDepreciation=7,AN94,0)),"")</f>
        <v/>
      </c>
      <c r="AJ107" s="97" t="str">
        <f t="shared" si="119"/>
        <v/>
      </c>
      <c r="AK107" s="97" t="str">
        <f t="shared" si="119"/>
        <v/>
      </c>
      <c r="AL107" s="97" t="str">
        <f t="shared" si="119"/>
        <v/>
      </c>
      <c r="AM107" s="97" t="str">
        <f t="shared" si="119"/>
        <v/>
      </c>
      <c r="AN107" s="97" t="str">
        <f t="shared" si="119"/>
        <v/>
      </c>
      <c r="AO107" s="97" t="str">
        <f t="shared" si="119"/>
        <v/>
      </c>
      <c r="AP107" s="97" t="str">
        <f t="shared" si="119"/>
        <v/>
      </c>
      <c r="AQ107" s="97" t="str">
        <f t="shared" si="119"/>
        <v/>
      </c>
      <c r="AR107" s="97" t="str">
        <f t="shared" si="119"/>
        <v/>
      </c>
      <c r="AS107" s="97" t="str">
        <f t="shared" si="119"/>
        <v/>
      </c>
      <c r="AT107" s="97" t="str">
        <f t="shared" si="119"/>
        <v/>
      </c>
      <c r="AU107" s="97" t="str">
        <f t="shared" si="119"/>
        <v/>
      </c>
      <c r="AV107" s="97" t="str">
        <f t="shared" si="119"/>
        <v/>
      </c>
      <c r="AW107" s="97" t="str">
        <f t="shared" si="119"/>
        <v/>
      </c>
      <c r="AX107" s="97" t="str">
        <f t="shared" si="119"/>
        <v/>
      </c>
      <c r="AY107" s="97" t="str">
        <f t="shared" si="119"/>
        <v/>
      </c>
      <c r="AZ107" s="97" t="str">
        <f t="shared" si="119"/>
        <v/>
      </c>
      <c r="BA107" s="97" t="str">
        <f t="shared" si="119"/>
        <v/>
      </c>
      <c r="BB107" s="97" t="str">
        <f t="shared" si="119"/>
        <v/>
      </c>
      <c r="BC107" s="97" t="str">
        <f t="shared" si="119"/>
        <v/>
      </c>
      <c r="BD107" s="97" t="str">
        <f t="shared" si="119"/>
        <v/>
      </c>
      <c r="BE107" s="97" t="str">
        <f t="shared" si="119"/>
        <v/>
      </c>
      <c r="BF107" s="97" t="str">
        <f t="shared" si="119"/>
        <v/>
      </c>
      <c r="BG107" s="97" t="str">
        <f t="shared" si="119"/>
        <v/>
      </c>
      <c r="BH107" s="97" t="str">
        <f t="shared" si="119"/>
        <v/>
      </c>
      <c r="BI107" s="97" t="str">
        <f t="shared" si="119"/>
        <v/>
      </c>
      <c r="BJ107" s="97" t="str">
        <f t="shared" si="119"/>
        <v/>
      </c>
      <c r="BK107" s="97" t="str">
        <f t="shared" si="119"/>
        <v/>
      </c>
      <c r="BL107" s="97" t="str">
        <f t="shared" si="119"/>
        <v/>
      </c>
      <c r="BM107" s="97" t="str">
        <f t="shared" si="119"/>
        <v/>
      </c>
      <c r="BN107" s="97" t="str">
        <f t="shared" si="119"/>
        <v/>
      </c>
      <c r="BO107" s="97" t="str">
        <f t="shared" ref="BO107:CT107" si="120">IF(ISNUMBER(outYear),IF(FederalDepreciation=5,BT93,IF(FederalDepreciation=7,BT94,0)),"")</f>
        <v/>
      </c>
      <c r="BP107" s="97" t="str">
        <f t="shared" si="120"/>
        <v/>
      </c>
      <c r="BQ107" s="97" t="str">
        <f t="shared" si="120"/>
        <v/>
      </c>
      <c r="BR107" s="97" t="str">
        <f t="shared" si="120"/>
        <v/>
      </c>
      <c r="BS107" s="97" t="str">
        <f t="shared" si="120"/>
        <v/>
      </c>
      <c r="BT107" s="97" t="str">
        <f t="shared" si="120"/>
        <v/>
      </c>
      <c r="BU107" s="97" t="str">
        <f t="shared" si="120"/>
        <v/>
      </c>
      <c r="BV107" s="97" t="str">
        <f t="shared" si="120"/>
        <v/>
      </c>
      <c r="BW107" s="97" t="str">
        <f t="shared" si="120"/>
        <v/>
      </c>
      <c r="BX107" s="97" t="str">
        <f t="shared" si="120"/>
        <v/>
      </c>
      <c r="BY107" s="97" t="str">
        <f t="shared" si="120"/>
        <v/>
      </c>
      <c r="BZ107" s="97" t="str">
        <f t="shared" si="120"/>
        <v/>
      </c>
      <c r="CA107" s="97" t="str">
        <f t="shared" si="120"/>
        <v/>
      </c>
      <c r="CB107" s="97" t="str">
        <f t="shared" si="120"/>
        <v/>
      </c>
      <c r="CC107" s="97" t="str">
        <f t="shared" si="120"/>
        <v/>
      </c>
      <c r="CD107" s="97" t="str">
        <f t="shared" si="120"/>
        <v/>
      </c>
      <c r="CE107" s="97" t="str">
        <f t="shared" si="120"/>
        <v/>
      </c>
      <c r="CF107" s="97" t="str">
        <f t="shared" si="120"/>
        <v/>
      </c>
      <c r="CG107" s="97" t="str">
        <f t="shared" si="120"/>
        <v/>
      </c>
      <c r="CH107" s="97" t="str">
        <f t="shared" si="120"/>
        <v/>
      </c>
      <c r="CI107" s="97" t="str">
        <f t="shared" si="120"/>
        <v/>
      </c>
      <c r="CJ107" s="97" t="str">
        <f t="shared" si="120"/>
        <v/>
      </c>
      <c r="CK107" s="97" t="str">
        <f t="shared" si="120"/>
        <v/>
      </c>
      <c r="CL107" s="97" t="str">
        <f t="shared" si="120"/>
        <v/>
      </c>
      <c r="CM107" s="97" t="str">
        <f t="shared" si="120"/>
        <v/>
      </c>
      <c r="CN107" s="97" t="str">
        <f t="shared" si="120"/>
        <v/>
      </c>
      <c r="CO107" s="97" t="str">
        <f t="shared" si="120"/>
        <v/>
      </c>
      <c r="CP107" s="97" t="str">
        <f t="shared" si="120"/>
        <v/>
      </c>
      <c r="CQ107" s="97" t="str">
        <f t="shared" si="120"/>
        <v/>
      </c>
      <c r="CR107" s="97" t="str">
        <f t="shared" si="120"/>
        <v/>
      </c>
      <c r="CS107" s="97" t="str">
        <f t="shared" si="120"/>
        <v/>
      </c>
      <c r="CT107" s="97" t="str">
        <f t="shared" si="120"/>
        <v/>
      </c>
      <c r="CU107" s="97" t="str">
        <f t="shared" ref="CU107:DZ107" si="121">IF(ISNUMBER(outYear),IF(FederalDepreciation=5,CZ93,IF(FederalDepreciation=7,CZ94,0)),"")</f>
        <v/>
      </c>
      <c r="CV107" s="97" t="str">
        <f t="shared" si="121"/>
        <v/>
      </c>
      <c r="CW107" s="97" t="str">
        <f t="shared" si="121"/>
        <v/>
      </c>
      <c r="CX107" s="97" t="str">
        <f t="shared" si="121"/>
        <v/>
      </c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  <c r="KO107" s="13"/>
      <c r="KP107" s="13"/>
      <c r="KQ107" s="13"/>
      <c r="KR107" s="13"/>
      <c r="KS107" s="13"/>
      <c r="KT107" s="13"/>
      <c r="KU107" s="13"/>
      <c r="KV107" s="13"/>
      <c r="KW107" s="13"/>
      <c r="KX107" s="13"/>
      <c r="KY107" s="13"/>
      <c r="KZ107" s="13"/>
      <c r="LA107" s="13"/>
      <c r="LB107" s="13"/>
      <c r="LC107" s="13"/>
      <c r="LD107" s="13"/>
      <c r="LE107" s="13"/>
      <c r="LF107" s="13"/>
      <c r="LG107" s="13"/>
      <c r="LH107" s="13"/>
      <c r="LI107" s="13"/>
      <c r="LJ107" s="13"/>
      <c r="LK107" s="13"/>
      <c r="LL107" s="13"/>
      <c r="LM107" s="13"/>
      <c r="LN107" s="13"/>
      <c r="LO107" s="13"/>
      <c r="LP107" s="13"/>
      <c r="LQ107" s="13"/>
      <c r="LR107" s="13"/>
      <c r="LS107" s="13"/>
      <c r="LT107" s="13"/>
      <c r="LU107" s="13"/>
      <c r="LV107" s="13"/>
      <c r="LW107" s="13"/>
      <c r="LX107" s="13"/>
      <c r="LY107" s="13"/>
      <c r="LZ107" s="13"/>
      <c r="MA107" s="13"/>
      <c r="MB107" s="13"/>
      <c r="MC107" s="13"/>
      <c r="MD107" s="13"/>
      <c r="ME107" s="13"/>
      <c r="MF107" s="13"/>
      <c r="MG107" s="13"/>
      <c r="MH107" s="13"/>
      <c r="MI107" s="13"/>
      <c r="MJ107" s="13"/>
      <c r="MK107" s="13"/>
      <c r="ML107" s="13"/>
      <c r="MM107" s="13"/>
      <c r="MN107" s="13"/>
      <c r="MO107" s="13"/>
      <c r="MP107" s="13"/>
      <c r="MQ107" s="13"/>
      <c r="MR107" s="13"/>
      <c r="MS107" s="13"/>
      <c r="MT107" s="13"/>
      <c r="MU107" s="13"/>
      <c r="MV107" s="13"/>
      <c r="MW107" s="13"/>
      <c r="MX107" s="13"/>
      <c r="MY107" s="13"/>
      <c r="MZ107" s="13"/>
      <c r="NA107" s="13"/>
      <c r="NB107" s="13"/>
      <c r="NC107" s="13"/>
      <c r="ND107" s="13"/>
      <c r="NE107" s="13"/>
      <c r="NF107" s="13"/>
      <c r="NG107" s="13"/>
      <c r="NH107" s="13"/>
      <c r="NI107" s="13"/>
      <c r="NJ107" s="13"/>
      <c r="NK107" s="13"/>
      <c r="NL107" s="13"/>
      <c r="NM107" s="13"/>
      <c r="NN107" s="13"/>
      <c r="NO107" s="13"/>
      <c r="NP107" s="13"/>
      <c r="NQ107" s="13"/>
      <c r="NR107" s="13"/>
      <c r="NS107" s="13"/>
      <c r="NT107" s="13"/>
      <c r="NU107" s="13"/>
      <c r="NV107" s="13"/>
      <c r="NW107" s="13"/>
      <c r="NX107" s="13"/>
      <c r="NY107" s="13"/>
      <c r="NZ107" s="13"/>
      <c r="OA107" s="13"/>
      <c r="OB107" s="13"/>
      <c r="OC107" s="13"/>
      <c r="OD107" s="13"/>
      <c r="OE107" s="13"/>
      <c r="OF107" s="13"/>
      <c r="OG107" s="13"/>
      <c r="OH107" s="13"/>
      <c r="OI107" s="13"/>
      <c r="OJ107" s="13"/>
      <c r="OK107" s="13"/>
      <c r="OL107" s="13"/>
      <c r="OM107" s="13"/>
      <c r="ON107" s="13"/>
      <c r="OO107" s="13"/>
      <c r="OP107" s="13"/>
      <c r="OQ107" s="13"/>
      <c r="OR107" s="13"/>
      <c r="OS107" s="13"/>
      <c r="OT107" s="13"/>
      <c r="OU107" s="13"/>
      <c r="OV107" s="13"/>
      <c r="OW107" s="13"/>
      <c r="OX107" s="13"/>
      <c r="OY107" s="13"/>
      <c r="OZ107" s="13"/>
      <c r="PA107" s="13"/>
      <c r="PB107" s="13"/>
      <c r="PC107" s="13"/>
      <c r="PD107" s="13"/>
      <c r="PE107" s="13"/>
      <c r="PF107" s="13"/>
      <c r="PG107" s="13"/>
      <c r="PH107" s="13"/>
      <c r="PI107" s="13"/>
      <c r="PJ107" s="13"/>
      <c r="PK107" s="13"/>
      <c r="PL107" s="13"/>
      <c r="PM107" s="13"/>
      <c r="PN107" s="13"/>
      <c r="PO107" s="13"/>
      <c r="PP107" s="13"/>
      <c r="PQ107" s="13"/>
      <c r="PR107" s="13"/>
      <c r="PS107" s="13"/>
      <c r="PT107" s="13"/>
      <c r="PU107" s="13"/>
      <c r="PV107" s="13"/>
      <c r="PW107" s="13"/>
      <c r="PX107" s="13"/>
      <c r="PY107" s="13"/>
      <c r="PZ107" s="13"/>
      <c r="QA107" s="13"/>
      <c r="QB107" s="13"/>
      <c r="QC107" s="13"/>
      <c r="QD107" s="13"/>
      <c r="QE107" s="13"/>
      <c r="QF107" s="13"/>
      <c r="QG107" s="13"/>
      <c r="QH107" s="13"/>
      <c r="QI107" s="13"/>
      <c r="QJ107" s="13"/>
      <c r="QK107" s="13"/>
      <c r="QL107" s="13"/>
      <c r="QM107" s="13"/>
      <c r="QN107" s="13"/>
      <c r="QO107" s="13"/>
      <c r="QP107" s="13"/>
      <c r="QQ107" s="13"/>
      <c r="QR107" s="13"/>
      <c r="QS107" s="13"/>
      <c r="QT107" s="13"/>
      <c r="QU107" s="13"/>
      <c r="QV107" s="13"/>
      <c r="QW107" s="13"/>
      <c r="QX107" s="13"/>
      <c r="QY107" s="13"/>
      <c r="QZ107" s="13"/>
      <c r="RA107" s="13"/>
      <c r="RB107" s="13"/>
      <c r="RC107" s="13"/>
      <c r="RD107" s="13"/>
      <c r="RE107" s="13"/>
      <c r="RF107" s="13"/>
      <c r="RG107" s="13"/>
      <c r="RH107" s="13"/>
      <c r="RI107" s="13"/>
      <c r="RJ107" s="13"/>
      <c r="RK107" s="13"/>
      <c r="RL107" s="13"/>
      <c r="RM107" s="13"/>
      <c r="RN107" s="13"/>
      <c r="RO107" s="13"/>
      <c r="RP107" s="13"/>
      <c r="RQ107" s="13"/>
      <c r="RR107" s="13"/>
      <c r="RS107" s="13"/>
      <c r="RT107" s="13"/>
      <c r="RU107" s="13"/>
      <c r="RV107" s="13"/>
      <c r="RW107" s="13"/>
      <c r="RX107" s="13"/>
      <c r="RY107" s="13"/>
      <c r="RZ107" s="13"/>
      <c r="SA107" s="13"/>
      <c r="SB107" s="13"/>
      <c r="SC107" s="13"/>
      <c r="SD107" s="13"/>
      <c r="SE107" s="13"/>
      <c r="SF107" s="13"/>
      <c r="SG107" s="13"/>
      <c r="SH107" s="13"/>
      <c r="SI107" s="13"/>
      <c r="SJ107" s="13"/>
      <c r="SK107" s="13"/>
      <c r="SL107" s="13"/>
      <c r="SM107" s="13"/>
      <c r="SN107" s="13"/>
      <c r="SO107" s="13"/>
      <c r="SP107" s="13"/>
      <c r="SQ107" s="13"/>
      <c r="SR107" s="13"/>
      <c r="SS107" s="13"/>
      <c r="ST107" s="13"/>
      <c r="SU107" s="13"/>
      <c r="SV107" s="13"/>
      <c r="SW107" s="13"/>
      <c r="SX107" s="13"/>
      <c r="SY107" s="13"/>
      <c r="SZ107" s="13"/>
      <c r="TA107" s="13"/>
      <c r="TB107" s="13"/>
      <c r="TC107" s="13"/>
      <c r="TD107" s="13"/>
      <c r="TE107" s="13"/>
      <c r="TF107" s="13"/>
      <c r="TG107" s="13"/>
      <c r="TH107" s="13"/>
      <c r="TI107" s="13"/>
      <c r="TJ107" s="13"/>
      <c r="TK107" s="13"/>
      <c r="TL107" s="13"/>
      <c r="TM107" s="13"/>
      <c r="TN107" s="13"/>
      <c r="TO107" s="13"/>
      <c r="TP107" s="13"/>
      <c r="TQ107" s="13"/>
      <c r="TR107" s="13"/>
      <c r="TS107" s="13"/>
      <c r="TT107" s="13"/>
      <c r="TU107" s="13"/>
      <c r="TV107" s="13"/>
      <c r="TW107" s="13"/>
      <c r="TX107" s="13"/>
      <c r="TY107" s="13"/>
      <c r="TZ107" s="13"/>
      <c r="UA107" s="13"/>
      <c r="UB107" s="13"/>
      <c r="UC107" s="13"/>
      <c r="UD107" s="13"/>
      <c r="UE107" s="13"/>
      <c r="UF107" s="13"/>
      <c r="UG107" s="13"/>
      <c r="UH107" s="13"/>
      <c r="UI107" s="13"/>
      <c r="UJ107" s="13"/>
      <c r="UK107" s="13"/>
      <c r="UL107" s="13"/>
      <c r="UM107" s="13"/>
      <c r="UN107" s="13"/>
      <c r="UO107" s="13"/>
      <c r="UP107" s="13"/>
      <c r="UQ107" s="13"/>
      <c r="UR107" s="13"/>
      <c r="US107" s="13"/>
      <c r="UT107" s="13"/>
      <c r="UU107" s="13"/>
      <c r="UV107" s="13"/>
      <c r="UW107" s="13"/>
      <c r="UX107" s="13"/>
      <c r="UY107" s="13"/>
      <c r="UZ107" s="13"/>
      <c r="VA107" s="13"/>
      <c r="VB107" s="13"/>
      <c r="VC107" s="13"/>
      <c r="VD107" s="13"/>
      <c r="VE107" s="13"/>
      <c r="VF107" s="13"/>
      <c r="VG107" s="13"/>
      <c r="VH107" s="13"/>
      <c r="VI107" s="13"/>
      <c r="VJ107" s="13"/>
      <c r="VK107" s="13"/>
      <c r="VL107" s="13"/>
      <c r="VM107" s="13"/>
      <c r="VN107" s="13"/>
      <c r="VO107" s="13"/>
      <c r="VP107" s="13"/>
      <c r="VQ107" s="13"/>
      <c r="VR107" s="13"/>
      <c r="VS107" s="13"/>
      <c r="VT107" s="13"/>
      <c r="VU107" s="13"/>
      <c r="VV107" s="13"/>
      <c r="VW107" s="13"/>
      <c r="VX107" s="13"/>
      <c r="VY107" s="13"/>
      <c r="VZ107" s="13"/>
      <c r="WA107" s="13"/>
      <c r="WB107" s="13"/>
      <c r="WC107" s="13"/>
      <c r="WD107" s="13"/>
      <c r="WE107" s="13"/>
      <c r="WF107" s="13"/>
      <c r="WG107" s="13"/>
      <c r="WH107" s="13"/>
      <c r="WI107" s="13"/>
      <c r="WJ107" s="13"/>
      <c r="WK107" s="13"/>
      <c r="WL107" s="13"/>
      <c r="WM107" s="13"/>
      <c r="WN107" s="13"/>
      <c r="WO107" s="13"/>
      <c r="WP107" s="13"/>
      <c r="WQ107" s="13"/>
      <c r="WR107" s="13"/>
      <c r="WS107" s="13"/>
      <c r="WT107" s="13"/>
      <c r="WU107" s="13"/>
      <c r="WV107" s="13"/>
      <c r="WW107" s="13"/>
      <c r="WX107" s="13"/>
      <c r="WY107" s="13"/>
      <c r="WZ107" s="13"/>
      <c r="XA107" s="13"/>
      <c r="XB107" s="13"/>
      <c r="XC107" s="13"/>
      <c r="XD107" s="13"/>
      <c r="XE107" s="13"/>
      <c r="XF107" s="13"/>
      <c r="XG107" s="13"/>
      <c r="XH107" s="13"/>
      <c r="XI107" s="13"/>
      <c r="XJ107" s="13"/>
      <c r="XK107" s="13"/>
      <c r="XL107" s="13"/>
      <c r="XM107" s="13"/>
      <c r="XN107" s="13"/>
      <c r="XO107" s="13"/>
      <c r="XP107" s="13"/>
      <c r="XQ107" s="13"/>
      <c r="XR107" s="13"/>
      <c r="XS107" s="13"/>
      <c r="XT107" s="13"/>
      <c r="XU107" s="13"/>
      <c r="XV107" s="13"/>
      <c r="XW107" s="13"/>
      <c r="XX107" s="13"/>
      <c r="XY107" s="13"/>
      <c r="XZ107" s="13"/>
      <c r="YA107" s="13"/>
      <c r="YB107" s="13"/>
      <c r="YC107" s="13"/>
      <c r="YD107" s="13"/>
      <c r="YE107" s="13"/>
      <c r="YF107" s="13"/>
      <c r="YG107" s="13"/>
      <c r="YH107" s="13"/>
      <c r="YI107" s="13"/>
      <c r="YJ107" s="13"/>
      <c r="YK107" s="13"/>
      <c r="YL107" s="13"/>
      <c r="YM107" s="13"/>
      <c r="YN107" s="13"/>
      <c r="YO107" s="13"/>
      <c r="YP107" s="13"/>
      <c r="YQ107" s="13"/>
      <c r="YR107" s="13"/>
      <c r="YS107" s="13"/>
      <c r="YT107" s="13"/>
      <c r="YU107" s="13"/>
      <c r="YV107" s="13"/>
      <c r="YW107" s="13"/>
      <c r="YX107" s="13"/>
      <c r="YY107" s="13"/>
      <c r="YZ107" s="13"/>
      <c r="ZA107" s="13"/>
      <c r="ZB107" s="13"/>
      <c r="ZC107" s="13"/>
      <c r="ZD107" s="13"/>
      <c r="ZE107" s="13"/>
      <c r="ZF107" s="13"/>
      <c r="ZG107" s="13"/>
      <c r="ZH107" s="13"/>
      <c r="ZI107" s="13"/>
      <c r="ZJ107" s="13"/>
      <c r="ZK107" s="13"/>
      <c r="ZL107" s="13"/>
      <c r="ZM107" s="13"/>
      <c r="ZN107" s="13"/>
      <c r="ZO107" s="13"/>
      <c r="ZP107" s="13"/>
      <c r="ZQ107" s="13"/>
      <c r="ZR107" s="13"/>
      <c r="ZS107" s="13"/>
      <c r="ZT107" s="13"/>
      <c r="ZU107" s="13"/>
      <c r="ZV107" s="13"/>
      <c r="ZW107" s="13"/>
      <c r="ZX107" s="13"/>
      <c r="ZY107" s="13"/>
      <c r="ZZ107" s="13"/>
      <c r="AAA107" s="13"/>
      <c r="AAB107" s="13"/>
      <c r="AAC107" s="13"/>
      <c r="AAD107" s="13"/>
      <c r="AAE107" s="13"/>
      <c r="AAF107" s="13"/>
      <c r="AAG107" s="13"/>
      <c r="AAH107" s="13"/>
      <c r="AAI107" s="13"/>
      <c r="AAJ107" s="13"/>
      <c r="AAK107" s="13"/>
      <c r="AAL107" s="13"/>
      <c r="AAM107" s="13"/>
      <c r="AAN107" s="13"/>
      <c r="AAO107" s="13"/>
      <c r="AAP107" s="13"/>
      <c r="AAQ107" s="13"/>
      <c r="AAR107" s="13"/>
      <c r="AAS107" s="13"/>
      <c r="AAT107" s="13"/>
      <c r="AAU107" s="13"/>
      <c r="AAV107" s="13"/>
      <c r="AAW107" s="13"/>
      <c r="AAX107" s="13"/>
      <c r="AAY107" s="13"/>
      <c r="AAZ107" s="13"/>
      <c r="ABA107" s="13"/>
      <c r="ABB107" s="13"/>
      <c r="ABC107" s="13"/>
      <c r="ABD107" s="13"/>
      <c r="ABE107" s="13"/>
      <c r="ABF107" s="13"/>
      <c r="ABG107" s="13"/>
      <c r="ABH107" s="13"/>
      <c r="ABI107" s="13"/>
      <c r="ABJ107" s="13"/>
      <c r="ABK107" s="13"/>
      <c r="ABL107" s="13"/>
      <c r="ABM107" s="13"/>
      <c r="ABN107" s="13"/>
      <c r="ABO107" s="13"/>
      <c r="ABP107" s="13"/>
      <c r="ABQ107" s="13"/>
      <c r="ABR107" s="13"/>
      <c r="ABS107" s="13"/>
      <c r="ABT107" s="13"/>
      <c r="ABU107" s="13"/>
      <c r="ABV107" s="13"/>
      <c r="ABW107" s="13"/>
      <c r="ABX107" s="13"/>
      <c r="ABY107" s="13"/>
      <c r="ABZ107" s="13"/>
      <c r="ACA107" s="13"/>
      <c r="ACB107" s="13"/>
      <c r="ACC107" s="13"/>
      <c r="ACD107" s="13"/>
      <c r="ACE107" s="13"/>
      <c r="ACF107" s="13"/>
      <c r="ACG107" s="13"/>
      <c r="ACH107" s="13"/>
      <c r="ACI107" s="13"/>
      <c r="ACJ107" s="13"/>
      <c r="ACK107" s="13"/>
      <c r="ACL107" s="13"/>
      <c r="ACM107" s="13"/>
      <c r="ACN107" s="13"/>
      <c r="ACO107" s="13"/>
      <c r="ACP107" s="13"/>
      <c r="ACQ107" s="13"/>
      <c r="ACR107" s="13"/>
      <c r="ACS107" s="13"/>
      <c r="ACT107" s="13"/>
      <c r="ACU107" s="13"/>
      <c r="ACV107" s="13"/>
      <c r="ACW107" s="13"/>
      <c r="ACX107" s="13"/>
      <c r="ACY107" s="13"/>
      <c r="ACZ107" s="13"/>
      <c r="ADA107" s="13"/>
      <c r="ADB107" s="13"/>
      <c r="ADC107" s="13"/>
      <c r="ADD107" s="13"/>
      <c r="ADE107" s="13"/>
      <c r="ADF107" s="13"/>
      <c r="ADG107" s="13"/>
      <c r="ADH107" s="13"/>
      <c r="ADI107" s="13"/>
      <c r="ADJ107" s="13"/>
      <c r="ADK107" s="13"/>
      <c r="ADL107" s="13"/>
      <c r="ADM107" s="13"/>
      <c r="ADN107" s="13"/>
      <c r="ADO107" s="13"/>
      <c r="ADP107" s="13"/>
      <c r="ADQ107" s="13"/>
      <c r="ADR107" s="13"/>
      <c r="ADS107" s="13"/>
      <c r="ADT107" s="13"/>
      <c r="ADU107" s="13"/>
      <c r="ADV107" s="13"/>
      <c r="ADW107" s="13"/>
      <c r="ADX107" s="13"/>
      <c r="ADY107" s="13"/>
      <c r="ADZ107" s="13"/>
      <c r="AEA107" s="13"/>
      <c r="AEB107" s="13"/>
      <c r="AEC107" s="13"/>
      <c r="AED107" s="13"/>
      <c r="AEE107" s="13"/>
      <c r="AEF107" s="13"/>
      <c r="AEG107" s="13"/>
      <c r="AEH107" s="13"/>
      <c r="AEI107" s="13"/>
      <c r="AEJ107" s="13"/>
      <c r="AEK107" s="13"/>
      <c r="AEL107" s="13"/>
      <c r="AEM107" s="13"/>
      <c r="AEN107" s="13"/>
      <c r="AEO107" s="13"/>
      <c r="AEP107" s="13"/>
      <c r="AEQ107" s="13"/>
      <c r="AER107" s="13"/>
      <c r="AES107" s="13"/>
      <c r="AET107" s="13"/>
      <c r="AEU107" s="13"/>
      <c r="AEV107" s="13"/>
      <c r="AEW107" s="13"/>
      <c r="AEX107" s="13"/>
      <c r="AEY107" s="13"/>
      <c r="AEZ107" s="13"/>
      <c r="AFA107" s="13"/>
      <c r="AFB107" s="13"/>
      <c r="AFC107" s="13"/>
      <c r="AFD107" s="13"/>
      <c r="AFE107" s="13"/>
      <c r="AFF107" s="13"/>
      <c r="AFG107" s="13"/>
      <c r="AFH107" s="13"/>
      <c r="AFI107" s="13"/>
      <c r="AFJ107" s="13"/>
      <c r="AFK107" s="13"/>
      <c r="AFL107" s="13"/>
      <c r="AFM107" s="13"/>
      <c r="AFN107" s="13"/>
      <c r="AFO107" s="13"/>
      <c r="AFP107" s="13"/>
      <c r="AFQ107" s="13"/>
      <c r="AFR107" s="13"/>
      <c r="AFS107" s="13"/>
      <c r="AFT107" s="13"/>
      <c r="AFU107" s="13"/>
      <c r="AFV107" s="13"/>
      <c r="AFW107" s="13"/>
      <c r="AFX107" s="13"/>
      <c r="AFY107" s="13"/>
      <c r="AFZ107" s="13"/>
      <c r="AGA107" s="13"/>
      <c r="AGB107" s="13"/>
      <c r="AGC107" s="13"/>
      <c r="AGD107" s="13"/>
      <c r="AGE107" s="13"/>
      <c r="AGF107" s="13"/>
      <c r="AGG107" s="13"/>
      <c r="AGH107" s="13"/>
      <c r="AGI107" s="13"/>
      <c r="AGJ107" s="13"/>
      <c r="AGK107" s="13"/>
      <c r="AGL107" s="13"/>
      <c r="AGM107" s="13"/>
      <c r="AGN107" s="13"/>
      <c r="AGO107" s="13"/>
      <c r="AGP107" s="13"/>
      <c r="AGQ107" s="13"/>
      <c r="AGR107" s="13"/>
      <c r="AGS107" s="13"/>
      <c r="AGT107" s="13"/>
      <c r="AGU107" s="13"/>
      <c r="AGV107" s="13"/>
      <c r="AGW107" s="13"/>
      <c r="AGX107" s="13"/>
      <c r="AGY107" s="13"/>
      <c r="AGZ107" s="13"/>
      <c r="AHA107" s="13"/>
      <c r="AHB107" s="13"/>
      <c r="AHC107" s="13"/>
      <c r="AHD107" s="13"/>
      <c r="AHE107" s="13"/>
      <c r="AHF107" s="13"/>
      <c r="AHG107" s="13"/>
      <c r="AHH107" s="13"/>
      <c r="AHI107" s="13"/>
      <c r="AHJ107" s="13"/>
      <c r="AHK107" s="13"/>
      <c r="AHL107" s="13"/>
      <c r="AHM107" s="13"/>
      <c r="AHN107" s="13"/>
      <c r="AHO107" s="13"/>
      <c r="AHP107" s="13"/>
      <c r="AHQ107" s="13"/>
      <c r="AHR107" s="13"/>
      <c r="AHS107" s="13"/>
      <c r="AHT107" s="13"/>
      <c r="AHU107" s="13"/>
      <c r="AHV107" s="13"/>
      <c r="AHW107" s="13"/>
      <c r="AHX107" s="13"/>
      <c r="AHY107" s="13"/>
      <c r="AHZ107" s="13"/>
      <c r="AIA107" s="13"/>
      <c r="AIB107" s="13"/>
      <c r="AIC107" s="13"/>
      <c r="AID107" s="13"/>
      <c r="AIE107" s="13"/>
      <c r="AIF107" s="13"/>
      <c r="AIG107" s="13"/>
      <c r="AIH107" s="13"/>
      <c r="AII107" s="13"/>
      <c r="AIJ107" s="13"/>
      <c r="AIK107" s="13"/>
      <c r="AIL107" s="13"/>
      <c r="AIM107" s="13"/>
      <c r="AIN107" s="13"/>
      <c r="AIO107" s="13"/>
      <c r="AIP107" s="13"/>
      <c r="AIQ107" s="13"/>
      <c r="AIR107" s="13"/>
      <c r="AIS107" s="13"/>
      <c r="AIT107" s="13"/>
      <c r="AIU107" s="13"/>
      <c r="AIV107" s="13"/>
      <c r="AIW107" s="13"/>
      <c r="AIX107" s="13"/>
      <c r="AIY107" s="13"/>
      <c r="AIZ107" s="13"/>
      <c r="AJA107" s="13"/>
      <c r="AJB107" s="13"/>
      <c r="AJC107" s="13"/>
      <c r="AJD107" s="13"/>
      <c r="AJE107" s="13"/>
      <c r="AJF107" s="13"/>
      <c r="AJG107" s="13"/>
      <c r="AJH107" s="13"/>
      <c r="AJI107" s="13"/>
      <c r="AJJ107" s="13"/>
      <c r="AJK107" s="13"/>
      <c r="AJL107" s="13"/>
      <c r="AJM107" s="13"/>
      <c r="AJN107" s="13"/>
      <c r="AJO107" s="13"/>
      <c r="AJP107" s="13"/>
      <c r="AJQ107" s="13"/>
      <c r="AJR107" s="13"/>
      <c r="AJS107" s="13"/>
      <c r="AJT107" s="13"/>
      <c r="AJU107" s="13"/>
      <c r="AJV107" s="13"/>
      <c r="AJW107" s="13"/>
      <c r="AJX107" s="13"/>
      <c r="AJY107" s="13"/>
      <c r="AJZ107" s="13"/>
      <c r="AKA107" s="13"/>
      <c r="AKB107" s="13"/>
      <c r="AKC107" s="13"/>
      <c r="AKD107" s="13"/>
      <c r="AKE107" s="13"/>
      <c r="AKF107" s="13"/>
      <c r="AKG107" s="13"/>
      <c r="AKH107" s="13"/>
      <c r="AKI107" s="13"/>
      <c r="AKJ107" s="13"/>
      <c r="AKK107" s="13"/>
      <c r="AKL107" s="13"/>
      <c r="AKM107" s="13"/>
      <c r="AKN107" s="13"/>
      <c r="AKO107" s="13"/>
      <c r="AKP107" s="13"/>
      <c r="AKQ107" s="13"/>
      <c r="AKR107" s="13"/>
      <c r="AKS107" s="13"/>
      <c r="AKT107" s="13"/>
      <c r="AKU107" s="13"/>
      <c r="AKV107" s="13"/>
      <c r="AKW107" s="13"/>
      <c r="AKX107" s="13"/>
      <c r="AKY107" s="13"/>
      <c r="AKZ107" s="13"/>
      <c r="ALA107" s="13"/>
      <c r="ALB107" s="13"/>
      <c r="ALC107" s="13"/>
      <c r="ALD107" s="13"/>
      <c r="ALE107" s="13"/>
      <c r="ALF107" s="13"/>
      <c r="ALG107" s="13"/>
      <c r="ALH107" s="13"/>
      <c r="ALI107" s="13"/>
      <c r="ALJ107" s="13"/>
      <c r="ALK107" s="13"/>
      <c r="ALL107" s="13"/>
      <c r="ALM107" s="13"/>
      <c r="ALN107" s="13"/>
      <c r="ALO107" s="13"/>
      <c r="ALP107" s="13"/>
      <c r="ALQ107" s="13"/>
      <c r="ALR107" s="13"/>
      <c r="ALS107" s="13"/>
      <c r="ALT107" s="13"/>
      <c r="ALU107" s="13"/>
      <c r="ALV107" s="13"/>
      <c r="ALW107" s="13"/>
      <c r="ALX107" s="13"/>
      <c r="ALY107" s="13"/>
      <c r="ALZ107" s="13"/>
      <c r="AMA107" s="13"/>
      <c r="AMB107" s="13"/>
      <c r="AMC107" s="13"/>
      <c r="AMD107" s="13"/>
      <c r="AME107" s="13"/>
      <c r="AMF107" s="13"/>
      <c r="AMG107" s="13"/>
      <c r="AMH107" s="13"/>
      <c r="AMI107" s="13"/>
      <c r="AMJ107" s="13"/>
      <c r="AMK107" s="13"/>
    </row>
    <row r="108" spans="1:1025" ht="12.75" customHeight="1" x14ac:dyDescent="0.2">
      <c r="A108" s="103" t="s">
        <v>86</v>
      </c>
      <c r="B108" s="107">
        <v>0</v>
      </c>
      <c r="C108" s="97">
        <f t="shared" ref="C108:J108" si="122">IF(ISNUMBER(outYear),IF(BatteryFederalDepreciation=5,H93,IF(BatteryFederalDepreciation=7,H94,0)),"")</f>
        <v>0.2</v>
      </c>
      <c r="D108" s="97">
        <f t="shared" si="122"/>
        <v>0.32</v>
      </c>
      <c r="E108" s="97">
        <f t="shared" si="122"/>
        <v>0.192</v>
      </c>
      <c r="F108" s="97">
        <f t="shared" si="122"/>
        <v>0.1152</v>
      </c>
      <c r="G108" s="97">
        <f t="shared" si="122"/>
        <v>0.1152</v>
      </c>
      <c r="H108" s="97">
        <f t="shared" si="122"/>
        <v>5.7599999999999998E-2</v>
      </c>
      <c r="I108" s="97">
        <f t="shared" si="122"/>
        <v>0</v>
      </c>
      <c r="J108" s="97">
        <f t="shared" si="122"/>
        <v>0</v>
      </c>
      <c r="K108" s="97">
        <f t="shared" ref="K108:AH108" si="123">IF(ISNUMBER(outYear),IF(BatteryFederalDepreciation=5,P85,IF(BatteryFederalDepreciation=7,P86,0)),"")</f>
        <v>0</v>
      </c>
      <c r="L108" s="97">
        <f t="shared" si="123"/>
        <v>0</v>
      </c>
      <c r="M108" s="97">
        <f t="shared" si="123"/>
        <v>0</v>
      </c>
      <c r="N108" s="97">
        <f t="shared" si="123"/>
        <v>0</v>
      </c>
      <c r="O108" s="97">
        <f t="shared" si="123"/>
        <v>0</v>
      </c>
      <c r="P108" s="97">
        <f t="shared" si="123"/>
        <v>0</v>
      </c>
      <c r="Q108" s="97">
        <f t="shared" si="123"/>
        <v>0</v>
      </c>
      <c r="R108" s="97">
        <f t="shared" si="123"/>
        <v>0</v>
      </c>
      <c r="S108" s="97">
        <f t="shared" si="123"/>
        <v>0</v>
      </c>
      <c r="T108" s="97">
        <f t="shared" si="123"/>
        <v>0</v>
      </c>
      <c r="U108" s="97">
        <f t="shared" si="123"/>
        <v>0</v>
      </c>
      <c r="V108" s="97">
        <f t="shared" si="123"/>
        <v>0</v>
      </c>
      <c r="W108" s="97">
        <f t="shared" si="123"/>
        <v>0</v>
      </c>
      <c r="X108" s="97">
        <f t="shared" si="123"/>
        <v>0</v>
      </c>
      <c r="Y108" s="97">
        <f t="shared" si="123"/>
        <v>0</v>
      </c>
      <c r="Z108" s="97">
        <f t="shared" si="123"/>
        <v>0</v>
      </c>
      <c r="AA108" s="97">
        <f t="shared" si="123"/>
        <v>0</v>
      </c>
      <c r="AB108" s="97" t="str">
        <f t="shared" si="123"/>
        <v/>
      </c>
      <c r="AC108" s="97" t="str">
        <f t="shared" si="123"/>
        <v/>
      </c>
      <c r="AD108" s="97" t="str">
        <f t="shared" si="123"/>
        <v/>
      </c>
      <c r="AE108" s="97" t="str">
        <f t="shared" si="123"/>
        <v/>
      </c>
      <c r="AF108" s="97" t="str">
        <f t="shared" si="123"/>
        <v/>
      </c>
      <c r="AG108" s="97" t="str">
        <f t="shared" si="123"/>
        <v/>
      </c>
      <c r="AH108" s="97" t="str">
        <f t="shared" si="123"/>
        <v/>
      </c>
      <c r="AI108" s="97" t="str">
        <f t="shared" ref="AI108:BN108" si="124">IF(ISNUMBER(outYear),IF(BatteryFederalDepreciation=5,AN85,IF(BatteryFederalDepreciation=7,AN86,0)),"")</f>
        <v/>
      </c>
      <c r="AJ108" s="97" t="str">
        <f t="shared" si="124"/>
        <v/>
      </c>
      <c r="AK108" s="97" t="str">
        <f t="shared" si="124"/>
        <v/>
      </c>
      <c r="AL108" s="97" t="str">
        <f t="shared" si="124"/>
        <v/>
      </c>
      <c r="AM108" s="97" t="str">
        <f t="shared" si="124"/>
        <v/>
      </c>
      <c r="AN108" s="97" t="str">
        <f t="shared" si="124"/>
        <v/>
      </c>
      <c r="AO108" s="97" t="str">
        <f t="shared" si="124"/>
        <v/>
      </c>
      <c r="AP108" s="97" t="str">
        <f t="shared" si="124"/>
        <v/>
      </c>
      <c r="AQ108" s="97" t="str">
        <f t="shared" si="124"/>
        <v/>
      </c>
      <c r="AR108" s="97" t="str">
        <f t="shared" si="124"/>
        <v/>
      </c>
      <c r="AS108" s="97" t="str">
        <f t="shared" si="124"/>
        <v/>
      </c>
      <c r="AT108" s="97" t="str">
        <f t="shared" si="124"/>
        <v/>
      </c>
      <c r="AU108" s="97" t="str">
        <f t="shared" si="124"/>
        <v/>
      </c>
      <c r="AV108" s="97" t="str">
        <f t="shared" si="124"/>
        <v/>
      </c>
      <c r="AW108" s="97" t="str">
        <f t="shared" si="124"/>
        <v/>
      </c>
      <c r="AX108" s="97" t="str">
        <f t="shared" si="124"/>
        <v/>
      </c>
      <c r="AY108" s="97" t="str">
        <f t="shared" si="124"/>
        <v/>
      </c>
      <c r="AZ108" s="97" t="str">
        <f t="shared" si="124"/>
        <v/>
      </c>
      <c r="BA108" s="97" t="str">
        <f t="shared" si="124"/>
        <v/>
      </c>
      <c r="BB108" s="97" t="str">
        <f t="shared" si="124"/>
        <v/>
      </c>
      <c r="BC108" s="97" t="str">
        <f t="shared" si="124"/>
        <v/>
      </c>
      <c r="BD108" s="97" t="str">
        <f t="shared" si="124"/>
        <v/>
      </c>
      <c r="BE108" s="97" t="str">
        <f t="shared" si="124"/>
        <v/>
      </c>
      <c r="BF108" s="97" t="str">
        <f t="shared" si="124"/>
        <v/>
      </c>
      <c r="BG108" s="97" t="str">
        <f t="shared" si="124"/>
        <v/>
      </c>
      <c r="BH108" s="97" t="str">
        <f t="shared" si="124"/>
        <v/>
      </c>
      <c r="BI108" s="97" t="str">
        <f t="shared" si="124"/>
        <v/>
      </c>
      <c r="BJ108" s="97" t="str">
        <f t="shared" si="124"/>
        <v/>
      </c>
      <c r="BK108" s="97" t="str">
        <f t="shared" si="124"/>
        <v/>
      </c>
      <c r="BL108" s="97" t="str">
        <f t="shared" si="124"/>
        <v/>
      </c>
      <c r="BM108" s="97" t="str">
        <f t="shared" si="124"/>
        <v/>
      </c>
      <c r="BN108" s="97" t="str">
        <f t="shared" si="124"/>
        <v/>
      </c>
      <c r="BO108" s="97" t="str">
        <f t="shared" ref="BO108:CT108" si="125">IF(ISNUMBER(outYear),IF(BatteryFederalDepreciation=5,BT85,IF(BatteryFederalDepreciation=7,BT86,0)),"")</f>
        <v/>
      </c>
      <c r="BP108" s="97" t="str">
        <f t="shared" si="125"/>
        <v/>
      </c>
      <c r="BQ108" s="97" t="str">
        <f t="shared" si="125"/>
        <v/>
      </c>
      <c r="BR108" s="97" t="str">
        <f t="shared" si="125"/>
        <v/>
      </c>
      <c r="BS108" s="97" t="str">
        <f t="shared" si="125"/>
        <v/>
      </c>
      <c r="BT108" s="97" t="str">
        <f t="shared" si="125"/>
        <v/>
      </c>
      <c r="BU108" s="97" t="str">
        <f t="shared" si="125"/>
        <v/>
      </c>
      <c r="BV108" s="97" t="str">
        <f t="shared" si="125"/>
        <v/>
      </c>
      <c r="BW108" s="97" t="str">
        <f t="shared" si="125"/>
        <v/>
      </c>
      <c r="BX108" s="97" t="str">
        <f t="shared" si="125"/>
        <v/>
      </c>
      <c r="BY108" s="97" t="str">
        <f t="shared" si="125"/>
        <v/>
      </c>
      <c r="BZ108" s="97" t="str">
        <f t="shared" si="125"/>
        <v/>
      </c>
      <c r="CA108" s="97" t="str">
        <f t="shared" si="125"/>
        <v/>
      </c>
      <c r="CB108" s="97" t="str">
        <f t="shared" si="125"/>
        <v/>
      </c>
      <c r="CC108" s="97" t="str">
        <f t="shared" si="125"/>
        <v/>
      </c>
      <c r="CD108" s="97" t="str">
        <f t="shared" si="125"/>
        <v/>
      </c>
      <c r="CE108" s="97" t="str">
        <f t="shared" si="125"/>
        <v/>
      </c>
      <c r="CF108" s="97" t="str">
        <f t="shared" si="125"/>
        <v/>
      </c>
      <c r="CG108" s="97" t="str">
        <f t="shared" si="125"/>
        <v/>
      </c>
      <c r="CH108" s="97" t="str">
        <f t="shared" si="125"/>
        <v/>
      </c>
      <c r="CI108" s="97" t="str">
        <f t="shared" si="125"/>
        <v/>
      </c>
      <c r="CJ108" s="97" t="str">
        <f t="shared" si="125"/>
        <v/>
      </c>
      <c r="CK108" s="97" t="str">
        <f t="shared" si="125"/>
        <v/>
      </c>
      <c r="CL108" s="97" t="str">
        <f t="shared" si="125"/>
        <v/>
      </c>
      <c r="CM108" s="97" t="str">
        <f t="shared" si="125"/>
        <v/>
      </c>
      <c r="CN108" s="97" t="str">
        <f t="shared" si="125"/>
        <v/>
      </c>
      <c r="CO108" s="97" t="str">
        <f t="shared" si="125"/>
        <v/>
      </c>
      <c r="CP108" s="97" t="str">
        <f t="shared" si="125"/>
        <v/>
      </c>
      <c r="CQ108" s="97" t="str">
        <f t="shared" si="125"/>
        <v/>
      </c>
      <c r="CR108" s="97" t="str">
        <f t="shared" si="125"/>
        <v/>
      </c>
      <c r="CS108" s="97" t="str">
        <f t="shared" si="125"/>
        <v/>
      </c>
      <c r="CT108" s="97" t="str">
        <f t="shared" si="125"/>
        <v/>
      </c>
      <c r="CU108" s="97" t="str">
        <f t="shared" ref="CU108:CX108" si="126">IF(ISNUMBER(outYear),IF(BatteryFederalDepreciation=5,CZ85,IF(BatteryFederalDepreciation=7,CZ86,0)),"")</f>
        <v/>
      </c>
      <c r="CV108" s="97" t="str">
        <f t="shared" si="126"/>
        <v/>
      </c>
      <c r="CW108" s="97" t="str">
        <f t="shared" si="126"/>
        <v/>
      </c>
      <c r="CX108" s="97" t="str">
        <f t="shared" si="126"/>
        <v/>
      </c>
    </row>
  </sheetData>
  <conditionalFormatting sqref="B48">
    <cfRule type="expression" dxfId="8" priority="5">
      <formula>#REF!="Fixed"</formula>
    </cfRule>
  </conditionalFormatting>
  <conditionalFormatting sqref="B53">
    <cfRule type="expression" dxfId="7" priority="6">
      <formula>#REF!="Fixed"</formula>
    </cfRule>
  </conditionalFormatting>
  <conditionalFormatting sqref="B54">
    <cfRule type="expression" dxfId="6" priority="7">
      <formula>#REF!="Fixed"</formula>
    </cfRule>
  </conditionalFormatting>
  <conditionalFormatting sqref="B82">
    <cfRule type="expression" dxfId="5" priority="8">
      <formula>#REF!="Fixed"</formula>
    </cfRule>
  </conditionalFormatting>
  <conditionalFormatting sqref="B87">
    <cfRule type="expression" dxfId="4" priority="9">
      <formula>#REF!="Fixed"</formula>
    </cfRule>
  </conditionalFormatting>
  <conditionalFormatting sqref="B88">
    <cfRule type="expression" dxfId="3" priority="10">
      <formula>#REF!="Fixed"</formula>
    </cfRule>
  </conditionalFormatting>
  <conditionalFormatting sqref="B65">
    <cfRule type="expression" dxfId="2" priority="1">
      <formula>#REF!="Fixed"</formula>
    </cfRule>
  </conditionalFormatting>
  <conditionalFormatting sqref="B70">
    <cfRule type="expression" dxfId="1" priority="2">
      <formula>#REF!="Fixed"</formula>
    </cfRule>
  </conditionalFormatting>
  <conditionalFormatting sqref="B71">
    <cfRule type="expression" dxfId="0" priority="3">
      <formula>#REF!="Fixed"</formula>
    </cfRule>
  </conditionalFormatting>
  <dataValidations count="1">
    <dataValidation type="list" allowBlank="1" showInputMessage="1" showErrorMessage="1" sqref="B95:D95" xr:uid="{00000000-0002-0000-0000-000000000000}">
      <formula1>$CV$4:$CV$7</formula1>
      <formula2>0</formula2>
    </dataValidation>
  </dataValidations>
  <pageMargins left="0.75" right="0.75" top="1" bottom="1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105"/>
  <sheetViews>
    <sheetView windowProtection="1" zoomScaleNormal="100" workbookViewId="0">
      <pane xSplit="1" ySplit="2" topLeftCell="B78" activePane="bottomRight" state="frozen"/>
      <selection pane="topRight" activeCell="B1" sqref="B1"/>
      <selection pane="bottomLeft" activeCell="A21" sqref="A21"/>
      <selection pane="bottomRight" activeCell="B77" sqref="B77"/>
    </sheetView>
  </sheetViews>
  <sheetFormatPr defaultRowHeight="12.75" x14ac:dyDescent="0.2"/>
  <cols>
    <col min="1" max="1" width="53.7109375"/>
    <col min="2" max="2" width="15.5703125"/>
    <col min="3" max="3" width="13.140625"/>
    <col min="4" max="102" width="15.5703125"/>
    <col min="103" max="1025" width="8.5703125"/>
  </cols>
  <sheetData>
    <row r="1" spans="1:102" ht="20.25" x14ac:dyDescent="0.35">
      <c r="A1" s="108" t="s">
        <v>87</v>
      </c>
      <c r="B1" s="109"/>
      <c r="C1" s="110"/>
      <c r="D1" s="111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2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</row>
    <row r="2" spans="1:102" x14ac:dyDescent="0.2">
      <c r="A2" s="114" t="s">
        <v>88</v>
      </c>
      <c r="B2" s="115">
        <v>0</v>
      </c>
      <c r="C2" s="115">
        <f t="shared" ref="C2:AH2" si="0">IF(B2="","",IF(B2+1&lt;=analysis_period,B2+1,""))</f>
        <v>1</v>
      </c>
      <c r="D2" s="115">
        <f t="shared" si="0"/>
        <v>2</v>
      </c>
      <c r="E2" s="115">
        <f t="shared" si="0"/>
        <v>3</v>
      </c>
      <c r="F2" s="115">
        <f t="shared" si="0"/>
        <v>4</v>
      </c>
      <c r="G2" s="115">
        <f t="shared" si="0"/>
        <v>5</v>
      </c>
      <c r="H2" s="115">
        <f t="shared" si="0"/>
        <v>6</v>
      </c>
      <c r="I2" s="115">
        <f t="shared" si="0"/>
        <v>7</v>
      </c>
      <c r="J2" s="115">
        <f t="shared" si="0"/>
        <v>8</v>
      </c>
      <c r="K2" s="115">
        <f t="shared" si="0"/>
        <v>9</v>
      </c>
      <c r="L2" s="115">
        <f t="shared" si="0"/>
        <v>10</v>
      </c>
      <c r="M2" s="115">
        <f t="shared" si="0"/>
        <v>11</v>
      </c>
      <c r="N2" s="115">
        <f t="shared" si="0"/>
        <v>12</v>
      </c>
      <c r="O2" s="115">
        <f t="shared" si="0"/>
        <v>13</v>
      </c>
      <c r="P2" s="115">
        <f t="shared" si="0"/>
        <v>14</v>
      </c>
      <c r="Q2" s="115">
        <f t="shared" si="0"/>
        <v>15</v>
      </c>
      <c r="R2" s="115">
        <f t="shared" si="0"/>
        <v>16</v>
      </c>
      <c r="S2" s="115">
        <f t="shared" si="0"/>
        <v>17</v>
      </c>
      <c r="T2" s="115">
        <f t="shared" si="0"/>
        <v>18</v>
      </c>
      <c r="U2" s="115">
        <f t="shared" si="0"/>
        <v>19</v>
      </c>
      <c r="V2" s="115">
        <f t="shared" si="0"/>
        <v>20</v>
      </c>
      <c r="W2" s="115">
        <f t="shared" si="0"/>
        <v>21</v>
      </c>
      <c r="X2" s="115">
        <f t="shared" si="0"/>
        <v>22</v>
      </c>
      <c r="Y2" s="115">
        <f t="shared" si="0"/>
        <v>23</v>
      </c>
      <c r="Z2" s="115">
        <f t="shared" si="0"/>
        <v>24</v>
      </c>
      <c r="AA2" s="115">
        <f t="shared" si="0"/>
        <v>25</v>
      </c>
      <c r="AB2" s="115" t="str">
        <f t="shared" si="0"/>
        <v/>
      </c>
      <c r="AC2" s="115" t="str">
        <f t="shared" si="0"/>
        <v/>
      </c>
      <c r="AD2" s="115" t="str">
        <f t="shared" si="0"/>
        <v/>
      </c>
      <c r="AE2" s="115" t="str">
        <f t="shared" si="0"/>
        <v/>
      </c>
      <c r="AF2" s="115" t="str">
        <f t="shared" si="0"/>
        <v/>
      </c>
      <c r="AG2" s="115" t="str">
        <f t="shared" si="0"/>
        <v/>
      </c>
      <c r="AH2" s="115" t="str">
        <f t="shared" si="0"/>
        <v/>
      </c>
      <c r="AI2" s="115" t="str">
        <f t="shared" ref="AI2:BN2" si="1">IF(AH2="","",IF(AH2+1&lt;=analysis_period,AH2+1,""))</f>
        <v/>
      </c>
      <c r="AJ2" s="115" t="str">
        <f t="shared" si="1"/>
        <v/>
      </c>
      <c r="AK2" s="115" t="str">
        <f t="shared" si="1"/>
        <v/>
      </c>
      <c r="AL2" s="115" t="str">
        <f t="shared" si="1"/>
        <v/>
      </c>
      <c r="AM2" s="115" t="str">
        <f t="shared" si="1"/>
        <v/>
      </c>
      <c r="AN2" s="115" t="str">
        <f t="shared" si="1"/>
        <v/>
      </c>
      <c r="AO2" s="115" t="str">
        <f t="shared" si="1"/>
        <v/>
      </c>
      <c r="AP2" s="115" t="str">
        <f t="shared" si="1"/>
        <v/>
      </c>
      <c r="AQ2" s="115" t="str">
        <f t="shared" si="1"/>
        <v/>
      </c>
      <c r="AR2" s="115" t="str">
        <f t="shared" si="1"/>
        <v/>
      </c>
      <c r="AS2" s="115" t="str">
        <f t="shared" si="1"/>
        <v/>
      </c>
      <c r="AT2" s="115" t="str">
        <f t="shared" si="1"/>
        <v/>
      </c>
      <c r="AU2" s="115" t="str">
        <f t="shared" si="1"/>
        <v/>
      </c>
      <c r="AV2" s="115" t="str">
        <f t="shared" si="1"/>
        <v/>
      </c>
      <c r="AW2" s="115" t="str">
        <f t="shared" si="1"/>
        <v/>
      </c>
      <c r="AX2" s="115" t="str">
        <f t="shared" si="1"/>
        <v/>
      </c>
      <c r="AY2" s="115" t="str">
        <f t="shared" si="1"/>
        <v/>
      </c>
      <c r="AZ2" s="115" t="str">
        <f t="shared" si="1"/>
        <v/>
      </c>
      <c r="BA2" s="115" t="str">
        <f t="shared" si="1"/>
        <v/>
      </c>
      <c r="BB2" s="115" t="str">
        <f t="shared" si="1"/>
        <v/>
      </c>
      <c r="BC2" s="115" t="str">
        <f t="shared" si="1"/>
        <v/>
      </c>
      <c r="BD2" s="115" t="str">
        <f t="shared" si="1"/>
        <v/>
      </c>
      <c r="BE2" s="115" t="str">
        <f t="shared" si="1"/>
        <v/>
      </c>
      <c r="BF2" s="115" t="str">
        <f t="shared" si="1"/>
        <v/>
      </c>
      <c r="BG2" s="115" t="str">
        <f t="shared" si="1"/>
        <v/>
      </c>
      <c r="BH2" s="115" t="str">
        <f t="shared" si="1"/>
        <v/>
      </c>
      <c r="BI2" s="115" t="str">
        <f t="shared" si="1"/>
        <v/>
      </c>
      <c r="BJ2" s="115" t="str">
        <f t="shared" si="1"/>
        <v/>
      </c>
      <c r="BK2" s="115" t="str">
        <f t="shared" si="1"/>
        <v/>
      </c>
      <c r="BL2" s="115" t="str">
        <f t="shared" si="1"/>
        <v/>
      </c>
      <c r="BM2" s="115" t="str">
        <f t="shared" si="1"/>
        <v/>
      </c>
      <c r="BN2" s="115" t="str">
        <f t="shared" si="1"/>
        <v/>
      </c>
      <c r="BO2" s="115" t="str">
        <f t="shared" ref="BO2:CX2" si="2">IF(BN2="","",IF(BN2+1&lt;=analysis_period,BN2+1,""))</f>
        <v/>
      </c>
      <c r="BP2" s="115" t="str">
        <f t="shared" si="2"/>
        <v/>
      </c>
      <c r="BQ2" s="115" t="str">
        <f t="shared" si="2"/>
        <v/>
      </c>
      <c r="BR2" s="115" t="str">
        <f t="shared" si="2"/>
        <v/>
      </c>
      <c r="BS2" s="115" t="str">
        <f t="shared" si="2"/>
        <v/>
      </c>
      <c r="BT2" s="115" t="str">
        <f t="shared" si="2"/>
        <v/>
      </c>
      <c r="BU2" s="115" t="str">
        <f t="shared" si="2"/>
        <v/>
      </c>
      <c r="BV2" s="115" t="str">
        <f t="shared" si="2"/>
        <v/>
      </c>
      <c r="BW2" s="115" t="str">
        <f t="shared" si="2"/>
        <v/>
      </c>
      <c r="BX2" s="115" t="str">
        <f t="shared" si="2"/>
        <v/>
      </c>
      <c r="BY2" s="115" t="str">
        <f t="shared" si="2"/>
        <v/>
      </c>
      <c r="BZ2" s="115" t="str">
        <f t="shared" si="2"/>
        <v/>
      </c>
      <c r="CA2" s="115" t="str">
        <f t="shared" si="2"/>
        <v/>
      </c>
      <c r="CB2" s="115" t="str">
        <f t="shared" si="2"/>
        <v/>
      </c>
      <c r="CC2" s="115" t="str">
        <f t="shared" si="2"/>
        <v/>
      </c>
      <c r="CD2" s="115" t="str">
        <f t="shared" si="2"/>
        <v/>
      </c>
      <c r="CE2" s="115" t="str">
        <f t="shared" si="2"/>
        <v/>
      </c>
      <c r="CF2" s="115" t="str">
        <f t="shared" si="2"/>
        <v/>
      </c>
      <c r="CG2" s="115" t="str">
        <f t="shared" si="2"/>
        <v/>
      </c>
      <c r="CH2" s="115" t="str">
        <f t="shared" si="2"/>
        <v/>
      </c>
      <c r="CI2" s="115" t="str">
        <f t="shared" si="2"/>
        <v/>
      </c>
      <c r="CJ2" s="115" t="str">
        <f t="shared" si="2"/>
        <v/>
      </c>
      <c r="CK2" s="115" t="str">
        <f t="shared" si="2"/>
        <v/>
      </c>
      <c r="CL2" s="115" t="str">
        <f t="shared" si="2"/>
        <v/>
      </c>
      <c r="CM2" s="115" t="str">
        <f t="shared" si="2"/>
        <v/>
      </c>
      <c r="CN2" s="115" t="str">
        <f t="shared" si="2"/>
        <v/>
      </c>
      <c r="CO2" s="115" t="str">
        <f t="shared" si="2"/>
        <v/>
      </c>
      <c r="CP2" s="115" t="str">
        <f t="shared" si="2"/>
        <v/>
      </c>
      <c r="CQ2" s="115" t="str">
        <f t="shared" si="2"/>
        <v/>
      </c>
      <c r="CR2" s="115" t="str">
        <f t="shared" si="2"/>
        <v/>
      </c>
      <c r="CS2" s="115" t="str">
        <f t="shared" si="2"/>
        <v/>
      </c>
      <c r="CT2" s="115" t="str">
        <f t="shared" si="2"/>
        <v/>
      </c>
      <c r="CU2" s="115" t="str">
        <f t="shared" si="2"/>
        <v/>
      </c>
      <c r="CV2" s="115" t="str">
        <f t="shared" si="2"/>
        <v/>
      </c>
      <c r="CW2" s="115" t="str">
        <f t="shared" si="2"/>
        <v/>
      </c>
      <c r="CX2" s="115" t="str">
        <f t="shared" si="2"/>
        <v/>
      </c>
    </row>
    <row r="3" spans="1:102" x14ac:dyDescent="0.2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</row>
    <row r="4" spans="1:102" x14ac:dyDescent="0.2">
      <c r="A4" s="114" t="s">
        <v>89</v>
      </c>
      <c r="B4" s="118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9"/>
    </row>
    <row r="5" spans="1:102" x14ac:dyDescent="0.2">
      <c r="A5" s="120" t="s">
        <v>164</v>
      </c>
      <c r="B5" s="121">
        <f>'Inputs and Outputs'!B100</f>
        <v>0</v>
      </c>
      <c r="C5" s="121">
        <f>'Inputs and Outputs'!C100</f>
        <v>411626</v>
      </c>
      <c r="D5" s="121">
        <f>'Inputs and Outputs'!D100</f>
        <v>409567.87</v>
      </c>
      <c r="E5" s="121">
        <f>'Inputs and Outputs'!E100</f>
        <v>407520.03064999997</v>
      </c>
      <c r="F5" s="121">
        <f>'Inputs and Outputs'!F100</f>
        <v>405482.43049674999</v>
      </c>
      <c r="G5" s="121">
        <f>'Inputs and Outputs'!G100</f>
        <v>403455.01834426622</v>
      </c>
      <c r="H5" s="121">
        <f>'Inputs and Outputs'!H100</f>
        <v>401437.7432525449</v>
      </c>
      <c r="I5" s="121">
        <f>'Inputs and Outputs'!I100</f>
        <v>399430.55453628214</v>
      </c>
      <c r="J5" s="121">
        <f>'Inputs and Outputs'!J100</f>
        <v>397433.4017636007</v>
      </c>
      <c r="K5" s="121">
        <f>'Inputs and Outputs'!K100</f>
        <v>395446.23475478269</v>
      </c>
      <c r="L5" s="121">
        <f>'Inputs and Outputs'!L100</f>
        <v>393469.00358100876</v>
      </c>
      <c r="M5" s="121">
        <f>'Inputs and Outputs'!M100</f>
        <v>391501.6585631037</v>
      </c>
      <c r="N5" s="121">
        <f>'Inputs and Outputs'!N100</f>
        <v>389544.15027028817</v>
      </c>
      <c r="O5" s="121">
        <f>'Inputs and Outputs'!O100</f>
        <v>387596.42951893673</v>
      </c>
      <c r="P5" s="121">
        <f>'Inputs and Outputs'!P100</f>
        <v>385658.44737134204</v>
      </c>
      <c r="Q5" s="121">
        <f>'Inputs and Outputs'!Q100</f>
        <v>383730.15513448534</v>
      </c>
      <c r="R5" s="121">
        <f>'Inputs and Outputs'!R100</f>
        <v>381811.50435881293</v>
      </c>
      <c r="S5" s="121">
        <f>'Inputs and Outputs'!S100</f>
        <v>379902.44683701888</v>
      </c>
      <c r="T5" s="121">
        <f>'Inputs and Outputs'!T100</f>
        <v>378002.93460283376</v>
      </c>
      <c r="U5" s="121">
        <f>'Inputs and Outputs'!U100</f>
        <v>376112.91992981959</v>
      </c>
      <c r="V5" s="121">
        <f>'Inputs and Outputs'!V100</f>
        <v>374232.35533017048</v>
      </c>
      <c r="W5" s="121">
        <f>'Inputs and Outputs'!W100</f>
        <v>372361.19355351961</v>
      </c>
      <c r="X5" s="121">
        <f>'Inputs and Outputs'!X100</f>
        <v>370499.387585752</v>
      </c>
      <c r="Y5" s="121">
        <f>'Inputs and Outputs'!Y100</f>
        <v>368646.89064782322</v>
      </c>
      <c r="Z5" s="121">
        <f>'Inputs and Outputs'!Z100</f>
        <v>366803.65619458409</v>
      </c>
      <c r="AA5" s="121">
        <f>'Inputs and Outputs'!AA100</f>
        <v>364969.63791361119</v>
      </c>
      <c r="AB5" s="121" t="str">
        <f>'Inputs and Outputs'!AB100</f>
        <v/>
      </c>
      <c r="AC5" s="121" t="str">
        <f>'Inputs and Outputs'!AC100</f>
        <v/>
      </c>
      <c r="AD5" s="121" t="str">
        <f>'Inputs and Outputs'!AD100</f>
        <v/>
      </c>
      <c r="AE5" s="121" t="str">
        <f>'Inputs and Outputs'!AE100</f>
        <v/>
      </c>
      <c r="AF5" s="121" t="str">
        <f>'Inputs and Outputs'!AF100</f>
        <v/>
      </c>
      <c r="AG5" s="121" t="str">
        <f>'Inputs and Outputs'!AG100</f>
        <v/>
      </c>
      <c r="AH5" s="121" t="str">
        <f>'Inputs and Outputs'!AH100</f>
        <v/>
      </c>
      <c r="AI5" s="121" t="str">
        <f>'Inputs and Outputs'!AI100</f>
        <v/>
      </c>
      <c r="AJ5" s="121" t="str">
        <f>'Inputs and Outputs'!AJ100</f>
        <v/>
      </c>
      <c r="AK5" s="121" t="str">
        <f>'Inputs and Outputs'!AK100</f>
        <v/>
      </c>
      <c r="AL5" s="121" t="str">
        <f>'Inputs and Outputs'!AL100</f>
        <v/>
      </c>
      <c r="AM5" s="121" t="str">
        <f>'Inputs and Outputs'!AM100</f>
        <v/>
      </c>
      <c r="AN5" s="121" t="str">
        <f>'Inputs and Outputs'!AN100</f>
        <v/>
      </c>
      <c r="AO5" s="121" t="str">
        <f>'Inputs and Outputs'!AO100</f>
        <v/>
      </c>
      <c r="AP5" s="121" t="str">
        <f>'Inputs and Outputs'!AP100</f>
        <v/>
      </c>
      <c r="AQ5" s="121" t="str">
        <f>'Inputs and Outputs'!AQ100</f>
        <v/>
      </c>
      <c r="AR5" s="121" t="str">
        <f>'Inputs and Outputs'!AR100</f>
        <v/>
      </c>
      <c r="AS5" s="121" t="str">
        <f>'Inputs and Outputs'!AS100</f>
        <v/>
      </c>
      <c r="AT5" s="121" t="str">
        <f>'Inputs and Outputs'!AT100</f>
        <v/>
      </c>
      <c r="AU5" s="121" t="str">
        <f>'Inputs and Outputs'!AU100</f>
        <v/>
      </c>
      <c r="AV5" s="121" t="str">
        <f>'Inputs and Outputs'!AV100</f>
        <v/>
      </c>
      <c r="AW5" s="121" t="str">
        <f>'Inputs and Outputs'!AW100</f>
        <v/>
      </c>
      <c r="AX5" s="121" t="str">
        <f>'Inputs and Outputs'!AX100</f>
        <v/>
      </c>
      <c r="AY5" s="121" t="str">
        <f>'Inputs and Outputs'!AY100</f>
        <v/>
      </c>
      <c r="AZ5" s="121" t="str">
        <f>'Inputs and Outputs'!AZ100</f>
        <v/>
      </c>
      <c r="BA5" s="121" t="str">
        <f>'Inputs and Outputs'!BA100</f>
        <v/>
      </c>
      <c r="BB5" s="121" t="str">
        <f>'Inputs and Outputs'!BB100</f>
        <v/>
      </c>
      <c r="BC5" s="121" t="str">
        <f>'Inputs and Outputs'!BC100</f>
        <v/>
      </c>
      <c r="BD5" s="121" t="str">
        <f>'Inputs and Outputs'!BD100</f>
        <v/>
      </c>
      <c r="BE5" s="121" t="str">
        <f>'Inputs and Outputs'!BE100</f>
        <v/>
      </c>
      <c r="BF5" s="121" t="str">
        <f>'Inputs and Outputs'!BF100</f>
        <v/>
      </c>
      <c r="BG5" s="121" t="str">
        <f>'Inputs and Outputs'!BG100</f>
        <v/>
      </c>
      <c r="BH5" s="121" t="str">
        <f>'Inputs and Outputs'!BH100</f>
        <v/>
      </c>
      <c r="BI5" s="121" t="str">
        <f>'Inputs and Outputs'!BI100</f>
        <v/>
      </c>
      <c r="BJ5" s="121" t="str">
        <f>'Inputs and Outputs'!BJ100</f>
        <v/>
      </c>
      <c r="BK5" s="121" t="str">
        <f>'Inputs and Outputs'!BK100</f>
        <v/>
      </c>
      <c r="BL5" s="121" t="str">
        <f>'Inputs and Outputs'!BL100</f>
        <v/>
      </c>
      <c r="BM5" s="121" t="str">
        <f>'Inputs and Outputs'!BM100</f>
        <v/>
      </c>
      <c r="BN5" s="121" t="str">
        <f>'Inputs and Outputs'!BN100</f>
        <v/>
      </c>
      <c r="BO5" s="121" t="str">
        <f>'Inputs and Outputs'!BO100</f>
        <v/>
      </c>
      <c r="BP5" s="121" t="str">
        <f>'Inputs and Outputs'!BP100</f>
        <v/>
      </c>
      <c r="BQ5" s="121" t="str">
        <f>'Inputs and Outputs'!BQ100</f>
        <v/>
      </c>
      <c r="BR5" s="121" t="str">
        <f>'Inputs and Outputs'!BR100</f>
        <v/>
      </c>
      <c r="BS5" s="121" t="str">
        <f>'Inputs and Outputs'!BS100</f>
        <v/>
      </c>
      <c r="BT5" s="121" t="str">
        <f>'Inputs and Outputs'!BT100</f>
        <v/>
      </c>
      <c r="BU5" s="121" t="str">
        <f>'Inputs and Outputs'!BU100</f>
        <v/>
      </c>
      <c r="BV5" s="121" t="str">
        <f>'Inputs and Outputs'!BV100</f>
        <v/>
      </c>
      <c r="BW5" s="121" t="str">
        <f>'Inputs and Outputs'!BW100</f>
        <v/>
      </c>
      <c r="BX5" s="121" t="str">
        <f>'Inputs and Outputs'!BX100</f>
        <v/>
      </c>
      <c r="BY5" s="121" t="str">
        <f>'Inputs and Outputs'!BY100</f>
        <v/>
      </c>
      <c r="BZ5" s="121" t="str">
        <f>'Inputs and Outputs'!BZ100</f>
        <v/>
      </c>
      <c r="CA5" s="121" t="str">
        <f>'Inputs and Outputs'!CA100</f>
        <v/>
      </c>
      <c r="CB5" s="121" t="str">
        <f>'Inputs and Outputs'!CB100</f>
        <v/>
      </c>
      <c r="CC5" s="121" t="str">
        <f>'Inputs and Outputs'!CC100</f>
        <v/>
      </c>
      <c r="CD5" s="121" t="str">
        <f>'Inputs and Outputs'!CD100</f>
        <v/>
      </c>
      <c r="CE5" s="121" t="str">
        <f>'Inputs and Outputs'!CE100</f>
        <v/>
      </c>
      <c r="CF5" s="121" t="str">
        <f>'Inputs and Outputs'!CF100</f>
        <v/>
      </c>
      <c r="CG5" s="121" t="str">
        <f>'Inputs and Outputs'!CG100</f>
        <v/>
      </c>
      <c r="CH5" s="121" t="str">
        <f>'Inputs and Outputs'!CH100</f>
        <v/>
      </c>
      <c r="CI5" s="121" t="str">
        <f>'Inputs and Outputs'!CI100</f>
        <v/>
      </c>
      <c r="CJ5" s="121" t="str">
        <f>'Inputs and Outputs'!CJ100</f>
        <v/>
      </c>
      <c r="CK5" s="121" t="str">
        <f>'Inputs and Outputs'!CK100</f>
        <v/>
      </c>
      <c r="CL5" s="121" t="str">
        <f>'Inputs and Outputs'!CL100</f>
        <v/>
      </c>
      <c r="CM5" s="121" t="str">
        <f>'Inputs and Outputs'!CM100</f>
        <v/>
      </c>
      <c r="CN5" s="121" t="str">
        <f>'Inputs and Outputs'!CN100</f>
        <v/>
      </c>
      <c r="CO5" s="121" t="str">
        <f>'Inputs and Outputs'!CO100</f>
        <v/>
      </c>
      <c r="CP5" s="121" t="str">
        <f>'Inputs and Outputs'!CP100</f>
        <v/>
      </c>
      <c r="CQ5" s="121" t="str">
        <f>'Inputs and Outputs'!CQ100</f>
        <v/>
      </c>
      <c r="CR5" s="121" t="str">
        <f>'Inputs and Outputs'!CR100</f>
        <v/>
      </c>
      <c r="CS5" s="121" t="str">
        <f>'Inputs and Outputs'!CS100</f>
        <v/>
      </c>
      <c r="CT5" s="121" t="str">
        <f>'Inputs and Outputs'!CT100</f>
        <v/>
      </c>
      <c r="CU5" s="121" t="str">
        <f>'Inputs and Outputs'!CU100</f>
        <v/>
      </c>
      <c r="CV5" s="121" t="str">
        <f>'Inputs and Outputs'!CV100</f>
        <v/>
      </c>
      <c r="CW5" s="121" t="str">
        <f>'Inputs and Outputs'!CW100</f>
        <v/>
      </c>
      <c r="CX5" s="121" t="str">
        <f>'Inputs and Outputs'!CX100</f>
        <v/>
      </c>
    </row>
    <row r="6" spans="1:102" s="133" customFormat="1" x14ac:dyDescent="0.2">
      <c r="A6" s="157" t="s">
        <v>165</v>
      </c>
      <c r="B6" s="121">
        <f>'Inputs and Outputs'!B101</f>
        <v>0</v>
      </c>
      <c r="C6" s="121">
        <f>'Inputs and Outputs'!C101</f>
        <v>0</v>
      </c>
      <c r="D6" s="121">
        <f>'Inputs and Outputs'!D101</f>
        <v>0</v>
      </c>
      <c r="E6" s="121">
        <f>'Inputs and Outputs'!E101</f>
        <v>0</v>
      </c>
      <c r="F6" s="121">
        <f>'Inputs and Outputs'!F101</f>
        <v>0</v>
      </c>
      <c r="G6" s="121">
        <f>'Inputs and Outputs'!G101</f>
        <v>0</v>
      </c>
      <c r="H6" s="121">
        <f>'Inputs and Outputs'!H101</f>
        <v>0</v>
      </c>
      <c r="I6" s="121">
        <f>'Inputs and Outputs'!I101</f>
        <v>0</v>
      </c>
      <c r="J6" s="121">
        <f>'Inputs and Outputs'!J101</f>
        <v>0</v>
      </c>
      <c r="K6" s="121">
        <f>'Inputs and Outputs'!K101</f>
        <v>0</v>
      </c>
      <c r="L6" s="121">
        <f>'Inputs and Outputs'!L101</f>
        <v>0</v>
      </c>
      <c r="M6" s="121">
        <f>'Inputs and Outputs'!M101</f>
        <v>0</v>
      </c>
      <c r="N6" s="121">
        <f>'Inputs and Outputs'!N101</f>
        <v>0</v>
      </c>
      <c r="O6" s="121">
        <f>'Inputs and Outputs'!O101</f>
        <v>0</v>
      </c>
      <c r="P6" s="121">
        <f>'Inputs and Outputs'!P101</f>
        <v>0</v>
      </c>
      <c r="Q6" s="121">
        <f>'Inputs and Outputs'!Q101</f>
        <v>0</v>
      </c>
      <c r="R6" s="121">
        <f>'Inputs and Outputs'!R101</f>
        <v>0</v>
      </c>
      <c r="S6" s="121">
        <f>'Inputs and Outputs'!S101</f>
        <v>0</v>
      </c>
      <c r="T6" s="121">
        <f>'Inputs and Outputs'!T101</f>
        <v>0</v>
      </c>
      <c r="U6" s="121">
        <f>'Inputs and Outputs'!U101</f>
        <v>0</v>
      </c>
      <c r="V6" s="121">
        <f>'Inputs and Outputs'!V101</f>
        <v>0</v>
      </c>
      <c r="W6" s="121">
        <f>'Inputs and Outputs'!W101</f>
        <v>0</v>
      </c>
      <c r="X6" s="121">
        <f>'Inputs and Outputs'!X101</f>
        <v>0</v>
      </c>
      <c r="Y6" s="121">
        <f>'Inputs and Outputs'!Y101</f>
        <v>0</v>
      </c>
      <c r="Z6" s="121">
        <f>'Inputs and Outputs'!Z101</f>
        <v>0</v>
      </c>
      <c r="AA6" s="121">
        <f>'Inputs and Outputs'!AA101</f>
        <v>0</v>
      </c>
      <c r="AB6" s="121" t="str">
        <f>'Inputs and Outputs'!AB101</f>
        <v/>
      </c>
      <c r="AC6" s="121" t="str">
        <f>'Inputs and Outputs'!AC101</f>
        <v/>
      </c>
      <c r="AD6" s="121" t="str">
        <f>'Inputs and Outputs'!AD101</f>
        <v/>
      </c>
      <c r="AE6" s="121" t="str">
        <f>'Inputs and Outputs'!AE101</f>
        <v/>
      </c>
      <c r="AF6" s="121" t="str">
        <f>'Inputs and Outputs'!AF101</f>
        <v/>
      </c>
      <c r="AG6" s="121" t="str">
        <f>'Inputs and Outputs'!AG101</f>
        <v/>
      </c>
      <c r="AH6" s="121" t="str">
        <f>'Inputs and Outputs'!AH101</f>
        <v/>
      </c>
      <c r="AI6" s="121" t="str">
        <f>'Inputs and Outputs'!AI101</f>
        <v/>
      </c>
      <c r="AJ6" s="121" t="str">
        <f>'Inputs and Outputs'!AJ101</f>
        <v/>
      </c>
      <c r="AK6" s="121" t="str">
        <f>'Inputs and Outputs'!AK101</f>
        <v/>
      </c>
      <c r="AL6" s="121" t="str">
        <f>'Inputs and Outputs'!AL101</f>
        <v/>
      </c>
      <c r="AM6" s="121" t="str">
        <f>'Inputs and Outputs'!AM101</f>
        <v/>
      </c>
      <c r="AN6" s="121" t="str">
        <f>'Inputs and Outputs'!AN101</f>
        <v/>
      </c>
      <c r="AO6" s="121" t="str">
        <f>'Inputs and Outputs'!AO101</f>
        <v/>
      </c>
      <c r="AP6" s="121" t="str">
        <f>'Inputs and Outputs'!AP101</f>
        <v/>
      </c>
      <c r="AQ6" s="121" t="str">
        <f>'Inputs and Outputs'!AQ101</f>
        <v/>
      </c>
      <c r="AR6" s="121" t="str">
        <f>'Inputs and Outputs'!AR101</f>
        <v/>
      </c>
      <c r="AS6" s="121" t="str">
        <f>'Inputs and Outputs'!AS101</f>
        <v/>
      </c>
      <c r="AT6" s="121" t="str">
        <f>'Inputs and Outputs'!AT101</f>
        <v/>
      </c>
      <c r="AU6" s="121" t="str">
        <f>'Inputs and Outputs'!AU101</f>
        <v/>
      </c>
      <c r="AV6" s="121" t="str">
        <f>'Inputs and Outputs'!AV101</f>
        <v/>
      </c>
      <c r="AW6" s="121" t="str">
        <f>'Inputs and Outputs'!AW101</f>
        <v/>
      </c>
      <c r="AX6" s="121" t="str">
        <f>'Inputs and Outputs'!AX101</f>
        <v/>
      </c>
      <c r="AY6" s="121" t="str">
        <f>'Inputs and Outputs'!AY101</f>
        <v/>
      </c>
      <c r="AZ6" s="121" t="str">
        <f>'Inputs and Outputs'!AZ101</f>
        <v/>
      </c>
      <c r="BA6" s="121" t="str">
        <f>'Inputs and Outputs'!BA101</f>
        <v/>
      </c>
      <c r="BB6" s="121" t="str">
        <f>'Inputs and Outputs'!BB101</f>
        <v/>
      </c>
      <c r="BC6" s="121" t="str">
        <f>'Inputs and Outputs'!BC101</f>
        <v/>
      </c>
      <c r="BD6" s="121" t="str">
        <f>'Inputs and Outputs'!BD101</f>
        <v/>
      </c>
      <c r="BE6" s="121" t="str">
        <f>'Inputs and Outputs'!BE101</f>
        <v/>
      </c>
      <c r="BF6" s="121" t="str">
        <f>'Inputs and Outputs'!BF101</f>
        <v/>
      </c>
      <c r="BG6" s="121" t="str">
        <f>'Inputs and Outputs'!BG101</f>
        <v/>
      </c>
      <c r="BH6" s="121" t="str">
        <f>'Inputs and Outputs'!BH101</f>
        <v/>
      </c>
      <c r="BI6" s="121" t="str">
        <f>'Inputs and Outputs'!BI101</f>
        <v/>
      </c>
      <c r="BJ6" s="121" t="str">
        <f>'Inputs and Outputs'!BJ101</f>
        <v/>
      </c>
      <c r="BK6" s="121" t="str">
        <f>'Inputs and Outputs'!BK101</f>
        <v/>
      </c>
      <c r="BL6" s="121" t="str">
        <f>'Inputs and Outputs'!BL101</f>
        <v/>
      </c>
      <c r="BM6" s="121" t="str">
        <f>'Inputs and Outputs'!BM101</f>
        <v/>
      </c>
      <c r="BN6" s="121" t="str">
        <f>'Inputs and Outputs'!BN101</f>
        <v/>
      </c>
      <c r="BO6" s="121" t="str">
        <f>'Inputs and Outputs'!BO101</f>
        <v/>
      </c>
      <c r="BP6" s="121" t="str">
        <f>'Inputs and Outputs'!BP101</f>
        <v/>
      </c>
      <c r="BQ6" s="121" t="str">
        <f>'Inputs and Outputs'!BQ101</f>
        <v/>
      </c>
      <c r="BR6" s="121" t="str">
        <f>'Inputs and Outputs'!BR101</f>
        <v/>
      </c>
      <c r="BS6" s="121" t="str">
        <f>'Inputs and Outputs'!BS101</f>
        <v/>
      </c>
      <c r="BT6" s="121" t="str">
        <f>'Inputs and Outputs'!BT101</f>
        <v/>
      </c>
      <c r="BU6" s="121" t="str">
        <f>'Inputs and Outputs'!BU101</f>
        <v/>
      </c>
      <c r="BV6" s="121" t="str">
        <f>'Inputs and Outputs'!BV101</f>
        <v/>
      </c>
      <c r="BW6" s="121" t="str">
        <f>'Inputs and Outputs'!BW101</f>
        <v/>
      </c>
      <c r="BX6" s="121" t="str">
        <f>'Inputs and Outputs'!BX101</f>
        <v/>
      </c>
      <c r="BY6" s="121" t="str">
        <f>'Inputs and Outputs'!BY101</f>
        <v/>
      </c>
      <c r="BZ6" s="121" t="str">
        <f>'Inputs and Outputs'!BZ101</f>
        <v/>
      </c>
      <c r="CA6" s="121" t="str">
        <f>'Inputs and Outputs'!CA101</f>
        <v/>
      </c>
      <c r="CB6" s="121" t="str">
        <f>'Inputs and Outputs'!CB101</f>
        <v/>
      </c>
      <c r="CC6" s="121" t="str">
        <f>'Inputs and Outputs'!CC101</f>
        <v/>
      </c>
      <c r="CD6" s="121" t="str">
        <f>'Inputs and Outputs'!CD101</f>
        <v/>
      </c>
      <c r="CE6" s="121" t="str">
        <f>'Inputs and Outputs'!CE101</f>
        <v/>
      </c>
      <c r="CF6" s="121" t="str">
        <f>'Inputs and Outputs'!CF101</f>
        <v/>
      </c>
      <c r="CG6" s="121" t="str">
        <f>'Inputs and Outputs'!CG101</f>
        <v/>
      </c>
      <c r="CH6" s="121" t="str">
        <f>'Inputs and Outputs'!CH101</f>
        <v/>
      </c>
      <c r="CI6" s="121" t="str">
        <f>'Inputs and Outputs'!CI101</f>
        <v/>
      </c>
      <c r="CJ6" s="121" t="str">
        <f>'Inputs and Outputs'!CJ101</f>
        <v/>
      </c>
      <c r="CK6" s="121" t="str">
        <f>'Inputs and Outputs'!CK101</f>
        <v/>
      </c>
      <c r="CL6" s="121" t="str">
        <f>'Inputs and Outputs'!CL101</f>
        <v/>
      </c>
      <c r="CM6" s="121" t="str">
        <f>'Inputs and Outputs'!CM101</f>
        <v/>
      </c>
      <c r="CN6" s="121" t="str">
        <f>'Inputs and Outputs'!CN101</f>
        <v/>
      </c>
      <c r="CO6" s="121" t="str">
        <f>'Inputs and Outputs'!CO101</f>
        <v/>
      </c>
      <c r="CP6" s="121" t="str">
        <f>'Inputs and Outputs'!CP101</f>
        <v/>
      </c>
      <c r="CQ6" s="121" t="str">
        <f>'Inputs and Outputs'!CQ101</f>
        <v/>
      </c>
      <c r="CR6" s="121" t="str">
        <f>'Inputs and Outputs'!CR101</f>
        <v/>
      </c>
      <c r="CS6" s="121" t="str">
        <f>'Inputs and Outputs'!CS101</f>
        <v/>
      </c>
      <c r="CT6" s="121" t="str">
        <f>'Inputs and Outputs'!CT101</f>
        <v/>
      </c>
      <c r="CU6" s="121" t="str">
        <f>'Inputs and Outputs'!CU101</f>
        <v/>
      </c>
      <c r="CV6" s="121" t="str">
        <f>'Inputs and Outputs'!CV101</f>
        <v/>
      </c>
      <c r="CW6" s="121" t="str">
        <f>'Inputs and Outputs'!CW101</f>
        <v/>
      </c>
      <c r="CX6" s="121" t="str">
        <f>'Inputs and Outputs'!CX101</f>
        <v/>
      </c>
    </row>
    <row r="7" spans="1:102" x14ac:dyDescent="0.2">
      <c r="A7" s="120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1"/>
      <c r="CF7" s="121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  <c r="CS7" s="121"/>
      <c r="CT7" s="121"/>
      <c r="CU7" s="121"/>
      <c r="CV7" s="121"/>
      <c r="CW7" s="121"/>
      <c r="CX7" s="121"/>
    </row>
    <row r="8" spans="1:102" x14ac:dyDescent="0.2">
      <c r="A8" s="114" t="s">
        <v>90</v>
      </c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3"/>
    </row>
    <row r="9" spans="1:102" x14ac:dyDescent="0.2">
      <c r="A9" s="124" t="s">
        <v>84</v>
      </c>
      <c r="B9" s="125">
        <f t="array" ref="B9:CX9">'Inputs and Outputs'!B105:CX105</f>
        <v>0</v>
      </c>
      <c r="C9" s="125">
        <v>54867.032812500023</v>
      </c>
      <c r="D9" s="125">
        <v>56464.469960254035</v>
      </c>
      <c r="E9" s="125">
        <v>58108.645517141675</v>
      </c>
      <c r="F9" s="125">
        <v>59800.932903589448</v>
      </c>
      <c r="G9" s="125">
        <v>61542.746050846181</v>
      </c>
      <c r="H9" s="125">
        <v>63335.540599807515</v>
      </c>
      <c r="I9" s="125">
        <v>65180.815135415643</v>
      </c>
      <c r="J9" s="125">
        <v>67080.112457693438</v>
      </c>
      <c r="K9" s="125">
        <v>69035.020890503074</v>
      </c>
      <c r="L9" s="125">
        <v>71047.175629150355</v>
      </c>
      <c r="M9" s="125">
        <v>73118.260127992369</v>
      </c>
      <c r="N9" s="125">
        <v>75250.007529236376</v>
      </c>
      <c r="O9" s="125">
        <v>77444.202134157065</v>
      </c>
      <c r="P9" s="125">
        <v>79702.680917995749</v>
      </c>
      <c r="Q9" s="125">
        <v>82027.335089835804</v>
      </c>
      <c r="R9" s="125">
        <v>84420.111698803026</v>
      </c>
      <c r="S9" s="125">
        <v>86883.015287956689</v>
      </c>
      <c r="T9" s="125">
        <v>89418.109597304137</v>
      </c>
      <c r="U9" s="125">
        <v>92027.519317389</v>
      </c>
      <c r="V9" s="125">
        <v>94713.431894968264</v>
      </c>
      <c r="W9" s="125">
        <v>97478.099392321892</v>
      </c>
      <c r="X9" s="125">
        <v>100323.84040179639</v>
      </c>
      <c r="Y9" s="125">
        <v>103253.04201722308</v>
      </c>
      <c r="Z9" s="125">
        <v>106268.16186390864</v>
      </c>
      <c r="AA9" s="125">
        <v>109371.730188936</v>
      </c>
      <c r="AB9" s="125" t="str">
        <v/>
      </c>
      <c r="AC9" s="125" t="str">
        <v/>
      </c>
      <c r="AD9" s="125" t="str">
        <v/>
      </c>
      <c r="AE9" s="125" t="str">
        <v/>
      </c>
      <c r="AF9" s="125" t="str">
        <v/>
      </c>
      <c r="AG9" s="125" t="str">
        <v/>
      </c>
      <c r="AH9" s="125" t="str">
        <v/>
      </c>
      <c r="AI9" s="125" t="str">
        <v/>
      </c>
      <c r="AJ9" s="125" t="str">
        <v/>
      </c>
      <c r="AK9" s="125" t="str">
        <v/>
      </c>
      <c r="AL9" s="125" t="str">
        <v/>
      </c>
      <c r="AM9" s="125" t="str">
        <v/>
      </c>
      <c r="AN9" s="125" t="str">
        <v/>
      </c>
      <c r="AO9" s="125" t="str">
        <v/>
      </c>
      <c r="AP9" s="125" t="str">
        <v/>
      </c>
      <c r="AQ9" s="125" t="str">
        <v/>
      </c>
      <c r="AR9" s="125" t="str">
        <v/>
      </c>
      <c r="AS9" s="125" t="str">
        <v/>
      </c>
      <c r="AT9" s="125" t="str">
        <v/>
      </c>
      <c r="AU9" s="125" t="str">
        <v/>
      </c>
      <c r="AV9" s="125" t="str">
        <v/>
      </c>
      <c r="AW9" s="125" t="str">
        <v/>
      </c>
      <c r="AX9" s="125" t="str">
        <v/>
      </c>
      <c r="AY9" s="125" t="str">
        <v/>
      </c>
      <c r="AZ9" s="125" t="str">
        <v/>
      </c>
      <c r="BA9" s="125" t="str">
        <v/>
      </c>
      <c r="BB9" s="125" t="str">
        <v/>
      </c>
      <c r="BC9" s="125" t="str">
        <v/>
      </c>
      <c r="BD9" s="125" t="str">
        <v/>
      </c>
      <c r="BE9" s="125" t="str">
        <v/>
      </c>
      <c r="BF9" s="125" t="str">
        <v/>
      </c>
      <c r="BG9" s="125" t="str">
        <v/>
      </c>
      <c r="BH9" s="125" t="str">
        <v/>
      </c>
      <c r="BI9" s="125" t="str">
        <v/>
      </c>
      <c r="BJ9" s="125" t="str">
        <v/>
      </c>
      <c r="BK9" s="125" t="str">
        <v/>
      </c>
      <c r="BL9" s="125" t="str">
        <v/>
      </c>
      <c r="BM9" s="125" t="str">
        <v/>
      </c>
      <c r="BN9" s="125" t="str">
        <v/>
      </c>
      <c r="BO9" s="125" t="str">
        <v/>
      </c>
      <c r="BP9" s="125" t="str">
        <v/>
      </c>
      <c r="BQ9" s="125" t="str">
        <v/>
      </c>
      <c r="BR9" s="125" t="str">
        <v/>
      </c>
      <c r="BS9" s="125" t="str">
        <v/>
      </c>
      <c r="BT9" s="125" t="str">
        <v/>
      </c>
      <c r="BU9" s="125" t="str">
        <v/>
      </c>
      <c r="BV9" s="125" t="str">
        <v/>
      </c>
      <c r="BW9" s="125" t="str">
        <v/>
      </c>
      <c r="BX9" s="125" t="str">
        <v/>
      </c>
      <c r="BY9" s="125" t="str">
        <v/>
      </c>
      <c r="BZ9" s="125" t="str">
        <v/>
      </c>
      <c r="CA9" s="125" t="str">
        <v/>
      </c>
      <c r="CB9" s="125" t="str">
        <v/>
      </c>
      <c r="CC9" s="125" t="str">
        <v/>
      </c>
      <c r="CD9" s="125" t="str">
        <v/>
      </c>
      <c r="CE9" s="125" t="str">
        <v/>
      </c>
      <c r="CF9" s="125" t="str">
        <v/>
      </c>
      <c r="CG9" s="125" t="str">
        <v/>
      </c>
      <c r="CH9" s="125" t="str">
        <v/>
      </c>
      <c r="CI9" s="125" t="str">
        <v/>
      </c>
      <c r="CJ9" s="125" t="str">
        <v/>
      </c>
      <c r="CK9" s="125" t="str">
        <v/>
      </c>
      <c r="CL9" s="125" t="str">
        <v/>
      </c>
      <c r="CM9" s="125" t="str">
        <v/>
      </c>
      <c r="CN9" s="125" t="str">
        <v/>
      </c>
      <c r="CO9" s="125" t="str">
        <v/>
      </c>
      <c r="CP9" s="125" t="str">
        <v/>
      </c>
      <c r="CQ9" s="125" t="str">
        <v/>
      </c>
      <c r="CR9" s="125" t="str">
        <v/>
      </c>
      <c r="CS9" s="125" t="str">
        <v/>
      </c>
      <c r="CT9" s="125" t="str">
        <v/>
      </c>
      <c r="CU9" s="125" t="str">
        <v/>
      </c>
      <c r="CV9" s="125" t="str">
        <v/>
      </c>
      <c r="CW9" s="125" t="str">
        <v/>
      </c>
      <c r="CX9" s="125" t="str">
        <v/>
      </c>
    </row>
    <row r="10" spans="1:102" x14ac:dyDescent="0.2">
      <c r="A10" s="126"/>
      <c r="B10" s="127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</row>
    <row r="11" spans="1:102" x14ac:dyDescent="0.2">
      <c r="A11" s="129" t="s">
        <v>91</v>
      </c>
      <c r="B11" s="130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2"/>
    </row>
    <row r="12" spans="1:102" s="133" customFormat="1" x14ac:dyDescent="0.2">
      <c r="A12" s="120" t="s">
        <v>26</v>
      </c>
      <c r="B12" s="127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8"/>
      <c r="CC12" s="128"/>
      <c r="CD12" s="128"/>
      <c r="CE12" s="128"/>
      <c r="CF12" s="128"/>
      <c r="CG12" s="128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</row>
    <row r="13" spans="1:102" x14ac:dyDescent="0.2">
      <c r="A13" s="134" t="s">
        <v>153</v>
      </c>
      <c r="B13" s="135"/>
      <c r="C13" s="125">
        <f t="shared" ref="C13:AH13" si="3">IF(AND(ISNUMBER(outYear),ISNUMBER(om_capacity)),om_capacity*(1+inflation_rate/100)^C2*system_capacity,"")</f>
        <v>4501.5129999999999</v>
      </c>
      <c r="D13" s="125">
        <f t="shared" si="3"/>
        <v>4614.0508250000003</v>
      </c>
      <c r="E13" s="125">
        <f t="shared" si="3"/>
        <v>4729.4020956249997</v>
      </c>
      <c r="F13" s="125">
        <f t="shared" si="3"/>
        <v>4847.637148015624</v>
      </c>
      <c r="G13" s="125">
        <f t="shared" si="3"/>
        <v>4968.828076716014</v>
      </c>
      <c r="H13" s="125">
        <f t="shared" si="3"/>
        <v>5093.0487786339145</v>
      </c>
      <c r="I13" s="125">
        <f t="shared" si="3"/>
        <v>5220.3749980997627</v>
      </c>
      <c r="J13" s="125">
        <f t="shared" si="3"/>
        <v>5350.8843730522567</v>
      </c>
      <c r="K13" s="125">
        <f t="shared" si="3"/>
        <v>5484.6564823785611</v>
      </c>
      <c r="L13" s="125">
        <f t="shared" si="3"/>
        <v>5621.7728944380251</v>
      </c>
      <c r="M13" s="125">
        <f t="shared" si="3"/>
        <v>5762.317216798976</v>
      </c>
      <c r="N13" s="125">
        <f t="shared" si="3"/>
        <v>5906.3751472189497</v>
      </c>
      <c r="O13" s="125">
        <f t="shared" si="3"/>
        <v>6054.034525899423</v>
      </c>
      <c r="P13" s="125">
        <f t="shared" si="3"/>
        <v>6205.385389046909</v>
      </c>
      <c r="Q13" s="125">
        <f t="shared" si="3"/>
        <v>6360.5200237730824</v>
      </c>
      <c r="R13" s="125">
        <f t="shared" si="3"/>
        <v>6519.5330243674089</v>
      </c>
      <c r="S13" s="125">
        <f t="shared" si="3"/>
        <v>6682.5213499765923</v>
      </c>
      <c r="T13" s="125">
        <f t="shared" si="3"/>
        <v>6849.5843837260081</v>
      </c>
      <c r="U13" s="125">
        <f t="shared" si="3"/>
        <v>7020.823993319158</v>
      </c>
      <c r="V13" s="125">
        <f t="shared" si="3"/>
        <v>7196.3445931521355</v>
      </c>
      <c r="W13" s="125">
        <f t="shared" si="3"/>
        <v>7376.2532079809389</v>
      </c>
      <c r="X13" s="125">
        <f t="shared" si="3"/>
        <v>7560.6595381804627</v>
      </c>
      <c r="Y13" s="125">
        <f t="shared" si="3"/>
        <v>7749.6760266349738</v>
      </c>
      <c r="Z13" s="125">
        <f t="shared" si="3"/>
        <v>7943.4179273008485</v>
      </c>
      <c r="AA13" s="125">
        <f t="shared" si="3"/>
        <v>8142.0033754833667</v>
      </c>
      <c r="AB13" s="125" t="str">
        <f t="shared" si="3"/>
        <v/>
      </c>
      <c r="AC13" s="125" t="str">
        <f t="shared" si="3"/>
        <v/>
      </c>
      <c r="AD13" s="125" t="str">
        <f t="shared" si="3"/>
        <v/>
      </c>
      <c r="AE13" s="125" t="str">
        <f t="shared" si="3"/>
        <v/>
      </c>
      <c r="AF13" s="125" t="str">
        <f t="shared" si="3"/>
        <v/>
      </c>
      <c r="AG13" s="125" t="str">
        <f t="shared" si="3"/>
        <v/>
      </c>
      <c r="AH13" s="125" t="str">
        <f t="shared" si="3"/>
        <v/>
      </c>
      <c r="AI13" s="125" t="str">
        <f t="shared" ref="AI13:BN13" si="4">IF(AND(ISNUMBER(outYear),ISNUMBER(om_capacity)),om_capacity*(1+inflation_rate/100)^AI2*system_capacity,"")</f>
        <v/>
      </c>
      <c r="AJ13" s="125" t="str">
        <f t="shared" si="4"/>
        <v/>
      </c>
      <c r="AK13" s="125" t="str">
        <f t="shared" si="4"/>
        <v/>
      </c>
      <c r="AL13" s="125" t="str">
        <f t="shared" si="4"/>
        <v/>
      </c>
      <c r="AM13" s="125" t="str">
        <f t="shared" si="4"/>
        <v/>
      </c>
      <c r="AN13" s="125" t="str">
        <f t="shared" si="4"/>
        <v/>
      </c>
      <c r="AO13" s="125" t="str">
        <f t="shared" si="4"/>
        <v/>
      </c>
      <c r="AP13" s="125" t="str">
        <f t="shared" si="4"/>
        <v/>
      </c>
      <c r="AQ13" s="125" t="str">
        <f t="shared" si="4"/>
        <v/>
      </c>
      <c r="AR13" s="125" t="str">
        <f t="shared" si="4"/>
        <v/>
      </c>
      <c r="AS13" s="125" t="str">
        <f t="shared" si="4"/>
        <v/>
      </c>
      <c r="AT13" s="125" t="str">
        <f t="shared" si="4"/>
        <v/>
      </c>
      <c r="AU13" s="125" t="str">
        <f t="shared" si="4"/>
        <v/>
      </c>
      <c r="AV13" s="125" t="str">
        <f t="shared" si="4"/>
        <v/>
      </c>
      <c r="AW13" s="125" t="str">
        <f t="shared" si="4"/>
        <v/>
      </c>
      <c r="AX13" s="125" t="str">
        <f t="shared" si="4"/>
        <v/>
      </c>
      <c r="AY13" s="125" t="str">
        <f t="shared" si="4"/>
        <v/>
      </c>
      <c r="AZ13" s="125" t="str">
        <f t="shared" si="4"/>
        <v/>
      </c>
      <c r="BA13" s="125" t="str">
        <f t="shared" si="4"/>
        <v/>
      </c>
      <c r="BB13" s="125" t="str">
        <f t="shared" si="4"/>
        <v/>
      </c>
      <c r="BC13" s="125" t="str">
        <f t="shared" si="4"/>
        <v/>
      </c>
      <c r="BD13" s="125" t="str">
        <f t="shared" si="4"/>
        <v/>
      </c>
      <c r="BE13" s="125" t="str">
        <f t="shared" si="4"/>
        <v/>
      </c>
      <c r="BF13" s="125" t="str">
        <f t="shared" si="4"/>
        <v/>
      </c>
      <c r="BG13" s="125" t="str">
        <f t="shared" si="4"/>
        <v/>
      </c>
      <c r="BH13" s="125" t="str">
        <f t="shared" si="4"/>
        <v/>
      </c>
      <c r="BI13" s="125" t="str">
        <f t="shared" si="4"/>
        <v/>
      </c>
      <c r="BJ13" s="125" t="str">
        <f t="shared" si="4"/>
        <v/>
      </c>
      <c r="BK13" s="125" t="str">
        <f t="shared" si="4"/>
        <v/>
      </c>
      <c r="BL13" s="125" t="str">
        <f t="shared" si="4"/>
        <v/>
      </c>
      <c r="BM13" s="125" t="str">
        <f t="shared" si="4"/>
        <v/>
      </c>
      <c r="BN13" s="125" t="str">
        <f t="shared" si="4"/>
        <v/>
      </c>
      <c r="BO13" s="125" t="str">
        <f t="shared" ref="BO13:CX13" si="5">IF(AND(ISNUMBER(outYear),ISNUMBER(om_capacity)),om_capacity*(1+inflation_rate/100)^BO2*system_capacity,"")</f>
        <v/>
      </c>
      <c r="BP13" s="125" t="str">
        <f t="shared" si="5"/>
        <v/>
      </c>
      <c r="BQ13" s="125" t="str">
        <f t="shared" si="5"/>
        <v/>
      </c>
      <c r="BR13" s="125" t="str">
        <f t="shared" si="5"/>
        <v/>
      </c>
      <c r="BS13" s="125" t="str">
        <f t="shared" si="5"/>
        <v/>
      </c>
      <c r="BT13" s="125" t="str">
        <f t="shared" si="5"/>
        <v/>
      </c>
      <c r="BU13" s="125" t="str">
        <f t="shared" si="5"/>
        <v/>
      </c>
      <c r="BV13" s="125" t="str">
        <f t="shared" si="5"/>
        <v/>
      </c>
      <c r="BW13" s="125" t="str">
        <f t="shared" si="5"/>
        <v/>
      </c>
      <c r="BX13" s="125" t="str">
        <f t="shared" si="5"/>
        <v/>
      </c>
      <c r="BY13" s="125" t="str">
        <f t="shared" si="5"/>
        <v/>
      </c>
      <c r="BZ13" s="125" t="str">
        <f t="shared" si="5"/>
        <v/>
      </c>
      <c r="CA13" s="125" t="str">
        <f t="shared" si="5"/>
        <v/>
      </c>
      <c r="CB13" s="125" t="str">
        <f t="shared" si="5"/>
        <v/>
      </c>
      <c r="CC13" s="125" t="str">
        <f t="shared" si="5"/>
        <v/>
      </c>
      <c r="CD13" s="125" t="str">
        <f t="shared" si="5"/>
        <v/>
      </c>
      <c r="CE13" s="125" t="str">
        <f t="shared" si="5"/>
        <v/>
      </c>
      <c r="CF13" s="125" t="str">
        <f t="shared" si="5"/>
        <v/>
      </c>
      <c r="CG13" s="125" t="str">
        <f t="shared" si="5"/>
        <v/>
      </c>
      <c r="CH13" s="125" t="str">
        <f t="shared" si="5"/>
        <v/>
      </c>
      <c r="CI13" s="125" t="str">
        <f t="shared" si="5"/>
        <v/>
      </c>
      <c r="CJ13" s="125" t="str">
        <f t="shared" si="5"/>
        <v/>
      </c>
      <c r="CK13" s="125" t="str">
        <f t="shared" si="5"/>
        <v/>
      </c>
      <c r="CL13" s="125" t="str">
        <f t="shared" si="5"/>
        <v/>
      </c>
      <c r="CM13" s="125" t="str">
        <f t="shared" si="5"/>
        <v/>
      </c>
      <c r="CN13" s="125" t="str">
        <f t="shared" si="5"/>
        <v/>
      </c>
      <c r="CO13" s="125" t="str">
        <f t="shared" si="5"/>
        <v/>
      </c>
      <c r="CP13" s="125" t="str">
        <f t="shared" si="5"/>
        <v/>
      </c>
      <c r="CQ13" s="125" t="str">
        <f t="shared" si="5"/>
        <v/>
      </c>
      <c r="CR13" s="125" t="str">
        <f t="shared" si="5"/>
        <v/>
      </c>
      <c r="CS13" s="125" t="str">
        <f t="shared" si="5"/>
        <v/>
      </c>
      <c r="CT13" s="125" t="str">
        <f t="shared" si="5"/>
        <v/>
      </c>
      <c r="CU13" s="125" t="str">
        <f t="shared" si="5"/>
        <v/>
      </c>
      <c r="CV13" s="125" t="str">
        <f t="shared" si="5"/>
        <v/>
      </c>
      <c r="CW13" s="125" t="str">
        <f t="shared" si="5"/>
        <v/>
      </c>
      <c r="CX13" s="125" t="str">
        <f t="shared" si="5"/>
        <v/>
      </c>
    </row>
    <row r="14" spans="1:102" s="133" customFormat="1" x14ac:dyDescent="0.2">
      <c r="A14" s="149" t="s">
        <v>154</v>
      </c>
      <c r="B14" s="158"/>
      <c r="C14" s="167">
        <f t="shared" ref="C14:AH14" si="6">IF(AND(ISNUMBER(outYear),ISNUMBER(om_capacity_wind)),om_capacity_wind*(1+inflation_rate/100)^C2*system_capacity_wind,"")</f>
        <v>0</v>
      </c>
      <c r="D14" s="167">
        <f t="shared" si="6"/>
        <v>0</v>
      </c>
      <c r="E14" s="167">
        <f t="shared" si="6"/>
        <v>0</v>
      </c>
      <c r="F14" s="167">
        <f t="shared" si="6"/>
        <v>0</v>
      </c>
      <c r="G14" s="167">
        <f t="shared" si="6"/>
        <v>0</v>
      </c>
      <c r="H14" s="167">
        <f t="shared" si="6"/>
        <v>0</v>
      </c>
      <c r="I14" s="167">
        <f t="shared" si="6"/>
        <v>0</v>
      </c>
      <c r="J14" s="167">
        <f t="shared" si="6"/>
        <v>0</v>
      </c>
      <c r="K14" s="167">
        <f t="shared" si="6"/>
        <v>0</v>
      </c>
      <c r="L14" s="167">
        <f t="shared" si="6"/>
        <v>0</v>
      </c>
      <c r="M14" s="167">
        <f t="shared" si="6"/>
        <v>0</v>
      </c>
      <c r="N14" s="167">
        <f t="shared" si="6"/>
        <v>0</v>
      </c>
      <c r="O14" s="167">
        <f t="shared" si="6"/>
        <v>0</v>
      </c>
      <c r="P14" s="167">
        <f t="shared" si="6"/>
        <v>0</v>
      </c>
      <c r="Q14" s="167">
        <f t="shared" si="6"/>
        <v>0</v>
      </c>
      <c r="R14" s="167">
        <f t="shared" si="6"/>
        <v>0</v>
      </c>
      <c r="S14" s="167">
        <f t="shared" si="6"/>
        <v>0</v>
      </c>
      <c r="T14" s="167">
        <f t="shared" si="6"/>
        <v>0</v>
      </c>
      <c r="U14" s="167">
        <f t="shared" si="6"/>
        <v>0</v>
      </c>
      <c r="V14" s="167">
        <f t="shared" si="6"/>
        <v>0</v>
      </c>
      <c r="W14" s="167">
        <f t="shared" si="6"/>
        <v>0</v>
      </c>
      <c r="X14" s="167">
        <f t="shared" si="6"/>
        <v>0</v>
      </c>
      <c r="Y14" s="167">
        <f t="shared" si="6"/>
        <v>0</v>
      </c>
      <c r="Z14" s="167">
        <f t="shared" si="6"/>
        <v>0</v>
      </c>
      <c r="AA14" s="167">
        <f t="shared" si="6"/>
        <v>0</v>
      </c>
      <c r="AB14" s="167" t="str">
        <f t="shared" si="6"/>
        <v/>
      </c>
      <c r="AC14" s="167" t="str">
        <f t="shared" si="6"/>
        <v/>
      </c>
      <c r="AD14" s="167" t="str">
        <f t="shared" si="6"/>
        <v/>
      </c>
      <c r="AE14" s="167" t="str">
        <f t="shared" si="6"/>
        <v/>
      </c>
      <c r="AF14" s="167" t="str">
        <f t="shared" si="6"/>
        <v/>
      </c>
      <c r="AG14" s="167" t="str">
        <f t="shared" si="6"/>
        <v/>
      </c>
      <c r="AH14" s="167" t="str">
        <f t="shared" si="6"/>
        <v/>
      </c>
      <c r="AI14" s="167" t="str">
        <f t="shared" ref="AI14:BN14" si="7">IF(AND(ISNUMBER(outYear),ISNUMBER(om_capacity_wind)),om_capacity_wind*(1+inflation_rate/100)^AI2*system_capacity_wind,"")</f>
        <v/>
      </c>
      <c r="AJ14" s="167" t="str">
        <f t="shared" si="7"/>
        <v/>
      </c>
      <c r="AK14" s="167" t="str">
        <f t="shared" si="7"/>
        <v/>
      </c>
      <c r="AL14" s="167" t="str">
        <f t="shared" si="7"/>
        <v/>
      </c>
      <c r="AM14" s="167" t="str">
        <f t="shared" si="7"/>
        <v/>
      </c>
      <c r="AN14" s="167" t="str">
        <f t="shared" si="7"/>
        <v/>
      </c>
      <c r="AO14" s="167" t="str">
        <f t="shared" si="7"/>
        <v/>
      </c>
      <c r="AP14" s="167" t="str">
        <f t="shared" si="7"/>
        <v/>
      </c>
      <c r="AQ14" s="167" t="str">
        <f t="shared" si="7"/>
        <v/>
      </c>
      <c r="AR14" s="167" t="str">
        <f t="shared" si="7"/>
        <v/>
      </c>
      <c r="AS14" s="167" t="str">
        <f t="shared" si="7"/>
        <v/>
      </c>
      <c r="AT14" s="167" t="str">
        <f t="shared" si="7"/>
        <v/>
      </c>
      <c r="AU14" s="167" t="str">
        <f t="shared" si="7"/>
        <v/>
      </c>
      <c r="AV14" s="167" t="str">
        <f t="shared" si="7"/>
        <v/>
      </c>
      <c r="AW14" s="167" t="str">
        <f t="shared" si="7"/>
        <v/>
      </c>
      <c r="AX14" s="167" t="str">
        <f t="shared" si="7"/>
        <v/>
      </c>
      <c r="AY14" s="167" t="str">
        <f t="shared" si="7"/>
        <v/>
      </c>
      <c r="AZ14" s="167" t="str">
        <f t="shared" si="7"/>
        <v/>
      </c>
      <c r="BA14" s="167" t="str">
        <f t="shared" si="7"/>
        <v/>
      </c>
      <c r="BB14" s="167" t="str">
        <f t="shared" si="7"/>
        <v/>
      </c>
      <c r="BC14" s="167" t="str">
        <f t="shared" si="7"/>
        <v/>
      </c>
      <c r="BD14" s="167" t="str">
        <f t="shared" si="7"/>
        <v/>
      </c>
      <c r="BE14" s="167" t="str">
        <f t="shared" si="7"/>
        <v/>
      </c>
      <c r="BF14" s="167" t="str">
        <f t="shared" si="7"/>
        <v/>
      </c>
      <c r="BG14" s="167" t="str">
        <f t="shared" si="7"/>
        <v/>
      </c>
      <c r="BH14" s="167" t="str">
        <f t="shared" si="7"/>
        <v/>
      </c>
      <c r="BI14" s="167" t="str">
        <f t="shared" si="7"/>
        <v/>
      </c>
      <c r="BJ14" s="167" t="str">
        <f t="shared" si="7"/>
        <v/>
      </c>
      <c r="BK14" s="167" t="str">
        <f t="shared" si="7"/>
        <v/>
      </c>
      <c r="BL14" s="167" t="str">
        <f t="shared" si="7"/>
        <v/>
      </c>
      <c r="BM14" s="167" t="str">
        <f t="shared" si="7"/>
        <v/>
      </c>
      <c r="BN14" s="167" t="str">
        <f t="shared" si="7"/>
        <v/>
      </c>
      <c r="BO14" s="167" t="str">
        <f t="shared" ref="BO14:CX14" si="8">IF(AND(ISNUMBER(outYear),ISNUMBER(om_capacity_wind)),om_capacity_wind*(1+inflation_rate/100)^BO2*system_capacity_wind,"")</f>
        <v/>
      </c>
      <c r="BP14" s="167" t="str">
        <f t="shared" si="8"/>
        <v/>
      </c>
      <c r="BQ14" s="167" t="str">
        <f t="shared" si="8"/>
        <v/>
      </c>
      <c r="BR14" s="167" t="str">
        <f t="shared" si="8"/>
        <v/>
      </c>
      <c r="BS14" s="167" t="str">
        <f t="shared" si="8"/>
        <v/>
      </c>
      <c r="BT14" s="167" t="str">
        <f t="shared" si="8"/>
        <v/>
      </c>
      <c r="BU14" s="167" t="str">
        <f t="shared" si="8"/>
        <v/>
      </c>
      <c r="BV14" s="167" t="str">
        <f t="shared" si="8"/>
        <v/>
      </c>
      <c r="BW14" s="167" t="str">
        <f t="shared" si="8"/>
        <v/>
      </c>
      <c r="BX14" s="167" t="str">
        <f t="shared" si="8"/>
        <v/>
      </c>
      <c r="BY14" s="167" t="str">
        <f t="shared" si="8"/>
        <v/>
      </c>
      <c r="BZ14" s="167" t="str">
        <f t="shared" si="8"/>
        <v/>
      </c>
      <c r="CA14" s="167" t="str">
        <f t="shared" si="8"/>
        <v/>
      </c>
      <c r="CB14" s="167" t="str">
        <f t="shared" si="8"/>
        <v/>
      </c>
      <c r="CC14" s="167" t="str">
        <f t="shared" si="8"/>
        <v/>
      </c>
      <c r="CD14" s="167" t="str">
        <f t="shared" si="8"/>
        <v/>
      </c>
      <c r="CE14" s="167" t="str">
        <f t="shared" si="8"/>
        <v/>
      </c>
      <c r="CF14" s="167" t="str">
        <f t="shared" si="8"/>
        <v/>
      </c>
      <c r="CG14" s="167" t="str">
        <f t="shared" si="8"/>
        <v/>
      </c>
      <c r="CH14" s="167" t="str">
        <f t="shared" si="8"/>
        <v/>
      </c>
      <c r="CI14" s="167" t="str">
        <f t="shared" si="8"/>
        <v/>
      </c>
      <c r="CJ14" s="167" t="str">
        <f t="shared" si="8"/>
        <v/>
      </c>
      <c r="CK14" s="167" t="str">
        <f t="shared" si="8"/>
        <v/>
      </c>
      <c r="CL14" s="167" t="str">
        <f t="shared" si="8"/>
        <v/>
      </c>
      <c r="CM14" s="167" t="str">
        <f t="shared" si="8"/>
        <v/>
      </c>
      <c r="CN14" s="167" t="str">
        <f t="shared" si="8"/>
        <v/>
      </c>
      <c r="CO14" s="167" t="str">
        <f t="shared" si="8"/>
        <v/>
      </c>
      <c r="CP14" s="167" t="str">
        <f t="shared" si="8"/>
        <v/>
      </c>
      <c r="CQ14" s="167" t="str">
        <f t="shared" si="8"/>
        <v/>
      </c>
      <c r="CR14" s="167" t="str">
        <f t="shared" si="8"/>
        <v/>
      </c>
      <c r="CS14" s="167" t="str">
        <f t="shared" si="8"/>
        <v/>
      </c>
      <c r="CT14" s="167" t="str">
        <f t="shared" si="8"/>
        <v/>
      </c>
      <c r="CU14" s="167" t="str">
        <f t="shared" si="8"/>
        <v/>
      </c>
      <c r="CV14" s="167" t="str">
        <f t="shared" si="8"/>
        <v/>
      </c>
      <c r="CW14" s="167" t="str">
        <f t="shared" si="8"/>
        <v/>
      </c>
      <c r="CX14" s="167" t="str">
        <f t="shared" si="8"/>
        <v/>
      </c>
    </row>
    <row r="15" spans="1:102" x14ac:dyDescent="0.2">
      <c r="A15" s="134" t="s">
        <v>92</v>
      </c>
      <c r="B15" s="135"/>
      <c r="C15" s="125">
        <f t="shared" ref="C15:AH15" si="9">IF(ISNUMBER(outYear), IF(EXACT(batt_repl_kw_year,C2), IF(ISNUMBER(batt_repl_cost_kw),(batt_kw * batt_repl_cost_kw),""), 0),"")</f>
        <v>0</v>
      </c>
      <c r="D15" s="125">
        <f t="shared" si="9"/>
        <v>0</v>
      </c>
      <c r="E15" s="125">
        <f t="shared" si="9"/>
        <v>0</v>
      </c>
      <c r="F15" s="125">
        <f t="shared" si="9"/>
        <v>0</v>
      </c>
      <c r="G15" s="125">
        <f t="shared" si="9"/>
        <v>0</v>
      </c>
      <c r="H15" s="125">
        <f t="shared" si="9"/>
        <v>0</v>
      </c>
      <c r="I15" s="125">
        <f t="shared" si="9"/>
        <v>0</v>
      </c>
      <c r="J15" s="125">
        <f t="shared" si="9"/>
        <v>0</v>
      </c>
      <c r="K15" s="125">
        <f t="shared" si="9"/>
        <v>0</v>
      </c>
      <c r="L15" s="125">
        <f t="shared" si="9"/>
        <v>50000</v>
      </c>
      <c r="M15" s="125">
        <f t="shared" si="9"/>
        <v>0</v>
      </c>
      <c r="N15" s="125">
        <f t="shared" si="9"/>
        <v>0</v>
      </c>
      <c r="O15" s="125">
        <f t="shared" si="9"/>
        <v>0</v>
      </c>
      <c r="P15" s="125">
        <f t="shared" si="9"/>
        <v>0</v>
      </c>
      <c r="Q15" s="125">
        <f t="shared" si="9"/>
        <v>0</v>
      </c>
      <c r="R15" s="125">
        <f t="shared" si="9"/>
        <v>0</v>
      </c>
      <c r="S15" s="125">
        <f t="shared" si="9"/>
        <v>0</v>
      </c>
      <c r="T15" s="125">
        <f t="shared" si="9"/>
        <v>0</v>
      </c>
      <c r="U15" s="125">
        <f t="shared" si="9"/>
        <v>0</v>
      </c>
      <c r="V15" s="125">
        <f t="shared" si="9"/>
        <v>0</v>
      </c>
      <c r="W15" s="125">
        <f t="shared" si="9"/>
        <v>0</v>
      </c>
      <c r="X15" s="125">
        <f t="shared" si="9"/>
        <v>0</v>
      </c>
      <c r="Y15" s="125">
        <f t="shared" si="9"/>
        <v>0</v>
      </c>
      <c r="Z15" s="125">
        <f t="shared" si="9"/>
        <v>0</v>
      </c>
      <c r="AA15" s="125">
        <f t="shared" si="9"/>
        <v>0</v>
      </c>
      <c r="AB15" s="125" t="str">
        <f t="shared" si="9"/>
        <v/>
      </c>
      <c r="AC15" s="125" t="str">
        <f t="shared" si="9"/>
        <v/>
      </c>
      <c r="AD15" s="125" t="str">
        <f t="shared" si="9"/>
        <v/>
      </c>
      <c r="AE15" s="125" t="str">
        <f t="shared" si="9"/>
        <v/>
      </c>
      <c r="AF15" s="125" t="str">
        <f t="shared" si="9"/>
        <v/>
      </c>
      <c r="AG15" s="125" t="str">
        <f t="shared" si="9"/>
        <v/>
      </c>
      <c r="AH15" s="125" t="str">
        <f t="shared" si="9"/>
        <v/>
      </c>
      <c r="AI15" s="125" t="str">
        <f t="shared" ref="AI15:BN15" si="10">IF(ISNUMBER(outYear), IF(EXACT(batt_repl_kw_year,AI2), IF(ISNUMBER(batt_repl_cost_kw),(batt_kw * batt_repl_cost_kw),""), 0),"")</f>
        <v/>
      </c>
      <c r="AJ15" s="125" t="str">
        <f t="shared" si="10"/>
        <v/>
      </c>
      <c r="AK15" s="125" t="str">
        <f t="shared" si="10"/>
        <v/>
      </c>
      <c r="AL15" s="125" t="str">
        <f t="shared" si="10"/>
        <v/>
      </c>
      <c r="AM15" s="125" t="str">
        <f t="shared" si="10"/>
        <v/>
      </c>
      <c r="AN15" s="125" t="str">
        <f t="shared" si="10"/>
        <v/>
      </c>
      <c r="AO15" s="125" t="str">
        <f t="shared" si="10"/>
        <v/>
      </c>
      <c r="AP15" s="125" t="str">
        <f t="shared" si="10"/>
        <v/>
      </c>
      <c r="AQ15" s="125" t="str">
        <f t="shared" si="10"/>
        <v/>
      </c>
      <c r="AR15" s="125" t="str">
        <f t="shared" si="10"/>
        <v/>
      </c>
      <c r="AS15" s="125" t="str">
        <f t="shared" si="10"/>
        <v/>
      </c>
      <c r="AT15" s="125" t="str">
        <f t="shared" si="10"/>
        <v/>
      </c>
      <c r="AU15" s="125" t="str">
        <f t="shared" si="10"/>
        <v/>
      </c>
      <c r="AV15" s="125" t="str">
        <f t="shared" si="10"/>
        <v/>
      </c>
      <c r="AW15" s="125" t="str">
        <f t="shared" si="10"/>
        <v/>
      </c>
      <c r="AX15" s="125" t="str">
        <f t="shared" si="10"/>
        <v/>
      </c>
      <c r="AY15" s="125" t="str">
        <f t="shared" si="10"/>
        <v/>
      </c>
      <c r="AZ15" s="125" t="str">
        <f t="shared" si="10"/>
        <v/>
      </c>
      <c r="BA15" s="125" t="str">
        <f t="shared" si="10"/>
        <v/>
      </c>
      <c r="BB15" s="125" t="str">
        <f t="shared" si="10"/>
        <v/>
      </c>
      <c r="BC15" s="125" t="str">
        <f t="shared" si="10"/>
        <v/>
      </c>
      <c r="BD15" s="125" t="str">
        <f t="shared" si="10"/>
        <v/>
      </c>
      <c r="BE15" s="125" t="str">
        <f t="shared" si="10"/>
        <v/>
      </c>
      <c r="BF15" s="125" t="str">
        <f t="shared" si="10"/>
        <v/>
      </c>
      <c r="BG15" s="125" t="str">
        <f t="shared" si="10"/>
        <v/>
      </c>
      <c r="BH15" s="125" t="str">
        <f t="shared" si="10"/>
        <v/>
      </c>
      <c r="BI15" s="125" t="str">
        <f t="shared" si="10"/>
        <v/>
      </c>
      <c r="BJ15" s="125" t="str">
        <f t="shared" si="10"/>
        <v/>
      </c>
      <c r="BK15" s="125" t="str">
        <f t="shared" si="10"/>
        <v/>
      </c>
      <c r="BL15" s="125" t="str">
        <f t="shared" si="10"/>
        <v/>
      </c>
      <c r="BM15" s="125" t="str">
        <f t="shared" si="10"/>
        <v/>
      </c>
      <c r="BN15" s="125" t="str">
        <f t="shared" si="10"/>
        <v/>
      </c>
      <c r="BO15" s="125" t="str">
        <f t="shared" ref="BO15:CX15" si="11">IF(ISNUMBER(outYear), IF(EXACT(batt_repl_kw_year,BO2), IF(ISNUMBER(batt_repl_cost_kw),(batt_kw * batt_repl_cost_kw),""), 0),"")</f>
        <v/>
      </c>
      <c r="BP15" s="125" t="str">
        <f t="shared" si="11"/>
        <v/>
      </c>
      <c r="BQ15" s="125" t="str">
        <f t="shared" si="11"/>
        <v/>
      </c>
      <c r="BR15" s="125" t="str">
        <f t="shared" si="11"/>
        <v/>
      </c>
      <c r="BS15" s="125" t="str">
        <f t="shared" si="11"/>
        <v/>
      </c>
      <c r="BT15" s="125" t="str">
        <f t="shared" si="11"/>
        <v/>
      </c>
      <c r="BU15" s="125" t="str">
        <f t="shared" si="11"/>
        <v/>
      </c>
      <c r="BV15" s="125" t="str">
        <f t="shared" si="11"/>
        <v/>
      </c>
      <c r="BW15" s="125" t="str">
        <f t="shared" si="11"/>
        <v/>
      </c>
      <c r="BX15" s="125" t="str">
        <f t="shared" si="11"/>
        <v/>
      </c>
      <c r="BY15" s="125" t="str">
        <f t="shared" si="11"/>
        <v/>
      </c>
      <c r="BZ15" s="125" t="str">
        <f t="shared" si="11"/>
        <v/>
      </c>
      <c r="CA15" s="125" t="str">
        <f t="shared" si="11"/>
        <v/>
      </c>
      <c r="CB15" s="125" t="str">
        <f t="shared" si="11"/>
        <v/>
      </c>
      <c r="CC15" s="125" t="str">
        <f t="shared" si="11"/>
        <v/>
      </c>
      <c r="CD15" s="125" t="str">
        <f t="shared" si="11"/>
        <v/>
      </c>
      <c r="CE15" s="125" t="str">
        <f t="shared" si="11"/>
        <v/>
      </c>
      <c r="CF15" s="125" t="str">
        <f t="shared" si="11"/>
        <v/>
      </c>
      <c r="CG15" s="125" t="str">
        <f t="shared" si="11"/>
        <v/>
      </c>
      <c r="CH15" s="125" t="str">
        <f t="shared" si="11"/>
        <v/>
      </c>
      <c r="CI15" s="125" t="str">
        <f t="shared" si="11"/>
        <v/>
      </c>
      <c r="CJ15" s="125" t="str">
        <f t="shared" si="11"/>
        <v/>
      </c>
      <c r="CK15" s="125" t="str">
        <f t="shared" si="11"/>
        <v/>
      </c>
      <c r="CL15" s="125" t="str">
        <f t="shared" si="11"/>
        <v/>
      </c>
      <c r="CM15" s="125" t="str">
        <f t="shared" si="11"/>
        <v/>
      </c>
      <c r="CN15" s="125" t="str">
        <f t="shared" si="11"/>
        <v/>
      </c>
      <c r="CO15" s="125" t="str">
        <f t="shared" si="11"/>
        <v/>
      </c>
      <c r="CP15" s="125" t="str">
        <f t="shared" si="11"/>
        <v/>
      </c>
      <c r="CQ15" s="125" t="str">
        <f t="shared" si="11"/>
        <v/>
      </c>
      <c r="CR15" s="125" t="str">
        <f t="shared" si="11"/>
        <v/>
      </c>
      <c r="CS15" s="125" t="str">
        <f t="shared" si="11"/>
        <v/>
      </c>
      <c r="CT15" s="125" t="str">
        <f t="shared" si="11"/>
        <v/>
      </c>
      <c r="CU15" s="125" t="str">
        <f t="shared" si="11"/>
        <v/>
      </c>
      <c r="CV15" s="125" t="str">
        <f t="shared" si="11"/>
        <v/>
      </c>
      <c r="CW15" s="125" t="str">
        <f t="shared" si="11"/>
        <v/>
      </c>
      <c r="CX15" s="125" t="str">
        <f t="shared" si="11"/>
        <v/>
      </c>
    </row>
    <row r="16" spans="1:102" x14ac:dyDescent="0.2">
      <c r="A16" s="134" t="s">
        <v>93</v>
      </c>
      <c r="B16" s="135"/>
      <c r="C16" s="125">
        <f t="shared" ref="C16:AH16" si="12">IF(ISNUMBER(outYear), IF(EXACT(batt_repl_year_kwh,C2), IF(ISNUMBER(batt_repl_cost_kwh),(batt_kwh * batt_repl_cost_kwh),""), 0),"")</f>
        <v>0</v>
      </c>
      <c r="D16" s="125">
        <f t="shared" si="12"/>
        <v>0</v>
      </c>
      <c r="E16" s="125">
        <f t="shared" si="12"/>
        <v>0</v>
      </c>
      <c r="F16" s="125">
        <f t="shared" si="12"/>
        <v>0</v>
      </c>
      <c r="G16" s="125">
        <f t="shared" si="12"/>
        <v>0</v>
      </c>
      <c r="H16" s="125">
        <f t="shared" si="12"/>
        <v>0</v>
      </c>
      <c r="I16" s="125">
        <f t="shared" si="12"/>
        <v>0</v>
      </c>
      <c r="J16" s="125">
        <f t="shared" si="12"/>
        <v>0</v>
      </c>
      <c r="K16" s="125">
        <f t="shared" si="12"/>
        <v>0</v>
      </c>
      <c r="L16" s="125">
        <f t="shared" si="12"/>
        <v>25000</v>
      </c>
      <c r="M16" s="125">
        <f t="shared" si="12"/>
        <v>0</v>
      </c>
      <c r="N16" s="125">
        <f t="shared" si="12"/>
        <v>0</v>
      </c>
      <c r="O16" s="125">
        <f t="shared" si="12"/>
        <v>0</v>
      </c>
      <c r="P16" s="125">
        <f t="shared" si="12"/>
        <v>0</v>
      </c>
      <c r="Q16" s="125">
        <f t="shared" si="12"/>
        <v>0</v>
      </c>
      <c r="R16" s="125">
        <f t="shared" si="12"/>
        <v>0</v>
      </c>
      <c r="S16" s="125">
        <f t="shared" si="12"/>
        <v>0</v>
      </c>
      <c r="T16" s="125">
        <f t="shared" si="12"/>
        <v>0</v>
      </c>
      <c r="U16" s="125">
        <f t="shared" si="12"/>
        <v>0</v>
      </c>
      <c r="V16" s="125">
        <f t="shared" si="12"/>
        <v>0</v>
      </c>
      <c r="W16" s="125">
        <f t="shared" si="12"/>
        <v>0</v>
      </c>
      <c r="X16" s="125">
        <f t="shared" si="12"/>
        <v>0</v>
      </c>
      <c r="Y16" s="125">
        <f t="shared" si="12"/>
        <v>0</v>
      </c>
      <c r="Z16" s="125">
        <f t="shared" si="12"/>
        <v>0</v>
      </c>
      <c r="AA16" s="125">
        <f t="shared" si="12"/>
        <v>0</v>
      </c>
      <c r="AB16" s="125" t="str">
        <f t="shared" si="12"/>
        <v/>
      </c>
      <c r="AC16" s="125" t="str">
        <f t="shared" si="12"/>
        <v/>
      </c>
      <c r="AD16" s="125" t="str">
        <f t="shared" si="12"/>
        <v/>
      </c>
      <c r="AE16" s="125" t="str">
        <f t="shared" si="12"/>
        <v/>
      </c>
      <c r="AF16" s="125" t="str">
        <f t="shared" si="12"/>
        <v/>
      </c>
      <c r="AG16" s="125" t="str">
        <f t="shared" si="12"/>
        <v/>
      </c>
      <c r="AH16" s="125" t="str">
        <f t="shared" si="12"/>
        <v/>
      </c>
      <c r="AI16" s="125" t="str">
        <f t="shared" ref="AI16:BN16" si="13">IF(ISNUMBER(outYear), IF(EXACT(batt_repl_year_kwh,AI2), IF(ISNUMBER(batt_repl_cost_kwh),(batt_kwh * batt_repl_cost_kwh),""), 0),"")</f>
        <v/>
      </c>
      <c r="AJ16" s="125" t="str">
        <f t="shared" si="13"/>
        <v/>
      </c>
      <c r="AK16" s="125" t="str">
        <f t="shared" si="13"/>
        <v/>
      </c>
      <c r="AL16" s="125" t="str">
        <f t="shared" si="13"/>
        <v/>
      </c>
      <c r="AM16" s="125" t="str">
        <f t="shared" si="13"/>
        <v/>
      </c>
      <c r="AN16" s="125" t="str">
        <f t="shared" si="13"/>
        <v/>
      </c>
      <c r="AO16" s="125" t="str">
        <f t="shared" si="13"/>
        <v/>
      </c>
      <c r="AP16" s="125" t="str">
        <f t="shared" si="13"/>
        <v/>
      </c>
      <c r="AQ16" s="125" t="str">
        <f t="shared" si="13"/>
        <v/>
      </c>
      <c r="AR16" s="125" t="str">
        <f t="shared" si="13"/>
        <v/>
      </c>
      <c r="AS16" s="125" t="str">
        <f t="shared" si="13"/>
        <v/>
      </c>
      <c r="AT16" s="125" t="str">
        <f t="shared" si="13"/>
        <v/>
      </c>
      <c r="AU16" s="125" t="str">
        <f t="shared" si="13"/>
        <v/>
      </c>
      <c r="AV16" s="125" t="str">
        <f t="shared" si="13"/>
        <v/>
      </c>
      <c r="AW16" s="125" t="str">
        <f t="shared" si="13"/>
        <v/>
      </c>
      <c r="AX16" s="125" t="str">
        <f t="shared" si="13"/>
        <v/>
      </c>
      <c r="AY16" s="125" t="str">
        <f t="shared" si="13"/>
        <v/>
      </c>
      <c r="AZ16" s="125" t="str">
        <f t="shared" si="13"/>
        <v/>
      </c>
      <c r="BA16" s="125" t="str">
        <f t="shared" si="13"/>
        <v/>
      </c>
      <c r="BB16" s="125" t="str">
        <f t="shared" si="13"/>
        <v/>
      </c>
      <c r="BC16" s="125" t="str">
        <f t="shared" si="13"/>
        <v/>
      </c>
      <c r="BD16" s="125" t="str">
        <f t="shared" si="13"/>
        <v/>
      </c>
      <c r="BE16" s="125" t="str">
        <f t="shared" si="13"/>
        <v/>
      </c>
      <c r="BF16" s="125" t="str">
        <f t="shared" si="13"/>
        <v/>
      </c>
      <c r="BG16" s="125" t="str">
        <f t="shared" si="13"/>
        <v/>
      </c>
      <c r="BH16" s="125" t="str">
        <f t="shared" si="13"/>
        <v/>
      </c>
      <c r="BI16" s="125" t="str">
        <f t="shared" si="13"/>
        <v/>
      </c>
      <c r="BJ16" s="125" t="str">
        <f t="shared" si="13"/>
        <v/>
      </c>
      <c r="BK16" s="125" t="str">
        <f t="shared" si="13"/>
        <v/>
      </c>
      <c r="BL16" s="125" t="str">
        <f t="shared" si="13"/>
        <v/>
      </c>
      <c r="BM16" s="125" t="str">
        <f t="shared" si="13"/>
        <v/>
      </c>
      <c r="BN16" s="125" t="str">
        <f t="shared" si="13"/>
        <v/>
      </c>
      <c r="BO16" s="125" t="str">
        <f t="shared" ref="BO16:CX16" si="14">IF(ISNUMBER(outYear), IF(EXACT(batt_repl_year_kwh,BO2), IF(ISNUMBER(batt_repl_cost_kwh),(batt_kwh * batt_repl_cost_kwh),""), 0),"")</f>
        <v/>
      </c>
      <c r="BP16" s="125" t="str">
        <f t="shared" si="14"/>
        <v/>
      </c>
      <c r="BQ16" s="125" t="str">
        <f t="shared" si="14"/>
        <v/>
      </c>
      <c r="BR16" s="125" t="str">
        <f t="shared" si="14"/>
        <v/>
      </c>
      <c r="BS16" s="125" t="str">
        <f t="shared" si="14"/>
        <v/>
      </c>
      <c r="BT16" s="125" t="str">
        <f t="shared" si="14"/>
        <v/>
      </c>
      <c r="BU16" s="125" t="str">
        <f t="shared" si="14"/>
        <v/>
      </c>
      <c r="BV16" s="125" t="str">
        <f t="shared" si="14"/>
        <v/>
      </c>
      <c r="BW16" s="125" t="str">
        <f t="shared" si="14"/>
        <v/>
      </c>
      <c r="BX16" s="125" t="str">
        <f t="shared" si="14"/>
        <v/>
      </c>
      <c r="BY16" s="125" t="str">
        <f t="shared" si="14"/>
        <v/>
      </c>
      <c r="BZ16" s="125" t="str">
        <f t="shared" si="14"/>
        <v/>
      </c>
      <c r="CA16" s="125" t="str">
        <f t="shared" si="14"/>
        <v/>
      </c>
      <c r="CB16" s="125" t="str">
        <f t="shared" si="14"/>
        <v/>
      </c>
      <c r="CC16" s="125" t="str">
        <f t="shared" si="14"/>
        <v/>
      </c>
      <c r="CD16" s="125" t="str">
        <f t="shared" si="14"/>
        <v/>
      </c>
      <c r="CE16" s="125" t="str">
        <f t="shared" si="14"/>
        <v/>
      </c>
      <c r="CF16" s="125" t="str">
        <f t="shared" si="14"/>
        <v/>
      </c>
      <c r="CG16" s="125" t="str">
        <f t="shared" si="14"/>
        <v/>
      </c>
      <c r="CH16" s="125" t="str">
        <f t="shared" si="14"/>
        <v/>
      </c>
      <c r="CI16" s="125" t="str">
        <f t="shared" si="14"/>
        <v/>
      </c>
      <c r="CJ16" s="125" t="str">
        <f t="shared" si="14"/>
        <v/>
      </c>
      <c r="CK16" s="125" t="str">
        <f t="shared" si="14"/>
        <v/>
      </c>
      <c r="CL16" s="125" t="str">
        <f t="shared" si="14"/>
        <v/>
      </c>
      <c r="CM16" s="125" t="str">
        <f t="shared" si="14"/>
        <v/>
      </c>
      <c r="CN16" s="125" t="str">
        <f t="shared" si="14"/>
        <v/>
      </c>
      <c r="CO16" s="125" t="str">
        <f t="shared" si="14"/>
        <v/>
      </c>
      <c r="CP16" s="125" t="str">
        <f t="shared" si="14"/>
        <v/>
      </c>
      <c r="CQ16" s="125" t="str">
        <f t="shared" si="14"/>
        <v/>
      </c>
      <c r="CR16" s="125" t="str">
        <f t="shared" si="14"/>
        <v/>
      </c>
      <c r="CS16" s="125" t="str">
        <f t="shared" si="14"/>
        <v/>
      </c>
      <c r="CT16" s="125" t="str">
        <f t="shared" si="14"/>
        <v/>
      </c>
      <c r="CU16" s="125" t="str">
        <f t="shared" si="14"/>
        <v/>
      </c>
      <c r="CV16" s="125" t="str">
        <f t="shared" si="14"/>
        <v/>
      </c>
      <c r="CW16" s="125" t="str">
        <f t="shared" si="14"/>
        <v/>
      </c>
      <c r="CX16" s="125" t="str">
        <f t="shared" si="14"/>
        <v/>
      </c>
    </row>
    <row r="17" spans="1:102" x14ac:dyDescent="0.2">
      <c r="A17" s="136" t="s">
        <v>94</v>
      </c>
      <c r="B17" s="137"/>
      <c r="C17" s="138">
        <f t="shared" ref="C17:AA17" si="15">IF(ISNUMBER(outYear),SUM(C13:C16),"")</f>
        <v>4501.5129999999999</v>
      </c>
      <c r="D17" s="138">
        <f t="shared" si="15"/>
        <v>4614.0508250000003</v>
      </c>
      <c r="E17" s="138">
        <f t="shared" si="15"/>
        <v>4729.4020956249997</v>
      </c>
      <c r="F17" s="138">
        <f t="shared" si="15"/>
        <v>4847.637148015624</v>
      </c>
      <c r="G17" s="138">
        <f t="shared" si="15"/>
        <v>4968.828076716014</v>
      </c>
      <c r="H17" s="138">
        <f t="shared" si="15"/>
        <v>5093.0487786339145</v>
      </c>
      <c r="I17" s="138">
        <f t="shared" si="15"/>
        <v>5220.3749980997627</v>
      </c>
      <c r="J17" s="138">
        <f t="shared" si="15"/>
        <v>5350.8843730522567</v>
      </c>
      <c r="K17" s="138">
        <f t="shared" si="15"/>
        <v>5484.6564823785611</v>
      </c>
      <c r="L17" s="138">
        <f t="shared" si="15"/>
        <v>80621.772894438021</v>
      </c>
      <c r="M17" s="138">
        <f t="shared" si="15"/>
        <v>5762.317216798976</v>
      </c>
      <c r="N17" s="138">
        <f t="shared" si="15"/>
        <v>5906.3751472189497</v>
      </c>
      <c r="O17" s="138">
        <f t="shared" si="15"/>
        <v>6054.034525899423</v>
      </c>
      <c r="P17" s="138">
        <f t="shared" si="15"/>
        <v>6205.385389046909</v>
      </c>
      <c r="Q17" s="138">
        <f t="shared" si="15"/>
        <v>6360.5200237730824</v>
      </c>
      <c r="R17" s="138">
        <f t="shared" si="15"/>
        <v>6519.5330243674089</v>
      </c>
      <c r="S17" s="138">
        <f t="shared" si="15"/>
        <v>6682.5213499765923</v>
      </c>
      <c r="T17" s="138">
        <f t="shared" si="15"/>
        <v>6849.5843837260081</v>
      </c>
      <c r="U17" s="138">
        <f t="shared" si="15"/>
        <v>7020.823993319158</v>
      </c>
      <c r="V17" s="138">
        <f t="shared" si="15"/>
        <v>7196.3445931521355</v>
      </c>
      <c r="W17" s="138">
        <f t="shared" si="15"/>
        <v>7376.2532079809389</v>
      </c>
      <c r="X17" s="138">
        <f t="shared" si="15"/>
        <v>7560.6595381804627</v>
      </c>
      <c r="Y17" s="138">
        <f t="shared" si="15"/>
        <v>7749.6760266349738</v>
      </c>
      <c r="Z17" s="138">
        <f t="shared" si="15"/>
        <v>7943.4179273008485</v>
      </c>
      <c r="AA17" s="138">
        <f t="shared" si="15"/>
        <v>8142.0033754833667</v>
      </c>
      <c r="AB17" s="138" t="str">
        <f>IF(ISNUMBER(outYear),SUM(AB13:AB13)-#REF!,"")</f>
        <v/>
      </c>
      <c r="AC17" s="138" t="str">
        <f>IF(ISNUMBER(outYear),SUM(AC13:AC13)-#REF!,"")</f>
        <v/>
      </c>
      <c r="AD17" s="138" t="str">
        <f>IF(ISNUMBER(outYear),SUM(AD13:AD13)-#REF!,"")</f>
        <v/>
      </c>
      <c r="AE17" s="138" t="str">
        <f>IF(ISNUMBER(outYear),SUM(AE13:AE13)-#REF!,"")</f>
        <v/>
      </c>
      <c r="AF17" s="138" t="str">
        <f>IF(ISNUMBER(outYear),SUM(AF13:AF13)-#REF!,"")</f>
        <v/>
      </c>
      <c r="AG17" s="138" t="str">
        <f>IF(ISNUMBER(outYear),SUM(AG13:AG13)-#REF!,"")</f>
        <v/>
      </c>
      <c r="AH17" s="138" t="str">
        <f>IF(ISNUMBER(outYear),SUM(AH13:AH13)-#REF!,"")</f>
        <v/>
      </c>
      <c r="AI17" s="138" t="str">
        <f>IF(ISNUMBER(outYear),SUM(AI13:AI13)-#REF!,"")</f>
        <v/>
      </c>
      <c r="AJ17" s="138" t="str">
        <f>IF(ISNUMBER(outYear),SUM(AJ13:AJ13)-#REF!,"")</f>
        <v/>
      </c>
      <c r="AK17" s="138" t="str">
        <f>IF(ISNUMBER(outYear),SUM(AK13:AK13)-#REF!,"")</f>
        <v/>
      </c>
      <c r="AL17" s="138" t="str">
        <f>IF(ISNUMBER(outYear),SUM(AL13:AL13)-#REF!,"")</f>
        <v/>
      </c>
      <c r="AM17" s="138" t="str">
        <f>IF(ISNUMBER(outYear),SUM(AM13:AM13)-#REF!,"")</f>
        <v/>
      </c>
      <c r="AN17" s="138" t="str">
        <f>IF(ISNUMBER(outYear),SUM(AN13:AN13)-#REF!,"")</f>
        <v/>
      </c>
      <c r="AO17" s="138" t="str">
        <f>IF(ISNUMBER(outYear),SUM(AO13:AO13)-#REF!,"")</f>
        <v/>
      </c>
      <c r="AP17" s="138" t="str">
        <f>IF(ISNUMBER(outYear),SUM(AP13:AP13)-#REF!,"")</f>
        <v/>
      </c>
      <c r="AQ17" s="138" t="str">
        <f>IF(ISNUMBER(outYear),SUM(AQ13:AQ13)-#REF!,"")</f>
        <v/>
      </c>
      <c r="AR17" s="138" t="str">
        <f>IF(ISNUMBER(outYear),SUM(AR13:AR13)-#REF!,"")</f>
        <v/>
      </c>
      <c r="AS17" s="138" t="str">
        <f>IF(ISNUMBER(outYear),SUM(AS13:AS13)-#REF!,"")</f>
        <v/>
      </c>
      <c r="AT17" s="138" t="str">
        <f>IF(ISNUMBER(outYear),SUM(AT13:AT13)-#REF!,"")</f>
        <v/>
      </c>
      <c r="AU17" s="138" t="str">
        <f>IF(ISNUMBER(outYear),SUM(AU13:AU13)-#REF!,"")</f>
        <v/>
      </c>
      <c r="AV17" s="138" t="str">
        <f>IF(ISNUMBER(outYear),SUM(AV13:AV13)-#REF!,"")</f>
        <v/>
      </c>
      <c r="AW17" s="138" t="str">
        <f>IF(ISNUMBER(outYear),SUM(AW13:AW13)-#REF!,"")</f>
        <v/>
      </c>
      <c r="AX17" s="138" t="str">
        <f>IF(ISNUMBER(outYear),SUM(AX13:AX13)-#REF!,"")</f>
        <v/>
      </c>
      <c r="AY17" s="138" t="str">
        <f>IF(ISNUMBER(outYear),SUM(AY13:AY13)-#REF!,"")</f>
        <v/>
      </c>
      <c r="AZ17" s="138" t="str">
        <f>IF(ISNUMBER(outYear),SUM(AZ13:AZ13)-#REF!,"")</f>
        <v/>
      </c>
      <c r="BA17" s="138" t="str">
        <f>IF(ISNUMBER(outYear),SUM(BA13:BA13)-#REF!,"")</f>
        <v/>
      </c>
      <c r="BB17" s="138" t="str">
        <f>IF(ISNUMBER(outYear),SUM(BB13:BB13)-#REF!,"")</f>
        <v/>
      </c>
      <c r="BC17" s="138" t="str">
        <f>IF(ISNUMBER(outYear),SUM(BC13:BC13)-#REF!,"")</f>
        <v/>
      </c>
      <c r="BD17" s="138" t="str">
        <f>IF(ISNUMBER(outYear),SUM(BD13:BD13)-#REF!,"")</f>
        <v/>
      </c>
      <c r="BE17" s="138" t="str">
        <f>IF(ISNUMBER(outYear),SUM(BE13:BE13)-#REF!,"")</f>
        <v/>
      </c>
      <c r="BF17" s="138" t="str">
        <f>IF(ISNUMBER(outYear),SUM(BF13:BF13)-#REF!,"")</f>
        <v/>
      </c>
      <c r="BG17" s="138" t="str">
        <f>IF(ISNUMBER(outYear),SUM(BG13:BG13)-#REF!,"")</f>
        <v/>
      </c>
      <c r="BH17" s="138" t="str">
        <f>IF(ISNUMBER(outYear),SUM(BH13:BH13)-#REF!,"")</f>
        <v/>
      </c>
      <c r="BI17" s="138" t="str">
        <f>IF(ISNUMBER(outYear),SUM(BI13:BI13)-#REF!,"")</f>
        <v/>
      </c>
      <c r="BJ17" s="138" t="str">
        <f>IF(ISNUMBER(outYear),SUM(BJ13:BJ13)-#REF!,"")</f>
        <v/>
      </c>
      <c r="BK17" s="138" t="str">
        <f>IF(ISNUMBER(outYear),SUM(BK13:BK13)-#REF!,"")</f>
        <v/>
      </c>
      <c r="BL17" s="138" t="str">
        <f>IF(ISNUMBER(outYear),SUM(BL13:BL13)-#REF!,"")</f>
        <v/>
      </c>
      <c r="BM17" s="138" t="str">
        <f>IF(ISNUMBER(outYear),SUM(BM13:BM13)-#REF!,"")</f>
        <v/>
      </c>
      <c r="BN17" s="138" t="str">
        <f>IF(ISNUMBER(outYear),SUM(BN13:BN13)-#REF!,"")</f>
        <v/>
      </c>
      <c r="BO17" s="138" t="str">
        <f>IF(ISNUMBER(outYear),SUM(BO13:BO13)-#REF!,"")</f>
        <v/>
      </c>
      <c r="BP17" s="138" t="str">
        <f>IF(ISNUMBER(outYear),SUM(BP13:BP13)-#REF!,"")</f>
        <v/>
      </c>
      <c r="BQ17" s="138" t="str">
        <f>IF(ISNUMBER(outYear),SUM(BQ13:BQ13)-#REF!,"")</f>
        <v/>
      </c>
      <c r="BR17" s="138" t="str">
        <f>IF(ISNUMBER(outYear),SUM(BR13:BR13)-#REF!,"")</f>
        <v/>
      </c>
      <c r="BS17" s="138" t="str">
        <f>IF(ISNUMBER(outYear),SUM(BS13:BS13)-#REF!,"")</f>
        <v/>
      </c>
      <c r="BT17" s="138" t="str">
        <f>IF(ISNUMBER(outYear),SUM(BT13:BT13)-#REF!,"")</f>
        <v/>
      </c>
      <c r="BU17" s="138" t="str">
        <f>IF(ISNUMBER(outYear),SUM(BU13:BU13)-#REF!,"")</f>
        <v/>
      </c>
      <c r="BV17" s="138" t="str">
        <f>IF(ISNUMBER(outYear),SUM(BV13:BV13)-#REF!,"")</f>
        <v/>
      </c>
      <c r="BW17" s="138" t="str">
        <f>IF(ISNUMBER(outYear),SUM(BW13:BW13)-#REF!,"")</f>
        <v/>
      </c>
      <c r="BX17" s="138" t="str">
        <f>IF(ISNUMBER(outYear),SUM(BX13:BX13)-#REF!,"")</f>
        <v/>
      </c>
      <c r="BY17" s="138" t="str">
        <f>IF(ISNUMBER(outYear),SUM(BY13:BY13)-#REF!,"")</f>
        <v/>
      </c>
      <c r="BZ17" s="138" t="str">
        <f>IF(ISNUMBER(outYear),SUM(BZ13:BZ13)-#REF!,"")</f>
        <v/>
      </c>
      <c r="CA17" s="138" t="str">
        <f>IF(ISNUMBER(outYear),SUM(CA13:CA13)-#REF!,"")</f>
        <v/>
      </c>
      <c r="CB17" s="138" t="str">
        <f>IF(ISNUMBER(outYear),SUM(CB13:CB13)-#REF!,"")</f>
        <v/>
      </c>
      <c r="CC17" s="138" t="str">
        <f>IF(ISNUMBER(outYear),SUM(CC13:CC13)-#REF!,"")</f>
        <v/>
      </c>
      <c r="CD17" s="138" t="str">
        <f>IF(ISNUMBER(outYear),SUM(CD13:CD13)-#REF!,"")</f>
        <v/>
      </c>
      <c r="CE17" s="138" t="str">
        <f>IF(ISNUMBER(outYear),SUM(CE13:CE13)-#REF!,"")</f>
        <v/>
      </c>
      <c r="CF17" s="138" t="str">
        <f>IF(ISNUMBER(outYear),SUM(CF13:CF13)-#REF!,"")</f>
        <v/>
      </c>
      <c r="CG17" s="138" t="str">
        <f>IF(ISNUMBER(outYear),SUM(CG13:CG13)-#REF!,"")</f>
        <v/>
      </c>
      <c r="CH17" s="138" t="str">
        <f>IF(ISNUMBER(outYear),SUM(CH13:CH13)-#REF!,"")</f>
        <v/>
      </c>
      <c r="CI17" s="138" t="str">
        <f>IF(ISNUMBER(outYear),SUM(CI13:CI13)-#REF!,"")</f>
        <v/>
      </c>
      <c r="CJ17" s="138" t="str">
        <f>IF(ISNUMBER(outYear),SUM(CJ13:CJ13)-#REF!,"")</f>
        <v/>
      </c>
      <c r="CK17" s="138" t="str">
        <f>IF(ISNUMBER(outYear),SUM(CK13:CK13)-#REF!,"")</f>
        <v/>
      </c>
      <c r="CL17" s="138" t="str">
        <f>IF(ISNUMBER(outYear),SUM(CL13:CL13)-#REF!,"")</f>
        <v/>
      </c>
      <c r="CM17" s="138" t="str">
        <f>IF(ISNUMBER(outYear),SUM(CM13:CM13)-#REF!,"")</f>
        <v/>
      </c>
      <c r="CN17" s="138" t="str">
        <f>IF(ISNUMBER(outYear),SUM(CN13:CN13)-#REF!,"")</f>
        <v/>
      </c>
      <c r="CO17" s="138" t="str">
        <f>IF(ISNUMBER(outYear),SUM(CO13:CO13)-#REF!,"")</f>
        <v/>
      </c>
      <c r="CP17" s="138" t="str">
        <f>IF(ISNUMBER(outYear),SUM(CP13:CP13)-#REF!,"")</f>
        <v/>
      </c>
      <c r="CQ17" s="138" t="str">
        <f>IF(ISNUMBER(outYear),SUM(CQ13:CQ13)-#REF!,"")</f>
        <v/>
      </c>
      <c r="CR17" s="138" t="str">
        <f>IF(ISNUMBER(outYear),SUM(CR13:CR13)-#REF!,"")</f>
        <v/>
      </c>
      <c r="CS17" s="138" t="str">
        <f>IF(ISNUMBER(outYear),SUM(CS13:CS13)-#REF!,"")</f>
        <v/>
      </c>
      <c r="CT17" s="138" t="str">
        <f>IF(ISNUMBER(outYear),SUM(CT13:CT13)-#REF!,"")</f>
        <v/>
      </c>
      <c r="CU17" s="138" t="str">
        <f>IF(ISNUMBER(outYear),SUM(CU13:CU13)-#REF!,"")</f>
        <v/>
      </c>
      <c r="CV17" s="138" t="str">
        <f>IF(ISNUMBER(outYear),SUM(CV13:CV13)-#REF!,"")</f>
        <v/>
      </c>
      <c r="CW17" s="138" t="str">
        <f>IF(ISNUMBER(outYear),SUM(CW13:CW13)-#REF!,"")</f>
        <v/>
      </c>
      <c r="CX17" s="138" t="str">
        <f>IF(ISNUMBER(outYear),SUM(CX13:CX13)-#REF!,"")</f>
        <v/>
      </c>
    </row>
    <row r="18" spans="1:102" x14ac:dyDescent="0.2">
      <c r="A18" s="124"/>
      <c r="B18" s="135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9"/>
      <c r="CD18" s="139"/>
      <c r="CE18" s="139"/>
      <c r="CF18" s="139"/>
      <c r="CG18" s="139"/>
      <c r="CH18" s="139"/>
      <c r="CI18" s="139"/>
      <c r="CJ18" s="139"/>
      <c r="CK18" s="139"/>
      <c r="CL18" s="139"/>
      <c r="CM18" s="139"/>
      <c r="CN18" s="139"/>
      <c r="CO18" s="139"/>
      <c r="CP18" s="139"/>
      <c r="CQ18" s="139"/>
      <c r="CR18" s="139"/>
      <c r="CS18" s="139"/>
      <c r="CT18" s="139"/>
      <c r="CU18" s="139"/>
      <c r="CV18" s="139"/>
      <c r="CW18" s="139"/>
      <c r="CX18" s="139"/>
    </row>
    <row r="19" spans="1:102" x14ac:dyDescent="0.2">
      <c r="A19" s="129" t="s">
        <v>95</v>
      </c>
      <c r="B19" s="140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2"/>
    </row>
    <row r="20" spans="1:102" x14ac:dyDescent="0.2">
      <c r="A20" s="134" t="s">
        <v>96</v>
      </c>
      <c r="B20" s="135"/>
      <c r="C20" s="125">
        <f t="shared" ref="C20:AH20" si="16">IF(ISNUMBER(outYear),IF(FederalDepreciation&lt;&gt;"N/A",C17,0),"")</f>
        <v>4501.5129999999999</v>
      </c>
      <c r="D20" s="125">
        <f t="shared" si="16"/>
        <v>4614.0508250000003</v>
      </c>
      <c r="E20" s="125">
        <f t="shared" si="16"/>
        <v>4729.4020956249997</v>
      </c>
      <c r="F20" s="125">
        <f t="shared" si="16"/>
        <v>4847.637148015624</v>
      </c>
      <c r="G20" s="125">
        <f t="shared" si="16"/>
        <v>4968.828076716014</v>
      </c>
      <c r="H20" s="125">
        <f t="shared" si="16"/>
        <v>5093.0487786339145</v>
      </c>
      <c r="I20" s="125">
        <f t="shared" si="16"/>
        <v>5220.3749980997627</v>
      </c>
      <c r="J20" s="125">
        <f t="shared" si="16"/>
        <v>5350.8843730522567</v>
      </c>
      <c r="K20" s="125">
        <f t="shared" si="16"/>
        <v>5484.6564823785611</v>
      </c>
      <c r="L20" s="125">
        <f t="shared" si="16"/>
        <v>80621.772894438021</v>
      </c>
      <c r="M20" s="125">
        <f t="shared" si="16"/>
        <v>5762.317216798976</v>
      </c>
      <c r="N20" s="125">
        <f t="shared" si="16"/>
        <v>5906.3751472189497</v>
      </c>
      <c r="O20" s="125">
        <f t="shared" si="16"/>
        <v>6054.034525899423</v>
      </c>
      <c r="P20" s="125">
        <f t="shared" si="16"/>
        <v>6205.385389046909</v>
      </c>
      <c r="Q20" s="125">
        <f t="shared" si="16"/>
        <v>6360.5200237730824</v>
      </c>
      <c r="R20" s="125">
        <f t="shared" si="16"/>
        <v>6519.5330243674089</v>
      </c>
      <c r="S20" s="125">
        <f t="shared" si="16"/>
        <v>6682.5213499765923</v>
      </c>
      <c r="T20" s="125">
        <f t="shared" si="16"/>
        <v>6849.5843837260081</v>
      </c>
      <c r="U20" s="125">
        <f t="shared" si="16"/>
        <v>7020.823993319158</v>
      </c>
      <c r="V20" s="125">
        <f t="shared" si="16"/>
        <v>7196.3445931521355</v>
      </c>
      <c r="W20" s="125">
        <f t="shared" si="16"/>
        <v>7376.2532079809389</v>
      </c>
      <c r="X20" s="125">
        <f t="shared" si="16"/>
        <v>7560.6595381804627</v>
      </c>
      <c r="Y20" s="125">
        <f t="shared" si="16"/>
        <v>7749.6760266349738</v>
      </c>
      <c r="Z20" s="125">
        <f t="shared" si="16"/>
        <v>7943.4179273008485</v>
      </c>
      <c r="AA20" s="125">
        <f t="shared" si="16"/>
        <v>8142.0033754833667</v>
      </c>
      <c r="AB20" s="125" t="str">
        <f t="shared" si="16"/>
        <v/>
      </c>
      <c r="AC20" s="125" t="str">
        <f t="shared" si="16"/>
        <v/>
      </c>
      <c r="AD20" s="125" t="str">
        <f t="shared" si="16"/>
        <v/>
      </c>
      <c r="AE20" s="125" t="str">
        <f t="shared" si="16"/>
        <v/>
      </c>
      <c r="AF20" s="125" t="str">
        <f t="shared" si="16"/>
        <v/>
      </c>
      <c r="AG20" s="125" t="str">
        <f t="shared" si="16"/>
        <v/>
      </c>
      <c r="AH20" s="125" t="str">
        <f t="shared" si="16"/>
        <v/>
      </c>
      <c r="AI20" s="125" t="str">
        <f t="shared" ref="AI20:BN20" si="17">IF(ISNUMBER(outYear),IF(FederalDepreciation&lt;&gt;"N/A",AI17,0),"")</f>
        <v/>
      </c>
      <c r="AJ20" s="125" t="str">
        <f t="shared" si="17"/>
        <v/>
      </c>
      <c r="AK20" s="125" t="str">
        <f t="shared" si="17"/>
        <v/>
      </c>
      <c r="AL20" s="125" t="str">
        <f t="shared" si="17"/>
        <v/>
      </c>
      <c r="AM20" s="125" t="str">
        <f t="shared" si="17"/>
        <v/>
      </c>
      <c r="AN20" s="125" t="str">
        <f t="shared" si="17"/>
        <v/>
      </c>
      <c r="AO20" s="125" t="str">
        <f t="shared" si="17"/>
        <v/>
      </c>
      <c r="AP20" s="125" t="str">
        <f t="shared" si="17"/>
        <v/>
      </c>
      <c r="AQ20" s="125" t="str">
        <f t="shared" si="17"/>
        <v/>
      </c>
      <c r="AR20" s="125" t="str">
        <f t="shared" si="17"/>
        <v/>
      </c>
      <c r="AS20" s="125" t="str">
        <f t="shared" si="17"/>
        <v/>
      </c>
      <c r="AT20" s="125" t="str">
        <f t="shared" si="17"/>
        <v/>
      </c>
      <c r="AU20" s="125" t="str">
        <f t="shared" si="17"/>
        <v/>
      </c>
      <c r="AV20" s="125" t="str">
        <f t="shared" si="17"/>
        <v/>
      </c>
      <c r="AW20" s="125" t="str">
        <f t="shared" si="17"/>
        <v/>
      </c>
      <c r="AX20" s="125" t="str">
        <f t="shared" si="17"/>
        <v/>
      </c>
      <c r="AY20" s="125" t="str">
        <f t="shared" si="17"/>
        <v/>
      </c>
      <c r="AZ20" s="125" t="str">
        <f t="shared" si="17"/>
        <v/>
      </c>
      <c r="BA20" s="125" t="str">
        <f t="shared" si="17"/>
        <v/>
      </c>
      <c r="BB20" s="125" t="str">
        <f t="shared" si="17"/>
        <v/>
      </c>
      <c r="BC20" s="125" t="str">
        <f t="shared" si="17"/>
        <v/>
      </c>
      <c r="BD20" s="125" t="str">
        <f t="shared" si="17"/>
        <v/>
      </c>
      <c r="BE20" s="125" t="str">
        <f t="shared" si="17"/>
        <v/>
      </c>
      <c r="BF20" s="125" t="str">
        <f t="shared" si="17"/>
        <v/>
      </c>
      <c r="BG20" s="125" t="str">
        <f t="shared" si="17"/>
        <v/>
      </c>
      <c r="BH20" s="125" t="str">
        <f t="shared" si="17"/>
        <v/>
      </c>
      <c r="BI20" s="125" t="str">
        <f t="shared" si="17"/>
        <v/>
      </c>
      <c r="BJ20" s="125" t="str">
        <f t="shared" si="17"/>
        <v/>
      </c>
      <c r="BK20" s="125" t="str">
        <f t="shared" si="17"/>
        <v/>
      </c>
      <c r="BL20" s="125" t="str">
        <f t="shared" si="17"/>
        <v/>
      </c>
      <c r="BM20" s="125" t="str">
        <f t="shared" si="17"/>
        <v/>
      </c>
      <c r="BN20" s="125" t="str">
        <f t="shared" si="17"/>
        <v/>
      </c>
      <c r="BO20" s="125" t="str">
        <f t="shared" ref="BO20:CX20" si="18">IF(ISNUMBER(outYear),IF(FederalDepreciation&lt;&gt;"N/A",BO17,0),"")</f>
        <v/>
      </c>
      <c r="BP20" s="125" t="str">
        <f t="shared" si="18"/>
        <v/>
      </c>
      <c r="BQ20" s="125" t="str">
        <f t="shared" si="18"/>
        <v/>
      </c>
      <c r="BR20" s="125" t="str">
        <f t="shared" si="18"/>
        <v/>
      </c>
      <c r="BS20" s="125" t="str">
        <f t="shared" si="18"/>
        <v/>
      </c>
      <c r="BT20" s="125" t="str">
        <f t="shared" si="18"/>
        <v/>
      </c>
      <c r="BU20" s="125" t="str">
        <f t="shared" si="18"/>
        <v/>
      </c>
      <c r="BV20" s="125" t="str">
        <f t="shared" si="18"/>
        <v/>
      </c>
      <c r="BW20" s="125" t="str">
        <f t="shared" si="18"/>
        <v/>
      </c>
      <c r="BX20" s="125" t="str">
        <f t="shared" si="18"/>
        <v/>
      </c>
      <c r="BY20" s="125" t="str">
        <f t="shared" si="18"/>
        <v/>
      </c>
      <c r="BZ20" s="125" t="str">
        <f t="shared" si="18"/>
        <v/>
      </c>
      <c r="CA20" s="125" t="str">
        <f t="shared" si="18"/>
        <v/>
      </c>
      <c r="CB20" s="125" t="str">
        <f t="shared" si="18"/>
        <v/>
      </c>
      <c r="CC20" s="125" t="str">
        <f t="shared" si="18"/>
        <v/>
      </c>
      <c r="CD20" s="125" t="str">
        <f t="shared" si="18"/>
        <v/>
      </c>
      <c r="CE20" s="125" t="str">
        <f t="shared" si="18"/>
        <v/>
      </c>
      <c r="CF20" s="125" t="str">
        <f t="shared" si="18"/>
        <v/>
      </c>
      <c r="CG20" s="125" t="str">
        <f t="shared" si="18"/>
        <v/>
      </c>
      <c r="CH20" s="125" t="str">
        <f t="shared" si="18"/>
        <v/>
      </c>
      <c r="CI20" s="125" t="str">
        <f t="shared" si="18"/>
        <v/>
      </c>
      <c r="CJ20" s="125" t="str">
        <f t="shared" si="18"/>
        <v/>
      </c>
      <c r="CK20" s="125" t="str">
        <f t="shared" si="18"/>
        <v/>
      </c>
      <c r="CL20" s="125" t="str">
        <f t="shared" si="18"/>
        <v/>
      </c>
      <c r="CM20" s="125" t="str">
        <f t="shared" si="18"/>
        <v/>
      </c>
      <c r="CN20" s="125" t="str">
        <f t="shared" si="18"/>
        <v/>
      </c>
      <c r="CO20" s="125" t="str">
        <f t="shared" si="18"/>
        <v/>
      </c>
      <c r="CP20" s="125" t="str">
        <f t="shared" si="18"/>
        <v/>
      </c>
      <c r="CQ20" s="125" t="str">
        <f t="shared" si="18"/>
        <v/>
      </c>
      <c r="CR20" s="125" t="str">
        <f t="shared" si="18"/>
        <v/>
      </c>
      <c r="CS20" s="125" t="str">
        <f t="shared" si="18"/>
        <v/>
      </c>
      <c r="CT20" s="125" t="str">
        <f t="shared" si="18"/>
        <v/>
      </c>
      <c r="CU20" s="125" t="str">
        <f t="shared" si="18"/>
        <v/>
      </c>
      <c r="CV20" s="125" t="str">
        <f t="shared" si="18"/>
        <v/>
      </c>
      <c r="CW20" s="125" t="str">
        <f t="shared" si="18"/>
        <v/>
      </c>
      <c r="CX20" s="125" t="str">
        <f t="shared" si="18"/>
        <v/>
      </c>
    </row>
    <row r="21" spans="1:102" x14ac:dyDescent="0.2">
      <c r="A21" s="120"/>
      <c r="B21" s="135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</row>
    <row r="22" spans="1:102" x14ac:dyDescent="0.2">
      <c r="A22" s="143" t="s">
        <v>97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  <c r="CX22" s="145"/>
    </row>
    <row r="23" spans="1:102" x14ac:dyDescent="0.2">
      <c r="A23" s="146" t="s">
        <v>98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8"/>
    </row>
    <row r="24" spans="1:102" x14ac:dyDescent="0.2">
      <c r="A24" s="149" t="s">
        <v>99</v>
      </c>
      <c r="B24" s="150">
        <f>total_installed_cost-B39-B44</f>
        <v>542718</v>
      </c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8"/>
    </row>
    <row r="25" spans="1:102" x14ac:dyDescent="0.2">
      <c r="A25" s="149" t="s">
        <v>100</v>
      </c>
      <c r="B25" s="151">
        <f>B24*debt_fraction/100</f>
        <v>0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8"/>
    </row>
    <row r="26" spans="1:102" x14ac:dyDescent="0.2">
      <c r="A26" s="149" t="s">
        <v>101</v>
      </c>
      <c r="B26" s="150">
        <f>B24-B25</f>
        <v>542718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8"/>
    </row>
    <row r="27" spans="1:102" x14ac:dyDescent="0.2">
      <c r="A27" s="146" t="s">
        <v>102</v>
      </c>
      <c r="B27" s="150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8"/>
    </row>
    <row r="28" spans="1:102" x14ac:dyDescent="0.2">
      <c r="A28" s="149" t="s">
        <v>103</v>
      </c>
      <c r="B28" s="150"/>
      <c r="C28" s="150">
        <f>IF(loan_term=0, 0, B25)</f>
        <v>0</v>
      </c>
      <c r="D28" s="150">
        <f t="shared" ref="D28:AA28" si="19">IF(ISNUMBER(outYear),C28-C30,"")</f>
        <v>0</v>
      </c>
      <c r="E28" s="150">
        <f t="shared" si="19"/>
        <v>0</v>
      </c>
      <c r="F28" s="150">
        <f t="shared" si="19"/>
        <v>0</v>
      </c>
      <c r="G28" s="150">
        <f t="shared" si="19"/>
        <v>0</v>
      </c>
      <c r="H28" s="150">
        <f t="shared" si="19"/>
        <v>0</v>
      </c>
      <c r="I28" s="150">
        <f t="shared" si="19"/>
        <v>0</v>
      </c>
      <c r="J28" s="150">
        <f t="shared" si="19"/>
        <v>0</v>
      </c>
      <c r="K28" s="150">
        <f t="shared" si="19"/>
        <v>0</v>
      </c>
      <c r="L28" s="150">
        <f t="shared" si="19"/>
        <v>0</v>
      </c>
      <c r="M28" s="150">
        <f t="shared" si="19"/>
        <v>0</v>
      </c>
      <c r="N28" s="150">
        <f t="shared" si="19"/>
        <v>0</v>
      </c>
      <c r="O28" s="150">
        <f t="shared" si="19"/>
        <v>0</v>
      </c>
      <c r="P28" s="150">
        <f t="shared" si="19"/>
        <v>0</v>
      </c>
      <c r="Q28" s="150">
        <f t="shared" si="19"/>
        <v>0</v>
      </c>
      <c r="R28" s="150">
        <f t="shared" si="19"/>
        <v>0</v>
      </c>
      <c r="S28" s="150">
        <f t="shared" si="19"/>
        <v>0</v>
      </c>
      <c r="T28" s="150">
        <f t="shared" si="19"/>
        <v>0</v>
      </c>
      <c r="U28" s="150">
        <f t="shared" si="19"/>
        <v>0</v>
      </c>
      <c r="V28" s="150">
        <f t="shared" si="19"/>
        <v>0</v>
      </c>
      <c r="W28" s="150">
        <f t="shared" si="19"/>
        <v>0</v>
      </c>
      <c r="X28" s="150">
        <f t="shared" si="19"/>
        <v>0</v>
      </c>
      <c r="Y28" s="150">
        <f t="shared" si="19"/>
        <v>0</v>
      </c>
      <c r="Z28" s="150">
        <f t="shared" si="19"/>
        <v>0</v>
      </c>
      <c r="AA28" s="150">
        <f t="shared" si="19"/>
        <v>0</v>
      </c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0"/>
      <c r="CB28" s="150"/>
      <c r="CC28" s="150"/>
      <c r="CD28" s="150"/>
      <c r="CE28" s="150"/>
      <c r="CF28" s="150"/>
      <c r="CG28" s="150"/>
      <c r="CH28" s="150"/>
      <c r="CI28" s="150"/>
      <c r="CJ28" s="150"/>
      <c r="CK28" s="150"/>
      <c r="CL28" s="150"/>
      <c r="CM28" s="150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</row>
    <row r="29" spans="1:102" x14ac:dyDescent="0.2">
      <c r="A29" s="149" t="s">
        <v>104</v>
      </c>
      <c r="B29" s="147"/>
      <c r="C29" s="150">
        <f t="shared" ref="C29:AA29" si="20">IF(ISNUMBER(outYear),IF(outYear&gt;loan_term,0,C28*loan_rate/100),"")</f>
        <v>0</v>
      </c>
      <c r="D29" s="150">
        <f t="shared" si="20"/>
        <v>0</v>
      </c>
      <c r="E29" s="150">
        <f t="shared" si="20"/>
        <v>0</v>
      </c>
      <c r="F29" s="150">
        <f t="shared" si="20"/>
        <v>0</v>
      </c>
      <c r="G29" s="150">
        <f t="shared" si="20"/>
        <v>0</v>
      </c>
      <c r="H29" s="150">
        <f t="shared" si="20"/>
        <v>0</v>
      </c>
      <c r="I29" s="150">
        <f t="shared" si="20"/>
        <v>0</v>
      </c>
      <c r="J29" s="150">
        <f t="shared" si="20"/>
        <v>0</v>
      </c>
      <c r="K29" s="150">
        <f t="shared" si="20"/>
        <v>0</v>
      </c>
      <c r="L29" s="150">
        <f t="shared" si="20"/>
        <v>0</v>
      </c>
      <c r="M29" s="150">
        <f t="shared" si="20"/>
        <v>0</v>
      </c>
      <c r="N29" s="150">
        <f t="shared" si="20"/>
        <v>0</v>
      </c>
      <c r="O29" s="150">
        <f t="shared" si="20"/>
        <v>0</v>
      </c>
      <c r="P29" s="150">
        <f t="shared" si="20"/>
        <v>0</v>
      </c>
      <c r="Q29" s="150">
        <f t="shared" si="20"/>
        <v>0</v>
      </c>
      <c r="R29" s="150">
        <f t="shared" si="20"/>
        <v>0</v>
      </c>
      <c r="S29" s="150">
        <f t="shared" si="20"/>
        <v>0</v>
      </c>
      <c r="T29" s="150">
        <f t="shared" si="20"/>
        <v>0</v>
      </c>
      <c r="U29" s="150">
        <f t="shared" si="20"/>
        <v>0</v>
      </c>
      <c r="V29" s="150">
        <f t="shared" si="20"/>
        <v>0</v>
      </c>
      <c r="W29" s="150">
        <f t="shared" si="20"/>
        <v>0</v>
      </c>
      <c r="X29" s="150">
        <f t="shared" si="20"/>
        <v>0</v>
      </c>
      <c r="Y29" s="150">
        <f t="shared" si="20"/>
        <v>0</v>
      </c>
      <c r="Z29" s="150">
        <f t="shared" si="20"/>
        <v>0</v>
      </c>
      <c r="AA29" s="150">
        <f t="shared" si="20"/>
        <v>0</v>
      </c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</row>
    <row r="30" spans="1:102" x14ac:dyDescent="0.2">
      <c r="A30" s="149" t="s">
        <v>105</v>
      </c>
      <c r="B30" s="147"/>
      <c r="C30" s="150">
        <f t="shared" ref="C30:AA30" si="21">IF(ISNUMBER(outYear),IF(outYear&gt;loan_term,0,-PPMT(loan_rate/100,outYear,loan_term,$B$25,0,0)),"")</f>
        <v>0</v>
      </c>
      <c r="D30" s="150">
        <f t="shared" si="21"/>
        <v>0</v>
      </c>
      <c r="E30" s="150">
        <f t="shared" si="21"/>
        <v>0</v>
      </c>
      <c r="F30" s="150">
        <f t="shared" si="21"/>
        <v>0</v>
      </c>
      <c r="G30" s="150">
        <f t="shared" si="21"/>
        <v>0</v>
      </c>
      <c r="H30" s="150">
        <f t="shared" si="21"/>
        <v>0</v>
      </c>
      <c r="I30" s="150">
        <f t="shared" si="21"/>
        <v>0</v>
      </c>
      <c r="J30" s="150">
        <f t="shared" si="21"/>
        <v>0</v>
      </c>
      <c r="K30" s="150">
        <f t="shared" si="21"/>
        <v>0</v>
      </c>
      <c r="L30" s="150">
        <f t="shared" si="21"/>
        <v>0</v>
      </c>
      <c r="M30" s="150">
        <f t="shared" si="21"/>
        <v>0</v>
      </c>
      <c r="N30" s="150">
        <f t="shared" si="21"/>
        <v>0</v>
      </c>
      <c r="O30" s="150">
        <f t="shared" si="21"/>
        <v>0</v>
      </c>
      <c r="P30" s="150">
        <f t="shared" si="21"/>
        <v>0</v>
      </c>
      <c r="Q30" s="150">
        <f t="shared" si="21"/>
        <v>0</v>
      </c>
      <c r="R30" s="150">
        <f t="shared" si="21"/>
        <v>0</v>
      </c>
      <c r="S30" s="150">
        <f t="shared" si="21"/>
        <v>0</v>
      </c>
      <c r="T30" s="150">
        <f t="shared" si="21"/>
        <v>0</v>
      </c>
      <c r="U30" s="150">
        <f t="shared" si="21"/>
        <v>0</v>
      </c>
      <c r="V30" s="150">
        <f t="shared" si="21"/>
        <v>0</v>
      </c>
      <c r="W30" s="150">
        <f t="shared" si="21"/>
        <v>0</v>
      </c>
      <c r="X30" s="150">
        <f t="shared" si="21"/>
        <v>0</v>
      </c>
      <c r="Y30" s="150">
        <f t="shared" si="21"/>
        <v>0</v>
      </c>
      <c r="Z30" s="150">
        <f t="shared" si="21"/>
        <v>0</v>
      </c>
      <c r="AA30" s="150">
        <f t="shared" si="21"/>
        <v>0</v>
      </c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</row>
    <row r="31" spans="1:102" x14ac:dyDescent="0.2">
      <c r="A31" s="152" t="s">
        <v>106</v>
      </c>
      <c r="B31" s="153"/>
      <c r="C31" s="154">
        <f t="shared" ref="C31:AA31" si="22">IF(ISNUMBER(outYear),+C29+C30,"")</f>
        <v>0</v>
      </c>
      <c r="D31" s="154">
        <f t="shared" si="22"/>
        <v>0</v>
      </c>
      <c r="E31" s="154">
        <f t="shared" si="22"/>
        <v>0</v>
      </c>
      <c r="F31" s="154">
        <f t="shared" si="22"/>
        <v>0</v>
      </c>
      <c r="G31" s="154">
        <f t="shared" si="22"/>
        <v>0</v>
      </c>
      <c r="H31" s="154">
        <f t="shared" si="22"/>
        <v>0</v>
      </c>
      <c r="I31" s="154">
        <f t="shared" si="22"/>
        <v>0</v>
      </c>
      <c r="J31" s="154">
        <f t="shared" si="22"/>
        <v>0</v>
      </c>
      <c r="K31" s="154">
        <f t="shared" si="22"/>
        <v>0</v>
      </c>
      <c r="L31" s="154">
        <f t="shared" si="22"/>
        <v>0</v>
      </c>
      <c r="M31" s="154">
        <f t="shared" si="22"/>
        <v>0</v>
      </c>
      <c r="N31" s="154">
        <f t="shared" si="22"/>
        <v>0</v>
      </c>
      <c r="O31" s="154">
        <f t="shared" si="22"/>
        <v>0</v>
      </c>
      <c r="P31" s="154">
        <f t="shared" si="22"/>
        <v>0</v>
      </c>
      <c r="Q31" s="154">
        <f t="shared" si="22"/>
        <v>0</v>
      </c>
      <c r="R31" s="154">
        <f t="shared" si="22"/>
        <v>0</v>
      </c>
      <c r="S31" s="154">
        <f t="shared" si="22"/>
        <v>0</v>
      </c>
      <c r="T31" s="154">
        <f t="shared" si="22"/>
        <v>0</v>
      </c>
      <c r="U31" s="154">
        <f t="shared" si="22"/>
        <v>0</v>
      </c>
      <c r="V31" s="154">
        <f t="shared" si="22"/>
        <v>0</v>
      </c>
      <c r="W31" s="154">
        <f t="shared" si="22"/>
        <v>0</v>
      </c>
      <c r="X31" s="154">
        <f t="shared" si="22"/>
        <v>0</v>
      </c>
      <c r="Y31" s="154">
        <f t="shared" si="22"/>
        <v>0</v>
      </c>
      <c r="Z31" s="154">
        <f t="shared" si="22"/>
        <v>0</v>
      </c>
      <c r="AA31" s="154">
        <f t="shared" si="22"/>
        <v>0</v>
      </c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154"/>
      <c r="BQ31" s="154"/>
      <c r="BR31" s="154"/>
      <c r="BS31" s="154"/>
      <c r="BT31" s="154"/>
      <c r="BU31" s="154"/>
      <c r="BV31" s="154"/>
      <c r="BW31" s="154"/>
      <c r="BX31" s="154"/>
      <c r="BY31" s="154"/>
      <c r="BZ31" s="154"/>
      <c r="CA31" s="154"/>
      <c r="CB31" s="154"/>
      <c r="CC31" s="154"/>
      <c r="CD31" s="154"/>
      <c r="CE31" s="154"/>
      <c r="CF31" s="154"/>
      <c r="CG31" s="154"/>
      <c r="CH31" s="154"/>
      <c r="CI31" s="154"/>
      <c r="CJ31" s="154"/>
      <c r="CK31" s="154"/>
      <c r="CL31" s="154"/>
      <c r="CM31" s="154"/>
      <c r="CN31" s="154"/>
      <c r="CO31" s="154"/>
      <c r="CP31" s="154"/>
      <c r="CQ31" s="154"/>
      <c r="CR31" s="154"/>
      <c r="CS31" s="154"/>
      <c r="CT31" s="154"/>
      <c r="CU31" s="154"/>
      <c r="CV31" s="154"/>
      <c r="CW31" s="154"/>
      <c r="CX31" s="154"/>
    </row>
    <row r="32" spans="1:102" x14ac:dyDescent="0.2">
      <c r="A32" s="146"/>
      <c r="B32" s="14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</row>
    <row r="33" spans="1:102" x14ac:dyDescent="0.2">
      <c r="A33" s="155" t="s">
        <v>107</v>
      </c>
      <c r="B33" s="125">
        <f>-B26</f>
        <v>-542718</v>
      </c>
      <c r="C33" s="125">
        <f t="shared" ref="C33:AA33" si="23">IF(ISNUMBER(C2),-(C17+C31),"")</f>
        <v>-4501.5129999999999</v>
      </c>
      <c r="D33" s="125">
        <f t="shared" si="23"/>
        <v>-4614.0508250000003</v>
      </c>
      <c r="E33" s="125">
        <f t="shared" si="23"/>
        <v>-4729.4020956249997</v>
      </c>
      <c r="F33" s="125">
        <f t="shared" si="23"/>
        <v>-4847.637148015624</v>
      </c>
      <c r="G33" s="125">
        <f t="shared" si="23"/>
        <v>-4968.828076716014</v>
      </c>
      <c r="H33" s="125">
        <f t="shared" si="23"/>
        <v>-5093.0487786339145</v>
      </c>
      <c r="I33" s="125">
        <f t="shared" si="23"/>
        <v>-5220.3749980997627</v>
      </c>
      <c r="J33" s="125">
        <f t="shared" si="23"/>
        <v>-5350.8843730522567</v>
      </c>
      <c r="K33" s="125">
        <f t="shared" si="23"/>
        <v>-5484.6564823785611</v>
      </c>
      <c r="L33" s="125">
        <f t="shared" si="23"/>
        <v>-80621.772894438021</v>
      </c>
      <c r="M33" s="125">
        <f t="shared" si="23"/>
        <v>-5762.317216798976</v>
      </c>
      <c r="N33" s="125">
        <f t="shared" si="23"/>
        <v>-5906.3751472189497</v>
      </c>
      <c r="O33" s="125">
        <f t="shared" si="23"/>
        <v>-6054.034525899423</v>
      </c>
      <c r="P33" s="125">
        <f t="shared" si="23"/>
        <v>-6205.385389046909</v>
      </c>
      <c r="Q33" s="125">
        <f t="shared" si="23"/>
        <v>-6360.5200237730824</v>
      </c>
      <c r="R33" s="125">
        <f t="shared" si="23"/>
        <v>-6519.5330243674089</v>
      </c>
      <c r="S33" s="125">
        <f t="shared" si="23"/>
        <v>-6682.5213499765923</v>
      </c>
      <c r="T33" s="125">
        <f t="shared" si="23"/>
        <v>-6849.5843837260081</v>
      </c>
      <c r="U33" s="125">
        <f t="shared" si="23"/>
        <v>-7020.823993319158</v>
      </c>
      <c r="V33" s="125">
        <f t="shared" si="23"/>
        <v>-7196.3445931521355</v>
      </c>
      <c r="W33" s="125">
        <f t="shared" si="23"/>
        <v>-7376.2532079809389</v>
      </c>
      <c r="X33" s="125">
        <f t="shared" si="23"/>
        <v>-7560.6595381804627</v>
      </c>
      <c r="Y33" s="125">
        <f t="shared" si="23"/>
        <v>-7749.6760266349738</v>
      </c>
      <c r="Z33" s="125">
        <f t="shared" si="23"/>
        <v>-7943.4179273008485</v>
      </c>
      <c r="AA33" s="125">
        <f t="shared" si="23"/>
        <v>-8142.0033754833667</v>
      </c>
      <c r="AB33" s="125" t="str">
        <f>IF(ISNUMBER(AB2),-(AB17+#REF!),"")</f>
        <v/>
      </c>
      <c r="AC33" s="125" t="str">
        <f>IF(ISNUMBER(AC2),-(AC17+#REF!),"")</f>
        <v/>
      </c>
      <c r="AD33" s="125" t="str">
        <f>IF(ISNUMBER(AD2),-(AD17+#REF!),"")</f>
        <v/>
      </c>
      <c r="AE33" s="125" t="str">
        <f>IF(ISNUMBER(AE2),-(AE17+#REF!),"")</f>
        <v/>
      </c>
      <c r="AF33" s="125" t="str">
        <f>IF(ISNUMBER(AF2),-(AF17+#REF!),"")</f>
        <v/>
      </c>
      <c r="AG33" s="125" t="str">
        <f>IF(ISNUMBER(AG2),-(AG17+#REF!),"")</f>
        <v/>
      </c>
      <c r="AH33" s="125" t="str">
        <f>IF(ISNUMBER(AH2),-(AH17+#REF!),"")</f>
        <v/>
      </c>
      <c r="AI33" s="125" t="str">
        <f>IF(ISNUMBER(AI2),-(AI17+#REF!),"")</f>
        <v/>
      </c>
      <c r="AJ33" s="125" t="str">
        <f>IF(ISNUMBER(AJ2),-(AJ17+#REF!),"")</f>
        <v/>
      </c>
      <c r="AK33" s="125" t="str">
        <f>IF(ISNUMBER(AK2),-(AK17+#REF!),"")</f>
        <v/>
      </c>
      <c r="AL33" s="125" t="str">
        <f>IF(ISNUMBER(AL2),-(AL17+#REF!),"")</f>
        <v/>
      </c>
      <c r="AM33" s="125" t="str">
        <f>IF(ISNUMBER(AM2),-(AM17+#REF!),"")</f>
        <v/>
      </c>
      <c r="AN33" s="125" t="str">
        <f>IF(ISNUMBER(AN2),-(AN17+#REF!),"")</f>
        <v/>
      </c>
      <c r="AO33" s="125" t="str">
        <f>IF(ISNUMBER(AO2),-(AO17+#REF!),"")</f>
        <v/>
      </c>
      <c r="AP33" s="125" t="str">
        <f>IF(ISNUMBER(AP2),-(AP17+#REF!),"")</f>
        <v/>
      </c>
      <c r="AQ33" s="125" t="str">
        <f>IF(ISNUMBER(AQ2),-(AQ17+#REF!),"")</f>
        <v/>
      </c>
      <c r="AR33" s="125" t="str">
        <f>IF(ISNUMBER(AR2),-(AR17+#REF!),"")</f>
        <v/>
      </c>
      <c r="AS33" s="125" t="str">
        <f>IF(ISNUMBER(AS2),-(AS17+#REF!),"")</f>
        <v/>
      </c>
      <c r="AT33" s="125" t="str">
        <f>IF(ISNUMBER(AT2),-(AT17+#REF!),"")</f>
        <v/>
      </c>
      <c r="AU33" s="125" t="str">
        <f>IF(ISNUMBER(AU2),-(AU17+#REF!),"")</f>
        <v/>
      </c>
      <c r="AV33" s="125" t="str">
        <f>IF(ISNUMBER(AV2),-(AV17+#REF!),"")</f>
        <v/>
      </c>
      <c r="AW33" s="125" t="str">
        <f>IF(ISNUMBER(AW2),-(AW17+#REF!),"")</f>
        <v/>
      </c>
      <c r="AX33" s="125" t="str">
        <f>IF(ISNUMBER(AX2),-(AX17+#REF!),"")</f>
        <v/>
      </c>
      <c r="AY33" s="125" t="str">
        <f>IF(ISNUMBER(AY2),-(AY17+#REF!),"")</f>
        <v/>
      </c>
      <c r="AZ33" s="125" t="str">
        <f>IF(ISNUMBER(AZ2),-(AZ17+#REF!),"")</f>
        <v/>
      </c>
      <c r="BA33" s="125" t="str">
        <f>IF(ISNUMBER(BA2),-(BA17+#REF!),"")</f>
        <v/>
      </c>
      <c r="BB33" s="125" t="str">
        <f>IF(ISNUMBER(BB2),-(BB17+#REF!),"")</f>
        <v/>
      </c>
      <c r="BC33" s="125" t="str">
        <f>IF(ISNUMBER(BC2),-(BC17+#REF!),"")</f>
        <v/>
      </c>
      <c r="BD33" s="125" t="str">
        <f>IF(ISNUMBER(BD2),-(BD17+#REF!),"")</f>
        <v/>
      </c>
      <c r="BE33" s="125" t="str">
        <f>IF(ISNUMBER(BE2),-(BE17+#REF!),"")</f>
        <v/>
      </c>
      <c r="BF33" s="125" t="str">
        <f>IF(ISNUMBER(BF2),-(BF17+#REF!),"")</f>
        <v/>
      </c>
      <c r="BG33" s="125" t="str">
        <f>IF(ISNUMBER(BG2),-(BG17+#REF!),"")</f>
        <v/>
      </c>
      <c r="BH33" s="125" t="str">
        <f>IF(ISNUMBER(BH2),-(BH17+#REF!),"")</f>
        <v/>
      </c>
      <c r="BI33" s="125" t="str">
        <f>IF(ISNUMBER(BI2),-(BI17+#REF!),"")</f>
        <v/>
      </c>
      <c r="BJ33" s="125" t="str">
        <f>IF(ISNUMBER(BJ2),-(BJ17+#REF!),"")</f>
        <v/>
      </c>
      <c r="BK33" s="125" t="str">
        <f>IF(ISNUMBER(BK2),-(BK17+#REF!),"")</f>
        <v/>
      </c>
      <c r="BL33" s="125" t="str">
        <f>IF(ISNUMBER(BL2),-(BL17+#REF!),"")</f>
        <v/>
      </c>
      <c r="BM33" s="125" t="str">
        <f>IF(ISNUMBER(BM2),-(BM17+#REF!),"")</f>
        <v/>
      </c>
      <c r="BN33" s="125" t="str">
        <f>IF(ISNUMBER(BN2),-(BN17+#REF!),"")</f>
        <v/>
      </c>
      <c r="BO33" s="125" t="str">
        <f>IF(ISNUMBER(BO2),-(BO17+#REF!),"")</f>
        <v/>
      </c>
      <c r="BP33" s="125" t="str">
        <f>IF(ISNUMBER(BP2),-(BP17+#REF!),"")</f>
        <v/>
      </c>
      <c r="BQ33" s="125" t="str">
        <f>IF(ISNUMBER(BQ2),-(BQ17+#REF!),"")</f>
        <v/>
      </c>
      <c r="BR33" s="125" t="str">
        <f>IF(ISNUMBER(BR2),-(BR17+#REF!),"")</f>
        <v/>
      </c>
      <c r="BS33" s="125" t="str">
        <f>IF(ISNUMBER(BS2),-(BS17+#REF!),"")</f>
        <v/>
      </c>
      <c r="BT33" s="125" t="str">
        <f>IF(ISNUMBER(BT2),-(BT17+#REF!),"")</f>
        <v/>
      </c>
      <c r="BU33" s="125" t="str">
        <f>IF(ISNUMBER(BU2),-(BU17+#REF!),"")</f>
        <v/>
      </c>
      <c r="BV33" s="125" t="str">
        <f>IF(ISNUMBER(BV2),-(BV17+#REF!),"")</f>
        <v/>
      </c>
      <c r="BW33" s="125" t="str">
        <f>IF(ISNUMBER(BW2),-(BW17+#REF!),"")</f>
        <v/>
      </c>
      <c r="BX33" s="125" t="str">
        <f>IF(ISNUMBER(BX2),-(BX17+#REF!),"")</f>
        <v/>
      </c>
      <c r="BY33" s="125" t="str">
        <f>IF(ISNUMBER(BY2),-(BY17+#REF!),"")</f>
        <v/>
      </c>
      <c r="BZ33" s="125" t="str">
        <f>IF(ISNUMBER(BZ2),-(BZ17+#REF!),"")</f>
        <v/>
      </c>
      <c r="CA33" s="125" t="str">
        <f>IF(ISNUMBER(CA2),-(CA17+#REF!),"")</f>
        <v/>
      </c>
      <c r="CB33" s="125" t="str">
        <f>IF(ISNUMBER(CB2),-(CB17+#REF!),"")</f>
        <v/>
      </c>
      <c r="CC33" s="125" t="str">
        <f>IF(ISNUMBER(CC2),-(CC17+#REF!),"")</f>
        <v/>
      </c>
      <c r="CD33" s="125" t="str">
        <f>IF(ISNUMBER(CD2),-(CD17+#REF!),"")</f>
        <v/>
      </c>
      <c r="CE33" s="125" t="str">
        <f>IF(ISNUMBER(CE2),-(CE17+#REF!),"")</f>
        <v/>
      </c>
      <c r="CF33" s="125" t="str">
        <f>IF(ISNUMBER(CF2),-(CF17+#REF!),"")</f>
        <v/>
      </c>
      <c r="CG33" s="125" t="str">
        <f>IF(ISNUMBER(CG2),-(CG17+#REF!),"")</f>
        <v/>
      </c>
      <c r="CH33" s="125" t="str">
        <f>IF(ISNUMBER(CH2),-(CH17+#REF!),"")</f>
        <v/>
      </c>
      <c r="CI33" s="125" t="str">
        <f>IF(ISNUMBER(CI2),-(CI17+#REF!),"")</f>
        <v/>
      </c>
      <c r="CJ33" s="125" t="str">
        <f>IF(ISNUMBER(CJ2),-(CJ17+#REF!),"")</f>
        <v/>
      </c>
      <c r="CK33" s="125" t="str">
        <f>IF(ISNUMBER(CK2),-(CK17+#REF!),"")</f>
        <v/>
      </c>
      <c r="CL33" s="125" t="str">
        <f>IF(ISNUMBER(CL2),-(CL17+#REF!),"")</f>
        <v/>
      </c>
      <c r="CM33" s="125" t="str">
        <f>IF(ISNUMBER(CM2),-(CM17+#REF!),"")</f>
        <v/>
      </c>
      <c r="CN33" s="125" t="str">
        <f>IF(ISNUMBER(CN2),-(CN17+#REF!),"")</f>
        <v/>
      </c>
      <c r="CO33" s="125" t="str">
        <f>IF(ISNUMBER(CO2),-(CO17+#REF!),"")</f>
        <v/>
      </c>
      <c r="CP33" s="125" t="str">
        <f>IF(ISNUMBER(CP2),-(CP17+#REF!),"")</f>
        <v/>
      </c>
      <c r="CQ33" s="125" t="str">
        <f>IF(ISNUMBER(CQ2),-(CQ17+#REF!),"")</f>
        <v/>
      </c>
      <c r="CR33" s="125" t="str">
        <f>IF(ISNUMBER(CR2),-(CR17+#REF!),"")</f>
        <v/>
      </c>
      <c r="CS33" s="125" t="str">
        <f>IF(ISNUMBER(CS2),-(CS17+#REF!),"")</f>
        <v/>
      </c>
      <c r="CT33" s="125" t="str">
        <f>IF(ISNUMBER(CT2),-(CT17+#REF!),"")</f>
        <v/>
      </c>
      <c r="CU33" s="125" t="str">
        <f>IF(ISNUMBER(CU2),-(CU17+#REF!),"")</f>
        <v/>
      </c>
      <c r="CV33" s="125" t="str">
        <f>IF(ISNUMBER(CV2),-(CV17+#REF!),"")</f>
        <v/>
      </c>
      <c r="CW33" s="125" t="str">
        <f>IF(ISNUMBER(CW2),-(CW17+#REF!),"")</f>
        <v/>
      </c>
      <c r="CX33" s="125" t="str">
        <f>IF(ISNUMBER(CX2),-(CX17+#REF!),"")</f>
        <v/>
      </c>
    </row>
    <row r="34" spans="1:102" x14ac:dyDescent="0.2">
      <c r="A34" s="15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</row>
    <row r="35" spans="1:102" x14ac:dyDescent="0.2">
      <c r="A35" s="129" t="s">
        <v>108</v>
      </c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40"/>
      <c r="CL35" s="140"/>
      <c r="CM35" s="140"/>
      <c r="CN35" s="140"/>
      <c r="CO35" s="140"/>
      <c r="CP35" s="140"/>
      <c r="CQ35" s="140"/>
      <c r="CR35" s="140"/>
      <c r="CS35" s="140"/>
      <c r="CT35" s="140"/>
      <c r="CU35" s="140"/>
      <c r="CV35" s="140"/>
      <c r="CW35" s="140"/>
      <c r="CX35" s="142"/>
    </row>
    <row r="36" spans="1:102" x14ac:dyDescent="0.2">
      <c r="A36" s="124" t="s">
        <v>109</v>
      </c>
      <c r="B36" s="135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6"/>
      <c r="BV36" s="156"/>
      <c r="BW36" s="156"/>
      <c r="BX36" s="156"/>
      <c r="BY36" s="156"/>
      <c r="BZ36" s="156"/>
      <c r="CA36" s="156"/>
      <c r="CB36" s="156"/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6"/>
      <c r="CT36" s="156"/>
      <c r="CU36" s="156"/>
      <c r="CV36" s="156"/>
      <c r="CW36" s="156"/>
      <c r="CX36" s="156"/>
    </row>
    <row r="37" spans="1:102" x14ac:dyDescent="0.2">
      <c r="A37" s="134" t="s">
        <v>110</v>
      </c>
      <c r="B37" s="125">
        <f>MIN(ibi_sta_percent/100*(pv_installed_cost-B38-B43),ibi_sta_percent_maxvalue)</f>
        <v>0</v>
      </c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  <c r="BS37" s="156"/>
      <c r="BT37" s="156"/>
      <c r="BU37" s="156"/>
      <c r="BV37" s="156"/>
      <c r="BW37" s="156"/>
      <c r="BX37" s="156"/>
      <c r="BY37" s="156"/>
      <c r="BZ37" s="156"/>
      <c r="CA37" s="156"/>
      <c r="CB37" s="156"/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56"/>
      <c r="CX37" s="156"/>
    </row>
    <row r="38" spans="1:102" x14ac:dyDescent="0.2">
      <c r="A38" s="134" t="s">
        <v>111</v>
      </c>
      <c r="B38" s="125">
        <f>MIN(ibi_uti_percent/100*pv_installed_cost,ibi_uti_percent_maxvalue)</f>
        <v>0</v>
      </c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156"/>
      <c r="BP38" s="156"/>
      <c r="BQ38" s="156"/>
      <c r="BR38" s="156"/>
      <c r="BS38" s="156"/>
      <c r="BT38" s="156"/>
      <c r="BU38" s="156"/>
      <c r="BV38" s="156"/>
      <c r="BW38" s="156"/>
      <c r="BX38" s="156"/>
      <c r="BY38" s="156"/>
      <c r="BZ38" s="156"/>
      <c r="CA38" s="156"/>
      <c r="CB38" s="156"/>
      <c r="CC38" s="156"/>
      <c r="CD38" s="156"/>
      <c r="CE38" s="156"/>
      <c r="CF38" s="156"/>
      <c r="CG38" s="156"/>
      <c r="CH38" s="156"/>
      <c r="CI38" s="156"/>
      <c r="CJ38" s="156"/>
      <c r="CK38" s="156"/>
      <c r="CL38" s="156"/>
      <c r="CM38" s="156"/>
      <c r="CN38" s="156"/>
      <c r="CO38" s="156"/>
      <c r="CP38" s="156"/>
      <c r="CQ38" s="156"/>
      <c r="CR38" s="156"/>
      <c r="CS38" s="156"/>
      <c r="CT38" s="156"/>
      <c r="CU38" s="156"/>
      <c r="CV38" s="156"/>
      <c r="CW38" s="156"/>
      <c r="CX38" s="156"/>
    </row>
    <row r="39" spans="1:102" x14ac:dyDescent="0.2">
      <c r="A39" s="134" t="s">
        <v>112</v>
      </c>
      <c r="B39" s="125">
        <f>SUM(B37:B38)</f>
        <v>0</v>
      </c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56"/>
      <c r="CX39" s="156"/>
    </row>
    <row r="40" spans="1:102" x14ac:dyDescent="0.2">
      <c r="A40" s="124" t="s">
        <v>113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6"/>
      <c r="BX40" s="156"/>
      <c r="BY40" s="156"/>
      <c r="BZ40" s="156"/>
      <c r="CA40" s="156"/>
      <c r="CB40" s="156"/>
      <c r="CC40" s="156"/>
      <c r="CD40" s="156"/>
      <c r="CE40" s="156"/>
      <c r="CF40" s="156"/>
      <c r="CG40" s="156"/>
      <c r="CH40" s="156"/>
      <c r="CI40" s="156"/>
      <c r="CJ40" s="156"/>
      <c r="CK40" s="156"/>
      <c r="CL40" s="156"/>
      <c r="CM40" s="156"/>
      <c r="CN40" s="156"/>
      <c r="CO40" s="156"/>
      <c r="CP40" s="156"/>
      <c r="CQ40" s="156"/>
      <c r="CR40" s="156"/>
      <c r="CS40" s="156"/>
      <c r="CT40" s="156"/>
      <c r="CU40" s="156"/>
      <c r="CV40" s="156"/>
      <c r="CW40" s="156"/>
      <c r="CX40" s="156"/>
    </row>
    <row r="41" spans="1:102" x14ac:dyDescent="0.2">
      <c r="A41" s="134" t="s">
        <v>114</v>
      </c>
      <c r="B41" s="125">
        <f>MIN(cbi_fed_amount*system_capacity*1000,cbi_fed_maxvalue)</f>
        <v>0</v>
      </c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</row>
    <row r="42" spans="1:102" x14ac:dyDescent="0.2">
      <c r="A42" s="134" t="s">
        <v>115</v>
      </c>
      <c r="B42" s="125">
        <f>MIN(cbi_sta_amount*system_capacity*1000,cbi_sta_maxvalue)</f>
        <v>0</v>
      </c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156"/>
      <c r="BP42" s="156"/>
      <c r="BQ42" s="156"/>
      <c r="BR42" s="156"/>
      <c r="BS42" s="156"/>
      <c r="BT42" s="156"/>
      <c r="BU42" s="156"/>
      <c r="BV42" s="156"/>
      <c r="BW42" s="156"/>
      <c r="BX42" s="156"/>
      <c r="BY42" s="156"/>
      <c r="BZ42" s="156"/>
      <c r="CA42" s="156"/>
      <c r="CB42" s="156"/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6"/>
      <c r="CT42" s="156"/>
      <c r="CU42" s="156"/>
      <c r="CV42" s="156"/>
      <c r="CW42" s="156"/>
      <c r="CX42" s="156"/>
    </row>
    <row r="43" spans="1:102" x14ac:dyDescent="0.2">
      <c r="A43" s="134" t="s">
        <v>116</v>
      </c>
      <c r="B43" s="125">
        <f>MIN(cbi_uti_amount*system_capacity*1000,cbi_uti_maxvalue)</f>
        <v>0</v>
      </c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</row>
    <row r="44" spans="1:102" x14ac:dyDescent="0.2">
      <c r="A44" s="134" t="s">
        <v>112</v>
      </c>
      <c r="B44" s="125">
        <f>SUM(B41:B43)</f>
        <v>0</v>
      </c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/>
      <c r="BW44" s="156"/>
      <c r="BX44" s="156"/>
      <c r="BY44" s="156"/>
      <c r="BZ44" s="156"/>
      <c r="CA44" s="156"/>
      <c r="CB44" s="156"/>
      <c r="CC44" s="156"/>
      <c r="CD44" s="156"/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/>
      <c r="CQ44" s="156"/>
      <c r="CR44" s="156"/>
      <c r="CS44" s="156"/>
      <c r="CT44" s="156"/>
      <c r="CU44" s="156"/>
      <c r="CV44" s="156"/>
      <c r="CW44" s="156"/>
      <c r="CX44" s="156"/>
    </row>
    <row r="45" spans="1:102" s="133" customFormat="1" x14ac:dyDescent="0.2">
      <c r="A45" s="124" t="s">
        <v>155</v>
      </c>
      <c r="B45" s="158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56"/>
      <c r="BW45" s="156"/>
      <c r="BX45" s="156"/>
      <c r="BY45" s="156"/>
      <c r="BZ45" s="156"/>
      <c r="CA45" s="156"/>
      <c r="CB45" s="156"/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56"/>
      <c r="CX45" s="156"/>
    </row>
    <row r="46" spans="1:102" s="133" customFormat="1" x14ac:dyDescent="0.2">
      <c r="A46" s="149" t="s">
        <v>110</v>
      </c>
      <c r="B46" s="167">
        <f>MIN(wind_ibi_sta_percent/100*(wind_installed_cost-B47-B52),wind_ibi_sta_percent_maxvalue)</f>
        <v>0</v>
      </c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56"/>
      <c r="CX46" s="156"/>
    </row>
    <row r="47" spans="1:102" s="133" customFormat="1" x14ac:dyDescent="0.2">
      <c r="A47" s="149" t="s">
        <v>111</v>
      </c>
      <c r="B47" s="167">
        <f>MIN(wind_ibi_uti_percent/100*wind_installed_cost,wind_ibi_uti_percent_maxvalue)</f>
        <v>0</v>
      </c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</row>
    <row r="48" spans="1:102" s="133" customFormat="1" x14ac:dyDescent="0.2">
      <c r="A48" s="149" t="s">
        <v>112</v>
      </c>
      <c r="B48" s="167">
        <f>SUM(B46:B47)</f>
        <v>0</v>
      </c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6"/>
      <c r="BX48" s="156"/>
      <c r="BY48" s="156"/>
      <c r="BZ48" s="156"/>
      <c r="CA48" s="156"/>
      <c r="CB48" s="156"/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6"/>
      <c r="CT48" s="156"/>
      <c r="CU48" s="156"/>
      <c r="CV48" s="156"/>
      <c r="CW48" s="156"/>
      <c r="CX48" s="156"/>
    </row>
    <row r="49" spans="1:102" s="133" customFormat="1" x14ac:dyDescent="0.2">
      <c r="A49" s="124" t="s">
        <v>156</v>
      </c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156"/>
      <c r="BP49" s="156"/>
      <c r="BQ49" s="156"/>
      <c r="BR49" s="156"/>
      <c r="BS49" s="156"/>
      <c r="BT49" s="156"/>
      <c r="BU49" s="156"/>
      <c r="BV49" s="156"/>
      <c r="BW49" s="156"/>
      <c r="BX49" s="156"/>
      <c r="BY49" s="156"/>
      <c r="BZ49" s="156"/>
      <c r="CA49" s="156"/>
      <c r="CB49" s="156"/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6"/>
      <c r="CT49" s="156"/>
      <c r="CU49" s="156"/>
      <c r="CV49" s="156"/>
      <c r="CW49" s="156"/>
      <c r="CX49" s="156"/>
    </row>
    <row r="50" spans="1:102" s="133" customFormat="1" x14ac:dyDescent="0.2">
      <c r="A50" s="149" t="s">
        <v>114</v>
      </c>
      <c r="B50" s="167">
        <f>MIN(wind_cbi_fed_amount*system_capacity*1000,cbi_fed_maxvalue)</f>
        <v>0</v>
      </c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156"/>
      <c r="BP50" s="156"/>
      <c r="BQ50" s="156"/>
      <c r="BR50" s="156"/>
      <c r="BS50" s="156"/>
      <c r="BT50" s="156"/>
      <c r="BU50" s="156"/>
      <c r="BV50" s="156"/>
      <c r="BW50" s="156"/>
      <c r="BX50" s="156"/>
      <c r="BY50" s="156"/>
      <c r="BZ50" s="156"/>
      <c r="CA50" s="156"/>
      <c r="CB50" s="156"/>
      <c r="CC50" s="156"/>
      <c r="CD50" s="156"/>
      <c r="CE50" s="156"/>
      <c r="CF50" s="156"/>
      <c r="CG50" s="156"/>
      <c r="CH50" s="156"/>
      <c r="CI50" s="156"/>
      <c r="CJ50" s="156"/>
      <c r="CK50" s="156"/>
      <c r="CL50" s="156"/>
      <c r="CM50" s="156"/>
      <c r="CN50" s="156"/>
      <c r="CO50" s="156"/>
      <c r="CP50" s="156"/>
      <c r="CQ50" s="156"/>
      <c r="CR50" s="156"/>
      <c r="CS50" s="156"/>
      <c r="CT50" s="156"/>
      <c r="CU50" s="156"/>
      <c r="CV50" s="156"/>
      <c r="CW50" s="156"/>
      <c r="CX50" s="156"/>
    </row>
    <row r="51" spans="1:102" s="133" customFormat="1" x14ac:dyDescent="0.2">
      <c r="A51" s="149" t="s">
        <v>115</v>
      </c>
      <c r="B51" s="167">
        <f>MIN(cbi_sta_amount*system_capacity_wind*1000,wind_cbi_sta_maxvalue)</f>
        <v>0</v>
      </c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</row>
    <row r="52" spans="1:102" s="133" customFormat="1" x14ac:dyDescent="0.2">
      <c r="A52" s="149" t="s">
        <v>116</v>
      </c>
      <c r="B52" s="167">
        <f>MIN(wind_cbi_uti_amount*system_capacity_wind*1000,wind_cbi_uti_maxvalue)</f>
        <v>0</v>
      </c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56"/>
      <c r="CX52" s="156"/>
    </row>
    <row r="53" spans="1:102" s="133" customFormat="1" x14ac:dyDescent="0.2">
      <c r="A53" s="149" t="s">
        <v>112</v>
      </c>
      <c r="B53" s="167">
        <f>SUM(B50:B52)</f>
        <v>0</v>
      </c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56"/>
      <c r="CB53" s="156"/>
      <c r="CC53" s="156"/>
      <c r="CD53" s="156"/>
      <c r="CE53" s="156"/>
      <c r="CF53" s="156"/>
      <c r="CG53" s="156"/>
      <c r="CH53" s="156"/>
      <c r="CI53" s="156"/>
      <c r="CJ53" s="156"/>
      <c r="CK53" s="156"/>
      <c r="CL53" s="156"/>
      <c r="CM53" s="156"/>
      <c r="CN53" s="156"/>
      <c r="CO53" s="156"/>
      <c r="CP53" s="156"/>
      <c r="CQ53" s="156"/>
      <c r="CR53" s="156"/>
      <c r="CS53" s="156"/>
      <c r="CT53" s="156"/>
      <c r="CU53" s="156"/>
      <c r="CV53" s="156"/>
      <c r="CW53" s="156"/>
      <c r="CX53" s="156"/>
    </row>
    <row r="54" spans="1:102" x14ac:dyDescent="0.2">
      <c r="A54" s="124" t="s">
        <v>117</v>
      </c>
      <c r="B54" s="135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  <c r="BS54" s="156"/>
      <c r="BT54" s="156"/>
      <c r="BU54" s="156"/>
      <c r="BV54" s="156"/>
      <c r="BW54" s="156"/>
      <c r="BX54" s="156"/>
      <c r="BY54" s="156"/>
      <c r="BZ54" s="156"/>
      <c r="CA54" s="156"/>
      <c r="CB54" s="156"/>
      <c r="CC54" s="156"/>
      <c r="CD54" s="156"/>
      <c r="CE54" s="156"/>
      <c r="CF54" s="156"/>
      <c r="CG54" s="156"/>
      <c r="CH54" s="156"/>
      <c r="CI54" s="156"/>
      <c r="CJ54" s="156"/>
      <c r="CK54" s="156"/>
      <c r="CL54" s="156"/>
      <c r="CM54" s="156"/>
      <c r="CN54" s="156"/>
      <c r="CO54" s="156"/>
      <c r="CP54" s="156"/>
      <c r="CQ54" s="156"/>
      <c r="CR54" s="156"/>
      <c r="CS54" s="156"/>
      <c r="CT54" s="156"/>
      <c r="CU54" s="156"/>
      <c r="CV54" s="156"/>
      <c r="CW54" s="156"/>
      <c r="CX54" s="156"/>
    </row>
    <row r="55" spans="1:102" x14ac:dyDescent="0.2">
      <c r="A55" s="134" t="s">
        <v>110</v>
      </c>
      <c r="B55" s="125">
        <f>MIN(batt_ibi_sta_percent/100*battery_installed_cost,batt_ibi_sta_percent_maxvalue)</f>
        <v>0</v>
      </c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156"/>
      <c r="BP55" s="156"/>
      <c r="BQ55" s="156"/>
      <c r="BR55" s="156"/>
      <c r="BS55" s="156"/>
      <c r="BT55" s="156"/>
      <c r="BU55" s="156"/>
      <c r="BV55" s="156"/>
      <c r="BW55" s="156"/>
      <c r="BX55" s="156"/>
      <c r="BY55" s="156"/>
      <c r="BZ55" s="156"/>
      <c r="CA55" s="156"/>
      <c r="CB55" s="156"/>
      <c r="CC55" s="156"/>
      <c r="CD55" s="156"/>
      <c r="CE55" s="156"/>
      <c r="CF55" s="156"/>
      <c r="CG55" s="156"/>
      <c r="CH55" s="156"/>
      <c r="CI55" s="156"/>
      <c r="CJ55" s="156"/>
      <c r="CK55" s="156"/>
      <c r="CL55" s="156"/>
      <c r="CM55" s="156"/>
      <c r="CN55" s="156"/>
      <c r="CO55" s="156"/>
      <c r="CP55" s="156"/>
      <c r="CQ55" s="156"/>
      <c r="CR55" s="156"/>
      <c r="CS55" s="156"/>
      <c r="CT55" s="156"/>
      <c r="CU55" s="156"/>
      <c r="CV55" s="156"/>
      <c r="CW55" s="156"/>
      <c r="CX55" s="156"/>
    </row>
    <row r="56" spans="1:102" x14ac:dyDescent="0.2">
      <c r="A56" s="134" t="s">
        <v>111</v>
      </c>
      <c r="B56" s="125">
        <f>MIN(batt_ibi_uti_percent/100*battery_installed_cost,batt_ibi_uti_percent_maxvalue)</f>
        <v>0</v>
      </c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156"/>
      <c r="BP56" s="156"/>
      <c r="BQ56" s="156"/>
      <c r="BR56" s="156"/>
      <c r="BS56" s="156"/>
      <c r="BT56" s="156"/>
      <c r="BU56" s="156"/>
      <c r="BV56" s="156"/>
      <c r="BW56" s="156"/>
      <c r="BX56" s="156"/>
      <c r="BY56" s="156"/>
      <c r="BZ56" s="156"/>
      <c r="CA56" s="156"/>
      <c r="CB56" s="156"/>
      <c r="CC56" s="156"/>
      <c r="CD56" s="156"/>
      <c r="CE56" s="156"/>
      <c r="CF56" s="156"/>
      <c r="CG56" s="156"/>
      <c r="CH56" s="156"/>
      <c r="CI56" s="156"/>
      <c r="CJ56" s="156"/>
      <c r="CK56" s="156"/>
      <c r="CL56" s="156"/>
      <c r="CM56" s="156"/>
      <c r="CN56" s="156"/>
      <c r="CO56" s="156"/>
      <c r="CP56" s="156"/>
      <c r="CQ56" s="156"/>
      <c r="CR56" s="156"/>
      <c r="CS56" s="156"/>
      <c r="CT56" s="156"/>
      <c r="CU56" s="156"/>
      <c r="CV56" s="156"/>
      <c r="CW56" s="156"/>
      <c r="CX56" s="156"/>
    </row>
    <row r="57" spans="1:102" x14ac:dyDescent="0.2">
      <c r="A57" s="134" t="s">
        <v>112</v>
      </c>
      <c r="B57" s="125">
        <f>SUM(B55:B56)</f>
        <v>0</v>
      </c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156"/>
      <c r="BP57" s="156"/>
      <c r="BQ57" s="156"/>
      <c r="BR57" s="156"/>
      <c r="BS57" s="156"/>
      <c r="BT57" s="156"/>
      <c r="BU57" s="156"/>
      <c r="BV57" s="156"/>
      <c r="BW57" s="156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56"/>
      <c r="CX57" s="156"/>
    </row>
    <row r="58" spans="1:102" x14ac:dyDescent="0.2">
      <c r="A58" s="124" t="s">
        <v>118</v>
      </c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156"/>
      <c r="BP58" s="156"/>
      <c r="BQ58" s="156"/>
      <c r="BR58" s="156"/>
      <c r="BS58" s="156"/>
      <c r="BT58" s="156"/>
      <c r="BU58" s="156"/>
      <c r="BV58" s="156"/>
      <c r="BW58" s="156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CJ58" s="156"/>
      <c r="CK58" s="156"/>
      <c r="CL58" s="156"/>
      <c r="CM58" s="156"/>
      <c r="CN58" s="156"/>
      <c r="CO58" s="156"/>
      <c r="CP58" s="156"/>
      <c r="CQ58" s="156"/>
      <c r="CR58" s="156"/>
      <c r="CS58" s="156"/>
      <c r="CT58" s="156"/>
      <c r="CU58" s="156"/>
      <c r="CV58" s="156"/>
      <c r="CW58" s="156"/>
      <c r="CX58" s="156"/>
    </row>
    <row r="59" spans="1:102" x14ac:dyDescent="0.2">
      <c r="A59" s="134" t="s">
        <v>114</v>
      </c>
      <c r="B59" s="125">
        <f>MIN(batt_cbi_fed_amount*batt_kw*1000,batt_cbi_fed_maxvalue)</f>
        <v>10000</v>
      </c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156"/>
      <c r="BP59" s="156"/>
      <c r="BQ59" s="156"/>
      <c r="BR59" s="156"/>
      <c r="BS59" s="156"/>
      <c r="BT59" s="156"/>
      <c r="BU59" s="156"/>
      <c r="BV59" s="156"/>
      <c r="BW59" s="156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CJ59" s="156"/>
      <c r="CK59" s="156"/>
      <c r="CL59" s="156"/>
      <c r="CM59" s="156"/>
      <c r="CN59" s="156"/>
      <c r="CO59" s="156"/>
      <c r="CP59" s="156"/>
      <c r="CQ59" s="156"/>
      <c r="CR59" s="156"/>
      <c r="CS59" s="156"/>
      <c r="CT59" s="156"/>
      <c r="CU59" s="156"/>
      <c r="CV59" s="156"/>
      <c r="CW59" s="156"/>
      <c r="CX59" s="156"/>
    </row>
    <row r="60" spans="1:102" x14ac:dyDescent="0.2">
      <c r="A60" s="134" t="s">
        <v>115</v>
      </c>
      <c r="B60" s="125">
        <f>MIN(batt_cbi_sta_amount*batt_kw*1000,batt_cbi_sta_maxvalue)</f>
        <v>0</v>
      </c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156"/>
      <c r="BP60" s="156"/>
      <c r="BQ60" s="156"/>
      <c r="BR60" s="156"/>
      <c r="BS60" s="156"/>
      <c r="BT60" s="156"/>
      <c r="BU60" s="156"/>
      <c r="BV60" s="156"/>
      <c r="BW60" s="156"/>
      <c r="BX60" s="156"/>
      <c r="BY60" s="156"/>
      <c r="BZ60" s="156"/>
      <c r="CA60" s="156"/>
      <c r="CB60" s="156"/>
      <c r="CC60" s="156"/>
      <c r="CD60" s="156"/>
      <c r="CE60" s="156"/>
      <c r="CF60" s="156"/>
      <c r="CG60" s="156"/>
      <c r="CH60" s="156"/>
      <c r="CI60" s="156"/>
      <c r="CJ60" s="156"/>
      <c r="CK60" s="156"/>
      <c r="CL60" s="156"/>
      <c r="CM60" s="156"/>
      <c r="CN60" s="156"/>
      <c r="CO60" s="156"/>
      <c r="CP60" s="156"/>
      <c r="CQ60" s="156"/>
      <c r="CR60" s="156"/>
      <c r="CS60" s="156"/>
      <c r="CT60" s="156"/>
      <c r="CU60" s="156"/>
      <c r="CV60" s="156"/>
      <c r="CW60" s="156"/>
      <c r="CX60" s="156"/>
    </row>
    <row r="61" spans="1:102" x14ac:dyDescent="0.2">
      <c r="A61" s="134" t="s">
        <v>116</v>
      </c>
      <c r="B61" s="125">
        <f>MIN(batt_cbi_uti_amount*batt_kw*1000,batt_cbi_uti_maxvalue)</f>
        <v>0</v>
      </c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6"/>
      <c r="CU61" s="156"/>
      <c r="CV61" s="156"/>
      <c r="CW61" s="156"/>
      <c r="CX61" s="156"/>
    </row>
    <row r="62" spans="1:102" x14ac:dyDescent="0.2">
      <c r="A62" s="134" t="s">
        <v>112</v>
      </c>
      <c r="B62" s="125">
        <f>SUM(B59:B61)</f>
        <v>10000</v>
      </c>
      <c r="C62" s="125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156"/>
      <c r="BP62" s="156"/>
      <c r="BQ62" s="156"/>
      <c r="BR62" s="156"/>
      <c r="BS62" s="156"/>
      <c r="BT62" s="156"/>
      <c r="BU62" s="156"/>
      <c r="BV62" s="156"/>
      <c r="BW62" s="156"/>
      <c r="BX62" s="156"/>
      <c r="BY62" s="156"/>
      <c r="BZ62" s="156"/>
      <c r="CA62" s="156"/>
      <c r="CB62" s="156"/>
      <c r="CC62" s="156"/>
      <c r="CD62" s="156"/>
      <c r="CE62" s="156"/>
      <c r="CF62" s="156"/>
      <c r="CG62" s="156"/>
      <c r="CH62" s="156"/>
      <c r="CI62" s="156"/>
      <c r="CJ62" s="156"/>
      <c r="CK62" s="156"/>
      <c r="CL62" s="156"/>
      <c r="CM62" s="156"/>
      <c r="CN62" s="156"/>
      <c r="CO62" s="156"/>
      <c r="CP62" s="156"/>
      <c r="CQ62" s="156"/>
      <c r="CR62" s="156"/>
      <c r="CS62" s="156"/>
      <c r="CT62" s="156"/>
      <c r="CU62" s="156"/>
      <c r="CV62" s="156"/>
      <c r="CW62" s="156"/>
      <c r="CX62" s="156"/>
    </row>
    <row r="63" spans="1:102" x14ac:dyDescent="0.2">
      <c r="A63" s="124" t="s">
        <v>119</v>
      </c>
      <c r="B63" s="125"/>
      <c r="C63" s="125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156"/>
      <c r="BP63" s="156"/>
      <c r="BQ63" s="156"/>
      <c r="BR63" s="156"/>
      <c r="BS63" s="156"/>
      <c r="BT63" s="156"/>
      <c r="BU63" s="156"/>
      <c r="BV63" s="156"/>
      <c r="BW63" s="156"/>
      <c r="BX63" s="156"/>
      <c r="BY63" s="156"/>
      <c r="BZ63" s="156"/>
      <c r="CA63" s="156"/>
      <c r="CB63" s="156"/>
      <c r="CC63" s="156"/>
      <c r="CD63" s="156"/>
      <c r="CE63" s="156"/>
      <c r="CF63" s="156"/>
      <c r="CG63" s="156"/>
      <c r="CH63" s="156"/>
      <c r="CI63" s="156"/>
      <c r="CJ63" s="156"/>
      <c r="CK63" s="156"/>
      <c r="CL63" s="156"/>
      <c r="CM63" s="156"/>
      <c r="CN63" s="156"/>
      <c r="CO63" s="156"/>
      <c r="CP63" s="156"/>
      <c r="CQ63" s="156"/>
      <c r="CR63" s="156"/>
      <c r="CS63" s="156"/>
      <c r="CT63" s="156"/>
      <c r="CU63" s="156"/>
      <c r="CV63" s="156"/>
      <c r="CW63" s="156"/>
      <c r="CX63" s="156"/>
    </row>
    <row r="64" spans="1:102" x14ac:dyDescent="0.2">
      <c r="A64" s="134" t="s">
        <v>157</v>
      </c>
      <c r="B64" s="135"/>
      <c r="C64" s="125">
        <f>IF(ISNUMBER(outYear),IF(outYear&lt;=pbi_combined_term,MIN(pbi_combined_amount*C5,pbi_combined_maxvalue),0),"")</f>
        <v>0</v>
      </c>
      <c r="D64" s="125">
        <f>IF(ISNUMBER(outYear),IF(outYear&lt;=pbi_combined_term,MIN(pbi_combined_amount*D5,pbi_combined_maxvalue),0),"")</f>
        <v>0</v>
      </c>
      <c r="E64" s="125">
        <f>IF(ISNUMBER(outYear),IF(outYear&lt;=pbi_combined_term,MIN(pbi_combined_amount*E5,pbi_combined_maxvalue),0),"")</f>
        <v>0</v>
      </c>
      <c r="F64" s="125">
        <f>IF(ISNUMBER(outYear),IF(outYear&lt;=pbi_combined_term,MIN(pbi_combined_amount*F5,pbi_combined_maxvalue),0),"")</f>
        <v>0</v>
      </c>
      <c r="G64" s="125">
        <f>IF(ISNUMBER(outYear),IF(outYear&lt;=pbi_combined_term,MIN(pbi_combined_amount*G5,pbi_combined_maxvalue),0),"")</f>
        <v>0</v>
      </c>
      <c r="H64" s="125">
        <f>IF(ISNUMBER(outYear),IF(outYear&lt;=pbi_combined_term,MIN(pbi_combined_amount*H5,pbi_combined_maxvalue),0),"")</f>
        <v>0</v>
      </c>
      <c r="I64" s="125">
        <f>IF(ISNUMBER(outYear),IF(outYear&lt;=pbi_combined_term,MIN(pbi_combined_amount*I5,pbi_combined_maxvalue),0),"")</f>
        <v>0</v>
      </c>
      <c r="J64" s="125">
        <f>IF(ISNUMBER(outYear),IF(outYear&lt;=pbi_combined_term,MIN(pbi_combined_amount*J5,pbi_combined_maxvalue),0),"")</f>
        <v>0</v>
      </c>
      <c r="K64" s="125">
        <f>IF(ISNUMBER(outYear),IF(outYear&lt;=pbi_combined_term,MIN(pbi_combined_amount*K5,pbi_combined_maxvalue),0),"")</f>
        <v>0</v>
      </c>
      <c r="L64" s="125">
        <f>IF(ISNUMBER(outYear),IF(outYear&lt;=pbi_combined_term,MIN(pbi_combined_amount*L5,pbi_combined_maxvalue),0),"")</f>
        <v>0</v>
      </c>
      <c r="M64" s="125">
        <f>IF(ISNUMBER(outYear),IF(outYear&lt;=pbi_combined_term,MIN(pbi_combined_amount*M5,pbi_combined_maxvalue),0),"")</f>
        <v>0</v>
      </c>
      <c r="N64" s="125">
        <f>IF(ISNUMBER(outYear),IF(outYear&lt;=pbi_combined_term,MIN(pbi_combined_amount*N5,pbi_combined_maxvalue),0),"")</f>
        <v>0</v>
      </c>
      <c r="O64" s="125">
        <f>IF(ISNUMBER(outYear),IF(outYear&lt;=pbi_combined_term,MIN(pbi_combined_amount*O5,pbi_combined_maxvalue),0),"")</f>
        <v>0</v>
      </c>
      <c r="P64" s="125">
        <f>IF(ISNUMBER(outYear),IF(outYear&lt;=pbi_combined_term,MIN(pbi_combined_amount*P5,pbi_combined_maxvalue),0),"")</f>
        <v>0</v>
      </c>
      <c r="Q64" s="125">
        <f>IF(ISNUMBER(outYear),IF(outYear&lt;=pbi_combined_term,MIN(pbi_combined_amount*Q5,pbi_combined_maxvalue),0),"")</f>
        <v>0</v>
      </c>
      <c r="R64" s="125">
        <f>IF(ISNUMBER(outYear),IF(outYear&lt;=pbi_combined_term,MIN(pbi_combined_amount*R5,pbi_combined_maxvalue),0),"")</f>
        <v>0</v>
      </c>
      <c r="S64" s="125">
        <f>IF(ISNUMBER(outYear),IF(outYear&lt;=pbi_combined_term,MIN(pbi_combined_amount*S5,pbi_combined_maxvalue),0),"")</f>
        <v>0</v>
      </c>
      <c r="T64" s="125">
        <f>IF(ISNUMBER(outYear),IF(outYear&lt;=pbi_combined_term,MIN(pbi_combined_amount*T5,pbi_combined_maxvalue),0),"")</f>
        <v>0</v>
      </c>
      <c r="U64" s="125">
        <f>IF(ISNUMBER(outYear),IF(outYear&lt;=pbi_combined_term,MIN(pbi_combined_amount*U5,pbi_combined_maxvalue),0),"")</f>
        <v>0</v>
      </c>
      <c r="V64" s="125">
        <f>IF(ISNUMBER(outYear),IF(outYear&lt;=pbi_combined_term,MIN(pbi_combined_amount*V5,pbi_combined_maxvalue),0),"")</f>
        <v>0</v>
      </c>
      <c r="W64" s="125">
        <f>IF(ISNUMBER(outYear),IF(outYear&lt;=pbi_combined_term,MIN(pbi_combined_amount*W5,pbi_combined_maxvalue),0),"")</f>
        <v>0</v>
      </c>
      <c r="X64" s="125">
        <f>IF(ISNUMBER(outYear),IF(outYear&lt;=pbi_combined_term,MIN(pbi_combined_amount*X5,pbi_combined_maxvalue),0),"")</f>
        <v>0</v>
      </c>
      <c r="Y64" s="125">
        <f>IF(ISNUMBER(outYear),IF(outYear&lt;=pbi_combined_term,MIN(pbi_combined_amount*Y5,pbi_combined_maxvalue),0),"")</f>
        <v>0</v>
      </c>
      <c r="Z64" s="125">
        <f>IF(ISNUMBER(outYear),IF(outYear&lt;=pbi_combined_term,MIN(pbi_combined_amount*Z5,pbi_combined_maxvalue),0),"")</f>
        <v>0</v>
      </c>
      <c r="AA64" s="125">
        <f>IF(ISNUMBER(outYear),IF(outYear&lt;=pbi_combined_term,MIN(pbi_combined_amount*AA5,pbi_combined_maxvalue),0),"")</f>
        <v>0</v>
      </c>
      <c r="AB64" s="125" t="str">
        <f>IF(ISNUMBER(outYear),IF(outYear&lt;=pbi_combined_term,MIN(pbi_combined_amount*AB5,pbi_combined_maxvalue),0),"")</f>
        <v/>
      </c>
      <c r="AC64" s="125" t="str">
        <f>IF(ISNUMBER(outYear),IF(outYear&lt;=pbi_combined_term,MIN(pbi_combined_amount*AC5,pbi_combined_maxvalue),0),"")</f>
        <v/>
      </c>
      <c r="AD64" s="125" t="str">
        <f>IF(ISNUMBER(outYear),IF(outYear&lt;=pbi_combined_term,MIN(pbi_combined_amount*AD5,pbi_combined_maxvalue),0),"")</f>
        <v/>
      </c>
      <c r="AE64" s="125" t="str">
        <f>IF(ISNUMBER(outYear),IF(outYear&lt;=pbi_combined_term,MIN(pbi_combined_amount*AE5,pbi_combined_maxvalue),0),"")</f>
        <v/>
      </c>
      <c r="AF64" s="125" t="str">
        <f>IF(ISNUMBER(outYear),IF(outYear&lt;=pbi_combined_term,MIN(pbi_combined_amount*AF5,pbi_combined_maxvalue),0),"")</f>
        <v/>
      </c>
      <c r="AG64" s="125" t="str">
        <f>IF(ISNUMBER(outYear),IF(outYear&lt;=pbi_combined_term,MIN(pbi_combined_amount*AG5,pbi_combined_maxvalue),0),"")</f>
        <v/>
      </c>
      <c r="AH64" s="125" t="str">
        <f>IF(ISNUMBER(outYear),IF(outYear&lt;=pbi_combined_term,MIN(pbi_combined_amount*AH5,pbi_combined_maxvalue),0),"")</f>
        <v/>
      </c>
      <c r="AI64" s="125" t="str">
        <f>IF(ISNUMBER(outYear),IF(outYear&lt;=pbi_combined_term,MIN(pbi_combined_amount*AI5,pbi_combined_maxvalue),0),"")</f>
        <v/>
      </c>
      <c r="AJ64" s="125" t="str">
        <f>IF(ISNUMBER(outYear),IF(outYear&lt;=pbi_combined_term,MIN(pbi_combined_amount*AJ5,pbi_combined_maxvalue),0),"")</f>
        <v/>
      </c>
      <c r="AK64" s="125" t="str">
        <f>IF(ISNUMBER(outYear),IF(outYear&lt;=pbi_combined_term,MIN(pbi_combined_amount*AK5,pbi_combined_maxvalue),0),"")</f>
        <v/>
      </c>
      <c r="AL64" s="125" t="str">
        <f>IF(ISNUMBER(outYear),IF(outYear&lt;=pbi_combined_term,MIN(pbi_combined_amount*AL5,pbi_combined_maxvalue),0),"")</f>
        <v/>
      </c>
      <c r="AM64" s="125" t="str">
        <f>IF(ISNUMBER(outYear),IF(outYear&lt;=pbi_combined_term,MIN(pbi_combined_amount*AM5,pbi_combined_maxvalue),0),"")</f>
        <v/>
      </c>
      <c r="AN64" s="125" t="str">
        <f>IF(ISNUMBER(outYear),IF(outYear&lt;=pbi_combined_term,MIN(pbi_combined_amount*AN5,pbi_combined_maxvalue),0),"")</f>
        <v/>
      </c>
      <c r="AO64" s="125" t="str">
        <f>IF(ISNUMBER(outYear),IF(outYear&lt;=pbi_combined_term,MIN(pbi_combined_amount*AO5,pbi_combined_maxvalue),0),"")</f>
        <v/>
      </c>
      <c r="AP64" s="125" t="str">
        <f>IF(ISNUMBER(outYear),IF(outYear&lt;=pbi_combined_term,MIN(pbi_combined_amount*AP5,pbi_combined_maxvalue),0),"")</f>
        <v/>
      </c>
      <c r="AQ64" s="125" t="str">
        <f>IF(ISNUMBER(outYear),IF(outYear&lt;=pbi_combined_term,MIN(pbi_combined_amount*AQ5,pbi_combined_maxvalue),0),"")</f>
        <v/>
      </c>
      <c r="AR64" s="125" t="str">
        <f>IF(ISNUMBER(outYear),IF(outYear&lt;=pbi_combined_term,MIN(pbi_combined_amount*AR5,pbi_combined_maxvalue),0),"")</f>
        <v/>
      </c>
      <c r="AS64" s="125" t="str">
        <f>IF(ISNUMBER(outYear),IF(outYear&lt;=pbi_combined_term,MIN(pbi_combined_amount*AS5,pbi_combined_maxvalue),0),"")</f>
        <v/>
      </c>
      <c r="AT64" s="125" t="str">
        <f>IF(ISNUMBER(outYear),IF(outYear&lt;=pbi_combined_term,MIN(pbi_combined_amount*AT5,pbi_combined_maxvalue),0),"")</f>
        <v/>
      </c>
      <c r="AU64" s="125" t="str">
        <f>IF(ISNUMBER(outYear),IF(outYear&lt;=pbi_combined_term,MIN(pbi_combined_amount*AU5,pbi_combined_maxvalue),0),"")</f>
        <v/>
      </c>
      <c r="AV64" s="125" t="str">
        <f>IF(ISNUMBER(outYear),IF(outYear&lt;=pbi_combined_term,MIN(pbi_combined_amount*AV5,pbi_combined_maxvalue),0),"")</f>
        <v/>
      </c>
      <c r="AW64" s="125" t="str">
        <f>IF(ISNUMBER(outYear),IF(outYear&lt;=pbi_combined_term,MIN(pbi_combined_amount*AW5,pbi_combined_maxvalue),0),"")</f>
        <v/>
      </c>
      <c r="AX64" s="125" t="str">
        <f>IF(ISNUMBER(outYear),IF(outYear&lt;=pbi_combined_term,MIN(pbi_combined_amount*AX5,pbi_combined_maxvalue),0),"")</f>
        <v/>
      </c>
      <c r="AY64" s="125" t="str">
        <f>IF(ISNUMBER(outYear),IF(outYear&lt;=pbi_combined_term,MIN(pbi_combined_amount*AY5,pbi_combined_maxvalue),0),"")</f>
        <v/>
      </c>
      <c r="AZ64" s="125" t="str">
        <f>IF(ISNUMBER(outYear),IF(outYear&lt;=pbi_combined_term,MIN(pbi_combined_amount*AZ5,pbi_combined_maxvalue),0),"")</f>
        <v/>
      </c>
      <c r="BA64" s="125" t="str">
        <f>IF(ISNUMBER(outYear),IF(outYear&lt;=pbi_combined_term,MIN(pbi_combined_amount*BA5,pbi_combined_maxvalue),0),"")</f>
        <v/>
      </c>
      <c r="BB64" s="125" t="str">
        <f>IF(ISNUMBER(outYear),IF(outYear&lt;=pbi_combined_term,MIN(pbi_combined_amount*BB5,pbi_combined_maxvalue),0),"")</f>
        <v/>
      </c>
      <c r="BC64" s="125" t="str">
        <f>IF(ISNUMBER(outYear),IF(outYear&lt;=pbi_combined_term,MIN(pbi_combined_amount*BC5,pbi_combined_maxvalue),0),"")</f>
        <v/>
      </c>
      <c r="BD64" s="125" t="str">
        <f>IF(ISNUMBER(outYear),IF(outYear&lt;=pbi_combined_term,MIN(pbi_combined_amount*BD5,pbi_combined_maxvalue),0),"")</f>
        <v/>
      </c>
      <c r="BE64" s="125" t="str">
        <f>IF(ISNUMBER(outYear),IF(outYear&lt;=pbi_combined_term,MIN(pbi_combined_amount*BE5,pbi_combined_maxvalue),0),"")</f>
        <v/>
      </c>
      <c r="BF64" s="125" t="str">
        <f>IF(ISNUMBER(outYear),IF(outYear&lt;=pbi_combined_term,MIN(pbi_combined_amount*BF5,pbi_combined_maxvalue),0),"")</f>
        <v/>
      </c>
      <c r="BG64" s="125" t="str">
        <f>IF(ISNUMBER(outYear),IF(outYear&lt;=pbi_combined_term,MIN(pbi_combined_amount*BG5,pbi_combined_maxvalue),0),"")</f>
        <v/>
      </c>
      <c r="BH64" s="125" t="str">
        <f>IF(ISNUMBER(outYear),IF(outYear&lt;=pbi_combined_term,MIN(pbi_combined_amount*BH5,pbi_combined_maxvalue),0),"")</f>
        <v/>
      </c>
      <c r="BI64" s="125" t="str">
        <f>IF(ISNUMBER(outYear),IF(outYear&lt;=pbi_combined_term,MIN(pbi_combined_amount*BI5,pbi_combined_maxvalue),0),"")</f>
        <v/>
      </c>
      <c r="BJ64" s="125" t="str">
        <f>IF(ISNUMBER(outYear),IF(outYear&lt;=pbi_combined_term,MIN(pbi_combined_amount*BJ5,pbi_combined_maxvalue),0),"")</f>
        <v/>
      </c>
      <c r="BK64" s="125" t="str">
        <f>IF(ISNUMBER(outYear),IF(outYear&lt;=pbi_combined_term,MIN(pbi_combined_amount*BK5,pbi_combined_maxvalue),0),"")</f>
        <v/>
      </c>
      <c r="BL64" s="125" t="str">
        <f>IF(ISNUMBER(outYear),IF(outYear&lt;=pbi_combined_term,MIN(pbi_combined_amount*BL5,pbi_combined_maxvalue),0),"")</f>
        <v/>
      </c>
      <c r="BM64" s="125" t="str">
        <f>IF(ISNUMBER(outYear),IF(outYear&lt;=pbi_combined_term,MIN(pbi_combined_amount*BM5,pbi_combined_maxvalue),0),"")</f>
        <v/>
      </c>
      <c r="BN64" s="125" t="str">
        <f>IF(ISNUMBER(outYear),IF(outYear&lt;=pbi_combined_term,MIN(pbi_combined_amount*BN5,pbi_combined_maxvalue),0),"")</f>
        <v/>
      </c>
      <c r="BO64" s="125" t="str">
        <f>IF(ISNUMBER(outYear),IF(outYear&lt;=pbi_combined_term,MIN(pbi_combined_amount*BO5,pbi_combined_maxvalue),0),"")</f>
        <v/>
      </c>
      <c r="BP64" s="125" t="str">
        <f>IF(ISNUMBER(outYear),IF(outYear&lt;=pbi_combined_term,MIN(pbi_combined_amount*BP5,pbi_combined_maxvalue),0),"")</f>
        <v/>
      </c>
      <c r="BQ64" s="125" t="str">
        <f>IF(ISNUMBER(outYear),IF(outYear&lt;=pbi_combined_term,MIN(pbi_combined_amount*BQ5,pbi_combined_maxvalue),0),"")</f>
        <v/>
      </c>
      <c r="BR64" s="125" t="str">
        <f>IF(ISNUMBER(outYear),IF(outYear&lt;=pbi_combined_term,MIN(pbi_combined_amount*BR5,pbi_combined_maxvalue),0),"")</f>
        <v/>
      </c>
      <c r="BS64" s="125" t="str">
        <f>IF(ISNUMBER(outYear),IF(outYear&lt;=pbi_combined_term,MIN(pbi_combined_amount*BS5,pbi_combined_maxvalue),0),"")</f>
        <v/>
      </c>
      <c r="BT64" s="125" t="str">
        <f>IF(ISNUMBER(outYear),IF(outYear&lt;=pbi_combined_term,MIN(pbi_combined_amount*BT5,pbi_combined_maxvalue),0),"")</f>
        <v/>
      </c>
      <c r="BU64" s="125" t="str">
        <f>IF(ISNUMBER(outYear),IF(outYear&lt;=pbi_combined_term,MIN(pbi_combined_amount*BU5,pbi_combined_maxvalue),0),"")</f>
        <v/>
      </c>
      <c r="BV64" s="125" t="str">
        <f>IF(ISNUMBER(outYear),IF(outYear&lt;=pbi_combined_term,MIN(pbi_combined_amount*BV5,pbi_combined_maxvalue),0),"")</f>
        <v/>
      </c>
      <c r="BW64" s="125" t="str">
        <f>IF(ISNUMBER(outYear),IF(outYear&lt;=pbi_combined_term,MIN(pbi_combined_amount*BW5,pbi_combined_maxvalue),0),"")</f>
        <v/>
      </c>
      <c r="BX64" s="125" t="str">
        <f>IF(ISNUMBER(outYear),IF(outYear&lt;=pbi_combined_term,MIN(pbi_combined_amount*BX5,pbi_combined_maxvalue),0),"")</f>
        <v/>
      </c>
      <c r="BY64" s="125" t="str">
        <f>IF(ISNUMBER(outYear),IF(outYear&lt;=pbi_combined_term,MIN(pbi_combined_amount*BY5,pbi_combined_maxvalue),0),"")</f>
        <v/>
      </c>
      <c r="BZ64" s="125" t="str">
        <f>IF(ISNUMBER(outYear),IF(outYear&lt;=pbi_combined_term,MIN(pbi_combined_amount*BZ5,pbi_combined_maxvalue),0),"")</f>
        <v/>
      </c>
      <c r="CA64" s="125" t="str">
        <f>IF(ISNUMBER(outYear),IF(outYear&lt;=pbi_combined_term,MIN(pbi_combined_amount*CA5,pbi_combined_maxvalue),0),"")</f>
        <v/>
      </c>
      <c r="CB64" s="125" t="str">
        <f>IF(ISNUMBER(outYear),IF(outYear&lt;=pbi_combined_term,MIN(pbi_combined_amount*CB5,pbi_combined_maxvalue),0),"")</f>
        <v/>
      </c>
      <c r="CC64" s="125" t="str">
        <f>IF(ISNUMBER(outYear),IF(outYear&lt;=pbi_combined_term,MIN(pbi_combined_amount*CC5,pbi_combined_maxvalue),0),"")</f>
        <v/>
      </c>
      <c r="CD64" s="125" t="str">
        <f>IF(ISNUMBER(outYear),IF(outYear&lt;=pbi_combined_term,MIN(pbi_combined_amount*CD5,pbi_combined_maxvalue),0),"")</f>
        <v/>
      </c>
      <c r="CE64" s="125" t="str">
        <f>IF(ISNUMBER(outYear),IF(outYear&lt;=pbi_combined_term,MIN(pbi_combined_amount*CE5,pbi_combined_maxvalue),0),"")</f>
        <v/>
      </c>
      <c r="CF64" s="125" t="str">
        <f>IF(ISNUMBER(outYear),IF(outYear&lt;=pbi_combined_term,MIN(pbi_combined_amount*CF5,pbi_combined_maxvalue),0),"")</f>
        <v/>
      </c>
      <c r="CG64" s="125" t="str">
        <f>IF(ISNUMBER(outYear),IF(outYear&lt;=pbi_combined_term,MIN(pbi_combined_amount*CG5,pbi_combined_maxvalue),0),"")</f>
        <v/>
      </c>
      <c r="CH64" s="125" t="str">
        <f>IF(ISNUMBER(outYear),IF(outYear&lt;=pbi_combined_term,MIN(pbi_combined_amount*CH5,pbi_combined_maxvalue),0),"")</f>
        <v/>
      </c>
      <c r="CI64" s="125" t="str">
        <f>IF(ISNUMBER(outYear),IF(outYear&lt;=pbi_combined_term,MIN(pbi_combined_amount*CI5,pbi_combined_maxvalue),0),"")</f>
        <v/>
      </c>
      <c r="CJ64" s="125" t="str">
        <f>IF(ISNUMBER(outYear),IF(outYear&lt;=pbi_combined_term,MIN(pbi_combined_amount*CJ5,pbi_combined_maxvalue),0),"")</f>
        <v/>
      </c>
      <c r="CK64" s="125" t="str">
        <f>IF(ISNUMBER(outYear),IF(outYear&lt;=pbi_combined_term,MIN(pbi_combined_amount*CK5,pbi_combined_maxvalue),0),"")</f>
        <v/>
      </c>
      <c r="CL64" s="125" t="str">
        <f>IF(ISNUMBER(outYear),IF(outYear&lt;=pbi_combined_term,MIN(pbi_combined_amount*CL5,pbi_combined_maxvalue),0),"")</f>
        <v/>
      </c>
      <c r="CM64" s="125" t="str">
        <f>IF(ISNUMBER(outYear),IF(outYear&lt;=pbi_combined_term,MIN(pbi_combined_amount*CM5,pbi_combined_maxvalue),0),"")</f>
        <v/>
      </c>
      <c r="CN64" s="125" t="str">
        <f>IF(ISNUMBER(outYear),IF(outYear&lt;=pbi_combined_term,MIN(pbi_combined_amount*CN5,pbi_combined_maxvalue),0),"")</f>
        <v/>
      </c>
      <c r="CO64" s="125" t="str">
        <f>IF(ISNUMBER(outYear),IF(outYear&lt;=pbi_combined_term,MIN(pbi_combined_amount*CO5,pbi_combined_maxvalue),0),"")</f>
        <v/>
      </c>
      <c r="CP64" s="125" t="str">
        <f>IF(ISNUMBER(outYear),IF(outYear&lt;=pbi_combined_term,MIN(pbi_combined_amount*CP5,pbi_combined_maxvalue),0),"")</f>
        <v/>
      </c>
      <c r="CQ64" s="125" t="str">
        <f>IF(ISNUMBER(outYear),IF(outYear&lt;=pbi_combined_term,MIN(pbi_combined_amount*CQ5,pbi_combined_maxvalue),0),"")</f>
        <v/>
      </c>
      <c r="CR64" s="125" t="str">
        <f>IF(ISNUMBER(outYear),IF(outYear&lt;=pbi_combined_term,MIN(pbi_combined_amount*CR5,pbi_combined_maxvalue),0),"")</f>
        <v/>
      </c>
      <c r="CS64" s="125" t="str">
        <f>IF(ISNUMBER(outYear),IF(outYear&lt;=pbi_combined_term,MIN(pbi_combined_amount*CS5,pbi_combined_maxvalue),0),"")</f>
        <v/>
      </c>
      <c r="CT64" s="125" t="str">
        <f>IF(ISNUMBER(outYear),IF(outYear&lt;=pbi_combined_term,MIN(pbi_combined_amount*CT5,pbi_combined_maxvalue),0),"")</f>
        <v/>
      </c>
      <c r="CU64" s="125" t="str">
        <f>IF(ISNUMBER(outYear),IF(outYear&lt;=pbi_combined_term,MIN(pbi_combined_amount*CU5,pbi_combined_maxvalue),0),"")</f>
        <v/>
      </c>
      <c r="CV64" s="125" t="str">
        <f>IF(ISNUMBER(outYear),IF(outYear&lt;=pbi_combined_term,MIN(pbi_combined_amount*CV5,pbi_combined_maxvalue),0),"")</f>
        <v/>
      </c>
      <c r="CW64" s="125" t="str">
        <f>IF(ISNUMBER(outYear),IF(outYear&lt;=pbi_combined_term,MIN(pbi_combined_amount*CW5,pbi_combined_maxvalue),0),"")</f>
        <v/>
      </c>
      <c r="CX64" s="125" t="str">
        <f>IF(ISNUMBER(outYear),IF(outYear&lt;=pbi_combined_term,MIN(pbi_combined_amount*CX5,pbi_combined_maxvalue),0),"")</f>
        <v/>
      </c>
    </row>
    <row r="65" spans="1:1024" s="133" customFormat="1" x14ac:dyDescent="0.2">
      <c r="A65" s="149" t="s">
        <v>158</v>
      </c>
      <c r="B65" s="158"/>
      <c r="C65" s="167">
        <f>IF(ISNUMBER(outYear),IF(outYear&lt;=wind_pbi_combined_term,MIN(wind_pbi_combined_amount*C7,wind_pbi_combined_maxvalue),0),"")</f>
        <v>0</v>
      </c>
      <c r="D65" s="167">
        <f t="shared" ref="D65:AH65" si="24">IF(ISNUMBER(outYear),IF(outYear&lt;=pbi_combined_term,MIN(pbi_combined_amount*D7,pbi_combined_maxvalue),0),"")</f>
        <v>0</v>
      </c>
      <c r="E65" s="167">
        <f t="shared" si="24"/>
        <v>0</v>
      </c>
      <c r="F65" s="167">
        <f t="shared" si="24"/>
        <v>0</v>
      </c>
      <c r="G65" s="167">
        <f t="shared" si="24"/>
        <v>0</v>
      </c>
      <c r="H65" s="167">
        <f t="shared" si="24"/>
        <v>0</v>
      </c>
      <c r="I65" s="167">
        <f t="shared" si="24"/>
        <v>0</v>
      </c>
      <c r="J65" s="167">
        <f t="shared" si="24"/>
        <v>0</v>
      </c>
      <c r="K65" s="167">
        <f t="shared" si="24"/>
        <v>0</v>
      </c>
      <c r="L65" s="167">
        <f t="shared" si="24"/>
        <v>0</v>
      </c>
      <c r="M65" s="167">
        <f t="shared" si="24"/>
        <v>0</v>
      </c>
      <c r="N65" s="167">
        <f t="shared" si="24"/>
        <v>0</v>
      </c>
      <c r="O65" s="167">
        <f t="shared" si="24"/>
        <v>0</v>
      </c>
      <c r="P65" s="167">
        <f t="shared" si="24"/>
        <v>0</v>
      </c>
      <c r="Q65" s="167">
        <f t="shared" si="24"/>
        <v>0</v>
      </c>
      <c r="R65" s="167">
        <f t="shared" si="24"/>
        <v>0</v>
      </c>
      <c r="S65" s="167">
        <f t="shared" si="24"/>
        <v>0</v>
      </c>
      <c r="T65" s="167">
        <f t="shared" si="24"/>
        <v>0</v>
      </c>
      <c r="U65" s="167">
        <f t="shared" si="24"/>
        <v>0</v>
      </c>
      <c r="V65" s="167">
        <f t="shared" si="24"/>
        <v>0</v>
      </c>
      <c r="W65" s="167">
        <f t="shared" si="24"/>
        <v>0</v>
      </c>
      <c r="X65" s="167">
        <f t="shared" si="24"/>
        <v>0</v>
      </c>
      <c r="Y65" s="167">
        <f t="shared" si="24"/>
        <v>0</v>
      </c>
      <c r="Z65" s="167">
        <f t="shared" si="24"/>
        <v>0</v>
      </c>
      <c r="AA65" s="167">
        <f t="shared" si="24"/>
        <v>0</v>
      </c>
      <c r="AB65" s="167" t="str">
        <f t="shared" si="24"/>
        <v/>
      </c>
      <c r="AC65" s="167" t="str">
        <f t="shared" si="24"/>
        <v/>
      </c>
      <c r="AD65" s="167" t="str">
        <f t="shared" si="24"/>
        <v/>
      </c>
      <c r="AE65" s="167" t="str">
        <f t="shared" si="24"/>
        <v/>
      </c>
      <c r="AF65" s="167" t="str">
        <f t="shared" si="24"/>
        <v/>
      </c>
      <c r="AG65" s="167" t="str">
        <f t="shared" si="24"/>
        <v/>
      </c>
      <c r="AH65" s="167" t="str">
        <f t="shared" si="24"/>
        <v/>
      </c>
      <c r="AI65" s="167" t="str">
        <f t="shared" ref="AI65:BN65" si="25">IF(ISNUMBER(outYear),IF(outYear&lt;=pbi_combined_term,MIN(pbi_combined_amount*AI7,pbi_combined_maxvalue),0),"")</f>
        <v/>
      </c>
      <c r="AJ65" s="167" t="str">
        <f t="shared" si="25"/>
        <v/>
      </c>
      <c r="AK65" s="167" t="str">
        <f t="shared" si="25"/>
        <v/>
      </c>
      <c r="AL65" s="167" t="str">
        <f t="shared" si="25"/>
        <v/>
      </c>
      <c r="AM65" s="167" t="str">
        <f t="shared" si="25"/>
        <v/>
      </c>
      <c r="AN65" s="167" t="str">
        <f t="shared" si="25"/>
        <v/>
      </c>
      <c r="AO65" s="167" t="str">
        <f t="shared" si="25"/>
        <v/>
      </c>
      <c r="AP65" s="167" t="str">
        <f t="shared" si="25"/>
        <v/>
      </c>
      <c r="AQ65" s="167" t="str">
        <f t="shared" si="25"/>
        <v/>
      </c>
      <c r="AR65" s="167" t="str">
        <f t="shared" si="25"/>
        <v/>
      </c>
      <c r="AS65" s="167" t="str">
        <f t="shared" si="25"/>
        <v/>
      </c>
      <c r="AT65" s="167" t="str">
        <f t="shared" si="25"/>
        <v/>
      </c>
      <c r="AU65" s="167" t="str">
        <f t="shared" si="25"/>
        <v/>
      </c>
      <c r="AV65" s="167" t="str">
        <f t="shared" si="25"/>
        <v/>
      </c>
      <c r="AW65" s="167" t="str">
        <f t="shared" si="25"/>
        <v/>
      </c>
      <c r="AX65" s="167" t="str">
        <f t="shared" si="25"/>
        <v/>
      </c>
      <c r="AY65" s="167" t="str">
        <f t="shared" si="25"/>
        <v/>
      </c>
      <c r="AZ65" s="167" t="str">
        <f t="shared" si="25"/>
        <v/>
      </c>
      <c r="BA65" s="167" t="str">
        <f t="shared" si="25"/>
        <v/>
      </c>
      <c r="BB65" s="167" t="str">
        <f t="shared" si="25"/>
        <v/>
      </c>
      <c r="BC65" s="167" t="str">
        <f t="shared" si="25"/>
        <v/>
      </c>
      <c r="BD65" s="167" t="str">
        <f t="shared" si="25"/>
        <v/>
      </c>
      <c r="BE65" s="167" t="str">
        <f t="shared" si="25"/>
        <v/>
      </c>
      <c r="BF65" s="167" t="str">
        <f t="shared" si="25"/>
        <v/>
      </c>
      <c r="BG65" s="167" t="str">
        <f t="shared" si="25"/>
        <v/>
      </c>
      <c r="BH65" s="167" t="str">
        <f t="shared" si="25"/>
        <v/>
      </c>
      <c r="BI65" s="167" t="str">
        <f t="shared" si="25"/>
        <v/>
      </c>
      <c r="BJ65" s="167" t="str">
        <f t="shared" si="25"/>
        <v/>
      </c>
      <c r="BK65" s="167" t="str">
        <f t="shared" si="25"/>
        <v/>
      </c>
      <c r="BL65" s="167" t="str">
        <f t="shared" si="25"/>
        <v/>
      </c>
      <c r="BM65" s="167" t="str">
        <f t="shared" si="25"/>
        <v/>
      </c>
      <c r="BN65" s="167" t="str">
        <f t="shared" si="25"/>
        <v/>
      </c>
      <c r="BO65" s="167" t="str">
        <f t="shared" ref="BO65:CX65" si="26">IF(ISNUMBER(outYear),IF(outYear&lt;=pbi_combined_term,MIN(pbi_combined_amount*BO7,pbi_combined_maxvalue),0),"")</f>
        <v/>
      </c>
      <c r="BP65" s="167" t="str">
        <f t="shared" si="26"/>
        <v/>
      </c>
      <c r="BQ65" s="167" t="str">
        <f t="shared" si="26"/>
        <v/>
      </c>
      <c r="BR65" s="167" t="str">
        <f t="shared" si="26"/>
        <v/>
      </c>
      <c r="BS65" s="167" t="str">
        <f t="shared" si="26"/>
        <v/>
      </c>
      <c r="BT65" s="167" t="str">
        <f t="shared" si="26"/>
        <v/>
      </c>
      <c r="BU65" s="167" t="str">
        <f t="shared" si="26"/>
        <v/>
      </c>
      <c r="BV65" s="167" t="str">
        <f t="shared" si="26"/>
        <v/>
      </c>
      <c r="BW65" s="167" t="str">
        <f t="shared" si="26"/>
        <v/>
      </c>
      <c r="BX65" s="167" t="str">
        <f t="shared" si="26"/>
        <v/>
      </c>
      <c r="BY65" s="167" t="str">
        <f t="shared" si="26"/>
        <v/>
      </c>
      <c r="BZ65" s="167" t="str">
        <f t="shared" si="26"/>
        <v/>
      </c>
      <c r="CA65" s="167" t="str">
        <f t="shared" si="26"/>
        <v/>
      </c>
      <c r="CB65" s="167" t="str">
        <f t="shared" si="26"/>
        <v/>
      </c>
      <c r="CC65" s="167" t="str">
        <f t="shared" si="26"/>
        <v/>
      </c>
      <c r="CD65" s="167" t="str">
        <f t="shared" si="26"/>
        <v/>
      </c>
      <c r="CE65" s="167" t="str">
        <f t="shared" si="26"/>
        <v/>
      </c>
      <c r="CF65" s="167" t="str">
        <f t="shared" si="26"/>
        <v/>
      </c>
      <c r="CG65" s="167" t="str">
        <f t="shared" si="26"/>
        <v/>
      </c>
      <c r="CH65" s="167" t="str">
        <f t="shared" si="26"/>
        <v/>
      </c>
      <c r="CI65" s="167" t="str">
        <f t="shared" si="26"/>
        <v/>
      </c>
      <c r="CJ65" s="167" t="str">
        <f t="shared" si="26"/>
        <v/>
      </c>
      <c r="CK65" s="167" t="str">
        <f t="shared" si="26"/>
        <v/>
      </c>
      <c r="CL65" s="167" t="str">
        <f t="shared" si="26"/>
        <v/>
      </c>
      <c r="CM65" s="167" t="str">
        <f t="shared" si="26"/>
        <v/>
      </c>
      <c r="CN65" s="167" t="str">
        <f t="shared" si="26"/>
        <v/>
      </c>
      <c r="CO65" s="167" t="str">
        <f t="shared" si="26"/>
        <v/>
      </c>
      <c r="CP65" s="167" t="str">
        <f t="shared" si="26"/>
        <v/>
      </c>
      <c r="CQ65" s="167" t="str">
        <f t="shared" si="26"/>
        <v/>
      </c>
      <c r="CR65" s="167" t="str">
        <f t="shared" si="26"/>
        <v/>
      </c>
      <c r="CS65" s="167" t="str">
        <f t="shared" si="26"/>
        <v/>
      </c>
      <c r="CT65" s="167" t="str">
        <f t="shared" si="26"/>
        <v/>
      </c>
      <c r="CU65" s="167" t="str">
        <f t="shared" si="26"/>
        <v/>
      </c>
      <c r="CV65" s="167" t="str">
        <f t="shared" si="26"/>
        <v/>
      </c>
      <c r="CW65" s="167" t="str">
        <f t="shared" si="26"/>
        <v/>
      </c>
      <c r="CX65" s="167" t="str">
        <f t="shared" si="26"/>
        <v/>
      </c>
    </row>
    <row r="66" spans="1:1024" x14ac:dyDescent="0.2">
      <c r="A66" s="124" t="s">
        <v>120</v>
      </c>
      <c r="B66" s="125">
        <f>B39+B44+B48+B53+B57+B62</f>
        <v>10000</v>
      </c>
      <c r="C66" s="125">
        <f>C64+C65</f>
        <v>0</v>
      </c>
      <c r="D66" s="167">
        <f t="shared" ref="D66:AA66" si="27">D64+D65</f>
        <v>0</v>
      </c>
      <c r="E66" s="167">
        <f t="shared" si="27"/>
        <v>0</v>
      </c>
      <c r="F66" s="167">
        <f t="shared" si="27"/>
        <v>0</v>
      </c>
      <c r="G66" s="167">
        <f t="shared" si="27"/>
        <v>0</v>
      </c>
      <c r="H66" s="167">
        <f t="shared" si="27"/>
        <v>0</v>
      </c>
      <c r="I66" s="167">
        <f t="shared" si="27"/>
        <v>0</v>
      </c>
      <c r="J66" s="167">
        <f t="shared" si="27"/>
        <v>0</v>
      </c>
      <c r="K66" s="167">
        <f t="shared" si="27"/>
        <v>0</v>
      </c>
      <c r="L66" s="167">
        <f t="shared" si="27"/>
        <v>0</v>
      </c>
      <c r="M66" s="167">
        <f t="shared" si="27"/>
        <v>0</v>
      </c>
      <c r="N66" s="167">
        <f t="shared" si="27"/>
        <v>0</v>
      </c>
      <c r="O66" s="167">
        <f t="shared" si="27"/>
        <v>0</v>
      </c>
      <c r="P66" s="167">
        <f t="shared" si="27"/>
        <v>0</v>
      </c>
      <c r="Q66" s="167">
        <f t="shared" si="27"/>
        <v>0</v>
      </c>
      <c r="R66" s="167">
        <f t="shared" si="27"/>
        <v>0</v>
      </c>
      <c r="S66" s="167">
        <f t="shared" si="27"/>
        <v>0</v>
      </c>
      <c r="T66" s="167">
        <f t="shared" si="27"/>
        <v>0</v>
      </c>
      <c r="U66" s="167">
        <f t="shared" si="27"/>
        <v>0</v>
      </c>
      <c r="V66" s="167">
        <f t="shared" si="27"/>
        <v>0</v>
      </c>
      <c r="W66" s="167">
        <f t="shared" si="27"/>
        <v>0</v>
      </c>
      <c r="X66" s="167">
        <f t="shared" si="27"/>
        <v>0</v>
      </c>
      <c r="Y66" s="167">
        <f t="shared" si="27"/>
        <v>0</v>
      </c>
      <c r="Z66" s="167">
        <f t="shared" si="27"/>
        <v>0</v>
      </c>
      <c r="AA66" s="167">
        <f t="shared" si="27"/>
        <v>0</v>
      </c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</row>
    <row r="67" spans="1:1024" x14ac:dyDescent="0.2">
      <c r="A67" s="157"/>
      <c r="B67" s="158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  <c r="BP67" s="159"/>
      <c r="BQ67" s="159"/>
      <c r="BR67" s="159"/>
      <c r="BS67" s="159"/>
      <c r="BT67" s="159"/>
      <c r="BU67" s="159"/>
      <c r="BV67" s="159"/>
      <c r="BW67" s="159"/>
      <c r="BX67" s="159"/>
      <c r="BY67" s="159"/>
      <c r="BZ67" s="159"/>
      <c r="CA67" s="159"/>
      <c r="CB67" s="159"/>
      <c r="CC67" s="159"/>
      <c r="CD67" s="159"/>
      <c r="CE67" s="159"/>
      <c r="CF67" s="159"/>
      <c r="CG67" s="159"/>
      <c r="CH67" s="159"/>
      <c r="CI67" s="159"/>
      <c r="CJ67" s="159"/>
      <c r="CK67" s="159"/>
      <c r="CL67" s="159"/>
      <c r="CM67" s="159"/>
      <c r="CN67" s="159"/>
      <c r="CO67" s="159"/>
      <c r="CP67" s="159"/>
      <c r="CQ67" s="159"/>
      <c r="CR67" s="159"/>
      <c r="CS67" s="159"/>
      <c r="CT67" s="159"/>
      <c r="CU67" s="159"/>
      <c r="CV67" s="159"/>
      <c r="CW67" s="159"/>
      <c r="CX67" s="159"/>
    </row>
    <row r="68" spans="1:1024" x14ac:dyDescent="0.2">
      <c r="A68" s="129" t="s">
        <v>121</v>
      </c>
      <c r="B68" s="160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  <c r="BS68" s="161"/>
      <c r="BT68" s="161"/>
      <c r="BU68" s="161"/>
      <c r="BV68" s="161"/>
      <c r="BW68" s="161"/>
      <c r="BX68" s="161"/>
      <c r="BY68" s="161"/>
      <c r="BZ68" s="161"/>
      <c r="CA68" s="161"/>
      <c r="CB68" s="161"/>
      <c r="CC68" s="161"/>
      <c r="CD68" s="161"/>
      <c r="CE68" s="161"/>
      <c r="CF68" s="161"/>
      <c r="CG68" s="161"/>
      <c r="CH68" s="161"/>
      <c r="CI68" s="161"/>
      <c r="CJ68" s="161"/>
      <c r="CK68" s="161"/>
      <c r="CL68" s="161"/>
      <c r="CM68" s="161"/>
      <c r="CN68" s="161"/>
      <c r="CO68" s="161"/>
      <c r="CP68" s="161"/>
      <c r="CQ68" s="161"/>
      <c r="CR68" s="161"/>
      <c r="CS68" s="161"/>
      <c r="CT68" s="161"/>
      <c r="CU68" s="161"/>
      <c r="CV68" s="161"/>
      <c r="CW68" s="161"/>
      <c r="CX68" s="142"/>
    </row>
    <row r="69" spans="1:1024" s="135" customFormat="1" x14ac:dyDescent="0.2">
      <c r="A69" s="120" t="s">
        <v>122</v>
      </c>
      <c r="C69" s="125">
        <f>IF(ISNUMBER(outYear),IF(ibi_sta_percent_tax_fed="Yes",B37,0)+IF(ibi_uti_percent_tax_fed="Yes",B38,0)+IF(cbi_fed_tax_fed="Yes",B41,0)+IF(cbi_sta_tax_fed="Yes",B42,0)+IF(cbi_uti_tax_fed="Yes",B43,0)+IF(pbi_combined_tax_fed="Yes",C64,0) + IF(batt_ibi_sta_percent_tax_fed="Yes",B55,0)+IF(batt_ibi_uti_percent_tax_fed="Yes",B56,0)+IF(batt_cbi_fed_tax_fed="Yes",B59,0)+IF(batt_cbi_sta_tax_fed="Yes",B60,0)+IF(batt_cbi_uti_tax_fed="Yes",B61,0)+IF(wind_ibi_sta_percent_tax_fed="Yes",B46,0)+IF(wind_ibi_uti_percent_tax_fed="Yes",B47,0)+IF(wind_cbi_fed_tax_fed="Yes",B50,0)+IF(wind_cbi_sta_tax_fed="Yes",B51,0)+IF(wind_cbi_uti_tax_fed="Yes",B52,0)+IF(wind_pbi_combined_tax_fed="Yes",C65,0),"")</f>
        <v>0</v>
      </c>
      <c r="D69" s="167">
        <f>IF(ISNUMBER(outYear),IF(ibi_sta_percent_tax_fed="Yes",C37,0)+IF(ibi_uti_percent_tax_fed="Yes",C38,0)+IF(cbi_fed_tax_fed="Yes",C41,0)+IF(cbi_sta_tax_fed="Yes",C42,0)+IF(cbi_uti_tax_fed="Yes",C43,0)+IF(pbi_combined_tax_fed="Yes",D64,0) + IF(batt_ibi_sta_percent_tax_fed="Yes",C55,0)+IF(batt_ibi_uti_percent_tax_fed="Yes",C56,0)+IF(batt_cbi_fed_tax_fed="Yes",C59,0)+IF(batt_cbi_sta_tax_fed="Yes",C60,0)+IF(batt_cbi_uti_tax_fed="Yes",C61,0)+IF(wind_ibi_sta_percent_tax_fed="Yes",C46,0)+IF(wind_ibi_uti_percent_tax_fed="Yes",C47,0)+IF(wind_cbi_fed_tax_fed="Yes",C50,0)+IF(wind_cbi_sta_tax_fed="Yes",C51,0)+IF(wind_cbi_uti_tax_fed="Yes",C52,0)+IF(wind_pbi_combined_tax_fed="Yes",D65,0),"")</f>
        <v>0</v>
      </c>
      <c r="E69" s="167">
        <f>IF(ISNUMBER(outYear),IF(ibi_sta_percent_tax_fed="Yes",D37,0)+IF(ibi_uti_percent_tax_fed="Yes",D38,0)+IF(cbi_fed_tax_fed="Yes",D41,0)+IF(cbi_sta_tax_fed="Yes",D42,0)+IF(cbi_uti_tax_fed="Yes",D43,0)+IF(pbi_combined_tax_fed="Yes",E64,0) + IF(batt_ibi_sta_percent_tax_fed="Yes",D55,0)+IF(batt_ibi_uti_percent_tax_fed="Yes",D56,0)+IF(batt_cbi_fed_tax_fed="Yes",D59,0)+IF(batt_cbi_sta_tax_fed="Yes",D60,0)+IF(batt_cbi_uti_tax_fed="Yes",D61,0)+IF(wind_ibi_sta_percent_tax_fed="Yes",D46,0)+IF(wind_ibi_uti_percent_tax_fed="Yes",D47,0)+IF(wind_cbi_fed_tax_fed="Yes",D50,0)+IF(wind_cbi_sta_tax_fed="Yes",D51,0)+IF(wind_cbi_uti_tax_fed="Yes",D52,0)+IF(wind_pbi_combined_tax_fed="Yes",E65,0),"")</f>
        <v>0</v>
      </c>
      <c r="F69" s="167">
        <f>IF(ISNUMBER(outYear),IF(ibi_sta_percent_tax_fed="Yes",E37,0)+IF(ibi_uti_percent_tax_fed="Yes",E38,0)+IF(cbi_fed_tax_fed="Yes",E41,0)+IF(cbi_sta_tax_fed="Yes",E42,0)+IF(cbi_uti_tax_fed="Yes",E43,0)+IF(pbi_combined_tax_fed="Yes",F64,0) + IF(batt_ibi_sta_percent_tax_fed="Yes",E55,0)+IF(batt_ibi_uti_percent_tax_fed="Yes",E56,0)+IF(batt_cbi_fed_tax_fed="Yes",E59,0)+IF(batt_cbi_sta_tax_fed="Yes",E60,0)+IF(batt_cbi_uti_tax_fed="Yes",E61,0)+IF(wind_ibi_sta_percent_tax_fed="Yes",E46,0)+IF(wind_ibi_uti_percent_tax_fed="Yes",E47,0)+IF(wind_cbi_fed_tax_fed="Yes",E50,0)+IF(wind_cbi_sta_tax_fed="Yes",E51,0)+IF(wind_cbi_uti_tax_fed="Yes",E52,0)+IF(wind_pbi_combined_tax_fed="Yes",F65,0),"")</f>
        <v>0</v>
      </c>
      <c r="G69" s="167">
        <f>IF(ISNUMBER(outYear),IF(ibi_sta_percent_tax_fed="Yes",F37,0)+IF(ibi_uti_percent_tax_fed="Yes",F38,0)+IF(cbi_fed_tax_fed="Yes",F41,0)+IF(cbi_sta_tax_fed="Yes",F42,0)+IF(cbi_uti_tax_fed="Yes",F43,0)+IF(pbi_combined_tax_fed="Yes",G64,0) + IF(batt_ibi_sta_percent_tax_fed="Yes",F55,0)+IF(batt_ibi_uti_percent_tax_fed="Yes",F56,0)+IF(batt_cbi_fed_tax_fed="Yes",F59,0)+IF(batt_cbi_sta_tax_fed="Yes",F60,0)+IF(batt_cbi_uti_tax_fed="Yes",F61,0)+IF(wind_ibi_sta_percent_tax_fed="Yes",F46,0)+IF(wind_ibi_uti_percent_tax_fed="Yes",F47,0)+IF(wind_cbi_fed_tax_fed="Yes",F50,0)+IF(wind_cbi_sta_tax_fed="Yes",F51,0)+IF(wind_cbi_uti_tax_fed="Yes",F52,0)+IF(wind_pbi_combined_tax_fed="Yes",G65,0),"")</f>
        <v>0</v>
      </c>
      <c r="H69" s="167">
        <f>IF(ISNUMBER(outYear),IF(ibi_sta_percent_tax_fed="Yes",G37,0)+IF(ibi_uti_percent_tax_fed="Yes",G38,0)+IF(cbi_fed_tax_fed="Yes",G41,0)+IF(cbi_sta_tax_fed="Yes",G42,0)+IF(cbi_uti_tax_fed="Yes",G43,0)+IF(pbi_combined_tax_fed="Yes",H64,0) + IF(batt_ibi_sta_percent_tax_fed="Yes",G55,0)+IF(batt_ibi_uti_percent_tax_fed="Yes",G56,0)+IF(batt_cbi_fed_tax_fed="Yes",G59,0)+IF(batt_cbi_sta_tax_fed="Yes",G60,0)+IF(batt_cbi_uti_tax_fed="Yes",G61,0)+IF(wind_ibi_sta_percent_tax_fed="Yes",G46,0)+IF(wind_ibi_uti_percent_tax_fed="Yes",G47,0)+IF(wind_cbi_fed_tax_fed="Yes",G50,0)+IF(wind_cbi_sta_tax_fed="Yes",G51,0)+IF(wind_cbi_uti_tax_fed="Yes",G52,0)+IF(wind_pbi_combined_tax_fed="Yes",H65,0),"")</f>
        <v>0</v>
      </c>
      <c r="I69" s="167">
        <f>IF(ISNUMBER(outYear),IF(ibi_sta_percent_tax_fed="Yes",H37,0)+IF(ibi_uti_percent_tax_fed="Yes",H38,0)+IF(cbi_fed_tax_fed="Yes",H41,0)+IF(cbi_sta_tax_fed="Yes",H42,0)+IF(cbi_uti_tax_fed="Yes",H43,0)+IF(pbi_combined_tax_fed="Yes",I64,0) + IF(batt_ibi_sta_percent_tax_fed="Yes",H55,0)+IF(batt_ibi_uti_percent_tax_fed="Yes",H56,0)+IF(batt_cbi_fed_tax_fed="Yes",H59,0)+IF(batt_cbi_sta_tax_fed="Yes",H60,0)+IF(batt_cbi_uti_tax_fed="Yes",H61,0)+IF(wind_ibi_sta_percent_tax_fed="Yes",H46,0)+IF(wind_ibi_uti_percent_tax_fed="Yes",H47,0)+IF(wind_cbi_fed_tax_fed="Yes",H50,0)+IF(wind_cbi_sta_tax_fed="Yes",H51,0)+IF(wind_cbi_uti_tax_fed="Yes",H52,0)+IF(wind_pbi_combined_tax_fed="Yes",I65,0),"")</f>
        <v>0</v>
      </c>
      <c r="J69" s="167">
        <f>IF(ISNUMBER(outYear),IF(ibi_sta_percent_tax_fed="Yes",I37,0)+IF(ibi_uti_percent_tax_fed="Yes",I38,0)+IF(cbi_fed_tax_fed="Yes",I41,0)+IF(cbi_sta_tax_fed="Yes",I42,0)+IF(cbi_uti_tax_fed="Yes",I43,0)+IF(pbi_combined_tax_fed="Yes",J64,0) + IF(batt_ibi_sta_percent_tax_fed="Yes",I55,0)+IF(batt_ibi_uti_percent_tax_fed="Yes",I56,0)+IF(batt_cbi_fed_tax_fed="Yes",I59,0)+IF(batt_cbi_sta_tax_fed="Yes",I60,0)+IF(batt_cbi_uti_tax_fed="Yes",I61,0)+IF(wind_ibi_sta_percent_tax_fed="Yes",I46,0)+IF(wind_ibi_uti_percent_tax_fed="Yes",I47,0)+IF(wind_cbi_fed_tax_fed="Yes",I50,0)+IF(wind_cbi_sta_tax_fed="Yes",I51,0)+IF(wind_cbi_uti_tax_fed="Yes",I52,0)+IF(wind_pbi_combined_tax_fed="Yes",J65,0),"")</f>
        <v>0</v>
      </c>
      <c r="K69" s="167">
        <f>IF(ISNUMBER(outYear),IF(ibi_sta_percent_tax_fed="Yes",J37,0)+IF(ibi_uti_percent_tax_fed="Yes",J38,0)+IF(cbi_fed_tax_fed="Yes",J41,0)+IF(cbi_sta_tax_fed="Yes",J42,0)+IF(cbi_uti_tax_fed="Yes",J43,0)+IF(pbi_combined_tax_fed="Yes",K64,0) + IF(batt_ibi_sta_percent_tax_fed="Yes",J55,0)+IF(batt_ibi_uti_percent_tax_fed="Yes",J56,0)+IF(batt_cbi_fed_tax_fed="Yes",J59,0)+IF(batt_cbi_sta_tax_fed="Yes",J60,0)+IF(batt_cbi_uti_tax_fed="Yes",J61,0)+IF(wind_ibi_sta_percent_tax_fed="Yes",J46,0)+IF(wind_ibi_uti_percent_tax_fed="Yes",J47,0)+IF(wind_cbi_fed_tax_fed="Yes",J50,0)+IF(wind_cbi_sta_tax_fed="Yes",J51,0)+IF(wind_cbi_uti_tax_fed="Yes",J52,0)+IF(wind_pbi_combined_tax_fed="Yes",K65,0),"")</f>
        <v>0</v>
      </c>
      <c r="L69" s="167">
        <f>IF(ISNUMBER(outYear),IF(ibi_sta_percent_tax_fed="Yes",K37,0)+IF(ibi_uti_percent_tax_fed="Yes",K38,0)+IF(cbi_fed_tax_fed="Yes",K41,0)+IF(cbi_sta_tax_fed="Yes",K42,0)+IF(cbi_uti_tax_fed="Yes",K43,0)+IF(pbi_combined_tax_fed="Yes",L64,0) + IF(batt_ibi_sta_percent_tax_fed="Yes",K55,0)+IF(batt_ibi_uti_percent_tax_fed="Yes",K56,0)+IF(batt_cbi_fed_tax_fed="Yes",K59,0)+IF(batt_cbi_sta_tax_fed="Yes",K60,0)+IF(batt_cbi_uti_tax_fed="Yes",K61,0)+IF(wind_ibi_sta_percent_tax_fed="Yes",K46,0)+IF(wind_ibi_uti_percent_tax_fed="Yes",K47,0)+IF(wind_cbi_fed_tax_fed="Yes",K50,0)+IF(wind_cbi_sta_tax_fed="Yes",K51,0)+IF(wind_cbi_uti_tax_fed="Yes",K52,0)+IF(wind_pbi_combined_tax_fed="Yes",L65,0),"")</f>
        <v>0</v>
      </c>
      <c r="M69" s="167">
        <f>IF(ISNUMBER(outYear),IF(ibi_sta_percent_tax_fed="Yes",L37,0)+IF(ibi_uti_percent_tax_fed="Yes",L38,0)+IF(cbi_fed_tax_fed="Yes",L41,0)+IF(cbi_sta_tax_fed="Yes",L42,0)+IF(cbi_uti_tax_fed="Yes",L43,0)+IF(pbi_combined_tax_fed="Yes",M64,0) + IF(batt_ibi_sta_percent_tax_fed="Yes",L55,0)+IF(batt_ibi_uti_percent_tax_fed="Yes",L56,0)+IF(batt_cbi_fed_tax_fed="Yes",L59,0)+IF(batt_cbi_sta_tax_fed="Yes",L60,0)+IF(batt_cbi_uti_tax_fed="Yes",L61,0)+IF(wind_ibi_sta_percent_tax_fed="Yes",L46,0)+IF(wind_ibi_uti_percent_tax_fed="Yes",L47,0)+IF(wind_cbi_fed_tax_fed="Yes",L50,0)+IF(wind_cbi_sta_tax_fed="Yes",L51,0)+IF(wind_cbi_uti_tax_fed="Yes",L52,0)+IF(wind_pbi_combined_tax_fed="Yes",M65,0),"")</f>
        <v>0</v>
      </c>
      <c r="N69" s="167">
        <f>IF(ISNUMBER(outYear),IF(ibi_sta_percent_tax_fed="Yes",M37,0)+IF(ibi_uti_percent_tax_fed="Yes",M38,0)+IF(cbi_fed_tax_fed="Yes",M41,0)+IF(cbi_sta_tax_fed="Yes",M42,0)+IF(cbi_uti_tax_fed="Yes",M43,0)+IF(pbi_combined_tax_fed="Yes",N64,0) + IF(batt_ibi_sta_percent_tax_fed="Yes",M55,0)+IF(batt_ibi_uti_percent_tax_fed="Yes",M56,0)+IF(batt_cbi_fed_tax_fed="Yes",M59,0)+IF(batt_cbi_sta_tax_fed="Yes",M60,0)+IF(batt_cbi_uti_tax_fed="Yes",M61,0)+IF(wind_ibi_sta_percent_tax_fed="Yes",M46,0)+IF(wind_ibi_uti_percent_tax_fed="Yes",M47,0)+IF(wind_cbi_fed_tax_fed="Yes",M50,0)+IF(wind_cbi_sta_tax_fed="Yes",M51,0)+IF(wind_cbi_uti_tax_fed="Yes",M52,0)+IF(wind_pbi_combined_tax_fed="Yes",N65,0),"")</f>
        <v>0</v>
      </c>
      <c r="O69" s="167">
        <f>IF(ISNUMBER(outYear),IF(ibi_sta_percent_tax_fed="Yes",N37,0)+IF(ibi_uti_percent_tax_fed="Yes",N38,0)+IF(cbi_fed_tax_fed="Yes",N41,0)+IF(cbi_sta_tax_fed="Yes",N42,0)+IF(cbi_uti_tax_fed="Yes",N43,0)+IF(pbi_combined_tax_fed="Yes",O64,0) + IF(batt_ibi_sta_percent_tax_fed="Yes",N55,0)+IF(batt_ibi_uti_percent_tax_fed="Yes",N56,0)+IF(batt_cbi_fed_tax_fed="Yes",N59,0)+IF(batt_cbi_sta_tax_fed="Yes",N60,0)+IF(batt_cbi_uti_tax_fed="Yes",N61,0)+IF(wind_ibi_sta_percent_tax_fed="Yes",N46,0)+IF(wind_ibi_uti_percent_tax_fed="Yes",N47,0)+IF(wind_cbi_fed_tax_fed="Yes",N50,0)+IF(wind_cbi_sta_tax_fed="Yes",N51,0)+IF(wind_cbi_uti_tax_fed="Yes",N52,0)+IF(wind_pbi_combined_tax_fed="Yes",O65,0),"")</f>
        <v>0</v>
      </c>
      <c r="P69" s="167">
        <f>IF(ISNUMBER(outYear),IF(ibi_sta_percent_tax_fed="Yes",O37,0)+IF(ibi_uti_percent_tax_fed="Yes",O38,0)+IF(cbi_fed_tax_fed="Yes",O41,0)+IF(cbi_sta_tax_fed="Yes",O42,0)+IF(cbi_uti_tax_fed="Yes",O43,0)+IF(pbi_combined_tax_fed="Yes",P64,0) + IF(batt_ibi_sta_percent_tax_fed="Yes",O55,0)+IF(batt_ibi_uti_percent_tax_fed="Yes",O56,0)+IF(batt_cbi_fed_tax_fed="Yes",O59,0)+IF(batt_cbi_sta_tax_fed="Yes",O60,0)+IF(batt_cbi_uti_tax_fed="Yes",O61,0)+IF(wind_ibi_sta_percent_tax_fed="Yes",O46,0)+IF(wind_ibi_uti_percent_tax_fed="Yes",O47,0)+IF(wind_cbi_fed_tax_fed="Yes",O50,0)+IF(wind_cbi_sta_tax_fed="Yes",O51,0)+IF(wind_cbi_uti_tax_fed="Yes",O52,0)+IF(wind_pbi_combined_tax_fed="Yes",P65,0),"")</f>
        <v>0</v>
      </c>
      <c r="Q69" s="167">
        <f>IF(ISNUMBER(outYear),IF(ibi_sta_percent_tax_fed="Yes",P37,0)+IF(ibi_uti_percent_tax_fed="Yes",P38,0)+IF(cbi_fed_tax_fed="Yes",P41,0)+IF(cbi_sta_tax_fed="Yes",P42,0)+IF(cbi_uti_tax_fed="Yes",P43,0)+IF(pbi_combined_tax_fed="Yes",Q64,0) + IF(batt_ibi_sta_percent_tax_fed="Yes",P55,0)+IF(batt_ibi_uti_percent_tax_fed="Yes",P56,0)+IF(batt_cbi_fed_tax_fed="Yes",P59,0)+IF(batt_cbi_sta_tax_fed="Yes",P60,0)+IF(batt_cbi_uti_tax_fed="Yes",P61,0)+IF(wind_ibi_sta_percent_tax_fed="Yes",P46,0)+IF(wind_ibi_uti_percent_tax_fed="Yes",P47,0)+IF(wind_cbi_fed_tax_fed="Yes",P50,0)+IF(wind_cbi_sta_tax_fed="Yes",P51,0)+IF(wind_cbi_uti_tax_fed="Yes",P52,0)+IF(wind_pbi_combined_tax_fed="Yes",Q65,0),"")</f>
        <v>0</v>
      </c>
      <c r="R69" s="167">
        <f>IF(ISNUMBER(outYear),IF(ibi_sta_percent_tax_fed="Yes",Q37,0)+IF(ibi_uti_percent_tax_fed="Yes",Q38,0)+IF(cbi_fed_tax_fed="Yes",Q41,0)+IF(cbi_sta_tax_fed="Yes",Q42,0)+IF(cbi_uti_tax_fed="Yes",Q43,0)+IF(pbi_combined_tax_fed="Yes",R64,0) + IF(batt_ibi_sta_percent_tax_fed="Yes",Q55,0)+IF(batt_ibi_uti_percent_tax_fed="Yes",Q56,0)+IF(batt_cbi_fed_tax_fed="Yes",Q59,0)+IF(batt_cbi_sta_tax_fed="Yes",Q60,0)+IF(batt_cbi_uti_tax_fed="Yes",Q61,0)+IF(wind_ibi_sta_percent_tax_fed="Yes",Q46,0)+IF(wind_ibi_uti_percent_tax_fed="Yes",Q47,0)+IF(wind_cbi_fed_tax_fed="Yes",Q50,0)+IF(wind_cbi_sta_tax_fed="Yes",Q51,0)+IF(wind_cbi_uti_tax_fed="Yes",Q52,0)+IF(wind_pbi_combined_tax_fed="Yes",R65,0),"")</f>
        <v>0</v>
      </c>
      <c r="S69" s="167">
        <f>IF(ISNUMBER(outYear),IF(ibi_sta_percent_tax_fed="Yes",R37,0)+IF(ibi_uti_percent_tax_fed="Yes",R38,0)+IF(cbi_fed_tax_fed="Yes",R41,0)+IF(cbi_sta_tax_fed="Yes",R42,0)+IF(cbi_uti_tax_fed="Yes",R43,0)+IF(pbi_combined_tax_fed="Yes",S64,0) + IF(batt_ibi_sta_percent_tax_fed="Yes",R55,0)+IF(batt_ibi_uti_percent_tax_fed="Yes",R56,0)+IF(batt_cbi_fed_tax_fed="Yes",R59,0)+IF(batt_cbi_sta_tax_fed="Yes",R60,0)+IF(batt_cbi_uti_tax_fed="Yes",R61,0)+IF(wind_ibi_sta_percent_tax_fed="Yes",R46,0)+IF(wind_ibi_uti_percent_tax_fed="Yes",R47,0)+IF(wind_cbi_fed_tax_fed="Yes",R50,0)+IF(wind_cbi_sta_tax_fed="Yes",R51,0)+IF(wind_cbi_uti_tax_fed="Yes",R52,0)+IF(wind_pbi_combined_tax_fed="Yes",S65,0),"")</f>
        <v>0</v>
      </c>
      <c r="T69" s="167">
        <f>IF(ISNUMBER(outYear),IF(ibi_sta_percent_tax_fed="Yes",S37,0)+IF(ibi_uti_percent_tax_fed="Yes",S38,0)+IF(cbi_fed_tax_fed="Yes",S41,0)+IF(cbi_sta_tax_fed="Yes",S42,0)+IF(cbi_uti_tax_fed="Yes",S43,0)+IF(pbi_combined_tax_fed="Yes",T64,0) + IF(batt_ibi_sta_percent_tax_fed="Yes",S55,0)+IF(batt_ibi_uti_percent_tax_fed="Yes",S56,0)+IF(batt_cbi_fed_tax_fed="Yes",S59,0)+IF(batt_cbi_sta_tax_fed="Yes",S60,0)+IF(batt_cbi_uti_tax_fed="Yes",S61,0)+IF(wind_ibi_sta_percent_tax_fed="Yes",S46,0)+IF(wind_ibi_uti_percent_tax_fed="Yes",S47,0)+IF(wind_cbi_fed_tax_fed="Yes",S50,0)+IF(wind_cbi_sta_tax_fed="Yes",S51,0)+IF(wind_cbi_uti_tax_fed="Yes",S52,0)+IF(wind_pbi_combined_tax_fed="Yes",T65,0),"")</f>
        <v>0</v>
      </c>
      <c r="U69" s="167">
        <f>IF(ISNUMBER(outYear),IF(ibi_sta_percent_tax_fed="Yes",T37,0)+IF(ibi_uti_percent_tax_fed="Yes",T38,0)+IF(cbi_fed_tax_fed="Yes",T41,0)+IF(cbi_sta_tax_fed="Yes",T42,0)+IF(cbi_uti_tax_fed="Yes",T43,0)+IF(pbi_combined_tax_fed="Yes",U64,0) + IF(batt_ibi_sta_percent_tax_fed="Yes",T55,0)+IF(batt_ibi_uti_percent_tax_fed="Yes",T56,0)+IF(batt_cbi_fed_tax_fed="Yes",T59,0)+IF(batt_cbi_sta_tax_fed="Yes",T60,0)+IF(batt_cbi_uti_tax_fed="Yes",T61,0)+IF(wind_ibi_sta_percent_tax_fed="Yes",T46,0)+IF(wind_ibi_uti_percent_tax_fed="Yes",T47,0)+IF(wind_cbi_fed_tax_fed="Yes",T50,0)+IF(wind_cbi_sta_tax_fed="Yes",T51,0)+IF(wind_cbi_uti_tax_fed="Yes",T52,0)+IF(wind_pbi_combined_tax_fed="Yes",U65,0),"")</f>
        <v>0</v>
      </c>
      <c r="V69" s="167">
        <f>IF(ISNUMBER(outYear),IF(ibi_sta_percent_tax_fed="Yes",U37,0)+IF(ibi_uti_percent_tax_fed="Yes",U38,0)+IF(cbi_fed_tax_fed="Yes",U41,0)+IF(cbi_sta_tax_fed="Yes",U42,0)+IF(cbi_uti_tax_fed="Yes",U43,0)+IF(pbi_combined_tax_fed="Yes",V64,0) + IF(batt_ibi_sta_percent_tax_fed="Yes",U55,0)+IF(batt_ibi_uti_percent_tax_fed="Yes",U56,0)+IF(batt_cbi_fed_tax_fed="Yes",U59,0)+IF(batt_cbi_sta_tax_fed="Yes",U60,0)+IF(batt_cbi_uti_tax_fed="Yes",U61,0)+IF(wind_ibi_sta_percent_tax_fed="Yes",U46,0)+IF(wind_ibi_uti_percent_tax_fed="Yes",U47,0)+IF(wind_cbi_fed_tax_fed="Yes",U50,0)+IF(wind_cbi_sta_tax_fed="Yes",U51,0)+IF(wind_cbi_uti_tax_fed="Yes",U52,0)+IF(wind_pbi_combined_tax_fed="Yes",V65,0),"")</f>
        <v>0</v>
      </c>
      <c r="W69" s="167">
        <f>IF(ISNUMBER(outYear),IF(ibi_sta_percent_tax_fed="Yes",V37,0)+IF(ibi_uti_percent_tax_fed="Yes",V38,0)+IF(cbi_fed_tax_fed="Yes",V41,0)+IF(cbi_sta_tax_fed="Yes",V42,0)+IF(cbi_uti_tax_fed="Yes",V43,0)+IF(pbi_combined_tax_fed="Yes",W64,0) + IF(batt_ibi_sta_percent_tax_fed="Yes",V55,0)+IF(batt_ibi_uti_percent_tax_fed="Yes",V56,0)+IF(batt_cbi_fed_tax_fed="Yes",V59,0)+IF(batt_cbi_sta_tax_fed="Yes",V60,0)+IF(batt_cbi_uti_tax_fed="Yes",V61,0)+IF(wind_ibi_sta_percent_tax_fed="Yes",V46,0)+IF(wind_ibi_uti_percent_tax_fed="Yes",V47,0)+IF(wind_cbi_fed_tax_fed="Yes",V50,0)+IF(wind_cbi_sta_tax_fed="Yes",V51,0)+IF(wind_cbi_uti_tax_fed="Yes",V52,0)+IF(wind_pbi_combined_tax_fed="Yes",W65,0),"")</f>
        <v>0</v>
      </c>
      <c r="X69" s="167">
        <f>IF(ISNUMBER(outYear),IF(ibi_sta_percent_tax_fed="Yes",W37,0)+IF(ibi_uti_percent_tax_fed="Yes",W38,0)+IF(cbi_fed_tax_fed="Yes",W41,0)+IF(cbi_sta_tax_fed="Yes",W42,0)+IF(cbi_uti_tax_fed="Yes",W43,0)+IF(pbi_combined_tax_fed="Yes",X64,0) + IF(batt_ibi_sta_percent_tax_fed="Yes",W55,0)+IF(batt_ibi_uti_percent_tax_fed="Yes",W56,0)+IF(batt_cbi_fed_tax_fed="Yes",W59,0)+IF(batt_cbi_sta_tax_fed="Yes",W60,0)+IF(batt_cbi_uti_tax_fed="Yes",W61,0)+IF(wind_ibi_sta_percent_tax_fed="Yes",W46,0)+IF(wind_ibi_uti_percent_tax_fed="Yes",W47,0)+IF(wind_cbi_fed_tax_fed="Yes",W50,0)+IF(wind_cbi_sta_tax_fed="Yes",W51,0)+IF(wind_cbi_uti_tax_fed="Yes",W52,0)+IF(wind_pbi_combined_tax_fed="Yes",X65,0),"")</f>
        <v>0</v>
      </c>
      <c r="Y69" s="167">
        <f>IF(ISNUMBER(outYear),IF(ibi_sta_percent_tax_fed="Yes",X37,0)+IF(ibi_uti_percent_tax_fed="Yes",X38,0)+IF(cbi_fed_tax_fed="Yes",X41,0)+IF(cbi_sta_tax_fed="Yes",X42,0)+IF(cbi_uti_tax_fed="Yes",X43,0)+IF(pbi_combined_tax_fed="Yes",Y64,0) + IF(batt_ibi_sta_percent_tax_fed="Yes",X55,0)+IF(batt_ibi_uti_percent_tax_fed="Yes",X56,0)+IF(batt_cbi_fed_tax_fed="Yes",X59,0)+IF(batt_cbi_sta_tax_fed="Yes",X60,0)+IF(batt_cbi_uti_tax_fed="Yes",X61,0)+IF(wind_ibi_sta_percent_tax_fed="Yes",X46,0)+IF(wind_ibi_uti_percent_tax_fed="Yes",X47,0)+IF(wind_cbi_fed_tax_fed="Yes",X50,0)+IF(wind_cbi_sta_tax_fed="Yes",X51,0)+IF(wind_cbi_uti_tax_fed="Yes",X52,0)+IF(wind_pbi_combined_tax_fed="Yes",Y65,0),"")</f>
        <v>0</v>
      </c>
      <c r="Z69" s="167">
        <f>IF(ISNUMBER(outYear),IF(ibi_sta_percent_tax_fed="Yes",Y37,0)+IF(ibi_uti_percent_tax_fed="Yes",Y38,0)+IF(cbi_fed_tax_fed="Yes",Y41,0)+IF(cbi_sta_tax_fed="Yes",Y42,0)+IF(cbi_uti_tax_fed="Yes",Y43,0)+IF(pbi_combined_tax_fed="Yes",Z64,0) + IF(batt_ibi_sta_percent_tax_fed="Yes",Y55,0)+IF(batt_ibi_uti_percent_tax_fed="Yes",Y56,0)+IF(batt_cbi_fed_tax_fed="Yes",Y59,0)+IF(batt_cbi_sta_tax_fed="Yes",Y60,0)+IF(batt_cbi_uti_tax_fed="Yes",Y61,0)+IF(wind_ibi_sta_percent_tax_fed="Yes",Y46,0)+IF(wind_ibi_uti_percent_tax_fed="Yes",Y47,0)+IF(wind_cbi_fed_tax_fed="Yes",Y50,0)+IF(wind_cbi_sta_tax_fed="Yes",Y51,0)+IF(wind_cbi_uti_tax_fed="Yes",Y52,0)+IF(wind_pbi_combined_tax_fed="Yes",Z65,0),"")</f>
        <v>0</v>
      </c>
      <c r="AA69" s="167">
        <f>IF(ISNUMBER(outYear),IF(ibi_sta_percent_tax_fed="Yes",Z37,0)+IF(ibi_uti_percent_tax_fed="Yes",Z38,0)+IF(cbi_fed_tax_fed="Yes",Z41,0)+IF(cbi_sta_tax_fed="Yes",Z42,0)+IF(cbi_uti_tax_fed="Yes",Z43,0)+IF(pbi_combined_tax_fed="Yes",AA64,0) + IF(batt_ibi_sta_percent_tax_fed="Yes",Z55,0)+IF(batt_ibi_uti_percent_tax_fed="Yes",Z56,0)+IF(batt_cbi_fed_tax_fed="Yes",Z59,0)+IF(batt_cbi_sta_tax_fed="Yes",Z60,0)+IF(batt_cbi_uti_tax_fed="Yes",Z61,0)+IF(wind_ibi_sta_percent_tax_fed="Yes",Z46,0)+IF(wind_ibi_uti_percent_tax_fed="Yes",Z47,0)+IF(wind_cbi_fed_tax_fed="Yes",Z50,0)+IF(wind_cbi_sta_tax_fed="Yes",Z51,0)+IF(wind_cbi_uti_tax_fed="Yes",Z52,0)+IF(wind_pbi_combined_tax_fed="Yes",AA65,0),"")</f>
        <v>0</v>
      </c>
      <c r="AB69" s="167" t="str">
        <f>IF(ISNUMBER(outYear),IF(ibi_sta_percent_tax_fed="Yes",AA37,0)+IF(ibi_uti_percent_tax_fed="Yes",AA38,0)+IF(cbi_fed_tax_fed="Yes",AA41,0)+IF(cbi_sta_tax_fed="Yes",AA42,0)+IF(cbi_uti_tax_fed="Yes",AA43,0)+IF(pbi_combined_tax_fed="Yes",AB64,0) + IF(batt_ibi_sta_percent_tax_fed="Yes",AA55,0)+IF(batt_ibi_uti_percent_tax_fed="Yes",AA56,0)+IF(batt_cbi_fed_tax_fed="Yes",AA59,0)+IF(batt_cbi_sta_tax_fed="Yes",AA60,0)+IF(batt_cbi_uti_tax_fed="Yes",AA61,0)+IF(wind_ibi_sta_percent_tax_fed="Yes",AA46,0)+IF(wind_ibi_uti_percent_tax_fed="Yes",AA47,0)+IF(wind_cbi_fed_tax_fed="Yes",AA50,0)+IF(wind_cbi_sta_tax_fed="Yes",AA51,0)+IF(wind_cbi_uti_tax_fed="Yes",AA52,0)+IF(wind_pbi_combined_tax_fed="Yes",AB65,0),"")</f>
        <v/>
      </c>
      <c r="AC69" s="167" t="str">
        <f>IF(ISNUMBER(outYear),IF(ibi_sta_percent_tax_fed="Yes",AB37,0)+IF(ibi_uti_percent_tax_fed="Yes",AB38,0)+IF(cbi_fed_tax_fed="Yes",AB41,0)+IF(cbi_sta_tax_fed="Yes",AB42,0)+IF(cbi_uti_tax_fed="Yes",AB43,0)+IF(pbi_combined_tax_fed="Yes",AC64,0) + IF(batt_ibi_sta_percent_tax_fed="Yes",AB55,0)+IF(batt_ibi_uti_percent_tax_fed="Yes",AB56,0)+IF(batt_cbi_fed_tax_fed="Yes",AB59,0)+IF(batt_cbi_sta_tax_fed="Yes",AB60,0)+IF(batt_cbi_uti_tax_fed="Yes",AB61,0)+IF(wind_ibi_sta_percent_tax_fed="Yes",AB46,0)+IF(wind_ibi_uti_percent_tax_fed="Yes",AB47,0)+IF(wind_cbi_fed_tax_fed="Yes",AB50,0)+IF(wind_cbi_sta_tax_fed="Yes",AB51,0)+IF(wind_cbi_uti_tax_fed="Yes",AB52,0)+IF(wind_pbi_combined_tax_fed="Yes",AC65,0),"")</f>
        <v/>
      </c>
      <c r="AD69" s="167" t="str">
        <f>IF(ISNUMBER(outYear),IF(ibi_sta_percent_tax_fed="Yes",AC37,0)+IF(ibi_uti_percent_tax_fed="Yes",AC38,0)+IF(cbi_fed_tax_fed="Yes",AC41,0)+IF(cbi_sta_tax_fed="Yes",AC42,0)+IF(cbi_uti_tax_fed="Yes",AC43,0)+IF(pbi_combined_tax_fed="Yes",AD64,0) + IF(batt_ibi_sta_percent_tax_fed="Yes",AC55,0)+IF(batt_ibi_uti_percent_tax_fed="Yes",AC56,0)+IF(batt_cbi_fed_tax_fed="Yes",AC59,0)+IF(batt_cbi_sta_tax_fed="Yes",AC60,0)+IF(batt_cbi_uti_tax_fed="Yes",AC61,0)+IF(wind_ibi_sta_percent_tax_fed="Yes",AC46,0)+IF(wind_ibi_uti_percent_tax_fed="Yes",AC47,0)+IF(wind_cbi_fed_tax_fed="Yes",AC50,0)+IF(wind_cbi_sta_tax_fed="Yes",AC51,0)+IF(wind_cbi_uti_tax_fed="Yes",AC52,0)+IF(wind_pbi_combined_tax_fed="Yes",AD65,0),"")</f>
        <v/>
      </c>
      <c r="AE69" s="167" t="str">
        <f>IF(ISNUMBER(outYear),IF(ibi_sta_percent_tax_fed="Yes",AD37,0)+IF(ibi_uti_percent_tax_fed="Yes",AD38,0)+IF(cbi_fed_tax_fed="Yes",AD41,0)+IF(cbi_sta_tax_fed="Yes",AD42,0)+IF(cbi_uti_tax_fed="Yes",AD43,0)+IF(pbi_combined_tax_fed="Yes",AE64,0) + IF(batt_ibi_sta_percent_tax_fed="Yes",AD55,0)+IF(batt_ibi_uti_percent_tax_fed="Yes",AD56,0)+IF(batt_cbi_fed_tax_fed="Yes",AD59,0)+IF(batt_cbi_sta_tax_fed="Yes",AD60,0)+IF(batt_cbi_uti_tax_fed="Yes",AD61,0)+IF(wind_ibi_sta_percent_tax_fed="Yes",AD46,0)+IF(wind_ibi_uti_percent_tax_fed="Yes",AD47,0)+IF(wind_cbi_fed_tax_fed="Yes",AD50,0)+IF(wind_cbi_sta_tax_fed="Yes",AD51,0)+IF(wind_cbi_uti_tax_fed="Yes",AD52,0)+IF(wind_pbi_combined_tax_fed="Yes",AE65,0),"")</f>
        <v/>
      </c>
      <c r="AF69" s="167" t="str">
        <f>IF(ISNUMBER(outYear),IF(ibi_sta_percent_tax_fed="Yes",AE37,0)+IF(ibi_uti_percent_tax_fed="Yes",AE38,0)+IF(cbi_fed_tax_fed="Yes",AE41,0)+IF(cbi_sta_tax_fed="Yes",AE42,0)+IF(cbi_uti_tax_fed="Yes",AE43,0)+IF(pbi_combined_tax_fed="Yes",AF64,0) + IF(batt_ibi_sta_percent_tax_fed="Yes",AE55,0)+IF(batt_ibi_uti_percent_tax_fed="Yes",AE56,0)+IF(batt_cbi_fed_tax_fed="Yes",AE59,0)+IF(batt_cbi_sta_tax_fed="Yes",AE60,0)+IF(batt_cbi_uti_tax_fed="Yes",AE61,0)+IF(wind_ibi_sta_percent_tax_fed="Yes",AE46,0)+IF(wind_ibi_uti_percent_tax_fed="Yes",AE47,0)+IF(wind_cbi_fed_tax_fed="Yes",AE50,0)+IF(wind_cbi_sta_tax_fed="Yes",AE51,0)+IF(wind_cbi_uti_tax_fed="Yes",AE52,0)+IF(wind_pbi_combined_tax_fed="Yes",AF65,0),"")</f>
        <v/>
      </c>
      <c r="AG69" s="167" t="str">
        <f>IF(ISNUMBER(outYear),IF(ibi_sta_percent_tax_fed="Yes",AF37,0)+IF(ibi_uti_percent_tax_fed="Yes",AF38,0)+IF(cbi_fed_tax_fed="Yes",AF41,0)+IF(cbi_sta_tax_fed="Yes",AF42,0)+IF(cbi_uti_tax_fed="Yes",AF43,0)+IF(pbi_combined_tax_fed="Yes",AG64,0) + IF(batt_ibi_sta_percent_tax_fed="Yes",AF55,0)+IF(batt_ibi_uti_percent_tax_fed="Yes",AF56,0)+IF(batt_cbi_fed_tax_fed="Yes",AF59,0)+IF(batt_cbi_sta_tax_fed="Yes",AF60,0)+IF(batt_cbi_uti_tax_fed="Yes",AF61,0)+IF(wind_ibi_sta_percent_tax_fed="Yes",AF46,0)+IF(wind_ibi_uti_percent_tax_fed="Yes",AF47,0)+IF(wind_cbi_fed_tax_fed="Yes",AF50,0)+IF(wind_cbi_sta_tax_fed="Yes",AF51,0)+IF(wind_cbi_uti_tax_fed="Yes",AF52,0)+IF(wind_pbi_combined_tax_fed="Yes",AG65,0),"")</f>
        <v/>
      </c>
      <c r="AH69" s="167" t="str">
        <f>IF(ISNUMBER(outYear),IF(ibi_sta_percent_tax_fed="Yes",AG37,0)+IF(ibi_uti_percent_tax_fed="Yes",AG38,0)+IF(cbi_fed_tax_fed="Yes",AG41,0)+IF(cbi_sta_tax_fed="Yes",AG42,0)+IF(cbi_uti_tax_fed="Yes",AG43,0)+IF(pbi_combined_tax_fed="Yes",AH64,0) + IF(batt_ibi_sta_percent_tax_fed="Yes",AG55,0)+IF(batt_ibi_uti_percent_tax_fed="Yes",AG56,0)+IF(batt_cbi_fed_tax_fed="Yes",AG59,0)+IF(batt_cbi_sta_tax_fed="Yes",AG60,0)+IF(batt_cbi_uti_tax_fed="Yes",AG61,0)+IF(wind_ibi_sta_percent_tax_fed="Yes",AG46,0)+IF(wind_ibi_uti_percent_tax_fed="Yes",AG47,0)+IF(wind_cbi_fed_tax_fed="Yes",AG50,0)+IF(wind_cbi_sta_tax_fed="Yes",AG51,0)+IF(wind_cbi_uti_tax_fed="Yes",AG52,0)+IF(wind_pbi_combined_tax_fed="Yes",AH65,0),"")</f>
        <v/>
      </c>
      <c r="AI69" s="167" t="str">
        <f>IF(ISNUMBER(outYear),IF(ibi_sta_percent_tax_fed="Yes",AH37,0)+IF(ibi_uti_percent_tax_fed="Yes",AH38,0)+IF(cbi_fed_tax_fed="Yes",AH41,0)+IF(cbi_sta_tax_fed="Yes",AH42,0)+IF(cbi_uti_tax_fed="Yes",AH43,0)+IF(pbi_combined_tax_fed="Yes",AI64,0) + IF(batt_ibi_sta_percent_tax_fed="Yes",AH55,0)+IF(batt_ibi_uti_percent_tax_fed="Yes",AH56,0)+IF(batt_cbi_fed_tax_fed="Yes",AH59,0)+IF(batt_cbi_sta_tax_fed="Yes",AH60,0)+IF(batt_cbi_uti_tax_fed="Yes",AH61,0)+IF(wind_ibi_sta_percent_tax_fed="Yes",AH46,0)+IF(wind_ibi_uti_percent_tax_fed="Yes",AH47,0)+IF(wind_cbi_fed_tax_fed="Yes",AH50,0)+IF(wind_cbi_sta_tax_fed="Yes",AH51,0)+IF(wind_cbi_uti_tax_fed="Yes",AH52,0)+IF(wind_pbi_combined_tax_fed="Yes",AI65,0),"")</f>
        <v/>
      </c>
      <c r="AJ69" s="167" t="str">
        <f>IF(ISNUMBER(outYear),IF(ibi_sta_percent_tax_fed="Yes",AI37,0)+IF(ibi_uti_percent_tax_fed="Yes",AI38,0)+IF(cbi_fed_tax_fed="Yes",AI41,0)+IF(cbi_sta_tax_fed="Yes",AI42,0)+IF(cbi_uti_tax_fed="Yes",AI43,0)+IF(pbi_combined_tax_fed="Yes",AJ64,0) + IF(batt_ibi_sta_percent_tax_fed="Yes",AI55,0)+IF(batt_ibi_uti_percent_tax_fed="Yes",AI56,0)+IF(batt_cbi_fed_tax_fed="Yes",AI59,0)+IF(batt_cbi_sta_tax_fed="Yes",AI60,0)+IF(batt_cbi_uti_tax_fed="Yes",AI61,0)+IF(wind_ibi_sta_percent_tax_fed="Yes",AI46,0)+IF(wind_ibi_uti_percent_tax_fed="Yes",AI47,0)+IF(wind_cbi_fed_tax_fed="Yes",AI50,0)+IF(wind_cbi_sta_tax_fed="Yes",AI51,0)+IF(wind_cbi_uti_tax_fed="Yes",AI52,0)+IF(wind_pbi_combined_tax_fed="Yes",AJ65,0),"")</f>
        <v/>
      </c>
      <c r="AK69" s="167" t="str">
        <f>IF(ISNUMBER(outYear),IF(ibi_sta_percent_tax_fed="Yes",AJ37,0)+IF(ibi_uti_percent_tax_fed="Yes",AJ38,0)+IF(cbi_fed_tax_fed="Yes",AJ41,0)+IF(cbi_sta_tax_fed="Yes",AJ42,0)+IF(cbi_uti_tax_fed="Yes",AJ43,0)+IF(pbi_combined_tax_fed="Yes",AK64,0) + IF(batt_ibi_sta_percent_tax_fed="Yes",AJ55,0)+IF(batt_ibi_uti_percent_tax_fed="Yes",AJ56,0)+IF(batt_cbi_fed_tax_fed="Yes",AJ59,0)+IF(batt_cbi_sta_tax_fed="Yes",AJ60,0)+IF(batt_cbi_uti_tax_fed="Yes",AJ61,0)+IF(wind_ibi_sta_percent_tax_fed="Yes",AJ46,0)+IF(wind_ibi_uti_percent_tax_fed="Yes",AJ47,0)+IF(wind_cbi_fed_tax_fed="Yes",AJ50,0)+IF(wind_cbi_sta_tax_fed="Yes",AJ51,0)+IF(wind_cbi_uti_tax_fed="Yes",AJ52,0)+IF(wind_pbi_combined_tax_fed="Yes",AK65,0),"")</f>
        <v/>
      </c>
      <c r="AL69" s="167" t="str">
        <f>IF(ISNUMBER(outYear),IF(ibi_sta_percent_tax_fed="Yes",AK37,0)+IF(ibi_uti_percent_tax_fed="Yes",AK38,0)+IF(cbi_fed_tax_fed="Yes",AK41,0)+IF(cbi_sta_tax_fed="Yes",AK42,0)+IF(cbi_uti_tax_fed="Yes",AK43,0)+IF(pbi_combined_tax_fed="Yes",AL64,0) + IF(batt_ibi_sta_percent_tax_fed="Yes",AK55,0)+IF(batt_ibi_uti_percent_tax_fed="Yes",AK56,0)+IF(batt_cbi_fed_tax_fed="Yes",AK59,0)+IF(batt_cbi_sta_tax_fed="Yes",AK60,0)+IF(batt_cbi_uti_tax_fed="Yes",AK61,0)+IF(wind_ibi_sta_percent_tax_fed="Yes",AK46,0)+IF(wind_ibi_uti_percent_tax_fed="Yes",AK47,0)+IF(wind_cbi_fed_tax_fed="Yes",AK50,0)+IF(wind_cbi_sta_tax_fed="Yes",AK51,0)+IF(wind_cbi_uti_tax_fed="Yes",AK52,0)+IF(wind_pbi_combined_tax_fed="Yes",AL65,0),"")</f>
        <v/>
      </c>
      <c r="AM69" s="167" t="str">
        <f>IF(ISNUMBER(outYear),IF(ibi_sta_percent_tax_fed="Yes",AL37,0)+IF(ibi_uti_percent_tax_fed="Yes",AL38,0)+IF(cbi_fed_tax_fed="Yes",AL41,0)+IF(cbi_sta_tax_fed="Yes",AL42,0)+IF(cbi_uti_tax_fed="Yes",AL43,0)+IF(pbi_combined_tax_fed="Yes",AM64,0) + IF(batt_ibi_sta_percent_tax_fed="Yes",AL55,0)+IF(batt_ibi_uti_percent_tax_fed="Yes",AL56,0)+IF(batt_cbi_fed_tax_fed="Yes",AL59,0)+IF(batt_cbi_sta_tax_fed="Yes",AL60,0)+IF(batt_cbi_uti_tax_fed="Yes",AL61,0)+IF(wind_ibi_sta_percent_tax_fed="Yes",AL46,0)+IF(wind_ibi_uti_percent_tax_fed="Yes",AL47,0)+IF(wind_cbi_fed_tax_fed="Yes",AL50,0)+IF(wind_cbi_sta_tax_fed="Yes",AL51,0)+IF(wind_cbi_uti_tax_fed="Yes",AL52,0)+IF(wind_pbi_combined_tax_fed="Yes",AM65,0),"")</f>
        <v/>
      </c>
      <c r="AN69" s="167" t="str">
        <f>IF(ISNUMBER(outYear),IF(ibi_sta_percent_tax_fed="Yes",AM37,0)+IF(ibi_uti_percent_tax_fed="Yes",AM38,0)+IF(cbi_fed_tax_fed="Yes",AM41,0)+IF(cbi_sta_tax_fed="Yes",AM42,0)+IF(cbi_uti_tax_fed="Yes",AM43,0)+IF(pbi_combined_tax_fed="Yes",AN64,0) + IF(batt_ibi_sta_percent_tax_fed="Yes",AM55,0)+IF(batt_ibi_uti_percent_tax_fed="Yes",AM56,0)+IF(batt_cbi_fed_tax_fed="Yes",AM59,0)+IF(batt_cbi_sta_tax_fed="Yes",AM60,0)+IF(batt_cbi_uti_tax_fed="Yes",AM61,0)+IF(wind_ibi_sta_percent_tax_fed="Yes",AM46,0)+IF(wind_ibi_uti_percent_tax_fed="Yes",AM47,0)+IF(wind_cbi_fed_tax_fed="Yes",AM50,0)+IF(wind_cbi_sta_tax_fed="Yes",AM51,0)+IF(wind_cbi_uti_tax_fed="Yes",AM52,0)+IF(wind_pbi_combined_tax_fed="Yes",AN65,0),"")</f>
        <v/>
      </c>
      <c r="AO69" s="167" t="str">
        <f>IF(ISNUMBER(outYear),IF(ibi_sta_percent_tax_fed="Yes",AN37,0)+IF(ibi_uti_percent_tax_fed="Yes",AN38,0)+IF(cbi_fed_tax_fed="Yes",AN41,0)+IF(cbi_sta_tax_fed="Yes",AN42,0)+IF(cbi_uti_tax_fed="Yes",AN43,0)+IF(pbi_combined_tax_fed="Yes",AO64,0) + IF(batt_ibi_sta_percent_tax_fed="Yes",AN55,0)+IF(batt_ibi_uti_percent_tax_fed="Yes",AN56,0)+IF(batt_cbi_fed_tax_fed="Yes",AN59,0)+IF(batt_cbi_sta_tax_fed="Yes",AN60,0)+IF(batt_cbi_uti_tax_fed="Yes",AN61,0)+IF(wind_ibi_sta_percent_tax_fed="Yes",AN46,0)+IF(wind_ibi_uti_percent_tax_fed="Yes",AN47,0)+IF(wind_cbi_fed_tax_fed="Yes",AN50,0)+IF(wind_cbi_sta_tax_fed="Yes",AN51,0)+IF(wind_cbi_uti_tax_fed="Yes",AN52,0)+IF(wind_pbi_combined_tax_fed="Yes",AO65,0),"")</f>
        <v/>
      </c>
      <c r="AP69" s="167" t="str">
        <f>IF(ISNUMBER(outYear),IF(ibi_sta_percent_tax_fed="Yes",AO37,0)+IF(ibi_uti_percent_tax_fed="Yes",AO38,0)+IF(cbi_fed_tax_fed="Yes",AO41,0)+IF(cbi_sta_tax_fed="Yes",AO42,0)+IF(cbi_uti_tax_fed="Yes",AO43,0)+IF(pbi_combined_tax_fed="Yes",AP64,0) + IF(batt_ibi_sta_percent_tax_fed="Yes",AO55,0)+IF(batt_ibi_uti_percent_tax_fed="Yes",AO56,0)+IF(batt_cbi_fed_tax_fed="Yes",AO59,0)+IF(batt_cbi_sta_tax_fed="Yes",AO60,0)+IF(batt_cbi_uti_tax_fed="Yes",AO61,0)+IF(wind_ibi_sta_percent_tax_fed="Yes",AO46,0)+IF(wind_ibi_uti_percent_tax_fed="Yes",AO47,0)+IF(wind_cbi_fed_tax_fed="Yes",AO50,0)+IF(wind_cbi_sta_tax_fed="Yes",AO51,0)+IF(wind_cbi_uti_tax_fed="Yes",AO52,0)+IF(wind_pbi_combined_tax_fed="Yes",AP65,0),"")</f>
        <v/>
      </c>
      <c r="AQ69" s="167" t="str">
        <f>IF(ISNUMBER(outYear),IF(ibi_sta_percent_tax_fed="Yes",AP37,0)+IF(ibi_uti_percent_tax_fed="Yes",AP38,0)+IF(cbi_fed_tax_fed="Yes",AP41,0)+IF(cbi_sta_tax_fed="Yes",AP42,0)+IF(cbi_uti_tax_fed="Yes",AP43,0)+IF(pbi_combined_tax_fed="Yes",AQ64,0) + IF(batt_ibi_sta_percent_tax_fed="Yes",AP55,0)+IF(batt_ibi_uti_percent_tax_fed="Yes",AP56,0)+IF(batt_cbi_fed_tax_fed="Yes",AP59,0)+IF(batt_cbi_sta_tax_fed="Yes",AP60,0)+IF(batt_cbi_uti_tax_fed="Yes",AP61,0)+IF(wind_ibi_sta_percent_tax_fed="Yes",AP46,0)+IF(wind_ibi_uti_percent_tax_fed="Yes",AP47,0)+IF(wind_cbi_fed_tax_fed="Yes",AP50,0)+IF(wind_cbi_sta_tax_fed="Yes",AP51,0)+IF(wind_cbi_uti_tax_fed="Yes",AP52,0)+IF(wind_pbi_combined_tax_fed="Yes",AQ65,0),"")</f>
        <v/>
      </c>
      <c r="AR69" s="167" t="str">
        <f>IF(ISNUMBER(outYear),IF(ibi_sta_percent_tax_fed="Yes",AQ37,0)+IF(ibi_uti_percent_tax_fed="Yes",AQ38,0)+IF(cbi_fed_tax_fed="Yes",AQ41,0)+IF(cbi_sta_tax_fed="Yes",AQ42,0)+IF(cbi_uti_tax_fed="Yes",AQ43,0)+IF(pbi_combined_tax_fed="Yes",AR64,0) + IF(batt_ibi_sta_percent_tax_fed="Yes",AQ55,0)+IF(batt_ibi_uti_percent_tax_fed="Yes",AQ56,0)+IF(batt_cbi_fed_tax_fed="Yes",AQ59,0)+IF(batt_cbi_sta_tax_fed="Yes",AQ60,0)+IF(batt_cbi_uti_tax_fed="Yes",AQ61,0)+IF(wind_ibi_sta_percent_tax_fed="Yes",AQ46,0)+IF(wind_ibi_uti_percent_tax_fed="Yes",AQ47,0)+IF(wind_cbi_fed_tax_fed="Yes",AQ50,0)+IF(wind_cbi_sta_tax_fed="Yes",AQ51,0)+IF(wind_cbi_uti_tax_fed="Yes",AQ52,0)+IF(wind_pbi_combined_tax_fed="Yes",AR65,0),"")</f>
        <v/>
      </c>
      <c r="AS69" s="167" t="str">
        <f>IF(ISNUMBER(outYear),IF(ibi_sta_percent_tax_fed="Yes",AR37,0)+IF(ibi_uti_percent_tax_fed="Yes",AR38,0)+IF(cbi_fed_tax_fed="Yes",AR41,0)+IF(cbi_sta_tax_fed="Yes",AR42,0)+IF(cbi_uti_tax_fed="Yes",AR43,0)+IF(pbi_combined_tax_fed="Yes",AS64,0) + IF(batt_ibi_sta_percent_tax_fed="Yes",AR55,0)+IF(batt_ibi_uti_percent_tax_fed="Yes",AR56,0)+IF(batt_cbi_fed_tax_fed="Yes",AR59,0)+IF(batt_cbi_sta_tax_fed="Yes",AR60,0)+IF(batt_cbi_uti_tax_fed="Yes",AR61,0)+IF(wind_ibi_sta_percent_tax_fed="Yes",AR46,0)+IF(wind_ibi_uti_percent_tax_fed="Yes",AR47,0)+IF(wind_cbi_fed_tax_fed="Yes",AR50,0)+IF(wind_cbi_sta_tax_fed="Yes",AR51,0)+IF(wind_cbi_uti_tax_fed="Yes",AR52,0)+IF(wind_pbi_combined_tax_fed="Yes",AS65,0),"")</f>
        <v/>
      </c>
      <c r="AT69" s="167" t="str">
        <f>IF(ISNUMBER(outYear),IF(ibi_sta_percent_tax_fed="Yes",AS37,0)+IF(ibi_uti_percent_tax_fed="Yes",AS38,0)+IF(cbi_fed_tax_fed="Yes",AS41,0)+IF(cbi_sta_tax_fed="Yes",AS42,0)+IF(cbi_uti_tax_fed="Yes",AS43,0)+IF(pbi_combined_tax_fed="Yes",AT64,0) + IF(batt_ibi_sta_percent_tax_fed="Yes",AS55,0)+IF(batt_ibi_uti_percent_tax_fed="Yes",AS56,0)+IF(batt_cbi_fed_tax_fed="Yes",AS59,0)+IF(batt_cbi_sta_tax_fed="Yes",AS60,0)+IF(batt_cbi_uti_tax_fed="Yes",AS61,0)+IF(wind_ibi_sta_percent_tax_fed="Yes",AS46,0)+IF(wind_ibi_uti_percent_tax_fed="Yes",AS47,0)+IF(wind_cbi_fed_tax_fed="Yes",AS50,0)+IF(wind_cbi_sta_tax_fed="Yes",AS51,0)+IF(wind_cbi_uti_tax_fed="Yes",AS52,0)+IF(wind_pbi_combined_tax_fed="Yes",AT65,0),"")</f>
        <v/>
      </c>
      <c r="AU69" s="167" t="str">
        <f>IF(ISNUMBER(outYear),IF(ibi_sta_percent_tax_fed="Yes",AT37,0)+IF(ibi_uti_percent_tax_fed="Yes",AT38,0)+IF(cbi_fed_tax_fed="Yes",AT41,0)+IF(cbi_sta_tax_fed="Yes",AT42,0)+IF(cbi_uti_tax_fed="Yes",AT43,0)+IF(pbi_combined_tax_fed="Yes",AU64,0) + IF(batt_ibi_sta_percent_tax_fed="Yes",AT55,0)+IF(batt_ibi_uti_percent_tax_fed="Yes",AT56,0)+IF(batt_cbi_fed_tax_fed="Yes",AT59,0)+IF(batt_cbi_sta_tax_fed="Yes",AT60,0)+IF(batt_cbi_uti_tax_fed="Yes",AT61,0)+IF(wind_ibi_sta_percent_tax_fed="Yes",AT46,0)+IF(wind_ibi_uti_percent_tax_fed="Yes",AT47,0)+IF(wind_cbi_fed_tax_fed="Yes",AT50,0)+IF(wind_cbi_sta_tax_fed="Yes",AT51,0)+IF(wind_cbi_uti_tax_fed="Yes",AT52,0)+IF(wind_pbi_combined_tax_fed="Yes",AU65,0),"")</f>
        <v/>
      </c>
      <c r="AV69" s="167" t="str">
        <f>IF(ISNUMBER(outYear),IF(ibi_sta_percent_tax_fed="Yes",AU37,0)+IF(ibi_uti_percent_tax_fed="Yes",AU38,0)+IF(cbi_fed_tax_fed="Yes",AU41,0)+IF(cbi_sta_tax_fed="Yes",AU42,0)+IF(cbi_uti_tax_fed="Yes",AU43,0)+IF(pbi_combined_tax_fed="Yes",AV64,0) + IF(batt_ibi_sta_percent_tax_fed="Yes",AU55,0)+IF(batt_ibi_uti_percent_tax_fed="Yes",AU56,0)+IF(batt_cbi_fed_tax_fed="Yes",AU59,0)+IF(batt_cbi_sta_tax_fed="Yes",AU60,0)+IF(batt_cbi_uti_tax_fed="Yes",AU61,0)+IF(wind_ibi_sta_percent_tax_fed="Yes",AU46,0)+IF(wind_ibi_uti_percent_tax_fed="Yes",AU47,0)+IF(wind_cbi_fed_tax_fed="Yes",AU50,0)+IF(wind_cbi_sta_tax_fed="Yes",AU51,0)+IF(wind_cbi_uti_tax_fed="Yes",AU52,0)+IF(wind_pbi_combined_tax_fed="Yes",AV65,0),"")</f>
        <v/>
      </c>
      <c r="AW69" s="167" t="str">
        <f>IF(ISNUMBER(outYear),IF(ibi_sta_percent_tax_fed="Yes",AV37,0)+IF(ibi_uti_percent_tax_fed="Yes",AV38,0)+IF(cbi_fed_tax_fed="Yes",AV41,0)+IF(cbi_sta_tax_fed="Yes",AV42,0)+IF(cbi_uti_tax_fed="Yes",AV43,0)+IF(pbi_combined_tax_fed="Yes",AW64,0) + IF(batt_ibi_sta_percent_tax_fed="Yes",AV55,0)+IF(batt_ibi_uti_percent_tax_fed="Yes",AV56,0)+IF(batt_cbi_fed_tax_fed="Yes",AV59,0)+IF(batt_cbi_sta_tax_fed="Yes",AV60,0)+IF(batt_cbi_uti_tax_fed="Yes",AV61,0)+IF(wind_ibi_sta_percent_tax_fed="Yes",AV46,0)+IF(wind_ibi_uti_percent_tax_fed="Yes",AV47,0)+IF(wind_cbi_fed_tax_fed="Yes",AV50,0)+IF(wind_cbi_sta_tax_fed="Yes",AV51,0)+IF(wind_cbi_uti_tax_fed="Yes",AV52,0)+IF(wind_pbi_combined_tax_fed="Yes",AW65,0),"")</f>
        <v/>
      </c>
      <c r="AX69" s="167" t="str">
        <f>IF(ISNUMBER(outYear),IF(ibi_sta_percent_tax_fed="Yes",AW37,0)+IF(ibi_uti_percent_tax_fed="Yes",AW38,0)+IF(cbi_fed_tax_fed="Yes",AW41,0)+IF(cbi_sta_tax_fed="Yes",AW42,0)+IF(cbi_uti_tax_fed="Yes",AW43,0)+IF(pbi_combined_tax_fed="Yes",AX64,0) + IF(batt_ibi_sta_percent_tax_fed="Yes",AW55,0)+IF(batt_ibi_uti_percent_tax_fed="Yes",AW56,0)+IF(batt_cbi_fed_tax_fed="Yes",AW59,0)+IF(batt_cbi_sta_tax_fed="Yes",AW60,0)+IF(batt_cbi_uti_tax_fed="Yes",AW61,0)+IF(wind_ibi_sta_percent_tax_fed="Yes",AW46,0)+IF(wind_ibi_uti_percent_tax_fed="Yes",AW47,0)+IF(wind_cbi_fed_tax_fed="Yes",AW50,0)+IF(wind_cbi_sta_tax_fed="Yes",AW51,0)+IF(wind_cbi_uti_tax_fed="Yes",AW52,0)+IF(wind_pbi_combined_tax_fed="Yes",AX65,0),"")</f>
        <v/>
      </c>
      <c r="AY69" s="167" t="str">
        <f>IF(ISNUMBER(outYear),IF(ibi_sta_percent_tax_fed="Yes",AX37,0)+IF(ibi_uti_percent_tax_fed="Yes",AX38,0)+IF(cbi_fed_tax_fed="Yes",AX41,0)+IF(cbi_sta_tax_fed="Yes",AX42,0)+IF(cbi_uti_tax_fed="Yes",AX43,0)+IF(pbi_combined_tax_fed="Yes",AY64,0) + IF(batt_ibi_sta_percent_tax_fed="Yes",AX55,0)+IF(batt_ibi_uti_percent_tax_fed="Yes",AX56,0)+IF(batt_cbi_fed_tax_fed="Yes",AX59,0)+IF(batt_cbi_sta_tax_fed="Yes",AX60,0)+IF(batt_cbi_uti_tax_fed="Yes",AX61,0)+IF(wind_ibi_sta_percent_tax_fed="Yes",AX46,0)+IF(wind_ibi_uti_percent_tax_fed="Yes",AX47,0)+IF(wind_cbi_fed_tax_fed="Yes",AX50,0)+IF(wind_cbi_sta_tax_fed="Yes",AX51,0)+IF(wind_cbi_uti_tax_fed="Yes",AX52,0)+IF(wind_pbi_combined_tax_fed="Yes",AY65,0),"")</f>
        <v/>
      </c>
      <c r="AZ69" s="167" t="str">
        <f>IF(ISNUMBER(outYear),IF(ibi_sta_percent_tax_fed="Yes",AY37,0)+IF(ibi_uti_percent_tax_fed="Yes",AY38,0)+IF(cbi_fed_tax_fed="Yes",AY41,0)+IF(cbi_sta_tax_fed="Yes",AY42,0)+IF(cbi_uti_tax_fed="Yes",AY43,0)+IF(pbi_combined_tax_fed="Yes",AZ64,0) + IF(batt_ibi_sta_percent_tax_fed="Yes",AY55,0)+IF(batt_ibi_uti_percent_tax_fed="Yes",AY56,0)+IF(batt_cbi_fed_tax_fed="Yes",AY59,0)+IF(batt_cbi_sta_tax_fed="Yes",AY60,0)+IF(batt_cbi_uti_tax_fed="Yes",AY61,0)+IF(wind_ibi_sta_percent_tax_fed="Yes",AY46,0)+IF(wind_ibi_uti_percent_tax_fed="Yes",AY47,0)+IF(wind_cbi_fed_tax_fed="Yes",AY50,0)+IF(wind_cbi_sta_tax_fed="Yes",AY51,0)+IF(wind_cbi_uti_tax_fed="Yes",AY52,0)+IF(wind_pbi_combined_tax_fed="Yes",AZ65,0),"")</f>
        <v/>
      </c>
      <c r="BA69" s="167" t="str">
        <f>IF(ISNUMBER(outYear),IF(ibi_sta_percent_tax_fed="Yes",AZ37,0)+IF(ibi_uti_percent_tax_fed="Yes",AZ38,0)+IF(cbi_fed_tax_fed="Yes",AZ41,0)+IF(cbi_sta_tax_fed="Yes",AZ42,0)+IF(cbi_uti_tax_fed="Yes",AZ43,0)+IF(pbi_combined_tax_fed="Yes",BA64,0) + IF(batt_ibi_sta_percent_tax_fed="Yes",AZ55,0)+IF(batt_ibi_uti_percent_tax_fed="Yes",AZ56,0)+IF(batt_cbi_fed_tax_fed="Yes",AZ59,0)+IF(batt_cbi_sta_tax_fed="Yes",AZ60,0)+IF(batt_cbi_uti_tax_fed="Yes",AZ61,0)+IF(wind_ibi_sta_percent_tax_fed="Yes",AZ46,0)+IF(wind_ibi_uti_percent_tax_fed="Yes",AZ47,0)+IF(wind_cbi_fed_tax_fed="Yes",AZ50,0)+IF(wind_cbi_sta_tax_fed="Yes",AZ51,0)+IF(wind_cbi_uti_tax_fed="Yes",AZ52,0)+IF(wind_pbi_combined_tax_fed="Yes",BA65,0),"")</f>
        <v/>
      </c>
      <c r="BB69" s="167" t="str">
        <f>IF(ISNUMBER(outYear),IF(ibi_sta_percent_tax_fed="Yes",BA37,0)+IF(ibi_uti_percent_tax_fed="Yes",BA38,0)+IF(cbi_fed_tax_fed="Yes",BA41,0)+IF(cbi_sta_tax_fed="Yes",BA42,0)+IF(cbi_uti_tax_fed="Yes",BA43,0)+IF(pbi_combined_tax_fed="Yes",BB64,0) + IF(batt_ibi_sta_percent_tax_fed="Yes",BA55,0)+IF(batt_ibi_uti_percent_tax_fed="Yes",BA56,0)+IF(batt_cbi_fed_tax_fed="Yes",BA59,0)+IF(batt_cbi_sta_tax_fed="Yes",BA60,0)+IF(batt_cbi_uti_tax_fed="Yes",BA61,0)+IF(wind_ibi_sta_percent_tax_fed="Yes",BA46,0)+IF(wind_ibi_uti_percent_tax_fed="Yes",BA47,0)+IF(wind_cbi_fed_tax_fed="Yes",BA50,0)+IF(wind_cbi_sta_tax_fed="Yes",BA51,0)+IF(wind_cbi_uti_tax_fed="Yes",BA52,0)+IF(wind_pbi_combined_tax_fed="Yes",BB65,0),"")</f>
        <v/>
      </c>
      <c r="BC69" s="167" t="str">
        <f>IF(ISNUMBER(outYear),IF(ibi_sta_percent_tax_fed="Yes",BB37,0)+IF(ibi_uti_percent_tax_fed="Yes",BB38,0)+IF(cbi_fed_tax_fed="Yes",BB41,0)+IF(cbi_sta_tax_fed="Yes",BB42,0)+IF(cbi_uti_tax_fed="Yes",BB43,0)+IF(pbi_combined_tax_fed="Yes",BC64,0) + IF(batt_ibi_sta_percent_tax_fed="Yes",BB55,0)+IF(batt_ibi_uti_percent_tax_fed="Yes",BB56,0)+IF(batt_cbi_fed_tax_fed="Yes",BB59,0)+IF(batt_cbi_sta_tax_fed="Yes",BB60,0)+IF(batt_cbi_uti_tax_fed="Yes",BB61,0)+IF(wind_ibi_sta_percent_tax_fed="Yes",BB46,0)+IF(wind_ibi_uti_percent_tax_fed="Yes",BB47,0)+IF(wind_cbi_fed_tax_fed="Yes",BB50,0)+IF(wind_cbi_sta_tax_fed="Yes",BB51,0)+IF(wind_cbi_uti_tax_fed="Yes",BB52,0)+IF(wind_pbi_combined_tax_fed="Yes",BC65,0),"")</f>
        <v/>
      </c>
      <c r="BD69" s="167" t="str">
        <f>IF(ISNUMBER(outYear),IF(ibi_sta_percent_tax_fed="Yes",BC37,0)+IF(ibi_uti_percent_tax_fed="Yes",BC38,0)+IF(cbi_fed_tax_fed="Yes",BC41,0)+IF(cbi_sta_tax_fed="Yes",BC42,0)+IF(cbi_uti_tax_fed="Yes",BC43,0)+IF(pbi_combined_tax_fed="Yes",BD64,0) + IF(batt_ibi_sta_percent_tax_fed="Yes",BC55,0)+IF(batt_ibi_uti_percent_tax_fed="Yes",BC56,0)+IF(batt_cbi_fed_tax_fed="Yes",BC59,0)+IF(batt_cbi_sta_tax_fed="Yes",BC60,0)+IF(batt_cbi_uti_tax_fed="Yes",BC61,0)+IF(wind_ibi_sta_percent_tax_fed="Yes",BC46,0)+IF(wind_ibi_uti_percent_tax_fed="Yes",BC47,0)+IF(wind_cbi_fed_tax_fed="Yes",BC50,0)+IF(wind_cbi_sta_tax_fed="Yes",BC51,0)+IF(wind_cbi_uti_tax_fed="Yes",BC52,0)+IF(wind_pbi_combined_tax_fed="Yes",BD65,0),"")</f>
        <v/>
      </c>
      <c r="BE69" s="167" t="str">
        <f>IF(ISNUMBER(outYear),IF(ibi_sta_percent_tax_fed="Yes",BD37,0)+IF(ibi_uti_percent_tax_fed="Yes",BD38,0)+IF(cbi_fed_tax_fed="Yes",BD41,0)+IF(cbi_sta_tax_fed="Yes",BD42,0)+IF(cbi_uti_tax_fed="Yes",BD43,0)+IF(pbi_combined_tax_fed="Yes",BE64,0) + IF(batt_ibi_sta_percent_tax_fed="Yes",BD55,0)+IF(batt_ibi_uti_percent_tax_fed="Yes",BD56,0)+IF(batt_cbi_fed_tax_fed="Yes",BD59,0)+IF(batt_cbi_sta_tax_fed="Yes",BD60,0)+IF(batt_cbi_uti_tax_fed="Yes",BD61,0)+IF(wind_ibi_sta_percent_tax_fed="Yes",BD46,0)+IF(wind_ibi_uti_percent_tax_fed="Yes",BD47,0)+IF(wind_cbi_fed_tax_fed="Yes",BD50,0)+IF(wind_cbi_sta_tax_fed="Yes",BD51,0)+IF(wind_cbi_uti_tax_fed="Yes",BD52,0)+IF(wind_pbi_combined_tax_fed="Yes",BE65,0),"")</f>
        <v/>
      </c>
      <c r="BF69" s="167" t="str">
        <f>IF(ISNUMBER(outYear),IF(ibi_sta_percent_tax_fed="Yes",BE37,0)+IF(ibi_uti_percent_tax_fed="Yes",BE38,0)+IF(cbi_fed_tax_fed="Yes",BE41,0)+IF(cbi_sta_tax_fed="Yes",BE42,0)+IF(cbi_uti_tax_fed="Yes",BE43,0)+IF(pbi_combined_tax_fed="Yes",BF64,0) + IF(batt_ibi_sta_percent_tax_fed="Yes",BE55,0)+IF(batt_ibi_uti_percent_tax_fed="Yes",BE56,0)+IF(batt_cbi_fed_tax_fed="Yes",BE59,0)+IF(batt_cbi_sta_tax_fed="Yes",BE60,0)+IF(batt_cbi_uti_tax_fed="Yes",BE61,0)+IF(wind_ibi_sta_percent_tax_fed="Yes",BE46,0)+IF(wind_ibi_uti_percent_tax_fed="Yes",BE47,0)+IF(wind_cbi_fed_tax_fed="Yes",BE50,0)+IF(wind_cbi_sta_tax_fed="Yes",BE51,0)+IF(wind_cbi_uti_tax_fed="Yes",BE52,0)+IF(wind_pbi_combined_tax_fed="Yes",BF65,0),"")</f>
        <v/>
      </c>
      <c r="BG69" s="167" t="str">
        <f>IF(ISNUMBER(outYear),IF(ibi_sta_percent_tax_fed="Yes",BF37,0)+IF(ibi_uti_percent_tax_fed="Yes",BF38,0)+IF(cbi_fed_tax_fed="Yes",BF41,0)+IF(cbi_sta_tax_fed="Yes",BF42,0)+IF(cbi_uti_tax_fed="Yes",BF43,0)+IF(pbi_combined_tax_fed="Yes",BG64,0) + IF(batt_ibi_sta_percent_tax_fed="Yes",BF55,0)+IF(batt_ibi_uti_percent_tax_fed="Yes",BF56,0)+IF(batt_cbi_fed_tax_fed="Yes",BF59,0)+IF(batt_cbi_sta_tax_fed="Yes",BF60,0)+IF(batt_cbi_uti_tax_fed="Yes",BF61,0)+IF(wind_ibi_sta_percent_tax_fed="Yes",BF46,0)+IF(wind_ibi_uti_percent_tax_fed="Yes",BF47,0)+IF(wind_cbi_fed_tax_fed="Yes",BF50,0)+IF(wind_cbi_sta_tax_fed="Yes",BF51,0)+IF(wind_cbi_uti_tax_fed="Yes",BF52,0)+IF(wind_pbi_combined_tax_fed="Yes",BG65,0),"")</f>
        <v/>
      </c>
      <c r="BH69" s="167" t="str">
        <f>IF(ISNUMBER(outYear),IF(ibi_sta_percent_tax_fed="Yes",BG37,0)+IF(ibi_uti_percent_tax_fed="Yes",BG38,0)+IF(cbi_fed_tax_fed="Yes",BG41,0)+IF(cbi_sta_tax_fed="Yes",BG42,0)+IF(cbi_uti_tax_fed="Yes",BG43,0)+IF(pbi_combined_tax_fed="Yes",BH64,0) + IF(batt_ibi_sta_percent_tax_fed="Yes",BG55,0)+IF(batt_ibi_uti_percent_tax_fed="Yes",BG56,0)+IF(batt_cbi_fed_tax_fed="Yes",BG59,0)+IF(batt_cbi_sta_tax_fed="Yes",BG60,0)+IF(batt_cbi_uti_tax_fed="Yes",BG61,0)+IF(wind_ibi_sta_percent_tax_fed="Yes",BG46,0)+IF(wind_ibi_uti_percent_tax_fed="Yes",BG47,0)+IF(wind_cbi_fed_tax_fed="Yes",BG50,0)+IF(wind_cbi_sta_tax_fed="Yes",BG51,0)+IF(wind_cbi_uti_tax_fed="Yes",BG52,0)+IF(wind_pbi_combined_tax_fed="Yes",BH65,0),"")</f>
        <v/>
      </c>
      <c r="BI69" s="167" t="str">
        <f>IF(ISNUMBER(outYear),IF(ibi_sta_percent_tax_fed="Yes",BH37,0)+IF(ibi_uti_percent_tax_fed="Yes",BH38,0)+IF(cbi_fed_tax_fed="Yes",BH41,0)+IF(cbi_sta_tax_fed="Yes",BH42,0)+IF(cbi_uti_tax_fed="Yes",BH43,0)+IF(pbi_combined_tax_fed="Yes",BI64,0) + IF(batt_ibi_sta_percent_tax_fed="Yes",BH55,0)+IF(batt_ibi_uti_percent_tax_fed="Yes",BH56,0)+IF(batt_cbi_fed_tax_fed="Yes",BH59,0)+IF(batt_cbi_sta_tax_fed="Yes",BH60,0)+IF(batt_cbi_uti_tax_fed="Yes",BH61,0)+IF(wind_ibi_sta_percent_tax_fed="Yes",BH46,0)+IF(wind_ibi_uti_percent_tax_fed="Yes",BH47,0)+IF(wind_cbi_fed_tax_fed="Yes",BH50,0)+IF(wind_cbi_sta_tax_fed="Yes",BH51,0)+IF(wind_cbi_uti_tax_fed="Yes",BH52,0)+IF(wind_pbi_combined_tax_fed="Yes",BI65,0),"")</f>
        <v/>
      </c>
      <c r="BJ69" s="167" t="str">
        <f>IF(ISNUMBER(outYear),IF(ibi_sta_percent_tax_fed="Yes",BI37,0)+IF(ibi_uti_percent_tax_fed="Yes",BI38,0)+IF(cbi_fed_tax_fed="Yes",BI41,0)+IF(cbi_sta_tax_fed="Yes",BI42,0)+IF(cbi_uti_tax_fed="Yes",BI43,0)+IF(pbi_combined_tax_fed="Yes",BJ64,0) + IF(batt_ibi_sta_percent_tax_fed="Yes",BI55,0)+IF(batt_ibi_uti_percent_tax_fed="Yes",BI56,0)+IF(batt_cbi_fed_tax_fed="Yes",BI59,0)+IF(batt_cbi_sta_tax_fed="Yes",BI60,0)+IF(batt_cbi_uti_tax_fed="Yes",BI61,0)+IF(wind_ibi_sta_percent_tax_fed="Yes",BI46,0)+IF(wind_ibi_uti_percent_tax_fed="Yes",BI47,0)+IF(wind_cbi_fed_tax_fed="Yes",BI50,0)+IF(wind_cbi_sta_tax_fed="Yes",BI51,0)+IF(wind_cbi_uti_tax_fed="Yes",BI52,0)+IF(wind_pbi_combined_tax_fed="Yes",BJ65,0),"")</f>
        <v/>
      </c>
      <c r="BK69" s="167" t="str">
        <f>IF(ISNUMBER(outYear),IF(ibi_sta_percent_tax_fed="Yes",BJ37,0)+IF(ibi_uti_percent_tax_fed="Yes",BJ38,0)+IF(cbi_fed_tax_fed="Yes",BJ41,0)+IF(cbi_sta_tax_fed="Yes",BJ42,0)+IF(cbi_uti_tax_fed="Yes",BJ43,0)+IF(pbi_combined_tax_fed="Yes",BK64,0) + IF(batt_ibi_sta_percent_tax_fed="Yes",BJ55,0)+IF(batt_ibi_uti_percent_tax_fed="Yes",BJ56,0)+IF(batt_cbi_fed_tax_fed="Yes",BJ59,0)+IF(batt_cbi_sta_tax_fed="Yes",BJ60,0)+IF(batt_cbi_uti_tax_fed="Yes",BJ61,0)+IF(wind_ibi_sta_percent_tax_fed="Yes",BJ46,0)+IF(wind_ibi_uti_percent_tax_fed="Yes",BJ47,0)+IF(wind_cbi_fed_tax_fed="Yes",BJ50,0)+IF(wind_cbi_sta_tax_fed="Yes",BJ51,0)+IF(wind_cbi_uti_tax_fed="Yes",BJ52,0)+IF(wind_pbi_combined_tax_fed="Yes",BK65,0),"")</f>
        <v/>
      </c>
      <c r="BL69" s="167" t="str">
        <f>IF(ISNUMBER(outYear),IF(ibi_sta_percent_tax_fed="Yes",BK37,0)+IF(ibi_uti_percent_tax_fed="Yes",BK38,0)+IF(cbi_fed_tax_fed="Yes",BK41,0)+IF(cbi_sta_tax_fed="Yes",BK42,0)+IF(cbi_uti_tax_fed="Yes",BK43,0)+IF(pbi_combined_tax_fed="Yes",BL64,0) + IF(batt_ibi_sta_percent_tax_fed="Yes",BK55,0)+IF(batt_ibi_uti_percent_tax_fed="Yes",BK56,0)+IF(batt_cbi_fed_tax_fed="Yes",BK59,0)+IF(batt_cbi_sta_tax_fed="Yes",BK60,0)+IF(batt_cbi_uti_tax_fed="Yes",BK61,0)+IF(wind_ibi_sta_percent_tax_fed="Yes",BK46,0)+IF(wind_ibi_uti_percent_tax_fed="Yes",BK47,0)+IF(wind_cbi_fed_tax_fed="Yes",BK50,0)+IF(wind_cbi_sta_tax_fed="Yes",BK51,0)+IF(wind_cbi_uti_tax_fed="Yes",BK52,0)+IF(wind_pbi_combined_tax_fed="Yes",BL65,0),"")</f>
        <v/>
      </c>
      <c r="BM69" s="167" t="str">
        <f>IF(ISNUMBER(outYear),IF(ibi_sta_percent_tax_fed="Yes",BL37,0)+IF(ibi_uti_percent_tax_fed="Yes",BL38,0)+IF(cbi_fed_tax_fed="Yes",BL41,0)+IF(cbi_sta_tax_fed="Yes",BL42,0)+IF(cbi_uti_tax_fed="Yes",BL43,0)+IF(pbi_combined_tax_fed="Yes",BM64,0) + IF(batt_ibi_sta_percent_tax_fed="Yes",BL55,0)+IF(batt_ibi_uti_percent_tax_fed="Yes",BL56,0)+IF(batt_cbi_fed_tax_fed="Yes",BL59,0)+IF(batt_cbi_sta_tax_fed="Yes",BL60,0)+IF(batt_cbi_uti_tax_fed="Yes",BL61,0)+IF(wind_ibi_sta_percent_tax_fed="Yes",BL46,0)+IF(wind_ibi_uti_percent_tax_fed="Yes",BL47,0)+IF(wind_cbi_fed_tax_fed="Yes",BL50,0)+IF(wind_cbi_sta_tax_fed="Yes",BL51,0)+IF(wind_cbi_uti_tax_fed="Yes",BL52,0)+IF(wind_pbi_combined_tax_fed="Yes",BM65,0),"")</f>
        <v/>
      </c>
      <c r="BN69" s="167" t="str">
        <f>IF(ISNUMBER(outYear),IF(ibi_sta_percent_tax_fed="Yes",BM37,0)+IF(ibi_uti_percent_tax_fed="Yes",BM38,0)+IF(cbi_fed_tax_fed="Yes",BM41,0)+IF(cbi_sta_tax_fed="Yes",BM42,0)+IF(cbi_uti_tax_fed="Yes",BM43,0)+IF(pbi_combined_tax_fed="Yes",BN64,0) + IF(batt_ibi_sta_percent_tax_fed="Yes",BM55,0)+IF(batt_ibi_uti_percent_tax_fed="Yes",BM56,0)+IF(batt_cbi_fed_tax_fed="Yes",BM59,0)+IF(batt_cbi_sta_tax_fed="Yes",BM60,0)+IF(batt_cbi_uti_tax_fed="Yes",BM61,0)+IF(wind_ibi_sta_percent_tax_fed="Yes",BM46,0)+IF(wind_ibi_uti_percent_tax_fed="Yes",BM47,0)+IF(wind_cbi_fed_tax_fed="Yes",BM50,0)+IF(wind_cbi_sta_tax_fed="Yes",BM51,0)+IF(wind_cbi_uti_tax_fed="Yes",BM52,0)+IF(wind_pbi_combined_tax_fed="Yes",BN65,0),"")</f>
        <v/>
      </c>
      <c r="BO69" s="167" t="str">
        <f>IF(ISNUMBER(outYear),IF(ibi_sta_percent_tax_fed="Yes",BN37,0)+IF(ibi_uti_percent_tax_fed="Yes",BN38,0)+IF(cbi_fed_tax_fed="Yes",BN41,0)+IF(cbi_sta_tax_fed="Yes",BN42,0)+IF(cbi_uti_tax_fed="Yes",BN43,0)+IF(pbi_combined_tax_fed="Yes",BO64,0) + IF(batt_ibi_sta_percent_tax_fed="Yes",BN55,0)+IF(batt_ibi_uti_percent_tax_fed="Yes",BN56,0)+IF(batt_cbi_fed_tax_fed="Yes",BN59,0)+IF(batt_cbi_sta_tax_fed="Yes",BN60,0)+IF(batt_cbi_uti_tax_fed="Yes",BN61,0)+IF(wind_ibi_sta_percent_tax_fed="Yes",BN46,0)+IF(wind_ibi_uti_percent_tax_fed="Yes",BN47,0)+IF(wind_cbi_fed_tax_fed="Yes",BN50,0)+IF(wind_cbi_sta_tax_fed="Yes",BN51,0)+IF(wind_cbi_uti_tax_fed="Yes",BN52,0)+IF(wind_pbi_combined_tax_fed="Yes",BO65,0),"")</f>
        <v/>
      </c>
      <c r="BP69" s="167" t="str">
        <f>IF(ISNUMBER(outYear),IF(ibi_sta_percent_tax_fed="Yes",BO37,0)+IF(ibi_uti_percent_tax_fed="Yes",BO38,0)+IF(cbi_fed_tax_fed="Yes",BO41,0)+IF(cbi_sta_tax_fed="Yes",BO42,0)+IF(cbi_uti_tax_fed="Yes",BO43,0)+IF(pbi_combined_tax_fed="Yes",BP64,0) + IF(batt_ibi_sta_percent_tax_fed="Yes",BO55,0)+IF(batt_ibi_uti_percent_tax_fed="Yes",BO56,0)+IF(batt_cbi_fed_tax_fed="Yes",BO59,0)+IF(batt_cbi_sta_tax_fed="Yes",BO60,0)+IF(batt_cbi_uti_tax_fed="Yes",BO61,0)+IF(wind_ibi_sta_percent_tax_fed="Yes",BO46,0)+IF(wind_ibi_uti_percent_tax_fed="Yes",BO47,0)+IF(wind_cbi_fed_tax_fed="Yes",BO50,0)+IF(wind_cbi_sta_tax_fed="Yes",BO51,0)+IF(wind_cbi_uti_tax_fed="Yes",BO52,0)+IF(wind_pbi_combined_tax_fed="Yes",BP65,0),"")</f>
        <v/>
      </c>
      <c r="BQ69" s="167" t="str">
        <f>IF(ISNUMBER(outYear),IF(ibi_sta_percent_tax_fed="Yes",BP37,0)+IF(ibi_uti_percent_tax_fed="Yes",BP38,0)+IF(cbi_fed_tax_fed="Yes",BP41,0)+IF(cbi_sta_tax_fed="Yes",BP42,0)+IF(cbi_uti_tax_fed="Yes",BP43,0)+IF(pbi_combined_tax_fed="Yes",BQ64,0) + IF(batt_ibi_sta_percent_tax_fed="Yes",BP55,0)+IF(batt_ibi_uti_percent_tax_fed="Yes",BP56,0)+IF(batt_cbi_fed_tax_fed="Yes",BP59,0)+IF(batt_cbi_sta_tax_fed="Yes",BP60,0)+IF(batt_cbi_uti_tax_fed="Yes",BP61,0)+IF(wind_ibi_sta_percent_tax_fed="Yes",BP46,0)+IF(wind_ibi_uti_percent_tax_fed="Yes",BP47,0)+IF(wind_cbi_fed_tax_fed="Yes",BP50,0)+IF(wind_cbi_sta_tax_fed="Yes",BP51,0)+IF(wind_cbi_uti_tax_fed="Yes",BP52,0)+IF(wind_pbi_combined_tax_fed="Yes",BQ65,0),"")</f>
        <v/>
      </c>
      <c r="BR69" s="167" t="str">
        <f>IF(ISNUMBER(outYear),IF(ibi_sta_percent_tax_fed="Yes",BQ37,0)+IF(ibi_uti_percent_tax_fed="Yes",BQ38,0)+IF(cbi_fed_tax_fed="Yes",BQ41,0)+IF(cbi_sta_tax_fed="Yes",BQ42,0)+IF(cbi_uti_tax_fed="Yes",BQ43,0)+IF(pbi_combined_tax_fed="Yes",BR64,0) + IF(batt_ibi_sta_percent_tax_fed="Yes",BQ55,0)+IF(batt_ibi_uti_percent_tax_fed="Yes",BQ56,0)+IF(batt_cbi_fed_tax_fed="Yes",BQ59,0)+IF(batt_cbi_sta_tax_fed="Yes",BQ60,0)+IF(batt_cbi_uti_tax_fed="Yes",BQ61,0)+IF(wind_ibi_sta_percent_tax_fed="Yes",BQ46,0)+IF(wind_ibi_uti_percent_tax_fed="Yes",BQ47,0)+IF(wind_cbi_fed_tax_fed="Yes",BQ50,0)+IF(wind_cbi_sta_tax_fed="Yes",BQ51,0)+IF(wind_cbi_uti_tax_fed="Yes",BQ52,0)+IF(wind_pbi_combined_tax_fed="Yes",BR65,0),"")</f>
        <v/>
      </c>
      <c r="BS69" s="167" t="str">
        <f>IF(ISNUMBER(outYear),IF(ibi_sta_percent_tax_fed="Yes",BR37,0)+IF(ibi_uti_percent_tax_fed="Yes",BR38,0)+IF(cbi_fed_tax_fed="Yes",BR41,0)+IF(cbi_sta_tax_fed="Yes",BR42,0)+IF(cbi_uti_tax_fed="Yes",BR43,0)+IF(pbi_combined_tax_fed="Yes",BS64,0) + IF(batt_ibi_sta_percent_tax_fed="Yes",BR55,0)+IF(batt_ibi_uti_percent_tax_fed="Yes",BR56,0)+IF(batt_cbi_fed_tax_fed="Yes",BR59,0)+IF(batt_cbi_sta_tax_fed="Yes",BR60,0)+IF(batt_cbi_uti_tax_fed="Yes",BR61,0)+IF(wind_ibi_sta_percent_tax_fed="Yes",BR46,0)+IF(wind_ibi_uti_percent_tax_fed="Yes",BR47,0)+IF(wind_cbi_fed_tax_fed="Yes",BR50,0)+IF(wind_cbi_sta_tax_fed="Yes",BR51,0)+IF(wind_cbi_uti_tax_fed="Yes",BR52,0)+IF(wind_pbi_combined_tax_fed="Yes",BS65,0),"")</f>
        <v/>
      </c>
      <c r="BT69" s="167" t="str">
        <f>IF(ISNUMBER(outYear),IF(ibi_sta_percent_tax_fed="Yes",BS37,0)+IF(ibi_uti_percent_tax_fed="Yes",BS38,0)+IF(cbi_fed_tax_fed="Yes",BS41,0)+IF(cbi_sta_tax_fed="Yes",BS42,0)+IF(cbi_uti_tax_fed="Yes",BS43,0)+IF(pbi_combined_tax_fed="Yes",BT64,0) + IF(batt_ibi_sta_percent_tax_fed="Yes",BS55,0)+IF(batt_ibi_uti_percent_tax_fed="Yes",BS56,0)+IF(batt_cbi_fed_tax_fed="Yes",BS59,0)+IF(batt_cbi_sta_tax_fed="Yes",BS60,0)+IF(batt_cbi_uti_tax_fed="Yes",BS61,0)+IF(wind_ibi_sta_percent_tax_fed="Yes",BS46,0)+IF(wind_ibi_uti_percent_tax_fed="Yes",BS47,0)+IF(wind_cbi_fed_tax_fed="Yes",BS50,0)+IF(wind_cbi_sta_tax_fed="Yes",BS51,0)+IF(wind_cbi_uti_tax_fed="Yes",BS52,0)+IF(wind_pbi_combined_tax_fed="Yes",BT65,0),"")</f>
        <v/>
      </c>
      <c r="BU69" s="167" t="str">
        <f>IF(ISNUMBER(outYear),IF(ibi_sta_percent_tax_fed="Yes",BT37,0)+IF(ibi_uti_percent_tax_fed="Yes",BT38,0)+IF(cbi_fed_tax_fed="Yes",BT41,0)+IF(cbi_sta_tax_fed="Yes",BT42,0)+IF(cbi_uti_tax_fed="Yes",BT43,0)+IF(pbi_combined_tax_fed="Yes",BU64,0) + IF(batt_ibi_sta_percent_tax_fed="Yes",BT55,0)+IF(batt_ibi_uti_percent_tax_fed="Yes",BT56,0)+IF(batt_cbi_fed_tax_fed="Yes",BT59,0)+IF(batt_cbi_sta_tax_fed="Yes",BT60,0)+IF(batt_cbi_uti_tax_fed="Yes",BT61,0)+IF(wind_ibi_sta_percent_tax_fed="Yes",BT46,0)+IF(wind_ibi_uti_percent_tax_fed="Yes",BT47,0)+IF(wind_cbi_fed_tax_fed="Yes",BT50,0)+IF(wind_cbi_sta_tax_fed="Yes",BT51,0)+IF(wind_cbi_uti_tax_fed="Yes",BT52,0)+IF(wind_pbi_combined_tax_fed="Yes",BU65,0),"")</f>
        <v/>
      </c>
      <c r="BV69" s="167" t="str">
        <f>IF(ISNUMBER(outYear),IF(ibi_sta_percent_tax_fed="Yes",BU37,0)+IF(ibi_uti_percent_tax_fed="Yes",BU38,0)+IF(cbi_fed_tax_fed="Yes",BU41,0)+IF(cbi_sta_tax_fed="Yes",BU42,0)+IF(cbi_uti_tax_fed="Yes",BU43,0)+IF(pbi_combined_tax_fed="Yes",BV64,0) + IF(batt_ibi_sta_percent_tax_fed="Yes",BU55,0)+IF(batt_ibi_uti_percent_tax_fed="Yes",BU56,0)+IF(batt_cbi_fed_tax_fed="Yes",BU59,0)+IF(batt_cbi_sta_tax_fed="Yes",BU60,0)+IF(batt_cbi_uti_tax_fed="Yes",BU61,0)+IF(wind_ibi_sta_percent_tax_fed="Yes",BU46,0)+IF(wind_ibi_uti_percent_tax_fed="Yes",BU47,0)+IF(wind_cbi_fed_tax_fed="Yes",BU50,0)+IF(wind_cbi_sta_tax_fed="Yes",BU51,0)+IF(wind_cbi_uti_tax_fed="Yes",BU52,0)+IF(wind_pbi_combined_tax_fed="Yes",BV65,0),"")</f>
        <v/>
      </c>
      <c r="BW69" s="167" t="str">
        <f>IF(ISNUMBER(outYear),IF(ibi_sta_percent_tax_fed="Yes",BV37,0)+IF(ibi_uti_percent_tax_fed="Yes",BV38,0)+IF(cbi_fed_tax_fed="Yes",BV41,0)+IF(cbi_sta_tax_fed="Yes",BV42,0)+IF(cbi_uti_tax_fed="Yes",BV43,0)+IF(pbi_combined_tax_fed="Yes",BW64,0) + IF(batt_ibi_sta_percent_tax_fed="Yes",BV55,0)+IF(batt_ibi_uti_percent_tax_fed="Yes",BV56,0)+IF(batt_cbi_fed_tax_fed="Yes",BV59,0)+IF(batt_cbi_sta_tax_fed="Yes",BV60,0)+IF(batt_cbi_uti_tax_fed="Yes",BV61,0)+IF(wind_ibi_sta_percent_tax_fed="Yes",BV46,0)+IF(wind_ibi_uti_percent_tax_fed="Yes",BV47,0)+IF(wind_cbi_fed_tax_fed="Yes",BV50,0)+IF(wind_cbi_sta_tax_fed="Yes",BV51,0)+IF(wind_cbi_uti_tax_fed="Yes",BV52,0)+IF(wind_pbi_combined_tax_fed="Yes",BW65,0),"")</f>
        <v/>
      </c>
      <c r="BX69" s="167" t="str">
        <f>IF(ISNUMBER(outYear),IF(ibi_sta_percent_tax_fed="Yes",BW37,0)+IF(ibi_uti_percent_tax_fed="Yes",BW38,0)+IF(cbi_fed_tax_fed="Yes",BW41,0)+IF(cbi_sta_tax_fed="Yes",BW42,0)+IF(cbi_uti_tax_fed="Yes",BW43,0)+IF(pbi_combined_tax_fed="Yes",BX64,0) + IF(batt_ibi_sta_percent_tax_fed="Yes",BW55,0)+IF(batt_ibi_uti_percent_tax_fed="Yes",BW56,0)+IF(batt_cbi_fed_tax_fed="Yes",BW59,0)+IF(batt_cbi_sta_tax_fed="Yes",BW60,0)+IF(batt_cbi_uti_tax_fed="Yes",BW61,0)+IF(wind_ibi_sta_percent_tax_fed="Yes",BW46,0)+IF(wind_ibi_uti_percent_tax_fed="Yes",BW47,0)+IF(wind_cbi_fed_tax_fed="Yes",BW50,0)+IF(wind_cbi_sta_tax_fed="Yes",BW51,0)+IF(wind_cbi_uti_tax_fed="Yes",BW52,0)+IF(wind_pbi_combined_tax_fed="Yes",BX65,0),"")</f>
        <v/>
      </c>
      <c r="BY69" s="167" t="str">
        <f>IF(ISNUMBER(outYear),IF(ibi_sta_percent_tax_fed="Yes",BX37,0)+IF(ibi_uti_percent_tax_fed="Yes",BX38,0)+IF(cbi_fed_tax_fed="Yes",BX41,0)+IF(cbi_sta_tax_fed="Yes",BX42,0)+IF(cbi_uti_tax_fed="Yes",BX43,0)+IF(pbi_combined_tax_fed="Yes",BY64,0) + IF(batt_ibi_sta_percent_tax_fed="Yes",BX55,0)+IF(batt_ibi_uti_percent_tax_fed="Yes",BX56,0)+IF(batt_cbi_fed_tax_fed="Yes",BX59,0)+IF(batt_cbi_sta_tax_fed="Yes",BX60,0)+IF(batt_cbi_uti_tax_fed="Yes",BX61,0)+IF(wind_ibi_sta_percent_tax_fed="Yes",BX46,0)+IF(wind_ibi_uti_percent_tax_fed="Yes",BX47,0)+IF(wind_cbi_fed_tax_fed="Yes",BX50,0)+IF(wind_cbi_sta_tax_fed="Yes",BX51,0)+IF(wind_cbi_uti_tax_fed="Yes",BX52,0)+IF(wind_pbi_combined_tax_fed="Yes",BY65,0),"")</f>
        <v/>
      </c>
      <c r="BZ69" s="167" t="str">
        <f>IF(ISNUMBER(outYear),IF(ibi_sta_percent_tax_fed="Yes",BY37,0)+IF(ibi_uti_percent_tax_fed="Yes",BY38,0)+IF(cbi_fed_tax_fed="Yes",BY41,0)+IF(cbi_sta_tax_fed="Yes",BY42,0)+IF(cbi_uti_tax_fed="Yes",BY43,0)+IF(pbi_combined_tax_fed="Yes",BZ64,0) + IF(batt_ibi_sta_percent_tax_fed="Yes",BY55,0)+IF(batt_ibi_uti_percent_tax_fed="Yes",BY56,0)+IF(batt_cbi_fed_tax_fed="Yes",BY59,0)+IF(batt_cbi_sta_tax_fed="Yes",BY60,0)+IF(batt_cbi_uti_tax_fed="Yes",BY61,0)+IF(wind_ibi_sta_percent_tax_fed="Yes",BY46,0)+IF(wind_ibi_uti_percent_tax_fed="Yes",BY47,0)+IF(wind_cbi_fed_tax_fed="Yes",BY50,0)+IF(wind_cbi_sta_tax_fed="Yes",BY51,0)+IF(wind_cbi_uti_tax_fed="Yes",BY52,0)+IF(wind_pbi_combined_tax_fed="Yes",BZ65,0),"")</f>
        <v/>
      </c>
      <c r="CA69" s="167" t="str">
        <f>IF(ISNUMBER(outYear),IF(ibi_sta_percent_tax_fed="Yes",BZ37,0)+IF(ibi_uti_percent_tax_fed="Yes",BZ38,0)+IF(cbi_fed_tax_fed="Yes",BZ41,0)+IF(cbi_sta_tax_fed="Yes",BZ42,0)+IF(cbi_uti_tax_fed="Yes",BZ43,0)+IF(pbi_combined_tax_fed="Yes",CA64,0) + IF(batt_ibi_sta_percent_tax_fed="Yes",BZ55,0)+IF(batt_ibi_uti_percent_tax_fed="Yes",BZ56,0)+IF(batt_cbi_fed_tax_fed="Yes",BZ59,0)+IF(batt_cbi_sta_tax_fed="Yes",BZ60,0)+IF(batt_cbi_uti_tax_fed="Yes",BZ61,0)+IF(wind_ibi_sta_percent_tax_fed="Yes",BZ46,0)+IF(wind_ibi_uti_percent_tax_fed="Yes",BZ47,0)+IF(wind_cbi_fed_tax_fed="Yes",BZ50,0)+IF(wind_cbi_sta_tax_fed="Yes",BZ51,0)+IF(wind_cbi_uti_tax_fed="Yes",BZ52,0)+IF(wind_pbi_combined_tax_fed="Yes",CA65,0),"")</f>
        <v/>
      </c>
      <c r="CB69" s="167" t="str">
        <f>IF(ISNUMBER(outYear),IF(ibi_sta_percent_tax_fed="Yes",CA37,0)+IF(ibi_uti_percent_tax_fed="Yes",CA38,0)+IF(cbi_fed_tax_fed="Yes",CA41,0)+IF(cbi_sta_tax_fed="Yes",CA42,0)+IF(cbi_uti_tax_fed="Yes",CA43,0)+IF(pbi_combined_tax_fed="Yes",CB64,0) + IF(batt_ibi_sta_percent_tax_fed="Yes",CA55,0)+IF(batt_ibi_uti_percent_tax_fed="Yes",CA56,0)+IF(batt_cbi_fed_tax_fed="Yes",CA59,0)+IF(batt_cbi_sta_tax_fed="Yes",CA60,0)+IF(batt_cbi_uti_tax_fed="Yes",CA61,0)+IF(wind_ibi_sta_percent_tax_fed="Yes",CA46,0)+IF(wind_ibi_uti_percent_tax_fed="Yes",CA47,0)+IF(wind_cbi_fed_tax_fed="Yes",CA50,0)+IF(wind_cbi_sta_tax_fed="Yes",CA51,0)+IF(wind_cbi_uti_tax_fed="Yes",CA52,0)+IF(wind_pbi_combined_tax_fed="Yes",CB65,0),"")</f>
        <v/>
      </c>
      <c r="CC69" s="167" t="str">
        <f>IF(ISNUMBER(outYear),IF(ibi_sta_percent_tax_fed="Yes",CB37,0)+IF(ibi_uti_percent_tax_fed="Yes",CB38,0)+IF(cbi_fed_tax_fed="Yes",CB41,0)+IF(cbi_sta_tax_fed="Yes",CB42,0)+IF(cbi_uti_tax_fed="Yes",CB43,0)+IF(pbi_combined_tax_fed="Yes",CC64,0) + IF(batt_ibi_sta_percent_tax_fed="Yes",CB55,0)+IF(batt_ibi_uti_percent_tax_fed="Yes",CB56,0)+IF(batt_cbi_fed_tax_fed="Yes",CB59,0)+IF(batt_cbi_sta_tax_fed="Yes",CB60,0)+IF(batt_cbi_uti_tax_fed="Yes",CB61,0)+IF(wind_ibi_sta_percent_tax_fed="Yes",CB46,0)+IF(wind_ibi_uti_percent_tax_fed="Yes",CB47,0)+IF(wind_cbi_fed_tax_fed="Yes",CB50,0)+IF(wind_cbi_sta_tax_fed="Yes",CB51,0)+IF(wind_cbi_uti_tax_fed="Yes",CB52,0)+IF(wind_pbi_combined_tax_fed="Yes",CC65,0),"")</f>
        <v/>
      </c>
      <c r="CD69" s="167" t="str">
        <f>IF(ISNUMBER(outYear),IF(ibi_sta_percent_tax_fed="Yes",CC37,0)+IF(ibi_uti_percent_tax_fed="Yes",CC38,0)+IF(cbi_fed_tax_fed="Yes",CC41,0)+IF(cbi_sta_tax_fed="Yes",CC42,0)+IF(cbi_uti_tax_fed="Yes",CC43,0)+IF(pbi_combined_tax_fed="Yes",CD64,0) + IF(batt_ibi_sta_percent_tax_fed="Yes",CC55,0)+IF(batt_ibi_uti_percent_tax_fed="Yes",CC56,0)+IF(batt_cbi_fed_tax_fed="Yes",CC59,0)+IF(batt_cbi_sta_tax_fed="Yes",CC60,0)+IF(batt_cbi_uti_tax_fed="Yes",CC61,0)+IF(wind_ibi_sta_percent_tax_fed="Yes",CC46,0)+IF(wind_ibi_uti_percent_tax_fed="Yes",CC47,0)+IF(wind_cbi_fed_tax_fed="Yes",CC50,0)+IF(wind_cbi_sta_tax_fed="Yes",CC51,0)+IF(wind_cbi_uti_tax_fed="Yes",CC52,0)+IF(wind_pbi_combined_tax_fed="Yes",CD65,0),"")</f>
        <v/>
      </c>
      <c r="CE69" s="167" t="str">
        <f>IF(ISNUMBER(outYear),IF(ibi_sta_percent_tax_fed="Yes",CD37,0)+IF(ibi_uti_percent_tax_fed="Yes",CD38,0)+IF(cbi_fed_tax_fed="Yes",CD41,0)+IF(cbi_sta_tax_fed="Yes",CD42,0)+IF(cbi_uti_tax_fed="Yes",CD43,0)+IF(pbi_combined_tax_fed="Yes",CE64,0) + IF(batt_ibi_sta_percent_tax_fed="Yes",CD55,0)+IF(batt_ibi_uti_percent_tax_fed="Yes",CD56,0)+IF(batt_cbi_fed_tax_fed="Yes",CD59,0)+IF(batt_cbi_sta_tax_fed="Yes",CD60,0)+IF(batt_cbi_uti_tax_fed="Yes",CD61,0)+IF(wind_ibi_sta_percent_tax_fed="Yes",CD46,0)+IF(wind_ibi_uti_percent_tax_fed="Yes",CD47,0)+IF(wind_cbi_fed_tax_fed="Yes",CD50,0)+IF(wind_cbi_sta_tax_fed="Yes",CD51,0)+IF(wind_cbi_uti_tax_fed="Yes",CD52,0)+IF(wind_pbi_combined_tax_fed="Yes",CE65,0),"")</f>
        <v/>
      </c>
      <c r="CF69" s="167" t="str">
        <f>IF(ISNUMBER(outYear),IF(ibi_sta_percent_tax_fed="Yes",CE37,0)+IF(ibi_uti_percent_tax_fed="Yes",CE38,0)+IF(cbi_fed_tax_fed="Yes",CE41,0)+IF(cbi_sta_tax_fed="Yes",CE42,0)+IF(cbi_uti_tax_fed="Yes",CE43,0)+IF(pbi_combined_tax_fed="Yes",CF64,0) + IF(batt_ibi_sta_percent_tax_fed="Yes",CE55,0)+IF(batt_ibi_uti_percent_tax_fed="Yes",CE56,0)+IF(batt_cbi_fed_tax_fed="Yes",CE59,0)+IF(batt_cbi_sta_tax_fed="Yes",CE60,0)+IF(batt_cbi_uti_tax_fed="Yes",CE61,0)+IF(wind_ibi_sta_percent_tax_fed="Yes",CE46,0)+IF(wind_ibi_uti_percent_tax_fed="Yes",CE47,0)+IF(wind_cbi_fed_tax_fed="Yes",CE50,0)+IF(wind_cbi_sta_tax_fed="Yes",CE51,0)+IF(wind_cbi_uti_tax_fed="Yes",CE52,0)+IF(wind_pbi_combined_tax_fed="Yes",CF65,0),"")</f>
        <v/>
      </c>
      <c r="CG69" s="167" t="str">
        <f>IF(ISNUMBER(outYear),IF(ibi_sta_percent_tax_fed="Yes",CF37,0)+IF(ibi_uti_percent_tax_fed="Yes",CF38,0)+IF(cbi_fed_tax_fed="Yes",CF41,0)+IF(cbi_sta_tax_fed="Yes",CF42,0)+IF(cbi_uti_tax_fed="Yes",CF43,0)+IF(pbi_combined_tax_fed="Yes",CG64,0) + IF(batt_ibi_sta_percent_tax_fed="Yes",CF55,0)+IF(batt_ibi_uti_percent_tax_fed="Yes",CF56,0)+IF(batt_cbi_fed_tax_fed="Yes",CF59,0)+IF(batt_cbi_sta_tax_fed="Yes",CF60,0)+IF(batt_cbi_uti_tax_fed="Yes",CF61,0)+IF(wind_ibi_sta_percent_tax_fed="Yes",CF46,0)+IF(wind_ibi_uti_percent_tax_fed="Yes",CF47,0)+IF(wind_cbi_fed_tax_fed="Yes",CF50,0)+IF(wind_cbi_sta_tax_fed="Yes",CF51,0)+IF(wind_cbi_uti_tax_fed="Yes",CF52,0)+IF(wind_pbi_combined_tax_fed="Yes",CG65,0),"")</f>
        <v/>
      </c>
      <c r="CH69" s="167" t="str">
        <f>IF(ISNUMBER(outYear),IF(ibi_sta_percent_tax_fed="Yes",CG37,0)+IF(ibi_uti_percent_tax_fed="Yes",CG38,0)+IF(cbi_fed_tax_fed="Yes",CG41,0)+IF(cbi_sta_tax_fed="Yes",CG42,0)+IF(cbi_uti_tax_fed="Yes",CG43,0)+IF(pbi_combined_tax_fed="Yes",CH64,0) + IF(batt_ibi_sta_percent_tax_fed="Yes",CG55,0)+IF(batt_ibi_uti_percent_tax_fed="Yes",CG56,0)+IF(batt_cbi_fed_tax_fed="Yes",CG59,0)+IF(batt_cbi_sta_tax_fed="Yes",CG60,0)+IF(batt_cbi_uti_tax_fed="Yes",CG61,0)+IF(wind_ibi_sta_percent_tax_fed="Yes",CG46,0)+IF(wind_ibi_uti_percent_tax_fed="Yes",CG47,0)+IF(wind_cbi_fed_tax_fed="Yes",CG50,0)+IF(wind_cbi_sta_tax_fed="Yes",CG51,0)+IF(wind_cbi_uti_tax_fed="Yes",CG52,0)+IF(wind_pbi_combined_tax_fed="Yes",CH65,0),"")</f>
        <v/>
      </c>
      <c r="CI69" s="167" t="str">
        <f>IF(ISNUMBER(outYear),IF(ibi_sta_percent_tax_fed="Yes",CH37,0)+IF(ibi_uti_percent_tax_fed="Yes",CH38,0)+IF(cbi_fed_tax_fed="Yes",CH41,0)+IF(cbi_sta_tax_fed="Yes",CH42,0)+IF(cbi_uti_tax_fed="Yes",CH43,0)+IF(pbi_combined_tax_fed="Yes",CI64,0) + IF(batt_ibi_sta_percent_tax_fed="Yes",CH55,0)+IF(batt_ibi_uti_percent_tax_fed="Yes",CH56,0)+IF(batt_cbi_fed_tax_fed="Yes",CH59,0)+IF(batt_cbi_sta_tax_fed="Yes",CH60,0)+IF(batt_cbi_uti_tax_fed="Yes",CH61,0)+IF(wind_ibi_sta_percent_tax_fed="Yes",CH46,0)+IF(wind_ibi_uti_percent_tax_fed="Yes",CH47,0)+IF(wind_cbi_fed_tax_fed="Yes",CH50,0)+IF(wind_cbi_sta_tax_fed="Yes",CH51,0)+IF(wind_cbi_uti_tax_fed="Yes",CH52,0)+IF(wind_pbi_combined_tax_fed="Yes",CI65,0),"")</f>
        <v/>
      </c>
      <c r="CJ69" s="167" t="str">
        <f>IF(ISNUMBER(outYear),IF(ibi_sta_percent_tax_fed="Yes",CI37,0)+IF(ibi_uti_percent_tax_fed="Yes",CI38,0)+IF(cbi_fed_tax_fed="Yes",CI41,0)+IF(cbi_sta_tax_fed="Yes",CI42,0)+IF(cbi_uti_tax_fed="Yes",CI43,0)+IF(pbi_combined_tax_fed="Yes",CJ64,0) + IF(batt_ibi_sta_percent_tax_fed="Yes",CI55,0)+IF(batt_ibi_uti_percent_tax_fed="Yes",CI56,0)+IF(batt_cbi_fed_tax_fed="Yes",CI59,0)+IF(batt_cbi_sta_tax_fed="Yes",CI60,0)+IF(batt_cbi_uti_tax_fed="Yes",CI61,0)+IF(wind_ibi_sta_percent_tax_fed="Yes",CI46,0)+IF(wind_ibi_uti_percent_tax_fed="Yes",CI47,0)+IF(wind_cbi_fed_tax_fed="Yes",CI50,0)+IF(wind_cbi_sta_tax_fed="Yes",CI51,0)+IF(wind_cbi_uti_tax_fed="Yes",CI52,0)+IF(wind_pbi_combined_tax_fed="Yes",CJ65,0),"")</f>
        <v/>
      </c>
      <c r="CK69" s="167" t="str">
        <f>IF(ISNUMBER(outYear),IF(ibi_sta_percent_tax_fed="Yes",CJ37,0)+IF(ibi_uti_percent_tax_fed="Yes",CJ38,0)+IF(cbi_fed_tax_fed="Yes",CJ41,0)+IF(cbi_sta_tax_fed="Yes",CJ42,0)+IF(cbi_uti_tax_fed="Yes",CJ43,0)+IF(pbi_combined_tax_fed="Yes",CK64,0) + IF(batt_ibi_sta_percent_tax_fed="Yes",CJ55,0)+IF(batt_ibi_uti_percent_tax_fed="Yes",CJ56,0)+IF(batt_cbi_fed_tax_fed="Yes",CJ59,0)+IF(batt_cbi_sta_tax_fed="Yes",CJ60,0)+IF(batt_cbi_uti_tax_fed="Yes",CJ61,0)+IF(wind_ibi_sta_percent_tax_fed="Yes",CJ46,0)+IF(wind_ibi_uti_percent_tax_fed="Yes",CJ47,0)+IF(wind_cbi_fed_tax_fed="Yes",CJ50,0)+IF(wind_cbi_sta_tax_fed="Yes",CJ51,0)+IF(wind_cbi_uti_tax_fed="Yes",CJ52,0)+IF(wind_pbi_combined_tax_fed="Yes",CK65,0),"")</f>
        <v/>
      </c>
      <c r="CL69" s="167" t="str">
        <f>IF(ISNUMBER(outYear),IF(ibi_sta_percent_tax_fed="Yes",CK37,0)+IF(ibi_uti_percent_tax_fed="Yes",CK38,0)+IF(cbi_fed_tax_fed="Yes",CK41,0)+IF(cbi_sta_tax_fed="Yes",CK42,0)+IF(cbi_uti_tax_fed="Yes",CK43,0)+IF(pbi_combined_tax_fed="Yes",CL64,0) + IF(batt_ibi_sta_percent_tax_fed="Yes",CK55,0)+IF(batt_ibi_uti_percent_tax_fed="Yes",CK56,0)+IF(batt_cbi_fed_tax_fed="Yes",CK59,0)+IF(batt_cbi_sta_tax_fed="Yes",CK60,0)+IF(batt_cbi_uti_tax_fed="Yes",CK61,0)+IF(wind_ibi_sta_percent_tax_fed="Yes",CK46,0)+IF(wind_ibi_uti_percent_tax_fed="Yes",CK47,0)+IF(wind_cbi_fed_tax_fed="Yes",CK50,0)+IF(wind_cbi_sta_tax_fed="Yes",CK51,0)+IF(wind_cbi_uti_tax_fed="Yes",CK52,0)+IF(wind_pbi_combined_tax_fed="Yes",CL65,0),"")</f>
        <v/>
      </c>
      <c r="CM69" s="167" t="str">
        <f>IF(ISNUMBER(outYear),IF(ibi_sta_percent_tax_fed="Yes",CL37,0)+IF(ibi_uti_percent_tax_fed="Yes",CL38,0)+IF(cbi_fed_tax_fed="Yes",CL41,0)+IF(cbi_sta_tax_fed="Yes",CL42,0)+IF(cbi_uti_tax_fed="Yes",CL43,0)+IF(pbi_combined_tax_fed="Yes",CM64,0) + IF(batt_ibi_sta_percent_tax_fed="Yes",CL55,0)+IF(batt_ibi_uti_percent_tax_fed="Yes",CL56,0)+IF(batt_cbi_fed_tax_fed="Yes",CL59,0)+IF(batt_cbi_sta_tax_fed="Yes",CL60,0)+IF(batt_cbi_uti_tax_fed="Yes",CL61,0)+IF(wind_ibi_sta_percent_tax_fed="Yes",CL46,0)+IF(wind_ibi_uti_percent_tax_fed="Yes",CL47,0)+IF(wind_cbi_fed_tax_fed="Yes",CL50,0)+IF(wind_cbi_sta_tax_fed="Yes",CL51,0)+IF(wind_cbi_uti_tax_fed="Yes",CL52,0)+IF(wind_pbi_combined_tax_fed="Yes",CM65,0),"")</f>
        <v/>
      </c>
      <c r="CN69" s="167" t="str">
        <f>IF(ISNUMBER(outYear),IF(ibi_sta_percent_tax_fed="Yes",CM37,0)+IF(ibi_uti_percent_tax_fed="Yes",CM38,0)+IF(cbi_fed_tax_fed="Yes",CM41,0)+IF(cbi_sta_tax_fed="Yes",CM42,0)+IF(cbi_uti_tax_fed="Yes",CM43,0)+IF(pbi_combined_tax_fed="Yes",CN64,0) + IF(batt_ibi_sta_percent_tax_fed="Yes",CM55,0)+IF(batt_ibi_uti_percent_tax_fed="Yes",CM56,0)+IF(batt_cbi_fed_tax_fed="Yes",CM59,0)+IF(batt_cbi_sta_tax_fed="Yes",CM60,0)+IF(batt_cbi_uti_tax_fed="Yes",CM61,0)+IF(wind_ibi_sta_percent_tax_fed="Yes",CM46,0)+IF(wind_ibi_uti_percent_tax_fed="Yes",CM47,0)+IF(wind_cbi_fed_tax_fed="Yes",CM50,0)+IF(wind_cbi_sta_tax_fed="Yes",CM51,0)+IF(wind_cbi_uti_tax_fed="Yes",CM52,0)+IF(wind_pbi_combined_tax_fed="Yes",CN65,0),"")</f>
        <v/>
      </c>
      <c r="CO69" s="167" t="str">
        <f>IF(ISNUMBER(outYear),IF(ibi_sta_percent_tax_fed="Yes",CN37,0)+IF(ibi_uti_percent_tax_fed="Yes",CN38,0)+IF(cbi_fed_tax_fed="Yes",CN41,0)+IF(cbi_sta_tax_fed="Yes",CN42,0)+IF(cbi_uti_tax_fed="Yes",CN43,0)+IF(pbi_combined_tax_fed="Yes",CO64,0) + IF(batt_ibi_sta_percent_tax_fed="Yes",CN55,0)+IF(batt_ibi_uti_percent_tax_fed="Yes",CN56,0)+IF(batt_cbi_fed_tax_fed="Yes",CN59,0)+IF(batt_cbi_sta_tax_fed="Yes",CN60,0)+IF(batt_cbi_uti_tax_fed="Yes",CN61,0)+IF(wind_ibi_sta_percent_tax_fed="Yes",CN46,0)+IF(wind_ibi_uti_percent_tax_fed="Yes",CN47,0)+IF(wind_cbi_fed_tax_fed="Yes",CN50,0)+IF(wind_cbi_sta_tax_fed="Yes",CN51,0)+IF(wind_cbi_uti_tax_fed="Yes",CN52,0)+IF(wind_pbi_combined_tax_fed="Yes",CO65,0),"")</f>
        <v/>
      </c>
      <c r="CP69" s="167" t="str">
        <f>IF(ISNUMBER(outYear),IF(ibi_sta_percent_tax_fed="Yes",CO37,0)+IF(ibi_uti_percent_tax_fed="Yes",CO38,0)+IF(cbi_fed_tax_fed="Yes",CO41,0)+IF(cbi_sta_tax_fed="Yes",CO42,0)+IF(cbi_uti_tax_fed="Yes",CO43,0)+IF(pbi_combined_tax_fed="Yes",CP64,0) + IF(batt_ibi_sta_percent_tax_fed="Yes",CO55,0)+IF(batt_ibi_uti_percent_tax_fed="Yes",CO56,0)+IF(batt_cbi_fed_tax_fed="Yes",CO59,0)+IF(batt_cbi_sta_tax_fed="Yes",CO60,0)+IF(batt_cbi_uti_tax_fed="Yes",CO61,0)+IF(wind_ibi_sta_percent_tax_fed="Yes",CO46,0)+IF(wind_ibi_uti_percent_tax_fed="Yes",CO47,0)+IF(wind_cbi_fed_tax_fed="Yes",CO50,0)+IF(wind_cbi_sta_tax_fed="Yes",CO51,0)+IF(wind_cbi_uti_tax_fed="Yes",CO52,0)+IF(wind_pbi_combined_tax_fed="Yes",CP65,0),"")</f>
        <v/>
      </c>
      <c r="CQ69" s="167" t="str">
        <f>IF(ISNUMBER(outYear),IF(ibi_sta_percent_tax_fed="Yes",CP37,0)+IF(ibi_uti_percent_tax_fed="Yes",CP38,0)+IF(cbi_fed_tax_fed="Yes",CP41,0)+IF(cbi_sta_tax_fed="Yes",CP42,0)+IF(cbi_uti_tax_fed="Yes",CP43,0)+IF(pbi_combined_tax_fed="Yes",CQ64,0) + IF(batt_ibi_sta_percent_tax_fed="Yes",CP55,0)+IF(batt_ibi_uti_percent_tax_fed="Yes",CP56,0)+IF(batt_cbi_fed_tax_fed="Yes",CP59,0)+IF(batt_cbi_sta_tax_fed="Yes",CP60,0)+IF(batt_cbi_uti_tax_fed="Yes",CP61,0)+IF(wind_ibi_sta_percent_tax_fed="Yes",CP46,0)+IF(wind_ibi_uti_percent_tax_fed="Yes",CP47,0)+IF(wind_cbi_fed_tax_fed="Yes",CP50,0)+IF(wind_cbi_sta_tax_fed="Yes",CP51,0)+IF(wind_cbi_uti_tax_fed="Yes",CP52,0)+IF(wind_pbi_combined_tax_fed="Yes",CQ65,0),"")</f>
        <v/>
      </c>
      <c r="CR69" s="167" t="str">
        <f>IF(ISNUMBER(outYear),IF(ibi_sta_percent_tax_fed="Yes",CQ37,0)+IF(ibi_uti_percent_tax_fed="Yes",CQ38,0)+IF(cbi_fed_tax_fed="Yes",CQ41,0)+IF(cbi_sta_tax_fed="Yes",CQ42,0)+IF(cbi_uti_tax_fed="Yes",CQ43,0)+IF(pbi_combined_tax_fed="Yes",CR64,0) + IF(batt_ibi_sta_percent_tax_fed="Yes",CQ55,0)+IF(batt_ibi_uti_percent_tax_fed="Yes",CQ56,0)+IF(batt_cbi_fed_tax_fed="Yes",CQ59,0)+IF(batt_cbi_sta_tax_fed="Yes",CQ60,0)+IF(batt_cbi_uti_tax_fed="Yes",CQ61,0)+IF(wind_ibi_sta_percent_tax_fed="Yes",CQ46,0)+IF(wind_ibi_uti_percent_tax_fed="Yes",CQ47,0)+IF(wind_cbi_fed_tax_fed="Yes",CQ50,0)+IF(wind_cbi_sta_tax_fed="Yes",CQ51,0)+IF(wind_cbi_uti_tax_fed="Yes",CQ52,0)+IF(wind_pbi_combined_tax_fed="Yes",CR65,0),"")</f>
        <v/>
      </c>
      <c r="CS69" s="167" t="str">
        <f>IF(ISNUMBER(outYear),IF(ibi_sta_percent_tax_fed="Yes",CR37,0)+IF(ibi_uti_percent_tax_fed="Yes",CR38,0)+IF(cbi_fed_tax_fed="Yes",CR41,0)+IF(cbi_sta_tax_fed="Yes",CR42,0)+IF(cbi_uti_tax_fed="Yes",CR43,0)+IF(pbi_combined_tax_fed="Yes",CS64,0) + IF(batt_ibi_sta_percent_tax_fed="Yes",CR55,0)+IF(batt_ibi_uti_percent_tax_fed="Yes",CR56,0)+IF(batt_cbi_fed_tax_fed="Yes",CR59,0)+IF(batt_cbi_sta_tax_fed="Yes",CR60,0)+IF(batt_cbi_uti_tax_fed="Yes",CR61,0)+IF(wind_ibi_sta_percent_tax_fed="Yes",CR46,0)+IF(wind_ibi_uti_percent_tax_fed="Yes",CR47,0)+IF(wind_cbi_fed_tax_fed="Yes",CR50,0)+IF(wind_cbi_sta_tax_fed="Yes",CR51,0)+IF(wind_cbi_uti_tax_fed="Yes",CR52,0)+IF(wind_pbi_combined_tax_fed="Yes",CS65,0),"")</f>
        <v/>
      </c>
      <c r="CT69" s="167" t="str">
        <f>IF(ISNUMBER(outYear),IF(ibi_sta_percent_tax_fed="Yes",CS37,0)+IF(ibi_uti_percent_tax_fed="Yes",CS38,0)+IF(cbi_fed_tax_fed="Yes",CS41,0)+IF(cbi_sta_tax_fed="Yes",CS42,0)+IF(cbi_uti_tax_fed="Yes",CS43,0)+IF(pbi_combined_tax_fed="Yes",CT64,0) + IF(batt_ibi_sta_percent_tax_fed="Yes",CS55,0)+IF(batt_ibi_uti_percent_tax_fed="Yes",CS56,0)+IF(batt_cbi_fed_tax_fed="Yes",CS59,0)+IF(batt_cbi_sta_tax_fed="Yes",CS60,0)+IF(batt_cbi_uti_tax_fed="Yes",CS61,0)+IF(wind_ibi_sta_percent_tax_fed="Yes",CS46,0)+IF(wind_ibi_uti_percent_tax_fed="Yes",CS47,0)+IF(wind_cbi_fed_tax_fed="Yes",CS50,0)+IF(wind_cbi_sta_tax_fed="Yes",CS51,0)+IF(wind_cbi_uti_tax_fed="Yes",CS52,0)+IF(wind_pbi_combined_tax_fed="Yes",CT65,0),"")</f>
        <v/>
      </c>
      <c r="CU69" s="167" t="str">
        <f>IF(ISNUMBER(outYear),IF(ibi_sta_percent_tax_fed="Yes",CT37,0)+IF(ibi_uti_percent_tax_fed="Yes",CT38,0)+IF(cbi_fed_tax_fed="Yes",CT41,0)+IF(cbi_sta_tax_fed="Yes",CT42,0)+IF(cbi_uti_tax_fed="Yes",CT43,0)+IF(pbi_combined_tax_fed="Yes",CU64,0) + IF(batt_ibi_sta_percent_tax_fed="Yes",CT55,0)+IF(batt_ibi_uti_percent_tax_fed="Yes",CT56,0)+IF(batt_cbi_fed_tax_fed="Yes",CT59,0)+IF(batt_cbi_sta_tax_fed="Yes",CT60,0)+IF(batt_cbi_uti_tax_fed="Yes",CT61,0)+IF(wind_ibi_sta_percent_tax_fed="Yes",CT46,0)+IF(wind_ibi_uti_percent_tax_fed="Yes",CT47,0)+IF(wind_cbi_fed_tax_fed="Yes",CT50,0)+IF(wind_cbi_sta_tax_fed="Yes",CT51,0)+IF(wind_cbi_uti_tax_fed="Yes",CT52,0)+IF(wind_pbi_combined_tax_fed="Yes",CU65,0),"")</f>
        <v/>
      </c>
      <c r="CV69" s="167" t="str">
        <f>IF(ISNUMBER(outYear),IF(ibi_sta_percent_tax_fed="Yes",CU37,0)+IF(ibi_uti_percent_tax_fed="Yes",CU38,0)+IF(cbi_fed_tax_fed="Yes",CU41,0)+IF(cbi_sta_tax_fed="Yes",CU42,0)+IF(cbi_uti_tax_fed="Yes",CU43,0)+IF(pbi_combined_tax_fed="Yes",CV64,0) + IF(batt_ibi_sta_percent_tax_fed="Yes",CU55,0)+IF(batt_ibi_uti_percent_tax_fed="Yes",CU56,0)+IF(batt_cbi_fed_tax_fed="Yes",CU59,0)+IF(batt_cbi_sta_tax_fed="Yes",CU60,0)+IF(batt_cbi_uti_tax_fed="Yes",CU61,0)+IF(wind_ibi_sta_percent_tax_fed="Yes",CU46,0)+IF(wind_ibi_uti_percent_tax_fed="Yes",CU47,0)+IF(wind_cbi_fed_tax_fed="Yes",CU50,0)+IF(wind_cbi_sta_tax_fed="Yes",CU51,0)+IF(wind_cbi_uti_tax_fed="Yes",CU52,0)+IF(wind_pbi_combined_tax_fed="Yes",CV65,0),"")</f>
        <v/>
      </c>
      <c r="CW69" s="167" t="str">
        <f>IF(ISNUMBER(outYear),IF(ibi_sta_percent_tax_fed="Yes",CV37,0)+IF(ibi_uti_percent_tax_fed="Yes",CV38,0)+IF(cbi_fed_tax_fed="Yes",CV41,0)+IF(cbi_sta_tax_fed="Yes",CV42,0)+IF(cbi_uti_tax_fed="Yes",CV43,0)+IF(pbi_combined_tax_fed="Yes",CW64,0) + IF(batt_ibi_sta_percent_tax_fed="Yes",CV55,0)+IF(batt_ibi_uti_percent_tax_fed="Yes",CV56,0)+IF(batt_cbi_fed_tax_fed="Yes",CV59,0)+IF(batt_cbi_sta_tax_fed="Yes",CV60,0)+IF(batt_cbi_uti_tax_fed="Yes",CV61,0)+IF(wind_ibi_sta_percent_tax_fed="Yes",CV46,0)+IF(wind_ibi_uti_percent_tax_fed="Yes",CV47,0)+IF(wind_cbi_fed_tax_fed="Yes",CV50,0)+IF(wind_cbi_sta_tax_fed="Yes",CV51,0)+IF(wind_cbi_uti_tax_fed="Yes",CV52,0)+IF(wind_pbi_combined_tax_fed="Yes",CW65,0),"")</f>
        <v/>
      </c>
      <c r="CX69" s="167" t="str">
        <f>IF(ISNUMBER(outYear),IF(ibi_sta_percent_tax_fed="Yes",CW37,0)+IF(ibi_uti_percent_tax_fed="Yes",CW38,0)+IF(cbi_fed_tax_fed="Yes",CW41,0)+IF(cbi_sta_tax_fed="Yes",CW42,0)+IF(cbi_uti_tax_fed="Yes",CW43,0)+IF(pbi_combined_tax_fed="Yes",CX64,0) + IF(batt_ibi_sta_percent_tax_fed="Yes",CW55,0)+IF(batt_ibi_uti_percent_tax_fed="Yes",CW56,0)+IF(batt_cbi_fed_tax_fed="Yes",CW59,0)+IF(batt_cbi_sta_tax_fed="Yes",CW60,0)+IF(batt_cbi_uti_tax_fed="Yes",CW61,0)+IF(wind_ibi_sta_percent_tax_fed="Yes",CW46,0)+IF(wind_ibi_uti_percent_tax_fed="Yes",CW47,0)+IF(wind_cbi_fed_tax_fed="Yes",CW50,0)+IF(wind_cbi_sta_tax_fed="Yes",CW51,0)+IF(wind_cbi_uti_tax_fed="Yes",CW52,0)+IF(wind_pbi_combined_tax_fed="Yes",CX65,0),"")</f>
        <v/>
      </c>
      <c r="CY69" s="125" t="str">
        <f>IF(ISNUMBER(outYear),CY39+CY44+#REF!+#REF!,"")</f>
        <v/>
      </c>
      <c r="CZ69" s="125" t="str">
        <f>IF(ISNUMBER(outYear),CZ39+CZ44+#REF!+#REF!,"")</f>
        <v/>
      </c>
      <c r="DA69" s="125" t="str">
        <f>IF(ISNUMBER(outYear),DA39+DA44+#REF!+#REF!,"")</f>
        <v/>
      </c>
      <c r="DB69" s="125" t="str">
        <f>IF(ISNUMBER(outYear),DB39+DB44+#REF!+#REF!,"")</f>
        <v/>
      </c>
      <c r="DC69" s="125" t="str">
        <f>IF(ISNUMBER(outYear),DC39+DC44+#REF!+#REF!,"")</f>
        <v/>
      </c>
      <c r="DD69" s="125" t="str">
        <f>IF(ISNUMBER(outYear),DD39+DD44+#REF!+#REF!,"")</f>
        <v/>
      </c>
      <c r="DE69" s="125" t="str">
        <f>IF(ISNUMBER(outYear),DE39+DE44+#REF!+#REF!,"")</f>
        <v/>
      </c>
      <c r="DF69" s="125" t="str">
        <f>IF(ISNUMBER(outYear),DF39+DF44+#REF!+#REF!,"")</f>
        <v/>
      </c>
      <c r="DG69" s="125" t="str">
        <f>IF(ISNUMBER(outYear),DG39+DG44+#REF!+#REF!,"")</f>
        <v/>
      </c>
      <c r="DH69" s="125" t="str">
        <f>IF(ISNUMBER(outYear),DH39+DH44+#REF!+#REF!,"")</f>
        <v/>
      </c>
      <c r="DI69" s="125" t="str">
        <f>IF(ISNUMBER(outYear),DI39+DI44+#REF!+#REF!,"")</f>
        <v/>
      </c>
      <c r="DJ69" s="125" t="str">
        <f>IF(ISNUMBER(outYear),DJ39+DJ44+#REF!+#REF!,"")</f>
        <v/>
      </c>
      <c r="DK69" s="125" t="str">
        <f>IF(ISNUMBER(outYear),DK39+DK44+#REF!+#REF!,"")</f>
        <v/>
      </c>
      <c r="DL69" s="125" t="str">
        <f>IF(ISNUMBER(outYear),DL39+DL44+#REF!+#REF!,"")</f>
        <v/>
      </c>
      <c r="DM69" s="125" t="str">
        <f>IF(ISNUMBER(outYear),DM39+DM44+#REF!+#REF!,"")</f>
        <v/>
      </c>
      <c r="DN69" s="125" t="str">
        <f>IF(ISNUMBER(outYear),DN39+DN44+#REF!+#REF!,"")</f>
        <v/>
      </c>
      <c r="DO69" s="125" t="str">
        <f>IF(ISNUMBER(outYear),DO39+DO44+#REF!+#REF!,"")</f>
        <v/>
      </c>
      <c r="DP69" s="125" t="str">
        <f>IF(ISNUMBER(outYear),DP39+DP44+#REF!+#REF!,"")</f>
        <v/>
      </c>
      <c r="DQ69" s="125" t="str">
        <f>IF(ISNUMBER(outYear),DQ39+DQ44+#REF!+#REF!,"")</f>
        <v/>
      </c>
      <c r="DR69" s="125" t="str">
        <f>IF(ISNUMBER(outYear),DR39+DR44+#REF!+#REF!,"")</f>
        <v/>
      </c>
      <c r="DS69" s="125" t="str">
        <f>IF(ISNUMBER(outYear),DS39+DS44+#REF!+#REF!,"")</f>
        <v/>
      </c>
      <c r="DT69" s="125" t="str">
        <f>IF(ISNUMBER(outYear),DT39+DT44+#REF!+#REF!,"")</f>
        <v/>
      </c>
      <c r="DU69" s="125" t="str">
        <f>IF(ISNUMBER(outYear),DU39+DU44+#REF!+#REF!,"")</f>
        <v/>
      </c>
      <c r="DV69" s="125" t="str">
        <f>IF(ISNUMBER(outYear),DV39+DV44+#REF!+#REF!,"")</f>
        <v/>
      </c>
      <c r="DW69" s="125" t="str">
        <f>IF(ISNUMBER(outYear),DW39+DW44+#REF!+#REF!,"")</f>
        <v/>
      </c>
      <c r="DX69" s="125" t="str">
        <f>IF(ISNUMBER(outYear),DX39+DX44+#REF!+#REF!,"")</f>
        <v/>
      </c>
      <c r="DY69" s="125" t="str">
        <f>IF(ISNUMBER(outYear),DY39+DY44+#REF!+#REF!,"")</f>
        <v/>
      </c>
      <c r="DZ69" s="125" t="str">
        <f>IF(ISNUMBER(outYear),DZ39+DZ44+#REF!+#REF!,"")</f>
        <v/>
      </c>
      <c r="EA69" s="125" t="str">
        <f>IF(ISNUMBER(outYear),EA39+EA44+#REF!+#REF!,"")</f>
        <v/>
      </c>
      <c r="EB69" s="125" t="str">
        <f>IF(ISNUMBER(outYear),EB39+EB44+#REF!+#REF!,"")</f>
        <v/>
      </c>
      <c r="EC69" s="125" t="str">
        <f>IF(ISNUMBER(outYear),EC39+EC44+#REF!+#REF!,"")</f>
        <v/>
      </c>
      <c r="ED69" s="125" t="str">
        <f>IF(ISNUMBER(outYear),ED39+ED44+#REF!+#REF!,"")</f>
        <v/>
      </c>
      <c r="EE69" s="125" t="str">
        <f>IF(ISNUMBER(outYear),EE39+EE44+#REF!+#REF!,"")</f>
        <v/>
      </c>
      <c r="EF69" s="125" t="str">
        <f>IF(ISNUMBER(outYear),EF39+EF44+#REF!+#REF!,"")</f>
        <v/>
      </c>
      <c r="EG69" s="125" t="str">
        <f>IF(ISNUMBER(outYear),EG39+EG44+#REF!+#REF!,"")</f>
        <v/>
      </c>
      <c r="EH69" s="125" t="str">
        <f>IF(ISNUMBER(outYear),EH39+EH44+#REF!+#REF!,"")</f>
        <v/>
      </c>
      <c r="EI69" s="125" t="str">
        <f>IF(ISNUMBER(outYear),EI39+EI44+#REF!+#REF!,"")</f>
        <v/>
      </c>
      <c r="EJ69" s="125" t="str">
        <f>IF(ISNUMBER(outYear),EJ39+EJ44+#REF!+#REF!,"")</f>
        <v/>
      </c>
      <c r="EK69" s="125" t="str">
        <f>IF(ISNUMBER(outYear),EK39+EK44+#REF!+#REF!,"")</f>
        <v/>
      </c>
      <c r="EL69" s="125" t="str">
        <f>IF(ISNUMBER(outYear),EL39+EL44+#REF!+#REF!,"")</f>
        <v/>
      </c>
      <c r="EM69" s="125" t="str">
        <f>IF(ISNUMBER(outYear),EM39+EM44+#REF!+#REF!,"")</f>
        <v/>
      </c>
      <c r="EN69" s="125" t="str">
        <f>IF(ISNUMBER(outYear),EN39+EN44+#REF!+#REF!,"")</f>
        <v/>
      </c>
      <c r="EO69" s="125" t="str">
        <f>IF(ISNUMBER(outYear),EO39+EO44+#REF!+#REF!,"")</f>
        <v/>
      </c>
      <c r="EP69" s="125" t="str">
        <f>IF(ISNUMBER(outYear),EP39+EP44+#REF!+#REF!,"")</f>
        <v/>
      </c>
      <c r="EQ69" s="125" t="str">
        <f>IF(ISNUMBER(outYear),EQ39+EQ44+#REF!+#REF!,"")</f>
        <v/>
      </c>
      <c r="ER69" s="125" t="str">
        <f>IF(ISNUMBER(outYear),ER39+ER44+#REF!+#REF!,"")</f>
        <v/>
      </c>
      <c r="ES69" s="125" t="str">
        <f>IF(ISNUMBER(outYear),ES39+ES44+#REF!+#REF!,"")</f>
        <v/>
      </c>
      <c r="ET69" s="125" t="str">
        <f>IF(ISNUMBER(outYear),ET39+ET44+#REF!+#REF!,"")</f>
        <v/>
      </c>
      <c r="EU69" s="125" t="str">
        <f>IF(ISNUMBER(outYear),EU39+EU44+#REF!+#REF!,"")</f>
        <v/>
      </c>
      <c r="EV69" s="125" t="str">
        <f>IF(ISNUMBER(outYear),EV39+EV44+#REF!+#REF!,"")</f>
        <v/>
      </c>
      <c r="EW69" s="125" t="str">
        <f>IF(ISNUMBER(outYear),EW39+EW44+#REF!+#REF!,"")</f>
        <v/>
      </c>
      <c r="EX69" s="125" t="str">
        <f>IF(ISNUMBER(outYear),EX39+EX44+#REF!+#REF!,"")</f>
        <v/>
      </c>
      <c r="EY69" s="125" t="str">
        <f>IF(ISNUMBER(outYear),EY39+EY44+#REF!+#REF!,"")</f>
        <v/>
      </c>
      <c r="EZ69" s="125" t="str">
        <f>IF(ISNUMBER(outYear),EZ39+EZ44+#REF!+#REF!,"")</f>
        <v/>
      </c>
      <c r="FA69" s="125" t="str">
        <f>IF(ISNUMBER(outYear),FA39+FA44+#REF!+#REF!,"")</f>
        <v/>
      </c>
      <c r="FB69" s="125" t="str">
        <f>IF(ISNUMBER(outYear),FB39+FB44+#REF!+#REF!,"")</f>
        <v/>
      </c>
      <c r="FC69" s="125" t="str">
        <f>IF(ISNUMBER(outYear),FC39+FC44+#REF!+#REF!,"")</f>
        <v/>
      </c>
      <c r="FD69" s="125" t="str">
        <f>IF(ISNUMBER(outYear),FD39+FD44+#REF!+#REF!,"")</f>
        <v/>
      </c>
      <c r="FE69" s="125" t="str">
        <f>IF(ISNUMBER(outYear),FE39+FE44+#REF!+#REF!,"")</f>
        <v/>
      </c>
      <c r="FF69" s="125" t="str">
        <f>IF(ISNUMBER(outYear),FF39+FF44+#REF!+#REF!,"")</f>
        <v/>
      </c>
      <c r="FG69" s="125" t="str">
        <f>IF(ISNUMBER(outYear),FG39+FG44+#REF!+#REF!,"")</f>
        <v/>
      </c>
      <c r="FH69" s="125" t="str">
        <f>IF(ISNUMBER(outYear),FH39+FH44+#REF!+#REF!,"")</f>
        <v/>
      </c>
      <c r="FI69" s="125" t="str">
        <f>IF(ISNUMBER(outYear),FI39+FI44+#REF!+#REF!,"")</f>
        <v/>
      </c>
      <c r="FJ69" s="125" t="str">
        <f>IF(ISNUMBER(outYear),FJ39+FJ44+#REF!+#REF!,"")</f>
        <v/>
      </c>
      <c r="FK69" s="125" t="str">
        <f>IF(ISNUMBER(outYear),FK39+FK44+#REF!+#REF!,"")</f>
        <v/>
      </c>
      <c r="FL69" s="125" t="str">
        <f>IF(ISNUMBER(outYear),FL39+FL44+#REF!+#REF!,"")</f>
        <v/>
      </c>
      <c r="FM69" s="125" t="str">
        <f>IF(ISNUMBER(outYear),FM39+FM44+#REF!+#REF!,"")</f>
        <v/>
      </c>
      <c r="FN69" s="125" t="str">
        <f>IF(ISNUMBER(outYear),FN39+FN44+#REF!+#REF!,"")</f>
        <v/>
      </c>
      <c r="FO69" s="125" t="str">
        <f>IF(ISNUMBER(outYear),FO39+FO44+#REF!+#REF!,"")</f>
        <v/>
      </c>
      <c r="FP69" s="125" t="str">
        <f>IF(ISNUMBER(outYear),FP39+FP44+#REF!+#REF!,"")</f>
        <v/>
      </c>
      <c r="FQ69" s="125" t="str">
        <f>IF(ISNUMBER(outYear),FQ39+FQ44+#REF!+#REF!,"")</f>
        <v/>
      </c>
      <c r="FR69" s="125" t="str">
        <f>IF(ISNUMBER(outYear),FR39+FR44+#REF!+#REF!,"")</f>
        <v/>
      </c>
      <c r="FS69" s="125" t="str">
        <f>IF(ISNUMBER(outYear),FS39+FS44+#REF!+#REF!,"")</f>
        <v/>
      </c>
      <c r="FT69" s="125" t="str">
        <f>IF(ISNUMBER(outYear),FT39+FT44+#REF!+#REF!,"")</f>
        <v/>
      </c>
      <c r="FU69" s="125" t="str">
        <f>IF(ISNUMBER(outYear),FU39+FU44+#REF!+#REF!,"")</f>
        <v/>
      </c>
      <c r="FV69" s="125" t="str">
        <f>IF(ISNUMBER(outYear),FV39+FV44+#REF!+#REF!,"")</f>
        <v/>
      </c>
      <c r="FW69" s="125" t="str">
        <f>IF(ISNUMBER(outYear),FW39+FW44+#REF!+#REF!,"")</f>
        <v/>
      </c>
      <c r="FX69" s="125" t="str">
        <f>IF(ISNUMBER(outYear),FX39+FX44+#REF!+#REF!,"")</f>
        <v/>
      </c>
      <c r="FY69" s="125" t="str">
        <f>IF(ISNUMBER(outYear),FY39+FY44+#REF!+#REF!,"")</f>
        <v/>
      </c>
      <c r="FZ69" s="125" t="str">
        <f>IF(ISNUMBER(outYear),FZ39+FZ44+#REF!+#REF!,"")</f>
        <v/>
      </c>
      <c r="GA69" s="125" t="str">
        <f>IF(ISNUMBER(outYear),GA39+GA44+#REF!+#REF!,"")</f>
        <v/>
      </c>
      <c r="GB69" s="125" t="str">
        <f>IF(ISNUMBER(outYear),GB39+GB44+#REF!+#REF!,"")</f>
        <v/>
      </c>
      <c r="GC69" s="125" t="str">
        <f>IF(ISNUMBER(outYear),GC39+GC44+#REF!+#REF!,"")</f>
        <v/>
      </c>
      <c r="GD69" s="125" t="str">
        <f>IF(ISNUMBER(outYear),GD39+GD44+#REF!+#REF!,"")</f>
        <v/>
      </c>
      <c r="GE69" s="125" t="str">
        <f>IF(ISNUMBER(outYear),GE39+GE44+#REF!+#REF!,"")</f>
        <v/>
      </c>
      <c r="GF69" s="125" t="str">
        <f>IF(ISNUMBER(outYear),GF39+GF44+#REF!+#REF!,"")</f>
        <v/>
      </c>
      <c r="GG69" s="125" t="str">
        <f>IF(ISNUMBER(outYear),GG39+GG44+#REF!+#REF!,"")</f>
        <v/>
      </c>
      <c r="GH69" s="125" t="str">
        <f>IF(ISNUMBER(outYear),GH39+GH44+#REF!+#REF!,"")</f>
        <v/>
      </c>
      <c r="GI69" s="125" t="str">
        <f>IF(ISNUMBER(outYear),GI39+GI44+#REF!+#REF!,"")</f>
        <v/>
      </c>
      <c r="GJ69" s="125" t="str">
        <f>IF(ISNUMBER(outYear),GJ39+GJ44+#REF!+#REF!,"")</f>
        <v/>
      </c>
      <c r="GK69" s="125" t="str">
        <f>IF(ISNUMBER(outYear),GK39+GK44+#REF!+#REF!,"")</f>
        <v/>
      </c>
      <c r="GL69" s="125" t="str">
        <f>IF(ISNUMBER(outYear),GL39+GL44+#REF!+#REF!,"")</f>
        <v/>
      </c>
      <c r="GM69" s="125" t="str">
        <f>IF(ISNUMBER(outYear),GM39+GM44+#REF!+#REF!,"")</f>
        <v/>
      </c>
      <c r="GN69" s="125" t="str">
        <f>IF(ISNUMBER(outYear),GN39+GN44+#REF!+#REF!,"")</f>
        <v/>
      </c>
      <c r="GO69" s="125" t="str">
        <f>IF(ISNUMBER(outYear),GO39+GO44+#REF!+#REF!,"")</f>
        <v/>
      </c>
      <c r="GP69" s="125" t="str">
        <f>IF(ISNUMBER(outYear),GP39+GP44+#REF!+#REF!,"")</f>
        <v/>
      </c>
      <c r="GQ69" s="125" t="str">
        <f>IF(ISNUMBER(outYear),GQ39+GQ44+#REF!+#REF!,"")</f>
        <v/>
      </c>
      <c r="GR69" s="125" t="str">
        <f>IF(ISNUMBER(outYear),GR39+GR44+#REF!+#REF!,"")</f>
        <v/>
      </c>
      <c r="GS69" s="125" t="str">
        <f>IF(ISNUMBER(outYear),GS39+GS44+#REF!+#REF!,"")</f>
        <v/>
      </c>
      <c r="GT69" s="125" t="str">
        <f>IF(ISNUMBER(outYear),GT39+GT44+#REF!+#REF!,"")</f>
        <v/>
      </c>
      <c r="GU69" s="125" t="str">
        <f>IF(ISNUMBER(outYear),GU39+GU44+#REF!+#REF!,"")</f>
        <v/>
      </c>
      <c r="GV69" s="125" t="str">
        <f>IF(ISNUMBER(outYear),GV39+GV44+#REF!+#REF!,"")</f>
        <v/>
      </c>
      <c r="GW69" s="125" t="str">
        <f>IF(ISNUMBER(outYear),GW39+GW44+#REF!+#REF!,"")</f>
        <v/>
      </c>
      <c r="GX69" s="125" t="str">
        <f>IF(ISNUMBER(outYear),GX39+GX44+#REF!+#REF!,"")</f>
        <v/>
      </c>
      <c r="GY69" s="125" t="str">
        <f>IF(ISNUMBER(outYear),GY39+GY44+#REF!+#REF!,"")</f>
        <v/>
      </c>
      <c r="GZ69" s="125" t="str">
        <f>IF(ISNUMBER(outYear),GZ39+GZ44+#REF!+#REF!,"")</f>
        <v/>
      </c>
      <c r="HA69" s="125" t="str">
        <f>IF(ISNUMBER(outYear),HA39+HA44+#REF!+#REF!,"")</f>
        <v/>
      </c>
      <c r="HB69" s="125" t="str">
        <f>IF(ISNUMBER(outYear),HB39+HB44+#REF!+#REF!,"")</f>
        <v/>
      </c>
      <c r="HC69" s="125" t="str">
        <f>IF(ISNUMBER(outYear),HC39+HC44+#REF!+#REF!,"")</f>
        <v/>
      </c>
      <c r="HD69" s="125" t="str">
        <f>IF(ISNUMBER(outYear),HD39+HD44+#REF!+#REF!,"")</f>
        <v/>
      </c>
      <c r="HE69" s="125" t="str">
        <f>IF(ISNUMBER(outYear),HE39+HE44+#REF!+#REF!,"")</f>
        <v/>
      </c>
      <c r="HF69" s="125" t="str">
        <f>IF(ISNUMBER(outYear),HF39+HF44+#REF!+#REF!,"")</f>
        <v/>
      </c>
      <c r="HG69" s="125" t="str">
        <f>IF(ISNUMBER(outYear),HG39+HG44+#REF!+#REF!,"")</f>
        <v/>
      </c>
      <c r="HH69" s="125" t="str">
        <f>IF(ISNUMBER(outYear),HH39+HH44+#REF!+#REF!,"")</f>
        <v/>
      </c>
      <c r="HI69" s="125" t="str">
        <f>IF(ISNUMBER(outYear),HI39+HI44+#REF!+#REF!,"")</f>
        <v/>
      </c>
      <c r="HJ69" s="125" t="str">
        <f>IF(ISNUMBER(outYear),HJ39+HJ44+#REF!+#REF!,"")</f>
        <v/>
      </c>
      <c r="HK69" s="125" t="str">
        <f>IF(ISNUMBER(outYear),HK39+HK44+#REF!+#REF!,"")</f>
        <v/>
      </c>
      <c r="HL69" s="125" t="str">
        <f>IF(ISNUMBER(outYear),HL39+HL44+#REF!+#REF!,"")</f>
        <v/>
      </c>
      <c r="HM69" s="125" t="str">
        <f>IF(ISNUMBER(outYear),HM39+HM44+#REF!+#REF!,"")</f>
        <v/>
      </c>
      <c r="HN69" s="125" t="str">
        <f>IF(ISNUMBER(outYear),HN39+HN44+#REF!+#REF!,"")</f>
        <v/>
      </c>
      <c r="HO69" s="125" t="str">
        <f>IF(ISNUMBER(outYear),HO39+HO44+#REF!+#REF!,"")</f>
        <v/>
      </c>
      <c r="HP69" s="125" t="str">
        <f>IF(ISNUMBER(outYear),HP39+HP44+#REF!+#REF!,"")</f>
        <v/>
      </c>
      <c r="HQ69" s="125" t="str">
        <f>IF(ISNUMBER(outYear),HQ39+HQ44+#REF!+#REF!,"")</f>
        <v/>
      </c>
      <c r="HR69" s="125" t="str">
        <f>IF(ISNUMBER(outYear),HR39+HR44+#REF!+#REF!,"")</f>
        <v/>
      </c>
      <c r="HS69" s="125" t="str">
        <f>IF(ISNUMBER(outYear),HS39+HS44+#REF!+#REF!,"")</f>
        <v/>
      </c>
      <c r="HT69" s="125" t="str">
        <f>IF(ISNUMBER(outYear),HT39+HT44+#REF!+#REF!,"")</f>
        <v/>
      </c>
      <c r="HU69" s="125" t="str">
        <f>IF(ISNUMBER(outYear),HU39+HU44+#REF!+#REF!,"")</f>
        <v/>
      </c>
      <c r="HV69" s="125" t="str">
        <f>IF(ISNUMBER(outYear),HV39+HV44+#REF!+#REF!,"")</f>
        <v/>
      </c>
      <c r="HW69" s="125" t="str">
        <f>IF(ISNUMBER(outYear),HW39+HW44+#REF!+#REF!,"")</f>
        <v/>
      </c>
      <c r="HX69" s="125" t="str">
        <f>IF(ISNUMBER(outYear),HX39+HX44+#REF!+#REF!,"")</f>
        <v/>
      </c>
      <c r="HY69" s="125" t="str">
        <f>IF(ISNUMBER(outYear),HY39+HY44+#REF!+#REF!,"")</f>
        <v/>
      </c>
      <c r="HZ69" s="125" t="str">
        <f>IF(ISNUMBER(outYear),HZ39+HZ44+#REF!+#REF!,"")</f>
        <v/>
      </c>
      <c r="IA69" s="125" t="str">
        <f>IF(ISNUMBER(outYear),IA39+IA44+#REF!+#REF!,"")</f>
        <v/>
      </c>
      <c r="IB69" s="125" t="str">
        <f>IF(ISNUMBER(outYear),IB39+IB44+#REF!+#REF!,"")</f>
        <v/>
      </c>
      <c r="IC69" s="125" t="str">
        <f>IF(ISNUMBER(outYear),IC39+IC44+#REF!+#REF!,"")</f>
        <v/>
      </c>
      <c r="ID69" s="125" t="str">
        <f>IF(ISNUMBER(outYear),ID39+ID44+#REF!+#REF!,"")</f>
        <v/>
      </c>
      <c r="IE69" s="125" t="str">
        <f>IF(ISNUMBER(outYear),IE39+IE44+#REF!+#REF!,"")</f>
        <v/>
      </c>
      <c r="IF69" s="125" t="str">
        <f>IF(ISNUMBER(outYear),IF39+IF44+#REF!+#REF!,"")</f>
        <v/>
      </c>
      <c r="IG69" s="125" t="str">
        <f>IF(ISNUMBER(outYear),IG39+IG44+#REF!+#REF!,"")</f>
        <v/>
      </c>
      <c r="IH69" s="125" t="str">
        <f>IF(ISNUMBER(outYear),IH39+IH44+#REF!+#REF!,"")</f>
        <v/>
      </c>
      <c r="II69" s="125" t="str">
        <f>IF(ISNUMBER(outYear),II39+II44+#REF!+#REF!,"")</f>
        <v/>
      </c>
      <c r="IJ69" s="125" t="str">
        <f>IF(ISNUMBER(outYear),IJ39+IJ44+#REF!+#REF!,"")</f>
        <v/>
      </c>
      <c r="IK69" s="125" t="str">
        <f>IF(ISNUMBER(outYear),IK39+IK44+#REF!+#REF!,"")</f>
        <v/>
      </c>
      <c r="IL69" s="125" t="str">
        <f>IF(ISNUMBER(outYear),IL39+IL44+#REF!+#REF!,"")</f>
        <v/>
      </c>
      <c r="IM69" s="125" t="str">
        <f>IF(ISNUMBER(outYear),IM39+IM44+#REF!+#REF!,"")</f>
        <v/>
      </c>
      <c r="IN69" s="125" t="str">
        <f>IF(ISNUMBER(outYear),IN39+IN44+#REF!+#REF!,"")</f>
        <v/>
      </c>
      <c r="IO69" s="125" t="str">
        <f>IF(ISNUMBER(outYear),IO39+IO44+#REF!+#REF!,"")</f>
        <v/>
      </c>
      <c r="IP69" s="125" t="str">
        <f>IF(ISNUMBER(outYear),IP39+IP44+#REF!+#REF!,"")</f>
        <v/>
      </c>
      <c r="IQ69" s="125" t="str">
        <f>IF(ISNUMBER(outYear),IQ39+IQ44+#REF!+#REF!,"")</f>
        <v/>
      </c>
      <c r="IR69" s="125" t="str">
        <f>IF(ISNUMBER(outYear),IR39+IR44+#REF!+#REF!,"")</f>
        <v/>
      </c>
      <c r="IS69" s="125" t="str">
        <f>IF(ISNUMBER(outYear),IS39+IS44+#REF!+#REF!,"")</f>
        <v/>
      </c>
      <c r="IT69" s="125" t="str">
        <f>IF(ISNUMBER(outYear),IT39+IT44+#REF!+#REF!,"")</f>
        <v/>
      </c>
      <c r="IU69" s="125" t="str">
        <f>IF(ISNUMBER(outYear),IU39+IU44+#REF!+#REF!,"")</f>
        <v/>
      </c>
      <c r="IV69" s="125" t="str">
        <f>IF(ISNUMBER(outYear),IV39+IV44+#REF!+#REF!,"")</f>
        <v/>
      </c>
      <c r="IW69" s="125" t="str">
        <f>IF(ISNUMBER(outYear),IW39+IW44+#REF!+#REF!,"")</f>
        <v/>
      </c>
      <c r="IX69" s="125" t="str">
        <f>IF(ISNUMBER(outYear),IX39+IX44+#REF!+#REF!,"")</f>
        <v/>
      </c>
      <c r="IY69" s="125" t="str">
        <f>IF(ISNUMBER(outYear),IY39+IY44+#REF!+#REF!,"")</f>
        <v/>
      </c>
      <c r="IZ69" s="125" t="str">
        <f>IF(ISNUMBER(outYear),IZ39+IZ44+#REF!+#REF!,"")</f>
        <v/>
      </c>
      <c r="JA69" s="125" t="str">
        <f>IF(ISNUMBER(outYear),JA39+JA44+#REF!+#REF!,"")</f>
        <v/>
      </c>
      <c r="JB69" s="125" t="str">
        <f>IF(ISNUMBER(outYear),JB39+JB44+#REF!+#REF!,"")</f>
        <v/>
      </c>
      <c r="JC69" s="125" t="str">
        <f>IF(ISNUMBER(outYear),JC39+JC44+#REF!+#REF!,"")</f>
        <v/>
      </c>
      <c r="JD69" s="125" t="str">
        <f>IF(ISNUMBER(outYear),JD39+JD44+#REF!+#REF!,"")</f>
        <v/>
      </c>
      <c r="JE69" s="125" t="str">
        <f>IF(ISNUMBER(outYear),JE39+JE44+#REF!+#REF!,"")</f>
        <v/>
      </c>
      <c r="JF69" s="125" t="str">
        <f>IF(ISNUMBER(outYear),JF39+JF44+#REF!+#REF!,"")</f>
        <v/>
      </c>
      <c r="JG69" s="125" t="str">
        <f>IF(ISNUMBER(outYear),JG39+JG44+#REF!+#REF!,"")</f>
        <v/>
      </c>
      <c r="JH69" s="125" t="str">
        <f>IF(ISNUMBER(outYear),JH39+JH44+#REF!+#REF!,"")</f>
        <v/>
      </c>
      <c r="JI69" s="125" t="str">
        <f>IF(ISNUMBER(outYear),JI39+JI44+#REF!+#REF!,"")</f>
        <v/>
      </c>
      <c r="JJ69" s="125" t="str">
        <f>IF(ISNUMBER(outYear),JJ39+JJ44+#REF!+#REF!,"")</f>
        <v/>
      </c>
      <c r="JK69" s="125" t="str">
        <f>IF(ISNUMBER(outYear),JK39+JK44+#REF!+#REF!,"")</f>
        <v/>
      </c>
      <c r="JL69" s="125" t="str">
        <f>IF(ISNUMBER(outYear),JL39+JL44+#REF!+#REF!,"")</f>
        <v/>
      </c>
      <c r="JM69" s="125" t="str">
        <f>IF(ISNUMBER(outYear),JM39+JM44+#REF!+#REF!,"")</f>
        <v/>
      </c>
      <c r="JN69" s="125" t="str">
        <f>IF(ISNUMBER(outYear),JN39+JN44+#REF!+#REF!,"")</f>
        <v/>
      </c>
      <c r="JO69" s="125" t="str">
        <f>IF(ISNUMBER(outYear),JO39+JO44+#REF!+#REF!,"")</f>
        <v/>
      </c>
      <c r="JP69" s="125" t="str">
        <f>IF(ISNUMBER(outYear),JP39+JP44+#REF!+#REF!,"")</f>
        <v/>
      </c>
      <c r="JQ69" s="125" t="str">
        <f>IF(ISNUMBER(outYear),JQ39+JQ44+#REF!+#REF!,"")</f>
        <v/>
      </c>
      <c r="JR69" s="125" t="str">
        <f>IF(ISNUMBER(outYear),JR39+JR44+#REF!+#REF!,"")</f>
        <v/>
      </c>
      <c r="JS69" s="125" t="str">
        <f>IF(ISNUMBER(outYear),JS39+JS44+#REF!+#REF!,"")</f>
        <v/>
      </c>
      <c r="JT69" s="125" t="str">
        <f>IF(ISNUMBER(outYear),JT39+JT44+#REF!+#REF!,"")</f>
        <v/>
      </c>
      <c r="JU69" s="125" t="str">
        <f>IF(ISNUMBER(outYear),JU39+JU44+#REF!+#REF!,"")</f>
        <v/>
      </c>
      <c r="JV69" s="125" t="str">
        <f>IF(ISNUMBER(outYear),JV39+JV44+#REF!+#REF!,"")</f>
        <v/>
      </c>
      <c r="JW69" s="125" t="str">
        <f>IF(ISNUMBER(outYear),JW39+JW44+#REF!+#REF!,"")</f>
        <v/>
      </c>
      <c r="JX69" s="125" t="str">
        <f>IF(ISNUMBER(outYear),JX39+JX44+#REF!+#REF!,"")</f>
        <v/>
      </c>
      <c r="JY69" s="125" t="str">
        <f>IF(ISNUMBER(outYear),JY39+JY44+#REF!+#REF!,"")</f>
        <v/>
      </c>
      <c r="JZ69" s="125" t="str">
        <f>IF(ISNUMBER(outYear),JZ39+JZ44+#REF!+#REF!,"")</f>
        <v/>
      </c>
      <c r="KA69" s="125" t="str">
        <f>IF(ISNUMBER(outYear),KA39+KA44+#REF!+#REF!,"")</f>
        <v/>
      </c>
      <c r="KB69" s="125" t="str">
        <f>IF(ISNUMBER(outYear),KB39+KB44+#REF!+#REF!,"")</f>
        <v/>
      </c>
      <c r="KC69" s="125" t="str">
        <f>IF(ISNUMBER(outYear),KC39+KC44+#REF!+#REF!,"")</f>
        <v/>
      </c>
      <c r="KD69" s="125" t="str">
        <f>IF(ISNUMBER(outYear),KD39+KD44+#REF!+#REF!,"")</f>
        <v/>
      </c>
      <c r="KE69" s="125" t="str">
        <f>IF(ISNUMBER(outYear),KE39+KE44+#REF!+#REF!,"")</f>
        <v/>
      </c>
      <c r="KF69" s="125" t="str">
        <f>IF(ISNUMBER(outYear),KF39+KF44+#REF!+#REF!,"")</f>
        <v/>
      </c>
      <c r="KG69" s="125" t="str">
        <f>IF(ISNUMBER(outYear),KG39+KG44+#REF!+#REF!,"")</f>
        <v/>
      </c>
      <c r="KH69" s="125" t="str">
        <f>IF(ISNUMBER(outYear),KH39+KH44+#REF!+#REF!,"")</f>
        <v/>
      </c>
      <c r="KI69" s="125" t="str">
        <f>IF(ISNUMBER(outYear),KI39+KI44+#REF!+#REF!,"")</f>
        <v/>
      </c>
      <c r="KJ69" s="125" t="str">
        <f>IF(ISNUMBER(outYear),KJ39+KJ44+#REF!+#REF!,"")</f>
        <v/>
      </c>
      <c r="KK69" s="125" t="str">
        <f>IF(ISNUMBER(outYear),KK39+KK44+#REF!+#REF!,"")</f>
        <v/>
      </c>
      <c r="KL69" s="125" t="str">
        <f>IF(ISNUMBER(outYear),KL39+KL44+#REF!+#REF!,"")</f>
        <v/>
      </c>
      <c r="KM69" s="125" t="str">
        <f>IF(ISNUMBER(outYear),KM39+KM44+#REF!+#REF!,"")</f>
        <v/>
      </c>
      <c r="KN69" s="125" t="str">
        <f>IF(ISNUMBER(outYear),KN39+KN44+#REF!+#REF!,"")</f>
        <v/>
      </c>
      <c r="KO69" s="125" t="str">
        <f>IF(ISNUMBER(outYear),KO39+KO44+#REF!+#REF!,"")</f>
        <v/>
      </c>
      <c r="KP69" s="125" t="str">
        <f>IF(ISNUMBER(outYear),KP39+KP44+#REF!+#REF!,"")</f>
        <v/>
      </c>
      <c r="KQ69" s="125" t="str">
        <f>IF(ISNUMBER(outYear),KQ39+KQ44+#REF!+#REF!,"")</f>
        <v/>
      </c>
      <c r="KR69" s="125" t="str">
        <f>IF(ISNUMBER(outYear),KR39+KR44+#REF!+#REF!,"")</f>
        <v/>
      </c>
      <c r="KS69" s="125" t="str">
        <f>IF(ISNUMBER(outYear),KS39+KS44+#REF!+#REF!,"")</f>
        <v/>
      </c>
      <c r="KT69" s="125" t="str">
        <f>IF(ISNUMBER(outYear),KT39+KT44+#REF!+#REF!,"")</f>
        <v/>
      </c>
      <c r="KU69" s="125" t="str">
        <f>IF(ISNUMBER(outYear),KU39+KU44+#REF!+#REF!,"")</f>
        <v/>
      </c>
      <c r="KV69" s="125" t="str">
        <f>IF(ISNUMBER(outYear),KV39+KV44+#REF!+#REF!,"")</f>
        <v/>
      </c>
      <c r="KW69" s="125" t="str">
        <f>IF(ISNUMBER(outYear),KW39+KW44+#REF!+#REF!,"")</f>
        <v/>
      </c>
      <c r="KX69" s="125" t="str">
        <f>IF(ISNUMBER(outYear),KX39+KX44+#REF!+#REF!,"")</f>
        <v/>
      </c>
      <c r="KY69" s="125" t="str">
        <f>IF(ISNUMBER(outYear),KY39+KY44+#REF!+#REF!,"")</f>
        <v/>
      </c>
      <c r="KZ69" s="125" t="str">
        <f>IF(ISNUMBER(outYear),KZ39+KZ44+#REF!+#REF!,"")</f>
        <v/>
      </c>
      <c r="LA69" s="125" t="str">
        <f>IF(ISNUMBER(outYear),LA39+LA44+#REF!+#REF!,"")</f>
        <v/>
      </c>
      <c r="LB69" s="125" t="str">
        <f>IF(ISNUMBER(outYear),LB39+LB44+#REF!+#REF!,"")</f>
        <v/>
      </c>
      <c r="LC69" s="125" t="str">
        <f>IF(ISNUMBER(outYear),LC39+LC44+#REF!+#REF!,"")</f>
        <v/>
      </c>
      <c r="LD69" s="125" t="str">
        <f>IF(ISNUMBER(outYear),LD39+LD44+#REF!+#REF!,"")</f>
        <v/>
      </c>
      <c r="LE69" s="125" t="str">
        <f>IF(ISNUMBER(outYear),LE39+LE44+#REF!+#REF!,"")</f>
        <v/>
      </c>
      <c r="LF69" s="125" t="str">
        <f>IF(ISNUMBER(outYear),LF39+LF44+#REF!+#REF!,"")</f>
        <v/>
      </c>
      <c r="LG69" s="125" t="str">
        <f>IF(ISNUMBER(outYear),LG39+LG44+#REF!+#REF!,"")</f>
        <v/>
      </c>
      <c r="LH69" s="125" t="str">
        <f>IF(ISNUMBER(outYear),LH39+LH44+#REF!+#REF!,"")</f>
        <v/>
      </c>
      <c r="LI69" s="125" t="str">
        <f>IF(ISNUMBER(outYear),LI39+LI44+#REF!+#REF!,"")</f>
        <v/>
      </c>
      <c r="LJ69" s="125" t="str">
        <f>IF(ISNUMBER(outYear),LJ39+LJ44+#REF!+#REF!,"")</f>
        <v/>
      </c>
      <c r="LK69" s="125" t="str">
        <f>IF(ISNUMBER(outYear),LK39+LK44+#REF!+#REF!,"")</f>
        <v/>
      </c>
      <c r="LL69" s="125" t="str">
        <f>IF(ISNUMBER(outYear),LL39+LL44+#REF!+#REF!,"")</f>
        <v/>
      </c>
      <c r="LM69" s="125" t="str">
        <f>IF(ISNUMBER(outYear),LM39+LM44+#REF!+#REF!,"")</f>
        <v/>
      </c>
      <c r="LN69" s="125" t="str">
        <f>IF(ISNUMBER(outYear),LN39+LN44+#REF!+#REF!,"")</f>
        <v/>
      </c>
      <c r="LO69" s="125" t="str">
        <f>IF(ISNUMBER(outYear),LO39+LO44+#REF!+#REF!,"")</f>
        <v/>
      </c>
      <c r="LP69" s="125" t="str">
        <f>IF(ISNUMBER(outYear),LP39+LP44+#REF!+#REF!,"")</f>
        <v/>
      </c>
      <c r="LQ69" s="125" t="str">
        <f>IF(ISNUMBER(outYear),LQ39+LQ44+#REF!+#REF!,"")</f>
        <v/>
      </c>
      <c r="LR69" s="125" t="str">
        <f>IF(ISNUMBER(outYear),LR39+LR44+#REF!+#REF!,"")</f>
        <v/>
      </c>
      <c r="LS69" s="125" t="str">
        <f>IF(ISNUMBER(outYear),LS39+LS44+#REF!+#REF!,"")</f>
        <v/>
      </c>
      <c r="LT69" s="125" t="str">
        <f>IF(ISNUMBER(outYear),LT39+LT44+#REF!+#REF!,"")</f>
        <v/>
      </c>
      <c r="LU69" s="125" t="str">
        <f>IF(ISNUMBER(outYear),LU39+LU44+#REF!+#REF!,"")</f>
        <v/>
      </c>
      <c r="LV69" s="125" t="str">
        <f>IF(ISNUMBER(outYear),LV39+LV44+#REF!+#REF!,"")</f>
        <v/>
      </c>
      <c r="LW69" s="125" t="str">
        <f>IF(ISNUMBER(outYear),LW39+LW44+#REF!+#REF!,"")</f>
        <v/>
      </c>
      <c r="LX69" s="125" t="str">
        <f>IF(ISNUMBER(outYear),LX39+LX44+#REF!+#REF!,"")</f>
        <v/>
      </c>
      <c r="LY69" s="125" t="str">
        <f>IF(ISNUMBER(outYear),LY39+LY44+#REF!+#REF!,"")</f>
        <v/>
      </c>
      <c r="LZ69" s="125" t="str">
        <f>IF(ISNUMBER(outYear),LZ39+LZ44+#REF!+#REF!,"")</f>
        <v/>
      </c>
      <c r="MA69" s="125" t="str">
        <f>IF(ISNUMBER(outYear),MA39+MA44+#REF!+#REF!,"")</f>
        <v/>
      </c>
      <c r="MB69" s="125" t="str">
        <f>IF(ISNUMBER(outYear),MB39+MB44+#REF!+#REF!,"")</f>
        <v/>
      </c>
      <c r="MC69" s="125" t="str">
        <f>IF(ISNUMBER(outYear),MC39+MC44+#REF!+#REF!,"")</f>
        <v/>
      </c>
      <c r="MD69" s="125" t="str">
        <f>IF(ISNUMBER(outYear),MD39+MD44+#REF!+#REF!,"")</f>
        <v/>
      </c>
      <c r="ME69" s="125" t="str">
        <f>IF(ISNUMBER(outYear),ME39+ME44+#REF!+#REF!,"")</f>
        <v/>
      </c>
      <c r="MF69" s="125" t="str">
        <f>IF(ISNUMBER(outYear),MF39+MF44+#REF!+#REF!,"")</f>
        <v/>
      </c>
      <c r="MG69" s="125" t="str">
        <f>IF(ISNUMBER(outYear),MG39+MG44+#REF!+#REF!,"")</f>
        <v/>
      </c>
      <c r="MH69" s="125" t="str">
        <f>IF(ISNUMBER(outYear),MH39+MH44+#REF!+#REF!,"")</f>
        <v/>
      </c>
      <c r="MI69" s="125" t="str">
        <f>IF(ISNUMBER(outYear),MI39+MI44+#REF!+#REF!,"")</f>
        <v/>
      </c>
      <c r="MJ69" s="125" t="str">
        <f>IF(ISNUMBER(outYear),MJ39+MJ44+#REF!+#REF!,"")</f>
        <v/>
      </c>
      <c r="MK69" s="125" t="str">
        <f>IF(ISNUMBER(outYear),MK39+MK44+#REF!+#REF!,"")</f>
        <v/>
      </c>
      <c r="ML69" s="125" t="str">
        <f>IF(ISNUMBER(outYear),ML39+ML44+#REF!+#REF!,"")</f>
        <v/>
      </c>
      <c r="MM69" s="125" t="str">
        <f>IF(ISNUMBER(outYear),MM39+MM44+#REF!+#REF!,"")</f>
        <v/>
      </c>
      <c r="MN69" s="125" t="str">
        <f>IF(ISNUMBER(outYear),MN39+MN44+#REF!+#REF!,"")</f>
        <v/>
      </c>
      <c r="MO69" s="125" t="str">
        <f>IF(ISNUMBER(outYear),MO39+MO44+#REF!+#REF!,"")</f>
        <v/>
      </c>
      <c r="MP69" s="125" t="str">
        <f>IF(ISNUMBER(outYear),MP39+MP44+#REF!+#REF!,"")</f>
        <v/>
      </c>
      <c r="MQ69" s="125" t="str">
        <f>IF(ISNUMBER(outYear),MQ39+MQ44+#REF!+#REF!,"")</f>
        <v/>
      </c>
      <c r="MR69" s="125" t="str">
        <f>IF(ISNUMBER(outYear),MR39+MR44+#REF!+#REF!,"")</f>
        <v/>
      </c>
      <c r="MS69" s="125" t="str">
        <f>IF(ISNUMBER(outYear),MS39+MS44+#REF!+#REF!,"")</f>
        <v/>
      </c>
      <c r="MT69" s="125" t="str">
        <f>IF(ISNUMBER(outYear),MT39+MT44+#REF!+#REF!,"")</f>
        <v/>
      </c>
      <c r="MU69" s="125" t="str">
        <f>IF(ISNUMBER(outYear),MU39+MU44+#REF!+#REF!,"")</f>
        <v/>
      </c>
      <c r="MV69" s="125" t="str">
        <f>IF(ISNUMBER(outYear),MV39+MV44+#REF!+#REF!,"")</f>
        <v/>
      </c>
      <c r="MW69" s="125" t="str">
        <f>IF(ISNUMBER(outYear),MW39+MW44+#REF!+#REF!,"")</f>
        <v/>
      </c>
      <c r="MX69" s="125" t="str">
        <f>IF(ISNUMBER(outYear),MX39+MX44+#REF!+#REF!,"")</f>
        <v/>
      </c>
      <c r="MY69" s="125" t="str">
        <f>IF(ISNUMBER(outYear),MY39+MY44+#REF!+#REF!,"")</f>
        <v/>
      </c>
      <c r="MZ69" s="125" t="str">
        <f>IF(ISNUMBER(outYear),MZ39+MZ44+#REF!+#REF!,"")</f>
        <v/>
      </c>
      <c r="NA69" s="125" t="str">
        <f>IF(ISNUMBER(outYear),NA39+NA44+#REF!+#REF!,"")</f>
        <v/>
      </c>
      <c r="NB69" s="125" t="str">
        <f>IF(ISNUMBER(outYear),NB39+NB44+#REF!+#REF!,"")</f>
        <v/>
      </c>
      <c r="NC69" s="125" t="str">
        <f>IF(ISNUMBER(outYear),NC39+NC44+#REF!+#REF!,"")</f>
        <v/>
      </c>
      <c r="ND69" s="125" t="str">
        <f>IF(ISNUMBER(outYear),ND39+ND44+#REF!+#REF!,"")</f>
        <v/>
      </c>
      <c r="NE69" s="125" t="str">
        <f>IF(ISNUMBER(outYear),NE39+NE44+#REF!+#REF!,"")</f>
        <v/>
      </c>
      <c r="NF69" s="125" t="str">
        <f>IF(ISNUMBER(outYear),NF39+NF44+#REF!+#REF!,"")</f>
        <v/>
      </c>
      <c r="NG69" s="125" t="str">
        <f>IF(ISNUMBER(outYear),NG39+NG44+#REF!+#REF!,"")</f>
        <v/>
      </c>
      <c r="NH69" s="125" t="str">
        <f>IF(ISNUMBER(outYear),NH39+NH44+#REF!+#REF!,"")</f>
        <v/>
      </c>
      <c r="NI69" s="125" t="str">
        <f>IF(ISNUMBER(outYear),NI39+NI44+#REF!+#REF!,"")</f>
        <v/>
      </c>
      <c r="NJ69" s="125" t="str">
        <f>IF(ISNUMBER(outYear),NJ39+NJ44+#REF!+#REF!,"")</f>
        <v/>
      </c>
      <c r="NK69" s="125" t="str">
        <f>IF(ISNUMBER(outYear),NK39+NK44+#REF!+#REF!,"")</f>
        <v/>
      </c>
      <c r="NL69" s="125" t="str">
        <f>IF(ISNUMBER(outYear),NL39+NL44+#REF!+#REF!,"")</f>
        <v/>
      </c>
      <c r="NM69" s="125" t="str">
        <f>IF(ISNUMBER(outYear),NM39+NM44+#REF!+#REF!,"")</f>
        <v/>
      </c>
      <c r="NN69" s="125" t="str">
        <f>IF(ISNUMBER(outYear),NN39+NN44+#REF!+#REF!,"")</f>
        <v/>
      </c>
      <c r="NO69" s="125" t="str">
        <f>IF(ISNUMBER(outYear),NO39+NO44+#REF!+#REF!,"")</f>
        <v/>
      </c>
      <c r="NP69" s="125" t="str">
        <f>IF(ISNUMBER(outYear),NP39+NP44+#REF!+#REF!,"")</f>
        <v/>
      </c>
      <c r="NQ69" s="125" t="str">
        <f>IF(ISNUMBER(outYear),NQ39+NQ44+#REF!+#REF!,"")</f>
        <v/>
      </c>
      <c r="NR69" s="125" t="str">
        <f>IF(ISNUMBER(outYear),NR39+NR44+#REF!+#REF!,"")</f>
        <v/>
      </c>
      <c r="NS69" s="125" t="str">
        <f>IF(ISNUMBER(outYear),NS39+NS44+#REF!+#REF!,"")</f>
        <v/>
      </c>
      <c r="NT69" s="125" t="str">
        <f>IF(ISNUMBER(outYear),NT39+NT44+#REF!+#REF!,"")</f>
        <v/>
      </c>
      <c r="NU69" s="125" t="str">
        <f>IF(ISNUMBER(outYear),NU39+NU44+#REF!+#REF!,"")</f>
        <v/>
      </c>
      <c r="NV69" s="125" t="str">
        <f>IF(ISNUMBER(outYear),NV39+NV44+#REF!+#REF!,"")</f>
        <v/>
      </c>
      <c r="NW69" s="125" t="str">
        <f>IF(ISNUMBER(outYear),NW39+NW44+#REF!+#REF!,"")</f>
        <v/>
      </c>
      <c r="NX69" s="125" t="str">
        <f>IF(ISNUMBER(outYear),NX39+NX44+#REF!+#REF!,"")</f>
        <v/>
      </c>
      <c r="NY69" s="125" t="str">
        <f>IF(ISNUMBER(outYear),NY39+NY44+#REF!+#REF!,"")</f>
        <v/>
      </c>
      <c r="NZ69" s="125" t="str">
        <f>IF(ISNUMBER(outYear),NZ39+NZ44+#REF!+#REF!,"")</f>
        <v/>
      </c>
      <c r="OA69" s="125" t="str">
        <f>IF(ISNUMBER(outYear),OA39+OA44+#REF!+#REF!,"")</f>
        <v/>
      </c>
      <c r="OB69" s="125" t="str">
        <f>IF(ISNUMBER(outYear),OB39+OB44+#REF!+#REF!,"")</f>
        <v/>
      </c>
      <c r="OC69" s="125" t="str">
        <f>IF(ISNUMBER(outYear),OC39+OC44+#REF!+#REF!,"")</f>
        <v/>
      </c>
      <c r="OD69" s="125" t="str">
        <f>IF(ISNUMBER(outYear),OD39+OD44+#REF!+#REF!,"")</f>
        <v/>
      </c>
      <c r="OE69" s="125" t="str">
        <f>IF(ISNUMBER(outYear),OE39+OE44+#REF!+#REF!,"")</f>
        <v/>
      </c>
      <c r="OF69" s="125" t="str">
        <f>IF(ISNUMBER(outYear),OF39+OF44+#REF!+#REF!,"")</f>
        <v/>
      </c>
      <c r="OG69" s="125" t="str">
        <f>IF(ISNUMBER(outYear),OG39+OG44+#REF!+#REF!,"")</f>
        <v/>
      </c>
      <c r="OH69" s="125" t="str">
        <f>IF(ISNUMBER(outYear),OH39+OH44+#REF!+#REF!,"")</f>
        <v/>
      </c>
      <c r="OI69" s="125" t="str">
        <f>IF(ISNUMBER(outYear),OI39+OI44+#REF!+#REF!,"")</f>
        <v/>
      </c>
      <c r="OJ69" s="125" t="str">
        <f>IF(ISNUMBER(outYear),OJ39+OJ44+#REF!+#REF!,"")</f>
        <v/>
      </c>
      <c r="OK69" s="125" t="str">
        <f>IF(ISNUMBER(outYear),OK39+OK44+#REF!+#REF!,"")</f>
        <v/>
      </c>
      <c r="OL69" s="125" t="str">
        <f>IF(ISNUMBER(outYear),OL39+OL44+#REF!+#REF!,"")</f>
        <v/>
      </c>
      <c r="OM69" s="125" t="str">
        <f>IF(ISNUMBER(outYear),OM39+OM44+#REF!+#REF!,"")</f>
        <v/>
      </c>
      <c r="ON69" s="125" t="str">
        <f>IF(ISNUMBER(outYear),ON39+ON44+#REF!+#REF!,"")</f>
        <v/>
      </c>
      <c r="OO69" s="125" t="str">
        <f>IF(ISNUMBER(outYear),OO39+OO44+#REF!+#REF!,"")</f>
        <v/>
      </c>
      <c r="OP69" s="125" t="str">
        <f>IF(ISNUMBER(outYear),OP39+OP44+#REF!+#REF!,"")</f>
        <v/>
      </c>
      <c r="OQ69" s="125" t="str">
        <f>IF(ISNUMBER(outYear),OQ39+OQ44+#REF!+#REF!,"")</f>
        <v/>
      </c>
      <c r="OR69" s="125" t="str">
        <f>IF(ISNUMBER(outYear),OR39+OR44+#REF!+#REF!,"")</f>
        <v/>
      </c>
      <c r="OS69" s="125" t="str">
        <f>IF(ISNUMBER(outYear),OS39+OS44+#REF!+#REF!,"")</f>
        <v/>
      </c>
      <c r="OT69" s="125" t="str">
        <f>IF(ISNUMBER(outYear),OT39+OT44+#REF!+#REF!,"")</f>
        <v/>
      </c>
      <c r="OU69" s="125" t="str">
        <f>IF(ISNUMBER(outYear),OU39+OU44+#REF!+#REF!,"")</f>
        <v/>
      </c>
      <c r="OV69" s="125" t="str">
        <f>IF(ISNUMBER(outYear),OV39+OV44+#REF!+#REF!,"")</f>
        <v/>
      </c>
      <c r="OW69" s="125" t="str">
        <f>IF(ISNUMBER(outYear),OW39+OW44+#REF!+#REF!,"")</f>
        <v/>
      </c>
      <c r="OX69" s="125" t="str">
        <f>IF(ISNUMBER(outYear),OX39+OX44+#REF!+#REF!,"")</f>
        <v/>
      </c>
      <c r="OY69" s="125" t="str">
        <f>IF(ISNUMBER(outYear),OY39+OY44+#REF!+#REF!,"")</f>
        <v/>
      </c>
      <c r="OZ69" s="125" t="str">
        <f>IF(ISNUMBER(outYear),OZ39+OZ44+#REF!+#REF!,"")</f>
        <v/>
      </c>
      <c r="PA69" s="125" t="str">
        <f>IF(ISNUMBER(outYear),PA39+PA44+#REF!+#REF!,"")</f>
        <v/>
      </c>
      <c r="PB69" s="125" t="str">
        <f>IF(ISNUMBER(outYear),PB39+PB44+#REF!+#REF!,"")</f>
        <v/>
      </c>
      <c r="PC69" s="125" t="str">
        <f>IF(ISNUMBER(outYear),PC39+PC44+#REF!+#REF!,"")</f>
        <v/>
      </c>
      <c r="PD69" s="125" t="str">
        <f>IF(ISNUMBER(outYear),PD39+PD44+#REF!+#REF!,"")</f>
        <v/>
      </c>
      <c r="PE69" s="125" t="str">
        <f>IF(ISNUMBER(outYear),PE39+PE44+#REF!+#REF!,"")</f>
        <v/>
      </c>
      <c r="PF69" s="125" t="str">
        <f>IF(ISNUMBER(outYear),PF39+PF44+#REF!+#REF!,"")</f>
        <v/>
      </c>
      <c r="PG69" s="125" t="str">
        <f>IF(ISNUMBER(outYear),PG39+PG44+#REF!+#REF!,"")</f>
        <v/>
      </c>
      <c r="PH69" s="125" t="str">
        <f>IF(ISNUMBER(outYear),PH39+PH44+#REF!+#REF!,"")</f>
        <v/>
      </c>
      <c r="PI69" s="125" t="str">
        <f>IF(ISNUMBER(outYear),PI39+PI44+#REF!+#REF!,"")</f>
        <v/>
      </c>
      <c r="PJ69" s="125" t="str">
        <f>IF(ISNUMBER(outYear),PJ39+PJ44+#REF!+#REF!,"")</f>
        <v/>
      </c>
      <c r="PK69" s="125" t="str">
        <f>IF(ISNUMBER(outYear),PK39+PK44+#REF!+#REF!,"")</f>
        <v/>
      </c>
      <c r="PL69" s="125" t="str">
        <f>IF(ISNUMBER(outYear),PL39+PL44+#REF!+#REF!,"")</f>
        <v/>
      </c>
      <c r="PM69" s="125" t="str">
        <f>IF(ISNUMBER(outYear),PM39+PM44+#REF!+#REF!,"")</f>
        <v/>
      </c>
      <c r="PN69" s="125" t="str">
        <f>IF(ISNUMBER(outYear),PN39+PN44+#REF!+#REF!,"")</f>
        <v/>
      </c>
      <c r="PO69" s="125" t="str">
        <f>IF(ISNUMBER(outYear),PO39+PO44+#REF!+#REF!,"")</f>
        <v/>
      </c>
      <c r="PP69" s="125" t="str">
        <f>IF(ISNUMBER(outYear),PP39+PP44+#REF!+#REF!,"")</f>
        <v/>
      </c>
      <c r="PQ69" s="125" t="str">
        <f>IF(ISNUMBER(outYear),PQ39+PQ44+#REF!+#REF!,"")</f>
        <v/>
      </c>
      <c r="PR69" s="125" t="str">
        <f>IF(ISNUMBER(outYear),PR39+PR44+#REF!+#REF!,"")</f>
        <v/>
      </c>
      <c r="PS69" s="125" t="str">
        <f>IF(ISNUMBER(outYear),PS39+PS44+#REF!+#REF!,"")</f>
        <v/>
      </c>
      <c r="PT69" s="125" t="str">
        <f>IF(ISNUMBER(outYear),PT39+PT44+#REF!+#REF!,"")</f>
        <v/>
      </c>
      <c r="PU69" s="125" t="str">
        <f>IF(ISNUMBER(outYear),PU39+PU44+#REF!+#REF!,"")</f>
        <v/>
      </c>
      <c r="PV69" s="125" t="str">
        <f>IF(ISNUMBER(outYear),PV39+PV44+#REF!+#REF!,"")</f>
        <v/>
      </c>
      <c r="PW69" s="125" t="str">
        <f>IF(ISNUMBER(outYear),PW39+PW44+#REF!+#REF!,"")</f>
        <v/>
      </c>
      <c r="PX69" s="125" t="str">
        <f>IF(ISNUMBER(outYear),PX39+PX44+#REF!+#REF!,"")</f>
        <v/>
      </c>
      <c r="PY69" s="125" t="str">
        <f>IF(ISNUMBER(outYear),PY39+PY44+#REF!+#REF!,"")</f>
        <v/>
      </c>
      <c r="PZ69" s="125" t="str">
        <f>IF(ISNUMBER(outYear),PZ39+PZ44+#REF!+#REF!,"")</f>
        <v/>
      </c>
      <c r="QA69" s="125" t="str">
        <f>IF(ISNUMBER(outYear),QA39+QA44+#REF!+#REF!,"")</f>
        <v/>
      </c>
      <c r="QB69" s="125" t="str">
        <f>IF(ISNUMBER(outYear),QB39+QB44+#REF!+#REF!,"")</f>
        <v/>
      </c>
      <c r="QC69" s="125" t="str">
        <f>IF(ISNUMBER(outYear),QC39+QC44+#REF!+#REF!,"")</f>
        <v/>
      </c>
      <c r="QD69" s="125" t="str">
        <f>IF(ISNUMBER(outYear),QD39+QD44+#REF!+#REF!,"")</f>
        <v/>
      </c>
      <c r="QE69" s="125" t="str">
        <f>IF(ISNUMBER(outYear),QE39+QE44+#REF!+#REF!,"")</f>
        <v/>
      </c>
      <c r="QF69" s="125" t="str">
        <f>IF(ISNUMBER(outYear),QF39+QF44+#REF!+#REF!,"")</f>
        <v/>
      </c>
      <c r="QG69" s="125" t="str">
        <f>IF(ISNUMBER(outYear),QG39+QG44+#REF!+#REF!,"")</f>
        <v/>
      </c>
      <c r="QH69" s="125" t="str">
        <f>IF(ISNUMBER(outYear),QH39+QH44+#REF!+#REF!,"")</f>
        <v/>
      </c>
      <c r="QI69" s="125" t="str">
        <f>IF(ISNUMBER(outYear),QI39+QI44+#REF!+#REF!,"")</f>
        <v/>
      </c>
      <c r="QJ69" s="125" t="str">
        <f>IF(ISNUMBER(outYear),QJ39+QJ44+#REF!+#REF!,"")</f>
        <v/>
      </c>
      <c r="QK69" s="125" t="str">
        <f>IF(ISNUMBER(outYear),QK39+QK44+#REF!+#REF!,"")</f>
        <v/>
      </c>
      <c r="QL69" s="125" t="str">
        <f>IF(ISNUMBER(outYear),QL39+QL44+#REF!+#REF!,"")</f>
        <v/>
      </c>
      <c r="QM69" s="125" t="str">
        <f>IF(ISNUMBER(outYear),QM39+QM44+#REF!+#REF!,"")</f>
        <v/>
      </c>
      <c r="QN69" s="125" t="str">
        <f>IF(ISNUMBER(outYear),QN39+QN44+#REF!+#REF!,"")</f>
        <v/>
      </c>
      <c r="QO69" s="125" t="str">
        <f>IF(ISNUMBER(outYear),QO39+QO44+#REF!+#REF!,"")</f>
        <v/>
      </c>
      <c r="QP69" s="125" t="str">
        <f>IF(ISNUMBER(outYear),QP39+QP44+#REF!+#REF!,"")</f>
        <v/>
      </c>
      <c r="QQ69" s="125" t="str">
        <f>IF(ISNUMBER(outYear),QQ39+QQ44+#REF!+#REF!,"")</f>
        <v/>
      </c>
      <c r="QR69" s="125" t="str">
        <f>IF(ISNUMBER(outYear),QR39+QR44+#REF!+#REF!,"")</f>
        <v/>
      </c>
      <c r="QS69" s="125" t="str">
        <f>IF(ISNUMBER(outYear),QS39+QS44+#REF!+#REF!,"")</f>
        <v/>
      </c>
      <c r="QT69" s="125" t="str">
        <f>IF(ISNUMBER(outYear),QT39+QT44+#REF!+#REF!,"")</f>
        <v/>
      </c>
      <c r="QU69" s="125" t="str">
        <f>IF(ISNUMBER(outYear),QU39+QU44+#REF!+#REF!,"")</f>
        <v/>
      </c>
      <c r="QV69" s="125" t="str">
        <f>IF(ISNUMBER(outYear),QV39+QV44+#REF!+#REF!,"")</f>
        <v/>
      </c>
      <c r="QW69" s="125" t="str">
        <f>IF(ISNUMBER(outYear),QW39+QW44+#REF!+#REF!,"")</f>
        <v/>
      </c>
      <c r="QX69" s="125" t="str">
        <f>IF(ISNUMBER(outYear),QX39+QX44+#REF!+#REF!,"")</f>
        <v/>
      </c>
      <c r="QY69" s="125" t="str">
        <f>IF(ISNUMBER(outYear),QY39+QY44+#REF!+#REF!,"")</f>
        <v/>
      </c>
      <c r="QZ69" s="125" t="str">
        <f>IF(ISNUMBER(outYear),QZ39+QZ44+#REF!+#REF!,"")</f>
        <v/>
      </c>
      <c r="RA69" s="125" t="str">
        <f>IF(ISNUMBER(outYear),RA39+RA44+#REF!+#REF!,"")</f>
        <v/>
      </c>
      <c r="RB69" s="125" t="str">
        <f>IF(ISNUMBER(outYear),RB39+RB44+#REF!+#REF!,"")</f>
        <v/>
      </c>
      <c r="RC69" s="125" t="str">
        <f>IF(ISNUMBER(outYear),RC39+RC44+#REF!+#REF!,"")</f>
        <v/>
      </c>
      <c r="RD69" s="125" t="str">
        <f>IF(ISNUMBER(outYear),RD39+RD44+#REF!+#REF!,"")</f>
        <v/>
      </c>
      <c r="RE69" s="125" t="str">
        <f>IF(ISNUMBER(outYear),RE39+RE44+#REF!+#REF!,"")</f>
        <v/>
      </c>
      <c r="RF69" s="125" t="str">
        <f>IF(ISNUMBER(outYear),RF39+RF44+#REF!+#REF!,"")</f>
        <v/>
      </c>
      <c r="RG69" s="125" t="str">
        <f>IF(ISNUMBER(outYear),RG39+RG44+#REF!+#REF!,"")</f>
        <v/>
      </c>
      <c r="RH69" s="125" t="str">
        <f>IF(ISNUMBER(outYear),RH39+RH44+#REF!+#REF!,"")</f>
        <v/>
      </c>
      <c r="RI69" s="125" t="str">
        <f>IF(ISNUMBER(outYear),RI39+RI44+#REF!+#REF!,"")</f>
        <v/>
      </c>
      <c r="RJ69" s="125" t="str">
        <f>IF(ISNUMBER(outYear),RJ39+RJ44+#REF!+#REF!,"")</f>
        <v/>
      </c>
      <c r="RK69" s="125" t="str">
        <f>IF(ISNUMBER(outYear),RK39+RK44+#REF!+#REF!,"")</f>
        <v/>
      </c>
      <c r="RL69" s="125" t="str">
        <f>IF(ISNUMBER(outYear),RL39+RL44+#REF!+#REF!,"")</f>
        <v/>
      </c>
      <c r="RM69" s="125" t="str">
        <f>IF(ISNUMBER(outYear),RM39+RM44+#REF!+#REF!,"")</f>
        <v/>
      </c>
      <c r="RN69" s="125" t="str">
        <f>IF(ISNUMBER(outYear),RN39+RN44+#REF!+#REF!,"")</f>
        <v/>
      </c>
      <c r="RO69" s="125" t="str">
        <f>IF(ISNUMBER(outYear),RO39+RO44+#REF!+#REF!,"")</f>
        <v/>
      </c>
      <c r="RP69" s="125" t="str">
        <f>IF(ISNUMBER(outYear),RP39+RP44+#REF!+#REF!,"")</f>
        <v/>
      </c>
      <c r="RQ69" s="125" t="str">
        <f>IF(ISNUMBER(outYear),RQ39+RQ44+#REF!+#REF!,"")</f>
        <v/>
      </c>
      <c r="RR69" s="125" t="str">
        <f>IF(ISNUMBER(outYear),RR39+RR44+#REF!+#REF!,"")</f>
        <v/>
      </c>
      <c r="RS69" s="125" t="str">
        <f>IF(ISNUMBER(outYear),RS39+RS44+#REF!+#REF!,"")</f>
        <v/>
      </c>
      <c r="RT69" s="125" t="str">
        <f>IF(ISNUMBER(outYear),RT39+RT44+#REF!+#REF!,"")</f>
        <v/>
      </c>
      <c r="RU69" s="125" t="str">
        <f>IF(ISNUMBER(outYear),RU39+RU44+#REF!+#REF!,"")</f>
        <v/>
      </c>
      <c r="RV69" s="125" t="str">
        <f>IF(ISNUMBER(outYear),RV39+RV44+#REF!+#REF!,"")</f>
        <v/>
      </c>
      <c r="RW69" s="125" t="str">
        <f>IF(ISNUMBER(outYear),RW39+RW44+#REF!+#REF!,"")</f>
        <v/>
      </c>
      <c r="RX69" s="125" t="str">
        <f>IF(ISNUMBER(outYear),RX39+RX44+#REF!+#REF!,"")</f>
        <v/>
      </c>
      <c r="RY69" s="125" t="str">
        <f>IF(ISNUMBER(outYear),RY39+RY44+#REF!+#REF!,"")</f>
        <v/>
      </c>
      <c r="RZ69" s="125" t="str">
        <f>IF(ISNUMBER(outYear),RZ39+RZ44+#REF!+#REF!,"")</f>
        <v/>
      </c>
      <c r="SA69" s="125" t="str">
        <f>IF(ISNUMBER(outYear),SA39+SA44+#REF!+#REF!,"")</f>
        <v/>
      </c>
      <c r="SB69" s="125" t="str">
        <f>IF(ISNUMBER(outYear),SB39+SB44+#REF!+#REF!,"")</f>
        <v/>
      </c>
      <c r="SC69" s="125" t="str">
        <f>IF(ISNUMBER(outYear),SC39+SC44+#REF!+#REF!,"")</f>
        <v/>
      </c>
      <c r="SD69" s="125" t="str">
        <f>IF(ISNUMBER(outYear),SD39+SD44+#REF!+#REF!,"")</f>
        <v/>
      </c>
      <c r="SE69" s="125" t="str">
        <f>IF(ISNUMBER(outYear),SE39+SE44+#REF!+#REF!,"")</f>
        <v/>
      </c>
      <c r="SF69" s="125" t="str">
        <f>IF(ISNUMBER(outYear),SF39+SF44+#REF!+#REF!,"")</f>
        <v/>
      </c>
      <c r="SG69" s="125" t="str">
        <f>IF(ISNUMBER(outYear),SG39+SG44+#REF!+#REF!,"")</f>
        <v/>
      </c>
      <c r="SH69" s="125" t="str">
        <f>IF(ISNUMBER(outYear),SH39+SH44+#REF!+#REF!,"")</f>
        <v/>
      </c>
      <c r="SI69" s="125" t="str">
        <f>IF(ISNUMBER(outYear),SI39+SI44+#REF!+#REF!,"")</f>
        <v/>
      </c>
      <c r="SJ69" s="125" t="str">
        <f>IF(ISNUMBER(outYear),SJ39+SJ44+#REF!+#REF!,"")</f>
        <v/>
      </c>
      <c r="SK69" s="125" t="str">
        <f>IF(ISNUMBER(outYear),SK39+SK44+#REF!+#REF!,"")</f>
        <v/>
      </c>
      <c r="SL69" s="125" t="str">
        <f>IF(ISNUMBER(outYear),SL39+SL44+#REF!+#REF!,"")</f>
        <v/>
      </c>
      <c r="SM69" s="125" t="str">
        <f>IF(ISNUMBER(outYear),SM39+SM44+#REF!+#REF!,"")</f>
        <v/>
      </c>
      <c r="SN69" s="125" t="str">
        <f>IF(ISNUMBER(outYear),SN39+SN44+#REF!+#REF!,"")</f>
        <v/>
      </c>
      <c r="SO69" s="125" t="str">
        <f>IF(ISNUMBER(outYear),SO39+SO44+#REF!+#REF!,"")</f>
        <v/>
      </c>
      <c r="SP69" s="125" t="str">
        <f>IF(ISNUMBER(outYear),SP39+SP44+#REF!+#REF!,"")</f>
        <v/>
      </c>
      <c r="SQ69" s="125" t="str">
        <f>IF(ISNUMBER(outYear),SQ39+SQ44+#REF!+#REF!,"")</f>
        <v/>
      </c>
      <c r="SR69" s="125" t="str">
        <f>IF(ISNUMBER(outYear),SR39+SR44+#REF!+#REF!,"")</f>
        <v/>
      </c>
      <c r="SS69" s="125" t="str">
        <f>IF(ISNUMBER(outYear),SS39+SS44+#REF!+#REF!,"")</f>
        <v/>
      </c>
      <c r="ST69" s="125" t="str">
        <f>IF(ISNUMBER(outYear),ST39+ST44+#REF!+#REF!,"")</f>
        <v/>
      </c>
      <c r="SU69" s="125" t="str">
        <f>IF(ISNUMBER(outYear),SU39+SU44+#REF!+#REF!,"")</f>
        <v/>
      </c>
      <c r="SV69" s="125" t="str">
        <f>IF(ISNUMBER(outYear),SV39+SV44+#REF!+#REF!,"")</f>
        <v/>
      </c>
      <c r="SW69" s="125" t="str">
        <f>IF(ISNUMBER(outYear),SW39+SW44+#REF!+#REF!,"")</f>
        <v/>
      </c>
      <c r="SX69" s="125" t="str">
        <f>IF(ISNUMBER(outYear),SX39+SX44+#REF!+#REF!,"")</f>
        <v/>
      </c>
      <c r="SY69" s="125" t="str">
        <f>IF(ISNUMBER(outYear),SY39+SY44+#REF!+#REF!,"")</f>
        <v/>
      </c>
      <c r="SZ69" s="125" t="str">
        <f>IF(ISNUMBER(outYear),SZ39+SZ44+#REF!+#REF!,"")</f>
        <v/>
      </c>
      <c r="TA69" s="125" t="str">
        <f>IF(ISNUMBER(outYear),TA39+TA44+#REF!+#REF!,"")</f>
        <v/>
      </c>
      <c r="TB69" s="125" t="str">
        <f>IF(ISNUMBER(outYear),TB39+TB44+#REF!+#REF!,"")</f>
        <v/>
      </c>
      <c r="TC69" s="125" t="str">
        <f>IF(ISNUMBER(outYear),TC39+TC44+#REF!+#REF!,"")</f>
        <v/>
      </c>
      <c r="TD69" s="125" t="str">
        <f>IF(ISNUMBER(outYear),TD39+TD44+#REF!+#REF!,"")</f>
        <v/>
      </c>
      <c r="TE69" s="125" t="str">
        <f>IF(ISNUMBER(outYear),TE39+TE44+#REF!+#REF!,"")</f>
        <v/>
      </c>
      <c r="TF69" s="125" t="str">
        <f>IF(ISNUMBER(outYear),TF39+TF44+#REF!+#REF!,"")</f>
        <v/>
      </c>
      <c r="TG69" s="125" t="str">
        <f>IF(ISNUMBER(outYear),TG39+TG44+#REF!+#REF!,"")</f>
        <v/>
      </c>
      <c r="TH69" s="125" t="str">
        <f>IF(ISNUMBER(outYear),TH39+TH44+#REF!+#REF!,"")</f>
        <v/>
      </c>
      <c r="TI69" s="125" t="str">
        <f>IF(ISNUMBER(outYear),TI39+TI44+#REF!+#REF!,"")</f>
        <v/>
      </c>
      <c r="TJ69" s="125" t="str">
        <f>IF(ISNUMBER(outYear),TJ39+TJ44+#REF!+#REF!,"")</f>
        <v/>
      </c>
      <c r="TK69" s="125" t="str">
        <f>IF(ISNUMBER(outYear),TK39+TK44+#REF!+#REF!,"")</f>
        <v/>
      </c>
      <c r="TL69" s="125" t="str">
        <f>IF(ISNUMBER(outYear),TL39+TL44+#REF!+#REF!,"")</f>
        <v/>
      </c>
      <c r="TM69" s="125" t="str">
        <f>IF(ISNUMBER(outYear),TM39+TM44+#REF!+#REF!,"")</f>
        <v/>
      </c>
      <c r="TN69" s="125" t="str">
        <f>IF(ISNUMBER(outYear),TN39+TN44+#REF!+#REF!,"")</f>
        <v/>
      </c>
      <c r="TO69" s="125" t="str">
        <f>IF(ISNUMBER(outYear),TO39+TO44+#REF!+#REF!,"")</f>
        <v/>
      </c>
      <c r="TP69" s="125" t="str">
        <f>IF(ISNUMBER(outYear),TP39+TP44+#REF!+#REF!,"")</f>
        <v/>
      </c>
      <c r="TQ69" s="125" t="str">
        <f>IF(ISNUMBER(outYear),TQ39+TQ44+#REF!+#REF!,"")</f>
        <v/>
      </c>
      <c r="TR69" s="125" t="str">
        <f>IF(ISNUMBER(outYear),TR39+TR44+#REF!+#REF!,"")</f>
        <v/>
      </c>
      <c r="TS69" s="125" t="str">
        <f>IF(ISNUMBER(outYear),TS39+TS44+#REF!+#REF!,"")</f>
        <v/>
      </c>
      <c r="TT69" s="125" t="str">
        <f>IF(ISNUMBER(outYear),TT39+TT44+#REF!+#REF!,"")</f>
        <v/>
      </c>
      <c r="TU69" s="125" t="str">
        <f>IF(ISNUMBER(outYear),TU39+TU44+#REF!+#REF!,"")</f>
        <v/>
      </c>
      <c r="TV69" s="125" t="str">
        <f>IF(ISNUMBER(outYear),TV39+TV44+#REF!+#REF!,"")</f>
        <v/>
      </c>
      <c r="TW69" s="125" t="str">
        <f>IF(ISNUMBER(outYear),TW39+TW44+#REF!+#REF!,"")</f>
        <v/>
      </c>
      <c r="TX69" s="125" t="str">
        <f>IF(ISNUMBER(outYear),TX39+TX44+#REF!+#REF!,"")</f>
        <v/>
      </c>
      <c r="TY69" s="125" t="str">
        <f>IF(ISNUMBER(outYear),TY39+TY44+#REF!+#REF!,"")</f>
        <v/>
      </c>
      <c r="TZ69" s="125" t="str">
        <f>IF(ISNUMBER(outYear),TZ39+TZ44+#REF!+#REF!,"")</f>
        <v/>
      </c>
      <c r="UA69" s="125" t="str">
        <f>IF(ISNUMBER(outYear),UA39+UA44+#REF!+#REF!,"")</f>
        <v/>
      </c>
      <c r="UB69" s="125" t="str">
        <f>IF(ISNUMBER(outYear),UB39+UB44+#REF!+#REF!,"")</f>
        <v/>
      </c>
      <c r="UC69" s="125" t="str">
        <f>IF(ISNUMBER(outYear),UC39+UC44+#REF!+#REF!,"")</f>
        <v/>
      </c>
      <c r="UD69" s="125" t="str">
        <f>IF(ISNUMBER(outYear),UD39+UD44+#REF!+#REF!,"")</f>
        <v/>
      </c>
      <c r="UE69" s="125" t="str">
        <f>IF(ISNUMBER(outYear),UE39+UE44+#REF!+#REF!,"")</f>
        <v/>
      </c>
      <c r="UF69" s="125" t="str">
        <f>IF(ISNUMBER(outYear),UF39+UF44+#REF!+#REF!,"")</f>
        <v/>
      </c>
      <c r="UG69" s="125" t="str">
        <f>IF(ISNUMBER(outYear),UG39+UG44+#REF!+#REF!,"")</f>
        <v/>
      </c>
      <c r="UH69" s="125" t="str">
        <f>IF(ISNUMBER(outYear),UH39+UH44+#REF!+#REF!,"")</f>
        <v/>
      </c>
      <c r="UI69" s="125" t="str">
        <f>IF(ISNUMBER(outYear),UI39+UI44+#REF!+#REF!,"")</f>
        <v/>
      </c>
      <c r="UJ69" s="125" t="str">
        <f>IF(ISNUMBER(outYear),UJ39+UJ44+#REF!+#REF!,"")</f>
        <v/>
      </c>
      <c r="UK69" s="125" t="str">
        <f>IF(ISNUMBER(outYear),UK39+UK44+#REF!+#REF!,"")</f>
        <v/>
      </c>
      <c r="UL69" s="125" t="str">
        <f>IF(ISNUMBER(outYear),UL39+UL44+#REF!+#REF!,"")</f>
        <v/>
      </c>
      <c r="UM69" s="125" t="str">
        <f>IF(ISNUMBER(outYear),UM39+UM44+#REF!+#REF!,"")</f>
        <v/>
      </c>
      <c r="UN69" s="125" t="str">
        <f>IF(ISNUMBER(outYear),UN39+UN44+#REF!+#REF!,"")</f>
        <v/>
      </c>
      <c r="UO69" s="125" t="str">
        <f>IF(ISNUMBER(outYear),UO39+UO44+#REF!+#REF!,"")</f>
        <v/>
      </c>
      <c r="UP69" s="125" t="str">
        <f>IF(ISNUMBER(outYear),UP39+UP44+#REF!+#REF!,"")</f>
        <v/>
      </c>
      <c r="UQ69" s="125" t="str">
        <f>IF(ISNUMBER(outYear),UQ39+UQ44+#REF!+#REF!,"")</f>
        <v/>
      </c>
      <c r="UR69" s="125" t="str">
        <f>IF(ISNUMBER(outYear),UR39+UR44+#REF!+#REF!,"")</f>
        <v/>
      </c>
      <c r="US69" s="125" t="str">
        <f>IF(ISNUMBER(outYear),US39+US44+#REF!+#REF!,"")</f>
        <v/>
      </c>
      <c r="UT69" s="125" t="str">
        <f>IF(ISNUMBER(outYear),UT39+UT44+#REF!+#REF!,"")</f>
        <v/>
      </c>
      <c r="UU69" s="125" t="str">
        <f>IF(ISNUMBER(outYear),UU39+UU44+#REF!+#REF!,"")</f>
        <v/>
      </c>
      <c r="UV69" s="125" t="str">
        <f>IF(ISNUMBER(outYear),UV39+UV44+#REF!+#REF!,"")</f>
        <v/>
      </c>
      <c r="UW69" s="125" t="str">
        <f>IF(ISNUMBER(outYear),UW39+UW44+#REF!+#REF!,"")</f>
        <v/>
      </c>
      <c r="UX69" s="125" t="str">
        <f>IF(ISNUMBER(outYear),UX39+UX44+#REF!+#REF!,"")</f>
        <v/>
      </c>
      <c r="UY69" s="125" t="str">
        <f>IF(ISNUMBER(outYear),UY39+UY44+#REF!+#REF!,"")</f>
        <v/>
      </c>
      <c r="UZ69" s="125" t="str">
        <f>IF(ISNUMBER(outYear),UZ39+UZ44+#REF!+#REF!,"")</f>
        <v/>
      </c>
      <c r="VA69" s="125" t="str">
        <f>IF(ISNUMBER(outYear),VA39+VA44+#REF!+#REF!,"")</f>
        <v/>
      </c>
      <c r="VB69" s="125" t="str">
        <f>IF(ISNUMBER(outYear),VB39+VB44+#REF!+#REF!,"")</f>
        <v/>
      </c>
      <c r="VC69" s="125" t="str">
        <f>IF(ISNUMBER(outYear),VC39+VC44+#REF!+#REF!,"")</f>
        <v/>
      </c>
      <c r="VD69" s="125" t="str">
        <f>IF(ISNUMBER(outYear),VD39+VD44+#REF!+#REF!,"")</f>
        <v/>
      </c>
      <c r="VE69" s="125" t="str">
        <f>IF(ISNUMBER(outYear),VE39+VE44+#REF!+#REF!,"")</f>
        <v/>
      </c>
      <c r="VF69" s="125" t="str">
        <f>IF(ISNUMBER(outYear),VF39+VF44+#REF!+#REF!,"")</f>
        <v/>
      </c>
      <c r="VG69" s="125" t="str">
        <f>IF(ISNUMBER(outYear),VG39+VG44+#REF!+#REF!,"")</f>
        <v/>
      </c>
      <c r="VH69" s="125" t="str">
        <f>IF(ISNUMBER(outYear),VH39+VH44+#REF!+#REF!,"")</f>
        <v/>
      </c>
      <c r="VI69" s="125" t="str">
        <f>IF(ISNUMBER(outYear),VI39+VI44+#REF!+#REF!,"")</f>
        <v/>
      </c>
      <c r="VJ69" s="125" t="str">
        <f>IF(ISNUMBER(outYear),VJ39+VJ44+#REF!+#REF!,"")</f>
        <v/>
      </c>
      <c r="VK69" s="125" t="str">
        <f>IF(ISNUMBER(outYear),VK39+VK44+#REF!+#REF!,"")</f>
        <v/>
      </c>
      <c r="VL69" s="125" t="str">
        <f>IF(ISNUMBER(outYear),VL39+VL44+#REF!+#REF!,"")</f>
        <v/>
      </c>
      <c r="VM69" s="125" t="str">
        <f>IF(ISNUMBER(outYear),VM39+VM44+#REF!+#REF!,"")</f>
        <v/>
      </c>
      <c r="VN69" s="125" t="str">
        <f>IF(ISNUMBER(outYear),VN39+VN44+#REF!+#REF!,"")</f>
        <v/>
      </c>
      <c r="VO69" s="125" t="str">
        <f>IF(ISNUMBER(outYear),VO39+VO44+#REF!+#REF!,"")</f>
        <v/>
      </c>
      <c r="VP69" s="125" t="str">
        <f>IF(ISNUMBER(outYear),VP39+VP44+#REF!+#REF!,"")</f>
        <v/>
      </c>
      <c r="VQ69" s="125" t="str">
        <f>IF(ISNUMBER(outYear),VQ39+VQ44+#REF!+#REF!,"")</f>
        <v/>
      </c>
      <c r="VR69" s="125" t="str">
        <f>IF(ISNUMBER(outYear),VR39+VR44+#REF!+#REF!,"")</f>
        <v/>
      </c>
      <c r="VS69" s="125" t="str">
        <f>IF(ISNUMBER(outYear),VS39+VS44+#REF!+#REF!,"")</f>
        <v/>
      </c>
      <c r="VT69" s="125" t="str">
        <f>IF(ISNUMBER(outYear),VT39+VT44+#REF!+#REF!,"")</f>
        <v/>
      </c>
      <c r="VU69" s="125" t="str">
        <f>IF(ISNUMBER(outYear),VU39+VU44+#REF!+#REF!,"")</f>
        <v/>
      </c>
      <c r="VV69" s="125" t="str">
        <f>IF(ISNUMBER(outYear),VV39+VV44+#REF!+#REF!,"")</f>
        <v/>
      </c>
      <c r="VW69" s="125" t="str">
        <f>IF(ISNUMBER(outYear),VW39+VW44+#REF!+#REF!,"")</f>
        <v/>
      </c>
      <c r="VX69" s="125" t="str">
        <f>IF(ISNUMBER(outYear),VX39+VX44+#REF!+#REF!,"")</f>
        <v/>
      </c>
      <c r="VY69" s="125" t="str">
        <f>IF(ISNUMBER(outYear),VY39+VY44+#REF!+#REF!,"")</f>
        <v/>
      </c>
      <c r="VZ69" s="125" t="str">
        <f>IF(ISNUMBER(outYear),VZ39+VZ44+#REF!+#REF!,"")</f>
        <v/>
      </c>
      <c r="WA69" s="125" t="str">
        <f>IF(ISNUMBER(outYear),WA39+WA44+#REF!+#REF!,"")</f>
        <v/>
      </c>
      <c r="WB69" s="125" t="str">
        <f>IF(ISNUMBER(outYear),WB39+WB44+#REF!+#REF!,"")</f>
        <v/>
      </c>
      <c r="WC69" s="125" t="str">
        <f>IF(ISNUMBER(outYear),WC39+WC44+#REF!+#REF!,"")</f>
        <v/>
      </c>
      <c r="WD69" s="125" t="str">
        <f>IF(ISNUMBER(outYear),WD39+WD44+#REF!+#REF!,"")</f>
        <v/>
      </c>
      <c r="WE69" s="125" t="str">
        <f>IF(ISNUMBER(outYear),WE39+WE44+#REF!+#REF!,"")</f>
        <v/>
      </c>
      <c r="WF69" s="125" t="str">
        <f>IF(ISNUMBER(outYear),WF39+WF44+#REF!+#REF!,"")</f>
        <v/>
      </c>
      <c r="WG69" s="125" t="str">
        <f>IF(ISNUMBER(outYear),WG39+WG44+#REF!+#REF!,"")</f>
        <v/>
      </c>
      <c r="WH69" s="125" t="str">
        <f>IF(ISNUMBER(outYear),WH39+WH44+#REF!+#REF!,"")</f>
        <v/>
      </c>
      <c r="WI69" s="125" t="str">
        <f>IF(ISNUMBER(outYear),WI39+WI44+#REF!+#REF!,"")</f>
        <v/>
      </c>
      <c r="WJ69" s="125" t="str">
        <f>IF(ISNUMBER(outYear),WJ39+WJ44+#REF!+#REF!,"")</f>
        <v/>
      </c>
      <c r="WK69" s="125" t="str">
        <f>IF(ISNUMBER(outYear),WK39+WK44+#REF!+#REF!,"")</f>
        <v/>
      </c>
      <c r="WL69" s="125" t="str">
        <f>IF(ISNUMBER(outYear),WL39+WL44+#REF!+#REF!,"")</f>
        <v/>
      </c>
      <c r="WM69" s="125" t="str">
        <f>IF(ISNUMBER(outYear),WM39+WM44+#REF!+#REF!,"")</f>
        <v/>
      </c>
      <c r="WN69" s="125" t="str">
        <f>IF(ISNUMBER(outYear),WN39+WN44+#REF!+#REF!,"")</f>
        <v/>
      </c>
      <c r="WO69" s="125" t="str">
        <f>IF(ISNUMBER(outYear),WO39+WO44+#REF!+#REF!,"")</f>
        <v/>
      </c>
      <c r="WP69" s="125" t="str">
        <f>IF(ISNUMBER(outYear),WP39+WP44+#REF!+#REF!,"")</f>
        <v/>
      </c>
      <c r="WQ69" s="125" t="str">
        <f>IF(ISNUMBER(outYear),WQ39+WQ44+#REF!+#REF!,"")</f>
        <v/>
      </c>
      <c r="WR69" s="125" t="str">
        <f>IF(ISNUMBER(outYear),WR39+WR44+#REF!+#REF!,"")</f>
        <v/>
      </c>
      <c r="WS69" s="125" t="str">
        <f>IF(ISNUMBER(outYear),WS39+WS44+#REF!+#REF!,"")</f>
        <v/>
      </c>
      <c r="WT69" s="125" t="str">
        <f>IF(ISNUMBER(outYear),WT39+WT44+#REF!+#REF!,"")</f>
        <v/>
      </c>
      <c r="WU69" s="125" t="str">
        <f>IF(ISNUMBER(outYear),WU39+WU44+#REF!+#REF!,"")</f>
        <v/>
      </c>
      <c r="WV69" s="125" t="str">
        <f>IF(ISNUMBER(outYear),WV39+WV44+#REF!+#REF!,"")</f>
        <v/>
      </c>
      <c r="WW69" s="125" t="str">
        <f>IF(ISNUMBER(outYear),WW39+WW44+#REF!+#REF!,"")</f>
        <v/>
      </c>
      <c r="WX69" s="125" t="str">
        <f>IF(ISNUMBER(outYear),WX39+WX44+#REF!+#REF!,"")</f>
        <v/>
      </c>
      <c r="WY69" s="125" t="str">
        <f>IF(ISNUMBER(outYear),WY39+WY44+#REF!+#REF!,"")</f>
        <v/>
      </c>
      <c r="WZ69" s="125" t="str">
        <f>IF(ISNUMBER(outYear),WZ39+WZ44+#REF!+#REF!,"")</f>
        <v/>
      </c>
      <c r="XA69" s="125" t="str">
        <f>IF(ISNUMBER(outYear),XA39+XA44+#REF!+#REF!,"")</f>
        <v/>
      </c>
      <c r="XB69" s="125" t="str">
        <f>IF(ISNUMBER(outYear),XB39+XB44+#REF!+#REF!,"")</f>
        <v/>
      </c>
      <c r="XC69" s="125" t="str">
        <f>IF(ISNUMBER(outYear),XC39+XC44+#REF!+#REF!,"")</f>
        <v/>
      </c>
      <c r="XD69" s="125" t="str">
        <f>IF(ISNUMBER(outYear),XD39+XD44+#REF!+#REF!,"")</f>
        <v/>
      </c>
      <c r="XE69" s="125" t="str">
        <f>IF(ISNUMBER(outYear),XE39+XE44+#REF!+#REF!,"")</f>
        <v/>
      </c>
      <c r="XF69" s="125" t="str">
        <f>IF(ISNUMBER(outYear),XF39+XF44+#REF!+#REF!,"")</f>
        <v/>
      </c>
      <c r="XG69" s="125" t="str">
        <f>IF(ISNUMBER(outYear),XG39+XG44+#REF!+#REF!,"")</f>
        <v/>
      </c>
      <c r="XH69" s="125" t="str">
        <f>IF(ISNUMBER(outYear),XH39+XH44+#REF!+#REF!,"")</f>
        <v/>
      </c>
      <c r="XI69" s="125" t="str">
        <f>IF(ISNUMBER(outYear),XI39+XI44+#REF!+#REF!,"")</f>
        <v/>
      </c>
      <c r="XJ69" s="125" t="str">
        <f>IF(ISNUMBER(outYear),XJ39+XJ44+#REF!+#REF!,"")</f>
        <v/>
      </c>
      <c r="XK69" s="125" t="str">
        <f>IF(ISNUMBER(outYear),XK39+XK44+#REF!+#REF!,"")</f>
        <v/>
      </c>
      <c r="XL69" s="125" t="str">
        <f>IF(ISNUMBER(outYear),XL39+XL44+#REF!+#REF!,"")</f>
        <v/>
      </c>
      <c r="XM69" s="125" t="str">
        <f>IF(ISNUMBER(outYear),XM39+XM44+#REF!+#REF!,"")</f>
        <v/>
      </c>
      <c r="XN69" s="125" t="str">
        <f>IF(ISNUMBER(outYear),XN39+XN44+#REF!+#REF!,"")</f>
        <v/>
      </c>
      <c r="XO69" s="125" t="str">
        <f>IF(ISNUMBER(outYear),XO39+XO44+#REF!+#REF!,"")</f>
        <v/>
      </c>
      <c r="XP69" s="125" t="str">
        <f>IF(ISNUMBER(outYear),XP39+XP44+#REF!+#REF!,"")</f>
        <v/>
      </c>
      <c r="XQ69" s="125" t="str">
        <f>IF(ISNUMBER(outYear),XQ39+XQ44+#REF!+#REF!,"")</f>
        <v/>
      </c>
      <c r="XR69" s="125" t="str">
        <f>IF(ISNUMBER(outYear),XR39+XR44+#REF!+#REF!,"")</f>
        <v/>
      </c>
      <c r="XS69" s="125" t="str">
        <f>IF(ISNUMBER(outYear),XS39+XS44+#REF!+#REF!,"")</f>
        <v/>
      </c>
      <c r="XT69" s="125" t="str">
        <f>IF(ISNUMBER(outYear),XT39+XT44+#REF!+#REF!,"")</f>
        <v/>
      </c>
      <c r="XU69" s="125" t="str">
        <f>IF(ISNUMBER(outYear),XU39+XU44+#REF!+#REF!,"")</f>
        <v/>
      </c>
      <c r="XV69" s="125" t="str">
        <f>IF(ISNUMBER(outYear),XV39+XV44+#REF!+#REF!,"")</f>
        <v/>
      </c>
      <c r="XW69" s="125" t="str">
        <f>IF(ISNUMBER(outYear),XW39+XW44+#REF!+#REF!,"")</f>
        <v/>
      </c>
      <c r="XX69" s="125" t="str">
        <f>IF(ISNUMBER(outYear),XX39+XX44+#REF!+#REF!,"")</f>
        <v/>
      </c>
      <c r="XY69" s="125" t="str">
        <f>IF(ISNUMBER(outYear),XY39+XY44+#REF!+#REF!,"")</f>
        <v/>
      </c>
      <c r="XZ69" s="125" t="str">
        <f>IF(ISNUMBER(outYear),XZ39+XZ44+#REF!+#REF!,"")</f>
        <v/>
      </c>
      <c r="YA69" s="125" t="str">
        <f>IF(ISNUMBER(outYear),YA39+YA44+#REF!+#REF!,"")</f>
        <v/>
      </c>
      <c r="YB69" s="125" t="str">
        <f>IF(ISNUMBER(outYear),YB39+YB44+#REF!+#REF!,"")</f>
        <v/>
      </c>
      <c r="YC69" s="125" t="str">
        <f>IF(ISNUMBER(outYear),YC39+YC44+#REF!+#REF!,"")</f>
        <v/>
      </c>
      <c r="YD69" s="125" t="str">
        <f>IF(ISNUMBER(outYear),YD39+YD44+#REF!+#REF!,"")</f>
        <v/>
      </c>
      <c r="YE69" s="125" t="str">
        <f>IF(ISNUMBER(outYear),YE39+YE44+#REF!+#REF!,"")</f>
        <v/>
      </c>
      <c r="YF69" s="125" t="str">
        <f>IF(ISNUMBER(outYear),YF39+YF44+#REF!+#REF!,"")</f>
        <v/>
      </c>
      <c r="YG69" s="125" t="str">
        <f>IF(ISNUMBER(outYear),YG39+YG44+#REF!+#REF!,"")</f>
        <v/>
      </c>
      <c r="YH69" s="125" t="str">
        <f>IF(ISNUMBER(outYear),YH39+YH44+#REF!+#REF!,"")</f>
        <v/>
      </c>
      <c r="YI69" s="125" t="str">
        <f>IF(ISNUMBER(outYear),YI39+YI44+#REF!+#REF!,"")</f>
        <v/>
      </c>
      <c r="YJ69" s="125" t="str">
        <f>IF(ISNUMBER(outYear),YJ39+YJ44+#REF!+#REF!,"")</f>
        <v/>
      </c>
      <c r="YK69" s="125" t="str">
        <f>IF(ISNUMBER(outYear),YK39+YK44+#REF!+#REF!,"")</f>
        <v/>
      </c>
      <c r="YL69" s="125" t="str">
        <f>IF(ISNUMBER(outYear),YL39+YL44+#REF!+#REF!,"")</f>
        <v/>
      </c>
      <c r="YM69" s="125" t="str">
        <f>IF(ISNUMBER(outYear),YM39+YM44+#REF!+#REF!,"")</f>
        <v/>
      </c>
      <c r="YN69" s="125" t="str">
        <f>IF(ISNUMBER(outYear),YN39+YN44+#REF!+#REF!,"")</f>
        <v/>
      </c>
      <c r="YO69" s="125" t="str">
        <f>IF(ISNUMBER(outYear),YO39+YO44+#REF!+#REF!,"")</f>
        <v/>
      </c>
      <c r="YP69" s="125" t="str">
        <f>IF(ISNUMBER(outYear),YP39+YP44+#REF!+#REF!,"")</f>
        <v/>
      </c>
      <c r="YQ69" s="125" t="str">
        <f>IF(ISNUMBER(outYear),YQ39+YQ44+#REF!+#REF!,"")</f>
        <v/>
      </c>
      <c r="YR69" s="125" t="str">
        <f>IF(ISNUMBER(outYear),YR39+YR44+#REF!+#REF!,"")</f>
        <v/>
      </c>
      <c r="YS69" s="125" t="str">
        <f>IF(ISNUMBER(outYear),YS39+YS44+#REF!+#REF!,"")</f>
        <v/>
      </c>
      <c r="YT69" s="125" t="str">
        <f>IF(ISNUMBER(outYear),YT39+YT44+#REF!+#REF!,"")</f>
        <v/>
      </c>
      <c r="YU69" s="125" t="str">
        <f>IF(ISNUMBER(outYear),YU39+YU44+#REF!+#REF!,"")</f>
        <v/>
      </c>
      <c r="YV69" s="125" t="str">
        <f>IF(ISNUMBER(outYear),YV39+YV44+#REF!+#REF!,"")</f>
        <v/>
      </c>
      <c r="YW69" s="125" t="str">
        <f>IF(ISNUMBER(outYear),YW39+YW44+#REF!+#REF!,"")</f>
        <v/>
      </c>
      <c r="YX69" s="125" t="str">
        <f>IF(ISNUMBER(outYear),YX39+YX44+#REF!+#REF!,"")</f>
        <v/>
      </c>
      <c r="YY69" s="125" t="str">
        <f>IF(ISNUMBER(outYear),YY39+YY44+#REF!+#REF!,"")</f>
        <v/>
      </c>
      <c r="YZ69" s="125" t="str">
        <f>IF(ISNUMBER(outYear),YZ39+YZ44+#REF!+#REF!,"")</f>
        <v/>
      </c>
      <c r="ZA69" s="125" t="str">
        <f>IF(ISNUMBER(outYear),ZA39+ZA44+#REF!+#REF!,"")</f>
        <v/>
      </c>
      <c r="ZB69" s="125" t="str">
        <f>IF(ISNUMBER(outYear),ZB39+ZB44+#REF!+#REF!,"")</f>
        <v/>
      </c>
      <c r="ZC69" s="125" t="str">
        <f>IF(ISNUMBER(outYear),ZC39+ZC44+#REF!+#REF!,"")</f>
        <v/>
      </c>
      <c r="ZD69" s="125" t="str">
        <f>IF(ISNUMBER(outYear),ZD39+ZD44+#REF!+#REF!,"")</f>
        <v/>
      </c>
      <c r="ZE69" s="125" t="str">
        <f>IF(ISNUMBER(outYear),ZE39+ZE44+#REF!+#REF!,"")</f>
        <v/>
      </c>
      <c r="ZF69" s="125" t="str">
        <f>IF(ISNUMBER(outYear),ZF39+ZF44+#REF!+#REF!,"")</f>
        <v/>
      </c>
      <c r="ZG69" s="125" t="str">
        <f>IF(ISNUMBER(outYear),ZG39+ZG44+#REF!+#REF!,"")</f>
        <v/>
      </c>
      <c r="ZH69" s="125" t="str">
        <f>IF(ISNUMBER(outYear),ZH39+ZH44+#REF!+#REF!,"")</f>
        <v/>
      </c>
      <c r="ZI69" s="125" t="str">
        <f>IF(ISNUMBER(outYear),ZI39+ZI44+#REF!+#REF!,"")</f>
        <v/>
      </c>
      <c r="ZJ69" s="125" t="str">
        <f>IF(ISNUMBER(outYear),ZJ39+ZJ44+#REF!+#REF!,"")</f>
        <v/>
      </c>
      <c r="ZK69" s="125" t="str">
        <f>IF(ISNUMBER(outYear),ZK39+ZK44+#REF!+#REF!,"")</f>
        <v/>
      </c>
      <c r="ZL69" s="125" t="str">
        <f>IF(ISNUMBER(outYear),ZL39+ZL44+#REF!+#REF!,"")</f>
        <v/>
      </c>
      <c r="ZM69" s="125" t="str">
        <f>IF(ISNUMBER(outYear),ZM39+ZM44+#REF!+#REF!,"")</f>
        <v/>
      </c>
      <c r="ZN69" s="125" t="str">
        <f>IF(ISNUMBER(outYear),ZN39+ZN44+#REF!+#REF!,"")</f>
        <v/>
      </c>
      <c r="ZO69" s="125" t="str">
        <f>IF(ISNUMBER(outYear),ZO39+ZO44+#REF!+#REF!,"")</f>
        <v/>
      </c>
      <c r="ZP69" s="125" t="str">
        <f>IF(ISNUMBER(outYear),ZP39+ZP44+#REF!+#REF!,"")</f>
        <v/>
      </c>
      <c r="ZQ69" s="125" t="str">
        <f>IF(ISNUMBER(outYear),ZQ39+ZQ44+#REF!+#REF!,"")</f>
        <v/>
      </c>
      <c r="ZR69" s="125" t="str">
        <f>IF(ISNUMBER(outYear),ZR39+ZR44+#REF!+#REF!,"")</f>
        <v/>
      </c>
      <c r="ZS69" s="125" t="str">
        <f>IF(ISNUMBER(outYear),ZS39+ZS44+#REF!+#REF!,"")</f>
        <v/>
      </c>
      <c r="ZT69" s="125" t="str">
        <f>IF(ISNUMBER(outYear),ZT39+ZT44+#REF!+#REF!,"")</f>
        <v/>
      </c>
      <c r="ZU69" s="125" t="str">
        <f>IF(ISNUMBER(outYear),ZU39+ZU44+#REF!+#REF!,"")</f>
        <v/>
      </c>
      <c r="ZV69" s="125" t="str">
        <f>IF(ISNUMBER(outYear),ZV39+ZV44+#REF!+#REF!,"")</f>
        <v/>
      </c>
      <c r="ZW69" s="125" t="str">
        <f>IF(ISNUMBER(outYear),ZW39+ZW44+#REF!+#REF!,"")</f>
        <v/>
      </c>
      <c r="ZX69" s="125" t="str">
        <f>IF(ISNUMBER(outYear),ZX39+ZX44+#REF!+#REF!,"")</f>
        <v/>
      </c>
      <c r="ZY69" s="125" t="str">
        <f>IF(ISNUMBER(outYear),ZY39+ZY44+#REF!+#REF!,"")</f>
        <v/>
      </c>
      <c r="ZZ69" s="125" t="str">
        <f>IF(ISNUMBER(outYear),ZZ39+ZZ44+#REF!+#REF!,"")</f>
        <v/>
      </c>
      <c r="AAA69" s="125" t="str">
        <f>IF(ISNUMBER(outYear),AAA39+AAA44+#REF!+#REF!,"")</f>
        <v/>
      </c>
      <c r="AAB69" s="125" t="str">
        <f>IF(ISNUMBER(outYear),AAB39+AAB44+#REF!+#REF!,"")</f>
        <v/>
      </c>
      <c r="AAC69" s="125" t="str">
        <f>IF(ISNUMBER(outYear),AAC39+AAC44+#REF!+#REF!,"")</f>
        <v/>
      </c>
      <c r="AAD69" s="125" t="str">
        <f>IF(ISNUMBER(outYear),AAD39+AAD44+#REF!+#REF!,"")</f>
        <v/>
      </c>
      <c r="AAE69" s="125" t="str">
        <f>IF(ISNUMBER(outYear),AAE39+AAE44+#REF!+#REF!,"")</f>
        <v/>
      </c>
      <c r="AAF69" s="125" t="str">
        <f>IF(ISNUMBER(outYear),AAF39+AAF44+#REF!+#REF!,"")</f>
        <v/>
      </c>
      <c r="AAG69" s="125" t="str">
        <f>IF(ISNUMBER(outYear),AAG39+AAG44+#REF!+#REF!,"")</f>
        <v/>
      </c>
      <c r="AAH69" s="125" t="str">
        <f>IF(ISNUMBER(outYear),AAH39+AAH44+#REF!+#REF!,"")</f>
        <v/>
      </c>
      <c r="AAI69" s="125" t="str">
        <f>IF(ISNUMBER(outYear),AAI39+AAI44+#REF!+#REF!,"")</f>
        <v/>
      </c>
      <c r="AAJ69" s="125" t="str">
        <f>IF(ISNUMBER(outYear),AAJ39+AAJ44+#REF!+#REF!,"")</f>
        <v/>
      </c>
      <c r="AAK69" s="125" t="str">
        <f>IF(ISNUMBER(outYear),AAK39+AAK44+#REF!+#REF!,"")</f>
        <v/>
      </c>
      <c r="AAL69" s="125" t="str">
        <f>IF(ISNUMBER(outYear),AAL39+AAL44+#REF!+#REF!,"")</f>
        <v/>
      </c>
      <c r="AAM69" s="125" t="str">
        <f>IF(ISNUMBER(outYear),AAM39+AAM44+#REF!+#REF!,"")</f>
        <v/>
      </c>
      <c r="AAN69" s="125" t="str">
        <f>IF(ISNUMBER(outYear),AAN39+AAN44+#REF!+#REF!,"")</f>
        <v/>
      </c>
      <c r="AAO69" s="125" t="str">
        <f>IF(ISNUMBER(outYear),AAO39+AAO44+#REF!+#REF!,"")</f>
        <v/>
      </c>
      <c r="AAP69" s="125" t="str">
        <f>IF(ISNUMBER(outYear),AAP39+AAP44+#REF!+#REF!,"")</f>
        <v/>
      </c>
      <c r="AAQ69" s="125" t="str">
        <f>IF(ISNUMBER(outYear),AAQ39+AAQ44+#REF!+#REF!,"")</f>
        <v/>
      </c>
      <c r="AAR69" s="125" t="str">
        <f>IF(ISNUMBER(outYear),AAR39+AAR44+#REF!+#REF!,"")</f>
        <v/>
      </c>
      <c r="AAS69" s="125" t="str">
        <f>IF(ISNUMBER(outYear),AAS39+AAS44+#REF!+#REF!,"")</f>
        <v/>
      </c>
      <c r="AAT69" s="125" t="str">
        <f>IF(ISNUMBER(outYear),AAT39+AAT44+#REF!+#REF!,"")</f>
        <v/>
      </c>
      <c r="AAU69" s="125" t="str">
        <f>IF(ISNUMBER(outYear),AAU39+AAU44+#REF!+#REF!,"")</f>
        <v/>
      </c>
      <c r="AAV69" s="125" t="str">
        <f>IF(ISNUMBER(outYear),AAV39+AAV44+#REF!+#REF!,"")</f>
        <v/>
      </c>
      <c r="AAW69" s="125" t="str">
        <f>IF(ISNUMBER(outYear),AAW39+AAW44+#REF!+#REF!,"")</f>
        <v/>
      </c>
      <c r="AAX69" s="125" t="str">
        <f>IF(ISNUMBER(outYear),AAX39+AAX44+#REF!+#REF!,"")</f>
        <v/>
      </c>
      <c r="AAY69" s="125" t="str">
        <f>IF(ISNUMBER(outYear),AAY39+AAY44+#REF!+#REF!,"")</f>
        <v/>
      </c>
      <c r="AAZ69" s="125" t="str">
        <f>IF(ISNUMBER(outYear),AAZ39+AAZ44+#REF!+#REF!,"")</f>
        <v/>
      </c>
      <c r="ABA69" s="125" t="str">
        <f>IF(ISNUMBER(outYear),ABA39+ABA44+#REF!+#REF!,"")</f>
        <v/>
      </c>
      <c r="ABB69" s="125" t="str">
        <f>IF(ISNUMBER(outYear),ABB39+ABB44+#REF!+#REF!,"")</f>
        <v/>
      </c>
      <c r="ABC69" s="125" t="str">
        <f>IF(ISNUMBER(outYear),ABC39+ABC44+#REF!+#REF!,"")</f>
        <v/>
      </c>
      <c r="ABD69" s="125" t="str">
        <f>IF(ISNUMBER(outYear),ABD39+ABD44+#REF!+#REF!,"")</f>
        <v/>
      </c>
      <c r="ABE69" s="125" t="str">
        <f>IF(ISNUMBER(outYear),ABE39+ABE44+#REF!+#REF!,"")</f>
        <v/>
      </c>
      <c r="ABF69" s="125" t="str">
        <f>IF(ISNUMBER(outYear),ABF39+ABF44+#REF!+#REF!,"")</f>
        <v/>
      </c>
      <c r="ABG69" s="125" t="str">
        <f>IF(ISNUMBER(outYear),ABG39+ABG44+#REF!+#REF!,"")</f>
        <v/>
      </c>
      <c r="ABH69" s="125" t="str">
        <f>IF(ISNUMBER(outYear),ABH39+ABH44+#REF!+#REF!,"")</f>
        <v/>
      </c>
      <c r="ABI69" s="125" t="str">
        <f>IF(ISNUMBER(outYear),ABI39+ABI44+#REF!+#REF!,"")</f>
        <v/>
      </c>
      <c r="ABJ69" s="125" t="str">
        <f>IF(ISNUMBER(outYear),ABJ39+ABJ44+#REF!+#REF!,"")</f>
        <v/>
      </c>
      <c r="ABK69" s="125" t="str">
        <f>IF(ISNUMBER(outYear),ABK39+ABK44+#REF!+#REF!,"")</f>
        <v/>
      </c>
      <c r="ABL69" s="125" t="str">
        <f>IF(ISNUMBER(outYear),ABL39+ABL44+#REF!+#REF!,"")</f>
        <v/>
      </c>
      <c r="ABM69" s="125" t="str">
        <f>IF(ISNUMBER(outYear),ABM39+ABM44+#REF!+#REF!,"")</f>
        <v/>
      </c>
      <c r="ABN69" s="125" t="str">
        <f>IF(ISNUMBER(outYear),ABN39+ABN44+#REF!+#REF!,"")</f>
        <v/>
      </c>
      <c r="ABO69" s="125" t="str">
        <f>IF(ISNUMBER(outYear),ABO39+ABO44+#REF!+#REF!,"")</f>
        <v/>
      </c>
      <c r="ABP69" s="125" t="str">
        <f>IF(ISNUMBER(outYear),ABP39+ABP44+#REF!+#REF!,"")</f>
        <v/>
      </c>
      <c r="ABQ69" s="125" t="str">
        <f>IF(ISNUMBER(outYear),ABQ39+ABQ44+#REF!+#REF!,"")</f>
        <v/>
      </c>
      <c r="ABR69" s="125" t="str">
        <f>IF(ISNUMBER(outYear),ABR39+ABR44+#REF!+#REF!,"")</f>
        <v/>
      </c>
      <c r="ABS69" s="125" t="str">
        <f>IF(ISNUMBER(outYear),ABS39+ABS44+#REF!+#REF!,"")</f>
        <v/>
      </c>
      <c r="ABT69" s="125" t="str">
        <f>IF(ISNUMBER(outYear),ABT39+ABT44+#REF!+#REF!,"")</f>
        <v/>
      </c>
      <c r="ABU69" s="125" t="str">
        <f>IF(ISNUMBER(outYear),ABU39+ABU44+#REF!+#REF!,"")</f>
        <v/>
      </c>
      <c r="ABV69" s="125" t="str">
        <f>IF(ISNUMBER(outYear),ABV39+ABV44+#REF!+#REF!,"")</f>
        <v/>
      </c>
      <c r="ABW69" s="125" t="str">
        <f>IF(ISNUMBER(outYear),ABW39+ABW44+#REF!+#REF!,"")</f>
        <v/>
      </c>
      <c r="ABX69" s="125" t="str">
        <f>IF(ISNUMBER(outYear),ABX39+ABX44+#REF!+#REF!,"")</f>
        <v/>
      </c>
      <c r="ABY69" s="125" t="str">
        <f>IF(ISNUMBER(outYear),ABY39+ABY44+#REF!+#REF!,"")</f>
        <v/>
      </c>
      <c r="ABZ69" s="125" t="str">
        <f>IF(ISNUMBER(outYear),ABZ39+ABZ44+#REF!+#REF!,"")</f>
        <v/>
      </c>
      <c r="ACA69" s="125" t="str">
        <f>IF(ISNUMBER(outYear),ACA39+ACA44+#REF!+#REF!,"")</f>
        <v/>
      </c>
      <c r="ACB69" s="125" t="str">
        <f>IF(ISNUMBER(outYear),ACB39+ACB44+#REF!+#REF!,"")</f>
        <v/>
      </c>
      <c r="ACC69" s="125" t="str">
        <f>IF(ISNUMBER(outYear),ACC39+ACC44+#REF!+#REF!,"")</f>
        <v/>
      </c>
      <c r="ACD69" s="125" t="str">
        <f>IF(ISNUMBER(outYear),ACD39+ACD44+#REF!+#REF!,"")</f>
        <v/>
      </c>
      <c r="ACE69" s="125" t="str">
        <f>IF(ISNUMBER(outYear),ACE39+ACE44+#REF!+#REF!,"")</f>
        <v/>
      </c>
      <c r="ACF69" s="125" t="str">
        <f>IF(ISNUMBER(outYear),ACF39+ACF44+#REF!+#REF!,"")</f>
        <v/>
      </c>
      <c r="ACG69" s="125" t="str">
        <f>IF(ISNUMBER(outYear),ACG39+ACG44+#REF!+#REF!,"")</f>
        <v/>
      </c>
      <c r="ACH69" s="125" t="str">
        <f>IF(ISNUMBER(outYear),ACH39+ACH44+#REF!+#REF!,"")</f>
        <v/>
      </c>
      <c r="ACI69" s="125" t="str">
        <f>IF(ISNUMBER(outYear),ACI39+ACI44+#REF!+#REF!,"")</f>
        <v/>
      </c>
      <c r="ACJ69" s="125" t="str">
        <f>IF(ISNUMBER(outYear),ACJ39+ACJ44+#REF!+#REF!,"")</f>
        <v/>
      </c>
      <c r="ACK69" s="125" t="str">
        <f>IF(ISNUMBER(outYear),ACK39+ACK44+#REF!+#REF!,"")</f>
        <v/>
      </c>
      <c r="ACL69" s="125" t="str">
        <f>IF(ISNUMBER(outYear),ACL39+ACL44+#REF!+#REF!,"")</f>
        <v/>
      </c>
      <c r="ACM69" s="125" t="str">
        <f>IF(ISNUMBER(outYear),ACM39+ACM44+#REF!+#REF!,"")</f>
        <v/>
      </c>
      <c r="ACN69" s="125" t="str">
        <f>IF(ISNUMBER(outYear),ACN39+ACN44+#REF!+#REF!,"")</f>
        <v/>
      </c>
      <c r="ACO69" s="125" t="str">
        <f>IF(ISNUMBER(outYear),ACO39+ACO44+#REF!+#REF!,"")</f>
        <v/>
      </c>
      <c r="ACP69" s="125" t="str">
        <f>IF(ISNUMBER(outYear),ACP39+ACP44+#REF!+#REF!,"")</f>
        <v/>
      </c>
      <c r="ACQ69" s="125" t="str">
        <f>IF(ISNUMBER(outYear),ACQ39+ACQ44+#REF!+#REF!,"")</f>
        <v/>
      </c>
      <c r="ACR69" s="125" t="str">
        <f>IF(ISNUMBER(outYear),ACR39+ACR44+#REF!+#REF!,"")</f>
        <v/>
      </c>
      <c r="ACS69" s="125" t="str">
        <f>IF(ISNUMBER(outYear),ACS39+ACS44+#REF!+#REF!,"")</f>
        <v/>
      </c>
      <c r="ACT69" s="125" t="str">
        <f>IF(ISNUMBER(outYear),ACT39+ACT44+#REF!+#REF!,"")</f>
        <v/>
      </c>
      <c r="ACU69" s="125" t="str">
        <f>IF(ISNUMBER(outYear),ACU39+ACU44+#REF!+#REF!,"")</f>
        <v/>
      </c>
      <c r="ACV69" s="125" t="str">
        <f>IF(ISNUMBER(outYear),ACV39+ACV44+#REF!+#REF!,"")</f>
        <v/>
      </c>
      <c r="ACW69" s="125" t="str">
        <f>IF(ISNUMBER(outYear),ACW39+ACW44+#REF!+#REF!,"")</f>
        <v/>
      </c>
      <c r="ACX69" s="125" t="str">
        <f>IF(ISNUMBER(outYear),ACX39+ACX44+#REF!+#REF!,"")</f>
        <v/>
      </c>
      <c r="ACY69" s="125" t="str">
        <f>IF(ISNUMBER(outYear),ACY39+ACY44+#REF!+#REF!,"")</f>
        <v/>
      </c>
      <c r="ACZ69" s="125" t="str">
        <f>IF(ISNUMBER(outYear),ACZ39+ACZ44+#REF!+#REF!,"")</f>
        <v/>
      </c>
      <c r="ADA69" s="125" t="str">
        <f>IF(ISNUMBER(outYear),ADA39+ADA44+#REF!+#REF!,"")</f>
        <v/>
      </c>
      <c r="ADB69" s="125" t="str">
        <f>IF(ISNUMBER(outYear),ADB39+ADB44+#REF!+#REF!,"")</f>
        <v/>
      </c>
      <c r="ADC69" s="125" t="str">
        <f>IF(ISNUMBER(outYear),ADC39+ADC44+#REF!+#REF!,"")</f>
        <v/>
      </c>
      <c r="ADD69" s="125" t="str">
        <f>IF(ISNUMBER(outYear),ADD39+ADD44+#REF!+#REF!,"")</f>
        <v/>
      </c>
      <c r="ADE69" s="125" t="str">
        <f>IF(ISNUMBER(outYear),ADE39+ADE44+#REF!+#REF!,"")</f>
        <v/>
      </c>
      <c r="ADF69" s="125" t="str">
        <f>IF(ISNUMBER(outYear),ADF39+ADF44+#REF!+#REF!,"")</f>
        <v/>
      </c>
      <c r="ADG69" s="125" t="str">
        <f>IF(ISNUMBER(outYear),ADG39+ADG44+#REF!+#REF!,"")</f>
        <v/>
      </c>
      <c r="ADH69" s="125" t="str">
        <f>IF(ISNUMBER(outYear),ADH39+ADH44+#REF!+#REF!,"")</f>
        <v/>
      </c>
      <c r="ADI69" s="125" t="str">
        <f>IF(ISNUMBER(outYear),ADI39+ADI44+#REF!+#REF!,"")</f>
        <v/>
      </c>
      <c r="ADJ69" s="125" t="str">
        <f>IF(ISNUMBER(outYear),ADJ39+ADJ44+#REF!+#REF!,"")</f>
        <v/>
      </c>
      <c r="ADK69" s="125" t="str">
        <f>IF(ISNUMBER(outYear),ADK39+ADK44+#REF!+#REF!,"")</f>
        <v/>
      </c>
      <c r="ADL69" s="125" t="str">
        <f>IF(ISNUMBER(outYear),ADL39+ADL44+#REF!+#REF!,"")</f>
        <v/>
      </c>
      <c r="ADM69" s="125" t="str">
        <f>IF(ISNUMBER(outYear),ADM39+ADM44+#REF!+#REF!,"")</f>
        <v/>
      </c>
      <c r="ADN69" s="125" t="str">
        <f>IF(ISNUMBER(outYear),ADN39+ADN44+#REF!+#REF!,"")</f>
        <v/>
      </c>
      <c r="ADO69" s="125" t="str">
        <f>IF(ISNUMBER(outYear),ADO39+ADO44+#REF!+#REF!,"")</f>
        <v/>
      </c>
      <c r="ADP69" s="125" t="str">
        <f>IF(ISNUMBER(outYear),ADP39+ADP44+#REF!+#REF!,"")</f>
        <v/>
      </c>
      <c r="ADQ69" s="125" t="str">
        <f>IF(ISNUMBER(outYear),ADQ39+ADQ44+#REF!+#REF!,"")</f>
        <v/>
      </c>
      <c r="ADR69" s="125" t="str">
        <f>IF(ISNUMBER(outYear),ADR39+ADR44+#REF!+#REF!,"")</f>
        <v/>
      </c>
      <c r="ADS69" s="125" t="str">
        <f>IF(ISNUMBER(outYear),ADS39+ADS44+#REF!+#REF!,"")</f>
        <v/>
      </c>
      <c r="ADT69" s="125" t="str">
        <f>IF(ISNUMBER(outYear),ADT39+ADT44+#REF!+#REF!,"")</f>
        <v/>
      </c>
      <c r="ADU69" s="125" t="str">
        <f>IF(ISNUMBER(outYear),ADU39+ADU44+#REF!+#REF!,"")</f>
        <v/>
      </c>
      <c r="ADV69" s="125" t="str">
        <f>IF(ISNUMBER(outYear),ADV39+ADV44+#REF!+#REF!,"")</f>
        <v/>
      </c>
      <c r="ADW69" s="125" t="str">
        <f>IF(ISNUMBER(outYear),ADW39+ADW44+#REF!+#REF!,"")</f>
        <v/>
      </c>
      <c r="ADX69" s="125" t="str">
        <f>IF(ISNUMBER(outYear),ADX39+ADX44+#REF!+#REF!,"")</f>
        <v/>
      </c>
      <c r="ADY69" s="125" t="str">
        <f>IF(ISNUMBER(outYear),ADY39+ADY44+#REF!+#REF!,"")</f>
        <v/>
      </c>
      <c r="ADZ69" s="125" t="str">
        <f>IF(ISNUMBER(outYear),ADZ39+ADZ44+#REF!+#REF!,"")</f>
        <v/>
      </c>
      <c r="AEA69" s="125" t="str">
        <f>IF(ISNUMBER(outYear),AEA39+AEA44+#REF!+#REF!,"")</f>
        <v/>
      </c>
      <c r="AEB69" s="125" t="str">
        <f>IF(ISNUMBER(outYear),AEB39+AEB44+#REF!+#REF!,"")</f>
        <v/>
      </c>
      <c r="AEC69" s="125" t="str">
        <f>IF(ISNUMBER(outYear),AEC39+AEC44+#REF!+#REF!,"")</f>
        <v/>
      </c>
      <c r="AED69" s="125" t="str">
        <f>IF(ISNUMBER(outYear),AED39+AED44+#REF!+#REF!,"")</f>
        <v/>
      </c>
      <c r="AEE69" s="125" t="str">
        <f>IF(ISNUMBER(outYear),AEE39+AEE44+#REF!+#REF!,"")</f>
        <v/>
      </c>
      <c r="AEF69" s="125" t="str">
        <f>IF(ISNUMBER(outYear),AEF39+AEF44+#REF!+#REF!,"")</f>
        <v/>
      </c>
      <c r="AEG69" s="125" t="str">
        <f>IF(ISNUMBER(outYear),AEG39+AEG44+#REF!+#REF!,"")</f>
        <v/>
      </c>
      <c r="AEH69" s="125" t="str">
        <f>IF(ISNUMBER(outYear),AEH39+AEH44+#REF!+#REF!,"")</f>
        <v/>
      </c>
      <c r="AEI69" s="125" t="str">
        <f>IF(ISNUMBER(outYear),AEI39+AEI44+#REF!+#REF!,"")</f>
        <v/>
      </c>
      <c r="AEJ69" s="125" t="str">
        <f>IF(ISNUMBER(outYear),AEJ39+AEJ44+#REF!+#REF!,"")</f>
        <v/>
      </c>
      <c r="AEK69" s="125" t="str">
        <f>IF(ISNUMBER(outYear),AEK39+AEK44+#REF!+#REF!,"")</f>
        <v/>
      </c>
      <c r="AEL69" s="125" t="str">
        <f>IF(ISNUMBER(outYear),AEL39+AEL44+#REF!+#REF!,"")</f>
        <v/>
      </c>
      <c r="AEM69" s="125" t="str">
        <f>IF(ISNUMBER(outYear),AEM39+AEM44+#REF!+#REF!,"")</f>
        <v/>
      </c>
      <c r="AEN69" s="125" t="str">
        <f>IF(ISNUMBER(outYear),AEN39+AEN44+#REF!+#REF!,"")</f>
        <v/>
      </c>
      <c r="AEO69" s="125" t="str">
        <f>IF(ISNUMBER(outYear),AEO39+AEO44+#REF!+#REF!,"")</f>
        <v/>
      </c>
      <c r="AEP69" s="125" t="str">
        <f>IF(ISNUMBER(outYear),AEP39+AEP44+#REF!+#REF!,"")</f>
        <v/>
      </c>
      <c r="AEQ69" s="125" t="str">
        <f>IF(ISNUMBER(outYear),AEQ39+AEQ44+#REF!+#REF!,"")</f>
        <v/>
      </c>
      <c r="AER69" s="125" t="str">
        <f>IF(ISNUMBER(outYear),AER39+AER44+#REF!+#REF!,"")</f>
        <v/>
      </c>
      <c r="AES69" s="125" t="str">
        <f>IF(ISNUMBER(outYear),AES39+AES44+#REF!+#REF!,"")</f>
        <v/>
      </c>
      <c r="AET69" s="125" t="str">
        <f>IF(ISNUMBER(outYear),AET39+AET44+#REF!+#REF!,"")</f>
        <v/>
      </c>
      <c r="AEU69" s="125" t="str">
        <f>IF(ISNUMBER(outYear),AEU39+AEU44+#REF!+#REF!,"")</f>
        <v/>
      </c>
      <c r="AEV69" s="125" t="str">
        <f>IF(ISNUMBER(outYear),AEV39+AEV44+#REF!+#REF!,"")</f>
        <v/>
      </c>
      <c r="AEW69" s="125" t="str">
        <f>IF(ISNUMBER(outYear),AEW39+AEW44+#REF!+#REF!,"")</f>
        <v/>
      </c>
      <c r="AEX69" s="125" t="str">
        <f>IF(ISNUMBER(outYear),AEX39+AEX44+#REF!+#REF!,"")</f>
        <v/>
      </c>
      <c r="AEY69" s="125" t="str">
        <f>IF(ISNUMBER(outYear),AEY39+AEY44+#REF!+#REF!,"")</f>
        <v/>
      </c>
      <c r="AEZ69" s="125" t="str">
        <f>IF(ISNUMBER(outYear),AEZ39+AEZ44+#REF!+#REF!,"")</f>
        <v/>
      </c>
      <c r="AFA69" s="125" t="str">
        <f>IF(ISNUMBER(outYear),AFA39+AFA44+#REF!+#REF!,"")</f>
        <v/>
      </c>
      <c r="AFB69" s="125" t="str">
        <f>IF(ISNUMBER(outYear),AFB39+AFB44+#REF!+#REF!,"")</f>
        <v/>
      </c>
      <c r="AFC69" s="125" t="str">
        <f>IF(ISNUMBER(outYear),AFC39+AFC44+#REF!+#REF!,"")</f>
        <v/>
      </c>
      <c r="AFD69" s="125" t="str">
        <f>IF(ISNUMBER(outYear),AFD39+AFD44+#REF!+#REF!,"")</f>
        <v/>
      </c>
      <c r="AFE69" s="125" t="str">
        <f>IF(ISNUMBER(outYear),AFE39+AFE44+#REF!+#REF!,"")</f>
        <v/>
      </c>
      <c r="AFF69" s="125" t="str">
        <f>IF(ISNUMBER(outYear),AFF39+AFF44+#REF!+#REF!,"")</f>
        <v/>
      </c>
      <c r="AFG69" s="125" t="str">
        <f>IF(ISNUMBER(outYear),AFG39+AFG44+#REF!+#REF!,"")</f>
        <v/>
      </c>
      <c r="AFH69" s="125" t="str">
        <f>IF(ISNUMBER(outYear),AFH39+AFH44+#REF!+#REF!,"")</f>
        <v/>
      </c>
      <c r="AFI69" s="125" t="str">
        <f>IF(ISNUMBER(outYear),AFI39+AFI44+#REF!+#REF!,"")</f>
        <v/>
      </c>
      <c r="AFJ69" s="125" t="str">
        <f>IF(ISNUMBER(outYear),AFJ39+AFJ44+#REF!+#REF!,"")</f>
        <v/>
      </c>
      <c r="AFK69" s="125" t="str">
        <f>IF(ISNUMBER(outYear),AFK39+AFK44+#REF!+#REF!,"")</f>
        <v/>
      </c>
      <c r="AFL69" s="125" t="str">
        <f>IF(ISNUMBER(outYear),AFL39+AFL44+#REF!+#REF!,"")</f>
        <v/>
      </c>
      <c r="AFM69" s="125" t="str">
        <f>IF(ISNUMBER(outYear),AFM39+AFM44+#REF!+#REF!,"")</f>
        <v/>
      </c>
      <c r="AFN69" s="125" t="str">
        <f>IF(ISNUMBER(outYear),AFN39+AFN44+#REF!+#REF!,"")</f>
        <v/>
      </c>
      <c r="AFO69" s="125" t="str">
        <f>IF(ISNUMBER(outYear),AFO39+AFO44+#REF!+#REF!,"")</f>
        <v/>
      </c>
      <c r="AFP69" s="125" t="str">
        <f>IF(ISNUMBER(outYear),AFP39+AFP44+#REF!+#REF!,"")</f>
        <v/>
      </c>
      <c r="AFQ69" s="125" t="str">
        <f>IF(ISNUMBER(outYear),AFQ39+AFQ44+#REF!+#REF!,"")</f>
        <v/>
      </c>
      <c r="AFR69" s="125" t="str">
        <f>IF(ISNUMBER(outYear),AFR39+AFR44+#REF!+#REF!,"")</f>
        <v/>
      </c>
      <c r="AFS69" s="125" t="str">
        <f>IF(ISNUMBER(outYear),AFS39+AFS44+#REF!+#REF!,"")</f>
        <v/>
      </c>
      <c r="AFT69" s="125" t="str">
        <f>IF(ISNUMBER(outYear),AFT39+AFT44+#REF!+#REF!,"")</f>
        <v/>
      </c>
      <c r="AFU69" s="125" t="str">
        <f>IF(ISNUMBER(outYear),AFU39+AFU44+#REF!+#REF!,"")</f>
        <v/>
      </c>
      <c r="AFV69" s="125" t="str">
        <f>IF(ISNUMBER(outYear),AFV39+AFV44+#REF!+#REF!,"")</f>
        <v/>
      </c>
      <c r="AFW69" s="125" t="str">
        <f>IF(ISNUMBER(outYear),AFW39+AFW44+#REF!+#REF!,"")</f>
        <v/>
      </c>
      <c r="AFX69" s="125" t="str">
        <f>IF(ISNUMBER(outYear),AFX39+AFX44+#REF!+#REF!,"")</f>
        <v/>
      </c>
      <c r="AFY69" s="125" t="str">
        <f>IF(ISNUMBER(outYear),AFY39+AFY44+#REF!+#REF!,"")</f>
        <v/>
      </c>
      <c r="AFZ69" s="125" t="str">
        <f>IF(ISNUMBER(outYear),AFZ39+AFZ44+#REF!+#REF!,"")</f>
        <v/>
      </c>
      <c r="AGA69" s="125" t="str">
        <f>IF(ISNUMBER(outYear),AGA39+AGA44+#REF!+#REF!,"")</f>
        <v/>
      </c>
      <c r="AGB69" s="125" t="str">
        <f>IF(ISNUMBER(outYear),AGB39+AGB44+#REF!+#REF!,"")</f>
        <v/>
      </c>
      <c r="AGC69" s="125" t="str">
        <f>IF(ISNUMBER(outYear),AGC39+AGC44+#REF!+#REF!,"")</f>
        <v/>
      </c>
      <c r="AGD69" s="125" t="str">
        <f>IF(ISNUMBER(outYear),AGD39+AGD44+#REF!+#REF!,"")</f>
        <v/>
      </c>
      <c r="AGE69" s="125" t="str">
        <f>IF(ISNUMBER(outYear),AGE39+AGE44+#REF!+#REF!,"")</f>
        <v/>
      </c>
      <c r="AGF69" s="125" t="str">
        <f>IF(ISNUMBER(outYear),AGF39+AGF44+#REF!+#REF!,"")</f>
        <v/>
      </c>
      <c r="AGG69" s="125" t="str">
        <f>IF(ISNUMBER(outYear),AGG39+AGG44+#REF!+#REF!,"")</f>
        <v/>
      </c>
      <c r="AGH69" s="125" t="str">
        <f>IF(ISNUMBER(outYear),AGH39+AGH44+#REF!+#REF!,"")</f>
        <v/>
      </c>
      <c r="AGI69" s="125" t="str">
        <f>IF(ISNUMBER(outYear),AGI39+AGI44+#REF!+#REF!,"")</f>
        <v/>
      </c>
      <c r="AGJ69" s="125" t="str">
        <f>IF(ISNUMBER(outYear),AGJ39+AGJ44+#REF!+#REF!,"")</f>
        <v/>
      </c>
      <c r="AGK69" s="125" t="str">
        <f>IF(ISNUMBER(outYear),AGK39+AGK44+#REF!+#REF!,"")</f>
        <v/>
      </c>
      <c r="AGL69" s="125" t="str">
        <f>IF(ISNUMBER(outYear),AGL39+AGL44+#REF!+#REF!,"")</f>
        <v/>
      </c>
      <c r="AGM69" s="125" t="str">
        <f>IF(ISNUMBER(outYear),AGM39+AGM44+#REF!+#REF!,"")</f>
        <v/>
      </c>
      <c r="AGN69" s="125" t="str">
        <f>IF(ISNUMBER(outYear),AGN39+AGN44+#REF!+#REF!,"")</f>
        <v/>
      </c>
      <c r="AGO69" s="125" t="str">
        <f>IF(ISNUMBER(outYear),AGO39+AGO44+#REF!+#REF!,"")</f>
        <v/>
      </c>
      <c r="AGP69" s="125" t="str">
        <f>IF(ISNUMBER(outYear),AGP39+AGP44+#REF!+#REF!,"")</f>
        <v/>
      </c>
      <c r="AGQ69" s="125" t="str">
        <f>IF(ISNUMBER(outYear),AGQ39+AGQ44+#REF!+#REF!,"")</f>
        <v/>
      </c>
      <c r="AGR69" s="125" t="str">
        <f>IF(ISNUMBER(outYear),AGR39+AGR44+#REF!+#REF!,"")</f>
        <v/>
      </c>
      <c r="AGS69" s="125" t="str">
        <f>IF(ISNUMBER(outYear),AGS39+AGS44+#REF!+#REF!,"")</f>
        <v/>
      </c>
      <c r="AGT69" s="125" t="str">
        <f>IF(ISNUMBER(outYear),AGT39+AGT44+#REF!+#REF!,"")</f>
        <v/>
      </c>
      <c r="AGU69" s="125" t="str">
        <f>IF(ISNUMBER(outYear),AGU39+AGU44+#REF!+#REF!,"")</f>
        <v/>
      </c>
      <c r="AGV69" s="125" t="str">
        <f>IF(ISNUMBER(outYear),AGV39+AGV44+#REF!+#REF!,"")</f>
        <v/>
      </c>
      <c r="AGW69" s="125" t="str">
        <f>IF(ISNUMBER(outYear),AGW39+AGW44+#REF!+#REF!,"")</f>
        <v/>
      </c>
      <c r="AGX69" s="125" t="str">
        <f>IF(ISNUMBER(outYear),AGX39+AGX44+#REF!+#REF!,"")</f>
        <v/>
      </c>
      <c r="AGY69" s="125" t="str">
        <f>IF(ISNUMBER(outYear),AGY39+AGY44+#REF!+#REF!,"")</f>
        <v/>
      </c>
      <c r="AGZ69" s="125" t="str">
        <f>IF(ISNUMBER(outYear),AGZ39+AGZ44+#REF!+#REF!,"")</f>
        <v/>
      </c>
      <c r="AHA69" s="125" t="str">
        <f>IF(ISNUMBER(outYear),AHA39+AHA44+#REF!+#REF!,"")</f>
        <v/>
      </c>
      <c r="AHB69" s="125" t="str">
        <f>IF(ISNUMBER(outYear),AHB39+AHB44+#REF!+#REF!,"")</f>
        <v/>
      </c>
      <c r="AHC69" s="125" t="str">
        <f>IF(ISNUMBER(outYear),AHC39+AHC44+#REF!+#REF!,"")</f>
        <v/>
      </c>
      <c r="AHD69" s="125" t="str">
        <f>IF(ISNUMBER(outYear),AHD39+AHD44+#REF!+#REF!,"")</f>
        <v/>
      </c>
      <c r="AHE69" s="125" t="str">
        <f>IF(ISNUMBER(outYear),AHE39+AHE44+#REF!+#REF!,"")</f>
        <v/>
      </c>
      <c r="AHF69" s="125" t="str">
        <f>IF(ISNUMBER(outYear),AHF39+AHF44+#REF!+#REF!,"")</f>
        <v/>
      </c>
      <c r="AHG69" s="125" t="str">
        <f>IF(ISNUMBER(outYear),AHG39+AHG44+#REF!+#REF!,"")</f>
        <v/>
      </c>
      <c r="AHH69" s="125" t="str">
        <f>IF(ISNUMBER(outYear),AHH39+AHH44+#REF!+#REF!,"")</f>
        <v/>
      </c>
      <c r="AHI69" s="125" t="str">
        <f>IF(ISNUMBER(outYear),AHI39+AHI44+#REF!+#REF!,"")</f>
        <v/>
      </c>
      <c r="AHJ69" s="125" t="str">
        <f>IF(ISNUMBER(outYear),AHJ39+AHJ44+#REF!+#REF!,"")</f>
        <v/>
      </c>
      <c r="AHK69" s="125" t="str">
        <f>IF(ISNUMBER(outYear),AHK39+AHK44+#REF!+#REF!,"")</f>
        <v/>
      </c>
      <c r="AHL69" s="125" t="str">
        <f>IF(ISNUMBER(outYear),AHL39+AHL44+#REF!+#REF!,"")</f>
        <v/>
      </c>
      <c r="AHM69" s="125" t="str">
        <f>IF(ISNUMBER(outYear),AHM39+AHM44+#REF!+#REF!,"")</f>
        <v/>
      </c>
      <c r="AHN69" s="125" t="str">
        <f>IF(ISNUMBER(outYear),AHN39+AHN44+#REF!+#REF!,"")</f>
        <v/>
      </c>
      <c r="AHO69" s="125" t="str">
        <f>IF(ISNUMBER(outYear),AHO39+AHO44+#REF!+#REF!,"")</f>
        <v/>
      </c>
      <c r="AHP69" s="125" t="str">
        <f>IF(ISNUMBER(outYear),AHP39+AHP44+#REF!+#REF!,"")</f>
        <v/>
      </c>
      <c r="AHQ69" s="125" t="str">
        <f>IF(ISNUMBER(outYear),AHQ39+AHQ44+#REF!+#REF!,"")</f>
        <v/>
      </c>
      <c r="AHR69" s="125" t="str">
        <f>IF(ISNUMBER(outYear),AHR39+AHR44+#REF!+#REF!,"")</f>
        <v/>
      </c>
      <c r="AHS69" s="125" t="str">
        <f>IF(ISNUMBER(outYear),AHS39+AHS44+#REF!+#REF!,"")</f>
        <v/>
      </c>
      <c r="AHT69" s="125" t="str">
        <f>IF(ISNUMBER(outYear),AHT39+AHT44+#REF!+#REF!,"")</f>
        <v/>
      </c>
      <c r="AHU69" s="125" t="str">
        <f>IF(ISNUMBER(outYear),AHU39+AHU44+#REF!+#REF!,"")</f>
        <v/>
      </c>
      <c r="AHV69" s="125" t="str">
        <f>IF(ISNUMBER(outYear),AHV39+AHV44+#REF!+#REF!,"")</f>
        <v/>
      </c>
      <c r="AHW69" s="125" t="str">
        <f>IF(ISNUMBER(outYear),AHW39+AHW44+#REF!+#REF!,"")</f>
        <v/>
      </c>
      <c r="AHX69" s="125" t="str">
        <f>IF(ISNUMBER(outYear),AHX39+AHX44+#REF!+#REF!,"")</f>
        <v/>
      </c>
      <c r="AHY69" s="125" t="str">
        <f>IF(ISNUMBER(outYear),AHY39+AHY44+#REF!+#REF!,"")</f>
        <v/>
      </c>
      <c r="AHZ69" s="125" t="str">
        <f>IF(ISNUMBER(outYear),AHZ39+AHZ44+#REF!+#REF!,"")</f>
        <v/>
      </c>
      <c r="AIA69" s="125" t="str">
        <f>IF(ISNUMBER(outYear),AIA39+AIA44+#REF!+#REF!,"")</f>
        <v/>
      </c>
      <c r="AIB69" s="125" t="str">
        <f>IF(ISNUMBER(outYear),AIB39+AIB44+#REF!+#REF!,"")</f>
        <v/>
      </c>
      <c r="AIC69" s="125" t="str">
        <f>IF(ISNUMBER(outYear),AIC39+AIC44+#REF!+#REF!,"")</f>
        <v/>
      </c>
      <c r="AID69" s="125" t="str">
        <f>IF(ISNUMBER(outYear),AID39+AID44+#REF!+#REF!,"")</f>
        <v/>
      </c>
      <c r="AIE69" s="125" t="str">
        <f>IF(ISNUMBER(outYear),AIE39+AIE44+#REF!+#REF!,"")</f>
        <v/>
      </c>
      <c r="AIF69" s="125" t="str">
        <f>IF(ISNUMBER(outYear),AIF39+AIF44+#REF!+#REF!,"")</f>
        <v/>
      </c>
      <c r="AIG69" s="125" t="str">
        <f>IF(ISNUMBER(outYear),AIG39+AIG44+#REF!+#REF!,"")</f>
        <v/>
      </c>
      <c r="AIH69" s="125" t="str">
        <f>IF(ISNUMBER(outYear),AIH39+AIH44+#REF!+#REF!,"")</f>
        <v/>
      </c>
      <c r="AII69" s="125" t="str">
        <f>IF(ISNUMBER(outYear),AII39+AII44+#REF!+#REF!,"")</f>
        <v/>
      </c>
      <c r="AIJ69" s="125" t="str">
        <f>IF(ISNUMBER(outYear),AIJ39+AIJ44+#REF!+#REF!,"")</f>
        <v/>
      </c>
      <c r="AIK69" s="125" t="str">
        <f>IF(ISNUMBER(outYear),AIK39+AIK44+#REF!+#REF!,"")</f>
        <v/>
      </c>
      <c r="AIL69" s="125" t="str">
        <f>IF(ISNUMBER(outYear),AIL39+AIL44+#REF!+#REF!,"")</f>
        <v/>
      </c>
      <c r="AIM69" s="125" t="str">
        <f>IF(ISNUMBER(outYear),AIM39+AIM44+#REF!+#REF!,"")</f>
        <v/>
      </c>
      <c r="AIN69" s="125" t="str">
        <f>IF(ISNUMBER(outYear),AIN39+AIN44+#REF!+#REF!,"")</f>
        <v/>
      </c>
      <c r="AIO69" s="125" t="str">
        <f>IF(ISNUMBER(outYear),AIO39+AIO44+#REF!+#REF!,"")</f>
        <v/>
      </c>
      <c r="AIP69" s="125" t="str">
        <f>IF(ISNUMBER(outYear),AIP39+AIP44+#REF!+#REF!,"")</f>
        <v/>
      </c>
      <c r="AIQ69" s="125" t="str">
        <f>IF(ISNUMBER(outYear),AIQ39+AIQ44+#REF!+#REF!,"")</f>
        <v/>
      </c>
      <c r="AIR69" s="125" t="str">
        <f>IF(ISNUMBER(outYear),AIR39+AIR44+#REF!+#REF!,"")</f>
        <v/>
      </c>
      <c r="AIS69" s="125" t="str">
        <f>IF(ISNUMBER(outYear),AIS39+AIS44+#REF!+#REF!,"")</f>
        <v/>
      </c>
      <c r="AIT69" s="125" t="str">
        <f>IF(ISNUMBER(outYear),AIT39+AIT44+#REF!+#REF!,"")</f>
        <v/>
      </c>
      <c r="AIU69" s="125" t="str">
        <f>IF(ISNUMBER(outYear),AIU39+AIU44+#REF!+#REF!,"")</f>
        <v/>
      </c>
      <c r="AIV69" s="125" t="str">
        <f>IF(ISNUMBER(outYear),AIV39+AIV44+#REF!+#REF!,"")</f>
        <v/>
      </c>
      <c r="AIW69" s="125" t="str">
        <f>IF(ISNUMBER(outYear),AIW39+AIW44+#REF!+#REF!,"")</f>
        <v/>
      </c>
      <c r="AIX69" s="125" t="str">
        <f>IF(ISNUMBER(outYear),AIX39+AIX44+#REF!+#REF!,"")</f>
        <v/>
      </c>
      <c r="AIY69" s="125" t="str">
        <f>IF(ISNUMBER(outYear),AIY39+AIY44+#REF!+#REF!,"")</f>
        <v/>
      </c>
      <c r="AIZ69" s="125" t="str">
        <f>IF(ISNUMBER(outYear),AIZ39+AIZ44+#REF!+#REF!,"")</f>
        <v/>
      </c>
      <c r="AJA69" s="125" t="str">
        <f>IF(ISNUMBER(outYear),AJA39+AJA44+#REF!+#REF!,"")</f>
        <v/>
      </c>
      <c r="AJB69" s="125" t="str">
        <f>IF(ISNUMBER(outYear),AJB39+AJB44+#REF!+#REF!,"")</f>
        <v/>
      </c>
      <c r="AJC69" s="125" t="str">
        <f>IF(ISNUMBER(outYear),AJC39+AJC44+#REF!+#REF!,"")</f>
        <v/>
      </c>
      <c r="AJD69" s="125" t="str">
        <f>IF(ISNUMBER(outYear),AJD39+AJD44+#REF!+#REF!,"")</f>
        <v/>
      </c>
      <c r="AJE69" s="125" t="str">
        <f>IF(ISNUMBER(outYear),AJE39+AJE44+#REF!+#REF!,"")</f>
        <v/>
      </c>
      <c r="AJF69" s="125" t="str">
        <f>IF(ISNUMBER(outYear),AJF39+AJF44+#REF!+#REF!,"")</f>
        <v/>
      </c>
      <c r="AJG69" s="125" t="str">
        <f>IF(ISNUMBER(outYear),AJG39+AJG44+#REF!+#REF!,"")</f>
        <v/>
      </c>
      <c r="AJH69" s="125" t="str">
        <f>IF(ISNUMBER(outYear),AJH39+AJH44+#REF!+#REF!,"")</f>
        <v/>
      </c>
      <c r="AJI69" s="125" t="str">
        <f>IF(ISNUMBER(outYear),AJI39+AJI44+#REF!+#REF!,"")</f>
        <v/>
      </c>
      <c r="AJJ69" s="125" t="str">
        <f>IF(ISNUMBER(outYear),AJJ39+AJJ44+#REF!+#REF!,"")</f>
        <v/>
      </c>
      <c r="AJK69" s="125" t="str">
        <f>IF(ISNUMBER(outYear),AJK39+AJK44+#REF!+#REF!,"")</f>
        <v/>
      </c>
      <c r="AJL69" s="125" t="str">
        <f>IF(ISNUMBER(outYear),AJL39+AJL44+#REF!+#REF!,"")</f>
        <v/>
      </c>
      <c r="AJM69" s="125" t="str">
        <f>IF(ISNUMBER(outYear),AJM39+AJM44+#REF!+#REF!,"")</f>
        <v/>
      </c>
      <c r="AJN69" s="125" t="str">
        <f>IF(ISNUMBER(outYear),AJN39+AJN44+#REF!+#REF!,"")</f>
        <v/>
      </c>
      <c r="AJO69" s="125" t="str">
        <f>IF(ISNUMBER(outYear),AJO39+AJO44+#REF!+#REF!,"")</f>
        <v/>
      </c>
      <c r="AJP69" s="125" t="str">
        <f>IF(ISNUMBER(outYear),AJP39+AJP44+#REF!+#REF!,"")</f>
        <v/>
      </c>
      <c r="AJQ69" s="125" t="str">
        <f>IF(ISNUMBER(outYear),AJQ39+AJQ44+#REF!+#REF!,"")</f>
        <v/>
      </c>
      <c r="AJR69" s="125" t="str">
        <f>IF(ISNUMBER(outYear),AJR39+AJR44+#REF!+#REF!,"")</f>
        <v/>
      </c>
      <c r="AJS69" s="125" t="str">
        <f>IF(ISNUMBER(outYear),AJS39+AJS44+#REF!+#REF!,"")</f>
        <v/>
      </c>
      <c r="AJT69" s="125" t="str">
        <f>IF(ISNUMBER(outYear),AJT39+AJT44+#REF!+#REF!,"")</f>
        <v/>
      </c>
      <c r="AJU69" s="125" t="str">
        <f>IF(ISNUMBER(outYear),AJU39+AJU44+#REF!+#REF!,"")</f>
        <v/>
      </c>
      <c r="AJV69" s="125" t="str">
        <f>IF(ISNUMBER(outYear),AJV39+AJV44+#REF!+#REF!,"")</f>
        <v/>
      </c>
      <c r="AJW69" s="125" t="str">
        <f>IF(ISNUMBER(outYear),AJW39+AJW44+#REF!+#REF!,"")</f>
        <v/>
      </c>
      <c r="AJX69" s="125" t="str">
        <f>IF(ISNUMBER(outYear),AJX39+AJX44+#REF!+#REF!,"")</f>
        <v/>
      </c>
      <c r="AJY69" s="125" t="str">
        <f>IF(ISNUMBER(outYear),AJY39+AJY44+#REF!+#REF!,"")</f>
        <v/>
      </c>
      <c r="AJZ69" s="125" t="str">
        <f>IF(ISNUMBER(outYear),AJZ39+AJZ44+#REF!+#REF!,"")</f>
        <v/>
      </c>
      <c r="AKA69" s="125" t="str">
        <f>IF(ISNUMBER(outYear),AKA39+AKA44+#REF!+#REF!,"")</f>
        <v/>
      </c>
      <c r="AKB69" s="125" t="str">
        <f>IF(ISNUMBER(outYear),AKB39+AKB44+#REF!+#REF!,"")</f>
        <v/>
      </c>
      <c r="AKC69" s="125" t="str">
        <f>IF(ISNUMBER(outYear),AKC39+AKC44+#REF!+#REF!,"")</f>
        <v/>
      </c>
      <c r="AKD69" s="125" t="str">
        <f>IF(ISNUMBER(outYear),AKD39+AKD44+#REF!+#REF!,"")</f>
        <v/>
      </c>
      <c r="AKE69" s="125" t="str">
        <f>IF(ISNUMBER(outYear),AKE39+AKE44+#REF!+#REF!,"")</f>
        <v/>
      </c>
      <c r="AKF69" s="125" t="str">
        <f>IF(ISNUMBER(outYear),AKF39+AKF44+#REF!+#REF!,"")</f>
        <v/>
      </c>
      <c r="AKG69" s="125" t="str">
        <f>IF(ISNUMBER(outYear),AKG39+AKG44+#REF!+#REF!,"")</f>
        <v/>
      </c>
      <c r="AKH69" s="125" t="str">
        <f>IF(ISNUMBER(outYear),AKH39+AKH44+#REF!+#REF!,"")</f>
        <v/>
      </c>
      <c r="AKI69" s="125" t="str">
        <f>IF(ISNUMBER(outYear),AKI39+AKI44+#REF!+#REF!,"")</f>
        <v/>
      </c>
      <c r="AKJ69" s="125" t="str">
        <f>IF(ISNUMBER(outYear),AKJ39+AKJ44+#REF!+#REF!,"")</f>
        <v/>
      </c>
      <c r="AKK69" s="125" t="str">
        <f>IF(ISNUMBER(outYear),AKK39+AKK44+#REF!+#REF!,"")</f>
        <v/>
      </c>
      <c r="AKL69" s="125" t="str">
        <f>IF(ISNUMBER(outYear),AKL39+AKL44+#REF!+#REF!,"")</f>
        <v/>
      </c>
      <c r="AKM69" s="125" t="str">
        <f>IF(ISNUMBER(outYear),AKM39+AKM44+#REF!+#REF!,"")</f>
        <v/>
      </c>
      <c r="AKN69" s="125" t="str">
        <f>IF(ISNUMBER(outYear),AKN39+AKN44+#REF!+#REF!,"")</f>
        <v/>
      </c>
      <c r="AKO69" s="125" t="str">
        <f>IF(ISNUMBER(outYear),AKO39+AKO44+#REF!+#REF!,"")</f>
        <v/>
      </c>
      <c r="AKP69" s="125" t="str">
        <f>IF(ISNUMBER(outYear),AKP39+AKP44+#REF!+#REF!,"")</f>
        <v/>
      </c>
      <c r="AKQ69" s="125" t="str">
        <f>IF(ISNUMBER(outYear),AKQ39+AKQ44+#REF!+#REF!,"")</f>
        <v/>
      </c>
      <c r="AKR69" s="125" t="str">
        <f>IF(ISNUMBER(outYear),AKR39+AKR44+#REF!+#REF!,"")</f>
        <v/>
      </c>
      <c r="AKS69" s="125" t="str">
        <f>IF(ISNUMBER(outYear),AKS39+AKS44+#REF!+#REF!,"")</f>
        <v/>
      </c>
      <c r="AKT69" s="125" t="str">
        <f>IF(ISNUMBER(outYear),AKT39+AKT44+#REF!+#REF!,"")</f>
        <v/>
      </c>
      <c r="AKU69" s="125" t="str">
        <f>IF(ISNUMBER(outYear),AKU39+AKU44+#REF!+#REF!,"")</f>
        <v/>
      </c>
      <c r="AKV69" s="125" t="str">
        <f>IF(ISNUMBER(outYear),AKV39+AKV44+#REF!+#REF!,"")</f>
        <v/>
      </c>
      <c r="AKW69" s="125" t="str">
        <f>IF(ISNUMBER(outYear),AKW39+AKW44+#REF!+#REF!,"")</f>
        <v/>
      </c>
      <c r="AKX69" s="125" t="str">
        <f>IF(ISNUMBER(outYear),AKX39+AKX44+#REF!+#REF!,"")</f>
        <v/>
      </c>
      <c r="AKY69" s="125" t="str">
        <f>IF(ISNUMBER(outYear),AKY39+AKY44+#REF!+#REF!,"")</f>
        <v/>
      </c>
      <c r="AKZ69" s="125" t="str">
        <f>IF(ISNUMBER(outYear),AKZ39+AKZ44+#REF!+#REF!,"")</f>
        <v/>
      </c>
      <c r="ALA69" s="125" t="str">
        <f>IF(ISNUMBER(outYear),ALA39+ALA44+#REF!+#REF!,"")</f>
        <v/>
      </c>
      <c r="ALB69" s="125" t="str">
        <f>IF(ISNUMBER(outYear),ALB39+ALB44+#REF!+#REF!,"")</f>
        <v/>
      </c>
      <c r="ALC69" s="125" t="str">
        <f>IF(ISNUMBER(outYear),ALC39+ALC44+#REF!+#REF!,"")</f>
        <v/>
      </c>
      <c r="ALD69" s="125" t="str">
        <f>IF(ISNUMBER(outYear),ALD39+ALD44+#REF!+#REF!,"")</f>
        <v/>
      </c>
      <c r="ALE69" s="125" t="str">
        <f>IF(ISNUMBER(outYear),ALE39+ALE44+#REF!+#REF!,"")</f>
        <v/>
      </c>
      <c r="ALF69" s="125" t="str">
        <f>IF(ISNUMBER(outYear),ALF39+ALF44+#REF!+#REF!,"")</f>
        <v/>
      </c>
      <c r="ALG69" s="125" t="str">
        <f>IF(ISNUMBER(outYear),ALG39+ALG44+#REF!+#REF!,"")</f>
        <v/>
      </c>
      <c r="ALH69" s="125" t="str">
        <f>IF(ISNUMBER(outYear),ALH39+ALH44+#REF!+#REF!,"")</f>
        <v/>
      </c>
      <c r="ALI69" s="125" t="str">
        <f>IF(ISNUMBER(outYear),ALI39+ALI44+#REF!+#REF!,"")</f>
        <v/>
      </c>
      <c r="ALJ69" s="125" t="str">
        <f>IF(ISNUMBER(outYear),ALJ39+ALJ44+#REF!+#REF!,"")</f>
        <v/>
      </c>
      <c r="ALK69" s="125" t="str">
        <f>IF(ISNUMBER(outYear),ALK39+ALK44+#REF!+#REF!,"")</f>
        <v/>
      </c>
      <c r="ALL69" s="125" t="str">
        <f>IF(ISNUMBER(outYear),ALL39+ALL44+#REF!+#REF!,"")</f>
        <v/>
      </c>
      <c r="ALM69" s="125" t="str">
        <f>IF(ISNUMBER(outYear),ALM39+ALM44+#REF!+#REF!,"")</f>
        <v/>
      </c>
      <c r="ALN69" s="125" t="str">
        <f>IF(ISNUMBER(outYear),ALN39+ALN44+#REF!+#REF!,"")</f>
        <v/>
      </c>
      <c r="ALO69" s="125" t="str">
        <f>IF(ISNUMBER(outYear),ALO39+ALO44+#REF!+#REF!,"")</f>
        <v/>
      </c>
      <c r="ALP69" s="125" t="str">
        <f>IF(ISNUMBER(outYear),ALP39+ALP44+#REF!+#REF!,"")</f>
        <v/>
      </c>
      <c r="ALQ69" s="125" t="str">
        <f>IF(ISNUMBER(outYear),ALQ39+ALQ44+#REF!+#REF!,"")</f>
        <v/>
      </c>
      <c r="ALR69" s="125" t="str">
        <f>IF(ISNUMBER(outYear),ALR39+ALR44+#REF!+#REF!,"")</f>
        <v/>
      </c>
      <c r="ALS69" s="125" t="str">
        <f>IF(ISNUMBER(outYear),ALS39+ALS44+#REF!+#REF!,"")</f>
        <v/>
      </c>
      <c r="ALT69" s="125" t="str">
        <f>IF(ISNUMBER(outYear),ALT39+ALT44+#REF!+#REF!,"")</f>
        <v/>
      </c>
      <c r="ALU69" s="125" t="str">
        <f>IF(ISNUMBER(outYear),ALU39+ALU44+#REF!+#REF!,"")</f>
        <v/>
      </c>
      <c r="ALV69" s="125" t="str">
        <f>IF(ISNUMBER(outYear),ALV39+ALV44+#REF!+#REF!,"")</f>
        <v/>
      </c>
      <c r="ALW69" s="125" t="str">
        <f>IF(ISNUMBER(outYear),ALW39+ALW44+#REF!+#REF!,"")</f>
        <v/>
      </c>
      <c r="ALX69" s="125" t="str">
        <f>IF(ISNUMBER(outYear),ALX39+ALX44+#REF!+#REF!,"")</f>
        <v/>
      </c>
      <c r="ALY69" s="125" t="str">
        <f>IF(ISNUMBER(outYear),ALY39+ALY44+#REF!+#REF!,"")</f>
        <v/>
      </c>
      <c r="ALZ69" s="125" t="str">
        <f>IF(ISNUMBER(outYear),ALZ39+ALZ44+#REF!+#REF!,"")</f>
        <v/>
      </c>
      <c r="AMA69" s="125" t="str">
        <f>IF(ISNUMBER(outYear),AMA39+AMA44+#REF!+#REF!,"")</f>
        <v/>
      </c>
      <c r="AMB69" s="125" t="str">
        <f>IF(ISNUMBER(outYear),AMB39+AMB44+#REF!+#REF!,"")</f>
        <v/>
      </c>
      <c r="AMC69" s="125" t="str">
        <f>IF(ISNUMBER(outYear),AMC39+AMC44+#REF!+#REF!,"")</f>
        <v/>
      </c>
      <c r="AMD69" s="125" t="str">
        <f>IF(ISNUMBER(outYear),AMD39+AMD44+#REF!+#REF!,"")</f>
        <v/>
      </c>
      <c r="AME69" s="125" t="str">
        <f>IF(ISNUMBER(outYear),AME39+AME44+#REF!+#REF!,"")</f>
        <v/>
      </c>
      <c r="AMF69" s="125" t="str">
        <f>IF(ISNUMBER(outYear),AMF39+AMF44+#REF!+#REF!,"")</f>
        <v/>
      </c>
      <c r="AMG69" s="125" t="str">
        <f>IF(ISNUMBER(outYear),AMG39+AMG44+#REF!+#REF!,"")</f>
        <v/>
      </c>
      <c r="AMH69" s="125" t="str">
        <f>IF(ISNUMBER(outYear),AMH39+AMH44+#REF!+#REF!,"")</f>
        <v/>
      </c>
      <c r="AMI69" s="125" t="str">
        <f>IF(ISNUMBER(outYear),AMI39+AMI44+#REF!+#REF!,"")</f>
        <v/>
      </c>
      <c r="AMJ69" s="125" t="str">
        <f>IF(ISNUMBER(outYear),AMJ39+AMJ44+#REF!+#REF!,"")</f>
        <v/>
      </c>
    </row>
    <row r="70" spans="1:1024" x14ac:dyDescent="0.2">
      <c r="A70" s="120" t="s">
        <v>123</v>
      </c>
      <c r="B70" s="135"/>
      <c r="C70" s="125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5"/>
      <c r="BG70" s="125"/>
      <c r="BH70" s="125"/>
      <c r="BI70" s="125"/>
      <c r="BJ70" s="125"/>
      <c r="BK70" s="125"/>
      <c r="BL70" s="125"/>
      <c r="BM70" s="125"/>
      <c r="BN70" s="125"/>
      <c r="BO70" s="125"/>
      <c r="BP70" s="125"/>
      <c r="BQ70" s="125"/>
      <c r="BR70" s="125"/>
      <c r="BS70" s="125"/>
      <c r="BT70" s="125"/>
      <c r="BU70" s="125"/>
      <c r="BV70" s="125"/>
      <c r="BW70" s="125"/>
      <c r="BX70" s="125"/>
      <c r="BY70" s="125"/>
      <c r="BZ70" s="125"/>
      <c r="CA70" s="125"/>
      <c r="CB70" s="125"/>
      <c r="CC70" s="125"/>
      <c r="CD70" s="125"/>
      <c r="CE70" s="125"/>
      <c r="CF70" s="125"/>
      <c r="CG70" s="125"/>
      <c r="CH70" s="125"/>
      <c r="CI70" s="125"/>
      <c r="CJ70" s="125"/>
      <c r="CK70" s="125"/>
      <c r="CL70" s="125"/>
      <c r="CM70" s="125"/>
      <c r="CN70" s="125"/>
      <c r="CO70" s="125"/>
      <c r="CP70" s="125"/>
      <c r="CQ70" s="125"/>
      <c r="CR70" s="125"/>
      <c r="CS70" s="125"/>
      <c r="CT70" s="125"/>
      <c r="CU70" s="125"/>
      <c r="CV70" s="125"/>
      <c r="CW70" s="125"/>
      <c r="CX70" s="125"/>
    </row>
    <row r="71" spans="1:1024" x14ac:dyDescent="0.2">
      <c r="A71" s="134" t="s">
        <v>124</v>
      </c>
      <c r="B71" s="135"/>
      <c r="C71" s="125">
        <f t="shared" ref="C71:AH71" si="28">C20</f>
        <v>4501.5129999999999</v>
      </c>
      <c r="D71" s="125">
        <f t="shared" si="28"/>
        <v>4614.0508250000003</v>
      </c>
      <c r="E71" s="125">
        <f t="shared" si="28"/>
        <v>4729.4020956249997</v>
      </c>
      <c r="F71" s="125">
        <f t="shared" si="28"/>
        <v>4847.637148015624</v>
      </c>
      <c r="G71" s="125">
        <f t="shared" si="28"/>
        <v>4968.828076716014</v>
      </c>
      <c r="H71" s="125">
        <f t="shared" si="28"/>
        <v>5093.0487786339145</v>
      </c>
      <c r="I71" s="125">
        <f t="shared" si="28"/>
        <v>5220.3749980997627</v>
      </c>
      <c r="J71" s="125">
        <f t="shared" si="28"/>
        <v>5350.8843730522567</v>
      </c>
      <c r="K71" s="125">
        <f t="shared" si="28"/>
        <v>5484.6564823785611</v>
      </c>
      <c r="L71" s="125">
        <f t="shared" si="28"/>
        <v>80621.772894438021</v>
      </c>
      <c r="M71" s="125">
        <f t="shared" si="28"/>
        <v>5762.317216798976</v>
      </c>
      <c r="N71" s="125">
        <f t="shared" si="28"/>
        <v>5906.3751472189497</v>
      </c>
      <c r="O71" s="125">
        <f t="shared" si="28"/>
        <v>6054.034525899423</v>
      </c>
      <c r="P71" s="125">
        <f t="shared" si="28"/>
        <v>6205.385389046909</v>
      </c>
      <c r="Q71" s="125">
        <f t="shared" si="28"/>
        <v>6360.5200237730824</v>
      </c>
      <c r="R71" s="125">
        <f t="shared" si="28"/>
        <v>6519.5330243674089</v>
      </c>
      <c r="S71" s="125">
        <f t="shared" si="28"/>
        <v>6682.5213499765923</v>
      </c>
      <c r="T71" s="125">
        <f t="shared" si="28"/>
        <v>6849.5843837260081</v>
      </c>
      <c r="U71" s="125">
        <f t="shared" si="28"/>
        <v>7020.823993319158</v>
      </c>
      <c r="V71" s="125">
        <f t="shared" si="28"/>
        <v>7196.3445931521355</v>
      </c>
      <c r="W71" s="125">
        <f t="shared" si="28"/>
        <v>7376.2532079809389</v>
      </c>
      <c r="X71" s="125">
        <f t="shared" si="28"/>
        <v>7560.6595381804627</v>
      </c>
      <c r="Y71" s="125">
        <f t="shared" si="28"/>
        <v>7749.6760266349738</v>
      </c>
      <c r="Z71" s="125">
        <f t="shared" si="28"/>
        <v>7943.4179273008485</v>
      </c>
      <c r="AA71" s="125">
        <f t="shared" si="28"/>
        <v>8142.0033754833667</v>
      </c>
      <c r="AB71" s="125" t="str">
        <f t="shared" si="28"/>
        <v/>
      </c>
      <c r="AC71" s="125" t="str">
        <f t="shared" si="28"/>
        <v/>
      </c>
      <c r="AD71" s="125" t="str">
        <f t="shared" si="28"/>
        <v/>
      </c>
      <c r="AE71" s="125" t="str">
        <f t="shared" si="28"/>
        <v/>
      </c>
      <c r="AF71" s="125" t="str">
        <f t="shared" si="28"/>
        <v/>
      </c>
      <c r="AG71" s="125" t="str">
        <f t="shared" si="28"/>
        <v/>
      </c>
      <c r="AH71" s="125" t="str">
        <f t="shared" si="28"/>
        <v/>
      </c>
      <c r="AI71" s="125" t="str">
        <f t="shared" ref="AI71:BN71" si="29">AI20</f>
        <v/>
      </c>
      <c r="AJ71" s="125" t="str">
        <f t="shared" si="29"/>
        <v/>
      </c>
      <c r="AK71" s="125" t="str">
        <f t="shared" si="29"/>
        <v/>
      </c>
      <c r="AL71" s="125" t="str">
        <f t="shared" si="29"/>
        <v/>
      </c>
      <c r="AM71" s="125" t="str">
        <f t="shared" si="29"/>
        <v/>
      </c>
      <c r="AN71" s="125" t="str">
        <f t="shared" si="29"/>
        <v/>
      </c>
      <c r="AO71" s="125" t="str">
        <f t="shared" si="29"/>
        <v/>
      </c>
      <c r="AP71" s="125" t="str">
        <f t="shared" si="29"/>
        <v/>
      </c>
      <c r="AQ71" s="125" t="str">
        <f t="shared" si="29"/>
        <v/>
      </c>
      <c r="AR71" s="125" t="str">
        <f t="shared" si="29"/>
        <v/>
      </c>
      <c r="AS71" s="125" t="str">
        <f t="shared" si="29"/>
        <v/>
      </c>
      <c r="AT71" s="125" t="str">
        <f t="shared" si="29"/>
        <v/>
      </c>
      <c r="AU71" s="125" t="str">
        <f t="shared" si="29"/>
        <v/>
      </c>
      <c r="AV71" s="125" t="str">
        <f t="shared" si="29"/>
        <v/>
      </c>
      <c r="AW71" s="125" t="str">
        <f t="shared" si="29"/>
        <v/>
      </c>
      <c r="AX71" s="125" t="str">
        <f t="shared" si="29"/>
        <v/>
      </c>
      <c r="AY71" s="125" t="str">
        <f t="shared" si="29"/>
        <v/>
      </c>
      <c r="AZ71" s="125" t="str">
        <f t="shared" si="29"/>
        <v/>
      </c>
      <c r="BA71" s="125" t="str">
        <f t="shared" si="29"/>
        <v/>
      </c>
      <c r="BB71" s="125" t="str">
        <f t="shared" si="29"/>
        <v/>
      </c>
      <c r="BC71" s="125" t="str">
        <f t="shared" si="29"/>
        <v/>
      </c>
      <c r="BD71" s="125" t="str">
        <f t="shared" si="29"/>
        <v/>
      </c>
      <c r="BE71" s="125" t="str">
        <f t="shared" si="29"/>
        <v/>
      </c>
      <c r="BF71" s="125" t="str">
        <f t="shared" si="29"/>
        <v/>
      </c>
      <c r="BG71" s="125" t="str">
        <f t="shared" si="29"/>
        <v/>
      </c>
      <c r="BH71" s="125" t="str">
        <f t="shared" si="29"/>
        <v/>
      </c>
      <c r="BI71" s="125" t="str">
        <f t="shared" si="29"/>
        <v/>
      </c>
      <c r="BJ71" s="125" t="str">
        <f t="shared" si="29"/>
        <v/>
      </c>
      <c r="BK71" s="125" t="str">
        <f t="shared" si="29"/>
        <v/>
      </c>
      <c r="BL71" s="125" t="str">
        <f t="shared" si="29"/>
        <v/>
      </c>
      <c r="BM71" s="125" t="str">
        <f t="shared" si="29"/>
        <v/>
      </c>
      <c r="BN71" s="125" t="str">
        <f t="shared" si="29"/>
        <v/>
      </c>
      <c r="BO71" s="125" t="str">
        <f t="shared" ref="BO71:CX71" si="30">BO20</f>
        <v/>
      </c>
      <c r="BP71" s="125" t="str">
        <f t="shared" si="30"/>
        <v/>
      </c>
      <c r="BQ71" s="125" t="str">
        <f t="shared" si="30"/>
        <v/>
      </c>
      <c r="BR71" s="125" t="str">
        <f t="shared" si="30"/>
        <v/>
      </c>
      <c r="BS71" s="125" t="str">
        <f t="shared" si="30"/>
        <v/>
      </c>
      <c r="BT71" s="125" t="str">
        <f t="shared" si="30"/>
        <v/>
      </c>
      <c r="BU71" s="125" t="str">
        <f t="shared" si="30"/>
        <v/>
      </c>
      <c r="BV71" s="125" t="str">
        <f t="shared" si="30"/>
        <v/>
      </c>
      <c r="BW71" s="125" t="str">
        <f t="shared" si="30"/>
        <v/>
      </c>
      <c r="BX71" s="125" t="str">
        <f t="shared" si="30"/>
        <v/>
      </c>
      <c r="BY71" s="125" t="str">
        <f t="shared" si="30"/>
        <v/>
      </c>
      <c r="BZ71" s="125" t="str">
        <f t="shared" si="30"/>
        <v/>
      </c>
      <c r="CA71" s="125" t="str">
        <f t="shared" si="30"/>
        <v/>
      </c>
      <c r="CB71" s="125" t="str">
        <f t="shared" si="30"/>
        <v/>
      </c>
      <c r="CC71" s="125" t="str">
        <f t="shared" si="30"/>
        <v/>
      </c>
      <c r="CD71" s="125" t="str">
        <f t="shared" si="30"/>
        <v/>
      </c>
      <c r="CE71" s="125" t="str">
        <f t="shared" si="30"/>
        <v/>
      </c>
      <c r="CF71" s="125" t="str">
        <f t="shared" si="30"/>
        <v/>
      </c>
      <c r="CG71" s="125" t="str">
        <f t="shared" si="30"/>
        <v/>
      </c>
      <c r="CH71" s="125" t="str">
        <f t="shared" si="30"/>
        <v/>
      </c>
      <c r="CI71" s="125" t="str">
        <f t="shared" si="30"/>
        <v/>
      </c>
      <c r="CJ71" s="125" t="str">
        <f t="shared" si="30"/>
        <v/>
      </c>
      <c r="CK71" s="125" t="str">
        <f t="shared" si="30"/>
        <v/>
      </c>
      <c r="CL71" s="125" t="str">
        <f t="shared" si="30"/>
        <v/>
      </c>
      <c r="CM71" s="125" t="str">
        <f t="shared" si="30"/>
        <v/>
      </c>
      <c r="CN71" s="125" t="str">
        <f t="shared" si="30"/>
        <v/>
      </c>
      <c r="CO71" s="125" t="str">
        <f t="shared" si="30"/>
        <v/>
      </c>
      <c r="CP71" s="125" t="str">
        <f t="shared" si="30"/>
        <v/>
      </c>
      <c r="CQ71" s="125" t="str">
        <f t="shared" si="30"/>
        <v/>
      </c>
      <c r="CR71" s="125" t="str">
        <f t="shared" si="30"/>
        <v/>
      </c>
      <c r="CS71" s="125" t="str">
        <f t="shared" si="30"/>
        <v/>
      </c>
      <c r="CT71" s="125" t="str">
        <f t="shared" si="30"/>
        <v/>
      </c>
      <c r="CU71" s="125" t="str">
        <f t="shared" si="30"/>
        <v/>
      </c>
      <c r="CV71" s="125" t="str">
        <f t="shared" si="30"/>
        <v/>
      </c>
      <c r="CW71" s="125" t="str">
        <f t="shared" si="30"/>
        <v/>
      </c>
      <c r="CX71" s="125" t="str">
        <f t="shared" si="30"/>
        <v/>
      </c>
    </row>
    <row r="72" spans="1:1024" x14ac:dyDescent="0.2">
      <c r="A72" s="134" t="s">
        <v>125</v>
      </c>
      <c r="B72" s="135"/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</row>
    <row r="73" spans="1:1024" s="163" customFormat="1" x14ac:dyDescent="0.2">
      <c r="A73" s="162" t="s">
        <v>126</v>
      </c>
      <c r="B73" s="139"/>
      <c r="C73" s="139">
        <f>'Inputs and Outputs'!C106</f>
        <v>0.2</v>
      </c>
      <c r="D73" s="139">
        <f>'Inputs and Outputs'!D106</f>
        <v>0.32</v>
      </c>
      <c r="E73" s="139">
        <f>'Inputs and Outputs'!E106</f>
        <v>0.192</v>
      </c>
      <c r="F73" s="139">
        <f>'Inputs and Outputs'!F106</f>
        <v>0.1152</v>
      </c>
      <c r="G73" s="139">
        <f>'Inputs and Outputs'!G106</f>
        <v>0.1152</v>
      </c>
      <c r="H73" s="139">
        <f>'Inputs and Outputs'!H106</f>
        <v>5.7599999999999998E-2</v>
      </c>
      <c r="I73" s="139">
        <f>'Inputs and Outputs'!I106</f>
        <v>0</v>
      </c>
      <c r="J73" s="139">
        <f>'Inputs and Outputs'!J106</f>
        <v>0</v>
      </c>
      <c r="K73" s="139">
        <f>'Inputs and Outputs'!K106</f>
        <v>0</v>
      </c>
      <c r="L73" s="139">
        <f>'Inputs and Outputs'!L106</f>
        <v>0</v>
      </c>
      <c r="M73" s="139">
        <f>'Inputs and Outputs'!M106</f>
        <v>0</v>
      </c>
      <c r="N73" s="139">
        <f>'Inputs and Outputs'!N106</f>
        <v>0</v>
      </c>
      <c r="O73" s="139">
        <f>'Inputs and Outputs'!O106</f>
        <v>0</v>
      </c>
      <c r="P73" s="139">
        <f>'Inputs and Outputs'!P106</f>
        <v>0</v>
      </c>
      <c r="Q73" s="139">
        <f>'Inputs and Outputs'!Q106</f>
        <v>0</v>
      </c>
      <c r="R73" s="139">
        <f>'Inputs and Outputs'!R106</f>
        <v>0</v>
      </c>
      <c r="S73" s="139">
        <f>'Inputs and Outputs'!S106</f>
        <v>0</v>
      </c>
      <c r="T73" s="139">
        <f>'Inputs and Outputs'!T106</f>
        <v>0</v>
      </c>
      <c r="U73" s="139">
        <f>'Inputs and Outputs'!U106</f>
        <v>0</v>
      </c>
      <c r="V73" s="139">
        <f>'Inputs and Outputs'!V106</f>
        <v>0</v>
      </c>
      <c r="W73" s="139">
        <f>'Inputs and Outputs'!W106</f>
        <v>0</v>
      </c>
      <c r="X73" s="139">
        <f>'Inputs and Outputs'!X106</f>
        <v>0</v>
      </c>
      <c r="Y73" s="139">
        <f>'Inputs and Outputs'!Y106</f>
        <v>0</v>
      </c>
      <c r="Z73" s="139">
        <f>'Inputs and Outputs'!Z106</f>
        <v>0</v>
      </c>
      <c r="AA73" s="139">
        <f>'Inputs and Outputs'!AA106</f>
        <v>0</v>
      </c>
      <c r="AB73" s="139" t="str">
        <f>'Inputs and Outputs'!AB106</f>
        <v/>
      </c>
      <c r="AC73" s="139" t="str">
        <f>'Inputs and Outputs'!AC106</f>
        <v/>
      </c>
      <c r="AD73" s="139" t="str">
        <f>'Inputs and Outputs'!AD106</f>
        <v/>
      </c>
      <c r="AE73" s="139" t="str">
        <f>'Inputs and Outputs'!AE106</f>
        <v/>
      </c>
      <c r="AF73" s="139" t="str">
        <f>'Inputs and Outputs'!AF106</f>
        <v/>
      </c>
      <c r="AG73" s="139" t="str">
        <f>'Inputs and Outputs'!AG106</f>
        <v/>
      </c>
      <c r="AH73" s="139" t="str">
        <f>'Inputs and Outputs'!AH106</f>
        <v/>
      </c>
      <c r="AI73" s="139" t="str">
        <f>'Inputs and Outputs'!AI106</f>
        <v/>
      </c>
      <c r="AJ73" s="139" t="str">
        <f>'Inputs and Outputs'!AJ106</f>
        <v/>
      </c>
      <c r="AK73" s="139" t="str">
        <f>'Inputs and Outputs'!AK106</f>
        <v/>
      </c>
      <c r="AL73" s="139" t="str">
        <f>'Inputs and Outputs'!AL106</f>
        <v/>
      </c>
      <c r="AM73" s="139" t="str">
        <f>'Inputs and Outputs'!AM106</f>
        <v/>
      </c>
      <c r="AN73" s="139" t="str">
        <f>'Inputs and Outputs'!AN106</f>
        <v/>
      </c>
      <c r="AO73" s="139" t="str">
        <f>'Inputs and Outputs'!AO106</f>
        <v/>
      </c>
      <c r="AP73" s="139" t="str">
        <f>'Inputs and Outputs'!AP106</f>
        <v/>
      </c>
      <c r="AQ73" s="139" t="str">
        <f>'Inputs and Outputs'!AQ106</f>
        <v/>
      </c>
      <c r="AR73" s="139" t="str">
        <f>'Inputs and Outputs'!AR106</f>
        <v/>
      </c>
      <c r="AS73" s="139" t="str">
        <f>'Inputs and Outputs'!AS106</f>
        <v/>
      </c>
      <c r="AT73" s="139" t="str">
        <f>'Inputs and Outputs'!AT106</f>
        <v/>
      </c>
      <c r="AU73" s="139" t="str">
        <f>'Inputs and Outputs'!AU106</f>
        <v/>
      </c>
      <c r="AV73" s="139" t="str">
        <f>'Inputs and Outputs'!AV106</f>
        <v/>
      </c>
      <c r="AW73" s="139" t="str">
        <f>'Inputs and Outputs'!AW106</f>
        <v/>
      </c>
      <c r="AX73" s="139" t="str">
        <f>'Inputs and Outputs'!AX106</f>
        <v/>
      </c>
      <c r="AY73" s="139" t="str">
        <f>'Inputs and Outputs'!AY106</f>
        <v/>
      </c>
      <c r="AZ73" s="139" t="str">
        <f>'Inputs and Outputs'!AZ106</f>
        <v/>
      </c>
      <c r="BA73" s="139" t="str">
        <f>'Inputs and Outputs'!BA106</f>
        <v/>
      </c>
      <c r="BB73" s="139" t="str">
        <f>'Inputs and Outputs'!BB106</f>
        <v/>
      </c>
      <c r="BC73" s="139" t="str">
        <f>'Inputs and Outputs'!BC106</f>
        <v/>
      </c>
      <c r="BD73" s="139" t="str">
        <f>'Inputs and Outputs'!BD106</f>
        <v/>
      </c>
      <c r="BE73" s="139" t="str">
        <f>'Inputs and Outputs'!BE106</f>
        <v/>
      </c>
      <c r="BF73" s="139" t="str">
        <f>'Inputs and Outputs'!BF106</f>
        <v/>
      </c>
      <c r="BG73" s="139" t="str">
        <f>'Inputs and Outputs'!BG106</f>
        <v/>
      </c>
      <c r="BH73" s="139" t="str">
        <f>'Inputs and Outputs'!BH106</f>
        <v/>
      </c>
      <c r="BI73" s="139" t="str">
        <f>'Inputs and Outputs'!BI106</f>
        <v/>
      </c>
      <c r="BJ73" s="139" t="str">
        <f>'Inputs and Outputs'!BJ106</f>
        <v/>
      </c>
      <c r="BK73" s="139" t="str">
        <f>'Inputs and Outputs'!BK106</f>
        <v/>
      </c>
      <c r="BL73" s="139" t="str">
        <f>'Inputs and Outputs'!BL106</f>
        <v/>
      </c>
      <c r="BM73" s="139" t="str">
        <f>'Inputs and Outputs'!BM106</f>
        <v/>
      </c>
      <c r="BN73" s="139" t="str">
        <f>'Inputs and Outputs'!BN106</f>
        <v/>
      </c>
      <c r="BO73" s="139" t="str">
        <f>'Inputs and Outputs'!BO106</f>
        <v/>
      </c>
      <c r="BP73" s="139" t="str">
        <f>'Inputs and Outputs'!BP106</f>
        <v/>
      </c>
      <c r="BQ73" s="139" t="str">
        <f>'Inputs and Outputs'!BQ106</f>
        <v/>
      </c>
      <c r="BR73" s="139" t="str">
        <f>'Inputs and Outputs'!BR106</f>
        <v/>
      </c>
      <c r="BS73" s="139" t="str">
        <f>'Inputs and Outputs'!BS106</f>
        <v/>
      </c>
      <c r="BT73" s="139" t="str">
        <f>'Inputs and Outputs'!BT106</f>
        <v/>
      </c>
      <c r="BU73" s="139" t="str">
        <f>'Inputs and Outputs'!BU106</f>
        <v/>
      </c>
      <c r="BV73" s="139" t="str">
        <f>'Inputs and Outputs'!BV106</f>
        <v/>
      </c>
      <c r="BW73" s="139" t="str">
        <f>'Inputs and Outputs'!BW106</f>
        <v/>
      </c>
      <c r="BX73" s="139" t="str">
        <f>'Inputs and Outputs'!BX106</f>
        <v/>
      </c>
      <c r="BY73" s="139" t="str">
        <f>'Inputs and Outputs'!BY106</f>
        <v/>
      </c>
      <c r="BZ73" s="139" t="str">
        <f>'Inputs and Outputs'!BZ106</f>
        <v/>
      </c>
      <c r="CA73" s="139" t="str">
        <f>'Inputs and Outputs'!CA106</f>
        <v/>
      </c>
      <c r="CB73" s="139" t="str">
        <f>'Inputs and Outputs'!CB106</f>
        <v/>
      </c>
      <c r="CC73" s="139" t="str">
        <f>'Inputs and Outputs'!CC106</f>
        <v/>
      </c>
      <c r="CD73" s="139" t="str">
        <f>'Inputs and Outputs'!CD106</f>
        <v/>
      </c>
      <c r="CE73" s="139" t="str">
        <f>'Inputs and Outputs'!CE106</f>
        <v/>
      </c>
      <c r="CF73" s="139" t="str">
        <f>'Inputs and Outputs'!CF106</f>
        <v/>
      </c>
      <c r="CG73" s="139" t="str">
        <f>'Inputs and Outputs'!CG106</f>
        <v/>
      </c>
      <c r="CH73" s="139" t="str">
        <f>'Inputs and Outputs'!CH106</f>
        <v/>
      </c>
      <c r="CI73" s="139" t="str">
        <f>'Inputs and Outputs'!CI106</f>
        <v/>
      </c>
      <c r="CJ73" s="139" t="str">
        <f>'Inputs and Outputs'!CJ106</f>
        <v/>
      </c>
      <c r="CK73" s="139" t="str">
        <f>'Inputs and Outputs'!CK106</f>
        <v/>
      </c>
      <c r="CL73" s="139" t="str">
        <f>'Inputs and Outputs'!CL106</f>
        <v/>
      </c>
      <c r="CM73" s="139" t="str">
        <f>'Inputs and Outputs'!CM106</f>
        <v/>
      </c>
      <c r="CN73" s="139" t="str">
        <f>'Inputs and Outputs'!CN106</f>
        <v/>
      </c>
      <c r="CO73" s="139" t="str">
        <f>'Inputs and Outputs'!CO106</f>
        <v/>
      </c>
      <c r="CP73" s="139" t="str">
        <f>'Inputs and Outputs'!CP106</f>
        <v/>
      </c>
      <c r="CQ73" s="139" t="str">
        <f>'Inputs and Outputs'!CQ106</f>
        <v/>
      </c>
      <c r="CR73" s="139" t="str">
        <f>'Inputs and Outputs'!CR106</f>
        <v/>
      </c>
      <c r="CS73" s="139" t="str">
        <f>'Inputs and Outputs'!CS106</f>
        <v/>
      </c>
      <c r="CT73" s="139" t="str">
        <f>'Inputs and Outputs'!CT106</f>
        <v/>
      </c>
      <c r="CU73" s="139" t="str">
        <f>'Inputs and Outputs'!CU106</f>
        <v/>
      </c>
      <c r="CV73" s="139" t="str">
        <f>'Inputs and Outputs'!CV106</f>
        <v/>
      </c>
      <c r="CW73" s="139" t="str">
        <f>'Inputs and Outputs'!CW106</f>
        <v/>
      </c>
      <c r="CX73" s="139" t="str">
        <f>'Inputs and Outputs'!CX106</f>
        <v/>
      </c>
    </row>
    <row r="74" spans="1:1024" x14ac:dyDescent="0.2">
      <c r="A74" s="162" t="s">
        <v>127</v>
      </c>
      <c r="B74" s="125">
        <f>IF(ISNUMBER(outYear),IF(FederalDepreciation="N/A",0,($B$90-IF(itc_fed_percent_deprbas_fed="Yes",0.5*MIN(itc_fed_percent/100*$B$90,itc_fed_percent_maxvalue),0))),"")</f>
        <v>376310.3</v>
      </c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  <c r="BC74" s="139"/>
      <c r="BD74" s="139"/>
      <c r="BE74" s="139"/>
      <c r="BF74" s="139"/>
      <c r="BG74" s="139"/>
      <c r="BH74" s="139"/>
      <c r="BI74" s="139"/>
      <c r="BJ74" s="139"/>
      <c r="BK74" s="139"/>
      <c r="BL74" s="139"/>
      <c r="BM74" s="139"/>
      <c r="BN74" s="139"/>
      <c r="BO74" s="139"/>
      <c r="BP74" s="139"/>
      <c r="BQ74" s="139"/>
      <c r="BR74" s="139"/>
      <c r="BS74" s="139"/>
      <c r="BT74" s="139"/>
      <c r="BU74" s="139"/>
      <c r="BV74" s="139"/>
      <c r="BW74" s="139"/>
      <c r="BX74" s="139"/>
      <c r="BY74" s="139"/>
      <c r="BZ74" s="139"/>
      <c r="CA74" s="139"/>
      <c r="CB74" s="139"/>
      <c r="CC74" s="139"/>
      <c r="CD74" s="139"/>
      <c r="CE74" s="139"/>
      <c r="CF74" s="139"/>
      <c r="CG74" s="139"/>
      <c r="CH74" s="139"/>
      <c r="CI74" s="139"/>
      <c r="CJ74" s="139"/>
      <c r="CK74" s="139"/>
      <c r="CL74" s="139"/>
      <c r="CM74" s="139"/>
      <c r="CN74" s="139"/>
      <c r="CO74" s="139"/>
      <c r="CP74" s="139"/>
      <c r="CQ74" s="139"/>
      <c r="CR74" s="139"/>
      <c r="CS74" s="139"/>
      <c r="CT74" s="139"/>
      <c r="CU74" s="139"/>
      <c r="CV74" s="139"/>
      <c r="CW74" s="139"/>
      <c r="CX74" s="139"/>
    </row>
    <row r="75" spans="1:1024" x14ac:dyDescent="0.2">
      <c r="A75" s="162" t="s">
        <v>128</v>
      </c>
      <c r="B75" s="125">
        <f>$B$74*(1-BonusFraction)</f>
        <v>188155.15</v>
      </c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</row>
    <row r="76" spans="1:1024" s="164" customFormat="1" x14ac:dyDescent="0.2">
      <c r="A76" s="162" t="s">
        <v>129</v>
      </c>
      <c r="B76" s="135"/>
      <c r="C76" s="125">
        <f>IF(ISNUMBER(outYear),$B$75*C73 + $B$74*BonusFraction,"")</f>
        <v>225786.18</v>
      </c>
      <c r="D76" s="125">
        <f t="shared" ref="D76:AI76" si="31">IF(ISNUMBER(outYear),$B$75*D73,"")</f>
        <v>60209.648000000001</v>
      </c>
      <c r="E76" s="125">
        <f t="shared" si="31"/>
        <v>36125.788800000002</v>
      </c>
      <c r="F76" s="125">
        <f t="shared" si="31"/>
        <v>21675.473279999998</v>
      </c>
      <c r="G76" s="125">
        <f t="shared" si="31"/>
        <v>21675.473279999998</v>
      </c>
      <c r="H76" s="125">
        <f t="shared" si="31"/>
        <v>10837.736639999999</v>
      </c>
      <c r="I76" s="125">
        <f t="shared" si="31"/>
        <v>0</v>
      </c>
      <c r="J76" s="125">
        <f t="shared" si="31"/>
        <v>0</v>
      </c>
      <c r="K76" s="125">
        <f t="shared" si="31"/>
        <v>0</v>
      </c>
      <c r="L76" s="125">
        <f t="shared" si="31"/>
        <v>0</v>
      </c>
      <c r="M76" s="125">
        <f t="shared" si="31"/>
        <v>0</v>
      </c>
      <c r="N76" s="125">
        <f t="shared" si="31"/>
        <v>0</v>
      </c>
      <c r="O76" s="125">
        <f t="shared" si="31"/>
        <v>0</v>
      </c>
      <c r="P76" s="125">
        <f t="shared" si="31"/>
        <v>0</v>
      </c>
      <c r="Q76" s="125">
        <f t="shared" si="31"/>
        <v>0</v>
      </c>
      <c r="R76" s="125">
        <f t="shared" si="31"/>
        <v>0</v>
      </c>
      <c r="S76" s="125">
        <f t="shared" si="31"/>
        <v>0</v>
      </c>
      <c r="T76" s="125">
        <f t="shared" si="31"/>
        <v>0</v>
      </c>
      <c r="U76" s="125">
        <f t="shared" si="31"/>
        <v>0</v>
      </c>
      <c r="V76" s="125">
        <f t="shared" si="31"/>
        <v>0</v>
      </c>
      <c r="W76" s="125">
        <f t="shared" si="31"/>
        <v>0</v>
      </c>
      <c r="X76" s="125">
        <f t="shared" si="31"/>
        <v>0</v>
      </c>
      <c r="Y76" s="125">
        <f t="shared" si="31"/>
        <v>0</v>
      </c>
      <c r="Z76" s="125">
        <f t="shared" si="31"/>
        <v>0</v>
      </c>
      <c r="AA76" s="125">
        <f t="shared" si="31"/>
        <v>0</v>
      </c>
      <c r="AB76" s="125" t="str">
        <f t="shared" si="31"/>
        <v/>
      </c>
      <c r="AC76" s="125" t="str">
        <f t="shared" si="31"/>
        <v/>
      </c>
      <c r="AD76" s="125" t="str">
        <f t="shared" si="31"/>
        <v/>
      </c>
      <c r="AE76" s="125" t="str">
        <f t="shared" si="31"/>
        <v/>
      </c>
      <c r="AF76" s="125" t="str">
        <f t="shared" si="31"/>
        <v/>
      </c>
      <c r="AG76" s="125" t="str">
        <f t="shared" si="31"/>
        <v/>
      </c>
      <c r="AH76" s="125" t="str">
        <f t="shared" si="31"/>
        <v/>
      </c>
      <c r="AI76" s="125" t="str">
        <f t="shared" si="31"/>
        <v/>
      </c>
      <c r="AJ76" s="125" t="str">
        <f t="shared" ref="AJ76:BO76" si="32">IF(ISNUMBER(outYear),$B$75*AJ73,"")</f>
        <v/>
      </c>
      <c r="AK76" s="125" t="str">
        <f t="shared" si="32"/>
        <v/>
      </c>
      <c r="AL76" s="125" t="str">
        <f t="shared" si="32"/>
        <v/>
      </c>
      <c r="AM76" s="125" t="str">
        <f t="shared" si="32"/>
        <v/>
      </c>
      <c r="AN76" s="125" t="str">
        <f t="shared" si="32"/>
        <v/>
      </c>
      <c r="AO76" s="125" t="str">
        <f t="shared" si="32"/>
        <v/>
      </c>
      <c r="AP76" s="125" t="str">
        <f t="shared" si="32"/>
        <v/>
      </c>
      <c r="AQ76" s="125" t="str">
        <f t="shared" si="32"/>
        <v/>
      </c>
      <c r="AR76" s="125" t="str">
        <f t="shared" si="32"/>
        <v/>
      </c>
      <c r="AS76" s="125" t="str">
        <f t="shared" si="32"/>
        <v/>
      </c>
      <c r="AT76" s="125" t="str">
        <f t="shared" si="32"/>
        <v/>
      </c>
      <c r="AU76" s="125" t="str">
        <f t="shared" si="32"/>
        <v/>
      </c>
      <c r="AV76" s="125" t="str">
        <f t="shared" si="32"/>
        <v/>
      </c>
      <c r="AW76" s="125" t="str">
        <f t="shared" si="32"/>
        <v/>
      </c>
      <c r="AX76" s="125" t="str">
        <f t="shared" si="32"/>
        <v/>
      </c>
      <c r="AY76" s="125" t="str">
        <f t="shared" si="32"/>
        <v/>
      </c>
      <c r="AZ76" s="125" t="str">
        <f t="shared" si="32"/>
        <v/>
      </c>
      <c r="BA76" s="125" t="str">
        <f t="shared" si="32"/>
        <v/>
      </c>
      <c r="BB76" s="125" t="str">
        <f t="shared" si="32"/>
        <v/>
      </c>
      <c r="BC76" s="125" t="str">
        <f t="shared" si="32"/>
        <v/>
      </c>
      <c r="BD76" s="125" t="str">
        <f t="shared" si="32"/>
        <v/>
      </c>
      <c r="BE76" s="125" t="str">
        <f t="shared" si="32"/>
        <v/>
      </c>
      <c r="BF76" s="125" t="str">
        <f t="shared" si="32"/>
        <v/>
      </c>
      <c r="BG76" s="125" t="str">
        <f t="shared" si="32"/>
        <v/>
      </c>
      <c r="BH76" s="125" t="str">
        <f t="shared" si="32"/>
        <v/>
      </c>
      <c r="BI76" s="125" t="str">
        <f t="shared" si="32"/>
        <v/>
      </c>
      <c r="BJ76" s="125" t="str">
        <f t="shared" si="32"/>
        <v/>
      </c>
      <c r="BK76" s="125" t="str">
        <f t="shared" si="32"/>
        <v/>
      </c>
      <c r="BL76" s="125" t="str">
        <f t="shared" si="32"/>
        <v/>
      </c>
      <c r="BM76" s="125" t="str">
        <f t="shared" si="32"/>
        <v/>
      </c>
      <c r="BN76" s="125" t="str">
        <f t="shared" si="32"/>
        <v/>
      </c>
      <c r="BO76" s="125" t="str">
        <f t="shared" si="32"/>
        <v/>
      </c>
      <c r="BP76" s="125" t="str">
        <f t="shared" ref="BP76:CX76" si="33">IF(ISNUMBER(outYear),$B$75*BP73,"")</f>
        <v/>
      </c>
      <c r="BQ76" s="125" t="str">
        <f t="shared" si="33"/>
        <v/>
      </c>
      <c r="BR76" s="125" t="str">
        <f t="shared" si="33"/>
        <v/>
      </c>
      <c r="BS76" s="125" t="str">
        <f t="shared" si="33"/>
        <v/>
      </c>
      <c r="BT76" s="125" t="str">
        <f t="shared" si="33"/>
        <v/>
      </c>
      <c r="BU76" s="125" t="str">
        <f t="shared" si="33"/>
        <v/>
      </c>
      <c r="BV76" s="125" t="str">
        <f t="shared" si="33"/>
        <v/>
      </c>
      <c r="BW76" s="125" t="str">
        <f t="shared" si="33"/>
        <v/>
      </c>
      <c r="BX76" s="125" t="str">
        <f t="shared" si="33"/>
        <v/>
      </c>
      <c r="BY76" s="125" t="str">
        <f t="shared" si="33"/>
        <v/>
      </c>
      <c r="BZ76" s="125" t="str">
        <f t="shared" si="33"/>
        <v/>
      </c>
      <c r="CA76" s="125" t="str">
        <f t="shared" si="33"/>
        <v/>
      </c>
      <c r="CB76" s="125" t="str">
        <f t="shared" si="33"/>
        <v/>
      </c>
      <c r="CC76" s="125" t="str">
        <f t="shared" si="33"/>
        <v/>
      </c>
      <c r="CD76" s="125" t="str">
        <f t="shared" si="33"/>
        <v/>
      </c>
      <c r="CE76" s="125" t="str">
        <f t="shared" si="33"/>
        <v/>
      </c>
      <c r="CF76" s="125" t="str">
        <f t="shared" si="33"/>
        <v/>
      </c>
      <c r="CG76" s="125" t="str">
        <f t="shared" si="33"/>
        <v/>
      </c>
      <c r="CH76" s="125" t="str">
        <f t="shared" si="33"/>
        <v/>
      </c>
      <c r="CI76" s="125" t="str">
        <f t="shared" si="33"/>
        <v/>
      </c>
      <c r="CJ76" s="125" t="str">
        <f t="shared" si="33"/>
        <v/>
      </c>
      <c r="CK76" s="125" t="str">
        <f t="shared" si="33"/>
        <v/>
      </c>
      <c r="CL76" s="125" t="str">
        <f t="shared" si="33"/>
        <v/>
      </c>
      <c r="CM76" s="125" t="str">
        <f t="shared" si="33"/>
        <v/>
      </c>
      <c r="CN76" s="125" t="str">
        <f t="shared" si="33"/>
        <v/>
      </c>
      <c r="CO76" s="125" t="str">
        <f t="shared" si="33"/>
        <v/>
      </c>
      <c r="CP76" s="125" t="str">
        <f t="shared" si="33"/>
        <v/>
      </c>
      <c r="CQ76" s="125" t="str">
        <f t="shared" si="33"/>
        <v/>
      </c>
      <c r="CR76" s="125" t="str">
        <f t="shared" si="33"/>
        <v/>
      </c>
      <c r="CS76" s="125" t="str">
        <f t="shared" si="33"/>
        <v/>
      </c>
      <c r="CT76" s="125" t="str">
        <f t="shared" si="33"/>
        <v/>
      </c>
      <c r="CU76" s="125" t="str">
        <f t="shared" si="33"/>
        <v/>
      </c>
      <c r="CV76" s="125" t="str">
        <f t="shared" si="33"/>
        <v/>
      </c>
      <c r="CW76" s="125" t="str">
        <f t="shared" si="33"/>
        <v/>
      </c>
      <c r="CX76" s="125" t="str">
        <f t="shared" si="33"/>
        <v/>
      </c>
    </row>
    <row r="77" spans="1:1024" s="133" customFormat="1" x14ac:dyDescent="0.2">
      <c r="A77" s="149" t="s">
        <v>166</v>
      </c>
      <c r="B77" s="158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</row>
    <row r="78" spans="1:1024" s="164" customFormat="1" x14ac:dyDescent="0.2">
      <c r="A78" s="162" t="s">
        <v>126</v>
      </c>
      <c r="B78" s="159"/>
      <c r="C78" s="159">
        <f>'Inputs and Outputs'!C107</f>
        <v>0.2</v>
      </c>
      <c r="D78" s="159">
        <f>'Inputs and Outputs'!D107</f>
        <v>0.32</v>
      </c>
      <c r="E78" s="159">
        <f>'Inputs and Outputs'!E107</f>
        <v>0.192</v>
      </c>
      <c r="F78" s="159">
        <f>'Inputs and Outputs'!F107</f>
        <v>0.1152</v>
      </c>
      <c r="G78" s="159">
        <f>'Inputs and Outputs'!G107</f>
        <v>0.1152</v>
      </c>
      <c r="H78" s="159">
        <f>'Inputs and Outputs'!H107</f>
        <v>5.7599999999999998E-2</v>
      </c>
      <c r="I78" s="159">
        <f>'Inputs and Outputs'!I107</f>
        <v>0</v>
      </c>
      <c r="J78" s="159">
        <f>'Inputs and Outputs'!J107</f>
        <v>0</v>
      </c>
      <c r="K78" s="159">
        <f>'Inputs and Outputs'!K107</f>
        <v>0</v>
      </c>
      <c r="L78" s="159">
        <f>'Inputs and Outputs'!L107</f>
        <v>0</v>
      </c>
      <c r="M78" s="159">
        <f>'Inputs and Outputs'!M107</f>
        <v>0</v>
      </c>
      <c r="N78" s="159">
        <f>'Inputs and Outputs'!N107</f>
        <v>0</v>
      </c>
      <c r="O78" s="159">
        <f>'Inputs and Outputs'!O107</f>
        <v>0</v>
      </c>
      <c r="P78" s="159">
        <f>'Inputs and Outputs'!P107</f>
        <v>0</v>
      </c>
      <c r="Q78" s="159">
        <f>'Inputs and Outputs'!Q107</f>
        <v>0</v>
      </c>
      <c r="R78" s="159">
        <f>'Inputs and Outputs'!R107</f>
        <v>0</v>
      </c>
      <c r="S78" s="159">
        <f>'Inputs and Outputs'!S107</f>
        <v>0</v>
      </c>
      <c r="T78" s="159">
        <f>'Inputs and Outputs'!T107</f>
        <v>0</v>
      </c>
      <c r="U78" s="159">
        <f>'Inputs and Outputs'!U107</f>
        <v>0</v>
      </c>
      <c r="V78" s="159">
        <f>'Inputs and Outputs'!V107</f>
        <v>0</v>
      </c>
      <c r="W78" s="159">
        <f>'Inputs and Outputs'!W107</f>
        <v>0</v>
      </c>
      <c r="X78" s="159">
        <f>'Inputs and Outputs'!X107</f>
        <v>0</v>
      </c>
      <c r="Y78" s="159">
        <f>'Inputs and Outputs'!Y107</f>
        <v>0</v>
      </c>
      <c r="Z78" s="159">
        <f>'Inputs and Outputs'!Z107</f>
        <v>0</v>
      </c>
      <c r="AA78" s="159">
        <f>'Inputs and Outputs'!AA107</f>
        <v>0</v>
      </c>
      <c r="AB78" s="159" t="str">
        <f>'Inputs and Outputs'!AB107</f>
        <v/>
      </c>
      <c r="AC78" s="159" t="str">
        <f>'Inputs and Outputs'!AC107</f>
        <v/>
      </c>
      <c r="AD78" s="159" t="str">
        <f>'Inputs and Outputs'!AD107</f>
        <v/>
      </c>
      <c r="AE78" s="159" t="str">
        <f>'Inputs and Outputs'!AE107</f>
        <v/>
      </c>
      <c r="AF78" s="159" t="str">
        <f>'Inputs and Outputs'!AF107</f>
        <v/>
      </c>
      <c r="AG78" s="159" t="str">
        <f>'Inputs and Outputs'!AG107</f>
        <v/>
      </c>
      <c r="AH78" s="159" t="str">
        <f>'Inputs and Outputs'!AH107</f>
        <v/>
      </c>
      <c r="AI78" s="159" t="str">
        <f>'Inputs and Outputs'!AI107</f>
        <v/>
      </c>
      <c r="AJ78" s="159" t="str">
        <f>'Inputs and Outputs'!AJ107</f>
        <v/>
      </c>
      <c r="AK78" s="159" t="str">
        <f>'Inputs and Outputs'!AK107</f>
        <v/>
      </c>
      <c r="AL78" s="159" t="str">
        <f>'Inputs and Outputs'!AL107</f>
        <v/>
      </c>
      <c r="AM78" s="159" t="str">
        <f>'Inputs and Outputs'!AM107</f>
        <v/>
      </c>
      <c r="AN78" s="159" t="str">
        <f>'Inputs and Outputs'!AN107</f>
        <v/>
      </c>
      <c r="AO78" s="159" t="str">
        <f>'Inputs and Outputs'!AO107</f>
        <v/>
      </c>
      <c r="AP78" s="159" t="str">
        <f>'Inputs and Outputs'!AP107</f>
        <v/>
      </c>
      <c r="AQ78" s="159" t="str">
        <f>'Inputs and Outputs'!AQ107</f>
        <v/>
      </c>
      <c r="AR78" s="159" t="str">
        <f>'Inputs and Outputs'!AR107</f>
        <v/>
      </c>
      <c r="AS78" s="159" t="str">
        <f>'Inputs and Outputs'!AS107</f>
        <v/>
      </c>
      <c r="AT78" s="159" t="str">
        <f>'Inputs and Outputs'!AT107</f>
        <v/>
      </c>
      <c r="AU78" s="159" t="str">
        <f>'Inputs and Outputs'!AU107</f>
        <v/>
      </c>
      <c r="AV78" s="159" t="str">
        <f>'Inputs and Outputs'!AV107</f>
        <v/>
      </c>
      <c r="AW78" s="159" t="str">
        <f>'Inputs and Outputs'!AW107</f>
        <v/>
      </c>
      <c r="AX78" s="159" t="str">
        <f>'Inputs and Outputs'!AX107</f>
        <v/>
      </c>
      <c r="AY78" s="159" t="str">
        <f>'Inputs and Outputs'!AY107</f>
        <v/>
      </c>
      <c r="AZ78" s="159" t="str">
        <f>'Inputs and Outputs'!AZ107</f>
        <v/>
      </c>
      <c r="BA78" s="159" t="str">
        <f>'Inputs and Outputs'!BA107</f>
        <v/>
      </c>
      <c r="BB78" s="159" t="str">
        <f>'Inputs and Outputs'!BB107</f>
        <v/>
      </c>
      <c r="BC78" s="159" t="str">
        <f>'Inputs and Outputs'!BC107</f>
        <v/>
      </c>
      <c r="BD78" s="159" t="str">
        <f>'Inputs and Outputs'!BD107</f>
        <v/>
      </c>
      <c r="BE78" s="159" t="str">
        <f>'Inputs and Outputs'!BE107</f>
        <v/>
      </c>
      <c r="BF78" s="159" t="str">
        <f>'Inputs and Outputs'!BF107</f>
        <v/>
      </c>
      <c r="BG78" s="159" t="str">
        <f>'Inputs and Outputs'!BG107</f>
        <v/>
      </c>
      <c r="BH78" s="159" t="str">
        <f>'Inputs and Outputs'!BH107</f>
        <v/>
      </c>
      <c r="BI78" s="159" t="str">
        <f>'Inputs and Outputs'!BI107</f>
        <v/>
      </c>
      <c r="BJ78" s="159" t="str">
        <f>'Inputs and Outputs'!BJ107</f>
        <v/>
      </c>
      <c r="BK78" s="159" t="str">
        <f>'Inputs and Outputs'!BK107</f>
        <v/>
      </c>
      <c r="BL78" s="159" t="str">
        <f>'Inputs and Outputs'!BL107</f>
        <v/>
      </c>
      <c r="BM78" s="159" t="str">
        <f>'Inputs and Outputs'!BM107</f>
        <v/>
      </c>
      <c r="BN78" s="159" t="str">
        <f>'Inputs and Outputs'!BN107</f>
        <v/>
      </c>
      <c r="BO78" s="159" t="str">
        <f>'Inputs and Outputs'!BO107</f>
        <v/>
      </c>
      <c r="BP78" s="159" t="str">
        <f>'Inputs and Outputs'!BP107</f>
        <v/>
      </c>
      <c r="BQ78" s="159" t="str">
        <f>'Inputs and Outputs'!BQ107</f>
        <v/>
      </c>
      <c r="BR78" s="159" t="str">
        <f>'Inputs and Outputs'!BR107</f>
        <v/>
      </c>
      <c r="BS78" s="159" t="str">
        <f>'Inputs and Outputs'!BS107</f>
        <v/>
      </c>
      <c r="BT78" s="159" t="str">
        <f>'Inputs and Outputs'!BT107</f>
        <v/>
      </c>
      <c r="BU78" s="159" t="str">
        <f>'Inputs and Outputs'!BU107</f>
        <v/>
      </c>
      <c r="BV78" s="159" t="str">
        <f>'Inputs and Outputs'!BV107</f>
        <v/>
      </c>
      <c r="BW78" s="159" t="str">
        <f>'Inputs and Outputs'!BW107</f>
        <v/>
      </c>
      <c r="BX78" s="159" t="str">
        <f>'Inputs and Outputs'!BX107</f>
        <v/>
      </c>
      <c r="BY78" s="159" t="str">
        <f>'Inputs and Outputs'!BY107</f>
        <v/>
      </c>
      <c r="BZ78" s="159" t="str">
        <f>'Inputs and Outputs'!BZ107</f>
        <v/>
      </c>
      <c r="CA78" s="159" t="str">
        <f>'Inputs and Outputs'!CA107</f>
        <v/>
      </c>
      <c r="CB78" s="159" t="str">
        <f>'Inputs and Outputs'!CB107</f>
        <v/>
      </c>
      <c r="CC78" s="159" t="str">
        <f>'Inputs and Outputs'!CC107</f>
        <v/>
      </c>
      <c r="CD78" s="159" t="str">
        <f>'Inputs and Outputs'!CD107</f>
        <v/>
      </c>
      <c r="CE78" s="159" t="str">
        <f>'Inputs and Outputs'!CE107</f>
        <v/>
      </c>
      <c r="CF78" s="159" t="str">
        <f>'Inputs and Outputs'!CF107</f>
        <v/>
      </c>
      <c r="CG78" s="159" t="str">
        <f>'Inputs and Outputs'!CG107</f>
        <v/>
      </c>
      <c r="CH78" s="159" t="str">
        <f>'Inputs and Outputs'!CH107</f>
        <v/>
      </c>
      <c r="CI78" s="159" t="str">
        <f>'Inputs and Outputs'!CI107</f>
        <v/>
      </c>
      <c r="CJ78" s="159" t="str">
        <f>'Inputs and Outputs'!CJ107</f>
        <v/>
      </c>
      <c r="CK78" s="159" t="str">
        <f>'Inputs and Outputs'!CK107</f>
        <v/>
      </c>
      <c r="CL78" s="159" t="str">
        <f>'Inputs and Outputs'!CL107</f>
        <v/>
      </c>
      <c r="CM78" s="159" t="str">
        <f>'Inputs and Outputs'!CM107</f>
        <v/>
      </c>
      <c r="CN78" s="159" t="str">
        <f>'Inputs and Outputs'!CN107</f>
        <v/>
      </c>
      <c r="CO78" s="159" t="str">
        <f>'Inputs and Outputs'!CO107</f>
        <v/>
      </c>
      <c r="CP78" s="159" t="str">
        <f>'Inputs and Outputs'!CP107</f>
        <v/>
      </c>
      <c r="CQ78" s="159" t="str">
        <f>'Inputs and Outputs'!CQ107</f>
        <v/>
      </c>
      <c r="CR78" s="159" t="str">
        <f>'Inputs and Outputs'!CR107</f>
        <v/>
      </c>
      <c r="CS78" s="159" t="str">
        <f>'Inputs and Outputs'!CS107</f>
        <v/>
      </c>
      <c r="CT78" s="159" t="str">
        <f>'Inputs and Outputs'!CT107</f>
        <v/>
      </c>
      <c r="CU78" s="159" t="str">
        <f>'Inputs and Outputs'!CU107</f>
        <v/>
      </c>
      <c r="CV78" s="159" t="str">
        <f>'Inputs and Outputs'!CV107</f>
        <v/>
      </c>
      <c r="CW78" s="159" t="str">
        <f>'Inputs and Outputs'!CW107</f>
        <v/>
      </c>
      <c r="CX78" s="159" t="str">
        <f>'Inputs and Outputs'!CX107</f>
        <v/>
      </c>
    </row>
    <row r="79" spans="1:1024" s="133" customFormat="1" x14ac:dyDescent="0.2">
      <c r="A79" s="162" t="s">
        <v>127</v>
      </c>
      <c r="B79" s="167">
        <f>IF(ISNUMBER(outYear),IF(WindFederalDepreciation="N/A",0,($B$92-IF(wind_itc_fed_percent_deprbas_fed="Yes",0.5*MIN(wind_itc_fed_percent/100*$B$92,wind_itc_fed_percent_maxvalue),0))),"")</f>
        <v>0</v>
      </c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  <c r="BA79" s="159"/>
      <c r="BB79" s="159"/>
      <c r="BC79" s="159"/>
      <c r="BD79" s="159"/>
      <c r="BE79" s="159"/>
      <c r="BF79" s="159"/>
      <c r="BG79" s="159"/>
      <c r="BH79" s="159"/>
      <c r="BI79" s="159"/>
      <c r="BJ79" s="159"/>
      <c r="BK79" s="159"/>
      <c r="BL79" s="159"/>
      <c r="BM79" s="159"/>
      <c r="BN79" s="159"/>
      <c r="BO79" s="159"/>
      <c r="BP79" s="159"/>
      <c r="BQ79" s="159"/>
      <c r="BR79" s="159"/>
      <c r="BS79" s="159"/>
      <c r="BT79" s="159"/>
      <c r="BU79" s="159"/>
      <c r="BV79" s="159"/>
      <c r="BW79" s="159"/>
      <c r="BX79" s="159"/>
      <c r="BY79" s="159"/>
      <c r="BZ79" s="159"/>
      <c r="CA79" s="159"/>
      <c r="CB79" s="159"/>
      <c r="CC79" s="159"/>
      <c r="CD79" s="159"/>
      <c r="CE79" s="159"/>
      <c r="CF79" s="159"/>
      <c r="CG79" s="159"/>
      <c r="CH79" s="159"/>
      <c r="CI79" s="159"/>
      <c r="CJ79" s="159"/>
      <c r="CK79" s="159"/>
      <c r="CL79" s="159"/>
      <c r="CM79" s="159"/>
      <c r="CN79" s="159"/>
      <c r="CO79" s="159"/>
      <c r="CP79" s="159"/>
      <c r="CQ79" s="159"/>
      <c r="CR79" s="159"/>
      <c r="CS79" s="159"/>
      <c r="CT79" s="159"/>
      <c r="CU79" s="159"/>
      <c r="CV79" s="159"/>
      <c r="CW79" s="159"/>
      <c r="CX79" s="159"/>
    </row>
    <row r="80" spans="1:1024" s="133" customFormat="1" x14ac:dyDescent="0.2">
      <c r="A80" s="162" t="s">
        <v>128</v>
      </c>
      <c r="B80" s="167">
        <f>$B$79*(1-WindBonusFraction)</f>
        <v>0</v>
      </c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  <c r="BA80" s="159"/>
      <c r="BB80" s="159"/>
      <c r="BC80" s="159"/>
      <c r="BD80" s="159"/>
      <c r="BE80" s="159"/>
      <c r="BF80" s="159"/>
      <c r="BG80" s="159"/>
      <c r="BH80" s="159"/>
      <c r="BI80" s="159"/>
      <c r="BJ80" s="159"/>
      <c r="BK80" s="159"/>
      <c r="BL80" s="159"/>
      <c r="BM80" s="159"/>
      <c r="BN80" s="159"/>
      <c r="BO80" s="159"/>
      <c r="BP80" s="159"/>
      <c r="BQ80" s="159"/>
      <c r="BR80" s="159"/>
      <c r="BS80" s="159"/>
      <c r="BT80" s="159"/>
      <c r="BU80" s="159"/>
      <c r="BV80" s="159"/>
      <c r="BW80" s="159"/>
      <c r="BX80" s="159"/>
      <c r="BY80" s="159"/>
      <c r="BZ80" s="159"/>
      <c r="CA80" s="159"/>
      <c r="CB80" s="159"/>
      <c r="CC80" s="159"/>
      <c r="CD80" s="159"/>
      <c r="CE80" s="159"/>
      <c r="CF80" s="159"/>
      <c r="CG80" s="159"/>
      <c r="CH80" s="159"/>
      <c r="CI80" s="159"/>
      <c r="CJ80" s="159"/>
      <c r="CK80" s="159"/>
      <c r="CL80" s="159"/>
      <c r="CM80" s="159"/>
      <c r="CN80" s="159"/>
      <c r="CO80" s="159"/>
      <c r="CP80" s="159"/>
      <c r="CQ80" s="159"/>
      <c r="CR80" s="159"/>
      <c r="CS80" s="159"/>
      <c r="CT80" s="159"/>
      <c r="CU80" s="159"/>
      <c r="CV80" s="159"/>
      <c r="CW80" s="159"/>
      <c r="CX80" s="159"/>
    </row>
    <row r="81" spans="1:102" s="164" customFormat="1" x14ac:dyDescent="0.2">
      <c r="A81" s="162" t="s">
        <v>129</v>
      </c>
      <c r="B81" s="158"/>
      <c r="C81" s="167">
        <f>IF(ISNUMBER(outYear),$B$80*C78 + $B$79*WindBonusFraction,"")</f>
        <v>0</v>
      </c>
      <c r="D81" s="167">
        <f>IF(ISNUMBER(outYear),$B$80*D78,"")</f>
        <v>0</v>
      </c>
      <c r="E81" s="167">
        <f>IF(ISNUMBER(outYear),$B$80*E78,"")</f>
        <v>0</v>
      </c>
      <c r="F81" s="167">
        <f>IF(ISNUMBER(outYear),$B$80*F78,"")</f>
        <v>0</v>
      </c>
      <c r="G81" s="167">
        <f>IF(ISNUMBER(outYear),$B$80*G78,"")</f>
        <v>0</v>
      </c>
      <c r="H81" s="167">
        <f>IF(ISNUMBER(outYear),$B$80*H78,"")</f>
        <v>0</v>
      </c>
      <c r="I81" s="167">
        <f>IF(ISNUMBER(outYear),$B$80*I78,"")</f>
        <v>0</v>
      </c>
      <c r="J81" s="167">
        <f>IF(ISNUMBER(outYear),$B$80*J78,"")</f>
        <v>0</v>
      </c>
      <c r="K81" s="167">
        <f>IF(ISNUMBER(outYear),$B$80*K78,"")</f>
        <v>0</v>
      </c>
      <c r="L81" s="167">
        <f>IF(ISNUMBER(outYear),$B$80*L78,"")</f>
        <v>0</v>
      </c>
      <c r="M81" s="167">
        <f>IF(ISNUMBER(outYear),$B$80*M78,"")</f>
        <v>0</v>
      </c>
      <c r="N81" s="167">
        <f>IF(ISNUMBER(outYear),$B$80*N78,"")</f>
        <v>0</v>
      </c>
      <c r="O81" s="167">
        <f>IF(ISNUMBER(outYear),$B$80*O78,"")</f>
        <v>0</v>
      </c>
      <c r="P81" s="167">
        <f>IF(ISNUMBER(outYear),$B$80*P78,"")</f>
        <v>0</v>
      </c>
      <c r="Q81" s="167">
        <f>IF(ISNUMBER(outYear),$B$80*Q78,"")</f>
        <v>0</v>
      </c>
      <c r="R81" s="167">
        <f>IF(ISNUMBER(outYear),$B$80*R78,"")</f>
        <v>0</v>
      </c>
      <c r="S81" s="167">
        <f>IF(ISNUMBER(outYear),$B$80*S78,"")</f>
        <v>0</v>
      </c>
      <c r="T81" s="167">
        <f>IF(ISNUMBER(outYear),$B$80*T78,"")</f>
        <v>0</v>
      </c>
      <c r="U81" s="167">
        <f>IF(ISNUMBER(outYear),$B$80*U78,"")</f>
        <v>0</v>
      </c>
      <c r="V81" s="167">
        <f>IF(ISNUMBER(outYear),$B$80*V78,"")</f>
        <v>0</v>
      </c>
      <c r="W81" s="167">
        <f>IF(ISNUMBER(outYear),$B$80*W78,"")</f>
        <v>0</v>
      </c>
      <c r="X81" s="167">
        <f>IF(ISNUMBER(outYear),$B$80*X78,"")</f>
        <v>0</v>
      </c>
      <c r="Y81" s="167">
        <f>IF(ISNUMBER(outYear),$B$80*Y78,"")</f>
        <v>0</v>
      </c>
      <c r="Z81" s="167">
        <f>IF(ISNUMBER(outYear),$B$80*Z78,"")</f>
        <v>0</v>
      </c>
      <c r="AA81" s="167">
        <f>IF(ISNUMBER(outYear),$B$80*AA78,"")</f>
        <v>0</v>
      </c>
      <c r="AB81" s="167" t="str">
        <f>IF(ISNUMBER(outYear),$B$80*AB78,"")</f>
        <v/>
      </c>
      <c r="AC81" s="167" t="str">
        <f>IF(ISNUMBER(outYear),$B$80*AC78,"")</f>
        <v/>
      </c>
      <c r="AD81" s="167" t="str">
        <f>IF(ISNUMBER(outYear),$B$80*AD78,"")</f>
        <v/>
      </c>
      <c r="AE81" s="167" t="str">
        <f>IF(ISNUMBER(outYear),$B$80*AE78,"")</f>
        <v/>
      </c>
      <c r="AF81" s="167" t="str">
        <f>IF(ISNUMBER(outYear),$B$80*AF78,"")</f>
        <v/>
      </c>
      <c r="AG81" s="167" t="str">
        <f>IF(ISNUMBER(outYear),$B$80*AG78,"")</f>
        <v/>
      </c>
      <c r="AH81" s="167" t="str">
        <f>IF(ISNUMBER(outYear),$B$80*AH78,"")</f>
        <v/>
      </c>
      <c r="AI81" s="167" t="str">
        <f>IF(ISNUMBER(outYear),$B$80*AI78,"")</f>
        <v/>
      </c>
      <c r="AJ81" s="167" t="str">
        <f>IF(ISNUMBER(outYear),$B$80*AJ78,"")</f>
        <v/>
      </c>
      <c r="AK81" s="167" t="str">
        <f>IF(ISNUMBER(outYear),$B$80*AK78,"")</f>
        <v/>
      </c>
      <c r="AL81" s="167" t="str">
        <f>IF(ISNUMBER(outYear),$B$80*AL78,"")</f>
        <v/>
      </c>
      <c r="AM81" s="167" t="str">
        <f>IF(ISNUMBER(outYear),$B$80*AM78,"")</f>
        <v/>
      </c>
      <c r="AN81" s="167" t="str">
        <f>IF(ISNUMBER(outYear),$B$80*AN78,"")</f>
        <v/>
      </c>
      <c r="AO81" s="167" t="str">
        <f>IF(ISNUMBER(outYear),$B$80*AO78,"")</f>
        <v/>
      </c>
      <c r="AP81" s="167" t="str">
        <f>IF(ISNUMBER(outYear),$B$80*AP78,"")</f>
        <v/>
      </c>
      <c r="AQ81" s="167" t="str">
        <f>IF(ISNUMBER(outYear),$B$80*AQ78,"")</f>
        <v/>
      </c>
      <c r="AR81" s="167" t="str">
        <f>IF(ISNUMBER(outYear),$B$80*AR78,"")</f>
        <v/>
      </c>
      <c r="AS81" s="167" t="str">
        <f>IF(ISNUMBER(outYear),$B$80*AS78,"")</f>
        <v/>
      </c>
      <c r="AT81" s="167" t="str">
        <f>IF(ISNUMBER(outYear),$B$80*AT78,"")</f>
        <v/>
      </c>
      <c r="AU81" s="167" t="str">
        <f>IF(ISNUMBER(outYear),$B$80*AU78,"")</f>
        <v/>
      </c>
      <c r="AV81" s="167" t="str">
        <f>IF(ISNUMBER(outYear),$B$80*AV78,"")</f>
        <v/>
      </c>
      <c r="AW81" s="167" t="str">
        <f>IF(ISNUMBER(outYear),$B$80*AW78,"")</f>
        <v/>
      </c>
      <c r="AX81" s="167" t="str">
        <f>IF(ISNUMBER(outYear),$B$80*AX78,"")</f>
        <v/>
      </c>
      <c r="AY81" s="167" t="str">
        <f>IF(ISNUMBER(outYear),$B$80*AY78,"")</f>
        <v/>
      </c>
      <c r="AZ81" s="167" t="str">
        <f>IF(ISNUMBER(outYear),$B$80*AZ78,"")</f>
        <v/>
      </c>
      <c r="BA81" s="167" t="str">
        <f>IF(ISNUMBER(outYear),$B$80*BA78,"")</f>
        <v/>
      </c>
      <c r="BB81" s="167" t="str">
        <f>IF(ISNUMBER(outYear),$B$80*BB78,"")</f>
        <v/>
      </c>
      <c r="BC81" s="167" t="str">
        <f>IF(ISNUMBER(outYear),$B$80*BC78,"")</f>
        <v/>
      </c>
      <c r="BD81" s="167" t="str">
        <f>IF(ISNUMBER(outYear),$B$80*BD78,"")</f>
        <v/>
      </c>
      <c r="BE81" s="167" t="str">
        <f>IF(ISNUMBER(outYear),$B$80*BE78,"")</f>
        <v/>
      </c>
      <c r="BF81" s="167" t="str">
        <f>IF(ISNUMBER(outYear),$B$80*BF78,"")</f>
        <v/>
      </c>
      <c r="BG81" s="167" t="str">
        <f>IF(ISNUMBER(outYear),$B$80*BG78,"")</f>
        <v/>
      </c>
      <c r="BH81" s="167" t="str">
        <f>IF(ISNUMBER(outYear),$B$80*BH78,"")</f>
        <v/>
      </c>
      <c r="BI81" s="167" t="str">
        <f>IF(ISNUMBER(outYear),$B$80*BI78,"")</f>
        <v/>
      </c>
      <c r="BJ81" s="167" t="str">
        <f>IF(ISNUMBER(outYear),$B$80*BJ78,"")</f>
        <v/>
      </c>
      <c r="BK81" s="167" t="str">
        <f>IF(ISNUMBER(outYear),$B$80*BK78,"")</f>
        <v/>
      </c>
      <c r="BL81" s="167" t="str">
        <f>IF(ISNUMBER(outYear),$B$80*BL78,"")</f>
        <v/>
      </c>
      <c r="BM81" s="167" t="str">
        <f>IF(ISNUMBER(outYear),$B$80*BM78,"")</f>
        <v/>
      </c>
      <c r="BN81" s="167" t="str">
        <f>IF(ISNUMBER(outYear),$B$80*BN78,"")</f>
        <v/>
      </c>
      <c r="BO81" s="167" t="str">
        <f>IF(ISNUMBER(outYear),$B$80*BO78,"")</f>
        <v/>
      </c>
      <c r="BP81" s="167" t="str">
        <f>IF(ISNUMBER(outYear),$B$80*BP78,"")</f>
        <v/>
      </c>
      <c r="BQ81" s="167" t="str">
        <f>IF(ISNUMBER(outYear),$B$80*BQ78,"")</f>
        <v/>
      </c>
      <c r="BR81" s="167" t="str">
        <f>IF(ISNUMBER(outYear),$B$80*BR78,"")</f>
        <v/>
      </c>
      <c r="BS81" s="167" t="str">
        <f>IF(ISNUMBER(outYear),$B$80*BS78,"")</f>
        <v/>
      </c>
      <c r="BT81" s="167" t="str">
        <f>IF(ISNUMBER(outYear),$B$80*BT78,"")</f>
        <v/>
      </c>
      <c r="BU81" s="167" t="str">
        <f>IF(ISNUMBER(outYear),$B$80*BU78,"")</f>
        <v/>
      </c>
      <c r="BV81" s="167" t="str">
        <f>IF(ISNUMBER(outYear),$B$80*BV78,"")</f>
        <v/>
      </c>
      <c r="BW81" s="167" t="str">
        <f>IF(ISNUMBER(outYear),$B$80*BW78,"")</f>
        <v/>
      </c>
      <c r="BX81" s="167" t="str">
        <f>IF(ISNUMBER(outYear),$B$80*BX78,"")</f>
        <v/>
      </c>
      <c r="BY81" s="167" t="str">
        <f>IF(ISNUMBER(outYear),$B$80*BY78,"")</f>
        <v/>
      </c>
      <c r="BZ81" s="167" t="str">
        <f>IF(ISNUMBER(outYear),$B$80*BZ78,"")</f>
        <v/>
      </c>
      <c r="CA81" s="167" t="str">
        <f>IF(ISNUMBER(outYear),$B$80*CA78,"")</f>
        <v/>
      </c>
      <c r="CB81" s="167" t="str">
        <f>IF(ISNUMBER(outYear),$B$80*CB78,"")</f>
        <v/>
      </c>
      <c r="CC81" s="167" t="str">
        <f>IF(ISNUMBER(outYear),$B$80*CC78,"")</f>
        <v/>
      </c>
      <c r="CD81" s="167" t="str">
        <f>IF(ISNUMBER(outYear),$B$80*CD78,"")</f>
        <v/>
      </c>
      <c r="CE81" s="167" t="str">
        <f>IF(ISNUMBER(outYear),$B$80*CE78,"")</f>
        <v/>
      </c>
      <c r="CF81" s="167" t="str">
        <f>IF(ISNUMBER(outYear),$B$80*CF78,"")</f>
        <v/>
      </c>
      <c r="CG81" s="167" t="str">
        <f>IF(ISNUMBER(outYear),$B$80*CG78,"")</f>
        <v/>
      </c>
      <c r="CH81" s="167" t="str">
        <f>IF(ISNUMBER(outYear),$B$80*CH78,"")</f>
        <v/>
      </c>
      <c r="CI81" s="167" t="str">
        <f>IF(ISNUMBER(outYear),$B$80*CI78,"")</f>
        <v/>
      </c>
      <c r="CJ81" s="167" t="str">
        <f>IF(ISNUMBER(outYear),$B$80*CJ78,"")</f>
        <v/>
      </c>
      <c r="CK81" s="167" t="str">
        <f>IF(ISNUMBER(outYear),$B$80*CK78,"")</f>
        <v/>
      </c>
      <c r="CL81" s="167" t="str">
        <f>IF(ISNUMBER(outYear),$B$80*CL78,"")</f>
        <v/>
      </c>
      <c r="CM81" s="167" t="str">
        <f>IF(ISNUMBER(outYear),$B$80*CM78,"")</f>
        <v/>
      </c>
      <c r="CN81" s="167" t="str">
        <f>IF(ISNUMBER(outYear),$B$80*CN78,"")</f>
        <v/>
      </c>
      <c r="CO81" s="167" t="str">
        <f>IF(ISNUMBER(outYear),$B$80*CO78,"")</f>
        <v/>
      </c>
      <c r="CP81" s="167" t="str">
        <f>IF(ISNUMBER(outYear),$B$80*CP78,"")</f>
        <v/>
      </c>
      <c r="CQ81" s="167" t="str">
        <f>IF(ISNUMBER(outYear),$B$80*CQ78,"")</f>
        <v/>
      </c>
      <c r="CR81" s="167" t="str">
        <f>IF(ISNUMBER(outYear),$B$80*CR78,"")</f>
        <v/>
      </c>
      <c r="CS81" s="167" t="str">
        <f>IF(ISNUMBER(outYear),$B$80*CS78,"")</f>
        <v/>
      </c>
      <c r="CT81" s="167" t="str">
        <f>IF(ISNUMBER(outYear),$B$80*CT78,"")</f>
        <v/>
      </c>
      <c r="CU81" s="167" t="str">
        <f>IF(ISNUMBER(outYear),$B$80*CU78,"")</f>
        <v/>
      </c>
      <c r="CV81" s="167" t="str">
        <f>IF(ISNUMBER(outYear),$B$80*CV78,"")</f>
        <v/>
      </c>
      <c r="CW81" s="167" t="str">
        <f>IF(ISNUMBER(outYear),$B$80*CW78,"")</f>
        <v/>
      </c>
      <c r="CX81" s="167" t="str">
        <f>IF(ISNUMBER(outYear),$B$80*CX78,"")</f>
        <v/>
      </c>
    </row>
    <row r="82" spans="1:102" s="164" customFormat="1" x14ac:dyDescent="0.2">
      <c r="A82" s="134" t="s">
        <v>130</v>
      </c>
      <c r="B82" s="135"/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  <c r="AZ82" s="125"/>
      <c r="BA82" s="125"/>
      <c r="BB82" s="125"/>
      <c r="BC82" s="125"/>
      <c r="BD82" s="125"/>
      <c r="BE82" s="125"/>
      <c r="BF82" s="125"/>
      <c r="BG82" s="125"/>
      <c r="BH82" s="125"/>
      <c r="BI82" s="125"/>
      <c r="BJ82" s="125"/>
      <c r="BK82" s="125"/>
      <c r="BL82" s="125"/>
      <c r="BM82" s="125"/>
      <c r="BN82" s="125"/>
      <c r="BO82" s="125"/>
      <c r="BP82" s="125"/>
      <c r="BQ82" s="125"/>
      <c r="BR82" s="125"/>
      <c r="BS82" s="125"/>
      <c r="BT82" s="125"/>
      <c r="BU82" s="125"/>
      <c r="BV82" s="125"/>
      <c r="BW82" s="125"/>
      <c r="BX82" s="125"/>
      <c r="BY82" s="125"/>
      <c r="BZ82" s="125"/>
      <c r="CA82" s="125"/>
      <c r="CB82" s="125"/>
      <c r="CC82" s="125"/>
      <c r="CD82" s="125"/>
      <c r="CE82" s="125"/>
      <c r="CF82" s="125"/>
      <c r="CG82" s="125"/>
      <c r="CH82" s="125"/>
      <c r="CI82" s="125"/>
      <c r="CJ82" s="125"/>
      <c r="CK82" s="125"/>
      <c r="CL82" s="125"/>
      <c r="CM82" s="125"/>
      <c r="CN82" s="125"/>
      <c r="CO82" s="125"/>
      <c r="CP82" s="125"/>
      <c r="CQ82" s="125"/>
      <c r="CR82" s="125"/>
      <c r="CS82" s="125"/>
      <c r="CT82" s="125"/>
      <c r="CU82" s="125"/>
      <c r="CV82" s="125"/>
      <c r="CW82" s="125"/>
      <c r="CX82" s="125"/>
    </row>
    <row r="83" spans="1:102" x14ac:dyDescent="0.2">
      <c r="A83" s="162" t="s">
        <v>126</v>
      </c>
      <c r="B83" s="135"/>
      <c r="C83" s="139">
        <f>'Inputs and Outputs'!C108</f>
        <v>0.2</v>
      </c>
      <c r="D83" s="139">
        <f>'Inputs and Outputs'!D108</f>
        <v>0.32</v>
      </c>
      <c r="E83" s="139">
        <f>'Inputs and Outputs'!E108</f>
        <v>0.192</v>
      </c>
      <c r="F83" s="139">
        <f>'Inputs and Outputs'!F108</f>
        <v>0.1152</v>
      </c>
      <c r="G83" s="139">
        <f>'Inputs and Outputs'!G108</f>
        <v>0.1152</v>
      </c>
      <c r="H83" s="139">
        <f>'Inputs and Outputs'!H108</f>
        <v>5.7599999999999998E-2</v>
      </c>
      <c r="I83" s="139">
        <f>'Inputs and Outputs'!I108</f>
        <v>0</v>
      </c>
      <c r="J83" s="139">
        <f>'Inputs and Outputs'!J108</f>
        <v>0</v>
      </c>
      <c r="K83" s="139">
        <f>'Inputs and Outputs'!K108</f>
        <v>0</v>
      </c>
      <c r="L83" s="139">
        <f>'Inputs and Outputs'!L108</f>
        <v>0</v>
      </c>
      <c r="M83" s="139">
        <f>'Inputs and Outputs'!M108</f>
        <v>0</v>
      </c>
      <c r="N83" s="139">
        <f>'Inputs and Outputs'!N108</f>
        <v>0</v>
      </c>
      <c r="O83" s="139">
        <f>'Inputs and Outputs'!O108</f>
        <v>0</v>
      </c>
      <c r="P83" s="139">
        <f>'Inputs and Outputs'!P108</f>
        <v>0</v>
      </c>
      <c r="Q83" s="139">
        <f>'Inputs and Outputs'!Q108</f>
        <v>0</v>
      </c>
      <c r="R83" s="139">
        <f>'Inputs and Outputs'!R108</f>
        <v>0</v>
      </c>
      <c r="S83" s="139">
        <f>'Inputs and Outputs'!S108</f>
        <v>0</v>
      </c>
      <c r="T83" s="139">
        <f>'Inputs and Outputs'!T108</f>
        <v>0</v>
      </c>
      <c r="U83" s="139">
        <f>'Inputs and Outputs'!U108</f>
        <v>0</v>
      </c>
      <c r="V83" s="139">
        <f>'Inputs and Outputs'!V108</f>
        <v>0</v>
      </c>
      <c r="W83" s="139">
        <f>'Inputs and Outputs'!W108</f>
        <v>0</v>
      </c>
      <c r="X83" s="139">
        <f>'Inputs and Outputs'!X108</f>
        <v>0</v>
      </c>
      <c r="Y83" s="139">
        <f>'Inputs and Outputs'!Y108</f>
        <v>0</v>
      </c>
      <c r="Z83" s="139">
        <f>'Inputs and Outputs'!Z108</f>
        <v>0</v>
      </c>
      <c r="AA83" s="139">
        <f>'Inputs and Outputs'!AA108</f>
        <v>0</v>
      </c>
      <c r="AB83" s="139" t="str">
        <f>'Inputs and Outputs'!AB108</f>
        <v/>
      </c>
      <c r="AC83" s="139" t="str">
        <f>'Inputs and Outputs'!AC108</f>
        <v/>
      </c>
      <c r="AD83" s="139" t="str">
        <f>'Inputs and Outputs'!AD108</f>
        <v/>
      </c>
      <c r="AE83" s="139" t="str">
        <f>'Inputs and Outputs'!AE108</f>
        <v/>
      </c>
      <c r="AF83" s="139" t="str">
        <f>'Inputs and Outputs'!AF108</f>
        <v/>
      </c>
      <c r="AG83" s="139" t="str">
        <f>'Inputs and Outputs'!AG108</f>
        <v/>
      </c>
      <c r="AH83" s="139" t="str">
        <f>'Inputs and Outputs'!AH108</f>
        <v/>
      </c>
      <c r="AI83" s="139" t="str">
        <f>'Inputs and Outputs'!AI108</f>
        <v/>
      </c>
      <c r="AJ83" s="139" t="str">
        <f>'Inputs and Outputs'!AJ108</f>
        <v/>
      </c>
      <c r="AK83" s="139" t="str">
        <f>'Inputs and Outputs'!AK108</f>
        <v/>
      </c>
      <c r="AL83" s="139" t="str">
        <f>'Inputs and Outputs'!AL108</f>
        <v/>
      </c>
      <c r="AM83" s="139" t="str">
        <f>'Inputs and Outputs'!AM108</f>
        <v/>
      </c>
      <c r="AN83" s="139" t="str">
        <f>'Inputs and Outputs'!AN108</f>
        <v/>
      </c>
      <c r="AO83" s="139" t="str">
        <f>'Inputs and Outputs'!AO108</f>
        <v/>
      </c>
      <c r="AP83" s="139" t="str">
        <f>'Inputs and Outputs'!AP108</f>
        <v/>
      </c>
      <c r="AQ83" s="139" t="str">
        <f>'Inputs and Outputs'!AQ108</f>
        <v/>
      </c>
      <c r="AR83" s="139" t="str">
        <f>'Inputs and Outputs'!AR108</f>
        <v/>
      </c>
      <c r="AS83" s="139" t="str">
        <f>'Inputs and Outputs'!AS108</f>
        <v/>
      </c>
      <c r="AT83" s="139" t="str">
        <f>'Inputs and Outputs'!AT108</f>
        <v/>
      </c>
      <c r="AU83" s="139" t="str">
        <f>'Inputs and Outputs'!AU108</f>
        <v/>
      </c>
      <c r="AV83" s="139" t="str">
        <f>'Inputs and Outputs'!AV108</f>
        <v/>
      </c>
      <c r="AW83" s="139" t="str">
        <f>'Inputs and Outputs'!AW108</f>
        <v/>
      </c>
      <c r="AX83" s="139" t="str">
        <f>'Inputs and Outputs'!AX108</f>
        <v/>
      </c>
      <c r="AY83" s="139" t="str">
        <f>'Inputs and Outputs'!AY108</f>
        <v/>
      </c>
      <c r="AZ83" s="139" t="str">
        <f>'Inputs and Outputs'!AZ108</f>
        <v/>
      </c>
      <c r="BA83" s="139" t="str">
        <f>'Inputs and Outputs'!BA108</f>
        <v/>
      </c>
      <c r="BB83" s="139" t="str">
        <f>'Inputs and Outputs'!BB108</f>
        <v/>
      </c>
      <c r="BC83" s="139" t="str">
        <f>'Inputs and Outputs'!BC108</f>
        <v/>
      </c>
      <c r="BD83" s="139" t="str">
        <f>'Inputs and Outputs'!BD108</f>
        <v/>
      </c>
      <c r="BE83" s="139" t="str">
        <f>'Inputs and Outputs'!BE108</f>
        <v/>
      </c>
      <c r="BF83" s="139" t="str">
        <f>'Inputs and Outputs'!BF108</f>
        <v/>
      </c>
      <c r="BG83" s="139" t="str">
        <f>'Inputs and Outputs'!BG108</f>
        <v/>
      </c>
      <c r="BH83" s="139" t="str">
        <f>'Inputs and Outputs'!BH108</f>
        <v/>
      </c>
      <c r="BI83" s="139" t="str">
        <f>'Inputs and Outputs'!BI108</f>
        <v/>
      </c>
      <c r="BJ83" s="139" t="str">
        <f>'Inputs and Outputs'!BJ108</f>
        <v/>
      </c>
      <c r="BK83" s="139" t="str">
        <f>'Inputs and Outputs'!BK108</f>
        <v/>
      </c>
      <c r="BL83" s="139" t="str">
        <f>'Inputs and Outputs'!BL108</f>
        <v/>
      </c>
      <c r="BM83" s="139" t="str">
        <f>'Inputs and Outputs'!BM108</f>
        <v/>
      </c>
      <c r="BN83" s="139" t="str">
        <f>'Inputs and Outputs'!BN108</f>
        <v/>
      </c>
      <c r="BO83" s="139" t="str">
        <f>'Inputs and Outputs'!BO108</f>
        <v/>
      </c>
      <c r="BP83" s="139" t="str">
        <f>'Inputs and Outputs'!BP108</f>
        <v/>
      </c>
      <c r="BQ83" s="139" t="str">
        <f>'Inputs and Outputs'!BQ108</f>
        <v/>
      </c>
      <c r="BR83" s="139" t="str">
        <f>'Inputs and Outputs'!BR108</f>
        <v/>
      </c>
      <c r="BS83" s="139" t="str">
        <f>'Inputs and Outputs'!BS108</f>
        <v/>
      </c>
      <c r="BT83" s="139" t="str">
        <f>'Inputs and Outputs'!BT108</f>
        <v/>
      </c>
      <c r="BU83" s="139" t="str">
        <f>'Inputs and Outputs'!BU108</f>
        <v/>
      </c>
      <c r="BV83" s="139" t="str">
        <f>'Inputs and Outputs'!BV108</f>
        <v/>
      </c>
      <c r="BW83" s="139" t="str">
        <f>'Inputs and Outputs'!BW108</f>
        <v/>
      </c>
      <c r="BX83" s="139" t="str">
        <f>'Inputs and Outputs'!BX108</f>
        <v/>
      </c>
      <c r="BY83" s="139" t="str">
        <f>'Inputs and Outputs'!BY108</f>
        <v/>
      </c>
      <c r="BZ83" s="139" t="str">
        <f>'Inputs and Outputs'!BZ108</f>
        <v/>
      </c>
      <c r="CA83" s="139" t="str">
        <f>'Inputs and Outputs'!CA108</f>
        <v/>
      </c>
      <c r="CB83" s="139" t="str">
        <f>'Inputs and Outputs'!CB108</f>
        <v/>
      </c>
      <c r="CC83" s="139" t="str">
        <f>'Inputs and Outputs'!CC108</f>
        <v/>
      </c>
      <c r="CD83" s="139" t="str">
        <f>'Inputs and Outputs'!CD108</f>
        <v/>
      </c>
      <c r="CE83" s="139" t="str">
        <f>'Inputs and Outputs'!CE108</f>
        <v/>
      </c>
      <c r="CF83" s="139" t="str">
        <f>'Inputs and Outputs'!CF108</f>
        <v/>
      </c>
      <c r="CG83" s="139" t="str">
        <f>'Inputs and Outputs'!CG108</f>
        <v/>
      </c>
      <c r="CH83" s="139" t="str">
        <f>'Inputs and Outputs'!CH108</f>
        <v/>
      </c>
      <c r="CI83" s="139" t="str">
        <f>'Inputs and Outputs'!CI108</f>
        <v/>
      </c>
      <c r="CJ83" s="139" t="str">
        <f>'Inputs and Outputs'!CJ108</f>
        <v/>
      </c>
      <c r="CK83" s="139" t="str">
        <f>'Inputs and Outputs'!CK108</f>
        <v/>
      </c>
      <c r="CL83" s="139" t="str">
        <f>'Inputs and Outputs'!CL108</f>
        <v/>
      </c>
      <c r="CM83" s="139" t="str">
        <f>'Inputs and Outputs'!CM108</f>
        <v/>
      </c>
      <c r="CN83" s="139" t="str">
        <f>'Inputs and Outputs'!CN108</f>
        <v/>
      </c>
      <c r="CO83" s="139" t="str">
        <f>'Inputs and Outputs'!CO108</f>
        <v/>
      </c>
      <c r="CP83" s="139" t="str">
        <f>'Inputs and Outputs'!CP108</f>
        <v/>
      </c>
      <c r="CQ83" s="139" t="str">
        <f>'Inputs and Outputs'!CQ108</f>
        <v/>
      </c>
      <c r="CR83" s="139" t="str">
        <f>'Inputs and Outputs'!CR108</f>
        <v/>
      </c>
      <c r="CS83" s="139" t="str">
        <f>'Inputs and Outputs'!CS108</f>
        <v/>
      </c>
      <c r="CT83" s="139" t="str">
        <f>'Inputs and Outputs'!CT108</f>
        <v/>
      </c>
      <c r="CU83" s="139" t="str">
        <f>'Inputs and Outputs'!CU108</f>
        <v/>
      </c>
      <c r="CV83" s="139" t="str">
        <f>'Inputs and Outputs'!CV108</f>
        <v/>
      </c>
      <c r="CW83" s="139" t="str">
        <f>'Inputs and Outputs'!CW108</f>
        <v/>
      </c>
      <c r="CX83" s="139" t="str">
        <f>'Inputs and Outputs'!CX108</f>
        <v/>
      </c>
    </row>
    <row r="84" spans="1:102" x14ac:dyDescent="0.2">
      <c r="A84" s="162" t="s">
        <v>127</v>
      </c>
      <c r="B84" s="125">
        <f>IF(ISNUMBER(outYear),IF(FederalDepreciation="N/A",0,($B$94-IF(batt_itc_fed_percent_deprbas_fed="Yes",0.5*MIN(batt_itc_fed_percent/100*$B$94,batt_itc_fed_percent_maxvalue),0))),"")</f>
        <v>85000</v>
      </c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  <c r="AZ84" s="125"/>
      <c r="BA84" s="125"/>
      <c r="BB84" s="125"/>
      <c r="BC84" s="125"/>
      <c r="BD84" s="125"/>
      <c r="BE84" s="125"/>
      <c r="BF84" s="125"/>
      <c r="BG84" s="125"/>
      <c r="BH84" s="125"/>
      <c r="BI84" s="125"/>
      <c r="BJ84" s="125"/>
      <c r="BK84" s="125"/>
      <c r="BL84" s="125"/>
      <c r="BM84" s="125"/>
      <c r="BN84" s="125"/>
      <c r="BO84" s="125"/>
      <c r="BP84" s="125"/>
      <c r="BQ84" s="125"/>
      <c r="BR84" s="125"/>
      <c r="BS84" s="125"/>
      <c r="BT84" s="125"/>
      <c r="BU84" s="125"/>
      <c r="BV84" s="125"/>
      <c r="BW84" s="125"/>
      <c r="BX84" s="125"/>
      <c r="BY84" s="125"/>
      <c r="BZ84" s="125"/>
      <c r="CA84" s="125"/>
      <c r="CB84" s="125"/>
      <c r="CC84" s="125"/>
      <c r="CD84" s="125"/>
      <c r="CE84" s="125"/>
      <c r="CF84" s="125"/>
      <c r="CG84" s="125"/>
      <c r="CH84" s="125"/>
      <c r="CI84" s="125"/>
      <c r="CJ84" s="125"/>
      <c r="CK84" s="125"/>
      <c r="CL84" s="125"/>
      <c r="CM84" s="125"/>
      <c r="CN84" s="125"/>
      <c r="CO84" s="125"/>
      <c r="CP84" s="125"/>
      <c r="CQ84" s="125"/>
      <c r="CR84" s="125"/>
      <c r="CS84" s="125"/>
      <c r="CT84" s="125"/>
      <c r="CU84" s="125"/>
      <c r="CV84" s="125"/>
      <c r="CW84" s="125"/>
      <c r="CX84" s="125"/>
    </row>
    <row r="85" spans="1:102" x14ac:dyDescent="0.2">
      <c r="A85" s="162" t="s">
        <v>128</v>
      </c>
      <c r="B85" s="125">
        <f>B84*(1-BatteryBonusFraction)</f>
        <v>42500</v>
      </c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  <c r="AZ85" s="125"/>
      <c r="BA85" s="125"/>
      <c r="BB85" s="125"/>
      <c r="BC85" s="125"/>
      <c r="BD85" s="125"/>
      <c r="BE85" s="125"/>
      <c r="BF85" s="125"/>
      <c r="BG85" s="125"/>
      <c r="BH85" s="125"/>
      <c r="BI85" s="125"/>
      <c r="BJ85" s="125"/>
      <c r="BK85" s="125"/>
      <c r="BL85" s="125"/>
      <c r="BM85" s="125"/>
      <c r="BN85" s="125"/>
      <c r="BO85" s="125"/>
      <c r="BP85" s="125"/>
      <c r="BQ85" s="125"/>
      <c r="BR85" s="125"/>
      <c r="BS85" s="125"/>
      <c r="BT85" s="125"/>
      <c r="BU85" s="125"/>
      <c r="BV85" s="125"/>
      <c r="BW85" s="125"/>
      <c r="BX85" s="125"/>
      <c r="BY85" s="125"/>
      <c r="BZ85" s="125"/>
      <c r="CA85" s="125"/>
      <c r="CB85" s="125"/>
      <c r="CC85" s="125"/>
      <c r="CD85" s="125"/>
      <c r="CE85" s="125"/>
      <c r="CF85" s="125"/>
      <c r="CG85" s="125"/>
      <c r="CH85" s="125"/>
      <c r="CI85" s="125"/>
      <c r="CJ85" s="125"/>
      <c r="CK85" s="125"/>
      <c r="CL85" s="125"/>
      <c r="CM85" s="125"/>
      <c r="CN85" s="125"/>
      <c r="CO85" s="125"/>
      <c r="CP85" s="125"/>
      <c r="CQ85" s="125"/>
      <c r="CR85" s="125"/>
      <c r="CS85" s="125"/>
      <c r="CT85" s="125"/>
      <c r="CU85" s="125"/>
      <c r="CV85" s="125"/>
      <c r="CW85" s="125"/>
      <c r="CX85" s="125"/>
    </row>
    <row r="86" spans="1:102" x14ac:dyDescent="0.2">
      <c r="A86" s="162" t="s">
        <v>129</v>
      </c>
      <c r="B86" s="135"/>
      <c r="C86" s="125">
        <f>IF(ISNUMBER(outYear),$B$85*C83 + $B$84*BatteryBonusFraction,"")</f>
        <v>51000</v>
      </c>
      <c r="D86" s="125">
        <f t="shared" ref="D86:AI86" si="34">IF(ISNUMBER(outYear),$B$85*D83,"")</f>
        <v>13600</v>
      </c>
      <c r="E86" s="125">
        <f t="shared" si="34"/>
        <v>8160</v>
      </c>
      <c r="F86" s="125">
        <f t="shared" si="34"/>
        <v>4896</v>
      </c>
      <c r="G86" s="125">
        <f t="shared" si="34"/>
        <v>4896</v>
      </c>
      <c r="H86" s="125">
        <f t="shared" si="34"/>
        <v>2448</v>
      </c>
      <c r="I86" s="125">
        <f t="shared" si="34"/>
        <v>0</v>
      </c>
      <c r="J86" s="125">
        <f t="shared" si="34"/>
        <v>0</v>
      </c>
      <c r="K86" s="125">
        <f t="shared" si="34"/>
        <v>0</v>
      </c>
      <c r="L86" s="125">
        <f t="shared" si="34"/>
        <v>0</v>
      </c>
      <c r="M86" s="125">
        <f t="shared" si="34"/>
        <v>0</v>
      </c>
      <c r="N86" s="125">
        <f t="shared" si="34"/>
        <v>0</v>
      </c>
      <c r="O86" s="125">
        <f t="shared" si="34"/>
        <v>0</v>
      </c>
      <c r="P86" s="125">
        <f t="shared" si="34"/>
        <v>0</v>
      </c>
      <c r="Q86" s="125">
        <f t="shared" si="34"/>
        <v>0</v>
      </c>
      <c r="R86" s="125">
        <f t="shared" si="34"/>
        <v>0</v>
      </c>
      <c r="S86" s="125">
        <f t="shared" si="34"/>
        <v>0</v>
      </c>
      <c r="T86" s="125">
        <f t="shared" si="34"/>
        <v>0</v>
      </c>
      <c r="U86" s="125">
        <f t="shared" si="34"/>
        <v>0</v>
      </c>
      <c r="V86" s="125">
        <f t="shared" si="34"/>
        <v>0</v>
      </c>
      <c r="W86" s="125">
        <f t="shared" si="34"/>
        <v>0</v>
      </c>
      <c r="X86" s="125">
        <f t="shared" si="34"/>
        <v>0</v>
      </c>
      <c r="Y86" s="125">
        <f t="shared" si="34"/>
        <v>0</v>
      </c>
      <c r="Z86" s="125">
        <f t="shared" si="34"/>
        <v>0</v>
      </c>
      <c r="AA86" s="125">
        <f t="shared" si="34"/>
        <v>0</v>
      </c>
      <c r="AB86" s="125" t="str">
        <f t="shared" si="34"/>
        <v/>
      </c>
      <c r="AC86" s="125" t="str">
        <f t="shared" si="34"/>
        <v/>
      </c>
      <c r="AD86" s="125" t="str">
        <f t="shared" si="34"/>
        <v/>
      </c>
      <c r="AE86" s="125" t="str">
        <f t="shared" si="34"/>
        <v/>
      </c>
      <c r="AF86" s="125" t="str">
        <f t="shared" si="34"/>
        <v/>
      </c>
      <c r="AG86" s="125" t="str">
        <f t="shared" si="34"/>
        <v/>
      </c>
      <c r="AH86" s="125" t="str">
        <f t="shared" si="34"/>
        <v/>
      </c>
      <c r="AI86" s="125" t="str">
        <f t="shared" si="34"/>
        <v/>
      </c>
      <c r="AJ86" s="125" t="str">
        <f t="shared" ref="AJ86:BO86" si="35">IF(ISNUMBER(outYear),$B$85*AJ83,"")</f>
        <v/>
      </c>
      <c r="AK86" s="125" t="str">
        <f t="shared" si="35"/>
        <v/>
      </c>
      <c r="AL86" s="125" t="str">
        <f t="shared" si="35"/>
        <v/>
      </c>
      <c r="AM86" s="125" t="str">
        <f t="shared" si="35"/>
        <v/>
      </c>
      <c r="AN86" s="125" t="str">
        <f t="shared" si="35"/>
        <v/>
      </c>
      <c r="AO86" s="125" t="str">
        <f t="shared" si="35"/>
        <v/>
      </c>
      <c r="AP86" s="125" t="str">
        <f t="shared" si="35"/>
        <v/>
      </c>
      <c r="AQ86" s="125" t="str">
        <f t="shared" si="35"/>
        <v/>
      </c>
      <c r="AR86" s="125" t="str">
        <f t="shared" si="35"/>
        <v/>
      </c>
      <c r="AS86" s="125" t="str">
        <f t="shared" si="35"/>
        <v/>
      </c>
      <c r="AT86" s="125" t="str">
        <f t="shared" si="35"/>
        <v/>
      </c>
      <c r="AU86" s="125" t="str">
        <f t="shared" si="35"/>
        <v/>
      </c>
      <c r="AV86" s="125" t="str">
        <f t="shared" si="35"/>
        <v/>
      </c>
      <c r="AW86" s="125" t="str">
        <f t="shared" si="35"/>
        <v/>
      </c>
      <c r="AX86" s="125" t="str">
        <f t="shared" si="35"/>
        <v/>
      </c>
      <c r="AY86" s="125" t="str">
        <f t="shared" si="35"/>
        <v/>
      </c>
      <c r="AZ86" s="125" t="str">
        <f t="shared" si="35"/>
        <v/>
      </c>
      <c r="BA86" s="125" t="str">
        <f t="shared" si="35"/>
        <v/>
      </c>
      <c r="BB86" s="125" t="str">
        <f t="shared" si="35"/>
        <v/>
      </c>
      <c r="BC86" s="125" t="str">
        <f t="shared" si="35"/>
        <v/>
      </c>
      <c r="BD86" s="125" t="str">
        <f t="shared" si="35"/>
        <v/>
      </c>
      <c r="BE86" s="125" t="str">
        <f t="shared" si="35"/>
        <v/>
      </c>
      <c r="BF86" s="125" t="str">
        <f t="shared" si="35"/>
        <v/>
      </c>
      <c r="BG86" s="125" t="str">
        <f t="shared" si="35"/>
        <v/>
      </c>
      <c r="BH86" s="125" t="str">
        <f t="shared" si="35"/>
        <v/>
      </c>
      <c r="BI86" s="125" t="str">
        <f t="shared" si="35"/>
        <v/>
      </c>
      <c r="BJ86" s="125" t="str">
        <f t="shared" si="35"/>
        <v/>
      </c>
      <c r="BK86" s="125" t="str">
        <f t="shared" si="35"/>
        <v/>
      </c>
      <c r="BL86" s="125" t="str">
        <f t="shared" si="35"/>
        <v/>
      </c>
      <c r="BM86" s="125" t="str">
        <f t="shared" si="35"/>
        <v/>
      </c>
      <c r="BN86" s="125" t="str">
        <f t="shared" si="35"/>
        <v/>
      </c>
      <c r="BO86" s="125" t="str">
        <f t="shared" si="35"/>
        <v/>
      </c>
      <c r="BP86" s="125" t="str">
        <f t="shared" ref="BP86:CX86" si="36">IF(ISNUMBER(outYear),$B$85*BP83,"")</f>
        <v/>
      </c>
      <c r="BQ86" s="125" t="str">
        <f t="shared" si="36"/>
        <v/>
      </c>
      <c r="BR86" s="125" t="str">
        <f t="shared" si="36"/>
        <v/>
      </c>
      <c r="BS86" s="125" t="str">
        <f t="shared" si="36"/>
        <v/>
      </c>
      <c r="BT86" s="125" t="str">
        <f t="shared" si="36"/>
        <v/>
      </c>
      <c r="BU86" s="125" t="str">
        <f t="shared" si="36"/>
        <v/>
      </c>
      <c r="BV86" s="125" t="str">
        <f t="shared" si="36"/>
        <v/>
      </c>
      <c r="BW86" s="125" t="str">
        <f t="shared" si="36"/>
        <v/>
      </c>
      <c r="BX86" s="125" t="str">
        <f t="shared" si="36"/>
        <v/>
      </c>
      <c r="BY86" s="125" t="str">
        <f t="shared" si="36"/>
        <v/>
      </c>
      <c r="BZ86" s="125" t="str">
        <f t="shared" si="36"/>
        <v/>
      </c>
      <c r="CA86" s="125" t="str">
        <f t="shared" si="36"/>
        <v/>
      </c>
      <c r="CB86" s="125" t="str">
        <f t="shared" si="36"/>
        <v/>
      </c>
      <c r="CC86" s="125" t="str">
        <f t="shared" si="36"/>
        <v/>
      </c>
      <c r="CD86" s="125" t="str">
        <f t="shared" si="36"/>
        <v/>
      </c>
      <c r="CE86" s="125" t="str">
        <f t="shared" si="36"/>
        <v/>
      </c>
      <c r="CF86" s="125" t="str">
        <f t="shared" si="36"/>
        <v/>
      </c>
      <c r="CG86" s="125" t="str">
        <f t="shared" si="36"/>
        <v/>
      </c>
      <c r="CH86" s="125" t="str">
        <f t="shared" si="36"/>
        <v/>
      </c>
      <c r="CI86" s="125" t="str">
        <f t="shared" si="36"/>
        <v/>
      </c>
      <c r="CJ86" s="125" t="str">
        <f t="shared" si="36"/>
        <v/>
      </c>
      <c r="CK86" s="125" t="str">
        <f t="shared" si="36"/>
        <v/>
      </c>
      <c r="CL86" s="125" t="str">
        <f t="shared" si="36"/>
        <v/>
      </c>
      <c r="CM86" s="125" t="str">
        <f t="shared" si="36"/>
        <v/>
      </c>
      <c r="CN86" s="125" t="str">
        <f t="shared" si="36"/>
        <v/>
      </c>
      <c r="CO86" s="125" t="str">
        <f t="shared" si="36"/>
        <v/>
      </c>
      <c r="CP86" s="125" t="str">
        <f t="shared" si="36"/>
        <v/>
      </c>
      <c r="CQ86" s="125" t="str">
        <f t="shared" si="36"/>
        <v/>
      </c>
      <c r="CR86" s="125" t="str">
        <f t="shared" si="36"/>
        <v/>
      </c>
      <c r="CS86" s="125" t="str">
        <f t="shared" si="36"/>
        <v/>
      </c>
      <c r="CT86" s="125" t="str">
        <f t="shared" si="36"/>
        <v/>
      </c>
      <c r="CU86" s="125" t="str">
        <f t="shared" si="36"/>
        <v/>
      </c>
      <c r="CV86" s="125" t="str">
        <f t="shared" si="36"/>
        <v/>
      </c>
      <c r="CW86" s="125" t="str">
        <f t="shared" si="36"/>
        <v/>
      </c>
      <c r="CX86" s="125" t="str">
        <f t="shared" si="36"/>
        <v/>
      </c>
    </row>
    <row r="87" spans="1:102" x14ac:dyDescent="0.2">
      <c r="A87" s="134" t="s">
        <v>131</v>
      </c>
      <c r="B87" s="135"/>
      <c r="C87" s="125">
        <f>IF(ISNUMBER(outYear),SUM(C71,C76,C81,C86),"")</f>
        <v>281287.69299999997</v>
      </c>
      <c r="D87" s="167">
        <f>IF(ISNUMBER(outYear),SUM(D71,D76,D81,D86),"")</f>
        <v>78423.698824999999</v>
      </c>
      <c r="E87" s="167">
        <f>IF(ISNUMBER(outYear),SUM(E71,E76,E81,E86),"")</f>
        <v>49015.190895625004</v>
      </c>
      <c r="F87" s="167">
        <f>IF(ISNUMBER(outYear),SUM(F71,F76,F81,F86),"")</f>
        <v>31419.110428015621</v>
      </c>
      <c r="G87" s="167">
        <f>IF(ISNUMBER(outYear),SUM(G71,G76,G81,G86),"")</f>
        <v>31540.301356716012</v>
      </c>
      <c r="H87" s="167">
        <f>IF(ISNUMBER(outYear),SUM(H71,H76,H81,H86),"")</f>
        <v>18378.785418633914</v>
      </c>
      <c r="I87" s="167">
        <f>IF(ISNUMBER(outYear),SUM(I71,I76,I81,I86),"")</f>
        <v>5220.3749980997627</v>
      </c>
      <c r="J87" s="167">
        <f>IF(ISNUMBER(outYear),SUM(J71,J76,J81,J86),"")</f>
        <v>5350.8843730522567</v>
      </c>
      <c r="K87" s="167">
        <f>IF(ISNUMBER(outYear),SUM(K71,K76,K81,K86),"")</f>
        <v>5484.6564823785611</v>
      </c>
      <c r="L87" s="167">
        <f>IF(ISNUMBER(outYear),SUM(L71,L76,L81,L86),"")</f>
        <v>80621.772894438021</v>
      </c>
      <c r="M87" s="167">
        <f>IF(ISNUMBER(outYear),SUM(M71,M76,M81,M86),"")</f>
        <v>5762.317216798976</v>
      </c>
      <c r="N87" s="167">
        <f>IF(ISNUMBER(outYear),SUM(N71,N76,N81,N86),"")</f>
        <v>5906.3751472189497</v>
      </c>
      <c r="O87" s="167">
        <f>IF(ISNUMBER(outYear),SUM(O71,O76,O81,O86),"")</f>
        <v>6054.034525899423</v>
      </c>
      <c r="P87" s="167">
        <f>IF(ISNUMBER(outYear),SUM(P71,P76,P81,P86),"")</f>
        <v>6205.385389046909</v>
      </c>
      <c r="Q87" s="167">
        <f>IF(ISNUMBER(outYear),SUM(Q71,Q76,Q81,Q86),"")</f>
        <v>6360.5200237730824</v>
      </c>
      <c r="R87" s="167">
        <f>IF(ISNUMBER(outYear),SUM(R71,R76,R81,R86),"")</f>
        <v>6519.5330243674089</v>
      </c>
      <c r="S87" s="167">
        <f>IF(ISNUMBER(outYear),SUM(S71,S76,S81,S86),"")</f>
        <v>6682.5213499765923</v>
      </c>
      <c r="T87" s="167">
        <f>IF(ISNUMBER(outYear),SUM(T71,T76,T81,T86),"")</f>
        <v>6849.5843837260081</v>
      </c>
      <c r="U87" s="167">
        <f>IF(ISNUMBER(outYear),SUM(U71,U76,U81,U86),"")</f>
        <v>7020.823993319158</v>
      </c>
      <c r="V87" s="167">
        <f>IF(ISNUMBER(outYear),SUM(V71,V76,V81,V86),"")</f>
        <v>7196.3445931521355</v>
      </c>
      <c r="W87" s="167">
        <f>IF(ISNUMBER(outYear),SUM(W71,W76,W81,W86),"")</f>
        <v>7376.2532079809389</v>
      </c>
      <c r="X87" s="167">
        <f>IF(ISNUMBER(outYear),SUM(X71,X76,X81,X86),"")</f>
        <v>7560.6595381804627</v>
      </c>
      <c r="Y87" s="167">
        <f>IF(ISNUMBER(outYear),SUM(Y71,Y76,Y81,Y86),"")</f>
        <v>7749.6760266349738</v>
      </c>
      <c r="Z87" s="167">
        <f>IF(ISNUMBER(outYear),SUM(Z71,Z76,Z81,Z86),"")</f>
        <v>7943.4179273008485</v>
      </c>
      <c r="AA87" s="167">
        <f>IF(ISNUMBER(outYear),SUM(AA71,AA76,AA81,AA86),"")</f>
        <v>8142.0033754833667</v>
      </c>
      <c r="AB87" s="167" t="str">
        <f>IF(ISNUMBER(outYear),SUM(AB71,AB76,AB81,AB86),"")</f>
        <v/>
      </c>
      <c r="AC87" s="167" t="str">
        <f>IF(ISNUMBER(outYear),SUM(AC71,AC76,AC81,AC86),"")</f>
        <v/>
      </c>
      <c r="AD87" s="167" t="str">
        <f>IF(ISNUMBER(outYear),SUM(AD71,AD76,AD81,AD86),"")</f>
        <v/>
      </c>
      <c r="AE87" s="167" t="str">
        <f>IF(ISNUMBER(outYear),SUM(AE71,AE76,AE81,AE86),"")</f>
        <v/>
      </c>
      <c r="AF87" s="167" t="str">
        <f>IF(ISNUMBER(outYear),SUM(AF71,AF76,AF81,AF86),"")</f>
        <v/>
      </c>
      <c r="AG87" s="167" t="str">
        <f>IF(ISNUMBER(outYear),SUM(AG71,AG76,AG81,AG86),"")</f>
        <v/>
      </c>
      <c r="AH87" s="167" t="str">
        <f>IF(ISNUMBER(outYear),SUM(AH71,AH76,AH81,AH86),"")</f>
        <v/>
      </c>
      <c r="AI87" s="167" t="str">
        <f>IF(ISNUMBER(outYear),SUM(AI71,AI76,AI81,AI86),"")</f>
        <v/>
      </c>
      <c r="AJ87" s="167" t="str">
        <f>IF(ISNUMBER(outYear),SUM(AJ71,AJ76,AJ81,AJ86),"")</f>
        <v/>
      </c>
      <c r="AK87" s="167" t="str">
        <f>IF(ISNUMBER(outYear),SUM(AK71,AK76,AK81,AK86),"")</f>
        <v/>
      </c>
      <c r="AL87" s="167" t="str">
        <f>IF(ISNUMBER(outYear),SUM(AL71,AL76,AL81,AL86),"")</f>
        <v/>
      </c>
      <c r="AM87" s="167" t="str">
        <f>IF(ISNUMBER(outYear),SUM(AM71,AM76,AM81,AM86),"")</f>
        <v/>
      </c>
      <c r="AN87" s="167" t="str">
        <f>IF(ISNUMBER(outYear),SUM(AN71,AN76,AN81,AN86),"")</f>
        <v/>
      </c>
      <c r="AO87" s="167" t="str">
        <f>IF(ISNUMBER(outYear),SUM(AO71,AO76,AO81,AO86),"")</f>
        <v/>
      </c>
      <c r="AP87" s="167" t="str">
        <f>IF(ISNUMBER(outYear),SUM(AP71,AP76,AP81,AP86),"")</f>
        <v/>
      </c>
      <c r="AQ87" s="167" t="str">
        <f>IF(ISNUMBER(outYear),SUM(AQ71,AQ76,AQ81,AQ86),"")</f>
        <v/>
      </c>
      <c r="AR87" s="167" t="str">
        <f>IF(ISNUMBER(outYear),SUM(AR71,AR76,AR81,AR86),"")</f>
        <v/>
      </c>
      <c r="AS87" s="167" t="str">
        <f>IF(ISNUMBER(outYear),SUM(AS71,AS76,AS81,AS86),"")</f>
        <v/>
      </c>
      <c r="AT87" s="167" t="str">
        <f>IF(ISNUMBER(outYear),SUM(AT71,AT76,AT81,AT86),"")</f>
        <v/>
      </c>
      <c r="AU87" s="167" t="str">
        <f>IF(ISNUMBER(outYear),SUM(AU71,AU76,AU81,AU86),"")</f>
        <v/>
      </c>
      <c r="AV87" s="167" t="str">
        <f>IF(ISNUMBER(outYear),SUM(AV71,AV76,AV81,AV86),"")</f>
        <v/>
      </c>
      <c r="AW87" s="167" t="str">
        <f>IF(ISNUMBER(outYear),SUM(AW71,AW76,AW81,AW86),"")</f>
        <v/>
      </c>
      <c r="AX87" s="167" t="str">
        <f>IF(ISNUMBER(outYear),SUM(AX71,AX76,AX81,AX86),"")</f>
        <v/>
      </c>
      <c r="AY87" s="167" t="str">
        <f>IF(ISNUMBER(outYear),SUM(AY71,AY76,AY81,AY86),"")</f>
        <v/>
      </c>
      <c r="AZ87" s="167" t="str">
        <f>IF(ISNUMBER(outYear),SUM(AZ71,AZ76,AZ81,AZ86),"")</f>
        <v/>
      </c>
      <c r="BA87" s="167" t="str">
        <f>IF(ISNUMBER(outYear),SUM(BA71,BA76,BA81,BA86),"")</f>
        <v/>
      </c>
      <c r="BB87" s="167" t="str">
        <f>IF(ISNUMBER(outYear),SUM(BB71,BB76,BB81,BB86),"")</f>
        <v/>
      </c>
      <c r="BC87" s="167" t="str">
        <f>IF(ISNUMBER(outYear),SUM(BC71,BC76,BC81,BC86),"")</f>
        <v/>
      </c>
      <c r="BD87" s="167" t="str">
        <f>IF(ISNUMBER(outYear),SUM(BD71,BD76,BD81,BD86),"")</f>
        <v/>
      </c>
      <c r="BE87" s="167" t="str">
        <f>IF(ISNUMBER(outYear),SUM(BE71,BE76,BE81,BE86),"")</f>
        <v/>
      </c>
      <c r="BF87" s="167" t="str">
        <f>IF(ISNUMBER(outYear),SUM(BF71,BF76,BF81,BF86),"")</f>
        <v/>
      </c>
      <c r="BG87" s="167" t="str">
        <f>IF(ISNUMBER(outYear),SUM(BG71,BG76,BG81,BG86),"")</f>
        <v/>
      </c>
      <c r="BH87" s="167" t="str">
        <f>IF(ISNUMBER(outYear),SUM(BH71,BH76,BH81,BH86),"")</f>
        <v/>
      </c>
      <c r="BI87" s="167" t="str">
        <f>IF(ISNUMBER(outYear),SUM(BI71,BI76,BI81,BI86),"")</f>
        <v/>
      </c>
      <c r="BJ87" s="167" t="str">
        <f>IF(ISNUMBER(outYear),SUM(BJ71,BJ76,BJ81,BJ86),"")</f>
        <v/>
      </c>
      <c r="BK87" s="167" t="str">
        <f>IF(ISNUMBER(outYear),SUM(BK71,BK76,BK81,BK86),"")</f>
        <v/>
      </c>
      <c r="BL87" s="167" t="str">
        <f>IF(ISNUMBER(outYear),SUM(BL71,BL76,BL81,BL86),"")</f>
        <v/>
      </c>
      <c r="BM87" s="167" t="str">
        <f>IF(ISNUMBER(outYear),SUM(BM71,BM76,BM81,BM86),"")</f>
        <v/>
      </c>
      <c r="BN87" s="167" t="str">
        <f>IF(ISNUMBER(outYear),SUM(BN71,BN76,BN81,BN86),"")</f>
        <v/>
      </c>
      <c r="BO87" s="167" t="str">
        <f>IF(ISNUMBER(outYear),SUM(BO71,BO76,BO81,BO86),"")</f>
        <v/>
      </c>
      <c r="BP87" s="167" t="str">
        <f>IF(ISNUMBER(outYear),SUM(BP71,BP76,BP81,BP86),"")</f>
        <v/>
      </c>
      <c r="BQ87" s="167" t="str">
        <f>IF(ISNUMBER(outYear),SUM(BQ71,BQ76,BQ81,BQ86),"")</f>
        <v/>
      </c>
      <c r="BR87" s="167" t="str">
        <f>IF(ISNUMBER(outYear),SUM(BR71,BR76,BR81,BR86),"")</f>
        <v/>
      </c>
      <c r="BS87" s="167" t="str">
        <f>IF(ISNUMBER(outYear),SUM(BS71,BS76,BS81,BS86),"")</f>
        <v/>
      </c>
      <c r="BT87" s="167" t="str">
        <f>IF(ISNUMBER(outYear),SUM(BT71,BT76,BT81,BT86),"")</f>
        <v/>
      </c>
      <c r="BU87" s="167" t="str">
        <f>IF(ISNUMBER(outYear),SUM(BU71,BU76,BU81,BU86),"")</f>
        <v/>
      </c>
      <c r="BV87" s="167" t="str">
        <f>IF(ISNUMBER(outYear),SUM(BV71,BV76,BV81,BV86),"")</f>
        <v/>
      </c>
      <c r="BW87" s="167" t="str">
        <f>IF(ISNUMBER(outYear),SUM(BW71,BW76,BW81,BW86),"")</f>
        <v/>
      </c>
      <c r="BX87" s="167" t="str">
        <f>IF(ISNUMBER(outYear),SUM(BX71,BX76,BX81,BX86),"")</f>
        <v/>
      </c>
      <c r="BY87" s="167" t="str">
        <f>IF(ISNUMBER(outYear),SUM(BY71,BY76,BY81,BY86),"")</f>
        <v/>
      </c>
      <c r="BZ87" s="167" t="str">
        <f>IF(ISNUMBER(outYear),SUM(BZ71,BZ76,BZ81,BZ86),"")</f>
        <v/>
      </c>
      <c r="CA87" s="167" t="str">
        <f>IF(ISNUMBER(outYear),SUM(CA71,CA76,CA81,CA86),"")</f>
        <v/>
      </c>
      <c r="CB87" s="167" t="str">
        <f>IF(ISNUMBER(outYear),SUM(CB71,CB76,CB81,CB86),"")</f>
        <v/>
      </c>
      <c r="CC87" s="167" t="str">
        <f>IF(ISNUMBER(outYear),SUM(CC71,CC76,CC81,CC86),"")</f>
        <v/>
      </c>
      <c r="CD87" s="167" t="str">
        <f>IF(ISNUMBER(outYear),SUM(CD71,CD76,CD81,CD86),"")</f>
        <v/>
      </c>
      <c r="CE87" s="167" t="str">
        <f>IF(ISNUMBER(outYear),SUM(CE71,CE76,CE81,CE86),"")</f>
        <v/>
      </c>
      <c r="CF87" s="167" t="str">
        <f>IF(ISNUMBER(outYear),SUM(CF71,CF76,CF81,CF86),"")</f>
        <v/>
      </c>
      <c r="CG87" s="167" t="str">
        <f>IF(ISNUMBER(outYear),SUM(CG71,CG76,CG81,CG86),"")</f>
        <v/>
      </c>
      <c r="CH87" s="167" t="str">
        <f>IF(ISNUMBER(outYear),SUM(CH71,CH76,CH81,CH86),"")</f>
        <v/>
      </c>
      <c r="CI87" s="167" t="str">
        <f>IF(ISNUMBER(outYear),SUM(CI71,CI76,CI81,CI86),"")</f>
        <v/>
      </c>
      <c r="CJ87" s="167" t="str">
        <f>IF(ISNUMBER(outYear),SUM(CJ71,CJ76,CJ81,CJ86),"")</f>
        <v/>
      </c>
      <c r="CK87" s="167" t="str">
        <f>IF(ISNUMBER(outYear),SUM(CK71,CK76,CK81,CK86),"")</f>
        <v/>
      </c>
      <c r="CL87" s="167" t="str">
        <f>IF(ISNUMBER(outYear),SUM(CL71,CL76,CL81,CL86),"")</f>
        <v/>
      </c>
      <c r="CM87" s="167" t="str">
        <f>IF(ISNUMBER(outYear),SUM(CM71,CM76,CM81,CM86),"")</f>
        <v/>
      </c>
      <c r="CN87" s="167" t="str">
        <f>IF(ISNUMBER(outYear),SUM(CN71,CN76,CN81,CN86),"")</f>
        <v/>
      </c>
      <c r="CO87" s="167" t="str">
        <f>IF(ISNUMBER(outYear),SUM(CO71,CO76,CO81,CO86),"")</f>
        <v/>
      </c>
      <c r="CP87" s="167" t="str">
        <f>IF(ISNUMBER(outYear),SUM(CP71,CP76,CP81,CP86),"")</f>
        <v/>
      </c>
      <c r="CQ87" s="167" t="str">
        <f>IF(ISNUMBER(outYear),SUM(CQ71,CQ76,CQ81,CQ86),"")</f>
        <v/>
      </c>
      <c r="CR87" s="167" t="str">
        <f>IF(ISNUMBER(outYear),SUM(CR71,CR76,CR81,CR86),"")</f>
        <v/>
      </c>
      <c r="CS87" s="167" t="str">
        <f>IF(ISNUMBER(outYear),SUM(CS71,CS76,CS81,CS86),"")</f>
        <v/>
      </c>
      <c r="CT87" s="167" t="str">
        <f>IF(ISNUMBER(outYear),SUM(CT71,CT76,CT81,CT86),"")</f>
        <v/>
      </c>
      <c r="CU87" s="167" t="str">
        <f>IF(ISNUMBER(outYear),SUM(CU71,CU76,CU81,CU86),"")</f>
        <v/>
      </c>
      <c r="CV87" s="167" t="str">
        <f>IF(ISNUMBER(outYear),SUM(CV71,CV76,CV81,CV86),"")</f>
        <v/>
      </c>
      <c r="CW87" s="167" t="str">
        <f>IF(ISNUMBER(outYear),SUM(CW71,CW76,CW81,CW86),"")</f>
        <v/>
      </c>
      <c r="CX87" s="167" t="str">
        <f>IF(ISNUMBER(outYear),SUM(CX71,CX76,CX81,CX86),"")</f>
        <v/>
      </c>
    </row>
    <row r="88" spans="1:102" x14ac:dyDescent="0.2">
      <c r="A88" s="124" t="s">
        <v>132</v>
      </c>
      <c r="B88" s="135"/>
      <c r="C88" s="125">
        <f t="shared" ref="C88:AH88" si="37">IF(ISNUMBER(outYear),C69-C87,"")</f>
        <v>-281287.69299999997</v>
      </c>
      <c r="D88" s="125">
        <f t="shared" si="37"/>
        <v>-78423.698824999999</v>
      </c>
      <c r="E88" s="125">
        <f t="shared" si="37"/>
        <v>-49015.190895625004</v>
      </c>
      <c r="F88" s="125">
        <f t="shared" si="37"/>
        <v>-31419.110428015621</v>
      </c>
      <c r="G88" s="125">
        <f t="shared" si="37"/>
        <v>-31540.301356716012</v>
      </c>
      <c r="H88" s="125">
        <f t="shared" si="37"/>
        <v>-18378.785418633914</v>
      </c>
      <c r="I88" s="125">
        <f t="shared" si="37"/>
        <v>-5220.3749980997627</v>
      </c>
      <c r="J88" s="125">
        <f t="shared" si="37"/>
        <v>-5350.8843730522567</v>
      </c>
      <c r="K88" s="125">
        <f t="shared" si="37"/>
        <v>-5484.6564823785611</v>
      </c>
      <c r="L88" s="125">
        <f t="shared" si="37"/>
        <v>-80621.772894438021</v>
      </c>
      <c r="M88" s="125">
        <f t="shared" si="37"/>
        <v>-5762.317216798976</v>
      </c>
      <c r="N88" s="125">
        <f t="shared" si="37"/>
        <v>-5906.3751472189497</v>
      </c>
      <c r="O88" s="125">
        <f t="shared" si="37"/>
        <v>-6054.034525899423</v>
      </c>
      <c r="P88" s="125">
        <f t="shared" si="37"/>
        <v>-6205.385389046909</v>
      </c>
      <c r="Q88" s="125">
        <f t="shared" si="37"/>
        <v>-6360.5200237730824</v>
      </c>
      <c r="R88" s="125">
        <f t="shared" si="37"/>
        <v>-6519.5330243674089</v>
      </c>
      <c r="S88" s="125">
        <f t="shared" si="37"/>
        <v>-6682.5213499765923</v>
      </c>
      <c r="T88" s="125">
        <f t="shared" si="37"/>
        <v>-6849.5843837260081</v>
      </c>
      <c r="U88" s="125">
        <f t="shared" si="37"/>
        <v>-7020.823993319158</v>
      </c>
      <c r="V88" s="125">
        <f t="shared" si="37"/>
        <v>-7196.3445931521355</v>
      </c>
      <c r="W88" s="125">
        <f t="shared" si="37"/>
        <v>-7376.2532079809389</v>
      </c>
      <c r="X88" s="125">
        <f t="shared" si="37"/>
        <v>-7560.6595381804627</v>
      </c>
      <c r="Y88" s="125">
        <f t="shared" si="37"/>
        <v>-7749.6760266349738</v>
      </c>
      <c r="Z88" s="125">
        <f t="shared" si="37"/>
        <v>-7943.4179273008485</v>
      </c>
      <c r="AA88" s="125">
        <f t="shared" si="37"/>
        <v>-8142.0033754833667</v>
      </c>
      <c r="AB88" s="125" t="str">
        <f t="shared" si="37"/>
        <v/>
      </c>
      <c r="AC88" s="125" t="str">
        <f t="shared" si="37"/>
        <v/>
      </c>
      <c r="AD88" s="125" t="str">
        <f t="shared" si="37"/>
        <v/>
      </c>
      <c r="AE88" s="125" t="str">
        <f t="shared" si="37"/>
        <v/>
      </c>
      <c r="AF88" s="125" t="str">
        <f t="shared" si="37"/>
        <v/>
      </c>
      <c r="AG88" s="125" t="str">
        <f t="shared" si="37"/>
        <v/>
      </c>
      <c r="AH88" s="125" t="str">
        <f t="shared" si="37"/>
        <v/>
      </c>
      <c r="AI88" s="125" t="str">
        <f t="shared" ref="AI88:BN88" si="38">IF(ISNUMBER(outYear),AI69-AI87,"")</f>
        <v/>
      </c>
      <c r="AJ88" s="125" t="str">
        <f t="shared" si="38"/>
        <v/>
      </c>
      <c r="AK88" s="125" t="str">
        <f t="shared" si="38"/>
        <v/>
      </c>
      <c r="AL88" s="125" t="str">
        <f t="shared" si="38"/>
        <v/>
      </c>
      <c r="AM88" s="125" t="str">
        <f t="shared" si="38"/>
        <v/>
      </c>
      <c r="AN88" s="125" t="str">
        <f t="shared" si="38"/>
        <v/>
      </c>
      <c r="AO88" s="125" t="str">
        <f t="shared" si="38"/>
        <v/>
      </c>
      <c r="AP88" s="125" t="str">
        <f t="shared" si="38"/>
        <v/>
      </c>
      <c r="AQ88" s="125" t="str">
        <f t="shared" si="38"/>
        <v/>
      </c>
      <c r="AR88" s="125" t="str">
        <f t="shared" si="38"/>
        <v/>
      </c>
      <c r="AS88" s="125" t="str">
        <f t="shared" si="38"/>
        <v/>
      </c>
      <c r="AT88" s="125" t="str">
        <f t="shared" si="38"/>
        <v/>
      </c>
      <c r="AU88" s="125" t="str">
        <f t="shared" si="38"/>
        <v/>
      </c>
      <c r="AV88" s="125" t="str">
        <f t="shared" si="38"/>
        <v/>
      </c>
      <c r="AW88" s="125" t="str">
        <f t="shared" si="38"/>
        <v/>
      </c>
      <c r="AX88" s="125" t="str">
        <f t="shared" si="38"/>
        <v/>
      </c>
      <c r="AY88" s="125" t="str">
        <f t="shared" si="38"/>
        <v/>
      </c>
      <c r="AZ88" s="125" t="str">
        <f t="shared" si="38"/>
        <v/>
      </c>
      <c r="BA88" s="125" t="str">
        <f t="shared" si="38"/>
        <v/>
      </c>
      <c r="BB88" s="125" t="str">
        <f t="shared" si="38"/>
        <v/>
      </c>
      <c r="BC88" s="125" t="str">
        <f t="shared" si="38"/>
        <v/>
      </c>
      <c r="BD88" s="125" t="str">
        <f t="shared" si="38"/>
        <v/>
      </c>
      <c r="BE88" s="125" t="str">
        <f t="shared" si="38"/>
        <v/>
      </c>
      <c r="BF88" s="125" t="str">
        <f t="shared" si="38"/>
        <v/>
      </c>
      <c r="BG88" s="125" t="str">
        <f t="shared" si="38"/>
        <v/>
      </c>
      <c r="BH88" s="125" t="str">
        <f t="shared" si="38"/>
        <v/>
      </c>
      <c r="BI88" s="125" t="str">
        <f t="shared" si="38"/>
        <v/>
      </c>
      <c r="BJ88" s="125" t="str">
        <f t="shared" si="38"/>
        <v/>
      </c>
      <c r="BK88" s="125" t="str">
        <f t="shared" si="38"/>
        <v/>
      </c>
      <c r="BL88" s="125" t="str">
        <f t="shared" si="38"/>
        <v/>
      </c>
      <c r="BM88" s="125" t="str">
        <f t="shared" si="38"/>
        <v/>
      </c>
      <c r="BN88" s="125" t="str">
        <f t="shared" si="38"/>
        <v/>
      </c>
      <c r="BO88" s="125" t="str">
        <f t="shared" ref="BO88:CT88" si="39">IF(ISNUMBER(outYear),BO69-BO87,"")</f>
        <v/>
      </c>
      <c r="BP88" s="125" t="str">
        <f t="shared" si="39"/>
        <v/>
      </c>
      <c r="BQ88" s="125" t="str">
        <f t="shared" si="39"/>
        <v/>
      </c>
      <c r="BR88" s="125" t="str">
        <f t="shared" si="39"/>
        <v/>
      </c>
      <c r="BS88" s="125" t="str">
        <f t="shared" si="39"/>
        <v/>
      </c>
      <c r="BT88" s="125" t="str">
        <f t="shared" si="39"/>
        <v/>
      </c>
      <c r="BU88" s="125" t="str">
        <f t="shared" si="39"/>
        <v/>
      </c>
      <c r="BV88" s="125" t="str">
        <f t="shared" si="39"/>
        <v/>
      </c>
      <c r="BW88" s="125" t="str">
        <f t="shared" si="39"/>
        <v/>
      </c>
      <c r="BX88" s="125" t="str">
        <f t="shared" si="39"/>
        <v/>
      </c>
      <c r="BY88" s="125" t="str">
        <f t="shared" si="39"/>
        <v/>
      </c>
      <c r="BZ88" s="125" t="str">
        <f t="shared" si="39"/>
        <v/>
      </c>
      <c r="CA88" s="125" t="str">
        <f t="shared" si="39"/>
        <v/>
      </c>
      <c r="CB88" s="125" t="str">
        <f t="shared" si="39"/>
        <v/>
      </c>
      <c r="CC88" s="125" t="str">
        <f t="shared" si="39"/>
        <v/>
      </c>
      <c r="CD88" s="125" t="str">
        <f t="shared" si="39"/>
        <v/>
      </c>
      <c r="CE88" s="125" t="str">
        <f t="shared" si="39"/>
        <v/>
      </c>
      <c r="CF88" s="125" t="str">
        <f t="shared" si="39"/>
        <v/>
      </c>
      <c r="CG88" s="125" t="str">
        <f t="shared" si="39"/>
        <v/>
      </c>
      <c r="CH88" s="125" t="str">
        <f t="shared" si="39"/>
        <v/>
      </c>
      <c r="CI88" s="125" t="str">
        <f t="shared" si="39"/>
        <v/>
      </c>
      <c r="CJ88" s="125" t="str">
        <f t="shared" si="39"/>
        <v/>
      </c>
      <c r="CK88" s="125" t="str">
        <f t="shared" si="39"/>
        <v/>
      </c>
      <c r="CL88" s="125" t="str">
        <f t="shared" si="39"/>
        <v/>
      </c>
      <c r="CM88" s="125" t="str">
        <f t="shared" si="39"/>
        <v/>
      </c>
      <c r="CN88" s="125" t="str">
        <f t="shared" si="39"/>
        <v/>
      </c>
      <c r="CO88" s="125" t="str">
        <f t="shared" si="39"/>
        <v/>
      </c>
      <c r="CP88" s="125" t="str">
        <f t="shared" si="39"/>
        <v/>
      </c>
      <c r="CQ88" s="125" t="str">
        <f t="shared" si="39"/>
        <v/>
      </c>
      <c r="CR88" s="125" t="str">
        <f t="shared" si="39"/>
        <v/>
      </c>
      <c r="CS88" s="125" t="str">
        <f t="shared" si="39"/>
        <v/>
      </c>
      <c r="CT88" s="125" t="str">
        <f t="shared" si="39"/>
        <v/>
      </c>
      <c r="CU88" s="125" t="str">
        <f t="shared" ref="CU88:CX88" si="40">IF(ISNUMBER(outYear),CU69-CU87,"")</f>
        <v/>
      </c>
      <c r="CV88" s="125" t="str">
        <f t="shared" si="40"/>
        <v/>
      </c>
      <c r="CW88" s="125" t="str">
        <f t="shared" si="40"/>
        <v/>
      </c>
      <c r="CX88" s="125" t="str">
        <f t="shared" si="40"/>
        <v/>
      </c>
    </row>
    <row r="89" spans="1:102" x14ac:dyDescent="0.2">
      <c r="A89" s="124" t="s">
        <v>133</v>
      </c>
      <c r="B89" s="135"/>
      <c r="C89" s="125">
        <f t="shared" ref="C89:AH89" si="41">IF(ISNUMBER(outYear),+C88*federal_tax_rate/100,"")</f>
        <v>-104076.44640999999</v>
      </c>
      <c r="D89" s="125">
        <f t="shared" si="41"/>
        <v>-29016.76856525</v>
      </c>
      <c r="E89" s="125">
        <f t="shared" si="41"/>
        <v>-18135.620631381251</v>
      </c>
      <c r="F89" s="125">
        <f t="shared" si="41"/>
        <v>-11625.07085836578</v>
      </c>
      <c r="G89" s="125">
        <f t="shared" si="41"/>
        <v>-11669.911501984925</v>
      </c>
      <c r="H89" s="125">
        <f t="shared" si="41"/>
        <v>-6800.1506048945475</v>
      </c>
      <c r="I89" s="125">
        <f t="shared" si="41"/>
        <v>-1931.5387492969123</v>
      </c>
      <c r="J89" s="125">
        <f t="shared" si="41"/>
        <v>-1979.827218029335</v>
      </c>
      <c r="K89" s="125">
        <f t="shared" si="41"/>
        <v>-2029.3228984800676</v>
      </c>
      <c r="L89" s="125">
        <f t="shared" si="41"/>
        <v>-29830.055970942067</v>
      </c>
      <c r="M89" s="125">
        <f t="shared" si="41"/>
        <v>-2132.0573702156212</v>
      </c>
      <c r="N89" s="125">
        <f t="shared" si="41"/>
        <v>-2185.3588044710114</v>
      </c>
      <c r="O89" s="125">
        <f t="shared" si="41"/>
        <v>-2239.9927745827863</v>
      </c>
      <c r="P89" s="125">
        <f t="shared" si="41"/>
        <v>-2295.992593947356</v>
      </c>
      <c r="Q89" s="125">
        <f t="shared" si="41"/>
        <v>-2353.3924087960404</v>
      </c>
      <c r="R89" s="125">
        <f t="shared" si="41"/>
        <v>-2412.2272190159415</v>
      </c>
      <c r="S89" s="125">
        <f t="shared" si="41"/>
        <v>-2472.5328994913389</v>
      </c>
      <c r="T89" s="125">
        <f t="shared" si="41"/>
        <v>-2534.3462219786229</v>
      </c>
      <c r="U89" s="125">
        <f t="shared" si="41"/>
        <v>-2597.7048775280882</v>
      </c>
      <c r="V89" s="125">
        <f t="shared" si="41"/>
        <v>-2662.6474994662899</v>
      </c>
      <c r="W89" s="125">
        <f t="shared" si="41"/>
        <v>-2729.2136869529472</v>
      </c>
      <c r="X89" s="125">
        <f t="shared" si="41"/>
        <v>-2797.4440291267715</v>
      </c>
      <c r="Y89" s="125">
        <f t="shared" si="41"/>
        <v>-2867.3801298549406</v>
      </c>
      <c r="Z89" s="125">
        <f t="shared" si="41"/>
        <v>-2939.064633101314</v>
      </c>
      <c r="AA89" s="125">
        <f t="shared" si="41"/>
        <v>-3012.5412489288456</v>
      </c>
      <c r="AB89" s="125" t="str">
        <f t="shared" si="41"/>
        <v/>
      </c>
      <c r="AC89" s="125" t="str">
        <f t="shared" si="41"/>
        <v/>
      </c>
      <c r="AD89" s="125" t="str">
        <f t="shared" si="41"/>
        <v/>
      </c>
      <c r="AE89" s="125" t="str">
        <f t="shared" si="41"/>
        <v/>
      </c>
      <c r="AF89" s="125" t="str">
        <f t="shared" si="41"/>
        <v/>
      </c>
      <c r="AG89" s="125" t="str">
        <f t="shared" si="41"/>
        <v/>
      </c>
      <c r="AH89" s="125" t="str">
        <f t="shared" si="41"/>
        <v/>
      </c>
      <c r="AI89" s="125" t="str">
        <f t="shared" ref="AI89:BN89" si="42">IF(ISNUMBER(outYear),+AI88*federal_tax_rate/100,"")</f>
        <v/>
      </c>
      <c r="AJ89" s="125" t="str">
        <f t="shared" si="42"/>
        <v/>
      </c>
      <c r="AK89" s="125" t="str">
        <f t="shared" si="42"/>
        <v/>
      </c>
      <c r="AL89" s="125" t="str">
        <f t="shared" si="42"/>
        <v/>
      </c>
      <c r="AM89" s="125" t="str">
        <f t="shared" si="42"/>
        <v/>
      </c>
      <c r="AN89" s="125" t="str">
        <f t="shared" si="42"/>
        <v/>
      </c>
      <c r="AO89" s="125" t="str">
        <f t="shared" si="42"/>
        <v/>
      </c>
      <c r="AP89" s="125" t="str">
        <f t="shared" si="42"/>
        <v/>
      </c>
      <c r="AQ89" s="125" t="str">
        <f t="shared" si="42"/>
        <v/>
      </c>
      <c r="AR89" s="125" t="str">
        <f t="shared" si="42"/>
        <v/>
      </c>
      <c r="AS89" s="125" t="str">
        <f t="shared" si="42"/>
        <v/>
      </c>
      <c r="AT89" s="125" t="str">
        <f t="shared" si="42"/>
        <v/>
      </c>
      <c r="AU89" s="125" t="str">
        <f t="shared" si="42"/>
        <v/>
      </c>
      <c r="AV89" s="125" t="str">
        <f t="shared" si="42"/>
        <v/>
      </c>
      <c r="AW89" s="125" t="str">
        <f t="shared" si="42"/>
        <v/>
      </c>
      <c r="AX89" s="125" t="str">
        <f t="shared" si="42"/>
        <v/>
      </c>
      <c r="AY89" s="125" t="str">
        <f t="shared" si="42"/>
        <v/>
      </c>
      <c r="AZ89" s="125" t="str">
        <f t="shared" si="42"/>
        <v/>
      </c>
      <c r="BA89" s="125" t="str">
        <f t="shared" si="42"/>
        <v/>
      </c>
      <c r="BB89" s="125" t="str">
        <f t="shared" si="42"/>
        <v/>
      </c>
      <c r="BC89" s="125" t="str">
        <f t="shared" si="42"/>
        <v/>
      </c>
      <c r="BD89" s="125" t="str">
        <f t="shared" si="42"/>
        <v/>
      </c>
      <c r="BE89" s="125" t="str">
        <f t="shared" si="42"/>
        <v/>
      </c>
      <c r="BF89" s="125" t="str">
        <f t="shared" si="42"/>
        <v/>
      </c>
      <c r="BG89" s="125" t="str">
        <f t="shared" si="42"/>
        <v/>
      </c>
      <c r="BH89" s="125" t="str">
        <f t="shared" si="42"/>
        <v/>
      </c>
      <c r="BI89" s="125" t="str">
        <f t="shared" si="42"/>
        <v/>
      </c>
      <c r="BJ89" s="125" t="str">
        <f t="shared" si="42"/>
        <v/>
      </c>
      <c r="BK89" s="125" t="str">
        <f t="shared" si="42"/>
        <v/>
      </c>
      <c r="BL89" s="125" t="str">
        <f t="shared" si="42"/>
        <v/>
      </c>
      <c r="BM89" s="125" t="str">
        <f t="shared" si="42"/>
        <v/>
      </c>
      <c r="BN89" s="125" t="str">
        <f t="shared" si="42"/>
        <v/>
      </c>
      <c r="BO89" s="125" t="str">
        <f t="shared" ref="BO89:CT89" si="43">IF(ISNUMBER(outYear),+BO88*federal_tax_rate/100,"")</f>
        <v/>
      </c>
      <c r="BP89" s="125" t="str">
        <f t="shared" si="43"/>
        <v/>
      </c>
      <c r="BQ89" s="125" t="str">
        <f t="shared" si="43"/>
        <v/>
      </c>
      <c r="BR89" s="125" t="str">
        <f t="shared" si="43"/>
        <v/>
      </c>
      <c r="BS89" s="125" t="str">
        <f t="shared" si="43"/>
        <v/>
      </c>
      <c r="BT89" s="125" t="str">
        <f t="shared" si="43"/>
        <v/>
      </c>
      <c r="BU89" s="125" t="str">
        <f t="shared" si="43"/>
        <v/>
      </c>
      <c r="BV89" s="125" t="str">
        <f t="shared" si="43"/>
        <v/>
      </c>
      <c r="BW89" s="125" t="str">
        <f t="shared" si="43"/>
        <v/>
      </c>
      <c r="BX89" s="125" t="str">
        <f t="shared" si="43"/>
        <v/>
      </c>
      <c r="BY89" s="125" t="str">
        <f t="shared" si="43"/>
        <v/>
      </c>
      <c r="BZ89" s="125" t="str">
        <f t="shared" si="43"/>
        <v/>
      </c>
      <c r="CA89" s="125" t="str">
        <f t="shared" si="43"/>
        <v/>
      </c>
      <c r="CB89" s="125" t="str">
        <f t="shared" si="43"/>
        <v/>
      </c>
      <c r="CC89" s="125" t="str">
        <f t="shared" si="43"/>
        <v/>
      </c>
      <c r="CD89" s="125" t="str">
        <f t="shared" si="43"/>
        <v/>
      </c>
      <c r="CE89" s="125" t="str">
        <f t="shared" si="43"/>
        <v/>
      </c>
      <c r="CF89" s="125" t="str">
        <f t="shared" si="43"/>
        <v/>
      </c>
      <c r="CG89" s="125" t="str">
        <f t="shared" si="43"/>
        <v/>
      </c>
      <c r="CH89" s="125" t="str">
        <f t="shared" si="43"/>
        <v/>
      </c>
      <c r="CI89" s="125" t="str">
        <f t="shared" si="43"/>
        <v/>
      </c>
      <c r="CJ89" s="125" t="str">
        <f t="shared" si="43"/>
        <v/>
      </c>
      <c r="CK89" s="125" t="str">
        <f t="shared" si="43"/>
        <v/>
      </c>
      <c r="CL89" s="125" t="str">
        <f t="shared" si="43"/>
        <v/>
      </c>
      <c r="CM89" s="125" t="str">
        <f t="shared" si="43"/>
        <v/>
      </c>
      <c r="CN89" s="125" t="str">
        <f t="shared" si="43"/>
        <v/>
      </c>
      <c r="CO89" s="125" t="str">
        <f t="shared" si="43"/>
        <v/>
      </c>
      <c r="CP89" s="125" t="str">
        <f t="shared" si="43"/>
        <v/>
      </c>
      <c r="CQ89" s="125" t="str">
        <f t="shared" si="43"/>
        <v/>
      </c>
      <c r="CR89" s="125" t="str">
        <f t="shared" si="43"/>
        <v/>
      </c>
      <c r="CS89" s="125" t="str">
        <f t="shared" si="43"/>
        <v/>
      </c>
      <c r="CT89" s="125" t="str">
        <f t="shared" si="43"/>
        <v/>
      </c>
      <c r="CU89" s="125" t="str">
        <f t="shared" ref="CU89:CX89" si="44">IF(ISNUMBER(outYear),+CU88*federal_tax_rate/100,"")</f>
        <v/>
      </c>
      <c r="CV89" s="125" t="str">
        <f t="shared" si="44"/>
        <v/>
      </c>
      <c r="CW89" s="125" t="str">
        <f t="shared" si="44"/>
        <v/>
      </c>
      <c r="CX89" s="125" t="str">
        <f t="shared" si="44"/>
        <v/>
      </c>
    </row>
    <row r="90" spans="1:102" x14ac:dyDescent="0.2">
      <c r="A90" s="124" t="s">
        <v>134</v>
      </c>
      <c r="B90" s="125">
        <f>IF(ISNUMBER(outYear),pv_installed_cost-IF(ibi_sta_percent_deprbas_fed="Yes",B37,0)-IF(ibi_uti_percent_deprbas_fed="Yes",B38,0)-IF(cbi_fed_deprbas_fed="Yes",B41,0)-IF(cbi_sta_deprbas_fed="Yes",B42,0)-IF(cbi_uti_deprbas_fed="Yes",B43,0),"")</f>
        <v>442718</v>
      </c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  <c r="AZ90" s="125"/>
      <c r="BA90" s="125"/>
      <c r="BB90" s="125"/>
      <c r="BC90" s="125"/>
      <c r="BD90" s="125"/>
      <c r="BE90" s="125"/>
      <c r="BF90" s="125"/>
      <c r="BG90" s="125"/>
      <c r="BH90" s="125"/>
      <c r="BI90" s="125"/>
      <c r="BJ90" s="125"/>
      <c r="BK90" s="125"/>
      <c r="BL90" s="125"/>
      <c r="BM90" s="125"/>
      <c r="BN90" s="125"/>
      <c r="BO90" s="125"/>
      <c r="BP90" s="125"/>
      <c r="BQ90" s="125"/>
      <c r="BR90" s="125"/>
      <c r="BS90" s="125"/>
      <c r="BT90" s="125"/>
      <c r="BU90" s="125"/>
      <c r="BV90" s="125"/>
      <c r="BW90" s="125"/>
      <c r="BX90" s="125"/>
      <c r="BY90" s="125"/>
      <c r="BZ90" s="125"/>
      <c r="CA90" s="125"/>
      <c r="CB90" s="125"/>
      <c r="CC90" s="125"/>
      <c r="CD90" s="125"/>
      <c r="CE90" s="125"/>
      <c r="CF90" s="125"/>
      <c r="CG90" s="125"/>
      <c r="CH90" s="125"/>
      <c r="CI90" s="125"/>
      <c r="CJ90" s="125"/>
      <c r="CK90" s="125"/>
      <c r="CL90" s="125"/>
      <c r="CM90" s="125"/>
      <c r="CN90" s="125"/>
      <c r="CO90" s="125"/>
      <c r="CP90" s="125"/>
      <c r="CQ90" s="125"/>
      <c r="CR90" s="125"/>
      <c r="CS90" s="125"/>
      <c r="CT90" s="125"/>
      <c r="CU90" s="125"/>
      <c r="CV90" s="125"/>
      <c r="CW90" s="125"/>
      <c r="CX90" s="125"/>
    </row>
    <row r="91" spans="1:102" x14ac:dyDescent="0.2">
      <c r="A91" s="124" t="s">
        <v>135</v>
      </c>
      <c r="B91" s="135"/>
      <c r="C91" s="125">
        <f>IF(ISNUMBER(outYear),MIN(itc_fed_percent/100*$B$90,itc_fed_percent_maxvalue),"")</f>
        <v>132815.4</v>
      </c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  <c r="AZ91" s="125"/>
      <c r="BA91" s="125"/>
      <c r="BB91" s="125"/>
      <c r="BC91" s="125"/>
      <c r="BD91" s="125"/>
      <c r="BE91" s="125"/>
      <c r="BF91" s="125"/>
      <c r="BG91" s="125"/>
      <c r="BH91" s="125"/>
      <c r="BI91" s="125"/>
      <c r="BJ91" s="125"/>
      <c r="BK91" s="125"/>
      <c r="BL91" s="125"/>
      <c r="BM91" s="125"/>
      <c r="BN91" s="125"/>
      <c r="BO91" s="125"/>
      <c r="BP91" s="125"/>
      <c r="BQ91" s="125"/>
      <c r="BR91" s="125"/>
      <c r="BS91" s="125"/>
      <c r="BT91" s="125"/>
      <c r="BU91" s="125"/>
      <c r="BV91" s="125"/>
      <c r="BW91" s="125"/>
      <c r="BX91" s="125"/>
      <c r="BY91" s="125"/>
      <c r="BZ91" s="125"/>
      <c r="CA91" s="125"/>
      <c r="CB91" s="125"/>
      <c r="CC91" s="125"/>
      <c r="CD91" s="125"/>
      <c r="CE91" s="125"/>
      <c r="CF91" s="125"/>
      <c r="CG91" s="125"/>
      <c r="CH91" s="125"/>
      <c r="CI91" s="125"/>
      <c r="CJ91" s="125"/>
      <c r="CK91" s="125"/>
      <c r="CL91" s="125"/>
      <c r="CM91" s="125"/>
      <c r="CN91" s="125"/>
      <c r="CO91" s="125"/>
      <c r="CP91" s="125"/>
      <c r="CQ91" s="125"/>
      <c r="CR91" s="125"/>
      <c r="CS91" s="125"/>
      <c r="CT91" s="125"/>
      <c r="CU91" s="125"/>
      <c r="CV91" s="125"/>
      <c r="CW91" s="125"/>
      <c r="CX91" s="125"/>
    </row>
    <row r="92" spans="1:102" s="133" customFormat="1" x14ac:dyDescent="0.2">
      <c r="A92" s="124" t="s">
        <v>167</v>
      </c>
      <c r="B92" s="167">
        <f>IF(ISNUMBER(outYear),wind_installed_cost-IF(wind_ibi_sta_percent_deprbas_fed="Yes",B46,0)-IF(wind_ibi_uti_percent_deprbas_fed="Yes",B47,0)-IF(wind_cbi_fed_deprbas_fed="Yes",B50,0)-IF(wind_cbi_sta_deprbas_fed="Yes",B51,0)-IF(wind_cbi_uti_deprbas_fed="Yes",B52,0),"")</f>
        <v>0</v>
      </c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7"/>
      <c r="CM92" s="167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</row>
    <row r="93" spans="1:102" s="133" customFormat="1" x14ac:dyDescent="0.2">
      <c r="A93" s="124" t="s">
        <v>168</v>
      </c>
      <c r="B93" s="158"/>
      <c r="C93" s="167">
        <f>IF(ISNUMBER(outYear),MIN(wind_itc_fed_percent/100*$B$92,wind_itc_fed_percent_maxvalue),"")</f>
        <v>0</v>
      </c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7"/>
      <c r="CK93" s="167"/>
      <c r="CL93" s="167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</row>
    <row r="94" spans="1:102" x14ac:dyDescent="0.2">
      <c r="A94" s="124" t="s">
        <v>136</v>
      </c>
      <c r="B94" s="135">
        <f>IF(ISNUMBER(outYear),battery_installed_cost-IF(batt_ibi_sta_percent_deprbas_fed="Yes",B55,0)-IF(batt_ibi_uti_percent_deprbas_fed="Yes",B56,0)-IF(batt_cbi_fed_deprbas_fed="Yes",B59,0)-IF(batt_cbi_sta_deprbas_fed="Yes",B60,0)-IF(batt_cbi_uti_deprbas_fed="Yes",B61,0),"")</f>
        <v>100000</v>
      </c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125"/>
      <c r="AT94" s="125"/>
      <c r="AU94" s="125"/>
      <c r="AV94" s="125"/>
      <c r="AW94" s="125"/>
      <c r="AX94" s="125"/>
      <c r="AY94" s="125"/>
      <c r="AZ94" s="125"/>
      <c r="BA94" s="125"/>
      <c r="BB94" s="125"/>
      <c r="BC94" s="125"/>
      <c r="BD94" s="125"/>
      <c r="BE94" s="125"/>
      <c r="BF94" s="125"/>
      <c r="BG94" s="125"/>
      <c r="BH94" s="125"/>
      <c r="BI94" s="125"/>
      <c r="BJ94" s="125"/>
      <c r="BK94" s="125"/>
      <c r="BL94" s="125"/>
      <c r="BM94" s="125"/>
      <c r="BN94" s="125"/>
      <c r="BO94" s="125"/>
      <c r="BP94" s="125"/>
      <c r="BQ94" s="125"/>
      <c r="BR94" s="125"/>
      <c r="BS94" s="125"/>
      <c r="BT94" s="125"/>
      <c r="BU94" s="125"/>
      <c r="BV94" s="125"/>
      <c r="BW94" s="125"/>
      <c r="BX94" s="125"/>
      <c r="BY94" s="125"/>
      <c r="BZ94" s="125"/>
      <c r="CA94" s="125"/>
      <c r="CB94" s="125"/>
      <c r="CC94" s="125"/>
      <c r="CD94" s="125"/>
      <c r="CE94" s="125"/>
      <c r="CF94" s="125"/>
      <c r="CG94" s="125"/>
      <c r="CH94" s="125"/>
      <c r="CI94" s="125"/>
      <c r="CJ94" s="125"/>
      <c r="CK94" s="125"/>
      <c r="CL94" s="125"/>
      <c r="CM94" s="125"/>
      <c r="CN94" s="125"/>
      <c r="CO94" s="125"/>
      <c r="CP94" s="125"/>
      <c r="CQ94" s="125"/>
      <c r="CR94" s="125"/>
      <c r="CS94" s="125"/>
      <c r="CT94" s="125"/>
      <c r="CU94" s="125"/>
      <c r="CV94" s="125"/>
      <c r="CW94" s="125"/>
      <c r="CX94" s="125"/>
    </row>
    <row r="95" spans="1:102" x14ac:dyDescent="0.2">
      <c r="A95" s="124" t="s">
        <v>137</v>
      </c>
      <c r="B95" s="135"/>
      <c r="C95" s="125">
        <f>IF(ISNUMBER(outYear),MIN(batt_itc_fed_percent/100*$B$94,batt_itc_fed_percent_maxvalue),"")</f>
        <v>30000</v>
      </c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125"/>
      <c r="AT95" s="125"/>
      <c r="AU95" s="125"/>
      <c r="AV95" s="125"/>
      <c r="AW95" s="125"/>
      <c r="AX95" s="125"/>
      <c r="AY95" s="125"/>
      <c r="AZ95" s="125"/>
      <c r="BA95" s="125"/>
      <c r="BB95" s="125"/>
      <c r="BC95" s="125"/>
      <c r="BD95" s="125"/>
      <c r="BE95" s="125"/>
      <c r="BF95" s="125"/>
      <c r="BG95" s="125"/>
      <c r="BH95" s="125"/>
      <c r="BI95" s="125"/>
      <c r="BJ95" s="125"/>
      <c r="BK95" s="125"/>
      <c r="BL95" s="125"/>
      <c r="BM95" s="125"/>
      <c r="BN95" s="125"/>
      <c r="BO95" s="125"/>
      <c r="BP95" s="125"/>
      <c r="BQ95" s="125"/>
      <c r="BR95" s="125"/>
      <c r="BS95" s="125"/>
      <c r="BT95" s="125"/>
      <c r="BU95" s="125"/>
      <c r="BV95" s="125"/>
      <c r="BW95" s="125"/>
      <c r="BX95" s="125"/>
      <c r="BY95" s="125"/>
      <c r="BZ95" s="125"/>
      <c r="CA95" s="125"/>
      <c r="CB95" s="125"/>
      <c r="CC95" s="125"/>
      <c r="CD95" s="125"/>
      <c r="CE95" s="125"/>
      <c r="CF95" s="125"/>
      <c r="CG95" s="125"/>
      <c r="CH95" s="125"/>
      <c r="CI95" s="125"/>
      <c r="CJ95" s="125"/>
      <c r="CK95" s="125"/>
      <c r="CL95" s="125"/>
      <c r="CM95" s="125"/>
      <c r="CN95" s="125"/>
      <c r="CO95" s="125"/>
      <c r="CP95" s="125"/>
      <c r="CQ95" s="125"/>
      <c r="CR95" s="125"/>
      <c r="CS95" s="125"/>
      <c r="CT95" s="125"/>
      <c r="CU95" s="125"/>
      <c r="CV95" s="125"/>
      <c r="CW95" s="125"/>
      <c r="CX95" s="125"/>
    </row>
    <row r="96" spans="1:102" x14ac:dyDescent="0.2">
      <c r="A96" s="136" t="s">
        <v>138</v>
      </c>
      <c r="B96" s="137"/>
      <c r="C96" s="138">
        <f>IF(ISNUMBER(outYear),-C89+C91+C93+C95,"")</f>
        <v>266891.84641</v>
      </c>
      <c r="D96" s="154">
        <f>IF(ISNUMBER(outYear),-D89+D91+D93+D95,"")</f>
        <v>29016.76856525</v>
      </c>
      <c r="E96" s="154">
        <f>IF(ISNUMBER(outYear),-E89+E91+E93+E95,"")</f>
        <v>18135.620631381251</v>
      </c>
      <c r="F96" s="154">
        <f>IF(ISNUMBER(outYear),-F89+F91+F93+F95,"")</f>
        <v>11625.07085836578</v>
      </c>
      <c r="G96" s="154">
        <f>IF(ISNUMBER(outYear),-G89+G91+G93+G95,"")</f>
        <v>11669.911501984925</v>
      </c>
      <c r="H96" s="154">
        <f>IF(ISNUMBER(outYear),-H89+H91+H93+H95,"")</f>
        <v>6800.1506048945475</v>
      </c>
      <c r="I96" s="154">
        <f>IF(ISNUMBER(outYear),-I89+I91+I93+I95,"")</f>
        <v>1931.5387492969123</v>
      </c>
      <c r="J96" s="154">
        <f>IF(ISNUMBER(outYear),-J89+J91+J93+J95,"")</f>
        <v>1979.827218029335</v>
      </c>
      <c r="K96" s="154">
        <f>IF(ISNUMBER(outYear),-K89+K91+K93+K95,"")</f>
        <v>2029.3228984800676</v>
      </c>
      <c r="L96" s="154">
        <f>IF(ISNUMBER(outYear),-L89+L91+L93+L95,"")</f>
        <v>29830.055970942067</v>
      </c>
      <c r="M96" s="154">
        <f>IF(ISNUMBER(outYear),-M89+M91+M93+M95,"")</f>
        <v>2132.0573702156212</v>
      </c>
      <c r="N96" s="154">
        <f>IF(ISNUMBER(outYear),-N89+N91+N93+N95,"")</f>
        <v>2185.3588044710114</v>
      </c>
      <c r="O96" s="154">
        <f>IF(ISNUMBER(outYear),-O89+O91+O93+O95,"")</f>
        <v>2239.9927745827863</v>
      </c>
      <c r="P96" s="154">
        <f>IF(ISNUMBER(outYear),-P89+P91+P93+P95,"")</f>
        <v>2295.992593947356</v>
      </c>
      <c r="Q96" s="154">
        <f>IF(ISNUMBER(outYear),-Q89+Q91+Q93+Q95,"")</f>
        <v>2353.3924087960404</v>
      </c>
      <c r="R96" s="154">
        <f>IF(ISNUMBER(outYear),-R89+R91+R93+R95,"")</f>
        <v>2412.2272190159415</v>
      </c>
      <c r="S96" s="154">
        <f>IF(ISNUMBER(outYear),-S89+S91+S93+S95,"")</f>
        <v>2472.5328994913389</v>
      </c>
      <c r="T96" s="154">
        <f>IF(ISNUMBER(outYear),-T89+T91+T93+T95,"")</f>
        <v>2534.3462219786229</v>
      </c>
      <c r="U96" s="154">
        <f>IF(ISNUMBER(outYear),-U89+U91+U93+U95,"")</f>
        <v>2597.7048775280882</v>
      </c>
      <c r="V96" s="154">
        <f>IF(ISNUMBER(outYear),-V89+V91+V93+V95,"")</f>
        <v>2662.6474994662899</v>
      </c>
      <c r="W96" s="154">
        <f>IF(ISNUMBER(outYear),-W89+W91+W93+W95,"")</f>
        <v>2729.2136869529472</v>
      </c>
      <c r="X96" s="154">
        <f>IF(ISNUMBER(outYear),-X89+X91+X93+X95,"")</f>
        <v>2797.4440291267715</v>
      </c>
      <c r="Y96" s="154">
        <f>IF(ISNUMBER(outYear),-Y89+Y91+Y93+Y95,"")</f>
        <v>2867.3801298549406</v>
      </c>
      <c r="Z96" s="154">
        <f>IF(ISNUMBER(outYear),-Z89+Z91+Z93+Z95,"")</f>
        <v>2939.064633101314</v>
      </c>
      <c r="AA96" s="154">
        <f>IF(ISNUMBER(outYear),-AA89+AA91+AA93+AA95,"")</f>
        <v>3012.5412489288456</v>
      </c>
      <c r="AB96" s="154" t="str">
        <f>IF(ISNUMBER(outYear),-AB89+AB91+AB93+AB95,"")</f>
        <v/>
      </c>
      <c r="AC96" s="154" t="str">
        <f>IF(ISNUMBER(outYear),-AC89+AC91+AC93+AC95,"")</f>
        <v/>
      </c>
      <c r="AD96" s="154" t="str">
        <f>IF(ISNUMBER(outYear),-AD89+AD91+AD93+AD95,"")</f>
        <v/>
      </c>
      <c r="AE96" s="154" t="str">
        <f>IF(ISNUMBER(outYear),-AE89+AE91+AE93+AE95,"")</f>
        <v/>
      </c>
      <c r="AF96" s="154" t="str">
        <f>IF(ISNUMBER(outYear),-AF89+AF91+AF93+AF95,"")</f>
        <v/>
      </c>
      <c r="AG96" s="154" t="str">
        <f>IF(ISNUMBER(outYear),-AG89+AG91+AG93+AG95,"")</f>
        <v/>
      </c>
      <c r="AH96" s="154" t="str">
        <f>IF(ISNUMBER(outYear),-AH89+AH91+AH93+AH95,"")</f>
        <v/>
      </c>
      <c r="AI96" s="154" t="str">
        <f>IF(ISNUMBER(outYear),-AI89+AI91+AI93+AI95,"")</f>
        <v/>
      </c>
      <c r="AJ96" s="154" t="str">
        <f>IF(ISNUMBER(outYear),-AJ89+AJ91+AJ93+AJ95,"")</f>
        <v/>
      </c>
      <c r="AK96" s="154" t="str">
        <f>IF(ISNUMBER(outYear),-AK89+AK91+AK93+AK95,"")</f>
        <v/>
      </c>
      <c r="AL96" s="154" t="str">
        <f>IF(ISNUMBER(outYear),-AL89+AL91+AL93+AL95,"")</f>
        <v/>
      </c>
      <c r="AM96" s="154" t="str">
        <f>IF(ISNUMBER(outYear),-AM89+AM91+AM93+AM95,"")</f>
        <v/>
      </c>
      <c r="AN96" s="154" t="str">
        <f>IF(ISNUMBER(outYear),-AN89+AN91+AN93+AN95,"")</f>
        <v/>
      </c>
      <c r="AO96" s="154" t="str">
        <f>IF(ISNUMBER(outYear),-AO89+AO91+AO93+AO95,"")</f>
        <v/>
      </c>
      <c r="AP96" s="154" t="str">
        <f>IF(ISNUMBER(outYear),-AP89+AP91+AP93+AP95,"")</f>
        <v/>
      </c>
      <c r="AQ96" s="154" t="str">
        <f>IF(ISNUMBER(outYear),-AQ89+AQ91+AQ93+AQ95,"")</f>
        <v/>
      </c>
      <c r="AR96" s="154" t="str">
        <f>IF(ISNUMBER(outYear),-AR89+AR91+AR93+AR95,"")</f>
        <v/>
      </c>
      <c r="AS96" s="154" t="str">
        <f>IF(ISNUMBER(outYear),-AS89+AS91+AS93+AS95,"")</f>
        <v/>
      </c>
      <c r="AT96" s="154" t="str">
        <f>IF(ISNUMBER(outYear),-AT89+AT91+AT93+AT95,"")</f>
        <v/>
      </c>
      <c r="AU96" s="154" t="str">
        <f>IF(ISNUMBER(outYear),-AU89+AU91+AU93+AU95,"")</f>
        <v/>
      </c>
      <c r="AV96" s="154" t="str">
        <f>IF(ISNUMBER(outYear),-AV89+AV91+AV93+AV95,"")</f>
        <v/>
      </c>
      <c r="AW96" s="154" t="str">
        <f>IF(ISNUMBER(outYear),-AW89+AW91+AW93+AW95,"")</f>
        <v/>
      </c>
      <c r="AX96" s="154" t="str">
        <f>IF(ISNUMBER(outYear),-AX89+AX91+AX93+AX95,"")</f>
        <v/>
      </c>
      <c r="AY96" s="154" t="str">
        <f>IF(ISNUMBER(outYear),-AY89+AY91+AY93+AY95,"")</f>
        <v/>
      </c>
      <c r="AZ96" s="154" t="str">
        <f>IF(ISNUMBER(outYear),-AZ89+AZ91+AZ93+AZ95,"")</f>
        <v/>
      </c>
      <c r="BA96" s="154" t="str">
        <f>IF(ISNUMBER(outYear),-BA89+BA91+BA93+BA95,"")</f>
        <v/>
      </c>
      <c r="BB96" s="154" t="str">
        <f>IF(ISNUMBER(outYear),-BB89+BB91+BB93+BB95,"")</f>
        <v/>
      </c>
      <c r="BC96" s="154" t="str">
        <f>IF(ISNUMBER(outYear),-BC89+BC91+BC93+BC95,"")</f>
        <v/>
      </c>
      <c r="BD96" s="154" t="str">
        <f>IF(ISNUMBER(outYear),-BD89+BD91+BD93+BD95,"")</f>
        <v/>
      </c>
      <c r="BE96" s="154" t="str">
        <f>IF(ISNUMBER(outYear),-BE89+BE91+BE93+BE95,"")</f>
        <v/>
      </c>
      <c r="BF96" s="154" t="str">
        <f>IF(ISNUMBER(outYear),-BF89+BF91+BF93+BF95,"")</f>
        <v/>
      </c>
      <c r="BG96" s="154" t="str">
        <f>IF(ISNUMBER(outYear),-BG89+BG91+BG93+BG95,"")</f>
        <v/>
      </c>
      <c r="BH96" s="154" t="str">
        <f>IF(ISNUMBER(outYear),-BH89+BH91+BH93+BH95,"")</f>
        <v/>
      </c>
      <c r="BI96" s="154" t="str">
        <f>IF(ISNUMBER(outYear),-BI89+BI91+BI93+BI95,"")</f>
        <v/>
      </c>
      <c r="BJ96" s="154" t="str">
        <f>IF(ISNUMBER(outYear),-BJ89+BJ91+BJ93+BJ95,"")</f>
        <v/>
      </c>
      <c r="BK96" s="154" t="str">
        <f>IF(ISNUMBER(outYear),-BK89+BK91+BK93+BK95,"")</f>
        <v/>
      </c>
      <c r="BL96" s="154" t="str">
        <f>IF(ISNUMBER(outYear),-BL89+BL91+BL93+BL95,"")</f>
        <v/>
      </c>
      <c r="BM96" s="154" t="str">
        <f>IF(ISNUMBER(outYear),-BM89+BM91+BM93+BM95,"")</f>
        <v/>
      </c>
      <c r="BN96" s="154" t="str">
        <f>IF(ISNUMBER(outYear),-BN89+BN91+BN93+BN95,"")</f>
        <v/>
      </c>
      <c r="BO96" s="154" t="str">
        <f>IF(ISNUMBER(outYear),-BO89+BO91+BO93+BO95,"")</f>
        <v/>
      </c>
      <c r="BP96" s="154" t="str">
        <f>IF(ISNUMBER(outYear),-BP89+BP91+BP93+BP95,"")</f>
        <v/>
      </c>
      <c r="BQ96" s="154" t="str">
        <f>IF(ISNUMBER(outYear),-BQ89+BQ91+BQ93+BQ95,"")</f>
        <v/>
      </c>
      <c r="BR96" s="154" t="str">
        <f>IF(ISNUMBER(outYear),-BR89+BR91+BR93+BR95,"")</f>
        <v/>
      </c>
      <c r="BS96" s="154" t="str">
        <f>IF(ISNUMBER(outYear),-BS89+BS91+BS93+BS95,"")</f>
        <v/>
      </c>
      <c r="BT96" s="154" t="str">
        <f>IF(ISNUMBER(outYear),-BT89+BT91+BT93+BT95,"")</f>
        <v/>
      </c>
      <c r="BU96" s="154" t="str">
        <f>IF(ISNUMBER(outYear),-BU89+BU91+BU93+BU95,"")</f>
        <v/>
      </c>
      <c r="BV96" s="154" t="str">
        <f>IF(ISNUMBER(outYear),-BV89+BV91+BV93+BV95,"")</f>
        <v/>
      </c>
      <c r="BW96" s="154" t="str">
        <f>IF(ISNUMBER(outYear),-BW89+BW91+BW93+BW95,"")</f>
        <v/>
      </c>
      <c r="BX96" s="154" t="str">
        <f>IF(ISNUMBER(outYear),-BX89+BX91+BX93+BX95,"")</f>
        <v/>
      </c>
      <c r="BY96" s="154" t="str">
        <f>IF(ISNUMBER(outYear),-BY89+BY91+BY93+BY95,"")</f>
        <v/>
      </c>
      <c r="BZ96" s="154" t="str">
        <f>IF(ISNUMBER(outYear),-BZ89+BZ91+BZ93+BZ95,"")</f>
        <v/>
      </c>
      <c r="CA96" s="154" t="str">
        <f>IF(ISNUMBER(outYear),-CA89+CA91+CA93+CA95,"")</f>
        <v/>
      </c>
      <c r="CB96" s="154" t="str">
        <f>IF(ISNUMBER(outYear),-CB89+CB91+CB93+CB95,"")</f>
        <v/>
      </c>
      <c r="CC96" s="154" t="str">
        <f>IF(ISNUMBER(outYear),-CC89+CC91+CC93+CC95,"")</f>
        <v/>
      </c>
      <c r="CD96" s="154" t="str">
        <f>IF(ISNUMBER(outYear),-CD89+CD91+CD93+CD95,"")</f>
        <v/>
      </c>
      <c r="CE96" s="154" t="str">
        <f>IF(ISNUMBER(outYear),-CE89+CE91+CE93+CE95,"")</f>
        <v/>
      </c>
      <c r="CF96" s="154" t="str">
        <f>IF(ISNUMBER(outYear),-CF89+CF91+CF93+CF95,"")</f>
        <v/>
      </c>
      <c r="CG96" s="154" t="str">
        <f>IF(ISNUMBER(outYear),-CG89+CG91+CG93+CG95,"")</f>
        <v/>
      </c>
      <c r="CH96" s="154" t="str">
        <f>IF(ISNUMBER(outYear),-CH89+CH91+CH93+CH95,"")</f>
        <v/>
      </c>
      <c r="CI96" s="154" t="str">
        <f>IF(ISNUMBER(outYear),-CI89+CI91+CI93+CI95,"")</f>
        <v/>
      </c>
      <c r="CJ96" s="154" t="str">
        <f>IF(ISNUMBER(outYear),-CJ89+CJ91+CJ93+CJ95,"")</f>
        <v/>
      </c>
      <c r="CK96" s="154" t="str">
        <f>IF(ISNUMBER(outYear),-CK89+CK91+CK93+CK95,"")</f>
        <v/>
      </c>
      <c r="CL96" s="154" t="str">
        <f>IF(ISNUMBER(outYear),-CL89+CL91+CL93+CL95,"")</f>
        <v/>
      </c>
      <c r="CM96" s="154" t="str">
        <f>IF(ISNUMBER(outYear),-CM89+CM91+CM93+CM95,"")</f>
        <v/>
      </c>
      <c r="CN96" s="154" t="str">
        <f>IF(ISNUMBER(outYear),-CN89+CN91+CN93+CN95,"")</f>
        <v/>
      </c>
      <c r="CO96" s="154" t="str">
        <f>IF(ISNUMBER(outYear),-CO89+CO91+CO93+CO95,"")</f>
        <v/>
      </c>
      <c r="CP96" s="154" t="str">
        <f>IF(ISNUMBER(outYear),-CP89+CP91+CP93+CP95,"")</f>
        <v/>
      </c>
      <c r="CQ96" s="154" t="str">
        <f>IF(ISNUMBER(outYear),-CQ89+CQ91+CQ93+CQ95,"")</f>
        <v/>
      </c>
      <c r="CR96" s="154" t="str">
        <f>IF(ISNUMBER(outYear),-CR89+CR91+CR93+CR95,"")</f>
        <v/>
      </c>
      <c r="CS96" s="154" t="str">
        <f>IF(ISNUMBER(outYear),-CS89+CS91+CS93+CS95,"")</f>
        <v/>
      </c>
      <c r="CT96" s="154" t="str">
        <f>IF(ISNUMBER(outYear),-CT89+CT91+CT93+CT95,"")</f>
        <v/>
      </c>
      <c r="CU96" s="154" t="str">
        <f>IF(ISNUMBER(outYear),-CU89+CU91+CU93+CU95,"")</f>
        <v/>
      </c>
      <c r="CV96" s="154" t="str">
        <f>IF(ISNUMBER(outYear),-CV89+CV91+CV93+CV95,"")</f>
        <v/>
      </c>
      <c r="CW96" s="154" t="str">
        <f>IF(ISNUMBER(outYear),-CW89+CW91+CW93+CW95,"")</f>
        <v/>
      </c>
      <c r="CX96" s="154" t="str">
        <f>IF(ISNUMBER(outYear),-CX89+CX91+CX93+CX95,"")</f>
        <v/>
      </c>
    </row>
    <row r="97" spans="1:102" x14ac:dyDescent="0.2">
      <c r="A97" s="124"/>
      <c r="B97" s="135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  <c r="AO97" s="139"/>
      <c r="AP97" s="139"/>
      <c r="AQ97" s="139"/>
      <c r="AR97" s="139"/>
      <c r="AS97" s="139"/>
      <c r="AT97" s="139"/>
      <c r="AU97" s="139"/>
      <c r="AV97" s="139"/>
      <c r="AW97" s="139"/>
      <c r="AX97" s="139"/>
      <c r="AY97" s="139"/>
      <c r="AZ97" s="139"/>
      <c r="BA97" s="139"/>
      <c r="BB97" s="139"/>
      <c r="BC97" s="139"/>
      <c r="BD97" s="139"/>
      <c r="BE97" s="139"/>
      <c r="BF97" s="139"/>
      <c r="BG97" s="139"/>
      <c r="BH97" s="139"/>
      <c r="BI97" s="139"/>
      <c r="BJ97" s="139"/>
      <c r="BK97" s="139"/>
      <c r="BL97" s="139"/>
      <c r="BM97" s="139"/>
      <c r="BN97" s="139"/>
      <c r="BO97" s="139"/>
      <c r="BP97" s="139"/>
      <c r="BQ97" s="139"/>
      <c r="BR97" s="139"/>
      <c r="BS97" s="139"/>
      <c r="BT97" s="139"/>
      <c r="BU97" s="139"/>
      <c r="BV97" s="139"/>
      <c r="BW97" s="139"/>
      <c r="BX97" s="139"/>
      <c r="BY97" s="139"/>
      <c r="BZ97" s="139"/>
      <c r="CA97" s="139"/>
      <c r="CB97" s="139"/>
      <c r="CC97" s="139"/>
      <c r="CD97" s="139"/>
      <c r="CE97" s="139"/>
      <c r="CF97" s="139"/>
      <c r="CG97" s="139"/>
      <c r="CH97" s="139"/>
      <c r="CI97" s="139"/>
      <c r="CJ97" s="139"/>
      <c r="CK97" s="139"/>
      <c r="CL97" s="139"/>
      <c r="CM97" s="139"/>
      <c r="CN97" s="139"/>
      <c r="CO97" s="139"/>
      <c r="CP97" s="139"/>
      <c r="CQ97" s="139"/>
      <c r="CR97" s="139"/>
      <c r="CS97" s="139"/>
      <c r="CT97" s="139"/>
      <c r="CU97" s="139"/>
      <c r="CV97" s="139"/>
      <c r="CW97" s="139"/>
      <c r="CX97" s="139"/>
    </row>
    <row r="98" spans="1:102" x14ac:dyDescent="0.2">
      <c r="A98" s="124"/>
      <c r="B98" s="135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  <c r="AO98" s="139"/>
      <c r="AP98" s="139"/>
      <c r="AQ98" s="139"/>
      <c r="AR98" s="139"/>
      <c r="AS98" s="139"/>
      <c r="AT98" s="139"/>
      <c r="AU98" s="139"/>
      <c r="AV98" s="139"/>
      <c r="AW98" s="139"/>
      <c r="AX98" s="139"/>
      <c r="AY98" s="139"/>
      <c r="AZ98" s="139"/>
      <c r="BA98" s="139"/>
      <c r="BB98" s="139"/>
      <c r="BC98" s="139"/>
      <c r="BD98" s="139"/>
      <c r="BE98" s="139"/>
      <c r="BF98" s="139"/>
      <c r="BG98" s="139"/>
      <c r="BH98" s="139"/>
      <c r="BI98" s="139"/>
      <c r="BJ98" s="139"/>
      <c r="BK98" s="139"/>
      <c r="BL98" s="139"/>
      <c r="BM98" s="139"/>
      <c r="BN98" s="139"/>
      <c r="BO98" s="139"/>
      <c r="BP98" s="139"/>
      <c r="BQ98" s="139"/>
      <c r="BR98" s="139"/>
      <c r="BS98" s="139"/>
      <c r="BT98" s="139"/>
      <c r="BU98" s="139"/>
      <c r="BV98" s="139"/>
      <c r="BW98" s="139"/>
      <c r="BX98" s="139"/>
      <c r="BY98" s="139"/>
      <c r="BZ98" s="139"/>
      <c r="CA98" s="139"/>
      <c r="CB98" s="139"/>
      <c r="CC98" s="139"/>
      <c r="CD98" s="139"/>
      <c r="CE98" s="139"/>
      <c r="CF98" s="139"/>
      <c r="CG98" s="139"/>
      <c r="CH98" s="139"/>
      <c r="CI98" s="139"/>
      <c r="CJ98" s="139"/>
      <c r="CK98" s="139"/>
      <c r="CL98" s="139"/>
      <c r="CM98" s="139"/>
      <c r="CN98" s="139"/>
      <c r="CO98" s="139"/>
      <c r="CP98" s="139"/>
      <c r="CQ98" s="139"/>
      <c r="CR98" s="139"/>
      <c r="CS98" s="139"/>
      <c r="CT98" s="139"/>
      <c r="CU98" s="139"/>
      <c r="CV98" s="139"/>
      <c r="CW98" s="139"/>
      <c r="CX98" s="139"/>
    </row>
    <row r="99" spans="1:102" x14ac:dyDescent="0.2">
      <c r="A99" s="120" t="s">
        <v>139</v>
      </c>
      <c r="B99" s="125">
        <f>B25+B66-total_installed_cost</f>
        <v>-532718</v>
      </c>
      <c r="C99" s="125">
        <f t="shared" ref="C99:AH99" si="45">IF(ISNUMBER(outYear),(C33+C66+C96),"")</f>
        <v>262390.33341000002</v>
      </c>
      <c r="D99" s="125">
        <f t="shared" si="45"/>
        <v>24402.717740250002</v>
      </c>
      <c r="E99" s="125">
        <f t="shared" si="45"/>
        <v>13406.218535756252</v>
      </c>
      <c r="F99" s="125">
        <f t="shared" si="45"/>
        <v>6777.4337103501557</v>
      </c>
      <c r="G99" s="125">
        <f t="shared" si="45"/>
        <v>6701.083425268911</v>
      </c>
      <c r="H99" s="125">
        <f t="shared" si="45"/>
        <v>1707.1018262606331</v>
      </c>
      <c r="I99" s="125">
        <f t="shared" si="45"/>
        <v>-3288.8362488028506</v>
      </c>
      <c r="J99" s="125">
        <f t="shared" si="45"/>
        <v>-3371.0571550229215</v>
      </c>
      <c r="K99" s="125">
        <f t="shared" si="45"/>
        <v>-3455.3335838984935</v>
      </c>
      <c r="L99" s="125">
        <f t="shared" si="45"/>
        <v>-50791.716923495958</v>
      </c>
      <c r="M99" s="125">
        <f t="shared" si="45"/>
        <v>-3630.2598465833548</v>
      </c>
      <c r="N99" s="125">
        <f t="shared" si="45"/>
        <v>-3721.0163427479383</v>
      </c>
      <c r="O99" s="125">
        <f t="shared" si="45"/>
        <v>-3814.0417513166367</v>
      </c>
      <c r="P99" s="125">
        <f t="shared" si="45"/>
        <v>-3909.392795099553</v>
      </c>
      <c r="Q99" s="125">
        <f t="shared" si="45"/>
        <v>-4007.127614977042</v>
      </c>
      <c r="R99" s="125">
        <f t="shared" si="45"/>
        <v>-4107.3058053514669</v>
      </c>
      <c r="S99" s="125">
        <f t="shared" si="45"/>
        <v>-4209.9884504852535</v>
      </c>
      <c r="T99" s="125">
        <f t="shared" si="45"/>
        <v>-4315.2381617473857</v>
      </c>
      <c r="U99" s="125">
        <f t="shared" si="45"/>
        <v>-4423.1191157910698</v>
      </c>
      <c r="V99" s="125">
        <f t="shared" si="45"/>
        <v>-4533.6970936858452</v>
      </c>
      <c r="W99" s="125">
        <f t="shared" si="45"/>
        <v>-4647.0395210279912</v>
      </c>
      <c r="X99" s="125">
        <f t="shared" si="45"/>
        <v>-4763.2155090536908</v>
      </c>
      <c r="Y99" s="125">
        <f t="shared" si="45"/>
        <v>-4882.2958967800332</v>
      </c>
      <c r="Z99" s="125">
        <f t="shared" si="45"/>
        <v>-5004.3532941995345</v>
      </c>
      <c r="AA99" s="125">
        <f t="shared" si="45"/>
        <v>-5129.4621265545211</v>
      </c>
      <c r="AB99" s="125" t="str">
        <f t="shared" si="45"/>
        <v/>
      </c>
      <c r="AC99" s="125" t="str">
        <f t="shared" si="45"/>
        <v/>
      </c>
      <c r="AD99" s="125" t="str">
        <f t="shared" si="45"/>
        <v/>
      </c>
      <c r="AE99" s="125" t="str">
        <f t="shared" si="45"/>
        <v/>
      </c>
      <c r="AF99" s="125" t="str">
        <f t="shared" si="45"/>
        <v/>
      </c>
      <c r="AG99" s="125" t="str">
        <f t="shared" si="45"/>
        <v/>
      </c>
      <c r="AH99" s="125" t="str">
        <f t="shared" si="45"/>
        <v/>
      </c>
      <c r="AI99" s="125" t="str">
        <f t="shared" ref="AI99:BN99" si="46">IF(ISNUMBER(outYear),(AI33+AI66+AI96),"")</f>
        <v/>
      </c>
      <c r="AJ99" s="125" t="str">
        <f t="shared" si="46"/>
        <v/>
      </c>
      <c r="AK99" s="125" t="str">
        <f t="shared" si="46"/>
        <v/>
      </c>
      <c r="AL99" s="125" t="str">
        <f t="shared" si="46"/>
        <v/>
      </c>
      <c r="AM99" s="125" t="str">
        <f t="shared" si="46"/>
        <v/>
      </c>
      <c r="AN99" s="125" t="str">
        <f t="shared" si="46"/>
        <v/>
      </c>
      <c r="AO99" s="125" t="str">
        <f t="shared" si="46"/>
        <v/>
      </c>
      <c r="AP99" s="125" t="str">
        <f t="shared" si="46"/>
        <v/>
      </c>
      <c r="AQ99" s="125" t="str">
        <f t="shared" si="46"/>
        <v/>
      </c>
      <c r="AR99" s="125" t="str">
        <f t="shared" si="46"/>
        <v/>
      </c>
      <c r="AS99" s="125" t="str">
        <f t="shared" si="46"/>
        <v/>
      </c>
      <c r="AT99" s="125" t="str">
        <f t="shared" si="46"/>
        <v/>
      </c>
      <c r="AU99" s="125" t="str">
        <f t="shared" si="46"/>
        <v/>
      </c>
      <c r="AV99" s="125" t="str">
        <f t="shared" si="46"/>
        <v/>
      </c>
      <c r="AW99" s="125" t="str">
        <f t="shared" si="46"/>
        <v/>
      </c>
      <c r="AX99" s="125" t="str">
        <f t="shared" si="46"/>
        <v/>
      </c>
      <c r="AY99" s="125" t="str">
        <f t="shared" si="46"/>
        <v/>
      </c>
      <c r="AZ99" s="125" t="str">
        <f t="shared" si="46"/>
        <v/>
      </c>
      <c r="BA99" s="125" t="str">
        <f t="shared" si="46"/>
        <v/>
      </c>
      <c r="BB99" s="125" t="str">
        <f t="shared" si="46"/>
        <v/>
      </c>
      <c r="BC99" s="125" t="str">
        <f t="shared" si="46"/>
        <v/>
      </c>
      <c r="BD99" s="125" t="str">
        <f t="shared" si="46"/>
        <v/>
      </c>
      <c r="BE99" s="125" t="str">
        <f t="shared" si="46"/>
        <v/>
      </c>
      <c r="BF99" s="125" t="str">
        <f t="shared" si="46"/>
        <v/>
      </c>
      <c r="BG99" s="125" t="str">
        <f t="shared" si="46"/>
        <v/>
      </c>
      <c r="BH99" s="125" t="str">
        <f t="shared" si="46"/>
        <v/>
      </c>
      <c r="BI99" s="125" t="str">
        <f t="shared" si="46"/>
        <v/>
      </c>
      <c r="BJ99" s="125" t="str">
        <f t="shared" si="46"/>
        <v/>
      </c>
      <c r="BK99" s="125" t="str">
        <f t="shared" si="46"/>
        <v/>
      </c>
      <c r="BL99" s="125" t="str">
        <f t="shared" si="46"/>
        <v/>
      </c>
      <c r="BM99" s="125" t="str">
        <f t="shared" si="46"/>
        <v/>
      </c>
      <c r="BN99" s="125" t="str">
        <f t="shared" si="46"/>
        <v/>
      </c>
      <c r="BO99" s="125" t="str">
        <f t="shared" ref="BO99:CX99" si="47">IF(ISNUMBER(outYear),(BO33+BO66+BO96),"")</f>
        <v/>
      </c>
      <c r="BP99" s="125" t="str">
        <f t="shared" si="47"/>
        <v/>
      </c>
      <c r="BQ99" s="125" t="str">
        <f t="shared" si="47"/>
        <v/>
      </c>
      <c r="BR99" s="125" t="str">
        <f t="shared" si="47"/>
        <v/>
      </c>
      <c r="BS99" s="125" t="str">
        <f t="shared" si="47"/>
        <v/>
      </c>
      <c r="BT99" s="125" t="str">
        <f t="shared" si="47"/>
        <v/>
      </c>
      <c r="BU99" s="125" t="str">
        <f t="shared" si="47"/>
        <v/>
      </c>
      <c r="BV99" s="125" t="str">
        <f t="shared" si="47"/>
        <v/>
      </c>
      <c r="BW99" s="125" t="str">
        <f t="shared" si="47"/>
        <v/>
      </c>
      <c r="BX99" s="125" t="str">
        <f t="shared" si="47"/>
        <v/>
      </c>
      <c r="BY99" s="125" t="str">
        <f t="shared" si="47"/>
        <v/>
      </c>
      <c r="BZ99" s="125" t="str">
        <f t="shared" si="47"/>
        <v/>
      </c>
      <c r="CA99" s="125" t="str">
        <f t="shared" si="47"/>
        <v/>
      </c>
      <c r="CB99" s="125" t="str">
        <f t="shared" si="47"/>
        <v/>
      </c>
      <c r="CC99" s="125" t="str">
        <f t="shared" si="47"/>
        <v/>
      </c>
      <c r="CD99" s="125" t="str">
        <f t="shared" si="47"/>
        <v/>
      </c>
      <c r="CE99" s="125" t="str">
        <f t="shared" si="47"/>
        <v/>
      </c>
      <c r="CF99" s="125" t="str">
        <f t="shared" si="47"/>
        <v/>
      </c>
      <c r="CG99" s="125" t="str">
        <f t="shared" si="47"/>
        <v/>
      </c>
      <c r="CH99" s="125" t="str">
        <f t="shared" si="47"/>
        <v/>
      </c>
      <c r="CI99" s="125" t="str">
        <f t="shared" si="47"/>
        <v/>
      </c>
      <c r="CJ99" s="125" t="str">
        <f t="shared" si="47"/>
        <v/>
      </c>
      <c r="CK99" s="125" t="str">
        <f t="shared" si="47"/>
        <v/>
      </c>
      <c r="CL99" s="125" t="str">
        <f t="shared" si="47"/>
        <v/>
      </c>
      <c r="CM99" s="125" t="str">
        <f t="shared" si="47"/>
        <v/>
      </c>
      <c r="CN99" s="125" t="str">
        <f t="shared" si="47"/>
        <v/>
      </c>
      <c r="CO99" s="125" t="str">
        <f t="shared" si="47"/>
        <v/>
      </c>
      <c r="CP99" s="125" t="str">
        <f t="shared" si="47"/>
        <v/>
      </c>
      <c r="CQ99" s="125" t="str">
        <f t="shared" si="47"/>
        <v/>
      </c>
      <c r="CR99" s="125" t="str">
        <f t="shared" si="47"/>
        <v/>
      </c>
      <c r="CS99" s="125" t="str">
        <f t="shared" si="47"/>
        <v/>
      </c>
      <c r="CT99" s="125" t="str">
        <f t="shared" si="47"/>
        <v/>
      </c>
      <c r="CU99" s="125" t="str">
        <f t="shared" si="47"/>
        <v/>
      </c>
      <c r="CV99" s="125" t="str">
        <f t="shared" si="47"/>
        <v/>
      </c>
      <c r="CW99" s="125" t="str">
        <f t="shared" si="47"/>
        <v/>
      </c>
      <c r="CX99" s="125" t="str">
        <f t="shared" si="47"/>
        <v/>
      </c>
    </row>
    <row r="100" spans="1:102" x14ac:dyDescent="0.2">
      <c r="A100" s="120" t="s">
        <v>140</v>
      </c>
      <c r="B100" s="165">
        <v>0</v>
      </c>
      <c r="C100" s="165">
        <f>IF(ISNUMBER(outYear),IF(FederalDepreciation="N/A",'Cash Flow'!C9,'Cash Flow'!C9*(1-federal_tax_rate/100)),"")</f>
        <v>34566.230671875011</v>
      </c>
      <c r="D100" s="165">
        <f>IF(ISNUMBER(outYear),IF(FederalDepreciation="N/A",'Cash Flow'!D9,'Cash Flow'!D9*(1-federal_tax_rate/100)),"")</f>
        <v>35572.616074960046</v>
      </c>
      <c r="E100" s="165">
        <f>IF(ISNUMBER(outYear),IF(FederalDepreciation="N/A",'Cash Flow'!E9,'Cash Flow'!E9*(1-federal_tax_rate/100)),"")</f>
        <v>36608.446675799256</v>
      </c>
      <c r="F100" s="165">
        <f>IF(ISNUMBER(outYear),IF(FederalDepreciation="N/A",'Cash Flow'!F9,'Cash Flow'!F9*(1-federal_tax_rate/100)),"")</f>
        <v>37674.587729261351</v>
      </c>
      <c r="G100" s="165">
        <f>IF(ISNUMBER(outYear),IF(FederalDepreciation="N/A",'Cash Flow'!G9,'Cash Flow'!G9*(1-federal_tax_rate/100)),"")</f>
        <v>38771.930012033095</v>
      </c>
      <c r="H100" s="165">
        <f>IF(ISNUMBER(outYear),IF(FederalDepreciation="N/A",'Cash Flow'!H9,'Cash Flow'!H9*(1-federal_tax_rate/100)),"")</f>
        <v>39901.390577878738</v>
      </c>
      <c r="I100" s="165">
        <f>IF(ISNUMBER(outYear),IF(FederalDepreciation="N/A",'Cash Flow'!I9,'Cash Flow'!I9*(1-federal_tax_rate/100)),"")</f>
        <v>41063.913535311855</v>
      </c>
      <c r="J100" s="165">
        <f>IF(ISNUMBER(outYear),IF(FederalDepreciation="N/A",'Cash Flow'!J9,'Cash Flow'!J9*(1-federal_tax_rate/100)),"")</f>
        <v>42260.470848346864</v>
      </c>
      <c r="K100" s="165">
        <f>IF(ISNUMBER(outYear),IF(FederalDepreciation="N/A",'Cash Flow'!K9,'Cash Flow'!K9*(1-federal_tax_rate/100)),"")</f>
        <v>43492.063161016937</v>
      </c>
      <c r="L100" s="165">
        <f>IF(ISNUMBER(outYear),IF(FederalDepreciation="N/A",'Cash Flow'!L9,'Cash Flow'!L9*(1-federal_tax_rate/100)),"")</f>
        <v>44759.720646364724</v>
      </c>
      <c r="M100" s="165">
        <f>IF(ISNUMBER(outYear),IF(FederalDepreciation="N/A",'Cash Flow'!M9,'Cash Flow'!M9*(1-federal_tax_rate/100)),"")</f>
        <v>46064.503880635195</v>
      </c>
      <c r="N100" s="165">
        <f>IF(ISNUMBER(outYear),IF(FederalDepreciation="N/A",'Cash Flow'!N9,'Cash Flow'!N9*(1-federal_tax_rate/100)),"")</f>
        <v>47407.504743418918</v>
      </c>
      <c r="O100" s="165">
        <f>IF(ISNUMBER(outYear),IF(FederalDepreciation="N/A",'Cash Flow'!O9,'Cash Flow'!O9*(1-federal_tax_rate/100)),"")</f>
        <v>48789.847344518952</v>
      </c>
      <c r="P100" s="165">
        <f>IF(ISNUMBER(outYear),IF(FederalDepreciation="N/A",'Cash Flow'!P9,'Cash Flow'!P9*(1-federal_tax_rate/100)),"")</f>
        <v>50212.688978337319</v>
      </c>
      <c r="Q100" s="165">
        <f>IF(ISNUMBER(outYear),IF(FederalDepreciation="N/A",'Cash Flow'!Q9,'Cash Flow'!Q9*(1-federal_tax_rate/100)),"")</f>
        <v>51677.22110659656</v>
      </c>
      <c r="R100" s="165">
        <f>IF(ISNUMBER(outYear),IF(FederalDepreciation="N/A",'Cash Flow'!R9,'Cash Flow'!R9*(1-federal_tax_rate/100)),"")</f>
        <v>53184.670370245905</v>
      </c>
      <c r="S100" s="165">
        <f>IF(ISNUMBER(outYear),IF(FederalDepreciation="N/A",'Cash Flow'!S9,'Cash Flow'!S9*(1-federal_tax_rate/100)),"")</f>
        <v>54736.299631412716</v>
      </c>
      <c r="T100" s="165">
        <f>IF(ISNUMBER(outYear),IF(FederalDepreciation="N/A",'Cash Flow'!T9,'Cash Flow'!T9*(1-federal_tax_rate/100)),"")</f>
        <v>56333.409046301604</v>
      </c>
      <c r="U100" s="165">
        <f>IF(ISNUMBER(outYear),IF(FederalDepreciation="N/A",'Cash Flow'!U9,'Cash Flow'!U9*(1-federal_tax_rate/100)),"")</f>
        <v>57977.33716995507</v>
      </c>
      <c r="V100" s="165">
        <f>IF(ISNUMBER(outYear),IF(FederalDepreciation="N/A",'Cash Flow'!V9,'Cash Flow'!V9*(1-federal_tax_rate/100)),"")</f>
        <v>59669.462093830007</v>
      </c>
      <c r="W100" s="165">
        <f>IF(ISNUMBER(outYear),IF(FederalDepreciation="N/A",'Cash Flow'!W9,'Cash Flow'!W9*(1-federal_tax_rate/100)),"")</f>
        <v>61411.202617162795</v>
      </c>
      <c r="X100" s="165">
        <f>IF(ISNUMBER(outYear),IF(FederalDepreciation="N/A",'Cash Flow'!X9,'Cash Flow'!X9*(1-federal_tax_rate/100)),"")</f>
        <v>63204.019453131725</v>
      </c>
      <c r="Y100" s="165">
        <f>IF(ISNUMBER(outYear),IF(FederalDepreciation="N/A",'Cash Flow'!Y9,'Cash Flow'!Y9*(1-federal_tax_rate/100)),"")</f>
        <v>65049.416470850541</v>
      </c>
      <c r="Z100" s="165">
        <f>IF(ISNUMBER(outYear),IF(FederalDepreciation="N/A",'Cash Flow'!Z9,'Cash Flow'!Z9*(1-federal_tax_rate/100)),"")</f>
        <v>66948.941974262445</v>
      </c>
      <c r="AA100" s="165">
        <f>IF(ISNUMBER(outYear),IF(FederalDepreciation="N/A",'Cash Flow'!AA9,'Cash Flow'!AA9*(1-federal_tax_rate/100)),"")</f>
        <v>68904.190019029673</v>
      </c>
      <c r="AB100" s="165" t="str">
        <f>IF(ISNUMBER(outYear),IF(FederalDepreciation="N/A",'Cash Flow'!AB9,'Cash Flow'!AB9*(1-federal_tax_rate/100)),"")</f>
        <v/>
      </c>
      <c r="AC100" s="165" t="str">
        <f>IF(ISNUMBER(outYear),IF(FederalDepreciation="N/A",'Cash Flow'!AC9,'Cash Flow'!AC9*(1-federal_tax_rate/100)),"")</f>
        <v/>
      </c>
      <c r="AD100" s="165" t="str">
        <f>IF(ISNUMBER(outYear),IF(FederalDepreciation="N/A",'Cash Flow'!AD9,'Cash Flow'!AD9*(1-federal_tax_rate/100)),"")</f>
        <v/>
      </c>
      <c r="AE100" s="165" t="str">
        <f>IF(ISNUMBER(outYear),IF(FederalDepreciation="N/A",'Cash Flow'!AE9,'Cash Flow'!AE9*(1-federal_tax_rate/100)),"")</f>
        <v/>
      </c>
      <c r="AF100" s="165" t="str">
        <f>IF(ISNUMBER(outYear),IF(FederalDepreciation="N/A",'Cash Flow'!AF9,'Cash Flow'!AF9*(1-federal_tax_rate/100)),"")</f>
        <v/>
      </c>
      <c r="AG100" s="165" t="str">
        <f>IF(ISNUMBER(outYear),IF(FederalDepreciation="N/A",'Cash Flow'!AG9,'Cash Flow'!AG9*(1-federal_tax_rate/100)),"")</f>
        <v/>
      </c>
      <c r="AH100" s="165" t="str">
        <f>IF(ISNUMBER(outYear),IF(FederalDepreciation="N/A",'Cash Flow'!AH9,'Cash Flow'!AH9*(1-federal_tax_rate/100)),"")</f>
        <v/>
      </c>
      <c r="AI100" s="165" t="str">
        <f>IF(ISNUMBER(outYear),IF(FederalDepreciation="N/A",'Cash Flow'!AI9,'Cash Flow'!AI9*(1-federal_tax_rate/100)),"")</f>
        <v/>
      </c>
      <c r="AJ100" s="165" t="str">
        <f>IF(ISNUMBER(outYear),IF(FederalDepreciation="N/A",'Cash Flow'!AJ9,'Cash Flow'!AJ9*(1-federal_tax_rate/100)),"")</f>
        <v/>
      </c>
      <c r="AK100" s="165" t="str">
        <f>IF(ISNUMBER(outYear),IF(FederalDepreciation="N/A",'Cash Flow'!AK9,'Cash Flow'!AK9*(1-federal_tax_rate/100)),"")</f>
        <v/>
      </c>
      <c r="AL100" s="165" t="str">
        <f>IF(ISNUMBER(outYear),IF(FederalDepreciation="N/A",'Cash Flow'!AL9,'Cash Flow'!AL9*(1-federal_tax_rate/100)),"")</f>
        <v/>
      </c>
      <c r="AM100" s="165" t="str">
        <f>IF(ISNUMBER(outYear),IF(FederalDepreciation="N/A",'Cash Flow'!AM9,'Cash Flow'!AM9*(1-federal_tax_rate/100)),"")</f>
        <v/>
      </c>
      <c r="AN100" s="165" t="str">
        <f>IF(ISNUMBER(outYear),IF(FederalDepreciation="N/A",'Cash Flow'!AN9,'Cash Flow'!AN9*(1-federal_tax_rate/100)),"")</f>
        <v/>
      </c>
      <c r="AO100" s="165" t="str">
        <f>IF(ISNUMBER(outYear),IF(FederalDepreciation="N/A",'Cash Flow'!AO9,'Cash Flow'!AO9*(1-federal_tax_rate/100)),"")</f>
        <v/>
      </c>
      <c r="AP100" s="165" t="str">
        <f>IF(ISNUMBER(outYear),IF(FederalDepreciation="N/A",'Cash Flow'!AP9,'Cash Flow'!AP9*(1-federal_tax_rate/100)),"")</f>
        <v/>
      </c>
      <c r="AQ100" s="165" t="str">
        <f>IF(ISNUMBER(outYear),IF(FederalDepreciation="N/A",'Cash Flow'!AQ9,'Cash Flow'!AQ9*(1-federal_tax_rate/100)),"")</f>
        <v/>
      </c>
      <c r="AR100" s="165" t="str">
        <f>IF(ISNUMBER(outYear),IF(FederalDepreciation="N/A",'Cash Flow'!AR9,'Cash Flow'!AR9*(1-federal_tax_rate/100)),"")</f>
        <v/>
      </c>
      <c r="AS100" s="165" t="str">
        <f>IF(ISNUMBER(outYear),IF(FederalDepreciation="N/A",'Cash Flow'!AS9,'Cash Flow'!AS9*(1-federal_tax_rate/100)),"")</f>
        <v/>
      </c>
      <c r="AT100" s="165" t="str">
        <f>IF(ISNUMBER(outYear),IF(FederalDepreciation="N/A",'Cash Flow'!AT9,'Cash Flow'!AT9*(1-federal_tax_rate/100)),"")</f>
        <v/>
      </c>
      <c r="AU100" s="165" t="str">
        <f>IF(ISNUMBER(outYear),IF(FederalDepreciation="N/A",'Cash Flow'!AU9,'Cash Flow'!AU9*(1-federal_tax_rate/100)),"")</f>
        <v/>
      </c>
      <c r="AV100" s="165" t="str">
        <f>IF(ISNUMBER(outYear),IF(FederalDepreciation="N/A",'Cash Flow'!AV9,'Cash Flow'!AV9*(1-federal_tax_rate/100)),"")</f>
        <v/>
      </c>
      <c r="AW100" s="165" t="str">
        <f>IF(ISNUMBER(outYear),IF(FederalDepreciation="N/A",'Cash Flow'!AW9,'Cash Flow'!AW9*(1-federal_tax_rate/100)),"")</f>
        <v/>
      </c>
      <c r="AX100" s="165" t="str">
        <f>IF(ISNUMBER(outYear),IF(FederalDepreciation="N/A",'Cash Flow'!AX9,'Cash Flow'!AX9*(1-federal_tax_rate/100)),"")</f>
        <v/>
      </c>
      <c r="AY100" s="165" t="str">
        <f>IF(ISNUMBER(outYear),IF(FederalDepreciation="N/A",'Cash Flow'!AY9,'Cash Flow'!AY9*(1-federal_tax_rate/100)),"")</f>
        <v/>
      </c>
      <c r="AZ100" s="165" t="str">
        <f>IF(ISNUMBER(outYear),IF(FederalDepreciation="N/A",'Cash Flow'!AZ9,'Cash Flow'!AZ9*(1-federal_tax_rate/100)),"")</f>
        <v/>
      </c>
      <c r="BA100" s="165" t="str">
        <f>IF(ISNUMBER(outYear),IF(FederalDepreciation="N/A",'Cash Flow'!BA9,'Cash Flow'!BA9*(1-federal_tax_rate/100)),"")</f>
        <v/>
      </c>
      <c r="BB100" s="165" t="str">
        <f>IF(ISNUMBER(outYear),IF(FederalDepreciation="N/A",'Cash Flow'!BB9,'Cash Flow'!BB9*(1-federal_tax_rate/100)),"")</f>
        <v/>
      </c>
      <c r="BC100" s="165" t="str">
        <f>IF(ISNUMBER(outYear),IF(FederalDepreciation="N/A",'Cash Flow'!BC9,'Cash Flow'!BC9*(1-federal_tax_rate/100)),"")</f>
        <v/>
      </c>
      <c r="BD100" s="165" t="str">
        <f>IF(ISNUMBER(outYear),IF(FederalDepreciation="N/A",'Cash Flow'!BD9,'Cash Flow'!BD9*(1-federal_tax_rate/100)),"")</f>
        <v/>
      </c>
      <c r="BE100" s="165" t="str">
        <f>IF(ISNUMBER(outYear),IF(FederalDepreciation="N/A",'Cash Flow'!BE9,'Cash Flow'!BE9*(1-federal_tax_rate/100)),"")</f>
        <v/>
      </c>
      <c r="BF100" s="165" t="str">
        <f>IF(ISNUMBER(outYear),IF(FederalDepreciation="N/A",'Cash Flow'!BF9,'Cash Flow'!BF9*(1-federal_tax_rate/100)),"")</f>
        <v/>
      </c>
      <c r="BG100" s="165" t="str">
        <f>IF(ISNUMBER(outYear),IF(FederalDepreciation="N/A",'Cash Flow'!BG9,'Cash Flow'!BG9*(1-federal_tax_rate/100)),"")</f>
        <v/>
      </c>
      <c r="BH100" s="165" t="str">
        <f>IF(ISNUMBER(outYear),IF(FederalDepreciation="N/A",'Cash Flow'!BH9,'Cash Flow'!BH9*(1-federal_tax_rate/100)),"")</f>
        <v/>
      </c>
      <c r="BI100" s="165" t="str">
        <f>IF(ISNUMBER(outYear),IF(FederalDepreciation="N/A",'Cash Flow'!BI9,'Cash Flow'!BI9*(1-federal_tax_rate/100)),"")</f>
        <v/>
      </c>
      <c r="BJ100" s="165" t="str">
        <f>IF(ISNUMBER(outYear),IF(FederalDepreciation="N/A",'Cash Flow'!BJ9,'Cash Flow'!BJ9*(1-federal_tax_rate/100)),"")</f>
        <v/>
      </c>
      <c r="BK100" s="165" t="str">
        <f>IF(ISNUMBER(outYear),IF(FederalDepreciation="N/A",'Cash Flow'!BK9,'Cash Flow'!BK9*(1-federal_tax_rate/100)),"")</f>
        <v/>
      </c>
      <c r="BL100" s="165" t="str">
        <f>IF(ISNUMBER(outYear),IF(FederalDepreciation="N/A",'Cash Flow'!BL9,'Cash Flow'!BL9*(1-federal_tax_rate/100)),"")</f>
        <v/>
      </c>
      <c r="BM100" s="165" t="str">
        <f>IF(ISNUMBER(outYear),IF(FederalDepreciation="N/A",'Cash Flow'!BM9,'Cash Flow'!BM9*(1-federal_tax_rate/100)),"")</f>
        <v/>
      </c>
      <c r="BN100" s="165" t="str">
        <f>IF(ISNUMBER(outYear),IF(FederalDepreciation="N/A",'Cash Flow'!BN9,'Cash Flow'!BN9*(1-federal_tax_rate/100)),"")</f>
        <v/>
      </c>
      <c r="BO100" s="165" t="str">
        <f>IF(ISNUMBER(outYear),IF(FederalDepreciation="N/A",'Cash Flow'!BO9,'Cash Flow'!BO9*(1-federal_tax_rate/100)),"")</f>
        <v/>
      </c>
      <c r="BP100" s="165" t="str">
        <f>IF(ISNUMBER(outYear),IF(FederalDepreciation="N/A",'Cash Flow'!BP9,'Cash Flow'!BP9*(1-federal_tax_rate/100)),"")</f>
        <v/>
      </c>
      <c r="BQ100" s="165" t="str">
        <f>IF(ISNUMBER(outYear),IF(FederalDepreciation="N/A",'Cash Flow'!BQ9,'Cash Flow'!BQ9*(1-federal_tax_rate/100)),"")</f>
        <v/>
      </c>
      <c r="BR100" s="165" t="str">
        <f>IF(ISNUMBER(outYear),IF(FederalDepreciation="N/A",'Cash Flow'!BR9,'Cash Flow'!BR9*(1-federal_tax_rate/100)),"")</f>
        <v/>
      </c>
      <c r="BS100" s="165" t="str">
        <f>IF(ISNUMBER(outYear),IF(FederalDepreciation="N/A",'Cash Flow'!BS9,'Cash Flow'!BS9*(1-federal_tax_rate/100)),"")</f>
        <v/>
      </c>
      <c r="BT100" s="165" t="str">
        <f>IF(ISNUMBER(outYear),IF(FederalDepreciation="N/A",'Cash Flow'!BT9,'Cash Flow'!BT9*(1-federal_tax_rate/100)),"")</f>
        <v/>
      </c>
      <c r="BU100" s="165" t="str">
        <f>IF(ISNUMBER(outYear),IF(FederalDepreciation="N/A",'Cash Flow'!BU9,'Cash Flow'!BU9*(1-federal_tax_rate/100)),"")</f>
        <v/>
      </c>
      <c r="BV100" s="165" t="str">
        <f>IF(ISNUMBER(outYear),IF(FederalDepreciation="N/A",'Cash Flow'!BV9,'Cash Flow'!BV9*(1-federal_tax_rate/100)),"")</f>
        <v/>
      </c>
      <c r="BW100" s="165" t="str">
        <f>IF(ISNUMBER(outYear),IF(FederalDepreciation="N/A",'Cash Flow'!BW9,'Cash Flow'!BW9*(1-federal_tax_rate/100)),"")</f>
        <v/>
      </c>
      <c r="BX100" s="165" t="str">
        <f>IF(ISNUMBER(outYear),IF(FederalDepreciation="N/A",'Cash Flow'!BX9,'Cash Flow'!BX9*(1-federal_tax_rate/100)),"")</f>
        <v/>
      </c>
      <c r="BY100" s="165" t="str">
        <f>IF(ISNUMBER(outYear),IF(FederalDepreciation="N/A",'Cash Flow'!BY9,'Cash Flow'!BY9*(1-federal_tax_rate/100)),"")</f>
        <v/>
      </c>
      <c r="BZ100" s="165" t="str">
        <f>IF(ISNUMBER(outYear),IF(FederalDepreciation="N/A",'Cash Flow'!BZ9,'Cash Flow'!BZ9*(1-federal_tax_rate/100)),"")</f>
        <v/>
      </c>
      <c r="CA100" s="165" t="str">
        <f>IF(ISNUMBER(outYear),IF(FederalDepreciation="N/A",'Cash Flow'!CA9,'Cash Flow'!CA9*(1-federal_tax_rate/100)),"")</f>
        <v/>
      </c>
      <c r="CB100" s="165" t="str">
        <f>IF(ISNUMBER(outYear),IF(FederalDepreciation="N/A",'Cash Flow'!CB9,'Cash Flow'!CB9*(1-federal_tax_rate/100)),"")</f>
        <v/>
      </c>
      <c r="CC100" s="165" t="str">
        <f>IF(ISNUMBER(outYear),IF(FederalDepreciation="N/A",'Cash Flow'!CC9,'Cash Flow'!CC9*(1-federal_tax_rate/100)),"")</f>
        <v/>
      </c>
      <c r="CD100" s="165" t="str">
        <f>IF(ISNUMBER(outYear),IF(FederalDepreciation="N/A",'Cash Flow'!CD9,'Cash Flow'!CD9*(1-federal_tax_rate/100)),"")</f>
        <v/>
      </c>
      <c r="CE100" s="165" t="str">
        <f>IF(ISNUMBER(outYear),IF(FederalDepreciation="N/A",'Cash Flow'!CE9,'Cash Flow'!CE9*(1-federal_tax_rate/100)),"")</f>
        <v/>
      </c>
      <c r="CF100" s="165" t="str">
        <f>IF(ISNUMBER(outYear),IF(FederalDepreciation="N/A",'Cash Flow'!CF9,'Cash Flow'!CF9*(1-federal_tax_rate/100)),"")</f>
        <v/>
      </c>
      <c r="CG100" s="165" t="str">
        <f>IF(ISNUMBER(outYear),IF(FederalDepreciation="N/A",'Cash Flow'!CG9,'Cash Flow'!CG9*(1-federal_tax_rate/100)),"")</f>
        <v/>
      </c>
      <c r="CH100" s="165" t="str">
        <f>IF(ISNUMBER(outYear),IF(FederalDepreciation="N/A",'Cash Flow'!CH9,'Cash Flow'!CH9*(1-federal_tax_rate/100)),"")</f>
        <v/>
      </c>
      <c r="CI100" s="165" t="str">
        <f>IF(ISNUMBER(outYear),IF(FederalDepreciation="N/A",'Cash Flow'!CI9,'Cash Flow'!CI9*(1-federal_tax_rate/100)),"")</f>
        <v/>
      </c>
      <c r="CJ100" s="165" t="str">
        <f>IF(ISNUMBER(outYear),IF(FederalDepreciation="N/A",'Cash Flow'!CJ9,'Cash Flow'!CJ9*(1-federal_tax_rate/100)),"")</f>
        <v/>
      </c>
      <c r="CK100" s="165" t="str">
        <f>IF(ISNUMBER(outYear),IF(FederalDepreciation="N/A",'Cash Flow'!CK9,'Cash Flow'!CK9*(1-federal_tax_rate/100)),"")</f>
        <v/>
      </c>
      <c r="CL100" s="165" t="str">
        <f>IF(ISNUMBER(outYear),IF(FederalDepreciation="N/A",'Cash Flow'!CL9,'Cash Flow'!CL9*(1-federal_tax_rate/100)),"")</f>
        <v/>
      </c>
      <c r="CM100" s="165" t="str">
        <f>IF(ISNUMBER(outYear),IF(FederalDepreciation="N/A",'Cash Flow'!CM9,'Cash Flow'!CM9*(1-federal_tax_rate/100)),"")</f>
        <v/>
      </c>
      <c r="CN100" s="165" t="str">
        <f>IF(ISNUMBER(outYear),IF(FederalDepreciation="N/A",'Cash Flow'!CN9,'Cash Flow'!CN9*(1-federal_tax_rate/100)),"")</f>
        <v/>
      </c>
      <c r="CO100" s="165" t="str">
        <f>IF(ISNUMBER(outYear),IF(FederalDepreciation="N/A",'Cash Flow'!CO9,'Cash Flow'!CO9*(1-federal_tax_rate/100)),"")</f>
        <v/>
      </c>
      <c r="CP100" s="165" t="str">
        <f>IF(ISNUMBER(outYear),IF(FederalDepreciation="N/A",'Cash Flow'!CP9,'Cash Flow'!CP9*(1-federal_tax_rate/100)),"")</f>
        <v/>
      </c>
      <c r="CQ100" s="165" t="str">
        <f>IF(ISNUMBER(outYear),IF(FederalDepreciation="N/A",'Cash Flow'!CQ9,'Cash Flow'!CQ9*(1-federal_tax_rate/100)),"")</f>
        <v/>
      </c>
      <c r="CR100" s="165" t="str">
        <f>IF(ISNUMBER(outYear),IF(FederalDepreciation="N/A",'Cash Flow'!CR9,'Cash Flow'!CR9*(1-federal_tax_rate/100)),"")</f>
        <v/>
      </c>
      <c r="CS100" s="165" t="str">
        <f>IF(ISNUMBER(outYear),IF(FederalDepreciation="N/A",'Cash Flow'!CS9,'Cash Flow'!CS9*(1-federal_tax_rate/100)),"")</f>
        <v/>
      </c>
      <c r="CT100" s="165" t="str">
        <f>IF(ISNUMBER(outYear),IF(FederalDepreciation="N/A",'Cash Flow'!CT9,'Cash Flow'!CT9*(1-federal_tax_rate/100)),"")</f>
        <v/>
      </c>
      <c r="CU100" s="165" t="str">
        <f>IF(ISNUMBER(outYear),IF(FederalDepreciation="N/A",'Cash Flow'!CU9,'Cash Flow'!CU9*(1-federal_tax_rate/100)),"")</f>
        <v/>
      </c>
      <c r="CV100" s="165" t="str">
        <f>IF(ISNUMBER(outYear),IF(FederalDepreciation="N/A",'Cash Flow'!CV9,'Cash Flow'!CV9*(1-federal_tax_rate/100)),"")</f>
        <v/>
      </c>
      <c r="CW100" s="165" t="str">
        <f>IF(ISNUMBER(outYear),IF(FederalDepreciation="N/A",'Cash Flow'!CW9,'Cash Flow'!CW9*(1-federal_tax_rate/100)),"")</f>
        <v/>
      </c>
      <c r="CX100" s="165" t="str">
        <f>IF(ISNUMBER(outYear),IF(FederalDepreciation="N/A",'Cash Flow'!CX9,'Cash Flow'!CX9*(1-federal_tax_rate/100)),"")</f>
        <v/>
      </c>
    </row>
    <row r="101" spans="1:102" s="133" customFormat="1" x14ac:dyDescent="0.2">
      <c r="A101" s="166" t="s">
        <v>141</v>
      </c>
      <c r="B101" s="167">
        <f>IF(ISNUMBER(outYear),+B99+B9,"")</f>
        <v>-532718</v>
      </c>
      <c r="C101" s="167">
        <f t="shared" ref="C101:AH101" si="48">IF(ISNUMBER(outYear),+C99+C100,"")</f>
        <v>296956.56408187503</v>
      </c>
      <c r="D101" s="167">
        <f t="shared" si="48"/>
        <v>59975.333815210048</v>
      </c>
      <c r="E101" s="167">
        <f t="shared" si="48"/>
        <v>50014.665211555504</v>
      </c>
      <c r="F101" s="167">
        <f t="shared" si="48"/>
        <v>44452.021439611504</v>
      </c>
      <c r="G101" s="167">
        <f t="shared" si="48"/>
        <v>45473.013437302005</v>
      </c>
      <c r="H101" s="167">
        <f t="shared" si="48"/>
        <v>41608.492404139368</v>
      </c>
      <c r="I101" s="167">
        <f t="shared" si="48"/>
        <v>37775.077286509004</v>
      </c>
      <c r="J101" s="167">
        <f t="shared" si="48"/>
        <v>38889.413693323942</v>
      </c>
      <c r="K101" s="167">
        <f t="shared" si="48"/>
        <v>40036.729577118444</v>
      </c>
      <c r="L101" s="167">
        <f t="shared" si="48"/>
        <v>-6031.9962771312348</v>
      </c>
      <c r="M101" s="167">
        <f t="shared" si="48"/>
        <v>42434.244034051837</v>
      </c>
      <c r="N101" s="167">
        <f t="shared" si="48"/>
        <v>43686.488400670976</v>
      </c>
      <c r="O101" s="167">
        <f t="shared" si="48"/>
        <v>44975.805593202313</v>
      </c>
      <c r="P101" s="167">
        <f t="shared" si="48"/>
        <v>46303.296183237762</v>
      </c>
      <c r="Q101" s="167">
        <f t="shared" si="48"/>
        <v>47670.093491619518</v>
      </c>
      <c r="R101" s="167">
        <f t="shared" si="48"/>
        <v>49077.364564894437</v>
      </c>
      <c r="S101" s="167">
        <f t="shared" si="48"/>
        <v>50526.311180927463</v>
      </c>
      <c r="T101" s="167">
        <f t="shared" si="48"/>
        <v>52018.170884554216</v>
      </c>
      <c r="U101" s="167">
        <f t="shared" si="48"/>
        <v>53554.218054163997</v>
      </c>
      <c r="V101" s="167">
        <f t="shared" si="48"/>
        <v>55135.765000144165</v>
      </c>
      <c r="W101" s="167">
        <f t="shared" si="48"/>
        <v>56764.163096134806</v>
      </c>
      <c r="X101" s="167">
        <f t="shared" si="48"/>
        <v>58440.803944078034</v>
      </c>
      <c r="Y101" s="167">
        <f t="shared" si="48"/>
        <v>60167.120574070505</v>
      </c>
      <c r="Z101" s="167">
        <f t="shared" si="48"/>
        <v>61944.588680062909</v>
      </c>
      <c r="AA101" s="167">
        <f t="shared" si="48"/>
        <v>63774.727892475152</v>
      </c>
      <c r="AB101" s="167" t="str">
        <f t="shared" si="48"/>
        <v/>
      </c>
      <c r="AC101" s="167" t="str">
        <f t="shared" si="48"/>
        <v/>
      </c>
      <c r="AD101" s="167" t="str">
        <f t="shared" si="48"/>
        <v/>
      </c>
      <c r="AE101" s="167" t="str">
        <f t="shared" si="48"/>
        <v/>
      </c>
      <c r="AF101" s="167" t="str">
        <f t="shared" si="48"/>
        <v/>
      </c>
      <c r="AG101" s="167" t="str">
        <f t="shared" si="48"/>
        <v/>
      </c>
      <c r="AH101" s="167" t="str">
        <f t="shared" si="48"/>
        <v/>
      </c>
      <c r="AI101" s="167" t="str">
        <f t="shared" ref="AI101:BN101" si="49">IF(ISNUMBER(outYear),+AI99+AI100,"")</f>
        <v/>
      </c>
      <c r="AJ101" s="167" t="str">
        <f t="shared" si="49"/>
        <v/>
      </c>
      <c r="AK101" s="167" t="str">
        <f t="shared" si="49"/>
        <v/>
      </c>
      <c r="AL101" s="167" t="str">
        <f t="shared" si="49"/>
        <v/>
      </c>
      <c r="AM101" s="167" t="str">
        <f t="shared" si="49"/>
        <v/>
      </c>
      <c r="AN101" s="167" t="str">
        <f t="shared" si="49"/>
        <v/>
      </c>
      <c r="AO101" s="167" t="str">
        <f t="shared" si="49"/>
        <v/>
      </c>
      <c r="AP101" s="167" t="str">
        <f t="shared" si="49"/>
        <v/>
      </c>
      <c r="AQ101" s="167" t="str">
        <f t="shared" si="49"/>
        <v/>
      </c>
      <c r="AR101" s="167" t="str">
        <f t="shared" si="49"/>
        <v/>
      </c>
      <c r="AS101" s="167" t="str">
        <f t="shared" si="49"/>
        <v/>
      </c>
      <c r="AT101" s="167" t="str">
        <f t="shared" si="49"/>
        <v/>
      </c>
      <c r="AU101" s="167" t="str">
        <f t="shared" si="49"/>
        <v/>
      </c>
      <c r="AV101" s="167" t="str">
        <f t="shared" si="49"/>
        <v/>
      </c>
      <c r="AW101" s="167" t="str">
        <f t="shared" si="49"/>
        <v/>
      </c>
      <c r="AX101" s="167" t="str">
        <f t="shared" si="49"/>
        <v/>
      </c>
      <c r="AY101" s="167" t="str">
        <f t="shared" si="49"/>
        <v/>
      </c>
      <c r="AZ101" s="167" t="str">
        <f t="shared" si="49"/>
        <v/>
      </c>
      <c r="BA101" s="167" t="str">
        <f t="shared" si="49"/>
        <v/>
      </c>
      <c r="BB101" s="167" t="str">
        <f t="shared" si="49"/>
        <v/>
      </c>
      <c r="BC101" s="167" t="str">
        <f t="shared" si="49"/>
        <v/>
      </c>
      <c r="BD101" s="167" t="str">
        <f t="shared" si="49"/>
        <v/>
      </c>
      <c r="BE101" s="167" t="str">
        <f t="shared" si="49"/>
        <v/>
      </c>
      <c r="BF101" s="167" t="str">
        <f t="shared" si="49"/>
        <v/>
      </c>
      <c r="BG101" s="167" t="str">
        <f t="shared" si="49"/>
        <v/>
      </c>
      <c r="BH101" s="167" t="str">
        <f t="shared" si="49"/>
        <v/>
      </c>
      <c r="BI101" s="167" t="str">
        <f t="shared" si="49"/>
        <v/>
      </c>
      <c r="BJ101" s="167" t="str">
        <f t="shared" si="49"/>
        <v/>
      </c>
      <c r="BK101" s="167" t="str">
        <f t="shared" si="49"/>
        <v/>
      </c>
      <c r="BL101" s="167" t="str">
        <f t="shared" si="49"/>
        <v/>
      </c>
      <c r="BM101" s="167" t="str">
        <f t="shared" si="49"/>
        <v/>
      </c>
      <c r="BN101" s="167" t="str">
        <f t="shared" si="49"/>
        <v/>
      </c>
      <c r="BO101" s="167" t="str">
        <f t="shared" ref="BO101:CT101" si="50">IF(ISNUMBER(outYear),+BO99+BO100,"")</f>
        <v/>
      </c>
      <c r="BP101" s="167" t="str">
        <f t="shared" si="50"/>
        <v/>
      </c>
      <c r="BQ101" s="167" t="str">
        <f t="shared" si="50"/>
        <v/>
      </c>
      <c r="BR101" s="167" t="str">
        <f t="shared" si="50"/>
        <v/>
      </c>
      <c r="BS101" s="167" t="str">
        <f t="shared" si="50"/>
        <v/>
      </c>
      <c r="BT101" s="167" t="str">
        <f t="shared" si="50"/>
        <v/>
      </c>
      <c r="BU101" s="167" t="str">
        <f t="shared" si="50"/>
        <v/>
      </c>
      <c r="BV101" s="167" t="str">
        <f t="shared" si="50"/>
        <v/>
      </c>
      <c r="BW101" s="167" t="str">
        <f t="shared" si="50"/>
        <v/>
      </c>
      <c r="BX101" s="167" t="str">
        <f t="shared" si="50"/>
        <v/>
      </c>
      <c r="BY101" s="167" t="str">
        <f t="shared" si="50"/>
        <v/>
      </c>
      <c r="BZ101" s="167" t="str">
        <f t="shared" si="50"/>
        <v/>
      </c>
      <c r="CA101" s="167" t="str">
        <f t="shared" si="50"/>
        <v/>
      </c>
      <c r="CB101" s="167" t="str">
        <f t="shared" si="50"/>
        <v/>
      </c>
      <c r="CC101" s="167" t="str">
        <f t="shared" si="50"/>
        <v/>
      </c>
      <c r="CD101" s="167" t="str">
        <f t="shared" si="50"/>
        <v/>
      </c>
      <c r="CE101" s="167" t="str">
        <f t="shared" si="50"/>
        <v/>
      </c>
      <c r="CF101" s="167" t="str">
        <f t="shared" si="50"/>
        <v/>
      </c>
      <c r="CG101" s="167" t="str">
        <f t="shared" si="50"/>
        <v/>
      </c>
      <c r="CH101" s="167" t="str">
        <f t="shared" si="50"/>
        <v/>
      </c>
      <c r="CI101" s="167" t="str">
        <f t="shared" si="50"/>
        <v/>
      </c>
      <c r="CJ101" s="167" t="str">
        <f t="shared" si="50"/>
        <v/>
      </c>
      <c r="CK101" s="167" t="str">
        <f t="shared" si="50"/>
        <v/>
      </c>
      <c r="CL101" s="167" t="str">
        <f t="shared" si="50"/>
        <v/>
      </c>
      <c r="CM101" s="167" t="str">
        <f t="shared" si="50"/>
        <v/>
      </c>
      <c r="CN101" s="167" t="str">
        <f t="shared" si="50"/>
        <v/>
      </c>
      <c r="CO101" s="167" t="str">
        <f t="shared" si="50"/>
        <v/>
      </c>
      <c r="CP101" s="167" t="str">
        <f t="shared" si="50"/>
        <v/>
      </c>
      <c r="CQ101" s="167" t="str">
        <f t="shared" si="50"/>
        <v/>
      </c>
      <c r="CR101" s="167" t="str">
        <f t="shared" si="50"/>
        <v/>
      </c>
      <c r="CS101" s="167" t="str">
        <f t="shared" si="50"/>
        <v/>
      </c>
      <c r="CT101" s="167" t="str">
        <f t="shared" si="50"/>
        <v/>
      </c>
      <c r="CU101" s="167" t="str">
        <f t="shared" ref="CU101:CX101" si="51">IF(ISNUMBER(outYear),+CU99+CU100,"")</f>
        <v/>
      </c>
      <c r="CV101" s="167" t="str">
        <f t="shared" si="51"/>
        <v/>
      </c>
      <c r="CW101" s="167" t="str">
        <f t="shared" si="51"/>
        <v/>
      </c>
      <c r="CX101" s="167" t="str">
        <f t="shared" si="51"/>
        <v/>
      </c>
    </row>
    <row r="102" spans="1:102" x14ac:dyDescent="0.2">
      <c r="B102" s="168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</row>
    <row r="103" spans="1:102" x14ac:dyDescent="0.2">
      <c r="A103" s="129" t="s">
        <v>142</v>
      </c>
      <c r="B103" s="160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  <c r="BS103" s="161"/>
      <c r="BT103" s="161"/>
      <c r="BU103" s="161"/>
      <c r="BV103" s="161"/>
      <c r="BW103" s="161"/>
      <c r="BX103" s="161"/>
      <c r="BY103" s="161"/>
      <c r="BZ103" s="161"/>
      <c r="CA103" s="161"/>
      <c r="CB103" s="161"/>
      <c r="CC103" s="161"/>
      <c r="CD103" s="161"/>
      <c r="CE103" s="161"/>
      <c r="CF103" s="161"/>
      <c r="CG103" s="161"/>
      <c r="CH103" s="161"/>
      <c r="CI103" s="161"/>
      <c r="CJ103" s="161"/>
      <c r="CK103" s="161"/>
      <c r="CL103" s="161"/>
      <c r="CM103" s="161"/>
      <c r="CN103" s="161"/>
      <c r="CO103" s="161"/>
      <c r="CP103" s="161"/>
      <c r="CQ103" s="161"/>
      <c r="CR103" s="161"/>
      <c r="CS103" s="161"/>
      <c r="CT103" s="161"/>
      <c r="CU103" s="161"/>
      <c r="CV103" s="161"/>
      <c r="CW103" s="161"/>
      <c r="CX103" s="142"/>
    </row>
    <row r="104" spans="1:102" x14ac:dyDescent="0.2">
      <c r="A104" t="s">
        <v>143</v>
      </c>
      <c r="B104" s="169">
        <f>IF(ISNUMBER(outYear),-'Inputs and Outputs'!B102,"")</f>
        <v>0</v>
      </c>
      <c r="C104" s="169">
        <f>IF(ISNUMBER(outYear),-'Inputs and Outputs'!C102*(1-federal_tax_rate/100),"")</f>
        <v>-536075.91686250002</v>
      </c>
      <c r="D104" s="169">
        <f>IF(ISNUMBER(outYear),-'Inputs and Outputs'!D102*(1-federal_tax_rate/100),"")</f>
        <v>-552225.20385798276</v>
      </c>
      <c r="E104" s="169">
        <f>IF(ISNUMBER(outYear),-'Inputs and Outputs'!E102*(1-federal_tax_rate/100),"")</f>
        <v>-568860.98812420445</v>
      </c>
      <c r="F104" s="169">
        <f>IF(ISNUMBER(outYear),-'Inputs and Outputs'!F102*(1-federal_tax_rate/100),"")</f>
        <v>-585997.9253914461</v>
      </c>
      <c r="G104" s="169">
        <f>IF(ISNUMBER(outYear),-'Inputs and Outputs'!G102*(1-federal_tax_rate/100),"")</f>
        <v>-603651.11289386358</v>
      </c>
      <c r="H104" s="169">
        <f>IF(ISNUMBER(outYear),-'Inputs and Outputs'!H102*(1-federal_tax_rate/100),"")</f>
        <v>-621836.10266979109</v>
      </c>
      <c r="I104" s="169">
        <f>IF(ISNUMBER(outYear),-'Inputs and Outputs'!I102*(1-federal_tax_rate/100),"")</f>
        <v>-640568.91526271845</v>
      </c>
      <c r="J104" s="169">
        <f>IF(ISNUMBER(outYear),-'Inputs and Outputs'!J102*(1-federal_tax_rate/100),"")</f>
        <v>-659866.05383500794</v>
      </c>
      <c r="K104" s="169">
        <f>IF(ISNUMBER(outYear),-'Inputs and Outputs'!K102*(1-federal_tax_rate/100),"")</f>
        <v>-679744.51870678761</v>
      </c>
      <c r="L104" s="169">
        <f>IF(ISNUMBER(outYear),-'Inputs and Outputs'!L102*(1-federal_tax_rate/100),"")</f>
        <v>-700221.82233282947</v>
      </c>
      <c r="M104" s="169">
        <f>IF(ISNUMBER(outYear),-'Inputs and Outputs'!M102*(1-federal_tax_rate/100),"")</f>
        <v>-721316.00473060599</v>
      </c>
      <c r="N104" s="169">
        <f>IF(ISNUMBER(outYear),-'Inputs and Outputs'!N102*(1-federal_tax_rate/100),"")</f>
        <v>-743045.64937311539</v>
      </c>
      <c r="O104" s="169">
        <f>IF(ISNUMBER(outYear),-'Inputs and Outputs'!O102*(1-federal_tax_rate/100),"")</f>
        <v>-765429.89956048061</v>
      </c>
      <c r="P104" s="169">
        <f>IF(ISNUMBER(outYear),-'Inputs and Outputs'!P102*(1-federal_tax_rate/100),"")</f>
        <v>-788488.47528473998</v>
      </c>
      <c r="Q104" s="169">
        <f>IF(ISNUMBER(outYear),-'Inputs and Outputs'!Q102*(1-federal_tax_rate/100),"")</f>
        <v>-812241.69060269266</v>
      </c>
      <c r="R104" s="169">
        <f>IF(ISNUMBER(outYear),-'Inputs and Outputs'!R102*(1-federal_tax_rate/100),"")</f>
        <v>-836710.47153209895</v>
      </c>
      <c r="S104" s="169">
        <f>IF(ISNUMBER(outYear),-'Inputs and Outputs'!S102*(1-federal_tax_rate/100),"")</f>
        <v>-861916.37448700331</v>
      </c>
      <c r="T104" s="169">
        <f>IF(ISNUMBER(outYear),-'Inputs and Outputs'!T102*(1-federal_tax_rate/100),"")</f>
        <v>-887881.60526842438</v>
      </c>
      <c r="U104" s="169">
        <f>IF(ISNUMBER(outYear),-'Inputs and Outputs'!U102*(1-federal_tax_rate/100),"")</f>
        <v>-914629.03862713557</v>
      </c>
      <c r="V104" s="169">
        <f>IF(ISNUMBER(outYear),-'Inputs and Outputs'!V102*(1-federal_tax_rate/100),"")</f>
        <v>-942182.23841577815</v>
      </c>
      <c r="W104" s="169">
        <f>IF(ISNUMBER(outYear),-'Inputs and Outputs'!W102*(1-federal_tax_rate/100),"")</f>
        <v>-970565.47834805341</v>
      </c>
      <c r="X104" s="169">
        <f>IF(ISNUMBER(outYear),-'Inputs and Outputs'!X102*(1-federal_tax_rate/100),"")</f>
        <v>-999803.76338328852</v>
      </c>
      <c r="Y104" s="169">
        <f>IF(ISNUMBER(outYear),-'Inputs and Outputs'!Y102*(1-federal_tax_rate/100),"")</f>
        <v>-1029922.8517552098</v>
      </c>
      <c r="Z104" s="169">
        <f>IF(ISNUMBER(outYear),-'Inputs and Outputs'!Z102*(1-federal_tax_rate/100),"")</f>
        <v>-1060949.2776643357</v>
      </c>
      <c r="AA104" s="169">
        <f>IF(ISNUMBER(outYear),-'Inputs and Outputs'!AA102*(1-federal_tax_rate/100),"")</f>
        <v>-1092910.3746539741</v>
      </c>
      <c r="AB104" s="169" t="str">
        <f>IF(ISNUMBER(outYear),-'Inputs and Outputs'!AB102*(1-federal_tax_rate/100),"")</f>
        <v/>
      </c>
      <c r="AC104" s="169" t="str">
        <f>IF(ISNUMBER(outYear),-'Inputs and Outputs'!AC102*(1-federal_tax_rate/100),"")</f>
        <v/>
      </c>
      <c r="AD104" s="169" t="str">
        <f>IF(ISNUMBER(outYear),-'Inputs and Outputs'!AD102*(1-federal_tax_rate/100),"")</f>
        <v/>
      </c>
      <c r="AE104" s="169" t="str">
        <f>IF(ISNUMBER(outYear),-'Inputs and Outputs'!AE102*(1-federal_tax_rate/100),"")</f>
        <v/>
      </c>
      <c r="AF104" s="169" t="str">
        <f>IF(ISNUMBER(outYear),-'Inputs and Outputs'!AF102*(1-federal_tax_rate/100),"")</f>
        <v/>
      </c>
      <c r="AG104" s="169" t="str">
        <f>IF(ISNUMBER(outYear),-'Inputs and Outputs'!AG102*(1-federal_tax_rate/100),"")</f>
        <v/>
      </c>
      <c r="AH104" s="169" t="str">
        <f>IF(ISNUMBER(outYear),-'Inputs and Outputs'!AH102*(1-federal_tax_rate/100),"")</f>
        <v/>
      </c>
      <c r="AI104" s="169" t="str">
        <f>IF(ISNUMBER(outYear),-'Inputs and Outputs'!AI102*(1-federal_tax_rate/100),"")</f>
        <v/>
      </c>
      <c r="AJ104" s="169" t="str">
        <f>IF(ISNUMBER(outYear),-'Inputs and Outputs'!AJ102*(1-federal_tax_rate/100),"")</f>
        <v/>
      </c>
      <c r="AK104" s="169" t="str">
        <f>IF(ISNUMBER(outYear),-'Inputs and Outputs'!AK102*(1-federal_tax_rate/100),"")</f>
        <v/>
      </c>
      <c r="AL104" s="169" t="str">
        <f>IF(ISNUMBER(outYear),-'Inputs and Outputs'!AL102*(1-federal_tax_rate/100),"")</f>
        <v/>
      </c>
      <c r="AM104" s="169" t="str">
        <f>IF(ISNUMBER(outYear),-'Inputs and Outputs'!AM102*(1-federal_tax_rate/100),"")</f>
        <v/>
      </c>
      <c r="AN104" s="169" t="str">
        <f>IF(ISNUMBER(outYear),-'Inputs and Outputs'!AN102*(1-federal_tax_rate/100),"")</f>
        <v/>
      </c>
      <c r="AO104" s="169" t="str">
        <f>IF(ISNUMBER(outYear),-'Inputs and Outputs'!AO102*(1-federal_tax_rate/100),"")</f>
        <v/>
      </c>
      <c r="AP104" s="169" t="str">
        <f>IF(ISNUMBER(outYear),-'Inputs and Outputs'!AP102*(1-federal_tax_rate/100),"")</f>
        <v/>
      </c>
      <c r="AQ104" s="169" t="str">
        <f>IF(ISNUMBER(outYear),-'Inputs and Outputs'!AQ102*(1-federal_tax_rate/100),"")</f>
        <v/>
      </c>
      <c r="AR104" s="169" t="str">
        <f>IF(ISNUMBER(outYear),-'Inputs and Outputs'!AR102*(1-federal_tax_rate/100),"")</f>
        <v/>
      </c>
      <c r="AS104" s="169" t="str">
        <f>IF(ISNUMBER(outYear),-'Inputs and Outputs'!AS102*(1-federal_tax_rate/100),"")</f>
        <v/>
      </c>
      <c r="AT104" s="169" t="str">
        <f>IF(ISNUMBER(outYear),-'Inputs and Outputs'!AT102*(1-federal_tax_rate/100),"")</f>
        <v/>
      </c>
      <c r="AU104" s="169" t="str">
        <f>IF(ISNUMBER(outYear),-'Inputs and Outputs'!AU102*(1-federal_tax_rate/100),"")</f>
        <v/>
      </c>
      <c r="AV104" s="169" t="str">
        <f>IF(ISNUMBER(outYear),-'Inputs and Outputs'!AV102*(1-federal_tax_rate/100),"")</f>
        <v/>
      </c>
      <c r="AW104" s="169" t="str">
        <f>IF(ISNUMBER(outYear),-'Inputs and Outputs'!AW102*(1-federal_tax_rate/100),"")</f>
        <v/>
      </c>
      <c r="AX104" s="169" t="str">
        <f>IF(ISNUMBER(outYear),-'Inputs and Outputs'!AX102*(1-federal_tax_rate/100),"")</f>
        <v/>
      </c>
      <c r="AY104" s="169" t="str">
        <f>IF(ISNUMBER(outYear),-'Inputs and Outputs'!AY102*(1-federal_tax_rate/100),"")</f>
        <v/>
      </c>
      <c r="AZ104" s="169" t="str">
        <f>IF(ISNUMBER(outYear),-'Inputs and Outputs'!AZ102*(1-federal_tax_rate/100),"")</f>
        <v/>
      </c>
      <c r="BA104" s="169" t="str">
        <f>IF(ISNUMBER(outYear),-'Inputs and Outputs'!BA102*(1-federal_tax_rate/100),"")</f>
        <v/>
      </c>
      <c r="BB104" s="169" t="str">
        <f>IF(ISNUMBER(outYear),-'Inputs and Outputs'!BB102*(1-federal_tax_rate/100),"")</f>
        <v/>
      </c>
      <c r="BC104" s="169" t="str">
        <f>IF(ISNUMBER(outYear),-'Inputs and Outputs'!BC102*(1-federal_tax_rate/100),"")</f>
        <v/>
      </c>
      <c r="BD104" s="169" t="str">
        <f>IF(ISNUMBER(outYear),-'Inputs and Outputs'!BD102*(1-federal_tax_rate/100),"")</f>
        <v/>
      </c>
      <c r="BE104" s="169" t="str">
        <f>IF(ISNUMBER(outYear),-'Inputs and Outputs'!BE102*(1-federal_tax_rate/100),"")</f>
        <v/>
      </c>
      <c r="BF104" s="169" t="str">
        <f>IF(ISNUMBER(outYear),-'Inputs and Outputs'!BF102*(1-federal_tax_rate/100),"")</f>
        <v/>
      </c>
      <c r="BG104" s="169" t="str">
        <f>IF(ISNUMBER(outYear),-'Inputs and Outputs'!BG102*(1-federal_tax_rate/100),"")</f>
        <v/>
      </c>
      <c r="BH104" s="169" t="str">
        <f>IF(ISNUMBER(outYear),-'Inputs and Outputs'!BH102*(1-federal_tax_rate/100),"")</f>
        <v/>
      </c>
      <c r="BI104" s="169" t="str">
        <f>IF(ISNUMBER(outYear),-'Inputs and Outputs'!BI102*(1-federal_tax_rate/100),"")</f>
        <v/>
      </c>
      <c r="BJ104" s="169" t="str">
        <f>IF(ISNUMBER(outYear),-'Inputs and Outputs'!BJ102*(1-federal_tax_rate/100),"")</f>
        <v/>
      </c>
      <c r="BK104" s="169" t="str">
        <f>IF(ISNUMBER(outYear),-'Inputs and Outputs'!BK102*(1-federal_tax_rate/100),"")</f>
        <v/>
      </c>
      <c r="BL104" s="169" t="str">
        <f>IF(ISNUMBER(outYear),-'Inputs and Outputs'!BL102*(1-federal_tax_rate/100),"")</f>
        <v/>
      </c>
      <c r="BM104" s="169" t="str">
        <f>IF(ISNUMBER(outYear),-'Inputs and Outputs'!BM102*(1-federal_tax_rate/100),"")</f>
        <v/>
      </c>
      <c r="BN104" s="169" t="str">
        <f>IF(ISNUMBER(outYear),-'Inputs and Outputs'!BN102*(1-federal_tax_rate/100),"")</f>
        <v/>
      </c>
      <c r="BO104" s="169" t="str">
        <f>IF(ISNUMBER(outYear),-'Inputs and Outputs'!BO102*(1-federal_tax_rate/100),"")</f>
        <v/>
      </c>
      <c r="BP104" s="169" t="str">
        <f>IF(ISNUMBER(outYear),-'Inputs and Outputs'!BP102*(1-federal_tax_rate/100),"")</f>
        <v/>
      </c>
      <c r="BQ104" s="169" t="str">
        <f>IF(ISNUMBER(outYear),-'Inputs and Outputs'!BQ102*(1-federal_tax_rate/100),"")</f>
        <v/>
      </c>
      <c r="BR104" s="169" t="str">
        <f>IF(ISNUMBER(outYear),-'Inputs and Outputs'!BR102*(1-federal_tax_rate/100),"")</f>
        <v/>
      </c>
      <c r="BS104" s="169" t="str">
        <f>IF(ISNUMBER(outYear),-'Inputs and Outputs'!BS102*(1-federal_tax_rate/100),"")</f>
        <v/>
      </c>
      <c r="BT104" s="169" t="str">
        <f>IF(ISNUMBER(outYear),-'Inputs and Outputs'!BT102*(1-federal_tax_rate/100),"")</f>
        <v/>
      </c>
      <c r="BU104" s="169" t="str">
        <f>IF(ISNUMBER(outYear),-'Inputs and Outputs'!BU102*(1-federal_tax_rate/100),"")</f>
        <v/>
      </c>
      <c r="BV104" s="169" t="str">
        <f>IF(ISNUMBER(outYear),-'Inputs and Outputs'!BV102*(1-federal_tax_rate/100),"")</f>
        <v/>
      </c>
      <c r="BW104" s="169" t="str">
        <f>IF(ISNUMBER(outYear),-'Inputs and Outputs'!BW102*(1-federal_tax_rate/100),"")</f>
        <v/>
      </c>
      <c r="BX104" s="169" t="str">
        <f>IF(ISNUMBER(outYear),-'Inputs and Outputs'!BX102*(1-federal_tax_rate/100),"")</f>
        <v/>
      </c>
      <c r="BY104" s="169" t="str">
        <f>IF(ISNUMBER(outYear),-'Inputs and Outputs'!BY102*(1-federal_tax_rate/100),"")</f>
        <v/>
      </c>
      <c r="BZ104" s="169" t="str">
        <f>IF(ISNUMBER(outYear),-'Inputs and Outputs'!BZ102*(1-federal_tax_rate/100),"")</f>
        <v/>
      </c>
      <c r="CA104" s="169" t="str">
        <f>IF(ISNUMBER(outYear),-'Inputs and Outputs'!CA102*(1-federal_tax_rate/100),"")</f>
        <v/>
      </c>
      <c r="CB104" s="169" t="str">
        <f>IF(ISNUMBER(outYear),-'Inputs and Outputs'!CB102*(1-federal_tax_rate/100),"")</f>
        <v/>
      </c>
      <c r="CC104" s="169" t="str">
        <f>IF(ISNUMBER(outYear),-'Inputs and Outputs'!CC102*(1-federal_tax_rate/100),"")</f>
        <v/>
      </c>
      <c r="CD104" s="169" t="str">
        <f>IF(ISNUMBER(outYear),-'Inputs and Outputs'!CD102*(1-federal_tax_rate/100),"")</f>
        <v/>
      </c>
      <c r="CE104" s="169" t="str">
        <f>IF(ISNUMBER(outYear),-'Inputs and Outputs'!CE102*(1-federal_tax_rate/100),"")</f>
        <v/>
      </c>
      <c r="CF104" s="169" t="str">
        <f>IF(ISNUMBER(outYear),-'Inputs and Outputs'!CF102*(1-federal_tax_rate/100),"")</f>
        <v/>
      </c>
      <c r="CG104" s="169" t="str">
        <f>IF(ISNUMBER(outYear),-'Inputs and Outputs'!CG102*(1-federal_tax_rate/100),"")</f>
        <v/>
      </c>
      <c r="CH104" s="169" t="str">
        <f>IF(ISNUMBER(outYear),-'Inputs and Outputs'!CH102*(1-federal_tax_rate/100),"")</f>
        <v/>
      </c>
      <c r="CI104" s="169" t="str">
        <f>IF(ISNUMBER(outYear),-'Inputs and Outputs'!CI102*(1-federal_tax_rate/100),"")</f>
        <v/>
      </c>
      <c r="CJ104" s="169" t="str">
        <f>IF(ISNUMBER(outYear),-'Inputs and Outputs'!CJ102*(1-federal_tax_rate/100),"")</f>
        <v/>
      </c>
      <c r="CK104" s="169" t="str">
        <f>IF(ISNUMBER(outYear),-'Inputs and Outputs'!CK102*(1-federal_tax_rate/100),"")</f>
        <v/>
      </c>
      <c r="CL104" s="169" t="str">
        <f>IF(ISNUMBER(outYear),-'Inputs and Outputs'!CL102*(1-federal_tax_rate/100),"")</f>
        <v/>
      </c>
      <c r="CM104" s="169" t="str">
        <f>IF(ISNUMBER(outYear),-'Inputs and Outputs'!CM102*(1-federal_tax_rate/100),"")</f>
        <v/>
      </c>
      <c r="CN104" s="169" t="str">
        <f>IF(ISNUMBER(outYear),-'Inputs and Outputs'!CN102*(1-federal_tax_rate/100),"")</f>
        <v/>
      </c>
      <c r="CO104" s="169" t="str">
        <f>IF(ISNUMBER(outYear),-'Inputs and Outputs'!CO102*(1-federal_tax_rate/100),"")</f>
        <v/>
      </c>
      <c r="CP104" s="169" t="str">
        <f>IF(ISNUMBER(outYear),-'Inputs and Outputs'!CP102*(1-federal_tax_rate/100),"")</f>
        <v/>
      </c>
      <c r="CQ104" s="169" t="str">
        <f>IF(ISNUMBER(outYear),-'Inputs and Outputs'!CQ102*(1-federal_tax_rate/100),"")</f>
        <v/>
      </c>
      <c r="CR104" s="169" t="str">
        <f>IF(ISNUMBER(outYear),-'Inputs and Outputs'!CR102*(1-federal_tax_rate/100),"")</f>
        <v/>
      </c>
      <c r="CS104" s="169" t="str">
        <f>IF(ISNUMBER(outYear),-'Inputs and Outputs'!CS102*(1-federal_tax_rate/100),"")</f>
        <v/>
      </c>
      <c r="CT104" s="169" t="str">
        <f>IF(ISNUMBER(outYear),-'Inputs and Outputs'!CT102*(1-federal_tax_rate/100),"")</f>
        <v/>
      </c>
      <c r="CU104" s="169" t="str">
        <f>IF(ISNUMBER(outYear),-'Inputs and Outputs'!CU102*(1-federal_tax_rate/100),"")</f>
        <v/>
      </c>
      <c r="CV104" s="169" t="str">
        <f>IF(ISNUMBER(outYear),-'Inputs and Outputs'!CV102*(1-federal_tax_rate/100),"")</f>
        <v/>
      </c>
      <c r="CW104" s="169" t="str">
        <f>IF(ISNUMBER(outYear),-'Inputs and Outputs'!CW102*(1-federal_tax_rate/100),"")</f>
        <v/>
      </c>
      <c r="CX104" s="169" t="str">
        <f>IF(ISNUMBER(outYear),-'Inputs and Outputs'!CX102*(1-federal_tax_rate/100),"")</f>
        <v/>
      </c>
    </row>
    <row r="105" spans="1:102" x14ac:dyDescent="0.2">
      <c r="A105" t="s">
        <v>144</v>
      </c>
      <c r="B105" s="169">
        <f>IF(ISNUMBER(outYear),B99,"")</f>
        <v>-532718</v>
      </c>
      <c r="C105" s="169">
        <f>IF(ISNUMBER(outYear),C99-('Inputs and Outputs'!C103+'Inputs and Outputs'!C104)*(1-federal_tax_rate/100),"")</f>
        <v>-239119.35278062493</v>
      </c>
      <c r="D105" s="169">
        <f>IF(ISNUMBER(outYear),D99-('Inputs and Outputs'!D103+'Inputs and Outputs'!D104)*(1-federal_tax_rate/100),"")</f>
        <v>-492249.87004277273</v>
      </c>
      <c r="E105" s="169">
        <f>IF(ISNUMBER(outYear),E99-('Inputs and Outputs'!E103+'Inputs and Outputs'!E104)*(1-federal_tax_rate/100),"")</f>
        <v>-518846.32291264902</v>
      </c>
      <c r="F105" s="169">
        <f>IF(ISNUMBER(outYear),F99-('Inputs and Outputs'!F103+'Inputs and Outputs'!F104)*(1-federal_tax_rate/100),"")</f>
        <v>-541545.90395183465</v>
      </c>
      <c r="G105" s="169">
        <f>IF(ISNUMBER(outYear),G99-('Inputs and Outputs'!G103+'Inputs and Outputs'!G104)*(1-federal_tax_rate/100),"")</f>
        <v>-558178.09945656161</v>
      </c>
      <c r="H105" s="169">
        <f>IF(ISNUMBER(outYear),H99-('Inputs and Outputs'!H103+'Inputs and Outputs'!H104)*(1-federal_tax_rate/100),"")</f>
        <v>-580227.61026565172</v>
      </c>
      <c r="I105" s="169">
        <f>IF(ISNUMBER(outYear),I99-('Inputs and Outputs'!I103+'Inputs and Outputs'!I104)*(1-federal_tax_rate/100),"")</f>
        <v>-602793.83797620947</v>
      </c>
      <c r="J105" s="169">
        <f>IF(ISNUMBER(outYear),J99-('Inputs and Outputs'!J103+'Inputs and Outputs'!J104)*(1-federal_tax_rate/100),"")</f>
        <v>-620976.6401416841</v>
      </c>
      <c r="K105" s="169">
        <f>IF(ISNUMBER(outYear),K99-('Inputs and Outputs'!K103+'Inputs and Outputs'!K104)*(1-federal_tax_rate/100),"")</f>
        <v>-639707.7891296692</v>
      </c>
      <c r="L105" s="169">
        <f>IF(ISNUMBER(outYear),L99-('Inputs and Outputs'!L103+'Inputs and Outputs'!L104)*(1-federal_tax_rate/100),"")</f>
        <v>-706253.81860996073</v>
      </c>
      <c r="M105" s="169">
        <f>IF(ISNUMBER(outYear),M99-('Inputs and Outputs'!M103+'Inputs and Outputs'!M104)*(1-federal_tax_rate/100),"")</f>
        <v>-678881.76069655409</v>
      </c>
      <c r="N105" s="169">
        <f>IF(ISNUMBER(outYear),N99-('Inputs and Outputs'!N103+'Inputs and Outputs'!N104)*(1-federal_tax_rate/100),"")</f>
        <v>-699359.16097244446</v>
      </c>
      <c r="O105" s="169">
        <f>IF(ISNUMBER(outYear),O99-('Inputs and Outputs'!O103+'Inputs and Outputs'!O104)*(1-federal_tax_rate/100),"")</f>
        <v>-720454.09396727826</v>
      </c>
      <c r="P105" s="169">
        <f>IF(ISNUMBER(outYear),P99-('Inputs and Outputs'!P103+'Inputs and Outputs'!P104)*(1-federal_tax_rate/100),"")</f>
        <v>-742185.17910150217</v>
      </c>
      <c r="Q105" s="169">
        <f>IF(ISNUMBER(outYear),Q99-('Inputs and Outputs'!Q103+'Inputs and Outputs'!Q104)*(1-federal_tax_rate/100),"")</f>
        <v>-764571.59711107321</v>
      </c>
      <c r="R105" s="169">
        <f>IF(ISNUMBER(outYear),R99-('Inputs and Outputs'!R103+'Inputs and Outputs'!R104)*(1-federal_tax_rate/100),"")</f>
        <v>-787633.1069672046</v>
      </c>
      <c r="S105" s="169">
        <f>IF(ISNUMBER(outYear),S99-('Inputs and Outputs'!S103+'Inputs and Outputs'!S104)*(1-federal_tax_rate/100),"")</f>
        <v>-811390.06330607587</v>
      </c>
      <c r="T105" s="169">
        <f>IF(ISNUMBER(outYear),T99-('Inputs and Outputs'!T103+'Inputs and Outputs'!T104)*(1-federal_tax_rate/100),"")</f>
        <v>-835863.4343838701</v>
      </c>
      <c r="U105" s="169">
        <f>IF(ISNUMBER(outYear),U99-('Inputs and Outputs'!U103+'Inputs and Outputs'!U104)*(1-federal_tax_rate/100),"")</f>
        <v>-861074.8205729716</v>
      </c>
      <c r="V105" s="169">
        <f>IF(ISNUMBER(outYear),V99-('Inputs and Outputs'!V103+'Inputs and Outputs'!V104)*(1-federal_tax_rate/100),"")</f>
        <v>-887046.47341563401</v>
      </c>
      <c r="W105" s="169">
        <f>IF(ISNUMBER(outYear),W99-('Inputs and Outputs'!W103+'Inputs and Outputs'!W104)*(1-federal_tax_rate/100),"")</f>
        <v>-913801.31525191863</v>
      </c>
      <c r="X105" s="169">
        <f>IF(ISNUMBER(outYear),X99-('Inputs and Outputs'!X103+'Inputs and Outputs'!X104)*(1-federal_tax_rate/100),"")</f>
        <v>-941362.95943921048</v>
      </c>
      <c r="Y105" s="169">
        <f>IF(ISNUMBER(outYear),Y99-('Inputs and Outputs'!Y103+'Inputs and Outputs'!Y104)*(1-federal_tax_rate/100),"")</f>
        <v>-969755.73118113924</v>
      </c>
      <c r="Z105" s="169">
        <f>IF(ISNUMBER(outYear),Z99-('Inputs and Outputs'!Z103+'Inputs and Outputs'!Z104)*(1-federal_tax_rate/100),"")</f>
        <v>-999004.68898427277</v>
      </c>
      <c r="AA105" s="169">
        <f>IF(ISNUMBER(outYear),AA99-('Inputs and Outputs'!AA103+'Inputs and Outputs'!AA104)*(1-federal_tax_rate/100),"")</f>
        <v>-1029135.6467614989</v>
      </c>
      <c r="AB105" s="169" t="str">
        <f>IF(ISNUMBER(outYear),AB99-('Inputs and Outputs'!AB103+'Inputs and Outputs'!AB104)*(1-federal_tax_rate/100),"")</f>
        <v/>
      </c>
      <c r="AC105" s="169" t="str">
        <f>IF(ISNUMBER(outYear),AC99-('Inputs and Outputs'!AC103+'Inputs and Outputs'!AC104)*(1-federal_tax_rate/100),"")</f>
        <v/>
      </c>
      <c r="AD105" s="169" t="str">
        <f>IF(ISNUMBER(outYear),AD99-('Inputs and Outputs'!AD103+'Inputs and Outputs'!AD104)*(1-federal_tax_rate/100),"")</f>
        <v/>
      </c>
      <c r="AE105" s="169" t="str">
        <f>IF(ISNUMBER(outYear),AE99-('Inputs and Outputs'!AE103+'Inputs and Outputs'!AE104)*(1-federal_tax_rate/100),"")</f>
        <v/>
      </c>
      <c r="AF105" s="169" t="str">
        <f>IF(ISNUMBER(outYear),AF99-('Inputs and Outputs'!AF103+'Inputs and Outputs'!AF104)*(1-federal_tax_rate/100),"")</f>
        <v/>
      </c>
      <c r="AG105" s="169" t="str">
        <f>IF(ISNUMBER(outYear),AG99-('Inputs and Outputs'!AG103+'Inputs and Outputs'!AG104)*(1-federal_tax_rate/100),"")</f>
        <v/>
      </c>
      <c r="AH105" s="169" t="str">
        <f>IF(ISNUMBER(outYear),AH99-('Inputs and Outputs'!AH103+'Inputs and Outputs'!AH104)*(1-federal_tax_rate/100),"")</f>
        <v/>
      </c>
      <c r="AI105" s="169" t="str">
        <f>IF(ISNUMBER(outYear),AI99-('Inputs and Outputs'!AI103+'Inputs and Outputs'!AI104)*(1-federal_tax_rate/100),"")</f>
        <v/>
      </c>
      <c r="AJ105" s="169" t="str">
        <f>IF(ISNUMBER(outYear),AJ99-('Inputs and Outputs'!AJ103+'Inputs and Outputs'!AJ104)*(1-federal_tax_rate/100),"")</f>
        <v/>
      </c>
      <c r="AK105" s="169" t="str">
        <f>IF(ISNUMBER(outYear),AK99-('Inputs and Outputs'!AK103+'Inputs and Outputs'!AK104)*(1-federal_tax_rate/100),"")</f>
        <v/>
      </c>
      <c r="AL105" s="169" t="str">
        <f>IF(ISNUMBER(outYear),AL99-('Inputs and Outputs'!AL103+'Inputs and Outputs'!AL104)*(1-federal_tax_rate/100),"")</f>
        <v/>
      </c>
      <c r="AM105" s="169" t="str">
        <f>IF(ISNUMBER(outYear),AM99-('Inputs and Outputs'!AM103+'Inputs and Outputs'!AM104)*(1-federal_tax_rate/100),"")</f>
        <v/>
      </c>
      <c r="AN105" s="169" t="str">
        <f>IF(ISNUMBER(outYear),AN99-('Inputs and Outputs'!AN103+'Inputs and Outputs'!AN104)*(1-federal_tax_rate/100),"")</f>
        <v/>
      </c>
      <c r="AO105" s="169" t="str">
        <f>IF(ISNUMBER(outYear),AO99-('Inputs and Outputs'!AO103+'Inputs and Outputs'!AO104)*(1-federal_tax_rate/100),"")</f>
        <v/>
      </c>
      <c r="AP105" s="169" t="str">
        <f>IF(ISNUMBER(outYear),AP99-('Inputs and Outputs'!AP103+'Inputs and Outputs'!AP104)*(1-federal_tax_rate/100),"")</f>
        <v/>
      </c>
      <c r="AQ105" s="169" t="str">
        <f>IF(ISNUMBER(outYear),AQ99-('Inputs and Outputs'!AQ103+'Inputs and Outputs'!AQ104)*(1-federal_tax_rate/100),"")</f>
        <v/>
      </c>
      <c r="AR105" s="169" t="str">
        <f>IF(ISNUMBER(outYear),AR99-('Inputs and Outputs'!AR103+'Inputs and Outputs'!AR104)*(1-federal_tax_rate/100),"")</f>
        <v/>
      </c>
      <c r="AS105" s="169" t="str">
        <f>IF(ISNUMBER(outYear),AS99-('Inputs and Outputs'!AS103+'Inputs and Outputs'!AS104)*(1-federal_tax_rate/100),"")</f>
        <v/>
      </c>
      <c r="AT105" s="169" t="str">
        <f>IF(ISNUMBER(outYear),AT99-('Inputs and Outputs'!AT103+'Inputs and Outputs'!AT104)*(1-federal_tax_rate/100),"")</f>
        <v/>
      </c>
      <c r="AU105" s="169" t="str">
        <f>IF(ISNUMBER(outYear),AU99-('Inputs and Outputs'!AU103+'Inputs and Outputs'!AU104)*(1-federal_tax_rate/100),"")</f>
        <v/>
      </c>
      <c r="AV105" s="169" t="str">
        <f>IF(ISNUMBER(outYear),AV99-('Inputs and Outputs'!AV103+'Inputs and Outputs'!AV104)*(1-federal_tax_rate/100),"")</f>
        <v/>
      </c>
      <c r="AW105" s="169" t="str">
        <f>IF(ISNUMBER(outYear),AW99-('Inputs and Outputs'!AW103+'Inputs and Outputs'!AW104)*(1-federal_tax_rate/100),"")</f>
        <v/>
      </c>
      <c r="AX105" s="169" t="str">
        <f>IF(ISNUMBER(outYear),AX99-('Inputs and Outputs'!AX103+'Inputs and Outputs'!AX104)*(1-federal_tax_rate/100),"")</f>
        <v/>
      </c>
      <c r="AY105" s="169" t="str">
        <f>IF(ISNUMBER(outYear),AY99-('Inputs and Outputs'!AY103+'Inputs and Outputs'!AY104)*(1-federal_tax_rate/100),"")</f>
        <v/>
      </c>
      <c r="AZ105" s="169" t="str">
        <f>IF(ISNUMBER(outYear),AZ99-('Inputs and Outputs'!AZ103+'Inputs and Outputs'!AZ104)*(1-federal_tax_rate/100),"")</f>
        <v/>
      </c>
      <c r="BA105" s="169" t="str">
        <f>IF(ISNUMBER(outYear),BA99-('Inputs and Outputs'!BA103+'Inputs and Outputs'!BA104)*(1-federal_tax_rate/100),"")</f>
        <v/>
      </c>
      <c r="BB105" s="169" t="str">
        <f>IF(ISNUMBER(outYear),BB99-('Inputs and Outputs'!BB103+'Inputs and Outputs'!BB104)*(1-federal_tax_rate/100),"")</f>
        <v/>
      </c>
      <c r="BC105" s="169" t="str">
        <f>IF(ISNUMBER(outYear),BC99-('Inputs and Outputs'!BC103+'Inputs and Outputs'!BC104)*(1-federal_tax_rate/100),"")</f>
        <v/>
      </c>
      <c r="BD105" s="169" t="str">
        <f>IF(ISNUMBER(outYear),BD99-('Inputs and Outputs'!BD103+'Inputs and Outputs'!BD104)*(1-federal_tax_rate/100),"")</f>
        <v/>
      </c>
      <c r="BE105" s="169" t="str">
        <f>IF(ISNUMBER(outYear),BE99-('Inputs and Outputs'!BE103+'Inputs and Outputs'!BE104)*(1-federal_tax_rate/100),"")</f>
        <v/>
      </c>
      <c r="BF105" s="169" t="str">
        <f>IF(ISNUMBER(outYear),BF99-('Inputs and Outputs'!BF103+'Inputs and Outputs'!BF104)*(1-federal_tax_rate/100),"")</f>
        <v/>
      </c>
      <c r="BG105" s="169" t="str">
        <f>IF(ISNUMBER(outYear),BG99-('Inputs and Outputs'!BG103+'Inputs and Outputs'!BG104)*(1-federal_tax_rate/100),"")</f>
        <v/>
      </c>
      <c r="BH105" s="169" t="str">
        <f>IF(ISNUMBER(outYear),BH99-('Inputs and Outputs'!BH103+'Inputs and Outputs'!BH104)*(1-federal_tax_rate/100),"")</f>
        <v/>
      </c>
      <c r="BI105" s="169" t="str">
        <f>IF(ISNUMBER(outYear),BI99-('Inputs and Outputs'!BI103+'Inputs and Outputs'!BI104)*(1-federal_tax_rate/100),"")</f>
        <v/>
      </c>
      <c r="BJ105" s="169" t="str">
        <f>IF(ISNUMBER(outYear),BJ99-('Inputs and Outputs'!BJ103+'Inputs and Outputs'!BJ104)*(1-federal_tax_rate/100),"")</f>
        <v/>
      </c>
      <c r="BK105" s="169" t="str">
        <f>IF(ISNUMBER(outYear),BK99-('Inputs and Outputs'!BK103+'Inputs and Outputs'!BK104)*(1-federal_tax_rate/100),"")</f>
        <v/>
      </c>
      <c r="BL105" s="169" t="str">
        <f>IF(ISNUMBER(outYear),BL99-('Inputs and Outputs'!BL103+'Inputs and Outputs'!BL104)*(1-federal_tax_rate/100),"")</f>
        <v/>
      </c>
      <c r="BM105" s="169" t="str">
        <f>IF(ISNUMBER(outYear),BM99-('Inputs and Outputs'!BM103+'Inputs and Outputs'!BM104)*(1-federal_tax_rate/100),"")</f>
        <v/>
      </c>
      <c r="BN105" s="169" t="str">
        <f>IF(ISNUMBER(outYear),BN99-('Inputs and Outputs'!BN103+'Inputs and Outputs'!BN104)*(1-federal_tax_rate/100),"")</f>
        <v/>
      </c>
      <c r="BO105" s="169" t="str">
        <f>IF(ISNUMBER(outYear),BO99-('Inputs and Outputs'!BO103+'Inputs and Outputs'!BO104)*(1-federal_tax_rate/100),"")</f>
        <v/>
      </c>
      <c r="BP105" s="169" t="str">
        <f>IF(ISNUMBER(outYear),BP99-('Inputs and Outputs'!BP103+'Inputs and Outputs'!BP104)*(1-federal_tax_rate/100),"")</f>
        <v/>
      </c>
      <c r="BQ105" s="169" t="str">
        <f>IF(ISNUMBER(outYear),BQ99-('Inputs and Outputs'!BQ103+'Inputs and Outputs'!BQ104)*(1-federal_tax_rate/100),"")</f>
        <v/>
      </c>
      <c r="BR105" s="169" t="str">
        <f>IF(ISNUMBER(outYear),BR99-('Inputs and Outputs'!BR103+'Inputs and Outputs'!BR104)*(1-federal_tax_rate/100),"")</f>
        <v/>
      </c>
      <c r="BS105" s="169" t="str">
        <f>IF(ISNUMBER(outYear),BS99-('Inputs and Outputs'!BS103+'Inputs and Outputs'!BS104)*(1-federal_tax_rate/100),"")</f>
        <v/>
      </c>
      <c r="BT105" s="169" t="str">
        <f>IF(ISNUMBER(outYear),BT99-('Inputs and Outputs'!BT103+'Inputs and Outputs'!BT104)*(1-federal_tax_rate/100),"")</f>
        <v/>
      </c>
      <c r="BU105" s="169" t="str">
        <f>IF(ISNUMBER(outYear),BU99-('Inputs and Outputs'!BU103+'Inputs and Outputs'!BU104)*(1-federal_tax_rate/100),"")</f>
        <v/>
      </c>
      <c r="BV105" s="169" t="str">
        <f>IF(ISNUMBER(outYear),BV99-('Inputs and Outputs'!BV103+'Inputs and Outputs'!BV104)*(1-federal_tax_rate/100),"")</f>
        <v/>
      </c>
      <c r="BW105" s="169" t="str">
        <f>IF(ISNUMBER(outYear),BW99-('Inputs and Outputs'!BW103+'Inputs and Outputs'!BW104)*(1-federal_tax_rate/100),"")</f>
        <v/>
      </c>
      <c r="BX105" s="169" t="str">
        <f>IF(ISNUMBER(outYear),BX99-('Inputs and Outputs'!BX103+'Inputs and Outputs'!BX104)*(1-federal_tax_rate/100),"")</f>
        <v/>
      </c>
      <c r="BY105" s="169" t="str">
        <f>IF(ISNUMBER(outYear),BY99-('Inputs and Outputs'!BY103+'Inputs and Outputs'!BY104)*(1-federal_tax_rate/100),"")</f>
        <v/>
      </c>
      <c r="BZ105" s="169" t="str">
        <f>IF(ISNUMBER(outYear),BZ99-('Inputs and Outputs'!BZ103+'Inputs and Outputs'!BZ104)*(1-federal_tax_rate/100),"")</f>
        <v/>
      </c>
      <c r="CA105" s="169" t="str">
        <f>IF(ISNUMBER(outYear),CA99-('Inputs and Outputs'!CA103+'Inputs and Outputs'!CA104)*(1-federal_tax_rate/100),"")</f>
        <v/>
      </c>
      <c r="CB105" s="169" t="str">
        <f>IF(ISNUMBER(outYear),CB99-('Inputs and Outputs'!CB103+'Inputs and Outputs'!CB104)*(1-federal_tax_rate/100),"")</f>
        <v/>
      </c>
      <c r="CC105" s="169" t="str">
        <f>IF(ISNUMBER(outYear),CC99-('Inputs and Outputs'!CC103+'Inputs and Outputs'!CC104)*(1-federal_tax_rate/100),"")</f>
        <v/>
      </c>
      <c r="CD105" s="169" t="str">
        <f>IF(ISNUMBER(outYear),CD99-('Inputs and Outputs'!CD103+'Inputs and Outputs'!CD104)*(1-federal_tax_rate/100),"")</f>
        <v/>
      </c>
      <c r="CE105" s="169" t="str">
        <f>IF(ISNUMBER(outYear),CE99-('Inputs and Outputs'!CE103+'Inputs and Outputs'!CE104)*(1-federal_tax_rate/100),"")</f>
        <v/>
      </c>
      <c r="CF105" s="169" t="str">
        <f>IF(ISNUMBER(outYear),CF99-('Inputs and Outputs'!CF103+'Inputs and Outputs'!CF104)*(1-federal_tax_rate/100),"")</f>
        <v/>
      </c>
      <c r="CG105" s="169" t="str">
        <f>IF(ISNUMBER(outYear),CG99-('Inputs and Outputs'!CG103+'Inputs and Outputs'!CG104)*(1-federal_tax_rate/100),"")</f>
        <v/>
      </c>
      <c r="CH105" s="169" t="str">
        <f>IF(ISNUMBER(outYear),CH99-('Inputs and Outputs'!CH103+'Inputs and Outputs'!CH104)*(1-federal_tax_rate/100),"")</f>
        <v/>
      </c>
      <c r="CI105" s="169" t="str">
        <f>IF(ISNUMBER(outYear),CI99-('Inputs and Outputs'!CI103+'Inputs and Outputs'!CI104)*(1-federal_tax_rate/100),"")</f>
        <v/>
      </c>
      <c r="CJ105" s="169" t="str">
        <f>IF(ISNUMBER(outYear),CJ99-('Inputs and Outputs'!CJ103+'Inputs and Outputs'!CJ104)*(1-federal_tax_rate/100),"")</f>
        <v/>
      </c>
      <c r="CK105" s="169" t="str">
        <f>IF(ISNUMBER(outYear),CK99-('Inputs and Outputs'!CK103+'Inputs and Outputs'!CK104)*(1-federal_tax_rate/100),"")</f>
        <v/>
      </c>
      <c r="CL105" s="169" t="str">
        <f>IF(ISNUMBER(outYear),CL99-('Inputs and Outputs'!CL103+'Inputs and Outputs'!CL104)*(1-federal_tax_rate/100),"")</f>
        <v/>
      </c>
      <c r="CM105" s="169" t="str">
        <f>IF(ISNUMBER(outYear),CM99-('Inputs and Outputs'!CM103+'Inputs and Outputs'!CM104)*(1-federal_tax_rate/100),"")</f>
        <v/>
      </c>
      <c r="CN105" s="169" t="str">
        <f>IF(ISNUMBER(outYear),CN99-('Inputs and Outputs'!CN103+'Inputs and Outputs'!CN104)*(1-federal_tax_rate/100),"")</f>
        <v/>
      </c>
      <c r="CO105" s="169" t="str">
        <f>IF(ISNUMBER(outYear),CO99-('Inputs and Outputs'!CO103+'Inputs and Outputs'!CO104)*(1-federal_tax_rate/100),"")</f>
        <v/>
      </c>
      <c r="CP105" s="169" t="str">
        <f>IF(ISNUMBER(outYear),CP99-('Inputs and Outputs'!CP103+'Inputs and Outputs'!CP104)*(1-federal_tax_rate/100),"")</f>
        <v/>
      </c>
      <c r="CQ105" s="169" t="str">
        <f>IF(ISNUMBER(outYear),CQ99-('Inputs and Outputs'!CQ103+'Inputs and Outputs'!CQ104)*(1-federal_tax_rate/100),"")</f>
        <v/>
      </c>
      <c r="CR105" s="169" t="str">
        <f>IF(ISNUMBER(outYear),CR99-('Inputs and Outputs'!CR103+'Inputs and Outputs'!CR104)*(1-federal_tax_rate/100),"")</f>
        <v/>
      </c>
      <c r="CS105" s="169" t="str">
        <f>IF(ISNUMBER(outYear),CS99-('Inputs and Outputs'!CS103+'Inputs and Outputs'!CS104)*(1-federal_tax_rate/100),"")</f>
        <v/>
      </c>
      <c r="CT105" s="169" t="str">
        <f>IF(ISNUMBER(outYear),CT99-('Inputs and Outputs'!CT103+'Inputs and Outputs'!CT104)*(1-federal_tax_rate/100),"")</f>
        <v/>
      </c>
      <c r="CU105" s="169" t="str">
        <f>IF(ISNUMBER(outYear),CU99-('Inputs and Outputs'!CU103+'Inputs and Outputs'!CU104)*(1-federal_tax_rate/100),"")</f>
        <v/>
      </c>
      <c r="CV105" s="169" t="str">
        <f>IF(ISNUMBER(outYear),CV99-('Inputs and Outputs'!CV103+'Inputs and Outputs'!CV104)*(1-federal_tax_rate/100),"")</f>
        <v/>
      </c>
      <c r="CW105" s="169" t="str">
        <f>IF(ISNUMBER(outYear),CW99-('Inputs and Outputs'!CW103+'Inputs and Outputs'!CW104)*(1-federal_tax_rate/100),"")</f>
        <v/>
      </c>
      <c r="CX105" s="169" t="str">
        <f>IF(ISNUMBER(outYear),CX99-('Inputs and Outputs'!CX103+'Inputs and Outputs'!CX104)*(1-federal_tax_rate/100),"")</f>
        <v/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1714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119</vt:i4>
      </vt:variant>
    </vt:vector>
  </HeadingPairs>
  <TitlesOfParts>
    <vt:vector size="121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existing_pv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system_capacity_wind</vt:lpstr>
      <vt:lpstr>total_installed_cost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NREL</cp:lastModifiedBy>
  <cp:revision>1</cp:revision>
  <cp:lastPrinted>2006-11-13T23:17:12Z</cp:lastPrinted>
  <dcterms:created xsi:type="dcterms:W3CDTF">2005-08-17T04:34:40Z</dcterms:created>
  <dcterms:modified xsi:type="dcterms:W3CDTF">2018-08-27T16:49:49Z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jc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tax_assessed_decline" linkTarget="prop_tax_assessed_decline">
    <vt:lpwstr>#REF!</vt:lpwstr>
  </property>
  <property fmtid="{D5CDD505-2E9C-101B-9397-08002B2CF9AE}" pid="10" name="tax_cost_assessed_percent" linkTarget="prop_tax_cost_assessed_percent">
    <vt:lpwstr>#REF!</vt:lpwstr>
  </property>
</Properties>
</file>